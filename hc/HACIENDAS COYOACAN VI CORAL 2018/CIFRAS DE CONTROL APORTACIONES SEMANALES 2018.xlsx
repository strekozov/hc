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80" windowWidth="20115" windowHeight="7125" firstSheet="8" activeTab="11"/>
  </bookViews>
  <sheets>
    <sheet name="C C Aportaciones ENE 18" sheetId="5" r:id="rId1"/>
    <sheet name="C C Aportaciones FEB 18" sheetId="6" r:id="rId2"/>
    <sheet name="C C Aportaciones MAR 18 " sheetId="7" r:id="rId3"/>
    <sheet name="C C Aportaciones ABR 18   " sheetId="9" r:id="rId4"/>
    <sheet name="C C Aportaciones MAY 18" sheetId="12" r:id="rId5"/>
    <sheet name="CC Aportaciones JUN 18" sheetId="13" r:id="rId6"/>
    <sheet name="C C Aportaciones JUL 18   " sheetId="15" r:id="rId7"/>
    <sheet name="C C Aportaciones AGO 18   " sheetId="14" r:id="rId8"/>
    <sheet name="C C Aportaciones SEP 17" sheetId="16" r:id="rId9"/>
    <sheet name="C C Aportaciones OCT 18 " sheetId="17" r:id="rId10"/>
    <sheet name="C C Aportaciones NOV 18   " sheetId="18" r:id="rId11"/>
    <sheet name="C C Aportaciones DIC 18  " sheetId="8" r:id="rId12"/>
  </sheets>
  <definedNames>
    <definedName name="_xlnm.Print_Area" localSheetId="3">'C C Aportaciones ABR 18   '!$A$1:$O$4</definedName>
    <definedName name="_xlnm.Print_Area" localSheetId="7">'C C Aportaciones AGO 18   '!$A$1:$O$4</definedName>
    <definedName name="_xlnm.Print_Area" localSheetId="11">'C C Aportaciones DIC 18  '!$A$1:$O$4</definedName>
    <definedName name="_xlnm.Print_Area" localSheetId="0">'C C Aportaciones ENE 18'!$A$1:$O$74</definedName>
    <definedName name="_xlnm.Print_Area" localSheetId="1">'C C Aportaciones FEB 18'!$A$1:$O$73</definedName>
    <definedName name="_xlnm.Print_Area" localSheetId="6">'C C Aportaciones JUL 18   '!$A$1:$O$4</definedName>
    <definedName name="_xlnm.Print_Area" localSheetId="2">'C C Aportaciones MAR 18 '!$A$1:$O$4</definedName>
    <definedName name="_xlnm.Print_Area" localSheetId="4">'C C Aportaciones MAY 18'!$A$1:$O$4</definedName>
    <definedName name="_xlnm.Print_Area" localSheetId="10">'C C Aportaciones NOV 18   '!$A$1:$O$1</definedName>
    <definedName name="_xlnm.Print_Area" localSheetId="9">'C C Aportaciones OCT 18 '!$A$1:$O$4</definedName>
    <definedName name="_xlnm.Print_Area" localSheetId="8">'C C Aportaciones SEP 17'!$A$1:$O$4</definedName>
    <definedName name="_xlnm.Print_Area" localSheetId="5">'CC Aportaciones JUN 18'!$A$1:$O$1</definedName>
    <definedName name="_xlnm.Print_Titles" localSheetId="3">'C C Aportaciones ABR 18   '!$1:$4</definedName>
    <definedName name="_xlnm.Print_Titles" localSheetId="7">'C C Aportaciones AGO 18   '!$1:$4</definedName>
    <definedName name="_xlnm.Print_Titles" localSheetId="11">'C C Aportaciones DIC 18  '!$1:$4</definedName>
    <definedName name="_xlnm.Print_Titles" localSheetId="0">'C C Aportaciones ENE 18'!$1:$7</definedName>
    <definedName name="_xlnm.Print_Titles" localSheetId="1">'C C Aportaciones FEB 18'!$1:$7</definedName>
    <definedName name="_xlnm.Print_Titles" localSheetId="6">'C C Aportaciones JUL 18   '!$1:$4</definedName>
    <definedName name="_xlnm.Print_Titles" localSheetId="2">'C C Aportaciones MAR 18 '!$1:$4</definedName>
    <definedName name="_xlnm.Print_Titles" localSheetId="4">'C C Aportaciones MAY 18'!$1:$4</definedName>
    <definedName name="_xlnm.Print_Titles" localSheetId="10">'C C Aportaciones NOV 18   '!$1:$4</definedName>
    <definedName name="_xlnm.Print_Titles" localSheetId="9">'C C Aportaciones OCT 18 '!$1:$4</definedName>
    <definedName name="_xlnm.Print_Titles" localSheetId="8">'C C Aportaciones SEP 17'!$1:$4</definedName>
    <definedName name="_xlnm.Print_Titles" localSheetId="5">'CC Aportaciones JUN 18'!$1:$4</definedName>
  </definedNames>
  <calcPr calcId="144525"/>
</workbook>
</file>

<file path=xl/calcChain.xml><?xml version="1.0" encoding="utf-8"?>
<calcChain xmlns="http://schemas.openxmlformats.org/spreadsheetml/2006/main">
  <c r="B3" i="18" l="1"/>
  <c r="A3" i="18"/>
  <c r="B6" i="14" l="1"/>
  <c r="E6" i="9" l="1"/>
  <c r="D6" i="9"/>
  <c r="E6" i="7" l="1"/>
  <c r="B6" i="7" l="1"/>
  <c r="N6" i="5" l="1"/>
  <c r="M6" i="5"/>
  <c r="K6" i="7" l="1"/>
  <c r="H6" i="7"/>
  <c r="M6" i="7" l="1"/>
  <c r="N6" i="7"/>
  <c r="E6" i="12" l="1"/>
  <c r="E6" i="15" l="1"/>
  <c r="B6" i="15" l="1"/>
  <c r="H3" i="13" l="1"/>
  <c r="E3" i="13" l="1"/>
  <c r="N6" i="12" l="1"/>
  <c r="M6" i="12"/>
  <c r="K6" i="5" l="1"/>
  <c r="K6" i="16" l="1"/>
  <c r="K6" i="9"/>
  <c r="B6" i="9"/>
  <c r="H6" i="9"/>
  <c r="B6" i="17" l="1"/>
  <c r="H6" i="16" l="1"/>
  <c r="E6" i="16" l="1"/>
  <c r="N3" i="18" l="1"/>
  <c r="M3" i="18"/>
  <c r="K3" i="18"/>
  <c r="J3" i="18"/>
  <c r="H3" i="18"/>
  <c r="G3" i="18"/>
  <c r="E3" i="18"/>
  <c r="D3" i="18"/>
  <c r="N6" i="17"/>
  <c r="M6" i="17"/>
  <c r="K6" i="17"/>
  <c r="J6" i="17"/>
  <c r="H6" i="17"/>
  <c r="G6" i="17"/>
  <c r="E6" i="17"/>
  <c r="D6" i="17"/>
  <c r="A6" i="17"/>
  <c r="I3" i="17"/>
  <c r="F3" i="17"/>
  <c r="N6" i="16"/>
  <c r="M6" i="16"/>
  <c r="J6" i="16"/>
  <c r="G6" i="16"/>
  <c r="D6" i="16"/>
  <c r="B6" i="16"/>
  <c r="A6" i="16"/>
  <c r="I3" i="16"/>
  <c r="F3" i="16"/>
  <c r="N6" i="15"/>
  <c r="M6" i="15"/>
  <c r="K6" i="15"/>
  <c r="J6" i="15"/>
  <c r="H6" i="15"/>
  <c r="G6" i="15"/>
  <c r="D6" i="15"/>
  <c r="A6" i="15"/>
  <c r="I3" i="15"/>
  <c r="F3" i="15"/>
  <c r="N6" i="14"/>
  <c r="M6" i="14"/>
  <c r="K6" i="14"/>
  <c r="J6" i="14"/>
  <c r="H6" i="14"/>
  <c r="G6" i="14"/>
  <c r="E6" i="14"/>
  <c r="D6" i="14"/>
  <c r="A6" i="14"/>
  <c r="I3" i="14"/>
  <c r="F3" i="14"/>
  <c r="N3" i="13"/>
  <c r="M3" i="13"/>
  <c r="K3" i="13"/>
  <c r="J3" i="13"/>
  <c r="G3" i="13"/>
  <c r="D3" i="13"/>
  <c r="B3" i="13"/>
  <c r="A3" i="13"/>
  <c r="Q3" i="18" l="1"/>
  <c r="R3" i="18"/>
  <c r="R6" i="17"/>
  <c r="Q6" i="17"/>
  <c r="R6" i="16"/>
  <c r="Q6" i="16"/>
  <c r="R6" i="14"/>
  <c r="Q6" i="14"/>
  <c r="R6" i="15"/>
  <c r="Q6" i="15"/>
  <c r="R3" i="13"/>
  <c r="Q3" i="13"/>
  <c r="K6" i="12"/>
  <c r="J6" i="12"/>
  <c r="H6" i="12"/>
  <c r="G6" i="12"/>
  <c r="D6" i="12"/>
  <c r="B6" i="12"/>
  <c r="A6" i="12"/>
  <c r="I3" i="12"/>
  <c r="F3" i="12"/>
  <c r="Q6" i="12" l="1"/>
  <c r="R6" i="12"/>
  <c r="N6" i="9"/>
  <c r="R6" i="9" s="1"/>
  <c r="M6" i="9"/>
  <c r="J6" i="9"/>
  <c r="G6" i="9"/>
  <c r="A6" i="9"/>
  <c r="I3" i="9"/>
  <c r="F3" i="9"/>
  <c r="Q6" i="9" l="1"/>
  <c r="N6" i="8"/>
  <c r="M6" i="8"/>
  <c r="K6" i="8"/>
  <c r="J6" i="8"/>
  <c r="H6" i="8"/>
  <c r="G6" i="8"/>
  <c r="E6" i="8"/>
  <c r="D6" i="8"/>
  <c r="B6" i="8"/>
  <c r="A6" i="8"/>
  <c r="I3" i="8"/>
  <c r="F3" i="8"/>
  <c r="Q6" i="8" l="1"/>
  <c r="R6" i="8"/>
  <c r="K6" i="6" l="1"/>
  <c r="E6" i="6"/>
  <c r="B6" i="6"/>
  <c r="J6" i="7" l="1"/>
  <c r="G6" i="7"/>
  <c r="D6" i="7"/>
  <c r="A6" i="7"/>
  <c r="I3" i="7"/>
  <c r="F3" i="7"/>
  <c r="Q6" i="7" l="1"/>
  <c r="R6" i="7"/>
  <c r="N6" i="6"/>
  <c r="M6" i="6"/>
  <c r="J6" i="6"/>
  <c r="H6" i="6"/>
  <c r="G6" i="6"/>
  <c r="D6" i="6"/>
  <c r="A6" i="6"/>
  <c r="R6" i="6" l="1"/>
  <c r="Q6" i="6"/>
  <c r="F3" i="6"/>
  <c r="I3" i="6"/>
  <c r="J6" i="5"/>
  <c r="H6" i="5"/>
  <c r="G6" i="5"/>
  <c r="E6" i="5"/>
  <c r="D6" i="5"/>
  <c r="B6" i="5"/>
  <c r="A6" i="5"/>
  <c r="Q6" i="5" l="1"/>
  <c r="F3" i="5"/>
  <c r="I3" i="5"/>
  <c r="P6" i="5" l="1"/>
</calcChain>
</file>

<file path=xl/sharedStrings.xml><?xml version="1.0" encoding="utf-8"?>
<sst xmlns="http://schemas.openxmlformats.org/spreadsheetml/2006/main" count="2916" uniqueCount="627">
  <si>
    <t>1a. Semana</t>
  </si>
  <si>
    <t>Recibo</t>
  </si>
  <si>
    <t>Observación</t>
  </si>
  <si>
    <t>Importe</t>
  </si>
  <si>
    <t>2a. Semana</t>
  </si>
  <si>
    <t>3a. Semana</t>
  </si>
  <si>
    <t>4a. Semana</t>
  </si>
  <si>
    <t>DICIEMBRE</t>
  </si>
  <si>
    <t>Totales del mes</t>
  </si>
  <si>
    <t>Recibos</t>
  </si>
  <si>
    <t>CIFRAS DE CONTROL DE LAS APOTACIONES DEL MES</t>
  </si>
  <si>
    <t>enero</t>
  </si>
  <si>
    <t>5a. Semana</t>
  </si>
  <si>
    <t>TOTAL MES</t>
  </si>
  <si>
    <t>Pago anualidad 2018</t>
  </si>
  <si>
    <t>$ 200 por mes</t>
  </si>
  <si>
    <t>se le condonò 1 mes</t>
  </si>
  <si>
    <t>$ 200 por mes y 1 llave</t>
  </si>
  <si>
    <t xml:space="preserve">$ 200 por mes </t>
  </si>
  <si>
    <t>Pago nov/dic/17 y ene/18</t>
  </si>
  <si>
    <t>$ 400 por mes</t>
  </si>
  <si>
    <t>Pago diciembre/17</t>
  </si>
  <si>
    <t>Pago oct/nov/dic/17</t>
  </si>
  <si>
    <t>$ 300 por mes</t>
  </si>
  <si>
    <t>Pago ene/feb/18</t>
  </si>
  <si>
    <t>Pago dic/17 y ene/18</t>
  </si>
  <si>
    <t xml:space="preserve">Pago nov/dic/17  </t>
  </si>
  <si>
    <t xml:space="preserve">C A N C E L A D O </t>
  </si>
  <si>
    <t>Paga octubre/17</t>
  </si>
  <si>
    <t>Paga ago/sep/oct/17</t>
  </si>
  <si>
    <t>Pago febrero/18</t>
  </si>
  <si>
    <t>Pago nov/dic/17</t>
  </si>
  <si>
    <t>Pago enero/18 1 tarjetòn</t>
  </si>
  <si>
    <t>Pago ago/sep/17</t>
  </si>
  <si>
    <t>Pago de julio a diciembre/17</t>
  </si>
  <si>
    <t>Pago ene/feb/mar/18</t>
  </si>
  <si>
    <t>$ 150 por mes</t>
  </si>
  <si>
    <t>$ 280 por mes</t>
  </si>
  <si>
    <t xml:space="preserve">$ 400 por mes </t>
  </si>
  <si>
    <t>y 1 T.E. # 25544</t>
  </si>
  <si>
    <t>Pago 1 tarjetòn</t>
  </si>
  <si>
    <t>Pago 1 llave</t>
  </si>
  <si>
    <t>Pago dic/17 y ene/feb/18</t>
  </si>
  <si>
    <t>$ 350 por mes</t>
  </si>
  <si>
    <t>y ene/18 $ 300 por mes</t>
  </si>
  <si>
    <t>$ 500 por mes</t>
  </si>
  <si>
    <t>Pago enero/18 $ 400 y</t>
  </si>
  <si>
    <t>1 llave</t>
  </si>
  <si>
    <t>y 1 T.E. # 25545</t>
  </si>
  <si>
    <t>Pago noviembre/17</t>
  </si>
  <si>
    <t>Pago dic/17 ene/feb/</t>
  </si>
  <si>
    <t xml:space="preserve">Pago 1 T.E. #25548 </t>
  </si>
  <si>
    <t>1 tarjetòn</t>
  </si>
  <si>
    <t>Pago T.E. #25543</t>
  </si>
  <si>
    <t>Pago 1 llave y 1 tarjetòn</t>
  </si>
  <si>
    <t>Pago nov/dic/17 y 1</t>
  </si>
  <si>
    <t>tarjetòn</t>
  </si>
  <si>
    <t>$ 100 por mes</t>
  </si>
  <si>
    <t>Pago ene/feb/17 y ene/18</t>
  </si>
  <si>
    <t>Pago anualidad</t>
  </si>
  <si>
    <t>Pago de 1 llave</t>
  </si>
  <si>
    <t>Pago enero/18 y 1 tarjetòn</t>
  </si>
  <si>
    <t>Se le condono 1 mes</t>
  </si>
  <si>
    <t>Error de impesiòn</t>
  </si>
  <si>
    <t>Pago abr/may/jun/jul/</t>
  </si>
  <si>
    <t>$ 200 por mes y ago/ $100</t>
  </si>
  <si>
    <t xml:space="preserve">Pago 1 T.E. #25553  y 1 </t>
  </si>
  <si>
    <t>Pago oct/nov/17</t>
  </si>
  <si>
    <t>$400 por mes</t>
  </si>
  <si>
    <t>$ 250 por mes</t>
  </si>
  <si>
    <t>Pago nov/dic/17 ene/18</t>
  </si>
  <si>
    <t>Pago 8 llave para puertas</t>
  </si>
  <si>
    <t>peatonales</t>
  </si>
  <si>
    <t>se le condono 1 mes</t>
  </si>
  <si>
    <t>Pagp 1 llave</t>
  </si>
  <si>
    <t>Pagp dic/17 y ene/18</t>
  </si>
  <si>
    <t>$ 400 `por mes</t>
  </si>
  <si>
    <t>Pago enero/febrero/18</t>
  </si>
  <si>
    <t>Pago de enero a junio/18</t>
  </si>
  <si>
    <t xml:space="preserve">Pago enero/18 </t>
  </si>
  <si>
    <t>transferencia bancaria</t>
  </si>
  <si>
    <t>se condono 1 mes</t>
  </si>
  <si>
    <t>Pago enero/18</t>
  </si>
  <si>
    <t>Pago nov y dic/17</t>
  </si>
  <si>
    <t>Pago 2 tarjetones</t>
  </si>
  <si>
    <t>Transferencia bancaria</t>
  </si>
  <si>
    <t>Pago 3 tarjetones</t>
  </si>
  <si>
    <t xml:space="preserve">Pago 1 llave, 1 T.E. y 1 </t>
  </si>
  <si>
    <t>Pago ago/sep/oct/17</t>
  </si>
  <si>
    <t>$ 400 por mes y 4 tarjeton</t>
  </si>
  <si>
    <t>Pago enero y febrero/18</t>
  </si>
  <si>
    <t>Pago de enero a mayo/18</t>
  </si>
  <si>
    <t>Pago dic/17 ene/18</t>
  </si>
  <si>
    <t>Pago dic/17 ene/feb/18</t>
  </si>
  <si>
    <t>Pagp ene/feb/18</t>
  </si>
  <si>
    <t xml:space="preserve">Pago 1 llave  </t>
  </si>
  <si>
    <t>Pago dic/18 ene/18</t>
  </si>
  <si>
    <t>$ 400 por mes y 1 tarjetón</t>
  </si>
  <si>
    <t>Pago 1 T.E. #25551 y 1</t>
  </si>
  <si>
    <t>porta tarjeta</t>
  </si>
  <si>
    <t>Pago T.E. # 25552</t>
  </si>
  <si>
    <t>Pago febrero y 1 llave</t>
  </si>
  <si>
    <t>Pago octubre/17</t>
  </si>
  <si>
    <t>Pago enero/18 y 1 tarjetón</t>
  </si>
  <si>
    <t>Pago feb/mar/18</t>
  </si>
  <si>
    <t>Pago T.E. # 25554</t>
  </si>
  <si>
    <t>Pago ago/sep/oct/nov/18</t>
  </si>
  <si>
    <t>$100 ago y 200 los demas</t>
  </si>
  <si>
    <t>Pago febrero y 2 tarjetone</t>
  </si>
  <si>
    <t>Pago de mayo a dic/17</t>
  </si>
  <si>
    <t>Pago 1 tarjetón</t>
  </si>
  <si>
    <t>Pago marzo/18</t>
  </si>
  <si>
    <t xml:space="preserve">Pago de ago a dic/17 </t>
  </si>
  <si>
    <t>ene/18 $ 400 por mes</t>
  </si>
  <si>
    <t xml:space="preserve">Pago enero/18  </t>
  </si>
  <si>
    <t>Pago tarjetòn y porta tarj</t>
  </si>
  <si>
    <t>Pago 1 T.E.</t>
  </si>
  <si>
    <t>Pago febrero/18 y 1 tarjet</t>
  </si>
  <si>
    <t>Pago nov/dic/17 y ene/</t>
  </si>
  <si>
    <t>feb/may/18 $ 200 por mes</t>
  </si>
  <si>
    <t xml:space="preserve">Pago nov/dic/17   </t>
  </si>
  <si>
    <t>Pago 1 T.E. # 25537</t>
  </si>
  <si>
    <t>Pago T.E. #25538</t>
  </si>
  <si>
    <t>Pago 2 tarjetones rojos</t>
  </si>
  <si>
    <t>Pago de 3 tarjetones</t>
  </si>
  <si>
    <t>Pago 1 T.E. # 25541</t>
  </si>
  <si>
    <t>Pago dic/17 y ene/feb/</t>
  </si>
  <si>
    <t>mar/abr/18 $ 400 por mes</t>
  </si>
  <si>
    <t xml:space="preserve">$ 400 por mes y 1 </t>
  </si>
  <si>
    <t>T.E. # 25542</t>
  </si>
  <si>
    <t>Pago mar/abr/18</t>
  </si>
  <si>
    <t>Se condono 1 mes</t>
  </si>
  <si>
    <t>Pago jun/jul/ago/sep/</t>
  </si>
  <si>
    <t>oct/17 $ 400 por mes</t>
  </si>
  <si>
    <t>Pagp jul/ago/sep/oct/</t>
  </si>
  <si>
    <t>nov/dic/17 $ 400 por mes</t>
  </si>
  <si>
    <t>feb/18 $ 200 por mes</t>
  </si>
  <si>
    <t>Pago ene/feb/18 $ 400</t>
  </si>
  <si>
    <t>por mes y 1 llave</t>
  </si>
  <si>
    <t>Pago de 2 T.E. # 25677 Y 78</t>
  </si>
  <si>
    <t>Pago anualidad 2017</t>
  </si>
  <si>
    <t>Pago de may/jun/jul/</t>
  </si>
  <si>
    <t>ago/17 $ 150 por mes</t>
  </si>
  <si>
    <t>Pago 2 porta tarjetas</t>
  </si>
  <si>
    <t>Pago marzo/ $ 350 y</t>
  </si>
  <si>
    <t>Pago de 4 tarjetones</t>
  </si>
  <si>
    <t>$ 50 por mes</t>
  </si>
  <si>
    <t>Pago de febrero/18</t>
  </si>
  <si>
    <t xml:space="preserve">Pago oct/nov/dic/17 y </t>
  </si>
  <si>
    <t>ene/feb/18 $ 200 por mes</t>
  </si>
  <si>
    <t>1 llave y 1 tarjetòn</t>
  </si>
  <si>
    <t>Pago marzo/18 y 1 T.E.</t>
  </si>
  <si>
    <t># 25536</t>
  </si>
  <si>
    <t xml:space="preserve">2 T.E. # 25555 Y 554 Y 2 </t>
  </si>
  <si>
    <t>tarjetones</t>
  </si>
  <si>
    <t>Pago mar/abr/may/18</t>
  </si>
  <si>
    <t>Pago 1 T.E.# 25679</t>
  </si>
  <si>
    <t>Pago nov/dic/17, 1 T.E.</t>
  </si>
  <si>
    <t># 25682 Y 1 tarjertòn</t>
  </si>
  <si>
    <t>T.E. # 25683 Y 1 tarjetòn</t>
  </si>
  <si>
    <t>y 2 tarjetones</t>
  </si>
  <si>
    <t>Pago de 1 llave y 1 tarjetòn</t>
  </si>
  <si>
    <t>Pago abril/18</t>
  </si>
  <si>
    <t>Pago feb/18</t>
  </si>
  <si>
    <t>Pago Febrero/18</t>
  </si>
  <si>
    <t>Pago feb/18 y 2 tarjetones</t>
  </si>
  <si>
    <t>Pago ene/feb/mar/abr/</t>
  </si>
  <si>
    <t>may/18 $ 300 por mes</t>
  </si>
  <si>
    <t>mar/abr/18 $ 300 por mes</t>
  </si>
  <si>
    <t>mar/18 $ 200 por mes</t>
  </si>
  <si>
    <t>Pago enero/18 y 2 tarjeton</t>
  </si>
  <si>
    <t>Pago feb/mar/abr/18</t>
  </si>
  <si>
    <t>Pago sep/oct/nov/dic/17</t>
  </si>
  <si>
    <t xml:space="preserve">ene/feb/mar/18 $ 300 </t>
  </si>
  <si>
    <t>por mes</t>
  </si>
  <si>
    <t>Pago febrero</t>
  </si>
  <si>
    <t>Pago enero/18 y 1 llave</t>
  </si>
  <si>
    <t>Pago ene/feb/mar/abr/18</t>
  </si>
  <si>
    <t xml:space="preserve">Pago enero/18   </t>
  </si>
  <si>
    <t>transferencia bancacia</t>
  </si>
  <si>
    <t>Pago ene/feb/mar/abr/may</t>
  </si>
  <si>
    <t>jun/18 $ 250 por mes</t>
  </si>
  <si>
    <t>Pago mar/abr/17</t>
  </si>
  <si>
    <t>Pago sep/oct/nov/17</t>
  </si>
  <si>
    <t>$ 400  por mes</t>
  </si>
  <si>
    <t>Pago tarjeta electrònica</t>
  </si>
  <si>
    <t>$</t>
  </si>
  <si>
    <t>Pago may/jun/17</t>
  </si>
  <si>
    <t>Pago jul/ago/sep/oct/nov</t>
  </si>
  <si>
    <t>dic/17 ene/feb/mar/abr/</t>
  </si>
  <si>
    <t>18 $ 400 por mes</t>
  </si>
  <si>
    <t>Pago abr/may/18</t>
  </si>
  <si>
    <t>tranferencia bancaria</t>
  </si>
  <si>
    <t>Pago dic/17 ene/feb/mar/</t>
  </si>
  <si>
    <t>18 $ 200 por mes</t>
  </si>
  <si>
    <t>Pago mar/abr/15</t>
  </si>
  <si>
    <t>Pago 2 tarjertas eléctronic</t>
  </si>
  <si>
    <t>Pago abr/mar/jun/jul/ago/</t>
  </si>
  <si>
    <t>sep/17 $ 400 por mes</t>
  </si>
  <si>
    <t>$ 300 por mes y 1 tarjetón</t>
  </si>
  <si>
    <t>abr/18 $ 400 por mes</t>
  </si>
  <si>
    <t>Pago mar/abr/mar/18</t>
  </si>
  <si>
    <t>T.B. en marzo/18</t>
  </si>
  <si>
    <t>Pago 4 tarjetones</t>
  </si>
  <si>
    <t>Pago oct/nov/dic/17 y</t>
  </si>
  <si>
    <t>ene/feb/mar/18</t>
  </si>
  <si>
    <t>Pago jun/jul/18</t>
  </si>
  <si>
    <t>Pago de enero a mayo/</t>
  </si>
  <si>
    <t>Pago abr/may/jun/18</t>
  </si>
  <si>
    <t>Paga mar/abr/18</t>
  </si>
  <si>
    <t>Pago anualida</t>
  </si>
  <si>
    <t>se le condonó 1 mes</t>
  </si>
  <si>
    <t>Pago de 2 T.E.</t>
  </si>
  <si>
    <t>Pago mayo/18</t>
  </si>
  <si>
    <t>Pago 2 llaves y 1 tarjetón</t>
  </si>
  <si>
    <t>Pago marz/abr/y a/c de</t>
  </si>
  <si>
    <t>mayo/18 $ 400 por mes</t>
  </si>
  <si>
    <t>y $ 200 mayo</t>
  </si>
  <si>
    <t>Pago marz/abr/418</t>
  </si>
  <si>
    <t>Pago abril y 2 tarjetones</t>
  </si>
  <si>
    <t>Pago de 1 tarjetón</t>
  </si>
  <si>
    <t>y 1 tarjetón</t>
  </si>
  <si>
    <t>may/jun/18</t>
  </si>
  <si>
    <t>Pago anualidad 18</t>
  </si>
  <si>
    <t xml:space="preserve">Pago 2 T.E. </t>
  </si>
  <si>
    <t>Pago oct/nov/dic/18 y</t>
  </si>
  <si>
    <t>ene/18 $ 250 por mes</t>
  </si>
  <si>
    <t>y 2 T.E.</t>
  </si>
  <si>
    <t>may/18 $ 200 por mes</t>
  </si>
  <si>
    <t>Pago abril/18 y 1 T.E.</t>
  </si>
  <si>
    <t>Pago may/jun/18</t>
  </si>
  <si>
    <t>Pago dic/17 liq $ 100</t>
  </si>
  <si>
    <t>ene/feb/mar/ abr/18</t>
  </si>
  <si>
    <t>$ 400 por mes y a/c</t>
  </si>
  <si>
    <t>$ 200 a mayo/18</t>
  </si>
  <si>
    <t>$ 250 por mes y 1 tarjetón</t>
  </si>
  <si>
    <t xml:space="preserve">Pago may/18, 1 llave y </t>
  </si>
  <si>
    <t>1 tarjetón</t>
  </si>
  <si>
    <t>Tranferencia Bancaria</t>
  </si>
  <si>
    <t>Pago 1 T.E. # 706</t>
  </si>
  <si>
    <t>Pago mayo/18 y T.E.#3580</t>
  </si>
  <si>
    <t>Pago 1 T.E. # 711</t>
  </si>
  <si>
    <t>Pago abril/may/18</t>
  </si>
  <si>
    <t>Pago 1 T.E. #712</t>
  </si>
  <si>
    <t>Pago T.E. # 710</t>
  </si>
  <si>
    <t>Pago junio y 1 llave</t>
  </si>
  <si>
    <t>Pago feb/mar/abr/18 y 1</t>
  </si>
  <si>
    <t>corbatín $ 300 por mes</t>
  </si>
  <si>
    <t>Pago may/17 y /abr/18</t>
  </si>
  <si>
    <t xml:space="preserve">Pago 1 T.E. </t>
  </si>
  <si>
    <t>Pago junio/18</t>
  </si>
  <si>
    <t>Pago de feb/mar/18</t>
  </si>
  <si>
    <t>Pago 1 corbatín</t>
  </si>
  <si>
    <t>Pago mayo/18 1 corbatín</t>
  </si>
  <si>
    <t>Pago may/jun/jul/ago/18</t>
  </si>
  <si>
    <t>Pago oct/nov/dic/17 y ene/</t>
  </si>
  <si>
    <t>feb/18 $ 300 por mes</t>
  </si>
  <si>
    <t>Pago 2 llaves</t>
  </si>
  <si>
    <t>Pago may/18 y 1 llave</t>
  </si>
  <si>
    <t>Pago T.E. #4799718</t>
  </si>
  <si>
    <t>Pago tarejton</t>
  </si>
  <si>
    <t>Pago jul/ago/sep/oct/nov/dic/</t>
  </si>
  <si>
    <t>Pago mayo/18 y 1 llave</t>
  </si>
  <si>
    <t>Pago T.E. # 25351</t>
  </si>
  <si>
    <t>T.E. # 99719</t>
  </si>
  <si>
    <t>Pago ene/feb/marz/18 (1)</t>
  </si>
  <si>
    <t>Pago ene/feb/marz/18 (2)</t>
  </si>
  <si>
    <t>Pago ene/feb/marz/18 (3)</t>
  </si>
  <si>
    <t>pago de 150 por mes</t>
  </si>
  <si>
    <t>Pago may/18 $ 400 y 1 llave</t>
  </si>
  <si>
    <t>Pago abr/oct/17 y feb/mar/</t>
  </si>
  <si>
    <t>abr/may/jun/18</t>
  </si>
  <si>
    <t>$ 4800 $ 400 por mes</t>
  </si>
  <si>
    <t>Pago mar/abr/may/jun/18</t>
  </si>
  <si>
    <t>Pago 1 T.E. #15592 720</t>
  </si>
  <si>
    <t xml:space="preserve">Pago 1 T.e.#99721 y </t>
  </si>
  <si>
    <t>Pago junio $ 125 y 1 T.E.</t>
  </si>
  <si>
    <t># 99722</t>
  </si>
  <si>
    <t># 400 por mes</t>
  </si>
  <si>
    <t xml:space="preserve">Pago junio $ 400 y 1 </t>
  </si>
  <si>
    <t>tarjetón</t>
  </si>
  <si>
    <t xml:space="preserve">Pago may/18 $ 400 y 1 </t>
  </si>
  <si>
    <t>Pago may/18 y 1 T.E.#723</t>
  </si>
  <si>
    <t>Pago feb/mar/abr/may/18</t>
  </si>
  <si>
    <t>jun/18 $ 400 por mes</t>
  </si>
  <si>
    <t>Pago feb/mar/abr/may/</t>
  </si>
  <si>
    <t>Pago may/jun/jul/18</t>
  </si>
  <si>
    <t>Pago 1 T.E. # 1422</t>
  </si>
  <si>
    <t>Pago julio/18</t>
  </si>
  <si>
    <t>Pago 2 T.E. # 5596 Y 5597</t>
  </si>
  <si>
    <t>cheque # 15 bancomer</t>
  </si>
  <si>
    <t>Pago de enero a julio/18</t>
  </si>
  <si>
    <t>$ 400 por mes y 1 T.E.#5598</t>
  </si>
  <si>
    <t>feb/mar/18 $ 400 x mes</t>
  </si>
  <si>
    <t>Pago mar/abr/mar/jun/18</t>
  </si>
  <si>
    <t>Pagp 2 tarjetones y 1|</t>
  </si>
  <si>
    <t>llave # 727</t>
  </si>
  <si>
    <t>Pago 2 tarjetas eletrónica</t>
  </si>
  <si>
    <t># 1087 y 1088</t>
  </si>
  <si>
    <t>$ 300 por mes y 2 tarjetas</t>
  </si>
  <si>
    <t>electrónica # 1089 y 1090</t>
  </si>
  <si>
    <t>Pago ene/feb /18</t>
  </si>
  <si>
    <t>Pago jun/jul/ago/18</t>
  </si>
  <si>
    <t>may/jun/18 $ 400 por mes</t>
  </si>
  <si>
    <t>Pago julio y 1 llave</t>
  </si>
  <si>
    <t>Pago feb y jun/18</t>
  </si>
  <si>
    <t>Pago may/jun/18 y 1 tarje</t>
  </si>
  <si>
    <t>Pago jul/ago/18</t>
  </si>
  <si>
    <t xml:space="preserve">Pago may/jun/18   </t>
  </si>
  <si>
    <t>Pago abr/may/jun/jul/18</t>
  </si>
  <si>
    <t>Tranferencia bancaria</t>
  </si>
  <si>
    <t xml:space="preserve">pago julio/18 </t>
  </si>
  <si>
    <t>Pago abr/may/18 $ 400</t>
  </si>
  <si>
    <t>Pago agosto/18</t>
  </si>
  <si>
    <t>Pago junio/18 y 1 T.E.#1095</t>
  </si>
  <si>
    <t>Pago jul/ago/sep/18</t>
  </si>
  <si>
    <t>Pago T.E. # 1096</t>
  </si>
  <si>
    <t>$ 300 por mes T.E.# 1097</t>
  </si>
  <si>
    <t xml:space="preserve">Pago dic/17 y de enero a </t>
  </si>
  <si>
    <t>septiembre/18 $ 100 x mes</t>
  </si>
  <si>
    <t>Pago junio/18 y 1 llave</t>
  </si>
  <si>
    <t>Pago T.E.#1098</t>
  </si>
  <si>
    <t>Pago julio/18 y T.E.#1099</t>
  </si>
  <si>
    <t>Pago abr/may/jun/jul/ago</t>
  </si>
  <si>
    <t>Pago tarjetón</t>
  </si>
  <si>
    <t>Pago ago/sep/oct/18</t>
  </si>
  <si>
    <t>Pago jun/jul/agp/18</t>
  </si>
  <si>
    <t>Pago 1 llave y T.E.#1100</t>
  </si>
  <si>
    <t>Pago ago/sep/18</t>
  </si>
  <si>
    <t>Pago nov/dic/17 y jul/18</t>
  </si>
  <si>
    <t>Pago septiembre/18</t>
  </si>
  <si>
    <t>Pago jul}</t>
  </si>
  <si>
    <t>ago/18 $ 200 por mes</t>
  </si>
  <si>
    <t>ago/18 $100 por mes</t>
  </si>
  <si>
    <t>$ 200 por mes 1 T.E.#1101</t>
  </si>
  <si>
    <t>Pago jun/jul/ago/sep/18</t>
  </si>
  <si>
    <t>Pago octubre/18</t>
  </si>
  <si>
    <t>Pago may/jul/ago/ago/18</t>
  </si>
  <si>
    <t>dic/18 $ 250 por mes</t>
  </si>
  <si>
    <t>Pago may/jul/ago/ago/</t>
  </si>
  <si>
    <t>sep/18 $ 300 por mes</t>
  </si>
  <si>
    <t>Pago agosto y 1 llave</t>
  </si>
  <si>
    <t>Pago 1 T.E.#1112 y 1 tarjetó</t>
  </si>
  <si>
    <t>C A N C E L A D O</t>
  </si>
  <si>
    <t>Pago jun/jul/ago/sep/oct</t>
  </si>
  <si>
    <t>Pago de julio a dic/17 y</t>
  </si>
  <si>
    <t>de enero a dic/18</t>
  </si>
  <si>
    <t>abr/may/jun/jul/ago/18</t>
  </si>
  <si>
    <t>Pago T.E. #1102</t>
  </si>
  <si>
    <t>Pago de enero a ago/18</t>
  </si>
  <si>
    <t>$ 400 por es</t>
  </si>
  <si>
    <t>Pago de 2 T.E. #1103 Y 1104</t>
  </si>
  <si>
    <t>Pago julio/18 y 1 tarjetón</t>
  </si>
  <si>
    <t>Pago agosto/18 y 1 T.E.</t>
  </si>
  <si>
    <t># 1106</t>
  </si>
  <si>
    <t>Pago jul/ago/18 $ 400 por</t>
  </si>
  <si>
    <t>mes y 1 T.E. #1107</t>
  </si>
  <si>
    <t>Pago T.E.#1108</t>
  </si>
  <si>
    <t>ago/18 $ 400 por mes</t>
  </si>
  <si>
    <t xml:space="preserve">Pago jul/ago/18  </t>
  </si>
  <si>
    <t>Pago T.E.#1111</t>
  </si>
  <si>
    <t>$ 200 por mes y 2 llaves</t>
  </si>
  <si>
    <t xml:space="preserve">$ 200 por mes   </t>
  </si>
  <si>
    <t>Pago abr/may/jun/</t>
  </si>
  <si>
    <t>Pago feb/may/abr/18</t>
  </si>
  <si>
    <t>$ 400 por mes y T.E.#1112</t>
  </si>
  <si>
    <t>Trenferencia bancaria</t>
  </si>
  <si>
    <t>Pago T.E.#1109 Y 1 tarjetón</t>
  </si>
  <si>
    <t>Pago de ene/feb/mar/abr/</t>
  </si>
  <si>
    <t>$150 por mes</t>
  </si>
  <si>
    <t>Pago sep/oct/nov/dic/18</t>
  </si>
  <si>
    <t>Pago jum/jul/ago/18</t>
  </si>
  <si>
    <t>Pago sep/oct/18</t>
  </si>
  <si>
    <t>Pago T.E.#1113 y tarjetón</t>
  </si>
  <si>
    <t>Pago T.E. #1115</t>
  </si>
  <si>
    <t>Pago julio/18 y 1 tarjtón</t>
  </si>
  <si>
    <t>Pago T.E.#1116</t>
  </si>
  <si>
    <t>Pago abr/may/jun/jul/ago/</t>
  </si>
  <si>
    <t xml:space="preserve">Pago julio/18   </t>
  </si>
  <si>
    <t>Pago sep/obt/nov/18</t>
  </si>
  <si>
    <t>Pao jul/ago/sep/18</t>
  </si>
  <si>
    <t>Pago sep/18 $ 400 1 T.E.</t>
  </si>
  <si>
    <t># 1117 Y 2 tarjetones</t>
  </si>
  <si>
    <t>Pago ago/sep/148</t>
  </si>
  <si>
    <t>mes y $ 200 a/c sep/18</t>
  </si>
  <si>
    <t>Pago mar/abr/may/jun/</t>
  </si>
  <si>
    <t>jul/ago/sep/18</t>
  </si>
  <si>
    <t>Pago 1 T.E.#39 Y 1 tarjetón</t>
  </si>
  <si>
    <t>Pago oct/nov/dic/18</t>
  </si>
  <si>
    <t>$ 300 por mes y 1 T.E.#1119</t>
  </si>
  <si>
    <t>sep/18 $ 200 por mes</t>
  </si>
  <si>
    <t xml:space="preserve">$ 300 por mes   </t>
  </si>
  <si>
    <t>Pago jun/jul/ago/sep/oct/</t>
  </si>
  <si>
    <t>Pao junio/18</t>
  </si>
  <si>
    <t>Pago oct/18 y 1 llave</t>
  </si>
  <si>
    <t>Pago de Julio a Diciembre</t>
  </si>
  <si>
    <t>Pao Agosto/18</t>
  </si>
  <si>
    <t>Pago 1 T.E.#1120</t>
  </si>
  <si>
    <t>$ 300 por mes y 2 T.E.</t>
  </si>
  <si>
    <t># 1121 Y 1122</t>
  </si>
  <si>
    <t>Pago septiembre  1 tarjetó</t>
  </si>
  <si>
    <t xml:space="preserve">Pago 1 T.E.#1123 1 1 </t>
  </si>
  <si>
    <t>Pago oct/nov/18</t>
  </si>
  <si>
    <t>Pao 1 tarjetón</t>
  </si>
  <si>
    <t>Pao sep/oct/18</t>
  </si>
  <si>
    <t>Pago 1 T.E.#1124 y</t>
  </si>
  <si>
    <t>1 tarjetón.</t>
  </si>
  <si>
    <t>Pago sep/oct/nov/18</t>
  </si>
  <si>
    <t>Pago may/jun/jul/ago/</t>
  </si>
  <si>
    <t>sep/18 $ 400 por mes</t>
  </si>
  <si>
    <t xml:space="preserve">Pago jul/ago/18 </t>
  </si>
  <si>
    <t>Pago 1 T.E. # 1125</t>
  </si>
  <si>
    <t>Pago 2 T.E. # 1126 Y 1127</t>
  </si>
  <si>
    <t>Pago 1 T.E. # 1128</t>
  </si>
  <si>
    <t>Pago oct/nov/dicc/18</t>
  </si>
  <si>
    <t>Pago 1T.E.# 1129</t>
  </si>
  <si>
    <t>Pago may/oct/18</t>
  </si>
  <si>
    <t>Pago 1 T.E.#1130</t>
  </si>
  <si>
    <t>Pago jul/ago/sep/oct/18</t>
  </si>
  <si>
    <t>Pago de 2 camaras por</t>
  </si>
  <si>
    <t>accidente de autómovil</t>
  </si>
  <si>
    <t>sep/oct/nov/dic/18</t>
  </si>
  <si>
    <t>Pago octubre y 1 tarjetón</t>
  </si>
  <si>
    <t>Pago 1 T.E. # 1131</t>
  </si>
  <si>
    <t>Pago noviembre</t>
  </si>
  <si>
    <t xml:space="preserve">Pago oct/nov/dic/18 </t>
  </si>
  <si>
    <t>may/18 $ 400 por mes</t>
  </si>
  <si>
    <t>Pago julio//18</t>
  </si>
  <si>
    <t>dic/18 $ 400 por mes</t>
  </si>
  <si>
    <t>Pago ene y oct/18</t>
  </si>
  <si>
    <t>$ 400 por mes y 2 T.E.</t>
  </si>
  <si>
    <t># 1132 Y 1133</t>
  </si>
  <si>
    <t xml:space="preserve">Pago de 1 tarjetón y </t>
  </si>
  <si>
    <t>3 Stikers</t>
  </si>
  <si>
    <t>Pago de 3 stikers</t>
  </si>
  <si>
    <t>Pago jun/jul/ago/sep/oct/nov</t>
  </si>
  <si>
    <t>dic/18 $ 200 por mes</t>
  </si>
  <si>
    <t>Pago noviembre/18</t>
  </si>
  <si>
    <t>Pago agosto/18 y 1 tarjetón</t>
  </si>
  <si>
    <t>Pago de 4 Stikers</t>
  </si>
  <si>
    <t>Pago 1 Stikers</t>
  </si>
  <si>
    <t>cheque #919 HSBC</t>
  </si>
  <si>
    <t>Pago de 2 stickers</t>
  </si>
  <si>
    <t>Pago oct/18 y 1 tarjetón</t>
  </si>
  <si>
    <t>Pago de 1 stickers</t>
  </si>
  <si>
    <t>$ 300 por mes y 3 Stickes</t>
  </si>
  <si>
    <t>Pago septiembre</t>
  </si>
  <si>
    <t>$ 400 por mes y 2 tarjeton</t>
  </si>
  <si>
    <t xml:space="preserve">$ 400 por mes   </t>
  </si>
  <si>
    <t>Pago 2 Stikeres</t>
  </si>
  <si>
    <t>$ 300 por mes y a/c</t>
  </si>
  <si>
    <t>$ 100 de abril/18</t>
  </si>
  <si>
    <t>Pago liq. $ 200 may y</t>
  </si>
  <si>
    <t>$ 400 de cada mes de jun a</t>
  </si>
  <si>
    <t>Pago de ago/sep/oct/nov/18</t>
  </si>
  <si>
    <t>Pago de oct/nov/dic/18</t>
  </si>
  <si>
    <t>Pago de nov/dic/18</t>
  </si>
  <si>
    <t>Pago ago/sep/oct/nov/dic/18</t>
  </si>
  <si>
    <t>Pago de 2 stiker</t>
  </si>
  <si>
    <t>Pago de oct/nov/18</t>
  </si>
  <si>
    <t>Pago de octubre/18</t>
  </si>
  <si>
    <t xml:space="preserve">Pago de oct/18, 1 tarjetón y </t>
  </si>
  <si>
    <t>1 stiker</t>
  </si>
  <si>
    <t>Pago octubre/18 y 1 stiker</t>
  </si>
  <si>
    <t>Pago de jun a dic/18</t>
  </si>
  <si>
    <t>Pago de ago/sep/oct/18</t>
  </si>
  <si>
    <t>$ 200 por mes 1 y stiker</t>
  </si>
  <si>
    <t>Pago de 3 stiker</t>
  </si>
  <si>
    <t>Pago de sep/oct/18</t>
  </si>
  <si>
    <t>y 3 stiker</t>
  </si>
  <si>
    <t>Pago de noviembre y 1 stiker</t>
  </si>
  <si>
    <t>Pago de noviembre y 5 stiker</t>
  </si>
  <si>
    <t>$ 250 por mes y 1 stiker</t>
  </si>
  <si>
    <t>Pago de sep/oct/nov/18</t>
  </si>
  <si>
    <t>Pago de jun/jul/18</t>
  </si>
  <si>
    <t>Pago de 2 llaves, 1 T.E. #1134</t>
  </si>
  <si>
    <t>y 1 stiker</t>
  </si>
  <si>
    <t>Pago de diciembre/18</t>
  </si>
  <si>
    <t>Pago de 1 stiker</t>
  </si>
  <si>
    <t>Pago de 5 stiker</t>
  </si>
  <si>
    <t>y 2 stiker</t>
  </si>
  <si>
    <t>Pago de noviembre/18</t>
  </si>
  <si>
    <t>y 4 stiker</t>
  </si>
  <si>
    <t>$ 400 por mes y 3 stiker</t>
  </si>
  <si>
    <t>Pago de 6 stiker</t>
  </si>
  <si>
    <t>Pago de ago/sep/oct/nov/dic</t>
  </si>
  <si>
    <t>$ 400 por mes y 1 stiker</t>
  </si>
  <si>
    <t>Pago de noviembre y 2 stiker</t>
  </si>
  <si>
    <t>Pago de octubre/18 1 tarjetón</t>
  </si>
  <si>
    <t>$ 300 por mes y 3 stiker</t>
  </si>
  <si>
    <t>Pago de 1 tarjetón y 1 stiker</t>
  </si>
  <si>
    <t>Pago noviembre y 2 stiker</t>
  </si>
  <si>
    <t xml:space="preserve">Pago sep/oct/18 $ 300 por </t>
  </si>
  <si>
    <t>mes</t>
  </si>
  <si>
    <t>Pago de 8 stiker</t>
  </si>
  <si>
    <t>Pago ocubre/18 y 4 stiker</t>
  </si>
  <si>
    <t>$ 300 por mes Transferen</t>
  </si>
  <si>
    <t>Pago ago/sep/oct/nov/dic</t>
  </si>
  <si>
    <t>2018 $300 por mes</t>
  </si>
  <si>
    <t>Pago 2 stiker</t>
  </si>
  <si>
    <t>$ 400 por mes y 2 stiker</t>
  </si>
  <si>
    <t>Pago de julio a diciembre</t>
  </si>
  <si>
    <t>2018 $ 400 por mes</t>
  </si>
  <si>
    <t>Pago de 2 tarjetones</t>
  </si>
  <si>
    <t>Pago de nov/dic/17</t>
  </si>
  <si>
    <t>$ 450 por mes y sep/oct/</t>
  </si>
  <si>
    <t>2018 $ 450 por mes</t>
  </si>
  <si>
    <t>Pago nov/dic/18 y ene/19</t>
  </si>
  <si>
    <t>$ 300 por mes y $ 250 C.P.</t>
  </si>
  <si>
    <t>Pago T.E.#1138</t>
  </si>
  <si>
    <t>Pago nov/18 y 2 tarjetones</t>
  </si>
  <si>
    <t>Pago de 1 tarjeton</t>
  </si>
  <si>
    <t>Pago T.E.#1137</t>
  </si>
  <si>
    <t>y tarjetón</t>
  </si>
  <si>
    <t>Pago diciembre/18</t>
  </si>
  <si>
    <t>Pago oct/18 T.E. #1135</t>
  </si>
  <si>
    <t>Pago oct/noc/18</t>
  </si>
  <si>
    <t>Pago dic/18 y ene/19</t>
  </si>
  <si>
    <t>Pago sep/dic/18</t>
  </si>
  <si>
    <t>Pago C.plumas</t>
  </si>
  <si>
    <t xml:space="preserve">Pago nov/dic/18  </t>
  </si>
  <si>
    <t>Pgo nov/18 y 1 stiker</t>
  </si>
  <si>
    <t>Pago C. plumas y 2 stiker</t>
  </si>
  <si>
    <t xml:space="preserve">Pago C. plumas  </t>
  </si>
  <si>
    <t>Pago C. plumas</t>
  </si>
  <si>
    <t>Pago C. Plumas</t>
  </si>
  <si>
    <t>Pago sept/ $ 200 y a/c oct</t>
  </si>
  <si>
    <t>Pago anualidad 2019</t>
  </si>
  <si>
    <t>Pago nov/dic/18</t>
  </si>
  <si>
    <t>nov/18 $ 300 por mes</t>
  </si>
  <si>
    <t>Pago 6 stiker</t>
  </si>
  <si>
    <t>Pago nov/18 y 1 tarjetón</t>
  </si>
  <si>
    <t>Pago T.E.· 1139</t>
  </si>
  <si>
    <t>Pago nov/18 y C.P.</t>
  </si>
  <si>
    <t>$ 400 por mes y C.P.</t>
  </si>
  <si>
    <t>Pago nov/dic/18 $ 400 por</t>
  </si>
  <si>
    <t>mes y C.P.</t>
  </si>
  <si>
    <t>Pago octubre/18 y C.P.</t>
  </si>
  <si>
    <t>Pago P.C.</t>
  </si>
  <si>
    <t>$ 300 y C.P.</t>
  </si>
  <si>
    <t xml:space="preserve">Pago oct/nov/18 </t>
  </si>
  <si>
    <t>$ 300 por mes y P.C.</t>
  </si>
  <si>
    <t>Pago ago/sep/oct/nov/</t>
  </si>
  <si>
    <t>Pago C.P.</t>
  </si>
  <si>
    <t>y P.C.</t>
  </si>
  <si>
    <t>Pago tarjetòn</t>
  </si>
  <si>
    <t xml:space="preserve">$ 300 por mes  </t>
  </si>
  <si>
    <t>Pago de 1 llave y P.C.</t>
  </si>
  <si>
    <t>Pago liq. Sep $200, oct</t>
  </si>
  <si>
    <t>$ 100 nov $100 y dic $400</t>
  </si>
  <si>
    <t>$250 C.P.</t>
  </si>
  <si>
    <t>Pago nov./18 y a/c  C.P.</t>
  </si>
  <si>
    <t>Pago nov/dic/18 y ene/</t>
  </si>
  <si>
    <t>feb/19 $ 400 por mes</t>
  </si>
  <si>
    <t>Pago dic/18 $ 300 y P.C.</t>
  </si>
  <si>
    <t>mes y $ 250 C.P.</t>
  </si>
  <si>
    <t>Pago dic/18 $ 400 y $ 250</t>
  </si>
  <si>
    <t>C.P.</t>
  </si>
  <si>
    <t>Pago de anulidad 2019</t>
  </si>
  <si>
    <t>se le condona 1 mes ,</t>
  </si>
  <si>
    <t>y pago de 1 stike</t>
  </si>
  <si>
    <t>Pago nov/18 $ 300 y $ 250</t>
  </si>
  <si>
    <t>Pago 1 stiker</t>
  </si>
  <si>
    <t>C.P. y 1 stiker</t>
  </si>
  <si>
    <t>mes , 1 llave y $ 250 P.C.</t>
  </si>
  <si>
    <t>Pago a/c $ 100 por C.P.</t>
  </si>
  <si>
    <t>Pago P.C. y 3 stiker</t>
  </si>
  <si>
    <t>$ 200 por mes y $ 250 P.C.</t>
  </si>
  <si>
    <t>Pago dic/18 y $ 250 C.P.</t>
  </si>
  <si>
    <t>Pago dic/18 $ 400 a/c$ 250</t>
  </si>
  <si>
    <t>$ 250 C.P.</t>
  </si>
  <si>
    <t>Pago Noviembre/18</t>
  </si>
  <si>
    <t>Pago nov/18 $ 300 y C.P.</t>
  </si>
  <si>
    <t>Pago jun y nov/18</t>
  </si>
  <si>
    <t>Pago nov/18 $ 400 y C.P.</t>
  </si>
  <si>
    <t>Pago cuota plumas</t>
  </si>
  <si>
    <t>se le condonó 1 mes.</t>
  </si>
  <si>
    <t>Pago dic/18 $ 400 Y C.P.</t>
  </si>
  <si>
    <t>Pago nov/dic/ y ene/feb/</t>
  </si>
  <si>
    <t>mar/abr/19 $ 300 por mes</t>
  </si>
  <si>
    <t>$ 250 por mes Y C.P.</t>
  </si>
  <si>
    <t>Tranferencia Banaria</t>
  </si>
  <si>
    <t>Pago dic/18 $ 350 y C.P.</t>
  </si>
  <si>
    <t>Pago dic/18 $ 300 y C.P.</t>
  </si>
  <si>
    <t>Pago dic/18 $ 400 y a/c C.P.</t>
  </si>
  <si>
    <t>y pago C.P.</t>
  </si>
  <si>
    <t>Pago ene/19</t>
  </si>
  <si>
    <t>Pago nov/dic/18 $ 300 por</t>
  </si>
  <si>
    <t>mes, 1 stiker, 1 llave y 1</t>
  </si>
  <si>
    <t xml:space="preserve">Pago oct/18 $ 300 y </t>
  </si>
  <si>
    <t>T.E. #1142</t>
  </si>
  <si>
    <t>Pago dic/18 $ 500 y C.P.</t>
  </si>
  <si>
    <t>Pago dic/18 $ 300 y 1 stiker</t>
  </si>
  <si>
    <t>Pago 5 stiker y C.P.</t>
  </si>
  <si>
    <t>Pago dic/18 $ 200 y C.P.</t>
  </si>
  <si>
    <t xml:space="preserve">Pago nov/dic/18 $ 350 </t>
  </si>
  <si>
    <t>por mes y C.P.</t>
  </si>
  <si>
    <t>Pago T.E.# 1193 63</t>
  </si>
  <si>
    <t>Pago T.E. # 1144 64</t>
  </si>
  <si>
    <t>Paga nov/18 T.B.</t>
  </si>
  <si>
    <t>Pago 2 llaves, 1 tarjetón</t>
  </si>
  <si>
    <t>1 T.E.#1145 65 y C.P.</t>
  </si>
  <si>
    <t>Pago 2 stikers</t>
  </si>
  <si>
    <t>Pago dic/18 y 1 tarjetón</t>
  </si>
  <si>
    <t xml:space="preserve">Pago nov/dic/18 </t>
  </si>
  <si>
    <t>Pago nov/di/18 $ 400 por</t>
  </si>
  <si>
    <t>Pago 1 tarjetón, 1 T.E. #</t>
  </si>
  <si>
    <t>1146 66 Y 2 stikers</t>
  </si>
  <si>
    <t>Pago 4 stiker</t>
  </si>
  <si>
    <t>Pago dic/18 $ 400 y C.P.</t>
  </si>
  <si>
    <t>Pago oct/18 $ 200 y C.P.</t>
  </si>
  <si>
    <t>$ 200 por mes y C.P.</t>
  </si>
  <si>
    <t>$ 400 por mes, 1 llave y</t>
  </si>
  <si>
    <t>$ 400 por mes, 2 stikers y</t>
  </si>
  <si>
    <t xml:space="preserve">Pago nov/18 $ 300 y </t>
  </si>
  <si>
    <t>T.E. # 1147</t>
  </si>
  <si>
    <t>mes y a/c sep $ 100</t>
  </si>
  <si>
    <t xml:space="preserve">Pago anualidad 2019 </t>
  </si>
  <si>
    <t>se le condó 1 mes</t>
  </si>
  <si>
    <t>y pago de C.P.</t>
  </si>
  <si>
    <t>Pago diciembre/18 y C.P.</t>
  </si>
  <si>
    <t>Pago enero/19</t>
  </si>
  <si>
    <t>Pago ene/feb/19</t>
  </si>
  <si>
    <t>Pago ene/19 2 tarjetones</t>
  </si>
  <si>
    <t>2 T.E. #1148 Y 1149</t>
  </si>
  <si>
    <t>$ 400 y C.P.</t>
  </si>
  <si>
    <t>Pago diciembre/18 y 1 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</si>
</sst>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.00_ ;\-#,##0.0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5">
    <xf numFmtId="0" fontId="0" fillId="0" borderId="0" xfId="0"/>
    <xf numFmtId="164" fontId="4" fillId="2" borderId="0" xfId="1" applyNumberFormat="1" applyFont="1" applyFill="1" applyAlignment="1">
      <alignment vertical="center"/>
    </xf>
    <xf numFmtId="164" fontId="0" fillId="0" borderId="0" xfId="0" applyNumberFormat="1"/>
    <xf numFmtId="164" fontId="6" fillId="0" borderId="0" xfId="0" applyNumberFormat="1" applyFont="1" applyAlignment="1">
      <alignment horizontal="right"/>
    </xf>
    <xf numFmtId="0" fontId="0" fillId="0" borderId="4" xfId="0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4" fillId="2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16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5" borderId="0" xfId="0" applyFont="1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49" fontId="0" fillId="5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0" fontId="0" fillId="0" borderId="0" xfId="0" applyFill="1" applyAlignment="1">
      <alignment horizontal="center"/>
    </xf>
    <xf numFmtId="0" fontId="2" fillId="0" borderId="0" xfId="0" applyFont="1"/>
    <xf numFmtId="0" fontId="0" fillId="6" borderId="5" xfId="0" applyFill="1" applyBorder="1" applyAlignment="1">
      <alignment horizontal="center"/>
    </xf>
    <xf numFmtId="164" fontId="7" fillId="8" borderId="0" xfId="0" applyNumberFormat="1" applyFont="1" applyFill="1" applyAlignment="1">
      <alignment vertical="center"/>
    </xf>
    <xf numFmtId="164" fontId="3" fillId="8" borderId="0" xfId="0" applyNumberFormat="1" applyFont="1" applyFill="1" applyAlignment="1">
      <alignment vertical="center"/>
    </xf>
    <xf numFmtId="17" fontId="0" fillId="6" borderId="0" xfId="0" applyNumberFormat="1" applyFill="1"/>
    <xf numFmtId="0" fontId="0" fillId="0" borderId="6" xfId="0" applyBorder="1"/>
    <xf numFmtId="0" fontId="8" fillId="5" borderId="0" xfId="0" applyFont="1" applyFill="1"/>
    <xf numFmtId="39" fontId="7" fillId="8" borderId="0" xfId="0" applyNumberFormat="1" applyFont="1" applyFill="1" applyAlignment="1">
      <alignment vertical="center"/>
    </xf>
    <xf numFmtId="15" fontId="9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5" fontId="9" fillId="5" borderId="1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0" fillId="7" borderId="0" xfId="0" applyNumberForma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0" xfId="0" applyFont="1" applyFill="1"/>
    <xf numFmtId="49" fontId="5" fillId="9" borderId="0" xfId="0" applyNumberFormat="1" applyFon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5" fillId="9" borderId="0" xfId="0" applyFont="1" applyFill="1" applyBorder="1"/>
    <xf numFmtId="17" fontId="0" fillId="9" borderId="0" xfId="0" applyNumberFormat="1" applyFill="1"/>
    <xf numFmtId="0" fontId="0" fillId="0" borderId="0" xfId="0" applyFill="1"/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5" fontId="2" fillId="10" borderId="1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4" fontId="0" fillId="0" borderId="0" xfId="0" applyNumberFormat="1" applyFill="1" applyAlignment="1">
      <alignment horizontal="center"/>
    </xf>
    <xf numFmtId="4" fontId="0" fillId="4" borderId="0" xfId="0" applyNumberFormat="1" applyFill="1"/>
    <xf numFmtId="6" fontId="0" fillId="10" borderId="0" xfId="0" applyNumberFormat="1" applyFill="1"/>
    <xf numFmtId="0" fontId="0" fillId="5" borderId="0" xfId="0" applyFill="1" applyAlignment="1">
      <alignment horizontal="left"/>
    </xf>
    <xf numFmtId="4" fontId="0" fillId="5" borderId="0" xfId="0" applyNumberFormat="1" applyFill="1"/>
    <xf numFmtId="4" fontId="0" fillId="10" borderId="0" xfId="0" applyNumberFormat="1" applyFill="1"/>
    <xf numFmtId="4" fontId="0" fillId="9" borderId="0" xfId="0" applyNumberFormat="1" applyFill="1"/>
    <xf numFmtId="4" fontId="0" fillId="6" borderId="0" xfId="0" applyNumberFormat="1" applyFill="1"/>
    <xf numFmtId="4" fontId="0" fillId="0" borderId="0" xfId="0" applyNumberFormat="1" applyFill="1"/>
    <xf numFmtId="0" fontId="0" fillId="6" borderId="0" xfId="0" applyFill="1" applyAlignment="1">
      <alignment horizontal="center"/>
    </xf>
    <xf numFmtId="2" fontId="0" fillId="5" borderId="0" xfId="0" applyNumberFormat="1" applyFill="1"/>
    <xf numFmtId="4" fontId="0" fillId="3" borderId="0" xfId="0" applyNumberFormat="1" applyFill="1"/>
    <xf numFmtId="0" fontId="9" fillId="9" borderId="1" xfId="0" applyFont="1" applyFill="1" applyBorder="1" applyAlignment="1">
      <alignment horizontal="center"/>
    </xf>
    <xf numFmtId="4" fontId="5" fillId="9" borderId="0" xfId="0" applyNumberFormat="1" applyFont="1" applyFill="1"/>
    <xf numFmtId="0" fontId="0" fillId="11" borderId="0" xfId="0" applyFill="1" applyAlignment="1">
      <alignment horizontal="center"/>
    </xf>
    <xf numFmtId="4" fontId="0" fillId="11" borderId="0" xfId="0" applyNumberFormat="1" applyFill="1"/>
    <xf numFmtId="0" fontId="0" fillId="11" borderId="0" xfId="0" applyFill="1"/>
    <xf numFmtId="15" fontId="2" fillId="9" borderId="1" xfId="0" applyNumberFormat="1" applyFont="1" applyFill="1" applyBorder="1" applyAlignment="1">
      <alignment horizontal="center"/>
    </xf>
    <xf numFmtId="15" fontId="9" fillId="9" borderId="1" xfId="0" applyNumberFormat="1" applyFont="1" applyFill="1" applyBorder="1" applyAlignment="1">
      <alignment horizontal="center"/>
    </xf>
    <xf numFmtId="15" fontId="2" fillId="6" borderId="1" xfId="0" applyNumberFormat="1" applyFont="1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0" fontId="0" fillId="7" borderId="0" xfId="0" applyFill="1" applyAlignment="1">
      <alignment horizontal="left"/>
    </xf>
    <xf numFmtId="6" fontId="5" fillId="9" borderId="0" xfId="0" applyNumberFormat="1" applyFont="1" applyFill="1"/>
    <xf numFmtId="6" fontId="0" fillId="7" borderId="0" xfId="0" applyNumberFormat="1" applyFill="1"/>
    <xf numFmtId="4" fontId="0" fillId="0" borderId="0" xfId="0" applyNumberFormat="1" applyAlignment="1">
      <alignment horizontal="center"/>
    </xf>
    <xf numFmtId="6" fontId="0" fillId="9" borderId="0" xfId="0" applyNumberFormat="1" applyFill="1"/>
    <xf numFmtId="17" fontId="0" fillId="10" borderId="0" xfId="0" applyNumberFormat="1" applyFill="1" applyAlignment="1">
      <alignment horizontal="left"/>
    </xf>
    <xf numFmtId="0" fontId="0" fillId="10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17" fontId="0" fillId="5" borderId="0" xfId="0" applyNumberFormat="1" applyFill="1"/>
    <xf numFmtId="0" fontId="9" fillId="6" borderId="1" xfId="0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8" fillId="4" borderId="0" xfId="0" applyFont="1" applyFill="1"/>
    <xf numFmtId="17" fontId="0" fillId="4" borderId="0" xfId="0" applyNumberFormat="1" applyFill="1"/>
    <xf numFmtId="6" fontId="0" fillId="4" borderId="0" xfId="0" applyNumberFormat="1" applyFill="1"/>
    <xf numFmtId="0" fontId="0" fillId="12" borderId="0" xfId="0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6" fontId="0" fillId="5" borderId="0" xfId="0" applyNumberFormat="1" applyFill="1"/>
    <xf numFmtId="165" fontId="0" fillId="5" borderId="0" xfId="0" applyNumberFormat="1" applyFill="1"/>
    <xf numFmtId="6" fontId="0" fillId="5" borderId="0" xfId="0" applyNumberFormat="1" applyFill="1" applyAlignment="1">
      <alignment horizontal="left"/>
    </xf>
    <xf numFmtId="4" fontId="0" fillId="7" borderId="0" xfId="0" applyNumberFormat="1" applyFill="1"/>
    <xf numFmtId="6" fontId="0" fillId="7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6" fontId="0" fillId="6" borderId="0" xfId="0" applyNumberFormat="1" applyFill="1" applyAlignment="1">
      <alignment horizontal="left"/>
    </xf>
    <xf numFmtId="2" fontId="0" fillId="6" borderId="0" xfId="0" applyNumberFormat="1" applyFill="1"/>
    <xf numFmtId="17" fontId="0" fillId="7" borderId="0" xfId="0" applyNumberFormat="1" applyFill="1" applyAlignment="1">
      <alignment horizontal="left"/>
    </xf>
    <xf numFmtId="17" fontId="0" fillId="5" borderId="0" xfId="0" applyNumberFormat="1" applyFill="1" applyAlignment="1">
      <alignment horizontal="left"/>
    </xf>
    <xf numFmtId="0" fontId="0" fillId="5" borderId="0" xfId="0" applyFont="1" applyFill="1" applyBorder="1" applyAlignment="1">
      <alignment horizontal="center"/>
    </xf>
    <xf numFmtId="17" fontId="0" fillId="6" borderId="0" xfId="0" applyNumberFormat="1" applyFill="1" applyAlignment="1">
      <alignment horizontal="left"/>
    </xf>
    <xf numFmtId="0" fontId="0" fillId="13" borderId="0" xfId="0" applyFill="1" applyAlignment="1">
      <alignment horizontal="center"/>
    </xf>
    <xf numFmtId="0" fontId="0" fillId="7" borderId="0" xfId="0" applyFont="1" applyFill="1" applyBorder="1" applyAlignment="1">
      <alignment horizontal="center"/>
    </xf>
    <xf numFmtId="0" fontId="0" fillId="7" borderId="0" xfId="0" applyFont="1" applyFill="1" applyBorder="1" applyAlignment="1">
      <alignment horizontal="left"/>
    </xf>
    <xf numFmtId="0" fontId="0" fillId="14" borderId="0" xfId="0" applyFill="1"/>
    <xf numFmtId="6" fontId="0" fillId="4" borderId="0" xfId="0" applyNumberFormat="1" applyFill="1" applyAlignment="1">
      <alignment horizontal="left"/>
    </xf>
    <xf numFmtId="4" fontId="0" fillId="14" borderId="0" xfId="0" applyNumberFormat="1" applyFill="1"/>
    <xf numFmtId="0" fontId="2" fillId="6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 applyFill="1"/>
    <xf numFmtId="0" fontId="5" fillId="0" borderId="0" xfId="0" applyFont="1" applyFill="1" applyAlignment="1">
      <alignment horizontal="center"/>
    </xf>
    <xf numFmtId="4" fontId="5" fillId="0" borderId="0" xfId="0" applyNumberFormat="1" applyFont="1" applyFill="1"/>
    <xf numFmtId="0" fontId="5" fillId="0" borderId="0" xfId="0" applyFont="1" applyFill="1"/>
    <xf numFmtId="0" fontId="0" fillId="0" borderId="0" xfId="0" applyFill="1" applyAlignment="1">
      <alignment horizontal="left"/>
    </xf>
    <xf numFmtId="6" fontId="0" fillId="0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D0E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8"/>
  <sheetViews>
    <sheetView topLeftCell="G5" zoomScaleNormal="100" workbookViewId="0">
      <pane ySplit="3" topLeftCell="A109" activePane="bottomLeft" state="frozen"/>
      <selection activeCell="A5" sqref="A5"/>
      <selection pane="bottomLeft" activeCell="A103" sqref="A103:P128"/>
    </sheetView>
  </sheetViews>
  <sheetFormatPr baseColWidth="10" defaultRowHeight="15" x14ac:dyDescent="0.25"/>
  <cols>
    <col min="1" max="1" width="7.7109375" style="6" customWidth="1"/>
    <col min="2" max="2" width="8.140625" style="6" bestFit="1" customWidth="1"/>
    <col min="3" max="3" width="25.85546875" customWidth="1"/>
    <col min="4" max="4" width="7.7109375" style="6" customWidth="1"/>
    <col min="5" max="5" width="8.7109375" customWidth="1"/>
    <col min="6" max="6" width="24.2851562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9.5703125" customWidth="1"/>
    <col min="15" max="15" width="23.7109375" customWidth="1"/>
    <col min="16" max="16" width="13.7109375" customWidth="1"/>
  </cols>
  <sheetData>
    <row r="1" spans="1:18" ht="15.75" x14ac:dyDescent="0.25">
      <c r="A1" s="122" t="s">
        <v>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4" t="s">
        <v>11</v>
      </c>
      <c r="M1" s="12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5" t="s">
        <v>8</v>
      </c>
      <c r="D3" s="125"/>
      <c r="E3" s="18" t="s">
        <v>9</v>
      </c>
      <c r="F3" s="3">
        <f>A6+D6+G6+J6+M6</f>
        <v>200</v>
      </c>
      <c r="H3" s="3" t="s">
        <v>3</v>
      </c>
      <c r="I3" s="2">
        <f>B6+E6+H6+K6+N6</f>
        <v>155155</v>
      </c>
    </row>
    <row r="5" spans="1:18" x14ac:dyDescent="0.25">
      <c r="A5" s="126" t="s">
        <v>0</v>
      </c>
      <c r="B5" s="126"/>
      <c r="C5" s="126"/>
      <c r="D5" s="127" t="s">
        <v>4</v>
      </c>
      <c r="E5" s="127"/>
      <c r="F5" s="127"/>
      <c r="G5" s="128" t="s">
        <v>5</v>
      </c>
      <c r="H5" s="128"/>
      <c r="I5" s="128"/>
      <c r="J5" s="129" t="s">
        <v>6</v>
      </c>
      <c r="K5" s="129"/>
      <c r="L5" s="129"/>
      <c r="M5" s="121" t="s">
        <v>12</v>
      </c>
      <c r="N5" s="121"/>
      <c r="O5" s="121"/>
      <c r="P5" s="121" t="s">
        <v>12</v>
      </c>
      <c r="Q5" s="121"/>
      <c r="R5" s="121"/>
    </row>
    <row r="6" spans="1:18" x14ac:dyDescent="0.25">
      <c r="A6" s="8">
        <f>SUBTOTAL(3,A8:A121)</f>
        <v>59</v>
      </c>
      <c r="B6" s="8">
        <f>SUBTOTAL(9,B8:B121)</f>
        <v>54105</v>
      </c>
      <c r="C6" s="35">
        <v>43107</v>
      </c>
      <c r="D6" s="8">
        <f>SUBTOTAL(3,D8:D121)</f>
        <v>39</v>
      </c>
      <c r="E6" s="1">
        <f>SUBTOTAL(9,E8:E121)</f>
        <v>35450</v>
      </c>
      <c r="F6" s="38">
        <v>43114</v>
      </c>
      <c r="G6" s="8">
        <f>SUBTOTAL(3,G8:G121)</f>
        <v>72</v>
      </c>
      <c r="H6" s="1">
        <f>SUBTOTAL(9,H8:H121)</f>
        <v>35600</v>
      </c>
      <c r="I6" s="39">
        <v>43121</v>
      </c>
      <c r="J6" s="8">
        <f>SUBTOTAL(3,J8:J121)</f>
        <v>25</v>
      </c>
      <c r="K6" s="1">
        <f>SUBTOTAL(9,K8:K121)</f>
        <v>23000</v>
      </c>
      <c r="L6" s="84">
        <v>43128</v>
      </c>
      <c r="M6" s="8">
        <f>SUBTOTAL(3,M8:M124)</f>
        <v>5</v>
      </c>
      <c r="N6" s="1">
        <f>SUBTOTAL(9,N8:N124)</f>
        <v>7000</v>
      </c>
      <c r="O6" s="85"/>
      <c r="P6" s="1">
        <f>+D6+G6+J6+M6</f>
        <v>141</v>
      </c>
      <c r="Q6" s="1">
        <f>+E6+H6+K6+N6</f>
        <v>101050</v>
      </c>
      <c r="R6" s="85">
        <v>42400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P7" s="94" t="s">
        <v>1</v>
      </c>
      <c r="Q7" s="94" t="s">
        <v>3</v>
      </c>
      <c r="R7" s="94" t="s">
        <v>2</v>
      </c>
    </row>
    <row r="8" spans="1:18" x14ac:dyDescent="0.25">
      <c r="A8" s="16">
        <v>15657</v>
      </c>
      <c r="B8" s="106">
        <v>2400</v>
      </c>
      <c r="C8" s="17" t="s">
        <v>14</v>
      </c>
      <c r="D8" s="13">
        <v>15716</v>
      </c>
      <c r="E8" s="70">
        <v>600</v>
      </c>
      <c r="F8" s="14" t="s">
        <v>19</v>
      </c>
      <c r="G8" s="9">
        <v>15755</v>
      </c>
      <c r="H8" s="77">
        <v>250</v>
      </c>
      <c r="I8" s="10" t="s">
        <v>51</v>
      </c>
      <c r="J8" s="50">
        <v>15827</v>
      </c>
      <c r="K8" s="79">
        <v>300</v>
      </c>
      <c r="L8" s="51" t="s">
        <v>25</v>
      </c>
      <c r="M8" s="75">
        <v>15852</v>
      </c>
      <c r="N8" s="73">
        <v>800</v>
      </c>
      <c r="O8" s="15" t="s">
        <v>77</v>
      </c>
      <c r="P8" s="6"/>
      <c r="Q8" s="6"/>
    </row>
    <row r="9" spans="1:18" x14ac:dyDescent="0.25">
      <c r="A9" s="16"/>
      <c r="B9" s="106"/>
      <c r="C9" s="21" t="s">
        <v>17</v>
      </c>
      <c r="D9" s="13"/>
      <c r="E9" s="70"/>
      <c r="F9" s="23" t="s">
        <v>15</v>
      </c>
      <c r="G9" s="9"/>
      <c r="H9" s="77"/>
      <c r="I9" s="10" t="s">
        <v>52</v>
      </c>
      <c r="J9" s="50"/>
      <c r="K9" s="79"/>
      <c r="L9" s="51" t="s">
        <v>36</v>
      </c>
      <c r="M9" s="75"/>
      <c r="N9" s="73"/>
      <c r="O9" s="15" t="s">
        <v>20</v>
      </c>
      <c r="P9" s="90"/>
      <c r="Q9" s="90"/>
    </row>
    <row r="10" spans="1:18" x14ac:dyDescent="0.25">
      <c r="A10" s="16"/>
      <c r="B10" s="106"/>
      <c r="C10" s="17" t="s">
        <v>16</v>
      </c>
      <c r="D10" s="13">
        <v>15717</v>
      </c>
      <c r="E10" s="70">
        <v>400</v>
      </c>
      <c r="F10" s="14"/>
      <c r="G10" s="9">
        <v>15756</v>
      </c>
      <c r="H10" s="77">
        <v>900</v>
      </c>
      <c r="I10" s="10" t="s">
        <v>35</v>
      </c>
      <c r="J10" s="50">
        <v>15828</v>
      </c>
      <c r="K10" s="79">
        <v>1200</v>
      </c>
      <c r="L10" s="51" t="s">
        <v>70</v>
      </c>
      <c r="M10" s="75">
        <v>15853</v>
      </c>
      <c r="N10" s="73">
        <v>600</v>
      </c>
      <c r="O10" s="109" t="s">
        <v>19</v>
      </c>
    </row>
    <row r="11" spans="1:18" x14ac:dyDescent="0.25">
      <c r="A11" s="16">
        <v>15658</v>
      </c>
      <c r="B11" s="106">
        <v>2200</v>
      </c>
      <c r="C11" s="17" t="s">
        <v>14</v>
      </c>
      <c r="D11" s="13">
        <v>15718</v>
      </c>
      <c r="E11" s="76">
        <v>300</v>
      </c>
      <c r="F11" s="14"/>
      <c r="G11" s="9"/>
      <c r="H11" s="77"/>
      <c r="I11" s="10" t="s">
        <v>23</v>
      </c>
      <c r="J11" s="50"/>
      <c r="K11" s="79"/>
      <c r="L11" s="51" t="s">
        <v>20</v>
      </c>
      <c r="M11" s="75"/>
      <c r="N11" s="73"/>
      <c r="O11" s="15" t="s">
        <v>15</v>
      </c>
    </row>
    <row r="12" spans="1:18" x14ac:dyDescent="0.25">
      <c r="A12" s="16"/>
      <c r="B12" s="106"/>
      <c r="C12" s="17" t="s">
        <v>18</v>
      </c>
      <c r="D12" s="13">
        <v>15719</v>
      </c>
      <c r="E12" s="70">
        <v>900</v>
      </c>
      <c r="F12" s="14" t="s">
        <v>22</v>
      </c>
      <c r="G12" s="9">
        <v>15757</v>
      </c>
      <c r="H12" s="77">
        <v>200</v>
      </c>
      <c r="I12" s="10"/>
      <c r="J12" s="53">
        <v>15829</v>
      </c>
      <c r="K12" s="72">
        <v>1600</v>
      </c>
      <c r="L12" s="56" t="s">
        <v>71</v>
      </c>
      <c r="M12" s="75">
        <v>15854</v>
      </c>
      <c r="N12" s="73">
        <v>900</v>
      </c>
      <c r="O12" s="15" t="s">
        <v>78</v>
      </c>
    </row>
    <row r="13" spans="1:18" x14ac:dyDescent="0.25">
      <c r="A13" s="16"/>
      <c r="B13" s="17"/>
      <c r="C13" s="17" t="s">
        <v>16</v>
      </c>
      <c r="D13" s="13"/>
      <c r="E13" s="70"/>
      <c r="F13" s="14" t="s">
        <v>23</v>
      </c>
      <c r="G13" s="9">
        <v>15758</v>
      </c>
      <c r="H13" s="77">
        <v>200</v>
      </c>
      <c r="I13" s="10" t="s">
        <v>53</v>
      </c>
      <c r="J13" s="50"/>
      <c r="K13" s="79"/>
      <c r="L13" s="51" t="s">
        <v>72</v>
      </c>
      <c r="M13" s="75"/>
      <c r="N13" s="73"/>
      <c r="O13" s="15" t="s">
        <v>36</v>
      </c>
    </row>
    <row r="14" spans="1:18" x14ac:dyDescent="0.25">
      <c r="A14" s="16">
        <v>15659</v>
      </c>
      <c r="B14" s="106">
        <v>1200</v>
      </c>
      <c r="C14" s="17" t="s">
        <v>19</v>
      </c>
      <c r="D14" s="13">
        <v>15720</v>
      </c>
      <c r="E14" s="70">
        <v>4600</v>
      </c>
      <c r="F14" s="14" t="s">
        <v>14</v>
      </c>
      <c r="G14" s="9">
        <v>15759</v>
      </c>
      <c r="H14" s="77">
        <v>250</v>
      </c>
      <c r="I14" s="10" t="s">
        <v>54</v>
      </c>
      <c r="J14" s="50">
        <v>15830</v>
      </c>
      <c r="K14" s="79">
        <v>400</v>
      </c>
      <c r="L14" s="51"/>
      <c r="M14" s="75">
        <v>15855</v>
      </c>
      <c r="N14" s="73">
        <v>4400</v>
      </c>
      <c r="O14" s="15" t="s">
        <v>59</v>
      </c>
    </row>
    <row r="15" spans="1:18" x14ac:dyDescent="0.25">
      <c r="A15" s="16"/>
      <c r="B15" s="106"/>
      <c r="C15" s="17" t="s">
        <v>20</v>
      </c>
      <c r="D15" s="13"/>
      <c r="E15" s="70"/>
      <c r="F15" s="14" t="s">
        <v>38</v>
      </c>
      <c r="G15" s="9">
        <v>15760</v>
      </c>
      <c r="H15" s="77">
        <v>650</v>
      </c>
      <c r="I15" s="10" t="s">
        <v>55</v>
      </c>
      <c r="J15" s="50">
        <v>15831</v>
      </c>
      <c r="K15" s="79">
        <v>200</v>
      </c>
      <c r="L15" s="51"/>
      <c r="M15" s="75"/>
      <c r="N15" s="73"/>
      <c r="O15" s="15" t="s">
        <v>20</v>
      </c>
    </row>
    <row r="16" spans="1:18" x14ac:dyDescent="0.25">
      <c r="A16" s="16">
        <v>15660</v>
      </c>
      <c r="B16" s="106">
        <v>400</v>
      </c>
      <c r="C16" s="17" t="s">
        <v>21</v>
      </c>
      <c r="D16" s="13"/>
      <c r="E16" s="70"/>
      <c r="F16" s="14" t="s">
        <v>16</v>
      </c>
      <c r="G16" s="9"/>
      <c r="H16" s="77"/>
      <c r="I16" s="24" t="s">
        <v>56</v>
      </c>
      <c r="J16" s="50">
        <v>15832</v>
      </c>
      <c r="K16" s="79">
        <v>900</v>
      </c>
      <c r="L16" s="51" t="s">
        <v>70</v>
      </c>
      <c r="M16" s="75"/>
      <c r="N16" s="73"/>
      <c r="O16" s="15" t="s">
        <v>81</v>
      </c>
    </row>
    <row r="17" spans="1:15" x14ac:dyDescent="0.25">
      <c r="A17" s="16">
        <v>15661</v>
      </c>
      <c r="B17" s="106">
        <v>900</v>
      </c>
      <c r="C17" s="17" t="s">
        <v>22</v>
      </c>
      <c r="D17" s="13"/>
      <c r="E17" s="70"/>
      <c r="F17" s="14" t="s">
        <v>39</v>
      </c>
      <c r="G17" s="9">
        <v>15761</v>
      </c>
      <c r="H17" s="77">
        <v>200</v>
      </c>
      <c r="I17" s="10"/>
      <c r="J17" s="50"/>
      <c r="K17" s="79"/>
      <c r="L17" s="51" t="s">
        <v>23</v>
      </c>
      <c r="M17" s="75">
        <v>15856</v>
      </c>
      <c r="N17" s="73">
        <v>300</v>
      </c>
      <c r="O17" s="15" t="s">
        <v>79</v>
      </c>
    </row>
    <row r="18" spans="1:15" x14ac:dyDescent="0.25">
      <c r="A18" s="16"/>
      <c r="B18" s="106"/>
      <c r="C18" s="17" t="s">
        <v>23</v>
      </c>
      <c r="D18" s="13">
        <v>15721</v>
      </c>
      <c r="E18" s="70">
        <v>50</v>
      </c>
      <c r="F18" s="14" t="s">
        <v>40</v>
      </c>
      <c r="G18" s="9">
        <v>15762</v>
      </c>
      <c r="H18" s="77">
        <v>300</v>
      </c>
      <c r="I18" s="10" t="s">
        <v>19</v>
      </c>
      <c r="J18" s="50">
        <v>15833</v>
      </c>
      <c r="K18" s="79">
        <v>400</v>
      </c>
      <c r="L18" s="51" t="s">
        <v>24</v>
      </c>
      <c r="M18" s="75"/>
      <c r="N18" s="73"/>
      <c r="O18" s="15" t="s">
        <v>80</v>
      </c>
    </row>
    <row r="19" spans="1:15" x14ac:dyDescent="0.25">
      <c r="A19" s="16">
        <v>15662</v>
      </c>
      <c r="B19" s="106">
        <v>800</v>
      </c>
      <c r="C19" s="17" t="s">
        <v>24</v>
      </c>
      <c r="D19" s="13">
        <v>15722</v>
      </c>
      <c r="E19" s="70">
        <v>400</v>
      </c>
      <c r="F19" s="14" t="s">
        <v>25</v>
      </c>
      <c r="G19" s="9"/>
      <c r="H19" s="77"/>
      <c r="I19" s="10" t="s">
        <v>57</v>
      </c>
      <c r="J19" s="50"/>
      <c r="K19" s="79"/>
      <c r="L19" s="51" t="s">
        <v>15</v>
      </c>
      <c r="M19" s="75"/>
      <c r="N19" s="73"/>
      <c r="O19" s="31"/>
    </row>
    <row r="20" spans="1:15" x14ac:dyDescent="0.25">
      <c r="A20" s="16"/>
      <c r="B20" s="106"/>
      <c r="C20" s="17" t="s">
        <v>20</v>
      </c>
      <c r="D20" s="13"/>
      <c r="E20" s="70"/>
      <c r="F20" s="14" t="s">
        <v>15</v>
      </c>
      <c r="G20" s="9">
        <v>15763</v>
      </c>
      <c r="H20" s="77">
        <v>300</v>
      </c>
      <c r="I20" s="10" t="s">
        <v>19</v>
      </c>
      <c r="J20" s="50">
        <v>15834</v>
      </c>
      <c r="K20" s="79">
        <v>400</v>
      </c>
      <c r="L20" s="51" t="s">
        <v>30</v>
      </c>
      <c r="M20" s="75"/>
      <c r="N20" s="73"/>
      <c r="O20" s="15"/>
    </row>
    <row r="21" spans="1:15" x14ac:dyDescent="0.25">
      <c r="A21" s="16">
        <v>15663</v>
      </c>
      <c r="B21" s="106">
        <v>400</v>
      </c>
      <c r="C21" s="17"/>
      <c r="D21" s="13">
        <v>15723</v>
      </c>
      <c r="E21" s="70">
        <v>400</v>
      </c>
      <c r="F21" s="14"/>
      <c r="G21" s="9"/>
      <c r="H21" s="77"/>
      <c r="I21" s="10" t="s">
        <v>57</v>
      </c>
      <c r="J21" s="53">
        <v>15835</v>
      </c>
      <c r="K21" s="72">
        <v>300</v>
      </c>
      <c r="L21" s="51"/>
      <c r="M21" s="75"/>
      <c r="N21" s="73"/>
      <c r="O21" s="15"/>
    </row>
    <row r="22" spans="1:15" x14ac:dyDescent="0.25">
      <c r="A22" s="16">
        <v>15664</v>
      </c>
      <c r="B22" s="106">
        <v>400</v>
      </c>
      <c r="C22" s="17"/>
      <c r="D22" s="13">
        <v>15724</v>
      </c>
      <c r="E22" s="70">
        <v>200</v>
      </c>
      <c r="F22" s="14" t="s">
        <v>41</v>
      </c>
      <c r="G22" s="9">
        <v>15764</v>
      </c>
      <c r="H22" s="77">
        <v>50</v>
      </c>
      <c r="I22" s="25" t="s">
        <v>40</v>
      </c>
      <c r="J22" s="50">
        <v>15836</v>
      </c>
      <c r="K22" s="79">
        <v>900</v>
      </c>
      <c r="L22" s="51" t="s">
        <v>70</v>
      </c>
      <c r="M22" s="75"/>
      <c r="N22" s="73"/>
      <c r="O22" s="15"/>
    </row>
    <row r="23" spans="1:15" x14ac:dyDescent="0.25">
      <c r="A23" s="16">
        <v>15665</v>
      </c>
      <c r="B23" s="106">
        <v>400</v>
      </c>
      <c r="C23" s="17"/>
      <c r="D23" s="13">
        <v>15725</v>
      </c>
      <c r="E23" s="70">
        <v>300</v>
      </c>
      <c r="F23" s="14"/>
      <c r="G23" s="9">
        <v>15765</v>
      </c>
      <c r="H23" s="77">
        <v>1200</v>
      </c>
      <c r="I23" s="10" t="s">
        <v>22</v>
      </c>
      <c r="J23" s="50"/>
      <c r="K23" s="79"/>
      <c r="L23" s="51" t="s">
        <v>23</v>
      </c>
      <c r="M23" s="75"/>
      <c r="N23" s="73"/>
      <c r="O23" s="15"/>
    </row>
    <row r="24" spans="1:15" x14ac:dyDescent="0.25">
      <c r="A24" s="16">
        <v>15666</v>
      </c>
      <c r="B24" s="106">
        <v>300</v>
      </c>
      <c r="C24" s="107" t="s">
        <v>21</v>
      </c>
      <c r="D24" s="13">
        <v>15726</v>
      </c>
      <c r="E24" s="70">
        <v>600</v>
      </c>
      <c r="F24" s="105" t="s">
        <v>19</v>
      </c>
      <c r="G24" s="9"/>
      <c r="H24" s="77"/>
      <c r="I24" s="10" t="s">
        <v>20</v>
      </c>
      <c r="J24" s="50">
        <v>15837</v>
      </c>
      <c r="K24" s="79">
        <v>400</v>
      </c>
      <c r="L24" s="51"/>
      <c r="M24" s="75"/>
      <c r="N24" s="73"/>
      <c r="O24" s="15"/>
    </row>
    <row r="25" spans="1:15" x14ac:dyDescent="0.25">
      <c r="A25" s="16">
        <v>15667</v>
      </c>
      <c r="B25" s="106">
        <v>400</v>
      </c>
      <c r="C25" s="17"/>
      <c r="D25" s="13"/>
      <c r="E25" s="70"/>
      <c r="F25" s="14" t="s">
        <v>15</v>
      </c>
      <c r="G25" s="9">
        <v>15766</v>
      </c>
      <c r="H25" s="77">
        <v>1600</v>
      </c>
      <c r="I25" s="10" t="s">
        <v>58</v>
      </c>
      <c r="J25" s="50">
        <v>15838</v>
      </c>
      <c r="K25" s="79">
        <v>400</v>
      </c>
      <c r="L25" s="51"/>
      <c r="M25" s="75"/>
      <c r="N25" s="73"/>
      <c r="O25" s="15"/>
    </row>
    <row r="26" spans="1:15" x14ac:dyDescent="0.25">
      <c r="A26" s="16">
        <v>15668</v>
      </c>
      <c r="B26" s="106">
        <v>400</v>
      </c>
      <c r="C26" s="17"/>
      <c r="D26" s="13">
        <v>15727</v>
      </c>
      <c r="E26" s="70">
        <v>250</v>
      </c>
      <c r="F26" s="14"/>
      <c r="G26" s="9"/>
      <c r="H26" s="77"/>
      <c r="I26" s="10" t="s">
        <v>20</v>
      </c>
      <c r="J26" s="50">
        <v>15839</v>
      </c>
      <c r="K26" s="79">
        <v>250</v>
      </c>
      <c r="L26" s="51" t="s">
        <v>21</v>
      </c>
      <c r="M26" s="75"/>
      <c r="N26" s="73"/>
      <c r="O26" s="15"/>
    </row>
    <row r="27" spans="1:15" x14ac:dyDescent="0.25">
      <c r="A27" s="16">
        <v>15669</v>
      </c>
      <c r="B27" s="106">
        <v>800</v>
      </c>
      <c r="C27" s="17" t="s">
        <v>25</v>
      </c>
      <c r="D27" s="13">
        <v>15728</v>
      </c>
      <c r="E27" s="70">
        <v>1050</v>
      </c>
      <c r="F27" s="14" t="s">
        <v>42</v>
      </c>
      <c r="G27" s="9">
        <v>15767</v>
      </c>
      <c r="H27" s="77">
        <v>400</v>
      </c>
      <c r="I27" s="10"/>
      <c r="J27" s="50">
        <v>15840</v>
      </c>
      <c r="K27" s="79">
        <v>3300</v>
      </c>
      <c r="L27" s="51" t="s">
        <v>59</v>
      </c>
      <c r="M27" s="75"/>
      <c r="N27" s="73"/>
      <c r="O27" s="15"/>
    </row>
    <row r="28" spans="1:15" x14ac:dyDescent="0.25">
      <c r="A28" s="16"/>
      <c r="B28" s="106"/>
      <c r="C28" s="17" t="s">
        <v>20</v>
      </c>
      <c r="D28" s="13"/>
      <c r="E28" s="70"/>
      <c r="F28" s="14" t="s">
        <v>43</v>
      </c>
      <c r="G28" s="9">
        <v>15768</v>
      </c>
      <c r="H28" s="77">
        <v>400</v>
      </c>
      <c r="I28" s="10"/>
      <c r="J28" s="50"/>
      <c r="K28" s="79"/>
      <c r="L28" s="51" t="s">
        <v>23</v>
      </c>
      <c r="M28" s="75"/>
      <c r="N28" s="73"/>
      <c r="O28" s="15"/>
    </row>
    <row r="29" spans="1:15" x14ac:dyDescent="0.25">
      <c r="A29" s="16">
        <v>15670</v>
      </c>
      <c r="B29" s="106">
        <v>400</v>
      </c>
      <c r="C29" s="17"/>
      <c r="D29" s="13">
        <v>15729</v>
      </c>
      <c r="E29" s="70">
        <v>300</v>
      </c>
      <c r="F29" s="14"/>
      <c r="G29" s="9">
        <v>15769</v>
      </c>
      <c r="H29" s="77"/>
      <c r="I29" s="10" t="s">
        <v>63</v>
      </c>
      <c r="J29" s="50"/>
      <c r="K29" s="79"/>
      <c r="L29" s="51" t="s">
        <v>73</v>
      </c>
      <c r="M29" s="75"/>
      <c r="N29" s="73"/>
      <c r="O29" s="15"/>
    </row>
    <row r="30" spans="1:15" x14ac:dyDescent="0.25">
      <c r="A30" s="16">
        <v>15671</v>
      </c>
      <c r="B30" s="106">
        <v>125</v>
      </c>
      <c r="C30" s="17"/>
      <c r="D30" s="13">
        <v>15730</v>
      </c>
      <c r="E30" s="70">
        <v>1200</v>
      </c>
      <c r="F30" s="14" t="s">
        <v>22</v>
      </c>
      <c r="G30" s="9">
        <v>15770</v>
      </c>
      <c r="H30" s="77"/>
      <c r="I30" s="10" t="s">
        <v>63</v>
      </c>
      <c r="J30" s="50">
        <v>15841</v>
      </c>
      <c r="K30" s="79">
        <v>4400</v>
      </c>
      <c r="L30" s="51" t="s">
        <v>59</v>
      </c>
      <c r="M30" s="75"/>
      <c r="N30" s="73"/>
      <c r="O30" s="15"/>
    </row>
    <row r="31" spans="1:15" x14ac:dyDescent="0.25">
      <c r="A31" s="16">
        <v>15672</v>
      </c>
      <c r="B31" s="106">
        <v>800</v>
      </c>
      <c r="C31" s="107" t="s">
        <v>24</v>
      </c>
      <c r="D31" s="13"/>
      <c r="E31" s="70"/>
      <c r="F31" s="105" t="s">
        <v>44</v>
      </c>
      <c r="G31" s="9">
        <v>15771</v>
      </c>
      <c r="H31" s="77"/>
      <c r="I31" s="10" t="s">
        <v>63</v>
      </c>
      <c r="J31" s="50"/>
      <c r="K31" s="79"/>
      <c r="L31" s="51" t="s">
        <v>20</v>
      </c>
      <c r="M31" s="75"/>
      <c r="N31" s="73"/>
      <c r="O31" s="15"/>
    </row>
    <row r="32" spans="1:15" x14ac:dyDescent="0.25">
      <c r="A32" s="16"/>
      <c r="B32" s="49"/>
      <c r="C32" s="17" t="s">
        <v>20</v>
      </c>
      <c r="D32" s="13">
        <v>15731</v>
      </c>
      <c r="E32" s="70">
        <v>1000</v>
      </c>
      <c r="F32" s="14" t="s">
        <v>24</v>
      </c>
      <c r="G32" s="9">
        <v>15772</v>
      </c>
      <c r="H32" s="77"/>
      <c r="I32" s="10" t="s">
        <v>63</v>
      </c>
      <c r="J32" s="50"/>
      <c r="K32" s="79"/>
      <c r="L32" s="51" t="s">
        <v>73</v>
      </c>
      <c r="M32" s="75"/>
      <c r="N32" s="73"/>
      <c r="O32" s="15"/>
    </row>
    <row r="33" spans="1:15" x14ac:dyDescent="0.25">
      <c r="A33" s="16">
        <v>15673</v>
      </c>
      <c r="B33" s="49">
        <v>400</v>
      </c>
      <c r="C33" s="17" t="s">
        <v>25</v>
      </c>
      <c r="D33" s="13"/>
      <c r="E33" s="70"/>
      <c r="F33" s="14" t="s">
        <v>45</v>
      </c>
      <c r="G33" s="9">
        <v>15773</v>
      </c>
      <c r="H33" s="77"/>
      <c r="I33" s="10" t="s">
        <v>63</v>
      </c>
      <c r="J33" s="50">
        <v>15842</v>
      </c>
      <c r="K33" s="79">
        <v>200</v>
      </c>
      <c r="L33" s="51" t="s">
        <v>74</v>
      </c>
      <c r="M33" s="75"/>
      <c r="N33" s="73"/>
      <c r="O33" s="15"/>
    </row>
    <row r="34" spans="1:15" x14ac:dyDescent="0.25">
      <c r="A34" s="16"/>
      <c r="B34" s="49"/>
      <c r="C34" s="17" t="s">
        <v>15</v>
      </c>
      <c r="D34" s="13">
        <v>15732</v>
      </c>
      <c r="E34" s="70">
        <v>600</v>
      </c>
      <c r="F34" s="20" t="s">
        <v>46</v>
      </c>
      <c r="G34" s="9">
        <v>15774</v>
      </c>
      <c r="H34" s="77"/>
      <c r="I34" s="10" t="s">
        <v>63</v>
      </c>
      <c r="J34" s="50">
        <v>15843</v>
      </c>
      <c r="K34" s="79">
        <v>250</v>
      </c>
      <c r="L34" s="51"/>
      <c r="M34" s="75"/>
      <c r="N34" s="73"/>
      <c r="O34" s="15"/>
    </row>
    <row r="35" spans="1:15" x14ac:dyDescent="0.25">
      <c r="A35" s="16">
        <v>15674</v>
      </c>
      <c r="B35" s="49">
        <v>1200</v>
      </c>
      <c r="C35" s="17" t="s">
        <v>22</v>
      </c>
      <c r="D35" s="13"/>
      <c r="E35" s="70"/>
      <c r="F35" s="14" t="s">
        <v>47</v>
      </c>
      <c r="G35" s="9">
        <v>15775</v>
      </c>
      <c r="H35" s="77"/>
      <c r="I35" s="10" t="s">
        <v>63</v>
      </c>
      <c r="J35" s="50">
        <v>15844</v>
      </c>
      <c r="K35" s="79">
        <v>400</v>
      </c>
      <c r="L35" s="51" t="s">
        <v>21</v>
      </c>
      <c r="M35" s="75"/>
      <c r="N35" s="73"/>
      <c r="O35" s="15"/>
    </row>
    <row r="36" spans="1:15" x14ac:dyDescent="0.25">
      <c r="A36" s="16"/>
      <c r="B36" s="49"/>
      <c r="C36" s="17" t="s">
        <v>20</v>
      </c>
      <c r="D36" s="13">
        <v>15733</v>
      </c>
      <c r="E36" s="70">
        <v>400</v>
      </c>
      <c r="F36" s="14"/>
      <c r="G36" s="9">
        <v>15776</v>
      </c>
      <c r="H36" s="77"/>
      <c r="I36" s="10" t="s">
        <v>63</v>
      </c>
      <c r="J36" s="50">
        <v>15845</v>
      </c>
      <c r="K36" s="79">
        <v>300</v>
      </c>
      <c r="L36" s="51"/>
      <c r="M36" s="75"/>
      <c r="N36" s="73"/>
      <c r="O36" s="15"/>
    </row>
    <row r="37" spans="1:15" x14ac:dyDescent="0.25">
      <c r="A37" s="16">
        <v>15675</v>
      </c>
      <c r="B37" s="49">
        <v>200</v>
      </c>
      <c r="C37" s="17"/>
      <c r="D37" s="13">
        <v>15734</v>
      </c>
      <c r="E37" s="70">
        <v>800</v>
      </c>
      <c r="F37" s="14" t="s">
        <v>25</v>
      </c>
      <c r="G37" s="9">
        <v>15777</v>
      </c>
      <c r="H37" s="77"/>
      <c r="I37" s="10" t="s">
        <v>63</v>
      </c>
      <c r="J37" s="50">
        <v>15846</v>
      </c>
      <c r="K37" s="79">
        <v>500</v>
      </c>
      <c r="L37" s="52" t="s">
        <v>75</v>
      </c>
      <c r="M37" s="75"/>
      <c r="N37" s="73"/>
      <c r="O37" s="15"/>
    </row>
    <row r="38" spans="1:15" x14ac:dyDescent="0.25">
      <c r="A38" s="16">
        <v>15676</v>
      </c>
      <c r="B38" s="49">
        <v>300</v>
      </c>
      <c r="C38" s="17"/>
      <c r="D38" s="13"/>
      <c r="E38" s="70"/>
      <c r="F38" s="14" t="s">
        <v>38</v>
      </c>
      <c r="G38" s="9">
        <v>15778</v>
      </c>
      <c r="H38" s="77"/>
      <c r="I38" s="10" t="s">
        <v>63</v>
      </c>
      <c r="J38" s="50"/>
      <c r="K38" s="79"/>
      <c r="L38" s="52" t="s">
        <v>69</v>
      </c>
      <c r="M38" s="75"/>
      <c r="N38" s="73"/>
      <c r="O38" s="15"/>
    </row>
    <row r="39" spans="1:15" x14ac:dyDescent="0.25">
      <c r="A39" s="16">
        <v>15677</v>
      </c>
      <c r="B39" s="49">
        <v>400</v>
      </c>
      <c r="C39" s="17"/>
      <c r="D39" s="13">
        <v>15735</v>
      </c>
      <c r="E39" s="70">
        <v>4600</v>
      </c>
      <c r="F39" s="14" t="s">
        <v>14</v>
      </c>
      <c r="G39" s="9">
        <v>15779</v>
      </c>
      <c r="H39" s="77"/>
      <c r="I39" s="10" t="s">
        <v>63</v>
      </c>
      <c r="J39" s="50">
        <v>15847</v>
      </c>
      <c r="K39" s="79">
        <v>400</v>
      </c>
      <c r="L39" s="51" t="s">
        <v>75</v>
      </c>
      <c r="M39" s="75"/>
      <c r="N39" s="73"/>
      <c r="O39" s="15"/>
    </row>
    <row r="40" spans="1:15" x14ac:dyDescent="0.25">
      <c r="A40" s="16">
        <v>15678</v>
      </c>
      <c r="B40" s="49">
        <v>400</v>
      </c>
      <c r="C40" s="17"/>
      <c r="D40" s="13"/>
      <c r="E40" s="70"/>
      <c r="F40" s="14" t="s">
        <v>38</v>
      </c>
      <c r="G40" s="9">
        <v>15780</v>
      </c>
      <c r="H40" s="77"/>
      <c r="I40" s="10" t="s">
        <v>63</v>
      </c>
      <c r="J40" s="50"/>
      <c r="K40" s="79"/>
      <c r="L40" s="51" t="s">
        <v>15</v>
      </c>
      <c r="M40" s="75"/>
      <c r="N40" s="73"/>
      <c r="O40" s="15"/>
    </row>
    <row r="41" spans="1:15" x14ac:dyDescent="0.25">
      <c r="A41" s="16">
        <v>15679</v>
      </c>
      <c r="B41" s="49">
        <v>800</v>
      </c>
      <c r="C41" s="17" t="s">
        <v>26</v>
      </c>
      <c r="D41" s="13"/>
      <c r="E41" s="70"/>
      <c r="F41" s="14" t="s">
        <v>16</v>
      </c>
      <c r="G41" s="9">
        <v>15781</v>
      </c>
      <c r="H41" s="77"/>
      <c r="I41" s="10" t="s">
        <v>63</v>
      </c>
      <c r="J41" s="50">
        <v>15848</v>
      </c>
      <c r="K41" s="79">
        <v>400</v>
      </c>
      <c r="L41" s="51"/>
      <c r="M41" s="75"/>
      <c r="N41" s="73"/>
      <c r="O41" s="15"/>
    </row>
    <row r="42" spans="1:15" x14ac:dyDescent="0.25">
      <c r="A42" s="16"/>
      <c r="B42" s="49"/>
      <c r="C42" s="17" t="s">
        <v>20</v>
      </c>
      <c r="D42" s="13"/>
      <c r="E42" s="70"/>
      <c r="F42" s="14" t="s">
        <v>48</v>
      </c>
      <c r="G42" s="9">
        <v>15782</v>
      </c>
      <c r="H42" s="77"/>
      <c r="I42" s="10" t="s">
        <v>63</v>
      </c>
      <c r="J42" s="50">
        <v>15849</v>
      </c>
      <c r="K42" s="79">
        <v>400</v>
      </c>
      <c r="L42" s="51" t="s">
        <v>30</v>
      </c>
      <c r="M42" s="75"/>
      <c r="N42" s="73"/>
      <c r="O42" s="15"/>
    </row>
    <row r="43" spans="1:15" x14ac:dyDescent="0.25">
      <c r="A43" s="16">
        <v>15680</v>
      </c>
      <c r="B43" s="49"/>
      <c r="C43" s="17" t="s">
        <v>27</v>
      </c>
      <c r="D43" s="13">
        <v>15736</v>
      </c>
      <c r="E43" s="70">
        <v>400</v>
      </c>
      <c r="F43" s="14" t="s">
        <v>21</v>
      </c>
      <c r="G43" s="9">
        <v>15783</v>
      </c>
      <c r="H43" s="77"/>
      <c r="I43" s="10" t="s">
        <v>63</v>
      </c>
      <c r="J43" s="53">
        <v>15850</v>
      </c>
      <c r="K43" s="72">
        <v>400</v>
      </c>
      <c r="L43" s="51"/>
      <c r="M43" s="75"/>
      <c r="N43" s="73"/>
      <c r="O43" s="15"/>
    </row>
    <row r="44" spans="1:15" x14ac:dyDescent="0.25">
      <c r="A44" s="16">
        <v>15681</v>
      </c>
      <c r="B44" s="49">
        <v>350</v>
      </c>
      <c r="C44" s="17"/>
      <c r="D44" s="13">
        <v>15737</v>
      </c>
      <c r="E44" s="70">
        <v>200</v>
      </c>
      <c r="F44" s="14"/>
      <c r="G44" s="9">
        <v>15784</v>
      </c>
      <c r="H44" s="77"/>
      <c r="I44" s="10" t="s">
        <v>63</v>
      </c>
      <c r="J44" s="50">
        <v>15851</v>
      </c>
      <c r="K44" s="79">
        <v>4400</v>
      </c>
      <c r="L44" s="51" t="s">
        <v>59</v>
      </c>
      <c r="M44" s="75"/>
      <c r="N44" s="73"/>
      <c r="O44" s="15"/>
    </row>
    <row r="45" spans="1:15" x14ac:dyDescent="0.25">
      <c r="A45" s="16">
        <v>15682</v>
      </c>
      <c r="B45" s="49">
        <v>600</v>
      </c>
      <c r="C45" s="17" t="s">
        <v>25</v>
      </c>
      <c r="D45" s="13">
        <v>15738</v>
      </c>
      <c r="E45" s="70">
        <v>4400</v>
      </c>
      <c r="F45" s="14" t="s">
        <v>14</v>
      </c>
      <c r="G45" s="9">
        <v>15785</v>
      </c>
      <c r="H45" s="77"/>
      <c r="I45" s="10" t="s">
        <v>63</v>
      </c>
      <c r="J45" s="53"/>
      <c r="K45" s="72"/>
      <c r="L45" s="51" t="s">
        <v>76</v>
      </c>
      <c r="M45" s="75"/>
      <c r="N45" s="73"/>
      <c r="O45" s="31"/>
    </row>
    <row r="46" spans="1:15" x14ac:dyDescent="0.25">
      <c r="A46" s="16"/>
      <c r="B46" s="49"/>
      <c r="C46" s="17" t="s">
        <v>23</v>
      </c>
      <c r="D46" s="13"/>
      <c r="E46" s="70"/>
      <c r="F46" s="14" t="s">
        <v>38</v>
      </c>
      <c r="G46" s="9">
        <v>15786</v>
      </c>
      <c r="H46" s="77"/>
      <c r="I46" s="10" t="s">
        <v>63</v>
      </c>
      <c r="J46" s="50"/>
      <c r="K46" s="79"/>
      <c r="L46" s="51" t="s">
        <v>73</v>
      </c>
      <c r="M46" s="75"/>
      <c r="N46" s="73"/>
      <c r="O46" s="15"/>
    </row>
    <row r="47" spans="1:15" x14ac:dyDescent="0.25">
      <c r="A47" s="16">
        <v>15683</v>
      </c>
      <c r="B47" s="49">
        <v>900</v>
      </c>
      <c r="C47" s="17" t="s">
        <v>19</v>
      </c>
      <c r="D47" s="13"/>
      <c r="E47" s="70"/>
      <c r="F47" s="14" t="s">
        <v>16</v>
      </c>
      <c r="G47" s="9">
        <v>15787</v>
      </c>
      <c r="H47" s="77"/>
      <c r="I47" s="10" t="s">
        <v>63</v>
      </c>
      <c r="J47" s="50"/>
      <c r="K47" s="79"/>
      <c r="L47" s="51"/>
      <c r="M47" s="75"/>
      <c r="N47" s="73"/>
      <c r="O47" s="15"/>
    </row>
    <row r="48" spans="1:15" x14ac:dyDescent="0.25">
      <c r="A48" s="16"/>
      <c r="B48" s="49"/>
      <c r="C48" s="17" t="s">
        <v>23</v>
      </c>
      <c r="D48" s="13">
        <v>15739</v>
      </c>
      <c r="E48" s="70">
        <v>200</v>
      </c>
      <c r="F48" s="14"/>
      <c r="G48" s="9">
        <v>15788</v>
      </c>
      <c r="H48" s="77"/>
      <c r="I48" s="10" t="s">
        <v>63</v>
      </c>
      <c r="J48" s="50"/>
      <c r="K48" s="79"/>
      <c r="L48" s="51"/>
      <c r="M48" s="75"/>
      <c r="N48" s="73"/>
      <c r="O48" s="15"/>
    </row>
    <row r="49" spans="1:15" x14ac:dyDescent="0.25">
      <c r="A49" s="16">
        <v>15684</v>
      </c>
      <c r="B49" s="49">
        <v>200</v>
      </c>
      <c r="C49" s="17" t="s">
        <v>28</v>
      </c>
      <c r="D49" s="13">
        <v>15740</v>
      </c>
      <c r="E49" s="70">
        <v>250</v>
      </c>
      <c r="F49" s="14"/>
      <c r="G49" s="9">
        <v>15789</v>
      </c>
      <c r="H49" s="77"/>
      <c r="I49" s="10" t="s">
        <v>63</v>
      </c>
      <c r="J49" s="50"/>
      <c r="K49" s="79"/>
      <c r="L49" s="51"/>
      <c r="M49" s="75"/>
      <c r="N49" s="73"/>
      <c r="O49" s="15"/>
    </row>
    <row r="50" spans="1:15" x14ac:dyDescent="0.25">
      <c r="A50" s="16">
        <v>15685</v>
      </c>
      <c r="B50" s="49">
        <v>1200</v>
      </c>
      <c r="C50" s="17" t="s">
        <v>29</v>
      </c>
      <c r="D50" s="13">
        <v>15741</v>
      </c>
      <c r="E50" s="70">
        <v>1200</v>
      </c>
      <c r="F50" s="14" t="s">
        <v>19</v>
      </c>
      <c r="G50" s="9">
        <v>15790</v>
      </c>
      <c r="H50" s="77"/>
      <c r="I50" s="10" t="s">
        <v>63</v>
      </c>
      <c r="J50" s="53"/>
      <c r="K50" s="79"/>
      <c r="L50" s="54"/>
      <c r="M50" s="75"/>
      <c r="N50" s="73"/>
      <c r="O50" s="15"/>
    </row>
    <row r="51" spans="1:15" x14ac:dyDescent="0.25">
      <c r="A51" s="16"/>
      <c r="B51" s="49"/>
      <c r="C51" s="17" t="s">
        <v>20</v>
      </c>
      <c r="D51" s="13"/>
      <c r="E51" s="70"/>
      <c r="F51" s="14" t="s">
        <v>38</v>
      </c>
      <c r="G51" s="9">
        <v>15791</v>
      </c>
      <c r="H51" s="77"/>
      <c r="I51" s="10" t="s">
        <v>63</v>
      </c>
      <c r="J51" s="53"/>
      <c r="K51" s="79"/>
      <c r="L51" s="55"/>
      <c r="M51" s="75"/>
      <c r="N51" s="73"/>
      <c r="O51" s="15"/>
    </row>
    <row r="52" spans="1:15" x14ac:dyDescent="0.25">
      <c r="A52" s="16">
        <v>15686</v>
      </c>
      <c r="B52" s="49">
        <v>4400</v>
      </c>
      <c r="C52" s="17" t="s">
        <v>14</v>
      </c>
      <c r="D52" s="13">
        <v>15742</v>
      </c>
      <c r="E52" s="70">
        <v>400</v>
      </c>
      <c r="F52" s="14"/>
      <c r="G52" s="9">
        <v>15792</v>
      </c>
      <c r="H52" s="77"/>
      <c r="I52" s="10" t="s">
        <v>63</v>
      </c>
      <c r="J52" s="53"/>
      <c r="K52" s="72"/>
      <c r="L52" s="54"/>
      <c r="M52" s="75"/>
      <c r="N52" s="73"/>
      <c r="O52" s="15"/>
    </row>
    <row r="53" spans="1:15" x14ac:dyDescent="0.25">
      <c r="A53" s="16"/>
      <c r="B53" s="49"/>
      <c r="C53" s="17" t="s">
        <v>20</v>
      </c>
      <c r="D53" s="13">
        <v>15743</v>
      </c>
      <c r="E53" s="70">
        <v>600</v>
      </c>
      <c r="F53" s="14" t="s">
        <v>25</v>
      </c>
      <c r="G53" s="9">
        <v>15793</v>
      </c>
      <c r="H53" s="77"/>
      <c r="I53" s="10" t="s">
        <v>63</v>
      </c>
      <c r="J53" s="53"/>
      <c r="K53" s="72"/>
      <c r="L53" s="54"/>
      <c r="M53" s="75"/>
      <c r="N53" s="73"/>
      <c r="O53" s="15"/>
    </row>
    <row r="54" spans="1:15" x14ac:dyDescent="0.25">
      <c r="A54" s="16">
        <v>15687</v>
      </c>
      <c r="B54" s="49">
        <v>400</v>
      </c>
      <c r="C54" s="17"/>
      <c r="D54" s="13"/>
      <c r="E54" s="70"/>
      <c r="F54" s="14" t="s">
        <v>23</v>
      </c>
      <c r="G54" s="9">
        <v>15794</v>
      </c>
      <c r="H54" s="77"/>
      <c r="I54" s="10" t="s">
        <v>63</v>
      </c>
      <c r="J54" s="53"/>
      <c r="K54" s="72"/>
      <c r="L54" s="54"/>
      <c r="M54" s="75"/>
      <c r="N54" s="73"/>
      <c r="O54" s="15"/>
    </row>
    <row r="55" spans="1:15" x14ac:dyDescent="0.25">
      <c r="A55" s="16">
        <v>15688</v>
      </c>
      <c r="B55" s="49">
        <v>400</v>
      </c>
      <c r="C55" s="17"/>
      <c r="D55" s="13">
        <v>15744</v>
      </c>
      <c r="E55" s="70">
        <v>300</v>
      </c>
      <c r="F55" s="14" t="s">
        <v>49</v>
      </c>
      <c r="G55" s="9">
        <v>15795</v>
      </c>
      <c r="H55" s="77"/>
      <c r="I55" s="10" t="s">
        <v>63</v>
      </c>
      <c r="J55" s="53"/>
      <c r="K55" s="72"/>
      <c r="L55" s="54"/>
      <c r="M55" s="75"/>
      <c r="N55" s="73"/>
      <c r="O55" s="15"/>
    </row>
    <row r="56" spans="1:15" x14ac:dyDescent="0.25">
      <c r="A56" s="16">
        <v>15689</v>
      </c>
      <c r="B56" s="49">
        <v>4400</v>
      </c>
      <c r="C56" s="17" t="s">
        <v>14</v>
      </c>
      <c r="D56" s="13">
        <v>15745</v>
      </c>
      <c r="E56" s="70">
        <v>400</v>
      </c>
      <c r="F56" s="23"/>
      <c r="G56" s="9">
        <v>15796</v>
      </c>
      <c r="H56" s="77"/>
      <c r="I56" s="10" t="s">
        <v>63</v>
      </c>
      <c r="J56" s="53"/>
      <c r="K56" s="72"/>
      <c r="L56" s="54"/>
      <c r="M56" s="75"/>
      <c r="N56" s="73"/>
      <c r="O56" s="15"/>
    </row>
    <row r="57" spans="1:15" x14ac:dyDescent="0.25">
      <c r="A57" s="16"/>
      <c r="B57" s="49"/>
      <c r="C57" s="17" t="s">
        <v>20</v>
      </c>
      <c r="D57" s="13">
        <v>15746</v>
      </c>
      <c r="E57" s="70">
        <v>600</v>
      </c>
      <c r="F57" s="23" t="s">
        <v>50</v>
      </c>
      <c r="G57" s="9">
        <v>15797</v>
      </c>
      <c r="H57" s="77"/>
      <c r="I57" s="10" t="s">
        <v>63</v>
      </c>
      <c r="J57" s="53"/>
      <c r="K57" s="72"/>
      <c r="L57" s="54"/>
      <c r="M57" s="75"/>
      <c r="N57" s="73"/>
      <c r="O57" s="15"/>
    </row>
    <row r="58" spans="1:15" x14ac:dyDescent="0.25">
      <c r="A58" s="16">
        <v>15690</v>
      </c>
      <c r="B58" s="49">
        <v>300</v>
      </c>
      <c r="C58" s="17"/>
      <c r="D58" s="13"/>
      <c r="E58" s="70"/>
      <c r="F58" s="14" t="s">
        <v>15</v>
      </c>
      <c r="G58" s="9">
        <v>15798</v>
      </c>
      <c r="H58" s="77"/>
      <c r="I58" s="10" t="s">
        <v>63</v>
      </c>
      <c r="J58" s="53"/>
      <c r="K58" s="72"/>
      <c r="L58" s="54"/>
      <c r="M58" s="75"/>
      <c r="N58" s="73"/>
      <c r="O58" s="15"/>
    </row>
    <row r="59" spans="1:15" x14ac:dyDescent="0.25">
      <c r="A59" s="16">
        <v>15691</v>
      </c>
      <c r="B59" s="49">
        <v>200</v>
      </c>
      <c r="C59" s="17" t="s">
        <v>30</v>
      </c>
      <c r="D59" s="13">
        <v>15747</v>
      </c>
      <c r="E59" s="70">
        <v>200</v>
      </c>
      <c r="F59" s="14"/>
      <c r="G59" s="9">
        <v>15799</v>
      </c>
      <c r="H59" s="77"/>
      <c r="I59" s="10" t="s">
        <v>63</v>
      </c>
      <c r="J59" s="53"/>
      <c r="K59" s="72"/>
      <c r="L59" s="54"/>
      <c r="M59" s="75"/>
      <c r="N59" s="73"/>
      <c r="O59" s="15"/>
    </row>
    <row r="60" spans="1:15" x14ac:dyDescent="0.25">
      <c r="A60" s="16">
        <v>15692</v>
      </c>
      <c r="B60" s="49">
        <v>800</v>
      </c>
      <c r="C60" s="17" t="s">
        <v>31</v>
      </c>
      <c r="D60" s="13">
        <v>15748</v>
      </c>
      <c r="E60" s="70">
        <v>4400</v>
      </c>
      <c r="F60" s="23" t="s">
        <v>14</v>
      </c>
      <c r="G60" s="9">
        <v>15800</v>
      </c>
      <c r="H60" s="77"/>
      <c r="I60" s="10" t="s">
        <v>63</v>
      </c>
      <c r="J60" s="53"/>
      <c r="K60" s="72"/>
      <c r="L60" s="54"/>
      <c r="M60" s="75"/>
      <c r="N60" s="73"/>
      <c r="O60" s="15"/>
    </row>
    <row r="61" spans="1:15" x14ac:dyDescent="0.25">
      <c r="A61" s="16"/>
      <c r="B61" s="49"/>
      <c r="C61" s="17" t="s">
        <v>20</v>
      </c>
      <c r="D61" s="13"/>
      <c r="E61" s="70"/>
      <c r="F61" s="14" t="s">
        <v>38</v>
      </c>
      <c r="G61" s="9">
        <v>15801</v>
      </c>
      <c r="H61" s="77"/>
      <c r="I61" s="10" t="s">
        <v>63</v>
      </c>
      <c r="J61" s="53"/>
      <c r="K61" s="72"/>
      <c r="L61" s="54"/>
      <c r="M61" s="75"/>
      <c r="N61" s="73"/>
      <c r="O61" s="15"/>
    </row>
    <row r="62" spans="1:15" x14ac:dyDescent="0.25">
      <c r="A62" s="16">
        <v>15693</v>
      </c>
      <c r="B62" s="49">
        <v>400</v>
      </c>
      <c r="C62" s="17"/>
      <c r="D62" s="13"/>
      <c r="E62" s="70"/>
      <c r="F62" s="14" t="s">
        <v>16</v>
      </c>
      <c r="G62" s="9">
        <v>15802</v>
      </c>
      <c r="H62" s="77">
        <v>4400</v>
      </c>
      <c r="I62" s="10" t="s">
        <v>59</v>
      </c>
      <c r="J62" s="53"/>
      <c r="K62" s="72"/>
      <c r="L62" s="54"/>
      <c r="M62" s="75"/>
      <c r="N62" s="73"/>
      <c r="O62" s="15"/>
    </row>
    <row r="63" spans="1:15" x14ac:dyDescent="0.25">
      <c r="A63" s="16">
        <v>15694</v>
      </c>
      <c r="B63" s="49">
        <v>450</v>
      </c>
      <c r="C63" s="17" t="s">
        <v>32</v>
      </c>
      <c r="D63" s="13">
        <v>15749</v>
      </c>
      <c r="E63" s="70">
        <v>400</v>
      </c>
      <c r="F63" s="14"/>
      <c r="G63" s="9"/>
      <c r="H63" s="77"/>
      <c r="I63" s="108" t="s">
        <v>20</v>
      </c>
      <c r="J63" s="53"/>
      <c r="K63" s="72"/>
      <c r="L63" s="54"/>
      <c r="M63" s="75"/>
      <c r="N63" s="73"/>
      <c r="O63" s="15"/>
    </row>
    <row r="64" spans="1:15" x14ac:dyDescent="0.25">
      <c r="A64" s="16">
        <v>15695</v>
      </c>
      <c r="B64" s="49">
        <v>400</v>
      </c>
      <c r="C64" s="17"/>
      <c r="D64" s="13">
        <v>15750</v>
      </c>
      <c r="E64" s="70">
        <v>250</v>
      </c>
      <c r="F64" s="14"/>
      <c r="G64" s="9">
        <v>15803</v>
      </c>
      <c r="H64" s="77">
        <v>200</v>
      </c>
      <c r="I64" s="10" t="s">
        <v>60</v>
      </c>
      <c r="J64" s="53"/>
      <c r="K64" s="72"/>
      <c r="L64" s="54"/>
      <c r="M64" s="75"/>
      <c r="N64" s="73"/>
      <c r="O64" s="15"/>
    </row>
    <row r="65" spans="1:15" x14ac:dyDescent="0.25">
      <c r="A65" s="16">
        <v>15696</v>
      </c>
      <c r="B65" s="49">
        <v>1200</v>
      </c>
      <c r="C65" s="17" t="s">
        <v>19</v>
      </c>
      <c r="D65" s="13">
        <v>15751</v>
      </c>
      <c r="E65" s="70">
        <v>400</v>
      </c>
      <c r="F65" s="14"/>
      <c r="G65" s="9">
        <v>15804</v>
      </c>
      <c r="H65" s="77">
        <v>400</v>
      </c>
      <c r="I65" s="10"/>
      <c r="J65" s="53"/>
      <c r="K65" s="72"/>
      <c r="L65" s="54"/>
      <c r="M65" s="75"/>
      <c r="N65" s="73"/>
      <c r="O65" s="15"/>
    </row>
    <row r="66" spans="1:15" x14ac:dyDescent="0.25">
      <c r="A66" s="16"/>
      <c r="B66" s="49"/>
      <c r="C66" s="17" t="s">
        <v>20</v>
      </c>
      <c r="D66" s="13">
        <v>15752</v>
      </c>
      <c r="E66" s="70">
        <v>800</v>
      </c>
      <c r="F66" s="14" t="s">
        <v>26</v>
      </c>
      <c r="G66" s="9">
        <v>15805</v>
      </c>
      <c r="H66" s="77">
        <v>450</v>
      </c>
      <c r="I66" s="10" t="s">
        <v>61</v>
      </c>
      <c r="J66" s="53"/>
      <c r="K66" s="72"/>
      <c r="L66" s="54"/>
      <c r="M66" s="75"/>
      <c r="N66" s="73"/>
      <c r="O66" s="15"/>
    </row>
    <row r="67" spans="1:15" x14ac:dyDescent="0.25">
      <c r="A67" s="16">
        <v>15697</v>
      </c>
      <c r="B67" s="49">
        <v>400</v>
      </c>
      <c r="C67" s="17"/>
      <c r="D67" s="13"/>
      <c r="E67" s="70"/>
      <c r="F67" s="14" t="s">
        <v>38</v>
      </c>
      <c r="G67" s="9">
        <v>15806</v>
      </c>
      <c r="H67" s="77">
        <v>400</v>
      </c>
      <c r="I67" s="10"/>
      <c r="J67" s="50"/>
      <c r="K67" s="79"/>
      <c r="L67" s="51"/>
      <c r="M67" s="75"/>
      <c r="N67" s="73"/>
      <c r="O67" s="15"/>
    </row>
    <row r="68" spans="1:15" x14ac:dyDescent="0.25">
      <c r="A68" s="16">
        <v>15698</v>
      </c>
      <c r="B68" s="49">
        <v>400</v>
      </c>
      <c r="C68" s="17"/>
      <c r="D68" s="13">
        <v>15753</v>
      </c>
      <c r="E68" s="70">
        <v>800</v>
      </c>
      <c r="F68" s="14" t="s">
        <v>24</v>
      </c>
      <c r="G68" s="9">
        <v>15807</v>
      </c>
      <c r="H68" s="77">
        <v>1200</v>
      </c>
      <c r="I68" s="10" t="s">
        <v>42</v>
      </c>
      <c r="J68" s="50"/>
      <c r="K68" s="79"/>
      <c r="L68" s="51"/>
      <c r="M68" s="75"/>
      <c r="N68" s="73"/>
      <c r="O68" s="15"/>
    </row>
    <row r="69" spans="1:15" x14ac:dyDescent="0.25">
      <c r="A69" s="16">
        <v>15699</v>
      </c>
      <c r="B69" s="49">
        <v>300</v>
      </c>
      <c r="C69" s="17"/>
      <c r="D69" s="13"/>
      <c r="E69" s="70"/>
      <c r="F69" s="14" t="s">
        <v>38</v>
      </c>
      <c r="G69" s="9">
        <v>15808</v>
      </c>
      <c r="H69" s="77">
        <v>4400</v>
      </c>
      <c r="I69" s="10" t="s">
        <v>59</v>
      </c>
      <c r="J69" s="50"/>
      <c r="K69" s="79"/>
      <c r="L69" s="51"/>
      <c r="M69" s="75"/>
      <c r="N69" s="73"/>
      <c r="O69" s="15"/>
    </row>
    <row r="70" spans="1:15" x14ac:dyDescent="0.25">
      <c r="A70" s="16">
        <v>15700</v>
      </c>
      <c r="B70" s="49">
        <v>4400</v>
      </c>
      <c r="C70" s="17" t="s">
        <v>14</v>
      </c>
      <c r="D70" s="13">
        <v>15754</v>
      </c>
      <c r="E70" s="70">
        <v>300</v>
      </c>
      <c r="F70" s="14"/>
      <c r="G70" s="9"/>
      <c r="H70" s="77"/>
      <c r="I70" s="10" t="s">
        <v>20</v>
      </c>
      <c r="J70" s="50"/>
      <c r="K70" s="79"/>
      <c r="L70" s="51"/>
      <c r="M70" s="75"/>
      <c r="N70" s="73"/>
      <c r="O70" s="15"/>
    </row>
    <row r="71" spans="1:15" x14ac:dyDescent="0.25">
      <c r="A71" s="16"/>
      <c r="B71" s="49"/>
      <c r="C71" s="17" t="s">
        <v>20</v>
      </c>
      <c r="D71" s="13"/>
      <c r="E71" s="70"/>
      <c r="F71" s="14"/>
      <c r="G71" s="9"/>
      <c r="H71" s="77"/>
      <c r="I71" s="10" t="s">
        <v>62</v>
      </c>
      <c r="J71" s="50"/>
      <c r="K71" s="79"/>
      <c r="L71" s="51"/>
      <c r="M71" s="75"/>
      <c r="N71" s="73"/>
      <c r="O71" s="15"/>
    </row>
    <row r="72" spans="1:15" x14ac:dyDescent="0.25">
      <c r="A72" s="16">
        <v>15701</v>
      </c>
      <c r="B72" s="49">
        <v>400</v>
      </c>
      <c r="C72" s="17"/>
      <c r="D72" s="13"/>
      <c r="E72" s="70"/>
      <c r="F72" s="14"/>
      <c r="G72" s="9">
        <v>15809</v>
      </c>
      <c r="H72" s="77">
        <v>50</v>
      </c>
      <c r="I72" s="10" t="s">
        <v>40</v>
      </c>
      <c r="J72" s="50"/>
      <c r="K72" s="79"/>
      <c r="L72" s="51"/>
      <c r="M72" s="75"/>
      <c r="N72" s="73"/>
      <c r="O72" s="15"/>
    </row>
    <row r="73" spans="1:15" x14ac:dyDescent="0.25">
      <c r="A73" s="16">
        <v>15702</v>
      </c>
      <c r="B73" s="49">
        <v>800</v>
      </c>
      <c r="C73" s="17" t="s">
        <v>33</v>
      </c>
      <c r="D73" s="13"/>
      <c r="E73" s="70"/>
      <c r="F73" s="14"/>
      <c r="G73" s="9">
        <v>15810</v>
      </c>
      <c r="H73" s="77">
        <v>50</v>
      </c>
      <c r="I73" s="10" t="s">
        <v>40</v>
      </c>
      <c r="J73" s="50"/>
      <c r="K73" s="79"/>
      <c r="L73" s="51"/>
      <c r="M73" s="75"/>
      <c r="N73" s="73"/>
      <c r="O73" s="15"/>
    </row>
    <row r="74" spans="1:15" x14ac:dyDescent="0.25">
      <c r="A74" s="16"/>
      <c r="B74" s="49"/>
      <c r="C74" s="17" t="s">
        <v>20</v>
      </c>
      <c r="D74" s="13"/>
      <c r="E74" s="70"/>
      <c r="F74" s="14"/>
      <c r="G74" s="9">
        <v>15811</v>
      </c>
      <c r="H74" s="77">
        <v>400</v>
      </c>
      <c r="I74" s="10"/>
      <c r="J74" s="50"/>
      <c r="K74" s="79"/>
      <c r="L74" s="51"/>
      <c r="M74" s="75"/>
      <c r="N74" s="73"/>
      <c r="O74" s="15"/>
    </row>
    <row r="75" spans="1:15" x14ac:dyDescent="0.25">
      <c r="A75" s="16">
        <v>15703</v>
      </c>
      <c r="B75" s="49">
        <v>300</v>
      </c>
      <c r="C75" s="17"/>
      <c r="D75" s="13"/>
      <c r="E75" s="70"/>
      <c r="F75" s="14"/>
      <c r="G75" s="9">
        <v>15812</v>
      </c>
      <c r="H75" s="77">
        <v>300</v>
      </c>
      <c r="I75" s="10"/>
      <c r="J75" s="50"/>
      <c r="K75" s="79"/>
      <c r="L75" s="51"/>
      <c r="M75" s="75"/>
      <c r="N75" s="73"/>
      <c r="O75" s="15"/>
    </row>
    <row r="76" spans="1:15" x14ac:dyDescent="0.25">
      <c r="A76" s="16">
        <v>15704</v>
      </c>
      <c r="B76" s="49">
        <v>1200</v>
      </c>
      <c r="C76" s="17" t="s">
        <v>34</v>
      </c>
      <c r="D76" s="13"/>
      <c r="E76" s="70"/>
      <c r="F76" s="14"/>
      <c r="G76" s="9">
        <v>15813</v>
      </c>
      <c r="H76" s="77">
        <v>900</v>
      </c>
      <c r="I76" s="10" t="s">
        <v>64</v>
      </c>
      <c r="J76" s="50"/>
      <c r="K76" s="79"/>
      <c r="L76" s="51"/>
      <c r="M76" s="75"/>
      <c r="N76" s="73"/>
      <c r="O76" s="15"/>
    </row>
    <row r="77" spans="1:15" x14ac:dyDescent="0.25">
      <c r="A77" s="16"/>
      <c r="B77" s="49"/>
      <c r="C77" s="17" t="s">
        <v>15</v>
      </c>
      <c r="D77" s="13"/>
      <c r="E77" s="70"/>
      <c r="F77" s="14"/>
      <c r="G77" s="9"/>
      <c r="H77" s="77"/>
      <c r="I77" s="10" t="s">
        <v>65</v>
      </c>
      <c r="J77" s="50"/>
      <c r="K77" s="79"/>
      <c r="L77" s="51"/>
      <c r="M77" s="75"/>
      <c r="N77" s="73"/>
      <c r="O77" s="15"/>
    </row>
    <row r="78" spans="1:15" x14ac:dyDescent="0.25">
      <c r="A78" s="16">
        <v>15705</v>
      </c>
      <c r="B78" s="49">
        <v>3300</v>
      </c>
      <c r="C78" s="17" t="s">
        <v>14</v>
      </c>
      <c r="D78" s="13"/>
      <c r="E78" s="70"/>
      <c r="F78" s="14"/>
      <c r="G78" s="9">
        <v>15814</v>
      </c>
      <c r="H78" s="77">
        <v>250</v>
      </c>
      <c r="I78" s="10" t="s">
        <v>66</v>
      </c>
      <c r="J78" s="50"/>
      <c r="K78" s="79"/>
      <c r="L78" s="51"/>
      <c r="M78" s="75"/>
      <c r="N78" s="73"/>
      <c r="O78" s="15"/>
    </row>
    <row r="79" spans="1:15" x14ac:dyDescent="0.25">
      <c r="A79" s="16"/>
      <c r="B79" s="49"/>
      <c r="C79" s="17" t="s">
        <v>23</v>
      </c>
      <c r="D79" s="13"/>
      <c r="E79" s="70"/>
      <c r="F79" s="14"/>
      <c r="G79" s="9"/>
      <c r="H79" s="77"/>
      <c r="I79" s="10" t="s">
        <v>56</v>
      </c>
      <c r="J79" s="50"/>
      <c r="K79" s="79"/>
      <c r="L79" s="51"/>
      <c r="M79" s="75"/>
      <c r="N79" s="73"/>
      <c r="O79" s="15"/>
    </row>
    <row r="80" spans="1:15" x14ac:dyDescent="0.25">
      <c r="A80" s="16">
        <v>15706</v>
      </c>
      <c r="B80" s="49">
        <v>400</v>
      </c>
      <c r="C80" s="17"/>
      <c r="D80" s="13"/>
      <c r="E80" s="70"/>
      <c r="F80" s="14"/>
      <c r="G80" s="9">
        <v>15815</v>
      </c>
      <c r="H80" s="77">
        <v>800</v>
      </c>
      <c r="I80" s="10" t="s">
        <v>67</v>
      </c>
      <c r="J80" s="50"/>
      <c r="K80" s="79"/>
      <c r="L80" s="51"/>
      <c r="M80" s="75"/>
      <c r="N80" s="73"/>
      <c r="O80" s="15"/>
    </row>
    <row r="81" spans="1:15" x14ac:dyDescent="0.25">
      <c r="A81" s="16">
        <v>15707</v>
      </c>
      <c r="B81" s="49">
        <v>4400</v>
      </c>
      <c r="C81" s="17" t="s">
        <v>14</v>
      </c>
      <c r="D81" s="13"/>
      <c r="E81" s="70"/>
      <c r="F81" s="14"/>
      <c r="G81" s="9"/>
      <c r="H81" s="77"/>
      <c r="I81" s="10" t="s">
        <v>20</v>
      </c>
      <c r="J81" s="50"/>
      <c r="K81" s="79"/>
      <c r="L81" s="51"/>
      <c r="M81" s="75"/>
      <c r="N81" s="73"/>
      <c r="O81" s="15"/>
    </row>
    <row r="82" spans="1:15" x14ac:dyDescent="0.25">
      <c r="A82" s="16"/>
      <c r="B82" s="49"/>
      <c r="C82" s="17" t="s">
        <v>20</v>
      </c>
      <c r="D82" s="13"/>
      <c r="E82" s="70"/>
      <c r="F82" s="14"/>
      <c r="G82" s="9">
        <v>15816</v>
      </c>
      <c r="H82" s="77">
        <v>400</v>
      </c>
      <c r="I82" s="10"/>
      <c r="J82" s="50"/>
      <c r="K82" s="79"/>
      <c r="L82" s="51"/>
      <c r="M82" s="75"/>
      <c r="N82" s="73"/>
      <c r="O82" s="15"/>
    </row>
    <row r="83" spans="1:15" x14ac:dyDescent="0.25">
      <c r="A83" s="16"/>
      <c r="B83" s="49"/>
      <c r="C83" s="17" t="s">
        <v>16</v>
      </c>
      <c r="D83" s="13"/>
      <c r="E83" s="70"/>
      <c r="F83" s="14"/>
      <c r="G83" s="9">
        <v>15817</v>
      </c>
      <c r="H83" s="77">
        <v>800</v>
      </c>
      <c r="I83" s="10" t="s">
        <v>24</v>
      </c>
      <c r="J83" s="50"/>
      <c r="K83" s="79"/>
      <c r="L83" s="51"/>
      <c r="M83" s="75"/>
      <c r="N83" s="73"/>
      <c r="O83" s="15"/>
    </row>
    <row r="84" spans="1:15" x14ac:dyDescent="0.25">
      <c r="A84" s="16">
        <v>15708</v>
      </c>
      <c r="B84" s="49">
        <v>450</v>
      </c>
      <c r="C84" s="17" t="s">
        <v>35</v>
      </c>
      <c r="D84" s="13"/>
      <c r="E84" s="70"/>
      <c r="F84" s="14"/>
      <c r="G84" s="9"/>
      <c r="H84" s="77"/>
      <c r="I84" s="10" t="s">
        <v>20</v>
      </c>
      <c r="J84" s="50"/>
      <c r="K84" s="79"/>
      <c r="L84" s="51"/>
      <c r="M84" s="75"/>
      <c r="N84" s="73"/>
      <c r="O84" s="15"/>
    </row>
    <row r="85" spans="1:15" x14ac:dyDescent="0.25">
      <c r="A85" s="16"/>
      <c r="B85" s="49"/>
      <c r="C85" s="17" t="s">
        <v>36</v>
      </c>
      <c r="D85" s="13"/>
      <c r="E85" s="70"/>
      <c r="F85" s="14"/>
      <c r="G85" s="9">
        <v>15818</v>
      </c>
      <c r="H85" s="77">
        <v>600</v>
      </c>
      <c r="I85" s="10" t="s">
        <v>19</v>
      </c>
      <c r="J85" s="50"/>
      <c r="K85" s="79"/>
      <c r="L85" s="51"/>
      <c r="M85" s="75"/>
      <c r="N85" s="73"/>
      <c r="O85" s="15"/>
    </row>
    <row r="86" spans="1:15" x14ac:dyDescent="0.25">
      <c r="A86" s="16">
        <v>15709</v>
      </c>
      <c r="B86" s="49">
        <v>3080</v>
      </c>
      <c r="C86" s="17" t="s">
        <v>14</v>
      </c>
      <c r="D86" s="13"/>
      <c r="E86" s="70"/>
      <c r="F86" s="14"/>
      <c r="G86" s="9"/>
      <c r="H86" s="77"/>
      <c r="I86" s="108">
        <v>200</v>
      </c>
      <c r="J86" s="50"/>
      <c r="K86" s="79"/>
      <c r="L86" s="51"/>
      <c r="M86" s="75"/>
      <c r="N86" s="73"/>
      <c r="O86" s="15"/>
    </row>
    <row r="87" spans="1:15" x14ac:dyDescent="0.25">
      <c r="A87" s="16"/>
      <c r="B87" s="49"/>
      <c r="C87" s="17" t="s">
        <v>37</v>
      </c>
      <c r="D87" s="13"/>
      <c r="E87" s="70"/>
      <c r="F87" s="14"/>
      <c r="G87" s="9">
        <v>15819</v>
      </c>
      <c r="H87" s="77">
        <v>1200</v>
      </c>
      <c r="I87" s="10" t="s">
        <v>22</v>
      </c>
      <c r="J87" s="50"/>
      <c r="K87" s="79"/>
      <c r="L87" s="51"/>
      <c r="M87" s="75"/>
      <c r="N87" s="73"/>
      <c r="O87" s="15"/>
    </row>
    <row r="88" spans="1:15" x14ac:dyDescent="0.25">
      <c r="A88" s="16"/>
      <c r="B88" s="49"/>
      <c r="C88" s="17" t="s">
        <v>16</v>
      </c>
      <c r="D88" s="13"/>
      <c r="E88" s="70"/>
      <c r="F88" s="14"/>
      <c r="G88" s="9"/>
      <c r="H88" s="77"/>
      <c r="I88" s="10" t="s">
        <v>68</v>
      </c>
      <c r="J88" s="50"/>
      <c r="K88" s="79"/>
      <c r="L88" s="51"/>
      <c r="M88" s="75"/>
      <c r="N88" s="73"/>
      <c r="O88" s="15"/>
    </row>
    <row r="89" spans="1:15" x14ac:dyDescent="0.25">
      <c r="A89" s="16">
        <v>15710</v>
      </c>
      <c r="B89" s="49"/>
      <c r="C89" s="17" t="s">
        <v>27</v>
      </c>
      <c r="D89" s="13"/>
      <c r="E89" s="70"/>
      <c r="F89" s="14"/>
      <c r="G89" s="9">
        <v>15820</v>
      </c>
      <c r="H89" s="77">
        <v>400</v>
      </c>
      <c r="I89" s="10" t="s">
        <v>21</v>
      </c>
      <c r="J89" s="50"/>
      <c r="K89" s="79"/>
      <c r="L89" s="51"/>
      <c r="M89" s="75"/>
      <c r="N89" s="73"/>
      <c r="O89" s="15"/>
    </row>
    <row r="90" spans="1:15" x14ac:dyDescent="0.25">
      <c r="A90" s="16">
        <v>15711</v>
      </c>
      <c r="B90" s="49">
        <v>300</v>
      </c>
      <c r="C90" s="17" t="s">
        <v>21</v>
      </c>
      <c r="D90" s="13"/>
      <c r="E90" s="70"/>
      <c r="F90" s="14"/>
      <c r="G90" s="9">
        <v>15821</v>
      </c>
      <c r="H90" s="77">
        <v>4400</v>
      </c>
      <c r="I90" s="10" t="s">
        <v>59</v>
      </c>
      <c r="J90" s="50"/>
      <c r="K90" s="79"/>
      <c r="L90" s="51"/>
      <c r="M90" s="75"/>
      <c r="N90" s="73"/>
      <c r="O90" s="15"/>
    </row>
    <row r="91" spans="1:15" x14ac:dyDescent="0.25">
      <c r="A91" s="16">
        <v>15712</v>
      </c>
      <c r="B91" s="49">
        <v>400</v>
      </c>
      <c r="C91" s="17"/>
      <c r="D91" s="13"/>
      <c r="E91" s="70"/>
      <c r="F91" s="14"/>
      <c r="G91" s="9"/>
      <c r="H91" s="77"/>
      <c r="I91" s="10" t="s">
        <v>20</v>
      </c>
      <c r="J91" s="50"/>
      <c r="K91" s="79"/>
      <c r="L91" s="51"/>
      <c r="M91" s="75"/>
      <c r="N91" s="73"/>
      <c r="O91" s="15"/>
    </row>
    <row r="92" spans="1:15" x14ac:dyDescent="0.25">
      <c r="A92" s="16">
        <v>15713</v>
      </c>
      <c r="B92" s="49">
        <v>400</v>
      </c>
      <c r="C92" s="17"/>
      <c r="D92" s="13"/>
      <c r="E92" s="70"/>
      <c r="F92" s="14"/>
      <c r="G92" s="9"/>
      <c r="H92" s="77"/>
      <c r="I92" s="10" t="s">
        <v>62</v>
      </c>
      <c r="J92" s="50"/>
      <c r="K92" s="79"/>
      <c r="L92" s="51"/>
      <c r="M92" s="75"/>
      <c r="N92" s="73"/>
      <c r="O92" s="15"/>
    </row>
    <row r="93" spans="1:15" x14ac:dyDescent="0.25">
      <c r="A93" s="16">
        <v>15714</v>
      </c>
      <c r="B93" s="49">
        <v>250</v>
      </c>
      <c r="C93" s="17" t="s">
        <v>21</v>
      </c>
      <c r="D93" s="13"/>
      <c r="E93" s="70"/>
      <c r="F93" s="14"/>
      <c r="G93" s="9">
        <v>15822</v>
      </c>
      <c r="H93" s="77">
        <v>4400</v>
      </c>
      <c r="I93" s="10" t="s">
        <v>59</v>
      </c>
      <c r="J93" s="50"/>
      <c r="K93" s="79"/>
      <c r="L93" s="51"/>
      <c r="M93" s="75"/>
      <c r="N93" s="73"/>
      <c r="O93" s="15"/>
    </row>
    <row r="94" spans="1:15" x14ac:dyDescent="0.25">
      <c r="A94" s="16">
        <v>15715</v>
      </c>
      <c r="B94" s="49">
        <v>300</v>
      </c>
      <c r="C94" s="17" t="s">
        <v>21</v>
      </c>
      <c r="D94" s="13"/>
      <c r="E94" s="70"/>
      <c r="F94" s="14"/>
      <c r="G94" s="9"/>
      <c r="H94" s="77"/>
      <c r="I94" s="10" t="s">
        <v>20</v>
      </c>
      <c r="J94" s="50"/>
      <c r="K94" s="79"/>
      <c r="L94" s="51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9"/>
      <c r="H95" s="77"/>
      <c r="I95" s="10" t="s">
        <v>62</v>
      </c>
      <c r="J95" s="50"/>
      <c r="K95" s="79"/>
      <c r="L95" s="51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9">
        <v>15823</v>
      </c>
      <c r="H96" s="77">
        <v>750</v>
      </c>
      <c r="I96" s="10" t="s">
        <v>19</v>
      </c>
      <c r="J96" s="50"/>
      <c r="K96" s="79"/>
      <c r="L96" s="51"/>
      <c r="M96" s="75"/>
      <c r="N96" s="73"/>
      <c r="O96" s="15"/>
    </row>
    <row r="97" spans="1:16" x14ac:dyDescent="0.25">
      <c r="A97" s="16"/>
      <c r="B97" s="49"/>
      <c r="C97" s="17"/>
      <c r="D97" s="13"/>
      <c r="E97" s="70"/>
      <c r="F97" s="14"/>
      <c r="G97" s="9"/>
      <c r="H97" s="77"/>
      <c r="I97" s="10" t="s">
        <v>69</v>
      </c>
      <c r="J97" s="50"/>
      <c r="K97" s="79"/>
      <c r="L97" s="51"/>
      <c r="M97" s="75"/>
      <c r="N97" s="73"/>
      <c r="O97" s="15"/>
    </row>
    <row r="98" spans="1:16" x14ac:dyDescent="0.25">
      <c r="A98" s="16"/>
      <c r="B98" s="49"/>
      <c r="C98" s="17"/>
      <c r="D98" s="13"/>
      <c r="E98" s="70"/>
      <c r="F98" s="14"/>
      <c r="G98" s="9">
        <v>15824</v>
      </c>
      <c r="H98" s="77">
        <v>800</v>
      </c>
      <c r="I98" s="10" t="s">
        <v>24</v>
      </c>
      <c r="J98" s="50"/>
      <c r="K98" s="79"/>
      <c r="L98" s="51"/>
      <c r="M98" s="75"/>
      <c r="N98" s="73"/>
      <c r="O98" s="15"/>
    </row>
    <row r="99" spans="1:16" x14ac:dyDescent="0.25">
      <c r="A99" s="16"/>
      <c r="B99" s="49"/>
      <c r="C99" s="17"/>
      <c r="D99" s="13"/>
      <c r="E99" s="70"/>
      <c r="F99" s="14"/>
      <c r="G99" s="9"/>
      <c r="H99" s="77"/>
      <c r="I99" s="10" t="s">
        <v>20</v>
      </c>
      <c r="J99" s="50"/>
      <c r="K99" s="79"/>
      <c r="L99" s="51"/>
      <c r="M99" s="75"/>
      <c r="N99" s="73"/>
      <c r="O99" s="15"/>
    </row>
    <row r="100" spans="1:16" x14ac:dyDescent="0.25">
      <c r="A100" s="16"/>
      <c r="B100" s="49"/>
      <c r="C100" s="17"/>
      <c r="D100" s="13"/>
      <c r="E100" s="70"/>
      <c r="F100" s="14"/>
      <c r="G100" s="9">
        <v>15825</v>
      </c>
      <c r="H100" s="77">
        <v>700</v>
      </c>
      <c r="I100" s="10" t="s">
        <v>24</v>
      </c>
      <c r="J100" s="50"/>
      <c r="K100" s="79"/>
      <c r="L100" s="51"/>
      <c r="M100" s="75"/>
      <c r="N100" s="73"/>
      <c r="O100" s="15"/>
    </row>
    <row r="101" spans="1:16" x14ac:dyDescent="0.25">
      <c r="A101" s="16"/>
      <c r="B101" s="49"/>
      <c r="C101" s="17"/>
      <c r="D101" s="13"/>
      <c r="E101" s="70"/>
      <c r="F101" s="14"/>
      <c r="G101" s="9"/>
      <c r="H101" s="77"/>
      <c r="I101" s="10" t="s">
        <v>43</v>
      </c>
      <c r="J101" s="50"/>
      <c r="K101" s="79"/>
      <c r="L101" s="51"/>
      <c r="M101" s="75"/>
      <c r="N101" s="73"/>
      <c r="O101" s="15"/>
    </row>
    <row r="102" spans="1:16" x14ac:dyDescent="0.25">
      <c r="A102" s="16"/>
      <c r="B102" s="49"/>
      <c r="C102" s="17"/>
      <c r="D102" s="13"/>
      <c r="E102" s="70"/>
      <c r="F102" s="14"/>
      <c r="G102" s="9">
        <v>15826</v>
      </c>
      <c r="H102" s="77">
        <v>50</v>
      </c>
      <c r="I102" s="10" t="s">
        <v>40</v>
      </c>
      <c r="J102" s="50"/>
      <c r="K102" s="79"/>
      <c r="L102" s="51"/>
      <c r="M102" s="75"/>
      <c r="N102" s="73"/>
      <c r="O102" s="15"/>
    </row>
    <row r="103" spans="1:16" x14ac:dyDescent="0.25">
      <c r="A103" s="26"/>
      <c r="B103" s="66"/>
      <c r="C103" s="58"/>
      <c r="D103" s="26"/>
      <c r="E103" s="74"/>
      <c r="F103" s="58"/>
      <c r="G103" s="26"/>
      <c r="H103" s="74"/>
      <c r="I103" s="58"/>
      <c r="J103" s="140"/>
      <c r="K103" s="141"/>
      <c r="L103" s="142"/>
      <c r="M103" s="26"/>
      <c r="N103" s="74"/>
      <c r="O103" s="58"/>
      <c r="P103" s="58"/>
    </row>
    <row r="104" spans="1:16" x14ac:dyDescent="0.25">
      <c r="A104" s="26"/>
      <c r="B104" s="66"/>
      <c r="C104" s="58"/>
      <c r="D104" s="26"/>
      <c r="E104" s="74"/>
      <c r="F104" s="58"/>
      <c r="G104" s="26"/>
      <c r="H104" s="74"/>
      <c r="I104" s="58"/>
      <c r="J104" s="140"/>
      <c r="K104" s="141"/>
      <c r="L104" s="142"/>
      <c r="M104" s="26"/>
      <c r="N104" s="74"/>
      <c r="O104" s="58"/>
      <c r="P104" s="58"/>
    </row>
    <row r="105" spans="1:16" x14ac:dyDescent="0.25">
      <c r="A105" s="26"/>
      <c r="B105" s="66"/>
      <c r="C105" s="58"/>
      <c r="D105" s="26"/>
      <c r="E105" s="74"/>
      <c r="F105" s="58"/>
      <c r="G105" s="26"/>
      <c r="H105" s="74"/>
      <c r="I105" s="58"/>
      <c r="J105" s="140"/>
      <c r="K105" s="141"/>
      <c r="L105" s="142"/>
      <c r="M105" s="26"/>
      <c r="N105" s="74"/>
      <c r="O105" s="58"/>
      <c r="P105" s="58"/>
    </row>
    <row r="106" spans="1:16" x14ac:dyDescent="0.25">
      <c r="A106" s="26"/>
      <c r="B106" s="66"/>
      <c r="C106" s="58"/>
      <c r="D106" s="26"/>
      <c r="E106" s="74"/>
      <c r="F106" s="58"/>
      <c r="G106" s="26"/>
      <c r="H106" s="74"/>
      <c r="I106" s="58"/>
      <c r="J106" s="140"/>
      <c r="K106" s="141"/>
      <c r="L106" s="142"/>
      <c r="M106" s="26"/>
      <c r="N106" s="74"/>
      <c r="O106" s="58"/>
      <c r="P106" s="58"/>
    </row>
    <row r="107" spans="1:16" x14ac:dyDescent="0.25">
      <c r="A107" s="26"/>
      <c r="B107" s="66"/>
      <c r="C107" s="58"/>
      <c r="D107" s="26"/>
      <c r="E107" s="74"/>
      <c r="F107" s="58"/>
      <c r="G107" s="26"/>
      <c r="H107" s="74"/>
      <c r="I107" s="58"/>
      <c r="J107" s="140"/>
      <c r="K107" s="141"/>
      <c r="L107" s="142"/>
      <c r="M107" s="26"/>
      <c r="N107" s="74"/>
      <c r="O107" s="58"/>
      <c r="P107" s="58"/>
    </row>
    <row r="108" spans="1:16" x14ac:dyDescent="0.25">
      <c r="A108" s="26"/>
      <c r="B108" s="66"/>
      <c r="C108" s="58"/>
      <c r="D108" s="26"/>
      <c r="E108" s="74"/>
      <c r="F108" s="58"/>
      <c r="G108" s="26"/>
      <c r="H108" s="74"/>
      <c r="I108" s="58"/>
      <c r="J108" s="140"/>
      <c r="K108" s="141"/>
      <c r="L108" s="142"/>
      <c r="M108" s="26"/>
      <c r="N108" s="74"/>
      <c r="O108" s="58"/>
      <c r="P108" s="58"/>
    </row>
    <row r="109" spans="1:16" x14ac:dyDescent="0.25">
      <c r="A109" s="26"/>
      <c r="B109" s="66"/>
      <c r="C109" s="58"/>
      <c r="D109" s="26"/>
      <c r="E109" s="74"/>
      <c r="F109" s="58"/>
      <c r="G109" s="26"/>
      <c r="H109" s="74"/>
      <c r="I109" s="58"/>
      <c r="J109" s="140"/>
      <c r="K109" s="141"/>
      <c r="L109" s="142"/>
      <c r="M109" s="26"/>
      <c r="N109" s="74"/>
      <c r="O109" s="58"/>
      <c r="P109" s="58"/>
    </row>
    <row r="110" spans="1:16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140"/>
      <c r="K110" s="141"/>
      <c r="L110" s="142"/>
      <c r="M110" s="26"/>
      <c r="N110" s="74"/>
      <c r="O110" s="58"/>
      <c r="P110" s="58"/>
    </row>
    <row r="111" spans="1:16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140"/>
      <c r="K111" s="141"/>
      <c r="L111" s="142"/>
      <c r="M111" s="26"/>
      <c r="N111" s="74"/>
      <c r="O111" s="58"/>
      <c r="P111" s="58"/>
    </row>
    <row r="112" spans="1:16" x14ac:dyDescent="0.25">
      <c r="A112" s="26"/>
      <c r="B112" s="2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  <c r="P112" s="58"/>
    </row>
    <row r="113" spans="1:16" x14ac:dyDescent="0.25">
      <c r="A113" s="26"/>
      <c r="B113" s="2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  <c r="P113" s="58"/>
    </row>
    <row r="114" spans="1:16" x14ac:dyDescent="0.25">
      <c r="A114" s="26"/>
      <c r="B114" s="2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  <c r="P114" s="58"/>
    </row>
    <row r="115" spans="1:16" x14ac:dyDescent="0.25">
      <c r="A115" s="26"/>
      <c r="B115" s="2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  <c r="P115" s="58"/>
    </row>
    <row r="116" spans="1:16" x14ac:dyDescent="0.25">
      <c r="A116" s="26"/>
      <c r="B116" s="2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  <c r="P116" s="58"/>
    </row>
    <row r="117" spans="1:16" x14ac:dyDescent="0.25">
      <c r="A117" s="26"/>
      <c r="B117" s="2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  <c r="P117" s="58"/>
    </row>
    <row r="118" spans="1:16" x14ac:dyDescent="0.25">
      <c r="A118" s="26"/>
      <c r="B118" s="2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  <c r="P118" s="58"/>
    </row>
    <row r="119" spans="1:16" x14ac:dyDescent="0.25">
      <c r="A119" s="26"/>
      <c r="B119" s="2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  <c r="P119" s="58"/>
    </row>
    <row r="120" spans="1:16" x14ac:dyDescent="0.25">
      <c r="A120" s="26"/>
      <c r="B120" s="2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  <c r="P120" s="58"/>
    </row>
    <row r="121" spans="1:16" x14ac:dyDescent="0.25">
      <c r="A121" s="26"/>
      <c r="B121" s="2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  <c r="P121" s="58"/>
    </row>
    <row r="122" spans="1:16" x14ac:dyDescent="0.25">
      <c r="A122" s="26"/>
      <c r="B122" s="2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  <c r="P122" s="58"/>
    </row>
    <row r="123" spans="1:16" x14ac:dyDescent="0.25">
      <c r="A123" s="26"/>
      <c r="B123" s="2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  <c r="P123" s="58"/>
    </row>
    <row r="124" spans="1:16" x14ac:dyDescent="0.25">
      <c r="A124" s="26"/>
      <c r="B124" s="2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  <c r="P124" s="58"/>
    </row>
    <row r="125" spans="1:16" x14ac:dyDescent="0.25">
      <c r="A125" s="26"/>
      <c r="B125" s="2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  <c r="P125" s="58"/>
    </row>
    <row r="126" spans="1:16" x14ac:dyDescent="0.25">
      <c r="A126" s="26"/>
      <c r="B126" s="2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  <c r="P126" s="58"/>
    </row>
    <row r="127" spans="1:16" x14ac:dyDescent="0.25">
      <c r="A127" s="26"/>
      <c r="B127" s="2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  <c r="P127" s="58"/>
    </row>
    <row r="128" spans="1:16" x14ac:dyDescent="0.25">
      <c r="A128" s="26"/>
      <c r="B128" s="2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  <c r="P128" s="58"/>
    </row>
  </sheetData>
  <mergeCells count="9">
    <mergeCell ref="P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1"/>
  <sheetViews>
    <sheetView topLeftCell="A5" zoomScaleNormal="100" workbookViewId="0">
      <pane ySplit="3" topLeftCell="A103" activePane="bottomLeft" state="frozen"/>
      <selection activeCell="A5" sqref="A5"/>
      <selection pane="bottomLeft" activeCell="A103" sqref="A103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4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1.28515625" customWidth="1"/>
  </cols>
  <sheetData>
    <row r="1" spans="1:18" ht="15.75" x14ac:dyDescent="0.25">
      <c r="A1" s="122" t="s">
        <v>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4" t="s">
        <v>11</v>
      </c>
      <c r="M1" s="12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5" t="s">
        <v>8</v>
      </c>
      <c r="D3" s="125"/>
      <c r="E3" s="18" t="s">
        <v>9</v>
      </c>
      <c r="F3" s="3">
        <f>A6+D6+G6+J6+M6</f>
        <v>185</v>
      </c>
      <c r="H3" s="3" t="s">
        <v>3</v>
      </c>
      <c r="I3" s="2">
        <f>B6+E6+H6+K6+N6</f>
        <v>132600</v>
      </c>
    </row>
    <row r="5" spans="1:18" x14ac:dyDescent="0.25">
      <c r="A5" s="126" t="s">
        <v>0</v>
      </c>
      <c r="B5" s="126"/>
      <c r="C5" s="126"/>
      <c r="D5" s="127" t="s">
        <v>4</v>
      </c>
      <c r="E5" s="127"/>
      <c r="F5" s="127"/>
      <c r="G5" s="128" t="s">
        <v>5</v>
      </c>
      <c r="H5" s="128"/>
      <c r="I5" s="128"/>
      <c r="J5" s="129" t="s">
        <v>6</v>
      </c>
      <c r="K5" s="129"/>
      <c r="L5" s="129"/>
      <c r="M5" s="121" t="s">
        <v>12</v>
      </c>
      <c r="N5" s="121"/>
      <c r="O5" s="121"/>
      <c r="P5" s="27"/>
      <c r="Q5" s="130" t="s">
        <v>13</v>
      </c>
      <c r="R5" s="130"/>
    </row>
    <row r="6" spans="1:18" x14ac:dyDescent="0.25">
      <c r="A6" s="8">
        <f>SUBTOTAL(3,A8:A122)</f>
        <v>44</v>
      </c>
      <c r="B6" s="8">
        <f>SUBTOTAL(9,B8:B122)</f>
        <v>19975</v>
      </c>
      <c r="C6" s="35">
        <v>43135</v>
      </c>
      <c r="D6" s="8">
        <f>SUBTOTAL(3,D8:D121)</f>
        <v>65</v>
      </c>
      <c r="E6" s="1">
        <f>SUBTOTAL(9,E8:E121)</f>
        <v>45125</v>
      </c>
      <c r="F6" s="38">
        <v>43142</v>
      </c>
      <c r="G6" s="8">
        <f>SUBTOTAL(3,G8:G121)</f>
        <v>37</v>
      </c>
      <c r="H6" s="1">
        <f>SUBTOTAL(9,H8:H121)</f>
        <v>31425</v>
      </c>
      <c r="I6" s="39">
        <v>43149</v>
      </c>
      <c r="J6" s="8">
        <f>SUBTOTAL(3,J8:J107)</f>
        <v>39</v>
      </c>
      <c r="K6" s="1">
        <f>SUM(K8:K145)</f>
        <v>36075</v>
      </c>
      <c r="L6" s="83">
        <v>43156</v>
      </c>
      <c r="M6" s="1">
        <f>SUBTOTAL(3,M8:M121)</f>
        <v>0</v>
      </c>
      <c r="N6" s="1">
        <f>SUBTOTAL(9,N8:N121)</f>
        <v>0</v>
      </c>
      <c r="O6" s="86"/>
      <c r="Q6" s="30">
        <f>+A6+'C C Aportaciones FEB 18'!D6+G6+J6+M6</f>
        <v>185</v>
      </c>
      <c r="R6" s="29">
        <f>+B6+E6+H6+K6+N6</f>
        <v>132600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Q7" s="42" t="s">
        <v>9</v>
      </c>
      <c r="R7" s="42" t="s">
        <v>3</v>
      </c>
    </row>
    <row r="8" spans="1:18" x14ac:dyDescent="0.25">
      <c r="A8" s="16">
        <v>15857</v>
      </c>
      <c r="B8" s="49">
        <v>400</v>
      </c>
      <c r="C8" s="17" t="s">
        <v>82</v>
      </c>
      <c r="D8" s="13">
        <v>15901</v>
      </c>
      <c r="E8" s="70">
        <v>50</v>
      </c>
      <c r="F8" s="14" t="s">
        <v>40</v>
      </c>
      <c r="G8" s="9">
        <v>15966</v>
      </c>
      <c r="H8" s="77">
        <v>300</v>
      </c>
      <c r="I8" s="10" t="s">
        <v>61</v>
      </c>
      <c r="J8" s="50">
        <v>16003</v>
      </c>
      <c r="K8" s="79">
        <v>400</v>
      </c>
      <c r="L8" s="51" t="s">
        <v>24</v>
      </c>
      <c r="M8" s="75"/>
      <c r="N8" s="73"/>
      <c r="O8" s="15"/>
    </row>
    <row r="9" spans="1:18" x14ac:dyDescent="0.25">
      <c r="A9" s="16">
        <v>15858</v>
      </c>
      <c r="B9" s="49">
        <v>600</v>
      </c>
      <c r="C9" s="17" t="s">
        <v>93</v>
      </c>
      <c r="D9" s="13">
        <v>15902</v>
      </c>
      <c r="E9" s="70">
        <v>600</v>
      </c>
      <c r="F9" s="23" t="s">
        <v>82</v>
      </c>
      <c r="G9" s="9">
        <v>15967</v>
      </c>
      <c r="H9" s="77">
        <v>250</v>
      </c>
      <c r="I9" s="10" t="s">
        <v>114</v>
      </c>
      <c r="J9" s="50"/>
      <c r="K9" s="79"/>
      <c r="L9" s="51" t="s">
        <v>15</v>
      </c>
      <c r="M9" s="75"/>
      <c r="N9" s="73"/>
      <c r="O9" s="15"/>
    </row>
    <row r="10" spans="1:18" x14ac:dyDescent="0.25">
      <c r="A10" s="16"/>
      <c r="B10" s="49"/>
      <c r="C10" s="17" t="s">
        <v>15</v>
      </c>
      <c r="D10" s="13">
        <v>15903</v>
      </c>
      <c r="E10" s="70">
        <v>800</v>
      </c>
      <c r="F10" s="14" t="s">
        <v>83</v>
      </c>
      <c r="G10" s="9">
        <v>15968</v>
      </c>
      <c r="H10" s="77">
        <v>75</v>
      </c>
      <c r="I10" s="10" t="s">
        <v>115</v>
      </c>
      <c r="J10" s="50">
        <v>16004</v>
      </c>
      <c r="K10" s="79">
        <v>200</v>
      </c>
      <c r="L10" s="51"/>
      <c r="M10" s="75"/>
      <c r="N10" s="73"/>
      <c r="O10" s="15"/>
    </row>
    <row r="11" spans="1:18" x14ac:dyDescent="0.25">
      <c r="A11" s="16">
        <v>15859</v>
      </c>
      <c r="B11" s="49">
        <v>200</v>
      </c>
      <c r="C11" s="17" t="s">
        <v>41</v>
      </c>
      <c r="D11" s="13"/>
      <c r="E11" s="70"/>
      <c r="F11" s="14" t="s">
        <v>20</v>
      </c>
      <c r="G11" s="9">
        <v>15969</v>
      </c>
      <c r="H11" s="77">
        <v>300</v>
      </c>
      <c r="I11" s="10"/>
      <c r="J11" s="50">
        <v>16005</v>
      </c>
      <c r="K11" s="79">
        <v>75</v>
      </c>
      <c r="L11" s="51" t="s">
        <v>124</v>
      </c>
      <c r="M11" s="75"/>
      <c r="N11" s="73"/>
      <c r="O11" s="15"/>
    </row>
    <row r="12" spans="1:18" x14ac:dyDescent="0.25">
      <c r="A12" s="16">
        <v>15860</v>
      </c>
      <c r="B12" s="49">
        <v>400</v>
      </c>
      <c r="C12" s="17"/>
      <c r="D12" s="13">
        <v>15904</v>
      </c>
      <c r="E12" s="70">
        <v>100</v>
      </c>
      <c r="F12" s="14" t="s">
        <v>84</v>
      </c>
      <c r="G12" s="9">
        <v>15970</v>
      </c>
      <c r="H12" s="77">
        <v>50</v>
      </c>
      <c r="I12" s="10" t="s">
        <v>40</v>
      </c>
      <c r="J12" s="50">
        <v>16006</v>
      </c>
      <c r="K12" s="79">
        <v>200</v>
      </c>
      <c r="L12" s="51" t="s">
        <v>125</v>
      </c>
      <c r="M12" s="75"/>
      <c r="N12" s="73"/>
      <c r="O12" s="15"/>
    </row>
    <row r="13" spans="1:18" x14ac:dyDescent="0.25">
      <c r="A13" s="16">
        <v>15861</v>
      </c>
      <c r="B13" s="49">
        <v>800</v>
      </c>
      <c r="C13" s="17" t="s">
        <v>31</v>
      </c>
      <c r="D13" s="13">
        <v>15905</v>
      </c>
      <c r="E13" s="70">
        <v>300</v>
      </c>
      <c r="F13" s="14" t="s">
        <v>85</v>
      </c>
      <c r="G13" s="9">
        <v>15971</v>
      </c>
      <c r="H13" s="77">
        <v>200</v>
      </c>
      <c r="I13" s="10" t="s">
        <v>116</v>
      </c>
      <c r="J13" s="50">
        <v>16007</v>
      </c>
      <c r="K13" s="79">
        <v>400</v>
      </c>
      <c r="L13" s="51"/>
      <c r="M13" s="75"/>
      <c r="N13" s="73"/>
      <c r="O13" s="15"/>
    </row>
    <row r="14" spans="1:18" x14ac:dyDescent="0.25">
      <c r="A14" s="16"/>
      <c r="B14" s="49"/>
      <c r="C14" s="17" t="s">
        <v>20</v>
      </c>
      <c r="D14" s="13">
        <v>15906</v>
      </c>
      <c r="E14" s="70">
        <v>150</v>
      </c>
      <c r="F14" s="14" t="s">
        <v>86</v>
      </c>
      <c r="G14" s="9">
        <v>15972</v>
      </c>
      <c r="H14" s="77">
        <v>450</v>
      </c>
      <c r="I14" s="10" t="s">
        <v>117</v>
      </c>
      <c r="J14" s="50">
        <v>16008</v>
      </c>
      <c r="K14" s="79">
        <v>2000</v>
      </c>
      <c r="L14" s="51" t="s">
        <v>126</v>
      </c>
      <c r="M14" s="75"/>
      <c r="N14" s="73"/>
      <c r="O14" s="15"/>
    </row>
    <row r="15" spans="1:18" x14ac:dyDescent="0.25">
      <c r="A15" s="16">
        <v>15862</v>
      </c>
      <c r="B15" s="49">
        <v>400</v>
      </c>
      <c r="C15" s="17"/>
      <c r="D15" s="13">
        <v>15907</v>
      </c>
      <c r="E15" s="70">
        <v>450</v>
      </c>
      <c r="F15" s="14" t="s">
        <v>87</v>
      </c>
      <c r="G15" s="9">
        <v>15973</v>
      </c>
      <c r="H15" s="77">
        <v>4400</v>
      </c>
      <c r="I15" s="10" t="s">
        <v>59</v>
      </c>
      <c r="J15" s="50"/>
      <c r="K15" s="79"/>
      <c r="L15" s="51" t="s">
        <v>127</v>
      </c>
      <c r="M15" s="75"/>
      <c r="N15" s="73"/>
      <c r="O15" s="15"/>
    </row>
    <row r="16" spans="1:18" x14ac:dyDescent="0.25">
      <c r="A16" s="16">
        <v>15863</v>
      </c>
      <c r="B16" s="49">
        <v>400</v>
      </c>
      <c r="C16" s="17" t="s">
        <v>102</v>
      </c>
      <c r="D16" s="13"/>
      <c r="E16" s="70"/>
      <c r="F16" s="14" t="s">
        <v>56</v>
      </c>
      <c r="G16" s="9"/>
      <c r="H16" s="77"/>
      <c r="I16" s="24" t="s">
        <v>20</v>
      </c>
      <c r="J16" s="50">
        <v>16009</v>
      </c>
      <c r="K16" s="79">
        <v>800</v>
      </c>
      <c r="L16" s="51" t="s">
        <v>24</v>
      </c>
      <c r="M16" s="75"/>
      <c r="N16" s="73"/>
      <c r="O16" s="15"/>
    </row>
    <row r="17" spans="1:15" x14ac:dyDescent="0.25">
      <c r="A17" s="16">
        <v>15864</v>
      </c>
      <c r="B17" s="49">
        <v>900</v>
      </c>
      <c r="C17" s="17" t="s">
        <v>70</v>
      </c>
      <c r="D17" s="13">
        <v>15908</v>
      </c>
      <c r="E17" s="70">
        <v>100</v>
      </c>
      <c r="F17" s="14" t="s">
        <v>84</v>
      </c>
      <c r="G17" s="9"/>
      <c r="H17" s="77"/>
      <c r="I17" s="10" t="s">
        <v>73</v>
      </c>
      <c r="J17" s="50"/>
      <c r="K17" s="79"/>
      <c r="L17" s="51" t="s">
        <v>20</v>
      </c>
      <c r="M17" s="75"/>
      <c r="N17" s="73"/>
      <c r="O17" s="15"/>
    </row>
    <row r="18" spans="1:15" x14ac:dyDescent="0.25">
      <c r="A18" s="16"/>
      <c r="B18" s="49"/>
      <c r="C18" s="17" t="s">
        <v>23</v>
      </c>
      <c r="D18" s="13">
        <v>15909</v>
      </c>
      <c r="E18" s="70">
        <v>400</v>
      </c>
      <c r="F18" s="14"/>
      <c r="G18" s="9">
        <v>15974</v>
      </c>
      <c r="H18" s="77">
        <v>1200</v>
      </c>
      <c r="I18" s="10" t="s">
        <v>93</v>
      </c>
      <c r="J18" s="50">
        <v>16010</v>
      </c>
      <c r="K18" s="79">
        <v>400</v>
      </c>
      <c r="L18" s="51" t="s">
        <v>24</v>
      </c>
      <c r="M18" s="75"/>
      <c r="N18" s="73"/>
      <c r="O18" s="15"/>
    </row>
    <row r="19" spans="1:15" x14ac:dyDescent="0.25">
      <c r="A19" s="16">
        <v>15865</v>
      </c>
      <c r="B19" s="49">
        <v>800</v>
      </c>
      <c r="C19" s="17" t="s">
        <v>24</v>
      </c>
      <c r="D19" s="13">
        <v>15910</v>
      </c>
      <c r="E19" s="70">
        <v>600</v>
      </c>
      <c r="F19" s="14" t="s">
        <v>24</v>
      </c>
      <c r="G19" s="9"/>
      <c r="H19" s="77"/>
      <c r="I19" s="10" t="s">
        <v>20</v>
      </c>
      <c r="J19" s="50"/>
      <c r="K19" s="79"/>
      <c r="L19" s="51" t="s">
        <v>15</v>
      </c>
      <c r="M19" s="75"/>
      <c r="N19" s="73"/>
      <c r="O19" s="15"/>
    </row>
    <row r="20" spans="1:15" x14ac:dyDescent="0.25">
      <c r="A20" s="16"/>
      <c r="B20" s="49"/>
      <c r="C20" s="17" t="s">
        <v>20</v>
      </c>
      <c r="D20" s="13"/>
      <c r="E20" s="70"/>
      <c r="F20" s="14" t="s">
        <v>23</v>
      </c>
      <c r="G20" s="9">
        <v>15975</v>
      </c>
      <c r="H20" s="77">
        <v>450</v>
      </c>
      <c r="I20" s="10" t="s">
        <v>117</v>
      </c>
      <c r="J20" s="50">
        <v>16011</v>
      </c>
      <c r="K20" s="79">
        <v>400</v>
      </c>
      <c r="L20" s="51"/>
      <c r="M20" s="75"/>
      <c r="N20" s="73"/>
      <c r="O20" s="15"/>
    </row>
    <row r="21" spans="1:15" x14ac:dyDescent="0.25">
      <c r="A21" s="16">
        <v>15866</v>
      </c>
      <c r="B21" s="49">
        <v>400</v>
      </c>
      <c r="C21" s="17"/>
      <c r="D21" s="13">
        <v>15911</v>
      </c>
      <c r="E21" s="70">
        <v>1400</v>
      </c>
      <c r="F21" s="14" t="s">
        <v>88</v>
      </c>
      <c r="G21" s="9">
        <v>15976</v>
      </c>
      <c r="H21" s="77">
        <v>300</v>
      </c>
      <c r="I21" s="10"/>
      <c r="J21" s="50">
        <v>16012</v>
      </c>
      <c r="K21" s="79">
        <v>1000</v>
      </c>
      <c r="L21" s="51" t="s">
        <v>25</v>
      </c>
      <c r="M21" s="75"/>
      <c r="N21" s="73"/>
      <c r="O21" s="15"/>
    </row>
    <row r="22" spans="1:15" x14ac:dyDescent="0.25">
      <c r="A22" s="16">
        <v>15867</v>
      </c>
      <c r="B22" s="49">
        <v>400</v>
      </c>
      <c r="C22" s="17" t="s">
        <v>82</v>
      </c>
      <c r="D22" s="13"/>
      <c r="E22" s="70"/>
      <c r="F22" s="14" t="s">
        <v>89</v>
      </c>
      <c r="G22" s="9">
        <v>15977</v>
      </c>
      <c r="H22" s="77">
        <v>1000</v>
      </c>
      <c r="I22" s="25" t="s">
        <v>118</v>
      </c>
      <c r="J22" s="50"/>
      <c r="K22" s="79"/>
      <c r="L22" s="51" t="s">
        <v>128</v>
      </c>
      <c r="M22" s="75"/>
      <c r="N22" s="73"/>
      <c r="O22" s="15"/>
    </row>
    <row r="23" spans="1:15" x14ac:dyDescent="0.25">
      <c r="A23" s="16">
        <v>15868</v>
      </c>
      <c r="B23" s="49">
        <v>600</v>
      </c>
      <c r="C23" s="17" t="s">
        <v>24</v>
      </c>
      <c r="D23" s="13">
        <v>15912</v>
      </c>
      <c r="E23" s="70">
        <v>2600</v>
      </c>
      <c r="F23" s="14" t="s">
        <v>78</v>
      </c>
      <c r="G23" s="9"/>
      <c r="H23" s="77"/>
      <c r="I23" s="10" t="s">
        <v>119</v>
      </c>
      <c r="J23" s="50"/>
      <c r="K23" s="79"/>
      <c r="L23" s="52" t="s">
        <v>129</v>
      </c>
      <c r="M23" s="75"/>
      <c r="N23" s="73"/>
      <c r="O23" s="15"/>
    </row>
    <row r="24" spans="1:15" x14ac:dyDescent="0.25">
      <c r="A24" s="16"/>
      <c r="B24" s="49"/>
      <c r="C24" s="17" t="s">
        <v>23</v>
      </c>
      <c r="D24" s="13"/>
      <c r="E24" s="70"/>
      <c r="F24" s="14" t="s">
        <v>89</v>
      </c>
      <c r="G24" s="9">
        <v>15978</v>
      </c>
      <c r="H24" s="77">
        <v>4400</v>
      </c>
      <c r="I24" s="10" t="s">
        <v>59</v>
      </c>
      <c r="J24" s="50">
        <v>16013</v>
      </c>
      <c r="K24" s="79">
        <v>1200</v>
      </c>
      <c r="L24" s="52" t="s">
        <v>35</v>
      </c>
      <c r="M24" s="75"/>
      <c r="N24" s="73"/>
      <c r="O24" s="15"/>
    </row>
    <row r="25" spans="1:15" x14ac:dyDescent="0.25">
      <c r="A25" s="16">
        <v>15869</v>
      </c>
      <c r="B25" s="49">
        <v>300</v>
      </c>
      <c r="C25" s="17"/>
      <c r="D25" s="13">
        <v>15913</v>
      </c>
      <c r="E25" s="70">
        <v>400</v>
      </c>
      <c r="F25" s="14"/>
      <c r="G25" s="9"/>
      <c r="H25" s="77"/>
      <c r="I25" s="10" t="s">
        <v>20</v>
      </c>
      <c r="J25" s="50"/>
      <c r="K25" s="79"/>
      <c r="L25" s="51" t="s">
        <v>20</v>
      </c>
      <c r="M25" s="75"/>
      <c r="N25" s="73"/>
      <c r="O25" s="15"/>
    </row>
    <row r="26" spans="1:15" x14ac:dyDescent="0.25">
      <c r="A26" s="16">
        <v>15870</v>
      </c>
      <c r="B26" s="49">
        <v>125</v>
      </c>
      <c r="C26" s="17"/>
      <c r="D26" s="13">
        <v>15914</v>
      </c>
      <c r="E26" s="70">
        <v>600</v>
      </c>
      <c r="F26" s="14" t="s">
        <v>90</v>
      </c>
      <c r="G26" s="9"/>
      <c r="H26" s="77"/>
      <c r="I26" s="10" t="s">
        <v>73</v>
      </c>
      <c r="J26" s="50">
        <v>16014</v>
      </c>
      <c r="K26" s="79">
        <v>800</v>
      </c>
      <c r="L26" s="51" t="s">
        <v>104</v>
      </c>
      <c r="M26" s="75"/>
      <c r="N26" s="73"/>
      <c r="O26" s="15"/>
    </row>
    <row r="27" spans="1:15" x14ac:dyDescent="0.25">
      <c r="A27" s="16">
        <v>15871</v>
      </c>
      <c r="B27" s="49">
        <v>50</v>
      </c>
      <c r="C27" s="17" t="s">
        <v>110</v>
      </c>
      <c r="D27" s="13"/>
      <c r="E27" s="70"/>
      <c r="F27" s="14" t="s">
        <v>23</v>
      </c>
      <c r="G27" s="9">
        <v>15979</v>
      </c>
      <c r="H27" s="77">
        <v>800</v>
      </c>
      <c r="I27" s="10" t="s">
        <v>120</v>
      </c>
      <c r="J27" s="50"/>
      <c r="K27" s="79"/>
      <c r="L27" s="51" t="s">
        <v>20</v>
      </c>
      <c r="M27" s="75"/>
      <c r="N27" s="73"/>
      <c r="O27" s="15"/>
    </row>
    <row r="28" spans="1:15" x14ac:dyDescent="0.25">
      <c r="A28" s="16">
        <v>15872</v>
      </c>
      <c r="B28" s="49">
        <v>200</v>
      </c>
      <c r="C28" s="17"/>
      <c r="D28" s="13">
        <v>15915</v>
      </c>
      <c r="E28" s="70">
        <v>1000</v>
      </c>
      <c r="F28" s="14" t="s">
        <v>91</v>
      </c>
      <c r="G28" s="9"/>
      <c r="H28" s="77"/>
      <c r="I28" s="10" t="s">
        <v>20</v>
      </c>
      <c r="J28" s="50">
        <v>16015</v>
      </c>
      <c r="K28" s="79">
        <v>800</v>
      </c>
      <c r="L28" s="51" t="s">
        <v>31</v>
      </c>
      <c r="M28" s="75"/>
      <c r="N28" s="73"/>
      <c r="O28" s="15"/>
    </row>
    <row r="29" spans="1:15" x14ac:dyDescent="0.25">
      <c r="A29" s="16">
        <v>15873</v>
      </c>
      <c r="B29" s="49">
        <v>400</v>
      </c>
      <c r="C29" s="17"/>
      <c r="D29" s="13"/>
      <c r="E29" s="70"/>
      <c r="F29" s="14" t="s">
        <v>15</v>
      </c>
      <c r="G29" s="9">
        <v>15980</v>
      </c>
      <c r="H29" s="77">
        <v>400</v>
      </c>
      <c r="I29" s="10"/>
      <c r="J29" s="50"/>
      <c r="K29" s="79"/>
      <c r="L29" s="51" t="s">
        <v>20</v>
      </c>
      <c r="M29" s="75"/>
      <c r="N29" s="73"/>
      <c r="O29" s="15"/>
    </row>
    <row r="30" spans="1:15" x14ac:dyDescent="0.25">
      <c r="A30" s="16">
        <v>15874</v>
      </c>
      <c r="B30" s="49">
        <v>150</v>
      </c>
      <c r="C30" s="17" t="s">
        <v>41</v>
      </c>
      <c r="D30" s="13">
        <v>15916</v>
      </c>
      <c r="E30" s="70">
        <v>900</v>
      </c>
      <c r="F30" s="14" t="s">
        <v>35</v>
      </c>
      <c r="G30" s="9">
        <v>15981</v>
      </c>
      <c r="H30" s="77">
        <v>200</v>
      </c>
      <c r="I30" s="10" t="s">
        <v>121</v>
      </c>
      <c r="J30" s="53">
        <v>16016</v>
      </c>
      <c r="K30" s="79">
        <v>400</v>
      </c>
      <c r="L30" s="51" t="s">
        <v>111</v>
      </c>
      <c r="M30" s="75"/>
      <c r="N30" s="73"/>
      <c r="O30" s="15"/>
    </row>
    <row r="31" spans="1:15" x14ac:dyDescent="0.25">
      <c r="A31" s="16">
        <v>15875</v>
      </c>
      <c r="B31" s="49">
        <v>400</v>
      </c>
      <c r="C31" s="17"/>
      <c r="D31" s="13"/>
      <c r="E31" s="70"/>
      <c r="F31" s="14" t="s">
        <v>23</v>
      </c>
      <c r="G31" s="9">
        <v>15982</v>
      </c>
      <c r="H31" s="77">
        <v>300</v>
      </c>
      <c r="I31" s="10" t="s">
        <v>21</v>
      </c>
      <c r="J31" s="50">
        <v>16017</v>
      </c>
      <c r="K31" s="79">
        <v>800</v>
      </c>
      <c r="L31" s="51" t="s">
        <v>24</v>
      </c>
      <c r="M31" s="75"/>
      <c r="N31" s="73"/>
      <c r="O31" s="15"/>
    </row>
    <row r="32" spans="1:15" x14ac:dyDescent="0.25">
      <c r="A32" s="16">
        <v>15876</v>
      </c>
      <c r="B32" s="49">
        <v>800</v>
      </c>
      <c r="C32" s="17" t="s">
        <v>24</v>
      </c>
      <c r="D32" s="13">
        <v>15917</v>
      </c>
      <c r="E32" s="70">
        <v>300</v>
      </c>
      <c r="F32" s="14"/>
      <c r="G32" s="9">
        <v>15983</v>
      </c>
      <c r="H32" s="77">
        <v>200</v>
      </c>
      <c r="I32" s="10"/>
      <c r="J32" s="53"/>
      <c r="K32" s="79"/>
      <c r="L32" s="51" t="s">
        <v>20</v>
      </c>
      <c r="M32" s="75"/>
      <c r="N32" s="73"/>
      <c r="O32" s="15"/>
    </row>
    <row r="33" spans="1:15" x14ac:dyDescent="0.25">
      <c r="A33" s="16"/>
      <c r="B33" s="49"/>
      <c r="C33" s="17" t="s">
        <v>20</v>
      </c>
      <c r="D33" s="13">
        <v>15918</v>
      </c>
      <c r="E33" s="70">
        <v>400</v>
      </c>
      <c r="F33" s="14"/>
      <c r="G33" s="9">
        <v>15984</v>
      </c>
      <c r="H33" s="77">
        <v>600</v>
      </c>
      <c r="I33" s="10" t="s">
        <v>24</v>
      </c>
      <c r="J33" s="50">
        <v>16018</v>
      </c>
      <c r="K33" s="79">
        <v>800</v>
      </c>
      <c r="L33" s="51" t="s">
        <v>104</v>
      </c>
      <c r="M33" s="75"/>
      <c r="N33" s="73"/>
      <c r="O33" s="15"/>
    </row>
    <row r="34" spans="1:15" x14ac:dyDescent="0.25">
      <c r="A34" s="16">
        <v>15877</v>
      </c>
      <c r="B34" s="49">
        <v>400</v>
      </c>
      <c r="C34" s="17"/>
      <c r="D34" s="13">
        <v>15919</v>
      </c>
      <c r="E34" s="70">
        <v>400</v>
      </c>
      <c r="F34" s="14"/>
      <c r="G34" s="9"/>
      <c r="H34" s="77"/>
      <c r="I34" s="10" t="s">
        <v>23</v>
      </c>
      <c r="J34" s="50"/>
      <c r="K34" s="79"/>
      <c r="L34" s="51" t="s">
        <v>20</v>
      </c>
      <c r="M34" s="75"/>
      <c r="N34" s="73"/>
      <c r="O34" s="15"/>
    </row>
    <row r="35" spans="1:15" x14ac:dyDescent="0.25">
      <c r="A35" s="16">
        <v>15878</v>
      </c>
      <c r="B35" s="49">
        <v>400</v>
      </c>
      <c r="C35" s="17"/>
      <c r="D35" s="13">
        <v>15920</v>
      </c>
      <c r="E35" s="70">
        <v>800</v>
      </c>
      <c r="F35" s="20" t="s">
        <v>92</v>
      </c>
      <c r="G35" s="9">
        <v>15985</v>
      </c>
      <c r="H35" s="77">
        <v>400</v>
      </c>
      <c r="I35" s="10"/>
      <c r="J35" s="53">
        <v>16019</v>
      </c>
      <c r="K35" s="79">
        <v>800</v>
      </c>
      <c r="L35" s="51" t="s">
        <v>130</v>
      </c>
      <c r="M35" s="75"/>
      <c r="N35" s="73"/>
      <c r="O35" s="15"/>
    </row>
    <row r="36" spans="1:15" x14ac:dyDescent="0.25">
      <c r="A36" s="16">
        <v>15879</v>
      </c>
      <c r="B36" s="49">
        <v>400</v>
      </c>
      <c r="C36" s="17"/>
      <c r="D36" s="13"/>
      <c r="E36" s="70"/>
      <c r="F36" s="14" t="s">
        <v>20</v>
      </c>
      <c r="G36" s="9">
        <v>15986</v>
      </c>
      <c r="H36" s="77">
        <v>4400</v>
      </c>
      <c r="I36" s="10" t="s">
        <v>59</v>
      </c>
      <c r="J36" s="53"/>
      <c r="K36" s="79"/>
      <c r="L36" s="55" t="s">
        <v>20</v>
      </c>
      <c r="M36" s="75"/>
      <c r="N36" s="73"/>
      <c r="O36" s="15"/>
    </row>
    <row r="37" spans="1:15" x14ac:dyDescent="0.25">
      <c r="A37" s="16">
        <v>15880</v>
      </c>
      <c r="B37" s="49">
        <v>250</v>
      </c>
      <c r="C37" s="17"/>
      <c r="D37" s="13">
        <v>15921</v>
      </c>
      <c r="E37" s="70">
        <v>1200</v>
      </c>
      <c r="F37" s="14" t="s">
        <v>93</v>
      </c>
      <c r="G37" s="9"/>
      <c r="H37" s="77"/>
      <c r="I37" s="10" t="s">
        <v>20</v>
      </c>
      <c r="J37" s="53">
        <v>16020</v>
      </c>
      <c r="K37" s="72">
        <v>400</v>
      </c>
      <c r="L37" s="51" t="s">
        <v>82</v>
      </c>
      <c r="M37" s="75"/>
      <c r="N37" s="73"/>
      <c r="O37" s="15"/>
    </row>
    <row r="38" spans="1:15" x14ac:dyDescent="0.25">
      <c r="A38" s="16">
        <v>15881</v>
      </c>
      <c r="B38" s="49">
        <v>400</v>
      </c>
      <c r="C38" s="17"/>
      <c r="D38" s="13"/>
      <c r="E38" s="70"/>
      <c r="F38" s="14" t="s">
        <v>20</v>
      </c>
      <c r="G38" s="9"/>
      <c r="H38" s="77"/>
      <c r="I38" s="10" t="s">
        <v>73</v>
      </c>
      <c r="J38" s="53">
        <v>16021</v>
      </c>
      <c r="K38" s="72">
        <v>800</v>
      </c>
      <c r="L38" s="54" t="s">
        <v>104</v>
      </c>
      <c r="M38" s="75"/>
      <c r="N38" s="73"/>
      <c r="O38" s="15"/>
    </row>
    <row r="39" spans="1:15" x14ac:dyDescent="0.25">
      <c r="A39" s="16">
        <v>15882</v>
      </c>
      <c r="B39" s="49">
        <v>450</v>
      </c>
      <c r="C39" s="17" t="s">
        <v>93</v>
      </c>
      <c r="D39" s="13">
        <v>15922</v>
      </c>
      <c r="E39" s="70">
        <v>400</v>
      </c>
      <c r="F39" s="14"/>
      <c r="G39" s="9">
        <v>15987</v>
      </c>
      <c r="H39" s="77">
        <v>400</v>
      </c>
      <c r="I39" s="10"/>
      <c r="J39" s="53"/>
      <c r="K39" s="72"/>
      <c r="L39" s="51" t="s">
        <v>20</v>
      </c>
      <c r="M39" s="75"/>
      <c r="N39" s="73"/>
      <c r="O39" s="15"/>
    </row>
    <row r="40" spans="1:15" x14ac:dyDescent="0.25">
      <c r="A40" s="16"/>
      <c r="B40" s="49"/>
      <c r="C40" s="17" t="s">
        <v>36</v>
      </c>
      <c r="D40" s="13">
        <v>15923</v>
      </c>
      <c r="E40" s="70">
        <v>400</v>
      </c>
      <c r="F40" s="14"/>
      <c r="G40" s="9">
        <v>15988</v>
      </c>
      <c r="H40" s="77">
        <v>400</v>
      </c>
      <c r="I40" s="10" t="s">
        <v>24</v>
      </c>
      <c r="J40" s="53">
        <v>16022</v>
      </c>
      <c r="K40" s="72">
        <v>400</v>
      </c>
      <c r="L40" s="51"/>
      <c r="M40" s="75"/>
      <c r="N40" s="73"/>
      <c r="O40" s="15"/>
    </row>
    <row r="41" spans="1:15" x14ac:dyDescent="0.25">
      <c r="A41" s="16">
        <v>15883</v>
      </c>
      <c r="B41" s="49">
        <v>300</v>
      </c>
      <c r="C41" s="17"/>
      <c r="D41" s="13">
        <v>15924</v>
      </c>
      <c r="E41" s="70">
        <v>4400</v>
      </c>
      <c r="F41" s="14" t="s">
        <v>14</v>
      </c>
      <c r="G41" s="9"/>
      <c r="H41" s="77"/>
      <c r="I41" s="10" t="s">
        <v>15</v>
      </c>
      <c r="J41" s="53">
        <v>16023</v>
      </c>
      <c r="K41" s="72">
        <v>400</v>
      </c>
      <c r="L41" s="51"/>
      <c r="M41" s="75"/>
      <c r="N41" s="73"/>
      <c r="O41" s="15"/>
    </row>
    <row r="42" spans="1:15" x14ac:dyDescent="0.25">
      <c r="A42" s="16">
        <v>15884</v>
      </c>
      <c r="B42" s="49">
        <v>350</v>
      </c>
      <c r="C42" s="17"/>
      <c r="D42" s="13"/>
      <c r="E42" s="70"/>
      <c r="F42" s="14" t="s">
        <v>20</v>
      </c>
      <c r="G42" s="9">
        <v>15989</v>
      </c>
      <c r="H42" s="77">
        <v>800</v>
      </c>
      <c r="I42" s="10" t="s">
        <v>24</v>
      </c>
      <c r="J42" s="53">
        <v>16024</v>
      </c>
      <c r="K42" s="72">
        <v>2200</v>
      </c>
      <c r="L42" s="51" t="s">
        <v>59</v>
      </c>
      <c r="M42" s="75"/>
      <c r="N42" s="73"/>
      <c r="O42" s="15"/>
    </row>
    <row r="43" spans="1:15" x14ac:dyDescent="0.25">
      <c r="A43" s="16">
        <v>15885</v>
      </c>
      <c r="B43" s="49">
        <v>200</v>
      </c>
      <c r="C43" s="17"/>
      <c r="D43" s="13"/>
      <c r="E43" s="70"/>
      <c r="F43" s="14" t="s">
        <v>81</v>
      </c>
      <c r="G43" s="9"/>
      <c r="H43" s="77"/>
      <c r="I43" s="10" t="s">
        <v>20</v>
      </c>
      <c r="J43" s="53"/>
      <c r="K43" s="72"/>
      <c r="L43" s="51" t="s">
        <v>15</v>
      </c>
      <c r="M43" s="75"/>
      <c r="N43" s="73"/>
      <c r="O43" s="15"/>
    </row>
    <row r="44" spans="1:15" x14ac:dyDescent="0.25">
      <c r="A44" s="16">
        <v>15886</v>
      </c>
      <c r="B44" s="49">
        <v>400</v>
      </c>
      <c r="C44" s="17"/>
      <c r="D44" s="13">
        <v>15925</v>
      </c>
      <c r="E44" s="70">
        <v>1200</v>
      </c>
      <c r="F44" s="14" t="s">
        <v>35</v>
      </c>
      <c r="G44" s="9">
        <v>15990</v>
      </c>
      <c r="H44" s="77">
        <v>1200</v>
      </c>
      <c r="I44" s="10" t="s">
        <v>93</v>
      </c>
      <c r="J44" s="53"/>
      <c r="K44" s="72"/>
      <c r="L44" s="51" t="s">
        <v>131</v>
      </c>
      <c r="M44" s="75"/>
      <c r="N44" s="73"/>
      <c r="O44" s="15"/>
    </row>
    <row r="45" spans="1:15" x14ac:dyDescent="0.25">
      <c r="A45" s="16">
        <v>15887</v>
      </c>
      <c r="B45" s="49">
        <v>800</v>
      </c>
      <c r="C45" s="17" t="s">
        <v>31</v>
      </c>
      <c r="D45" s="13"/>
      <c r="E45" s="70"/>
      <c r="F45" s="14" t="s">
        <v>20</v>
      </c>
      <c r="G45" s="9"/>
      <c r="H45" s="77"/>
      <c r="I45" s="10" t="s">
        <v>20</v>
      </c>
      <c r="J45" s="53">
        <v>16025</v>
      </c>
      <c r="K45" s="72">
        <v>2000</v>
      </c>
      <c r="L45" s="51" t="s">
        <v>132</v>
      </c>
      <c r="M45" s="75"/>
      <c r="N45" s="73"/>
      <c r="O45" s="15"/>
    </row>
    <row r="46" spans="1:15" x14ac:dyDescent="0.25">
      <c r="A46" s="16"/>
      <c r="B46" s="49"/>
      <c r="C46" s="17" t="s">
        <v>20</v>
      </c>
      <c r="D46" s="13">
        <v>15926</v>
      </c>
      <c r="E46" s="70">
        <v>800</v>
      </c>
      <c r="F46" s="69" t="s">
        <v>24</v>
      </c>
      <c r="G46" s="9">
        <v>15991</v>
      </c>
      <c r="H46" s="77">
        <v>50</v>
      </c>
      <c r="I46" s="10" t="s">
        <v>40</v>
      </c>
      <c r="J46" s="53"/>
      <c r="K46" s="72"/>
      <c r="L46" s="51" t="s">
        <v>133</v>
      </c>
      <c r="M46" s="75"/>
      <c r="N46" s="73"/>
      <c r="O46" s="15"/>
    </row>
    <row r="47" spans="1:15" x14ac:dyDescent="0.25">
      <c r="A47" s="16">
        <v>15888</v>
      </c>
      <c r="B47" s="49">
        <v>400</v>
      </c>
      <c r="C47" s="17"/>
      <c r="D47" s="13"/>
      <c r="E47" s="70"/>
      <c r="F47" s="14" t="s">
        <v>20</v>
      </c>
      <c r="G47" s="9">
        <v>15992</v>
      </c>
      <c r="H47" s="77">
        <v>300</v>
      </c>
      <c r="I47" s="10"/>
      <c r="J47" s="53">
        <v>16026</v>
      </c>
      <c r="K47" s="72">
        <v>400</v>
      </c>
      <c r="L47" s="51" t="s">
        <v>111</v>
      </c>
      <c r="M47" s="75"/>
      <c r="N47" s="73"/>
      <c r="O47" s="15"/>
    </row>
    <row r="48" spans="1:15" x14ac:dyDescent="0.25">
      <c r="A48" s="16">
        <v>15889</v>
      </c>
      <c r="B48" s="49">
        <v>400</v>
      </c>
      <c r="C48" s="17"/>
      <c r="D48" s="13">
        <v>15927</v>
      </c>
      <c r="E48" s="70">
        <v>400</v>
      </c>
      <c r="F48" s="14"/>
      <c r="G48" s="9">
        <v>15993</v>
      </c>
      <c r="H48" s="77">
        <v>400</v>
      </c>
      <c r="I48" s="10"/>
      <c r="J48" s="53">
        <v>16027</v>
      </c>
      <c r="K48" s="72">
        <v>800</v>
      </c>
      <c r="L48" s="51" t="s">
        <v>24</v>
      </c>
      <c r="M48" s="75"/>
      <c r="N48" s="73"/>
      <c r="O48" s="15"/>
    </row>
    <row r="49" spans="1:15" x14ac:dyDescent="0.25">
      <c r="A49" s="16">
        <v>15890</v>
      </c>
      <c r="B49" s="49">
        <v>400</v>
      </c>
      <c r="C49" s="17"/>
      <c r="D49" s="13">
        <v>15928</v>
      </c>
      <c r="E49" s="70">
        <v>200</v>
      </c>
      <c r="F49" s="14"/>
      <c r="G49" s="9">
        <v>15994</v>
      </c>
      <c r="H49" s="77">
        <v>400</v>
      </c>
      <c r="I49" s="10"/>
      <c r="J49" s="53"/>
      <c r="K49" s="72"/>
      <c r="L49" s="54" t="s">
        <v>20</v>
      </c>
      <c r="M49" s="75"/>
      <c r="N49" s="73"/>
      <c r="O49" s="15"/>
    </row>
    <row r="50" spans="1:15" x14ac:dyDescent="0.25">
      <c r="A50" s="16">
        <v>15891</v>
      </c>
      <c r="B50" s="49">
        <v>200</v>
      </c>
      <c r="C50" s="17" t="s">
        <v>111</v>
      </c>
      <c r="D50" s="13">
        <v>15929</v>
      </c>
      <c r="E50" s="70">
        <v>400</v>
      </c>
      <c r="F50" s="14" t="s">
        <v>82</v>
      </c>
      <c r="G50" s="9">
        <v>15995</v>
      </c>
      <c r="H50" s="77">
        <v>500</v>
      </c>
      <c r="I50" s="10" t="s">
        <v>104</v>
      </c>
      <c r="J50" s="53">
        <v>16028</v>
      </c>
      <c r="K50" s="72">
        <v>4400</v>
      </c>
      <c r="L50" s="51" t="s">
        <v>59</v>
      </c>
      <c r="M50" s="75"/>
      <c r="N50" s="73"/>
      <c r="O50" s="15"/>
    </row>
    <row r="51" spans="1:15" x14ac:dyDescent="0.25">
      <c r="A51" s="16">
        <v>15892</v>
      </c>
      <c r="B51" s="49">
        <v>400</v>
      </c>
      <c r="C51" s="17" t="s">
        <v>21</v>
      </c>
      <c r="D51" s="13">
        <v>15930</v>
      </c>
      <c r="E51" s="70">
        <v>800</v>
      </c>
      <c r="F51" s="14" t="s">
        <v>94</v>
      </c>
      <c r="G51" s="9"/>
      <c r="H51" s="77"/>
      <c r="I51" s="10" t="s">
        <v>69</v>
      </c>
      <c r="J51" s="53"/>
      <c r="K51" s="72"/>
      <c r="L51" s="51" t="s">
        <v>20</v>
      </c>
      <c r="M51" s="75"/>
      <c r="N51" s="73"/>
      <c r="O51" s="15"/>
    </row>
    <row r="52" spans="1:15" x14ac:dyDescent="0.25">
      <c r="A52" s="16">
        <v>15893</v>
      </c>
      <c r="B52" s="49">
        <v>400</v>
      </c>
      <c r="C52" s="17" t="s">
        <v>82</v>
      </c>
      <c r="D52" s="13"/>
      <c r="E52" s="70"/>
      <c r="F52" s="14" t="s">
        <v>20</v>
      </c>
      <c r="G52" s="9">
        <v>15996</v>
      </c>
      <c r="H52" s="77">
        <v>400</v>
      </c>
      <c r="I52" s="10" t="s">
        <v>24</v>
      </c>
      <c r="J52" s="50"/>
      <c r="K52" s="79"/>
      <c r="L52" s="51" t="s">
        <v>131</v>
      </c>
      <c r="M52" s="75"/>
      <c r="N52" s="73"/>
      <c r="O52" s="15"/>
    </row>
    <row r="53" spans="1:15" x14ac:dyDescent="0.25">
      <c r="A53" s="16">
        <v>15894</v>
      </c>
      <c r="B53" s="49">
        <v>600</v>
      </c>
      <c r="C53" s="17" t="s">
        <v>92</v>
      </c>
      <c r="D53" s="13">
        <v>15931</v>
      </c>
      <c r="E53" s="70">
        <v>200</v>
      </c>
      <c r="F53" s="14" t="s">
        <v>95</v>
      </c>
      <c r="G53" s="9"/>
      <c r="H53" s="77"/>
      <c r="I53" s="10" t="s">
        <v>15</v>
      </c>
      <c r="J53" s="50">
        <v>16029</v>
      </c>
      <c r="K53" s="79">
        <v>400</v>
      </c>
      <c r="L53" s="51"/>
      <c r="M53" s="75"/>
      <c r="N53" s="73"/>
      <c r="O53" s="15"/>
    </row>
    <row r="54" spans="1:15" x14ac:dyDescent="0.25">
      <c r="A54" s="16"/>
      <c r="B54" s="49"/>
      <c r="C54" s="17" t="s">
        <v>23</v>
      </c>
      <c r="D54" s="13">
        <v>15932</v>
      </c>
      <c r="E54" s="70">
        <v>50</v>
      </c>
      <c r="F54" s="14" t="s">
        <v>40</v>
      </c>
      <c r="G54" s="9">
        <v>15997</v>
      </c>
      <c r="H54" s="77">
        <v>400</v>
      </c>
      <c r="I54" s="10" t="s">
        <v>24</v>
      </c>
      <c r="J54" s="50">
        <v>16030</v>
      </c>
      <c r="K54" s="79">
        <v>400</v>
      </c>
      <c r="L54" s="51" t="s">
        <v>25</v>
      </c>
      <c r="M54" s="75"/>
      <c r="N54" s="73"/>
      <c r="O54" s="15"/>
    </row>
    <row r="55" spans="1:15" x14ac:dyDescent="0.25">
      <c r="A55" s="16">
        <v>15895</v>
      </c>
      <c r="B55" s="49">
        <v>400</v>
      </c>
      <c r="C55" s="17" t="s">
        <v>21</v>
      </c>
      <c r="D55" s="13">
        <v>15933</v>
      </c>
      <c r="E55" s="70">
        <v>600</v>
      </c>
      <c r="F55" s="23" t="s">
        <v>24</v>
      </c>
      <c r="G55" s="9"/>
      <c r="H55" s="77"/>
      <c r="I55" s="10" t="s">
        <v>15</v>
      </c>
      <c r="J55" s="50"/>
      <c r="K55" s="79"/>
      <c r="L55" s="51" t="s">
        <v>15</v>
      </c>
      <c r="M55" s="75"/>
      <c r="N55" s="73"/>
      <c r="O55" s="15"/>
    </row>
    <row r="56" spans="1:15" x14ac:dyDescent="0.25">
      <c r="A56" s="16">
        <v>15896</v>
      </c>
      <c r="B56" s="49">
        <v>200</v>
      </c>
      <c r="C56" s="17" t="s">
        <v>41</v>
      </c>
      <c r="D56" s="13"/>
      <c r="E56" s="70"/>
      <c r="F56" s="23" t="s">
        <v>23</v>
      </c>
      <c r="G56" s="9">
        <v>15998</v>
      </c>
      <c r="H56" s="77">
        <v>400</v>
      </c>
      <c r="I56" s="10" t="s">
        <v>93</v>
      </c>
      <c r="J56" s="50">
        <v>16031</v>
      </c>
      <c r="K56" s="79">
        <v>400</v>
      </c>
      <c r="L56" s="88" t="s">
        <v>82</v>
      </c>
      <c r="M56" s="75"/>
      <c r="N56" s="73"/>
      <c r="O56" s="15"/>
    </row>
    <row r="57" spans="1:15" x14ac:dyDescent="0.25">
      <c r="A57" s="16">
        <v>15897</v>
      </c>
      <c r="B57" s="49">
        <v>400</v>
      </c>
      <c r="C57" s="17"/>
      <c r="D57" s="13">
        <v>15934</v>
      </c>
      <c r="E57" s="70">
        <v>3300</v>
      </c>
      <c r="F57" s="69" t="s">
        <v>14</v>
      </c>
      <c r="G57" s="9"/>
      <c r="H57" s="77"/>
      <c r="I57" s="10" t="s">
        <v>15</v>
      </c>
      <c r="J57" s="50">
        <v>16032</v>
      </c>
      <c r="K57" s="79">
        <v>400</v>
      </c>
      <c r="L57" s="51"/>
      <c r="M57" s="75"/>
      <c r="N57" s="73"/>
      <c r="O57" s="15"/>
    </row>
    <row r="58" spans="1:15" x14ac:dyDescent="0.25">
      <c r="A58" s="16">
        <v>15898</v>
      </c>
      <c r="B58" s="49">
        <v>2400</v>
      </c>
      <c r="C58" s="17" t="s">
        <v>112</v>
      </c>
      <c r="D58" s="13"/>
      <c r="E58" s="70"/>
      <c r="F58" s="14" t="s">
        <v>23</v>
      </c>
      <c r="G58" s="9">
        <v>15999</v>
      </c>
      <c r="H58" s="77">
        <v>400</v>
      </c>
      <c r="I58" s="10" t="s">
        <v>92</v>
      </c>
      <c r="J58" s="53">
        <v>16033</v>
      </c>
      <c r="K58" s="72">
        <v>800</v>
      </c>
      <c r="L58" s="54" t="s">
        <v>24</v>
      </c>
      <c r="M58" s="75"/>
      <c r="N58" s="73"/>
      <c r="O58" s="15"/>
    </row>
    <row r="59" spans="1:15" x14ac:dyDescent="0.25">
      <c r="A59" s="16"/>
      <c r="B59" s="49"/>
      <c r="C59" s="17" t="s">
        <v>113</v>
      </c>
      <c r="D59" s="13"/>
      <c r="E59" s="70"/>
      <c r="F59" s="23" t="s">
        <v>81</v>
      </c>
      <c r="G59" s="9"/>
      <c r="H59" s="77"/>
      <c r="I59" s="10" t="s">
        <v>15</v>
      </c>
      <c r="J59" s="53"/>
      <c r="K59" s="72"/>
      <c r="L59" s="54" t="s">
        <v>20</v>
      </c>
      <c r="M59" s="75"/>
      <c r="N59" s="73"/>
      <c r="O59" s="15"/>
    </row>
    <row r="60" spans="1:15" x14ac:dyDescent="0.25">
      <c r="A60" s="16">
        <v>15899</v>
      </c>
      <c r="B60" s="49">
        <v>300</v>
      </c>
      <c r="C60" s="17"/>
      <c r="D60" s="13">
        <v>15935</v>
      </c>
      <c r="E60" s="70">
        <v>850</v>
      </c>
      <c r="F60" s="14" t="s">
        <v>96</v>
      </c>
      <c r="G60" s="9">
        <v>16000</v>
      </c>
      <c r="H60" s="77">
        <v>4400</v>
      </c>
      <c r="I60" s="10" t="s">
        <v>59</v>
      </c>
      <c r="J60" s="53">
        <v>16034</v>
      </c>
      <c r="K60" s="79">
        <v>500</v>
      </c>
      <c r="L60" s="51" t="s">
        <v>111</v>
      </c>
      <c r="M60" s="75"/>
      <c r="N60" s="73"/>
      <c r="O60" s="15"/>
    </row>
    <row r="61" spans="1:15" x14ac:dyDescent="0.25">
      <c r="A61" s="16">
        <v>15900</v>
      </c>
      <c r="B61" s="49">
        <v>400</v>
      </c>
      <c r="C61" s="17" t="s">
        <v>82</v>
      </c>
      <c r="D61" s="13"/>
      <c r="E61" s="70"/>
      <c r="F61" s="14" t="s">
        <v>97</v>
      </c>
      <c r="G61" s="9"/>
      <c r="H61" s="77"/>
      <c r="I61" s="10" t="s">
        <v>20</v>
      </c>
      <c r="J61" s="53">
        <v>16035</v>
      </c>
      <c r="K61" s="72">
        <v>400</v>
      </c>
      <c r="L61" s="51"/>
      <c r="M61" s="75"/>
      <c r="N61" s="73"/>
      <c r="O61" s="15"/>
    </row>
    <row r="62" spans="1:15" x14ac:dyDescent="0.25">
      <c r="A62" s="16"/>
      <c r="B62" s="49"/>
      <c r="C62" s="21"/>
      <c r="D62" s="13">
        <v>15936</v>
      </c>
      <c r="E62" s="70">
        <v>225</v>
      </c>
      <c r="F62" s="14" t="s">
        <v>98</v>
      </c>
      <c r="G62" s="9"/>
      <c r="H62" s="77"/>
      <c r="I62" s="10" t="s">
        <v>73</v>
      </c>
      <c r="J62" s="53">
        <v>16036</v>
      </c>
      <c r="K62" s="72">
        <v>2400</v>
      </c>
      <c r="L62" s="54" t="s">
        <v>134</v>
      </c>
      <c r="M62" s="75"/>
      <c r="N62" s="73"/>
      <c r="O62" s="15"/>
    </row>
    <row r="63" spans="1:15" x14ac:dyDescent="0.25">
      <c r="A63" s="16"/>
      <c r="B63" s="49"/>
      <c r="C63" s="17"/>
      <c r="D63" s="13"/>
      <c r="E63" s="70"/>
      <c r="F63" s="14" t="s">
        <v>99</v>
      </c>
      <c r="G63" s="9">
        <v>16001</v>
      </c>
      <c r="H63" s="77">
        <v>200</v>
      </c>
      <c r="I63" s="10" t="s">
        <v>122</v>
      </c>
      <c r="J63" s="53"/>
      <c r="K63" s="72"/>
      <c r="L63" s="54" t="s">
        <v>135</v>
      </c>
      <c r="M63" s="75"/>
      <c r="N63" s="73"/>
      <c r="O63" s="15"/>
    </row>
    <row r="64" spans="1:15" x14ac:dyDescent="0.25">
      <c r="A64" s="16"/>
      <c r="B64" s="49"/>
      <c r="C64" s="17"/>
      <c r="D64" s="13">
        <v>15937</v>
      </c>
      <c r="E64" s="70">
        <v>400</v>
      </c>
      <c r="F64" s="14"/>
      <c r="G64" s="9">
        <v>16002</v>
      </c>
      <c r="H64" s="77">
        <v>100</v>
      </c>
      <c r="I64" s="10" t="s">
        <v>123</v>
      </c>
      <c r="J64" s="53">
        <v>16037</v>
      </c>
      <c r="K64" s="72">
        <v>4400</v>
      </c>
      <c r="L64" s="54" t="s">
        <v>59</v>
      </c>
      <c r="M64" s="75"/>
      <c r="N64" s="73"/>
      <c r="O64" s="15"/>
    </row>
    <row r="65" spans="1:15" x14ac:dyDescent="0.25">
      <c r="A65" s="16"/>
      <c r="B65" s="49"/>
      <c r="C65" s="17"/>
      <c r="D65" s="13">
        <v>15938</v>
      </c>
      <c r="E65" s="70">
        <v>300</v>
      </c>
      <c r="F65" s="14"/>
      <c r="G65" s="9"/>
      <c r="H65" s="77"/>
      <c r="I65" s="10"/>
      <c r="J65" s="53"/>
      <c r="K65" s="72"/>
      <c r="L65" s="54" t="s">
        <v>20</v>
      </c>
      <c r="M65" s="75"/>
      <c r="N65" s="73"/>
      <c r="O65" s="15"/>
    </row>
    <row r="66" spans="1:15" x14ac:dyDescent="0.25">
      <c r="A66" s="16"/>
      <c r="B66" s="49"/>
      <c r="C66" s="17"/>
      <c r="D66" s="13">
        <v>15939</v>
      </c>
      <c r="E66" s="70">
        <v>300</v>
      </c>
      <c r="F66" s="14"/>
      <c r="G66" s="9"/>
      <c r="H66" s="77"/>
      <c r="I66" s="10"/>
      <c r="J66" s="53"/>
      <c r="K66" s="72"/>
      <c r="L66" s="54" t="s">
        <v>131</v>
      </c>
      <c r="M66" s="75"/>
      <c r="N66" s="73"/>
      <c r="O66" s="15"/>
    </row>
    <row r="67" spans="1:15" x14ac:dyDescent="0.25">
      <c r="A67" s="16"/>
      <c r="B67" s="49"/>
      <c r="C67" s="17"/>
      <c r="D67" s="13">
        <v>15940</v>
      </c>
      <c r="E67" s="70">
        <v>1200</v>
      </c>
      <c r="F67" s="14" t="s">
        <v>70</v>
      </c>
      <c r="G67" s="9"/>
      <c r="H67" s="77"/>
      <c r="I67" s="10"/>
      <c r="J67" s="53">
        <v>16038</v>
      </c>
      <c r="K67" s="72">
        <v>800</v>
      </c>
      <c r="L67" s="54" t="s">
        <v>118</v>
      </c>
      <c r="M67" s="75"/>
      <c r="N67" s="73"/>
      <c r="O67" s="15"/>
    </row>
    <row r="68" spans="1:15" x14ac:dyDescent="0.25">
      <c r="A68" s="16"/>
      <c r="B68" s="49"/>
      <c r="C68" s="87"/>
      <c r="D68" s="13"/>
      <c r="E68" s="70"/>
      <c r="F68" s="14" t="s">
        <v>20</v>
      </c>
      <c r="G68" s="9"/>
      <c r="H68" s="77"/>
      <c r="I68" s="10"/>
      <c r="J68" s="53"/>
      <c r="K68" s="72"/>
      <c r="L68" s="54" t="s">
        <v>136</v>
      </c>
      <c r="M68" s="75"/>
      <c r="N68" s="73"/>
      <c r="O68" s="15"/>
    </row>
    <row r="69" spans="1:15" x14ac:dyDescent="0.25">
      <c r="A69" s="16"/>
      <c r="B69" s="49"/>
      <c r="C69" s="17"/>
      <c r="D69" s="13">
        <v>15941</v>
      </c>
      <c r="E69" s="70">
        <v>200</v>
      </c>
      <c r="F69" s="14"/>
      <c r="G69" s="9"/>
      <c r="H69" s="77"/>
      <c r="I69" s="10"/>
      <c r="J69" s="53">
        <v>16039</v>
      </c>
      <c r="K69" s="72">
        <v>100</v>
      </c>
      <c r="L69" s="54" t="s">
        <v>84</v>
      </c>
      <c r="M69" s="75"/>
      <c r="N69" s="73"/>
      <c r="O69" s="15"/>
    </row>
    <row r="70" spans="1:15" x14ac:dyDescent="0.25">
      <c r="A70" s="16"/>
      <c r="B70" s="49"/>
      <c r="C70" s="17"/>
      <c r="D70" s="13">
        <v>15942</v>
      </c>
      <c r="E70" s="70">
        <v>800</v>
      </c>
      <c r="F70" s="14" t="s">
        <v>92</v>
      </c>
      <c r="G70" s="9"/>
      <c r="H70" s="77"/>
      <c r="I70" s="10"/>
      <c r="J70" s="53">
        <v>16040</v>
      </c>
      <c r="K70" s="72">
        <v>1400</v>
      </c>
      <c r="L70" s="54" t="s">
        <v>137</v>
      </c>
      <c r="M70" s="75"/>
      <c r="N70" s="73"/>
      <c r="O70" s="15"/>
    </row>
    <row r="71" spans="1:15" x14ac:dyDescent="0.25">
      <c r="A71" s="16"/>
      <c r="B71" s="49"/>
      <c r="C71" s="22"/>
      <c r="D71" s="13"/>
      <c r="E71" s="70"/>
      <c r="F71" s="14" t="s">
        <v>20</v>
      </c>
      <c r="G71" s="9"/>
      <c r="H71" s="77"/>
      <c r="I71" s="10"/>
      <c r="J71" s="53"/>
      <c r="K71" s="72"/>
      <c r="L71" s="54" t="s">
        <v>138</v>
      </c>
      <c r="M71" s="75"/>
      <c r="N71" s="73"/>
      <c r="O71" s="15"/>
    </row>
    <row r="72" spans="1:15" x14ac:dyDescent="0.25">
      <c r="A72" s="16"/>
      <c r="B72" s="49"/>
      <c r="C72" s="17"/>
      <c r="D72" s="13">
        <v>15943</v>
      </c>
      <c r="E72" s="70">
        <v>400</v>
      </c>
      <c r="F72" s="14"/>
      <c r="G72" s="11"/>
      <c r="H72" s="67"/>
      <c r="I72" s="12"/>
      <c r="J72" s="53">
        <v>16041</v>
      </c>
      <c r="K72" s="72">
        <v>400</v>
      </c>
      <c r="L72" s="54" t="s">
        <v>104</v>
      </c>
      <c r="M72" s="75"/>
      <c r="N72" s="73"/>
      <c r="O72" s="15"/>
    </row>
    <row r="73" spans="1:15" x14ac:dyDescent="0.25">
      <c r="A73" s="16"/>
      <c r="B73" s="49"/>
      <c r="C73" s="17"/>
      <c r="D73" s="13">
        <v>15944</v>
      </c>
      <c r="E73" s="70">
        <v>200</v>
      </c>
      <c r="F73" s="14" t="s">
        <v>100</v>
      </c>
      <c r="G73" s="11"/>
      <c r="H73" s="67"/>
      <c r="I73" s="12"/>
      <c r="J73" s="53"/>
      <c r="K73" s="72"/>
      <c r="L73" s="54" t="s">
        <v>15</v>
      </c>
      <c r="M73" s="75"/>
      <c r="N73" s="73"/>
      <c r="O73" s="15"/>
    </row>
    <row r="74" spans="1:15" x14ac:dyDescent="0.25">
      <c r="A74" s="16"/>
      <c r="B74" s="49"/>
      <c r="C74" s="17"/>
      <c r="D74" s="13">
        <v>15945</v>
      </c>
      <c r="E74" s="70">
        <v>200</v>
      </c>
      <c r="F74" s="14" t="s">
        <v>41</v>
      </c>
      <c r="G74" s="11"/>
      <c r="H74" s="67"/>
      <c r="I74" s="12"/>
      <c r="J74" s="53"/>
      <c r="K74" s="72"/>
      <c r="L74" s="54"/>
      <c r="M74" s="75"/>
      <c r="N74" s="73"/>
      <c r="O74" s="15"/>
    </row>
    <row r="75" spans="1:15" x14ac:dyDescent="0.25">
      <c r="A75" s="16"/>
      <c r="B75" s="49"/>
      <c r="C75" s="17"/>
      <c r="D75" s="13">
        <v>15946</v>
      </c>
      <c r="E75" s="70">
        <v>600</v>
      </c>
      <c r="F75" s="14" t="s">
        <v>101</v>
      </c>
      <c r="G75" s="11"/>
      <c r="H75" s="67"/>
      <c r="I75" s="12"/>
      <c r="J75" s="53"/>
      <c r="K75" s="72"/>
      <c r="L75" s="54"/>
      <c r="M75" s="75"/>
      <c r="N75" s="73"/>
      <c r="O75" s="15"/>
    </row>
    <row r="76" spans="1:15" x14ac:dyDescent="0.25">
      <c r="A76" s="16"/>
      <c r="B76" s="49"/>
      <c r="C76" s="17"/>
      <c r="D76" s="13">
        <v>15947</v>
      </c>
      <c r="E76" s="70">
        <v>400</v>
      </c>
      <c r="F76" s="14"/>
      <c r="G76" s="11"/>
      <c r="H76" s="67"/>
      <c r="I76" s="12"/>
      <c r="J76" s="53"/>
      <c r="K76" s="72"/>
      <c r="L76" s="54"/>
      <c r="M76" s="75"/>
      <c r="N76" s="73"/>
      <c r="O76" s="15"/>
    </row>
    <row r="77" spans="1:15" x14ac:dyDescent="0.25">
      <c r="A77" s="16"/>
      <c r="B77" s="49"/>
      <c r="C77" s="17"/>
      <c r="D77" s="13">
        <v>15948</v>
      </c>
      <c r="E77" s="70">
        <v>400</v>
      </c>
      <c r="F77" s="14" t="s">
        <v>102</v>
      </c>
      <c r="G77" s="11"/>
      <c r="H77" s="67"/>
      <c r="I77" s="12"/>
      <c r="J77" s="53"/>
      <c r="K77" s="72"/>
      <c r="L77" s="54"/>
      <c r="M77" s="75"/>
      <c r="N77" s="73"/>
      <c r="O77" s="15"/>
    </row>
    <row r="78" spans="1:15" x14ac:dyDescent="0.25">
      <c r="A78" s="16"/>
      <c r="B78" s="49"/>
      <c r="C78" s="17"/>
      <c r="D78" s="13">
        <v>15949</v>
      </c>
      <c r="E78" s="70">
        <v>50</v>
      </c>
      <c r="F78" s="14" t="s">
        <v>40</v>
      </c>
      <c r="G78" s="11"/>
      <c r="H78" s="67"/>
      <c r="I78" s="12"/>
      <c r="J78" s="53"/>
      <c r="K78" s="72"/>
      <c r="L78" s="54"/>
      <c r="M78" s="75"/>
      <c r="N78" s="73"/>
      <c r="O78" s="15"/>
    </row>
    <row r="79" spans="1:15" x14ac:dyDescent="0.25">
      <c r="A79" s="16"/>
      <c r="B79" s="49"/>
      <c r="C79" s="17"/>
      <c r="D79" s="13">
        <v>15950</v>
      </c>
      <c r="E79" s="70">
        <v>400</v>
      </c>
      <c r="F79" s="14" t="s">
        <v>67</v>
      </c>
      <c r="G79" s="11"/>
      <c r="H79" s="67"/>
      <c r="I79" s="12"/>
      <c r="J79" s="53"/>
      <c r="K79" s="72"/>
      <c r="L79" s="54"/>
      <c r="M79" s="75"/>
      <c r="N79" s="73"/>
      <c r="O79" s="15"/>
    </row>
    <row r="80" spans="1:15" x14ac:dyDescent="0.25">
      <c r="A80" s="16"/>
      <c r="B80" s="49"/>
      <c r="C80" s="17"/>
      <c r="D80" s="13"/>
      <c r="E80" s="70"/>
      <c r="F80" s="14" t="s">
        <v>15</v>
      </c>
      <c r="G80" s="11"/>
      <c r="H80" s="67"/>
      <c r="I80" s="12"/>
      <c r="J80" s="53"/>
      <c r="K80" s="72"/>
      <c r="L80" s="54"/>
      <c r="M80" s="75"/>
      <c r="N80" s="73"/>
      <c r="O80" s="15"/>
    </row>
    <row r="81" spans="1:15" x14ac:dyDescent="0.25">
      <c r="A81" s="16"/>
      <c r="B81" s="49"/>
      <c r="C81" s="17"/>
      <c r="D81" s="13">
        <v>15951</v>
      </c>
      <c r="E81" s="70">
        <v>450</v>
      </c>
      <c r="F81" s="14" t="s">
        <v>103</v>
      </c>
      <c r="G81" s="11"/>
      <c r="H81" s="67"/>
      <c r="I81" s="12"/>
      <c r="J81" s="53"/>
      <c r="K81" s="72"/>
      <c r="L81" s="54"/>
      <c r="M81" s="75"/>
      <c r="N81" s="73"/>
      <c r="O81" s="15"/>
    </row>
    <row r="82" spans="1:15" x14ac:dyDescent="0.25">
      <c r="A82" s="16"/>
      <c r="B82" s="49"/>
      <c r="C82" s="17"/>
      <c r="D82" s="13">
        <v>15952</v>
      </c>
      <c r="E82" s="70">
        <v>200</v>
      </c>
      <c r="F82" s="14"/>
      <c r="G82" s="11"/>
      <c r="H82" s="67"/>
      <c r="I82" s="12"/>
      <c r="J82" s="53"/>
      <c r="K82" s="72"/>
      <c r="L82" s="54"/>
      <c r="M82" s="75"/>
      <c r="N82" s="73"/>
      <c r="O82" s="15"/>
    </row>
    <row r="83" spans="1:15" x14ac:dyDescent="0.25">
      <c r="A83" s="16"/>
      <c r="B83" s="49"/>
      <c r="C83" s="17"/>
      <c r="D83" s="13">
        <v>15953</v>
      </c>
      <c r="E83" s="70">
        <v>450</v>
      </c>
      <c r="F83" s="14" t="s">
        <v>103</v>
      </c>
      <c r="G83" s="11"/>
      <c r="H83" s="67"/>
      <c r="I83" s="12"/>
      <c r="J83" s="53"/>
      <c r="K83" s="72"/>
      <c r="L83" s="54"/>
      <c r="M83" s="75"/>
      <c r="N83" s="73"/>
      <c r="O83" s="15"/>
    </row>
    <row r="84" spans="1:15" x14ac:dyDescent="0.25">
      <c r="A84" s="16"/>
      <c r="B84" s="49"/>
      <c r="C84" s="17"/>
      <c r="D84" s="13">
        <v>15954</v>
      </c>
      <c r="E84" s="70">
        <v>1200</v>
      </c>
      <c r="F84" s="14" t="s">
        <v>93</v>
      </c>
      <c r="G84" s="11"/>
      <c r="H84" s="67"/>
      <c r="I84" s="12"/>
      <c r="J84" s="53"/>
      <c r="K84" s="72"/>
      <c r="L84" s="54"/>
      <c r="M84" s="75"/>
      <c r="N84" s="73"/>
      <c r="O84" s="15"/>
    </row>
    <row r="85" spans="1:15" x14ac:dyDescent="0.25">
      <c r="A85" s="16"/>
      <c r="B85" s="49"/>
      <c r="C85" s="17"/>
      <c r="D85" s="13"/>
      <c r="E85" s="70"/>
      <c r="F85" s="14" t="s">
        <v>20</v>
      </c>
      <c r="G85" s="11"/>
      <c r="H85" s="67"/>
      <c r="I85" s="12"/>
      <c r="J85" s="53"/>
      <c r="K85" s="72"/>
      <c r="L85" s="54"/>
      <c r="M85" s="75"/>
      <c r="N85" s="73"/>
      <c r="O85" s="15"/>
    </row>
    <row r="86" spans="1:15" x14ac:dyDescent="0.25">
      <c r="A86" s="16"/>
      <c r="B86" s="49"/>
      <c r="C86" s="17"/>
      <c r="D86" s="13">
        <v>15955</v>
      </c>
      <c r="E86" s="70">
        <v>300</v>
      </c>
      <c r="F86" s="14"/>
      <c r="G86" s="11"/>
      <c r="H86" s="67"/>
      <c r="I86" s="12"/>
      <c r="J86" s="53"/>
      <c r="K86" s="72"/>
      <c r="L86" s="54"/>
      <c r="M86" s="75"/>
      <c r="N86" s="73"/>
      <c r="O86" s="15"/>
    </row>
    <row r="87" spans="1:15" x14ac:dyDescent="0.25">
      <c r="A87" s="16"/>
      <c r="B87" s="49"/>
      <c r="C87" s="17"/>
      <c r="D87" s="13">
        <v>15956</v>
      </c>
      <c r="E87" s="70">
        <v>800</v>
      </c>
      <c r="F87" s="14" t="s">
        <v>104</v>
      </c>
      <c r="G87" s="11"/>
      <c r="H87" s="67"/>
      <c r="I87" s="12"/>
      <c r="J87" s="53"/>
      <c r="K87" s="72"/>
      <c r="L87" s="54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 t="s">
        <v>20</v>
      </c>
      <c r="G88" s="11"/>
      <c r="H88" s="67"/>
      <c r="I88" s="12"/>
      <c r="J88" s="53"/>
      <c r="K88" s="72"/>
      <c r="L88" s="54"/>
      <c r="M88" s="75"/>
      <c r="N88" s="73"/>
      <c r="O88" s="15"/>
    </row>
    <row r="89" spans="1:15" x14ac:dyDescent="0.25">
      <c r="A89" s="16"/>
      <c r="B89" s="49"/>
      <c r="C89" s="17"/>
      <c r="D89" s="13">
        <v>15957</v>
      </c>
      <c r="E89" s="70">
        <v>400</v>
      </c>
      <c r="F89" s="14"/>
      <c r="G89" s="11"/>
      <c r="H89" s="67"/>
      <c r="I89" s="12"/>
      <c r="J89" s="53"/>
      <c r="K89" s="72"/>
      <c r="L89" s="54"/>
      <c r="M89" s="75"/>
      <c r="N89" s="73"/>
      <c r="O89" s="15"/>
    </row>
    <row r="90" spans="1:15" x14ac:dyDescent="0.25">
      <c r="A90" s="16"/>
      <c r="B90" s="49"/>
      <c r="C90" s="17"/>
      <c r="D90" s="13">
        <v>15958</v>
      </c>
      <c r="E90" s="70">
        <v>4400</v>
      </c>
      <c r="F90" s="14" t="s">
        <v>14</v>
      </c>
      <c r="G90" s="11"/>
      <c r="H90" s="67"/>
      <c r="I90" s="12"/>
      <c r="J90" s="53"/>
      <c r="K90" s="72"/>
      <c r="L90" s="54"/>
      <c r="M90" s="75"/>
      <c r="N90" s="73"/>
      <c r="O90" s="15"/>
    </row>
    <row r="91" spans="1:15" x14ac:dyDescent="0.25">
      <c r="A91" s="16"/>
      <c r="B91" s="49"/>
      <c r="C91" s="17"/>
      <c r="D91" s="13"/>
      <c r="E91" s="70"/>
      <c r="F91" s="14" t="s">
        <v>20</v>
      </c>
      <c r="G91" s="11"/>
      <c r="H91" s="67"/>
      <c r="I91" s="12"/>
      <c r="J91" s="53"/>
      <c r="K91" s="72"/>
      <c r="L91" s="54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 t="s">
        <v>81</v>
      </c>
      <c r="G92" s="11"/>
      <c r="H92" s="67"/>
      <c r="I92" s="12"/>
      <c r="J92" s="53"/>
      <c r="K92" s="72"/>
      <c r="L92" s="54"/>
      <c r="M92" s="75"/>
      <c r="N92" s="73"/>
      <c r="O92" s="15"/>
    </row>
    <row r="93" spans="1:15" x14ac:dyDescent="0.25">
      <c r="A93" s="16"/>
      <c r="B93" s="49"/>
      <c r="C93" s="17"/>
      <c r="D93" s="13">
        <v>15959</v>
      </c>
      <c r="E93" s="70">
        <v>200</v>
      </c>
      <c r="F93" s="14"/>
      <c r="G93" s="11"/>
      <c r="H93" s="67"/>
      <c r="I93" s="12"/>
      <c r="J93" s="53"/>
      <c r="K93" s="72"/>
      <c r="L93" s="54"/>
      <c r="M93" s="75"/>
      <c r="N93" s="73"/>
      <c r="O93" s="15"/>
    </row>
    <row r="94" spans="1:15" x14ac:dyDescent="0.25">
      <c r="A94" s="16"/>
      <c r="B94" s="49"/>
      <c r="C94" s="17"/>
      <c r="D94" s="13">
        <v>15960</v>
      </c>
      <c r="E94" s="70">
        <v>200</v>
      </c>
      <c r="F94" s="14" t="s">
        <v>105</v>
      </c>
      <c r="G94" s="11"/>
      <c r="H94" s="67"/>
      <c r="I94" s="12"/>
      <c r="J94" s="53"/>
      <c r="K94" s="72"/>
      <c r="L94" s="54"/>
      <c r="M94" s="75"/>
      <c r="N94" s="73"/>
      <c r="O94" s="15"/>
    </row>
    <row r="95" spans="1:15" x14ac:dyDescent="0.25">
      <c r="A95" s="16"/>
      <c r="B95" s="49"/>
      <c r="C95" s="17"/>
      <c r="D95" s="13">
        <v>15961</v>
      </c>
      <c r="E95" s="70">
        <v>700</v>
      </c>
      <c r="F95" s="14" t="s">
        <v>106</v>
      </c>
      <c r="G95" s="11"/>
      <c r="H95" s="67"/>
      <c r="I95" s="12"/>
      <c r="J95" s="53"/>
      <c r="K95" s="72"/>
      <c r="L95" s="54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 t="s">
        <v>107</v>
      </c>
      <c r="G96" s="11"/>
      <c r="H96" s="67"/>
      <c r="I96" s="12"/>
      <c r="J96" s="53"/>
      <c r="K96" s="72"/>
      <c r="L96" s="54"/>
      <c r="M96" s="75"/>
      <c r="N96" s="73"/>
      <c r="O96" s="15"/>
    </row>
    <row r="97" spans="1:16" x14ac:dyDescent="0.25">
      <c r="A97" s="16"/>
      <c r="B97" s="49"/>
      <c r="C97" s="17"/>
      <c r="D97" s="13">
        <v>15962</v>
      </c>
      <c r="E97" s="70">
        <v>400</v>
      </c>
      <c r="F97" s="14" t="s">
        <v>108</v>
      </c>
      <c r="G97" s="11"/>
      <c r="H97" s="67"/>
      <c r="I97" s="12"/>
      <c r="J97" s="53"/>
      <c r="K97" s="72"/>
      <c r="L97" s="54"/>
      <c r="M97" s="75"/>
      <c r="N97" s="73"/>
      <c r="O97" s="15"/>
    </row>
    <row r="98" spans="1:16" x14ac:dyDescent="0.25">
      <c r="A98" s="16"/>
      <c r="B98" s="49"/>
      <c r="C98" s="17"/>
      <c r="D98" s="13">
        <v>15963</v>
      </c>
      <c r="E98" s="70">
        <v>400</v>
      </c>
      <c r="F98" s="14"/>
      <c r="G98" s="11"/>
      <c r="H98" s="67"/>
      <c r="I98" s="12"/>
      <c r="J98" s="53"/>
      <c r="K98" s="72"/>
      <c r="L98" s="54"/>
      <c r="M98" s="75"/>
      <c r="N98" s="73"/>
      <c r="O98" s="15"/>
    </row>
    <row r="99" spans="1:16" x14ac:dyDescent="0.25">
      <c r="A99" s="16"/>
      <c r="B99" s="49"/>
      <c r="C99" s="17"/>
      <c r="D99" s="13">
        <v>15964</v>
      </c>
      <c r="E99" s="70">
        <v>800</v>
      </c>
      <c r="F99" s="14" t="s">
        <v>109</v>
      </c>
      <c r="G99" s="11"/>
      <c r="H99" s="67"/>
      <c r="I99" s="12"/>
      <c r="J99" s="53"/>
      <c r="K99" s="72"/>
      <c r="L99" s="54"/>
      <c r="M99" s="75"/>
      <c r="N99" s="73"/>
      <c r="O99" s="15"/>
    </row>
    <row r="100" spans="1:16" x14ac:dyDescent="0.25">
      <c r="A100" s="16"/>
      <c r="B100" s="49"/>
      <c r="C100" s="17"/>
      <c r="D100" s="13"/>
      <c r="E100" s="70"/>
      <c r="F100" s="14" t="s">
        <v>57</v>
      </c>
      <c r="G100" s="11"/>
      <c r="H100" s="67"/>
      <c r="I100" s="12"/>
      <c r="J100" s="53"/>
      <c r="K100" s="72"/>
      <c r="L100" s="57"/>
      <c r="M100" s="75"/>
      <c r="N100" s="73"/>
      <c r="O100" s="15"/>
    </row>
    <row r="101" spans="1:16" x14ac:dyDescent="0.25">
      <c r="A101" s="16"/>
      <c r="B101" s="49"/>
      <c r="C101" s="17"/>
      <c r="D101" s="13">
        <v>15965</v>
      </c>
      <c r="E101" s="70">
        <v>600</v>
      </c>
      <c r="F101" s="14" t="s">
        <v>70</v>
      </c>
      <c r="G101" s="11"/>
      <c r="H101" s="67"/>
      <c r="I101" s="12"/>
      <c r="J101" s="53"/>
      <c r="K101" s="72"/>
      <c r="L101" s="54"/>
      <c r="M101" s="75"/>
      <c r="N101" s="73"/>
      <c r="O101" s="15"/>
    </row>
    <row r="102" spans="1:16" x14ac:dyDescent="0.25">
      <c r="A102" s="16"/>
      <c r="B102" s="49"/>
      <c r="C102" s="17"/>
      <c r="D102" s="13"/>
      <c r="E102" s="70"/>
      <c r="F102" s="14" t="s">
        <v>15</v>
      </c>
      <c r="G102" s="11"/>
      <c r="H102" s="67"/>
      <c r="I102" s="12"/>
      <c r="J102" s="53"/>
      <c r="K102" s="72"/>
      <c r="L102" s="54"/>
      <c r="M102" s="75"/>
      <c r="N102" s="73"/>
      <c r="O102" s="15"/>
    </row>
    <row r="103" spans="1:16" x14ac:dyDescent="0.25">
      <c r="A103" s="26"/>
      <c r="B103" s="66"/>
      <c r="C103" s="58"/>
      <c r="D103" s="26"/>
      <c r="E103" s="74"/>
      <c r="F103" s="58"/>
      <c r="G103" s="26"/>
      <c r="H103" s="74"/>
      <c r="I103" s="58"/>
      <c r="J103" s="26"/>
      <c r="K103" s="74"/>
      <c r="L103" s="58"/>
      <c r="M103" s="26"/>
      <c r="N103" s="74"/>
      <c r="O103" s="58"/>
      <c r="P103" s="58"/>
    </row>
    <row r="104" spans="1:16" x14ac:dyDescent="0.25">
      <c r="A104" s="26"/>
      <c r="B104" s="66"/>
      <c r="C104" s="58"/>
      <c r="D104" s="26"/>
      <c r="E104" s="74"/>
      <c r="F104" s="58"/>
      <c r="G104" s="26"/>
      <c r="H104" s="74"/>
      <c r="I104" s="58"/>
      <c r="J104" s="26"/>
      <c r="K104" s="74"/>
      <c r="L104" s="58"/>
      <c r="M104" s="26"/>
      <c r="N104" s="74"/>
      <c r="O104" s="58"/>
      <c r="P104" s="58"/>
    </row>
    <row r="105" spans="1:16" x14ac:dyDescent="0.25">
      <c r="A105" s="26"/>
      <c r="B105" s="66"/>
      <c r="C105" s="58"/>
      <c r="D105" s="26"/>
      <c r="E105" s="74"/>
      <c r="F105" s="58"/>
      <c r="G105" s="26"/>
      <c r="H105" s="74"/>
      <c r="I105" s="58"/>
      <c r="J105" s="26"/>
      <c r="K105" s="74"/>
      <c r="L105" s="58"/>
      <c r="M105" s="26"/>
      <c r="N105" s="74"/>
      <c r="O105" s="58"/>
      <c r="P105" s="58"/>
    </row>
    <row r="106" spans="1:16" x14ac:dyDescent="0.25">
      <c r="A106" s="26"/>
      <c r="B106" s="66"/>
      <c r="C106" s="58"/>
      <c r="D106" s="26"/>
      <c r="E106" s="74"/>
      <c r="F106" s="58"/>
      <c r="G106" s="26"/>
      <c r="H106" s="74"/>
      <c r="I106" s="58"/>
      <c r="J106" s="26"/>
      <c r="K106" s="74"/>
      <c r="L106" s="58"/>
      <c r="M106" s="26"/>
      <c r="N106" s="74"/>
      <c r="O106" s="58"/>
      <c r="P106" s="58"/>
    </row>
    <row r="107" spans="1:16" x14ac:dyDescent="0.25">
      <c r="A107" s="26"/>
      <c r="B107" s="66"/>
      <c r="C107" s="58"/>
      <c r="D107" s="26"/>
      <c r="E107" s="74"/>
      <c r="F107" s="58"/>
      <c r="G107" s="26"/>
      <c r="H107" s="74"/>
      <c r="I107" s="58"/>
      <c r="J107" s="26"/>
      <c r="K107" s="74"/>
      <c r="L107" s="58"/>
      <c r="M107" s="26"/>
      <c r="N107" s="74"/>
      <c r="O107" s="58"/>
      <c r="P107" s="58"/>
    </row>
    <row r="108" spans="1:16" x14ac:dyDescent="0.25">
      <c r="A108" s="26"/>
      <c r="B108" s="66"/>
      <c r="C108" s="58"/>
      <c r="D108" s="26"/>
      <c r="E108" s="74"/>
      <c r="F108" s="58"/>
      <c r="G108" s="26"/>
      <c r="H108" s="74"/>
      <c r="I108" s="58"/>
      <c r="J108" s="26"/>
      <c r="K108" s="74"/>
      <c r="L108" s="58"/>
      <c r="M108" s="26"/>
      <c r="N108" s="74"/>
      <c r="O108" s="58"/>
      <c r="P108" s="58"/>
    </row>
    <row r="109" spans="1:16" x14ac:dyDescent="0.25">
      <c r="A109" s="26"/>
      <c r="B109" s="66"/>
      <c r="C109" s="58"/>
      <c r="D109" s="26"/>
      <c r="E109" s="74"/>
      <c r="F109" s="58"/>
      <c r="G109" s="26"/>
      <c r="H109" s="74"/>
      <c r="I109" s="58"/>
      <c r="J109" s="26"/>
      <c r="K109" s="74"/>
      <c r="L109" s="58"/>
      <c r="M109" s="26"/>
      <c r="N109" s="74"/>
      <c r="O109" s="58"/>
      <c r="P109" s="58"/>
    </row>
    <row r="110" spans="1:16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26"/>
      <c r="N110" s="74"/>
      <c r="O110" s="58"/>
      <c r="P110" s="58"/>
    </row>
    <row r="111" spans="1:16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26"/>
      <c r="N111" s="74"/>
      <c r="O111" s="58"/>
      <c r="P111" s="58"/>
    </row>
    <row r="112" spans="1:16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26"/>
      <c r="N112" s="74"/>
      <c r="O112" s="58"/>
      <c r="P112" s="58"/>
    </row>
    <row r="113" spans="1:16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26"/>
      <c r="N113" s="74"/>
      <c r="O113" s="58"/>
      <c r="P113" s="58"/>
    </row>
    <row r="114" spans="1:16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26"/>
      <c r="N114" s="74"/>
      <c r="O114" s="58"/>
      <c r="P114" s="58"/>
    </row>
    <row r="115" spans="1:16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26"/>
      <c r="N115" s="74"/>
      <c r="O115" s="58"/>
      <c r="P115" s="58"/>
    </row>
    <row r="116" spans="1:16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26"/>
      <c r="N116" s="74"/>
      <c r="O116" s="58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26"/>
      <c r="N117" s="74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26"/>
      <c r="N118" s="74"/>
      <c r="O118" s="58"/>
      <c r="P118" s="58"/>
    </row>
    <row r="119" spans="1:16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26"/>
      <c r="N119" s="74"/>
      <c r="O119" s="58"/>
      <c r="P119" s="58"/>
    </row>
    <row r="120" spans="1:16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26"/>
      <c r="N120" s="74"/>
      <c r="O120" s="58"/>
      <c r="P120" s="58"/>
    </row>
    <row r="121" spans="1:16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26"/>
      <c r="N121" s="74"/>
      <c r="O121" s="58"/>
      <c r="P121" s="58"/>
    </row>
    <row r="122" spans="1:16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26"/>
      <c r="N122" s="74"/>
      <c r="O122" s="58"/>
      <c r="P122" s="58"/>
    </row>
    <row r="123" spans="1:16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26"/>
      <c r="N123" s="74"/>
      <c r="O123" s="58"/>
      <c r="P123" s="58"/>
    </row>
    <row r="124" spans="1:16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26"/>
      <c r="N124" s="74"/>
      <c r="O124" s="58"/>
      <c r="P124" s="58"/>
    </row>
    <row r="125" spans="1:16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26"/>
      <c r="N125" s="74"/>
      <c r="O125" s="58"/>
      <c r="P125" s="58"/>
    </row>
    <row r="126" spans="1:16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26"/>
      <c r="N126" s="74"/>
      <c r="O126" s="58"/>
      <c r="P126" s="58"/>
    </row>
    <row r="127" spans="1:16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26"/>
      <c r="N127" s="74"/>
      <c r="O127" s="58"/>
      <c r="P127" s="58"/>
    </row>
    <row r="128" spans="1:16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26"/>
      <c r="N128" s="74"/>
      <c r="O128" s="58"/>
      <c r="P128" s="58"/>
    </row>
    <row r="129" spans="1:16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26"/>
      <c r="N129" s="74"/>
      <c r="O129" s="58"/>
      <c r="P129" s="58"/>
    </row>
    <row r="130" spans="1:16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26"/>
      <c r="N130" s="74"/>
      <c r="O130" s="58"/>
      <c r="P130" s="58"/>
    </row>
    <row r="131" spans="1:16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26"/>
      <c r="N131" s="74"/>
      <c r="O131" s="58"/>
      <c r="P131" s="58"/>
    </row>
    <row r="132" spans="1:16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26"/>
      <c r="N132" s="74"/>
      <c r="O132" s="58"/>
      <c r="P132" s="58"/>
    </row>
    <row r="133" spans="1:16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  <c r="P133" s="58"/>
    </row>
    <row r="134" spans="1:16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  <c r="P134" s="58"/>
    </row>
    <row r="135" spans="1:16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  <c r="P135" s="58"/>
    </row>
    <row r="136" spans="1:16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  <c r="P136" s="58"/>
    </row>
    <row r="137" spans="1:16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  <c r="P137" s="58"/>
    </row>
    <row r="138" spans="1:16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  <c r="P138" s="58"/>
    </row>
    <row r="139" spans="1:16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  <c r="P139" s="58"/>
    </row>
    <row r="140" spans="1:16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  <c r="P140" s="58"/>
    </row>
    <row r="141" spans="1:16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  <c r="P141" s="58"/>
    </row>
    <row r="142" spans="1:16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  <c r="P142" s="58"/>
    </row>
    <row r="143" spans="1:16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  <c r="P143" s="58"/>
    </row>
    <row r="144" spans="1:16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  <c r="P144" s="58"/>
    </row>
    <row r="145" spans="1:16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  <c r="P145" s="58"/>
    </row>
    <row r="146" spans="1:16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6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6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6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6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6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6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6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6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6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6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6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6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6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6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2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26"/>
      <c r="C536" s="58"/>
      <c r="D536" s="26"/>
      <c r="E536" s="58"/>
      <c r="F536" s="58"/>
      <c r="G536" s="26"/>
      <c r="H536" s="58"/>
      <c r="I536" s="58"/>
      <c r="J536" s="26"/>
      <c r="K536" s="58"/>
      <c r="L536" s="58"/>
      <c r="M536" s="58"/>
      <c r="N536" s="58"/>
      <c r="O536" s="58"/>
    </row>
    <row r="537" spans="1:15" x14ac:dyDescent="0.25">
      <c r="A537" s="26"/>
      <c r="B537" s="26"/>
      <c r="C537" s="58"/>
      <c r="D537" s="26"/>
      <c r="E537" s="58"/>
      <c r="F537" s="58"/>
      <c r="G537" s="26"/>
      <c r="H537" s="58"/>
      <c r="I537" s="58"/>
      <c r="J537" s="26"/>
      <c r="K537" s="58"/>
      <c r="L537" s="58"/>
      <c r="M537" s="58"/>
      <c r="N537" s="58"/>
      <c r="O537" s="58"/>
    </row>
    <row r="538" spans="1:15" x14ac:dyDescent="0.25">
      <c r="A538" s="26"/>
      <c r="B538" s="26"/>
      <c r="C538" s="58"/>
      <c r="D538" s="26"/>
      <c r="E538" s="58"/>
      <c r="F538" s="58"/>
      <c r="G538" s="26"/>
      <c r="H538" s="58"/>
      <c r="I538" s="58"/>
      <c r="J538" s="26"/>
      <c r="K538" s="58"/>
      <c r="L538" s="58"/>
      <c r="M538" s="58"/>
      <c r="N538" s="58"/>
      <c r="O538" s="58"/>
    </row>
    <row r="539" spans="1:15" x14ac:dyDescent="0.25">
      <c r="A539" s="26"/>
      <c r="B539" s="26"/>
      <c r="C539" s="58"/>
      <c r="D539" s="26"/>
      <c r="E539" s="58"/>
      <c r="F539" s="58"/>
      <c r="G539" s="26"/>
      <c r="H539" s="58"/>
      <c r="I539" s="58"/>
      <c r="J539" s="26"/>
      <c r="K539" s="58"/>
      <c r="L539" s="58"/>
      <c r="M539" s="58"/>
      <c r="N539" s="58"/>
      <c r="O539" s="58"/>
    </row>
    <row r="540" spans="1:15" x14ac:dyDescent="0.25">
      <c r="A540" s="26"/>
      <c r="B540" s="26"/>
      <c r="C540" s="58"/>
      <c r="D540" s="26"/>
      <c r="E540" s="58"/>
      <c r="F540" s="58"/>
      <c r="G540" s="26"/>
      <c r="H540" s="58"/>
      <c r="I540" s="58"/>
      <c r="J540" s="26"/>
      <c r="K540" s="58"/>
      <c r="L540" s="58"/>
      <c r="M540" s="58"/>
      <c r="N540" s="58"/>
      <c r="O540" s="58"/>
    </row>
    <row r="541" spans="1:15" x14ac:dyDescent="0.25">
      <c r="A541" s="26"/>
      <c r="B541" s="26"/>
      <c r="C541" s="58"/>
      <c r="D541" s="26"/>
      <c r="E541" s="58"/>
      <c r="F541" s="58"/>
      <c r="G541" s="26"/>
      <c r="H541" s="58"/>
      <c r="I541" s="58"/>
      <c r="J541" s="26"/>
      <c r="K541" s="58"/>
      <c r="L541" s="58"/>
      <c r="M541" s="58"/>
      <c r="N541" s="58"/>
      <c r="O541" s="58"/>
    </row>
    <row r="542" spans="1:15" x14ac:dyDescent="0.25">
      <c r="A542" s="26"/>
      <c r="B542" s="26"/>
      <c r="C542" s="58"/>
      <c r="D542" s="26"/>
      <c r="E542" s="58"/>
      <c r="F542" s="58"/>
      <c r="G542" s="26"/>
      <c r="H542" s="58"/>
      <c r="I542" s="58"/>
      <c r="J542" s="26"/>
      <c r="K542" s="58"/>
      <c r="L542" s="58"/>
      <c r="M542" s="58"/>
      <c r="N542" s="58"/>
      <c r="O542" s="58"/>
    </row>
    <row r="543" spans="1:15" x14ac:dyDescent="0.25">
      <c r="A543" s="26"/>
      <c r="B543" s="26"/>
      <c r="C543" s="58"/>
      <c r="D543" s="26"/>
      <c r="E543" s="58"/>
      <c r="F543" s="58"/>
      <c r="G543" s="26"/>
      <c r="H543" s="58"/>
      <c r="I543" s="58"/>
      <c r="J543" s="26"/>
      <c r="K543" s="58"/>
      <c r="L543" s="58"/>
      <c r="M543" s="58"/>
      <c r="N543" s="58"/>
      <c r="O543" s="58"/>
    </row>
    <row r="544" spans="1:15" x14ac:dyDescent="0.25">
      <c r="A544" s="26"/>
      <c r="B544" s="26"/>
      <c r="C544" s="58"/>
      <c r="D544" s="26"/>
      <c r="E544" s="58"/>
      <c r="F544" s="58"/>
      <c r="G544" s="26"/>
      <c r="H544" s="58"/>
      <c r="I544" s="58"/>
      <c r="J544" s="26"/>
      <c r="K544" s="58"/>
      <c r="L544" s="58"/>
      <c r="M544" s="58"/>
      <c r="N544" s="58"/>
      <c r="O544" s="58"/>
    </row>
    <row r="545" spans="1:15" x14ac:dyDescent="0.25">
      <c r="A545" s="26"/>
      <c r="B545" s="26"/>
      <c r="C545" s="58"/>
      <c r="D545" s="26"/>
      <c r="E545" s="58"/>
      <c r="F545" s="58"/>
      <c r="G545" s="26"/>
      <c r="H545" s="58"/>
      <c r="I545" s="58"/>
      <c r="J545" s="26"/>
      <c r="K545" s="58"/>
      <c r="L545" s="58"/>
      <c r="M545" s="58"/>
      <c r="N545" s="58"/>
      <c r="O545" s="58"/>
    </row>
    <row r="546" spans="1:15" x14ac:dyDescent="0.25">
      <c r="A546" s="26"/>
      <c r="B546" s="26"/>
      <c r="C546" s="58"/>
      <c r="D546" s="26"/>
      <c r="E546" s="58"/>
      <c r="F546" s="58"/>
      <c r="G546" s="26"/>
      <c r="H546" s="58"/>
      <c r="I546" s="58"/>
      <c r="J546" s="26"/>
      <c r="K546" s="58"/>
      <c r="L546" s="58"/>
      <c r="M546" s="58"/>
      <c r="N546" s="58"/>
      <c r="O546" s="58"/>
    </row>
    <row r="547" spans="1:15" x14ac:dyDescent="0.25">
      <c r="A547" s="26"/>
      <c r="B547" s="26"/>
      <c r="C547" s="58"/>
      <c r="D547" s="26"/>
      <c r="E547" s="58"/>
      <c r="F547" s="58"/>
      <c r="G547" s="26"/>
      <c r="H547" s="58"/>
      <c r="I547" s="58"/>
      <c r="J547" s="26"/>
      <c r="K547" s="58"/>
      <c r="L547" s="58"/>
      <c r="M547" s="58"/>
      <c r="N547" s="58"/>
      <c r="O547" s="58"/>
    </row>
    <row r="548" spans="1:15" x14ac:dyDescent="0.25">
      <c r="A548" s="26"/>
      <c r="B548" s="26"/>
      <c r="C548" s="58"/>
      <c r="D548" s="26"/>
      <c r="E548" s="58"/>
      <c r="F548" s="58"/>
      <c r="G548" s="26"/>
      <c r="H548" s="58"/>
      <c r="I548" s="58"/>
      <c r="J548" s="26"/>
      <c r="K548" s="58"/>
      <c r="L548" s="58"/>
      <c r="M548" s="58"/>
      <c r="N548" s="58"/>
      <c r="O548" s="58"/>
    </row>
    <row r="549" spans="1:15" x14ac:dyDescent="0.25">
      <c r="A549" s="26"/>
      <c r="B549" s="26"/>
      <c r="C549" s="58"/>
      <c r="D549" s="26"/>
      <c r="E549" s="58"/>
      <c r="F549" s="58"/>
      <c r="G549" s="26"/>
      <c r="H549" s="58"/>
      <c r="I549" s="58"/>
      <c r="J549" s="26"/>
      <c r="K549" s="58"/>
      <c r="L549" s="58"/>
      <c r="M549" s="58"/>
      <c r="N549" s="58"/>
      <c r="O549" s="58"/>
    </row>
    <row r="550" spans="1:15" x14ac:dyDescent="0.25">
      <c r="A550" s="26"/>
      <c r="B550" s="26"/>
      <c r="C550" s="58"/>
      <c r="D550" s="26"/>
      <c r="E550" s="58"/>
      <c r="F550" s="58"/>
      <c r="G550" s="26"/>
      <c r="H550" s="58"/>
      <c r="I550" s="58"/>
      <c r="J550" s="26"/>
      <c r="K550" s="58"/>
      <c r="L550" s="58"/>
      <c r="M550" s="58"/>
      <c r="N550" s="58"/>
      <c r="O550" s="58"/>
    </row>
    <row r="551" spans="1:15" x14ac:dyDescent="0.25">
      <c r="A551" s="26"/>
      <c r="B551" s="26"/>
      <c r="C551" s="58"/>
      <c r="D551" s="26"/>
      <c r="E551" s="58"/>
      <c r="F551" s="58"/>
      <c r="G551" s="26"/>
      <c r="H551" s="58"/>
      <c r="I551" s="58"/>
      <c r="J551" s="26"/>
      <c r="K551" s="58"/>
      <c r="L551" s="58"/>
      <c r="M551" s="58"/>
      <c r="N551" s="58"/>
      <c r="O551" s="58"/>
    </row>
    <row r="552" spans="1:15" x14ac:dyDescent="0.25">
      <c r="A552" s="26"/>
      <c r="B552" s="26"/>
      <c r="C552" s="58"/>
      <c r="D552" s="26"/>
      <c r="E552" s="58"/>
      <c r="F552" s="58"/>
      <c r="G552" s="26"/>
      <c r="H552" s="58"/>
      <c r="I552" s="58"/>
      <c r="J552" s="26"/>
      <c r="K552" s="58"/>
      <c r="L552" s="58"/>
      <c r="M552" s="58"/>
      <c r="N552" s="58"/>
      <c r="O552" s="58"/>
    </row>
    <row r="553" spans="1:15" x14ac:dyDescent="0.25">
      <c r="A553" s="26"/>
      <c r="B553" s="26"/>
      <c r="C553" s="58"/>
      <c r="D553" s="26"/>
      <c r="E553" s="58"/>
      <c r="F553" s="58"/>
      <c r="G553" s="26"/>
      <c r="H553" s="58"/>
      <c r="I553" s="58"/>
      <c r="J553" s="26"/>
      <c r="K553" s="58"/>
      <c r="L553" s="58"/>
      <c r="M553" s="58"/>
      <c r="N553" s="58"/>
      <c r="O553" s="58"/>
    </row>
    <row r="554" spans="1:15" x14ac:dyDescent="0.25">
      <c r="A554" s="26"/>
      <c r="B554" s="26"/>
      <c r="C554" s="58"/>
      <c r="D554" s="26"/>
      <c r="E554" s="58"/>
      <c r="F554" s="58"/>
      <c r="G554" s="26"/>
      <c r="H554" s="58"/>
      <c r="I554" s="58"/>
      <c r="J554" s="26"/>
      <c r="K554" s="58"/>
      <c r="L554" s="58"/>
      <c r="M554" s="58"/>
      <c r="N554" s="58"/>
      <c r="O554" s="58"/>
    </row>
    <row r="555" spans="1:15" x14ac:dyDescent="0.25">
      <c r="A555" s="26"/>
      <c r="B555" s="26"/>
      <c r="C555" s="58"/>
      <c r="D555" s="26"/>
      <c r="E555" s="58"/>
      <c r="F555" s="58"/>
      <c r="G555" s="26"/>
      <c r="H555" s="58"/>
      <c r="I555" s="58"/>
      <c r="J555" s="26"/>
      <c r="K555" s="58"/>
      <c r="L555" s="58"/>
      <c r="M555" s="58"/>
      <c r="N555" s="58"/>
      <c r="O555" s="58"/>
    </row>
    <row r="556" spans="1:15" x14ac:dyDescent="0.25">
      <c r="A556" s="26"/>
      <c r="B556" s="26"/>
      <c r="C556" s="58"/>
      <c r="D556" s="26"/>
      <c r="E556" s="58"/>
      <c r="F556" s="58"/>
      <c r="G556" s="26"/>
      <c r="H556" s="58"/>
      <c r="I556" s="58"/>
      <c r="J556" s="26"/>
      <c r="K556" s="58"/>
      <c r="L556" s="58"/>
      <c r="M556" s="58"/>
      <c r="N556" s="58"/>
      <c r="O556" s="58"/>
    </row>
    <row r="557" spans="1:15" x14ac:dyDescent="0.25">
      <c r="A557" s="26"/>
      <c r="B557" s="26"/>
      <c r="C557" s="58"/>
      <c r="D557" s="26"/>
      <c r="E557" s="58"/>
      <c r="F557" s="58"/>
      <c r="G557" s="26"/>
      <c r="H557" s="58"/>
      <c r="I557" s="58"/>
      <c r="J557" s="26"/>
      <c r="K557" s="58"/>
      <c r="L557" s="58"/>
      <c r="M557" s="58"/>
      <c r="N557" s="58"/>
      <c r="O557" s="58"/>
    </row>
    <row r="558" spans="1:15" x14ac:dyDescent="0.25">
      <c r="A558" s="26"/>
      <c r="B558" s="26"/>
      <c r="C558" s="58"/>
      <c r="D558" s="26"/>
      <c r="E558" s="58"/>
      <c r="F558" s="58"/>
      <c r="G558" s="26"/>
      <c r="H558" s="58"/>
      <c r="I558" s="58"/>
      <c r="J558" s="26"/>
      <c r="K558" s="58"/>
      <c r="L558" s="58"/>
      <c r="M558" s="58"/>
      <c r="N558" s="58"/>
      <c r="O558" s="58"/>
    </row>
    <row r="559" spans="1:15" x14ac:dyDescent="0.25">
      <c r="A559" s="26"/>
      <c r="B559" s="26"/>
      <c r="C559" s="58"/>
      <c r="D559" s="26"/>
      <c r="E559" s="58"/>
      <c r="F559" s="58"/>
      <c r="G559" s="26"/>
      <c r="H559" s="58"/>
      <c r="I559" s="58"/>
      <c r="J559" s="26"/>
      <c r="K559" s="58"/>
      <c r="L559" s="58"/>
      <c r="M559" s="58"/>
      <c r="N559" s="58"/>
      <c r="O559" s="58"/>
    </row>
    <row r="560" spans="1:15" x14ac:dyDescent="0.25">
      <c r="A560" s="26"/>
      <c r="B560" s="26"/>
      <c r="C560" s="58"/>
      <c r="D560" s="26"/>
      <c r="E560" s="58"/>
      <c r="F560" s="58"/>
      <c r="G560" s="26"/>
      <c r="H560" s="58"/>
      <c r="I560" s="58"/>
      <c r="J560" s="26"/>
      <c r="K560" s="58"/>
      <c r="L560" s="58"/>
      <c r="M560" s="58"/>
      <c r="N560" s="58"/>
      <c r="O560" s="58"/>
    </row>
    <row r="561" spans="1:15" x14ac:dyDescent="0.25">
      <c r="A561" s="26"/>
      <c r="B561" s="26"/>
      <c r="C561" s="58"/>
      <c r="D561" s="26"/>
      <c r="E561" s="58"/>
      <c r="F561" s="58"/>
      <c r="G561" s="26"/>
      <c r="H561" s="58"/>
      <c r="I561" s="58"/>
      <c r="J561" s="26"/>
      <c r="K561" s="58"/>
      <c r="L561" s="58"/>
      <c r="M561" s="58"/>
      <c r="N561" s="58"/>
      <c r="O561" s="58"/>
    </row>
    <row r="562" spans="1:15" x14ac:dyDescent="0.25">
      <c r="A562" s="26"/>
      <c r="B562" s="26"/>
      <c r="C562" s="58"/>
      <c r="D562" s="26"/>
      <c r="E562" s="58"/>
      <c r="F562" s="58"/>
      <c r="G562" s="26"/>
      <c r="H562" s="58"/>
      <c r="I562" s="58"/>
      <c r="J562" s="26"/>
      <c r="K562" s="58"/>
      <c r="L562" s="58"/>
      <c r="M562" s="58"/>
      <c r="N562" s="58"/>
      <c r="O562" s="58"/>
    </row>
    <row r="563" spans="1:15" x14ac:dyDescent="0.25">
      <c r="A563" s="26"/>
      <c r="B563" s="26"/>
      <c r="C563" s="58"/>
      <c r="D563" s="26"/>
      <c r="E563" s="58"/>
      <c r="F563" s="58"/>
      <c r="G563" s="26"/>
      <c r="H563" s="58"/>
      <c r="I563" s="58"/>
      <c r="J563" s="26"/>
      <c r="K563" s="58"/>
      <c r="L563" s="58"/>
      <c r="M563" s="58"/>
      <c r="N563" s="58"/>
      <c r="O563" s="58"/>
    </row>
    <row r="564" spans="1:15" x14ac:dyDescent="0.25">
      <c r="A564" s="26"/>
      <c r="B564" s="26"/>
      <c r="C564" s="58"/>
      <c r="D564" s="26"/>
      <c r="E564" s="58"/>
      <c r="F564" s="58"/>
      <c r="G564" s="26"/>
      <c r="H564" s="58"/>
      <c r="I564" s="58"/>
      <c r="J564" s="26"/>
      <c r="K564" s="58"/>
      <c r="L564" s="58"/>
      <c r="M564" s="58"/>
      <c r="N564" s="58"/>
      <c r="O564" s="58"/>
    </row>
    <row r="565" spans="1:15" x14ac:dyDescent="0.25">
      <c r="A565" s="26"/>
      <c r="B565" s="26"/>
      <c r="C565" s="58"/>
      <c r="D565" s="26"/>
      <c r="E565" s="58"/>
      <c r="F565" s="58"/>
      <c r="G565" s="26"/>
      <c r="H565" s="58"/>
      <c r="I565" s="58"/>
      <c r="J565" s="26"/>
      <c r="K565" s="58"/>
      <c r="L565" s="58"/>
      <c r="M565" s="58"/>
      <c r="N565" s="58"/>
      <c r="O565" s="58"/>
    </row>
    <row r="566" spans="1:15" x14ac:dyDescent="0.25">
      <c r="A566" s="26"/>
      <c r="B566" s="26"/>
      <c r="C566" s="58"/>
      <c r="D566" s="26"/>
      <c r="E566" s="58"/>
      <c r="F566" s="58"/>
      <c r="G566" s="26"/>
      <c r="H566" s="58"/>
      <c r="I566" s="58"/>
      <c r="J566" s="26"/>
      <c r="K566" s="58"/>
      <c r="L566" s="58"/>
      <c r="M566" s="58"/>
      <c r="N566" s="58"/>
      <c r="O566" s="58"/>
    </row>
    <row r="567" spans="1:15" x14ac:dyDescent="0.25">
      <c r="A567" s="26"/>
      <c r="B567" s="26"/>
      <c r="C567" s="58"/>
      <c r="D567" s="26"/>
      <c r="E567" s="58"/>
      <c r="F567" s="58"/>
      <c r="G567" s="26"/>
      <c r="H567" s="58"/>
      <c r="I567" s="58"/>
      <c r="J567" s="26"/>
      <c r="K567" s="58"/>
      <c r="L567" s="58"/>
      <c r="M567" s="58"/>
      <c r="N567" s="58"/>
      <c r="O567" s="58"/>
    </row>
    <row r="568" spans="1:15" x14ac:dyDescent="0.25">
      <c r="A568" s="26"/>
      <c r="B568" s="26"/>
      <c r="C568" s="58"/>
      <c r="D568" s="26"/>
      <c r="E568" s="58"/>
      <c r="F568" s="58"/>
      <c r="G568" s="26"/>
      <c r="H568" s="58"/>
      <c r="I568" s="58"/>
      <c r="J568" s="26"/>
      <c r="K568" s="58"/>
      <c r="L568" s="58"/>
      <c r="M568" s="58"/>
      <c r="N568" s="58"/>
      <c r="O568" s="58"/>
    </row>
    <row r="569" spans="1:15" x14ac:dyDescent="0.25">
      <c r="A569" s="26"/>
      <c r="B569" s="26"/>
      <c r="C569" s="58"/>
      <c r="D569" s="26"/>
      <c r="E569" s="58"/>
      <c r="F569" s="58"/>
      <c r="G569" s="26"/>
      <c r="H569" s="58"/>
      <c r="I569" s="58"/>
      <c r="J569" s="26"/>
      <c r="K569" s="58"/>
      <c r="L569" s="58"/>
      <c r="M569" s="58"/>
      <c r="N569" s="58"/>
      <c r="O569" s="58"/>
    </row>
    <row r="570" spans="1:15" x14ac:dyDescent="0.25">
      <c r="A570" s="26"/>
      <c r="B570" s="26"/>
      <c r="C570" s="58"/>
      <c r="D570" s="26"/>
      <c r="E570" s="58"/>
      <c r="F570" s="58"/>
      <c r="G570" s="26"/>
      <c r="H570" s="58"/>
      <c r="I570" s="58"/>
      <c r="J570" s="26"/>
      <c r="K570" s="58"/>
      <c r="L570" s="58"/>
      <c r="M570" s="58"/>
      <c r="N570" s="58"/>
      <c r="O570" s="58"/>
    </row>
    <row r="571" spans="1:15" x14ac:dyDescent="0.25">
      <c r="A571" s="26"/>
      <c r="B571" s="26"/>
      <c r="C571" s="58"/>
      <c r="D571" s="26"/>
      <c r="E571" s="58"/>
      <c r="F571" s="58"/>
      <c r="G571" s="26"/>
      <c r="H571" s="58"/>
      <c r="I571" s="58"/>
      <c r="J571" s="26"/>
      <c r="K571" s="58"/>
      <c r="L571" s="58"/>
      <c r="M571" s="58"/>
      <c r="N571" s="58"/>
      <c r="O571" s="58"/>
    </row>
    <row r="572" spans="1:15" x14ac:dyDescent="0.25">
      <c r="A572" s="26"/>
      <c r="B572" s="26"/>
      <c r="C572" s="58"/>
      <c r="D572" s="26"/>
      <c r="E572" s="58"/>
      <c r="F572" s="58"/>
      <c r="G572" s="26"/>
      <c r="H572" s="58"/>
      <c r="I572" s="58"/>
      <c r="J572" s="26"/>
      <c r="K572" s="58"/>
      <c r="L572" s="58"/>
      <c r="M572" s="58"/>
      <c r="N572" s="58"/>
      <c r="O572" s="58"/>
    </row>
    <row r="573" spans="1:15" x14ac:dyDescent="0.25">
      <c r="A573" s="26"/>
      <c r="B573" s="26"/>
      <c r="C573" s="58"/>
      <c r="D573" s="26"/>
      <c r="E573" s="58"/>
      <c r="F573" s="58"/>
      <c r="G573" s="26"/>
      <c r="H573" s="58"/>
      <c r="I573" s="58"/>
      <c r="J573" s="26"/>
      <c r="K573" s="58"/>
      <c r="L573" s="58"/>
      <c r="M573" s="58"/>
      <c r="N573" s="58"/>
      <c r="O573" s="58"/>
    </row>
    <row r="574" spans="1:15" x14ac:dyDescent="0.25">
      <c r="A574" s="26"/>
      <c r="B574" s="26"/>
      <c r="C574" s="58"/>
      <c r="D574" s="26"/>
      <c r="E574" s="58"/>
      <c r="F574" s="58"/>
      <c r="G574" s="26"/>
      <c r="H574" s="58"/>
      <c r="I574" s="58"/>
      <c r="J574" s="26"/>
      <c r="K574" s="58"/>
      <c r="L574" s="58"/>
      <c r="M574" s="58"/>
      <c r="N574" s="58"/>
      <c r="O574" s="58"/>
    </row>
    <row r="575" spans="1:15" x14ac:dyDescent="0.25">
      <c r="A575" s="26"/>
      <c r="B575" s="26"/>
      <c r="C575" s="58"/>
      <c r="D575" s="26"/>
      <c r="E575" s="58"/>
      <c r="F575" s="58"/>
      <c r="G575" s="26"/>
      <c r="H575" s="58"/>
      <c r="I575" s="58"/>
      <c r="J575" s="26"/>
      <c r="K575" s="58"/>
      <c r="L575" s="58"/>
      <c r="M575" s="58"/>
      <c r="N575" s="58"/>
      <c r="O575" s="58"/>
    </row>
    <row r="576" spans="1:15" x14ac:dyDescent="0.25">
      <c r="A576" s="26"/>
      <c r="B576" s="26"/>
      <c r="C576" s="58"/>
      <c r="D576" s="26"/>
      <c r="E576" s="58"/>
      <c r="F576" s="58"/>
      <c r="G576" s="26"/>
      <c r="H576" s="58"/>
      <c r="I576" s="58"/>
      <c r="J576" s="26"/>
      <c r="K576" s="58"/>
      <c r="L576" s="58"/>
      <c r="M576" s="58"/>
      <c r="N576" s="58"/>
      <c r="O576" s="58"/>
    </row>
    <row r="577" spans="1:15" x14ac:dyDescent="0.25">
      <c r="A577" s="26"/>
      <c r="B577" s="26"/>
      <c r="C577" s="58"/>
      <c r="D577" s="26"/>
      <c r="E577" s="58"/>
      <c r="F577" s="58"/>
      <c r="G577" s="26"/>
      <c r="H577" s="58"/>
      <c r="I577" s="58"/>
      <c r="J577" s="26"/>
      <c r="K577" s="58"/>
      <c r="L577" s="58"/>
      <c r="M577" s="58"/>
      <c r="N577" s="58"/>
      <c r="O577" s="58"/>
    </row>
    <row r="578" spans="1:15" x14ac:dyDescent="0.25">
      <c r="A578" s="26"/>
      <c r="B578" s="26"/>
      <c r="C578" s="58"/>
      <c r="D578" s="26"/>
      <c r="E578" s="58"/>
      <c r="F578" s="58"/>
      <c r="G578" s="26"/>
      <c r="H578" s="58"/>
      <c r="I578" s="58"/>
      <c r="J578" s="26"/>
      <c r="K578" s="58"/>
      <c r="L578" s="58"/>
      <c r="M578" s="58"/>
      <c r="N578" s="58"/>
      <c r="O578" s="58"/>
    </row>
    <row r="579" spans="1:15" x14ac:dyDescent="0.25">
      <c r="A579" s="26"/>
      <c r="B579" s="26"/>
      <c r="C579" s="58"/>
      <c r="D579" s="26"/>
      <c r="E579" s="58"/>
      <c r="F579" s="58"/>
      <c r="G579" s="26"/>
      <c r="H579" s="58"/>
      <c r="I579" s="58"/>
      <c r="J579" s="26"/>
      <c r="K579" s="58"/>
      <c r="L579" s="58"/>
      <c r="M579" s="58"/>
      <c r="N579" s="58"/>
      <c r="O579" s="58"/>
    </row>
    <row r="580" spans="1:15" x14ac:dyDescent="0.25">
      <c r="A580" s="26"/>
      <c r="B580" s="26"/>
      <c r="C580" s="58"/>
      <c r="D580" s="26"/>
      <c r="E580" s="58"/>
      <c r="F580" s="58"/>
      <c r="G580" s="26"/>
      <c r="H580" s="58"/>
      <c r="I580" s="58"/>
      <c r="J580" s="26"/>
      <c r="K580" s="58"/>
      <c r="L580" s="58"/>
      <c r="M580" s="58"/>
      <c r="N580" s="58"/>
      <c r="O580" s="58"/>
    </row>
    <row r="581" spans="1:15" x14ac:dyDescent="0.25">
      <c r="A581" s="26"/>
      <c r="B581" s="26"/>
      <c r="C581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5"/>
  <sheetViews>
    <sheetView topLeftCell="A5" zoomScaleNormal="100" workbookViewId="0">
      <pane ySplit="3" topLeftCell="A84" activePane="bottomLeft" state="frozen"/>
      <selection activeCell="A5" sqref="A5"/>
      <selection pane="bottomLeft" activeCell="A84" sqref="A84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10.42578125" customWidth="1"/>
    <col min="12" max="12" width="25.14062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2" t="s">
        <v>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4" t="s">
        <v>11</v>
      </c>
      <c r="M1" s="12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5" t="s">
        <v>8</v>
      </c>
      <c r="D3" s="12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6" t="s">
        <v>0</v>
      </c>
      <c r="B5" s="126"/>
      <c r="C5" s="126"/>
      <c r="D5" s="127" t="s">
        <v>4</v>
      </c>
      <c r="E5" s="127"/>
      <c r="F5" s="127"/>
      <c r="G5" s="128" t="s">
        <v>5</v>
      </c>
      <c r="H5" s="128"/>
      <c r="I5" s="128"/>
      <c r="J5" s="129" t="s">
        <v>6</v>
      </c>
      <c r="K5" s="129"/>
      <c r="L5" s="129"/>
      <c r="M5" s="121" t="s">
        <v>12</v>
      </c>
      <c r="N5" s="131"/>
      <c r="O5" s="132"/>
      <c r="Q5" s="130" t="s">
        <v>13</v>
      </c>
      <c r="R5" s="130"/>
    </row>
    <row r="6" spans="1:18" x14ac:dyDescent="0.25">
      <c r="A6" s="8">
        <f>SUBTOTAL(3,A8:A120)</f>
        <v>66</v>
      </c>
      <c r="B6" s="8">
        <f>SUBTOTAL(9,B8:B141)</f>
        <v>37975</v>
      </c>
      <c r="C6" s="35">
        <v>43163</v>
      </c>
      <c r="D6" s="8">
        <f>SUBTOTAL(3,D9:D121)</f>
        <v>41</v>
      </c>
      <c r="E6" s="1">
        <f>SUBTOTAL(9,E8:E121)</f>
        <v>22350</v>
      </c>
      <c r="F6" s="38">
        <v>43170</v>
      </c>
      <c r="G6" s="8">
        <f>SUBTOTAL(3,G8:G120)</f>
        <v>41</v>
      </c>
      <c r="H6" s="1">
        <f>SUBTOTAL(9,H8:H120)</f>
        <v>23250</v>
      </c>
      <c r="I6" s="39">
        <v>43177</v>
      </c>
      <c r="J6" s="8">
        <f>SUBTOTAL(3,J8:J110)</f>
        <v>34</v>
      </c>
      <c r="K6" s="1">
        <f>SUBTOTAL(9,K8:K110)</f>
        <v>19850</v>
      </c>
      <c r="L6" s="83">
        <v>43184</v>
      </c>
      <c r="M6" s="1">
        <f>SUBTOTAL(3,M8:M120)</f>
        <v>6</v>
      </c>
      <c r="N6" s="1">
        <f>SUBTOTAL(9,N8:N120)</f>
        <v>2550</v>
      </c>
      <c r="O6" s="85"/>
      <c r="Q6" s="30">
        <f>+A6+D6+G6+J6+M6</f>
        <v>188</v>
      </c>
      <c r="R6" s="34">
        <f>+B6+E6+H6+K6+N6</f>
        <v>105975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78" t="s">
        <v>1</v>
      </c>
      <c r="K7" s="78" t="s">
        <v>3</v>
      </c>
      <c r="L7" s="78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16044</v>
      </c>
      <c r="B8" s="49">
        <v>400</v>
      </c>
      <c r="C8" s="17" t="s">
        <v>139</v>
      </c>
      <c r="D8" s="113">
        <v>16110</v>
      </c>
      <c r="E8" s="70">
        <v>300</v>
      </c>
      <c r="F8" s="113"/>
      <c r="G8" s="11">
        <v>16152</v>
      </c>
      <c r="H8" s="67">
        <v>400</v>
      </c>
      <c r="I8" s="12" t="s">
        <v>164</v>
      </c>
      <c r="J8" s="80">
        <v>16193</v>
      </c>
      <c r="K8" s="81">
        <v>50</v>
      </c>
      <c r="L8" s="82" t="s">
        <v>110</v>
      </c>
      <c r="M8" s="75">
        <v>16227</v>
      </c>
      <c r="N8" s="73"/>
      <c r="O8" s="15" t="s">
        <v>27</v>
      </c>
      <c r="Q8" s="32"/>
      <c r="R8" s="32"/>
    </row>
    <row r="9" spans="1:18" x14ac:dyDescent="0.25">
      <c r="A9" s="16">
        <v>16045</v>
      </c>
      <c r="B9" s="49">
        <v>4800</v>
      </c>
      <c r="C9" s="17" t="s">
        <v>140</v>
      </c>
      <c r="D9" s="13">
        <v>16111</v>
      </c>
      <c r="E9" s="70">
        <v>600</v>
      </c>
      <c r="F9" s="14" t="s">
        <v>30</v>
      </c>
      <c r="G9" s="11">
        <v>16153</v>
      </c>
      <c r="H9" s="67"/>
      <c r="I9" s="12" t="s">
        <v>27</v>
      </c>
      <c r="J9" s="53">
        <v>16194</v>
      </c>
      <c r="K9" s="72">
        <v>400</v>
      </c>
      <c r="L9" s="54"/>
      <c r="M9" s="75">
        <v>16228</v>
      </c>
      <c r="N9" s="73">
        <v>300</v>
      </c>
      <c r="O9" s="15" t="s">
        <v>85</v>
      </c>
    </row>
    <row r="10" spans="1:18" x14ac:dyDescent="0.25">
      <c r="A10" s="16"/>
      <c r="B10" s="49"/>
      <c r="C10" s="17" t="s">
        <v>20</v>
      </c>
      <c r="D10" s="13">
        <v>16112</v>
      </c>
      <c r="E10" s="70">
        <v>200</v>
      </c>
      <c r="F10" s="14" t="s">
        <v>30</v>
      </c>
      <c r="G10" s="11">
        <v>16154</v>
      </c>
      <c r="H10" s="67">
        <v>250</v>
      </c>
      <c r="I10" s="12" t="s">
        <v>164</v>
      </c>
      <c r="J10" s="53">
        <v>16195</v>
      </c>
      <c r="K10" s="72">
        <v>200</v>
      </c>
      <c r="L10" s="54" t="s">
        <v>175</v>
      </c>
      <c r="M10" s="75">
        <v>16229</v>
      </c>
      <c r="N10" s="73">
        <v>1200</v>
      </c>
      <c r="O10" s="15" t="s">
        <v>183</v>
      </c>
    </row>
    <row r="11" spans="1:18" x14ac:dyDescent="0.25">
      <c r="A11" s="16">
        <v>16046</v>
      </c>
      <c r="B11" s="49">
        <v>1200</v>
      </c>
      <c r="C11" s="17" t="s">
        <v>14</v>
      </c>
      <c r="D11" s="13">
        <v>16113</v>
      </c>
      <c r="E11" s="70">
        <v>300</v>
      </c>
      <c r="F11" s="14"/>
      <c r="G11" s="11">
        <v>16155</v>
      </c>
      <c r="H11" s="67">
        <v>400</v>
      </c>
      <c r="I11" s="12" t="s">
        <v>165</v>
      </c>
      <c r="J11" s="53">
        <v>16196</v>
      </c>
      <c r="K11" s="72">
        <v>1200</v>
      </c>
      <c r="L11" s="54" t="s">
        <v>35</v>
      </c>
      <c r="M11" s="75"/>
      <c r="N11" s="73"/>
      <c r="O11" s="15" t="s">
        <v>184</v>
      </c>
    </row>
    <row r="12" spans="1:18" x14ac:dyDescent="0.25">
      <c r="A12" s="16"/>
      <c r="B12" s="49"/>
      <c r="C12" s="17" t="s">
        <v>57</v>
      </c>
      <c r="D12" s="13">
        <v>16114</v>
      </c>
      <c r="E12" s="70">
        <v>1200</v>
      </c>
      <c r="F12" s="14" t="s">
        <v>35</v>
      </c>
      <c r="G12" s="11">
        <v>16156</v>
      </c>
      <c r="H12" s="67">
        <v>1200</v>
      </c>
      <c r="I12" s="12" t="s">
        <v>35</v>
      </c>
      <c r="J12" s="53"/>
      <c r="K12" s="72"/>
      <c r="L12" s="54" t="s">
        <v>20</v>
      </c>
      <c r="M12" s="75"/>
      <c r="N12" s="73"/>
      <c r="O12" s="15" t="s">
        <v>85</v>
      </c>
    </row>
    <row r="13" spans="1:18" x14ac:dyDescent="0.25">
      <c r="A13" s="16">
        <v>16047</v>
      </c>
      <c r="B13" s="49"/>
      <c r="C13" s="17" t="s">
        <v>27</v>
      </c>
      <c r="D13" s="13"/>
      <c r="E13" s="70"/>
      <c r="F13" s="14" t="s">
        <v>20</v>
      </c>
      <c r="G13" s="11"/>
      <c r="H13" s="67"/>
      <c r="I13" s="12" t="s">
        <v>20</v>
      </c>
      <c r="J13" s="53">
        <v>16197</v>
      </c>
      <c r="K13" s="72">
        <v>400</v>
      </c>
      <c r="L13" s="54" t="s">
        <v>175</v>
      </c>
      <c r="M13" s="75">
        <v>16230</v>
      </c>
      <c r="N13" s="73">
        <v>200</v>
      </c>
      <c r="O13" s="15" t="s">
        <v>185</v>
      </c>
    </row>
    <row r="14" spans="1:18" x14ac:dyDescent="0.25">
      <c r="A14" s="16">
        <v>16048</v>
      </c>
      <c r="B14" s="49">
        <v>1200</v>
      </c>
      <c r="C14" s="17" t="s">
        <v>14</v>
      </c>
      <c r="D14" s="13">
        <v>16115</v>
      </c>
      <c r="E14" s="70">
        <v>400</v>
      </c>
      <c r="F14" s="14" t="s">
        <v>30</v>
      </c>
      <c r="G14" s="11">
        <v>16157</v>
      </c>
      <c r="H14" s="67">
        <v>400</v>
      </c>
      <c r="I14" s="12"/>
      <c r="J14" s="53">
        <v>16198</v>
      </c>
      <c r="K14" s="72">
        <v>400</v>
      </c>
      <c r="L14" s="54" t="s">
        <v>104</v>
      </c>
      <c r="M14" s="75">
        <v>16231</v>
      </c>
      <c r="N14" s="73">
        <v>800</v>
      </c>
      <c r="O14" s="31" t="s">
        <v>177</v>
      </c>
    </row>
    <row r="15" spans="1:18" x14ac:dyDescent="0.25">
      <c r="A15" s="16"/>
      <c r="B15" s="49"/>
      <c r="C15" s="17" t="s">
        <v>57</v>
      </c>
      <c r="D15" s="13">
        <v>16116</v>
      </c>
      <c r="E15" s="70">
        <v>400</v>
      </c>
      <c r="F15" s="14" t="s">
        <v>30</v>
      </c>
      <c r="G15" s="11">
        <v>16158</v>
      </c>
      <c r="H15" s="67">
        <v>400</v>
      </c>
      <c r="I15" s="12"/>
      <c r="J15" s="53"/>
      <c r="K15" s="72"/>
      <c r="L15" s="54" t="s">
        <v>15</v>
      </c>
      <c r="M15" s="75"/>
      <c r="N15" s="73"/>
      <c r="O15" s="15" t="s">
        <v>15</v>
      </c>
    </row>
    <row r="16" spans="1:18" x14ac:dyDescent="0.25">
      <c r="A16" s="16">
        <v>16049</v>
      </c>
      <c r="B16" s="49">
        <v>4400</v>
      </c>
      <c r="C16" s="17" t="s">
        <v>14</v>
      </c>
      <c r="D16" s="13">
        <v>16117</v>
      </c>
      <c r="E16" s="70">
        <v>300</v>
      </c>
      <c r="F16" s="95"/>
      <c r="G16" s="11">
        <v>16159</v>
      </c>
      <c r="H16" s="67">
        <v>600</v>
      </c>
      <c r="I16" s="12" t="s">
        <v>42</v>
      </c>
      <c r="J16" s="53">
        <v>16199</v>
      </c>
      <c r="K16" s="72">
        <v>400</v>
      </c>
      <c r="L16" s="54" t="s">
        <v>175</v>
      </c>
      <c r="M16" s="75">
        <v>16232</v>
      </c>
      <c r="N16" s="73">
        <v>50</v>
      </c>
      <c r="O16" s="15" t="s">
        <v>40</v>
      </c>
    </row>
    <row r="17" spans="1:15" x14ac:dyDescent="0.25">
      <c r="A17" s="16"/>
      <c r="B17" s="49"/>
      <c r="C17" s="17" t="s">
        <v>20</v>
      </c>
      <c r="D17" s="13">
        <v>16118</v>
      </c>
      <c r="E17" s="70">
        <v>1050</v>
      </c>
      <c r="F17" s="14" t="s">
        <v>157</v>
      </c>
      <c r="G17" s="11"/>
      <c r="H17" s="67"/>
      <c r="I17" s="12" t="s">
        <v>15</v>
      </c>
      <c r="J17" s="53">
        <v>16200</v>
      </c>
      <c r="K17" s="72">
        <v>50</v>
      </c>
      <c r="L17" s="54" t="s">
        <v>110</v>
      </c>
      <c r="M17" s="75"/>
      <c r="N17" s="73"/>
      <c r="O17" s="15"/>
    </row>
    <row r="18" spans="1:15" x14ac:dyDescent="0.25">
      <c r="A18" s="16"/>
      <c r="B18" s="49"/>
      <c r="C18" s="17" t="s">
        <v>73</v>
      </c>
      <c r="D18" s="13"/>
      <c r="E18" s="70"/>
      <c r="F18" s="14" t="s">
        <v>158</v>
      </c>
      <c r="G18" s="11">
        <v>16160</v>
      </c>
      <c r="H18" s="67">
        <v>1500</v>
      </c>
      <c r="I18" s="12" t="s">
        <v>166</v>
      </c>
      <c r="J18" s="53">
        <v>16201</v>
      </c>
      <c r="K18" s="72">
        <v>900</v>
      </c>
      <c r="L18" s="54" t="s">
        <v>35</v>
      </c>
      <c r="M18" s="75"/>
      <c r="N18" s="73"/>
      <c r="O18" s="15"/>
    </row>
    <row r="19" spans="1:15" x14ac:dyDescent="0.25">
      <c r="A19" s="16">
        <v>16050</v>
      </c>
      <c r="B19" s="49">
        <v>1200</v>
      </c>
      <c r="C19" s="17" t="s">
        <v>35</v>
      </c>
      <c r="D19" s="13">
        <v>16119</v>
      </c>
      <c r="E19" s="70">
        <v>400</v>
      </c>
      <c r="F19" s="14"/>
      <c r="G19" s="11"/>
      <c r="H19" s="67"/>
      <c r="I19" s="12" t="s">
        <v>167</v>
      </c>
      <c r="J19" s="53"/>
      <c r="K19" s="72"/>
      <c r="L19" s="54" t="s">
        <v>23</v>
      </c>
      <c r="M19" s="75"/>
      <c r="N19" s="73"/>
      <c r="O19" s="15"/>
    </row>
    <row r="20" spans="1:15" x14ac:dyDescent="0.25">
      <c r="A20" s="16"/>
      <c r="B20" s="49"/>
      <c r="C20" s="17" t="s">
        <v>20</v>
      </c>
      <c r="D20" s="13">
        <v>16120</v>
      </c>
      <c r="E20" s="70">
        <v>650</v>
      </c>
      <c r="F20" s="14" t="s">
        <v>30</v>
      </c>
      <c r="G20" s="11">
        <v>16161</v>
      </c>
      <c r="H20" s="67">
        <v>300</v>
      </c>
      <c r="I20" s="12"/>
      <c r="J20" s="53">
        <v>16202</v>
      </c>
      <c r="K20" s="72">
        <v>400</v>
      </c>
      <c r="L20" s="54"/>
      <c r="M20" s="75"/>
      <c r="N20" s="73"/>
      <c r="O20" s="15"/>
    </row>
    <row r="21" spans="1:15" x14ac:dyDescent="0.25">
      <c r="A21" s="16">
        <v>16051</v>
      </c>
      <c r="B21" s="49"/>
      <c r="C21" s="17" t="s">
        <v>27</v>
      </c>
      <c r="D21" s="13"/>
      <c r="E21" s="70"/>
      <c r="F21" s="14" t="s">
        <v>159</v>
      </c>
      <c r="G21" s="11">
        <v>16162</v>
      </c>
      <c r="H21" s="67">
        <v>1500</v>
      </c>
      <c r="I21" s="12" t="s">
        <v>126</v>
      </c>
      <c r="J21" s="53">
        <v>16203</v>
      </c>
      <c r="K21" s="72">
        <v>600</v>
      </c>
      <c r="L21" s="54" t="s">
        <v>176</v>
      </c>
      <c r="M21" s="75"/>
      <c r="N21" s="73"/>
      <c r="O21" s="15"/>
    </row>
    <row r="22" spans="1:15" x14ac:dyDescent="0.25">
      <c r="A22" s="16">
        <v>16052</v>
      </c>
      <c r="B22" s="49">
        <v>100</v>
      </c>
      <c r="C22" s="17" t="s">
        <v>84</v>
      </c>
      <c r="D22" s="13">
        <v>16121</v>
      </c>
      <c r="E22" s="70">
        <v>400</v>
      </c>
      <c r="F22" s="14"/>
      <c r="G22" s="11"/>
      <c r="H22" s="67"/>
      <c r="I22" s="12" t="s">
        <v>168</v>
      </c>
      <c r="J22" s="53">
        <v>16204</v>
      </c>
      <c r="K22" s="72">
        <v>1600</v>
      </c>
      <c r="L22" s="54" t="s">
        <v>177</v>
      </c>
      <c r="M22" s="75"/>
      <c r="N22" s="73"/>
      <c r="O22" s="15"/>
    </row>
    <row r="23" spans="1:15" x14ac:dyDescent="0.25">
      <c r="A23" s="16">
        <v>16053</v>
      </c>
      <c r="B23" s="49">
        <v>600</v>
      </c>
      <c r="C23" s="17" t="s">
        <v>141</v>
      </c>
      <c r="D23" s="13">
        <v>16122</v>
      </c>
      <c r="E23" s="70">
        <v>400</v>
      </c>
      <c r="F23" s="14"/>
      <c r="G23" s="11">
        <v>16163</v>
      </c>
      <c r="H23" s="67">
        <v>200</v>
      </c>
      <c r="I23" s="12"/>
      <c r="J23" s="53"/>
      <c r="K23" s="72"/>
      <c r="L23" s="54" t="s">
        <v>20</v>
      </c>
      <c r="M23" s="75"/>
      <c r="N23" s="73"/>
      <c r="O23" s="15"/>
    </row>
    <row r="24" spans="1:15" x14ac:dyDescent="0.25">
      <c r="A24" s="16"/>
      <c r="B24" s="49"/>
      <c r="C24" s="17" t="s">
        <v>142</v>
      </c>
      <c r="D24" s="13">
        <v>16123</v>
      </c>
      <c r="E24" s="70">
        <v>600</v>
      </c>
      <c r="F24" s="14" t="s">
        <v>104</v>
      </c>
      <c r="G24" s="11">
        <v>16164</v>
      </c>
      <c r="H24" s="67">
        <v>800</v>
      </c>
      <c r="I24" s="12" t="s">
        <v>24</v>
      </c>
      <c r="J24" s="53">
        <v>16205</v>
      </c>
      <c r="K24" s="72">
        <v>600</v>
      </c>
      <c r="L24" s="54" t="s">
        <v>104</v>
      </c>
      <c r="M24" s="75"/>
      <c r="N24" s="73"/>
      <c r="O24" s="15"/>
    </row>
    <row r="25" spans="1:15" x14ac:dyDescent="0.25">
      <c r="A25" s="16">
        <v>16054</v>
      </c>
      <c r="B25" s="49">
        <v>50</v>
      </c>
      <c r="C25" s="17" t="s">
        <v>143</v>
      </c>
      <c r="D25" s="13"/>
      <c r="E25" s="70"/>
      <c r="F25" s="14" t="s">
        <v>23</v>
      </c>
      <c r="G25" s="11"/>
      <c r="H25" s="67"/>
      <c r="I25" s="12" t="s">
        <v>20</v>
      </c>
      <c r="J25" s="53"/>
      <c r="K25" s="72"/>
      <c r="L25" s="54" t="s">
        <v>23</v>
      </c>
      <c r="M25" s="75"/>
      <c r="N25" s="73"/>
      <c r="O25" s="15"/>
    </row>
    <row r="26" spans="1:15" x14ac:dyDescent="0.25">
      <c r="A26" s="16">
        <v>16055</v>
      </c>
      <c r="B26" s="49">
        <v>400</v>
      </c>
      <c r="C26" s="17" t="s">
        <v>82</v>
      </c>
      <c r="D26" s="13">
        <v>16124</v>
      </c>
      <c r="E26" s="70">
        <v>400</v>
      </c>
      <c r="F26" s="14"/>
      <c r="G26" s="11">
        <v>16165</v>
      </c>
      <c r="H26" s="67">
        <v>800</v>
      </c>
      <c r="I26" s="12" t="s">
        <v>126</v>
      </c>
      <c r="J26" s="53">
        <v>16206</v>
      </c>
      <c r="K26" s="72">
        <v>400</v>
      </c>
      <c r="L26" s="54" t="s">
        <v>30</v>
      </c>
      <c r="M26" s="75"/>
      <c r="N26" s="73"/>
      <c r="O26" s="15"/>
    </row>
    <row r="27" spans="1:15" x14ac:dyDescent="0.25">
      <c r="A27" s="16">
        <v>16056</v>
      </c>
      <c r="B27" s="49">
        <v>400</v>
      </c>
      <c r="C27" s="17" t="s">
        <v>144</v>
      </c>
      <c r="D27" s="13">
        <v>16125</v>
      </c>
      <c r="E27" s="70">
        <v>200</v>
      </c>
      <c r="F27" s="14"/>
      <c r="G27" s="11"/>
      <c r="H27" s="67"/>
      <c r="I27" s="12" t="s">
        <v>169</v>
      </c>
      <c r="J27" s="53">
        <v>16207</v>
      </c>
      <c r="K27" s="72">
        <v>200</v>
      </c>
      <c r="L27" s="54"/>
      <c r="M27" s="75"/>
      <c r="N27" s="73"/>
      <c r="O27" s="31"/>
    </row>
    <row r="28" spans="1:15" x14ac:dyDescent="0.25">
      <c r="A28" s="16"/>
      <c r="B28" s="49"/>
      <c r="C28" s="17" t="s">
        <v>52</v>
      </c>
      <c r="D28" s="13">
        <v>16126</v>
      </c>
      <c r="E28" s="70">
        <v>200</v>
      </c>
      <c r="F28" s="14"/>
      <c r="G28" s="11">
        <v>16166</v>
      </c>
      <c r="H28" s="67">
        <v>500</v>
      </c>
      <c r="I28" s="12" t="s">
        <v>170</v>
      </c>
      <c r="J28" s="53">
        <v>16208</v>
      </c>
      <c r="K28" s="72">
        <v>300</v>
      </c>
      <c r="L28" s="91" t="s">
        <v>178</v>
      </c>
      <c r="M28" s="75"/>
      <c r="N28" s="73"/>
      <c r="O28" s="15"/>
    </row>
    <row r="29" spans="1:15" x14ac:dyDescent="0.25">
      <c r="A29" s="16">
        <v>16057</v>
      </c>
      <c r="B29" s="49">
        <v>200</v>
      </c>
      <c r="C29" s="17" t="s">
        <v>145</v>
      </c>
      <c r="D29" s="13">
        <v>16127</v>
      </c>
      <c r="E29" s="70">
        <v>400</v>
      </c>
      <c r="F29" s="14"/>
      <c r="G29" s="11">
        <v>16167</v>
      </c>
      <c r="H29" s="67">
        <v>400</v>
      </c>
      <c r="I29" s="12" t="s">
        <v>31</v>
      </c>
      <c r="J29" s="53">
        <v>16209</v>
      </c>
      <c r="K29" s="72">
        <v>400</v>
      </c>
      <c r="L29" s="54"/>
      <c r="M29" s="75"/>
      <c r="N29" s="73"/>
      <c r="O29" s="15"/>
    </row>
    <row r="30" spans="1:15" x14ac:dyDescent="0.25">
      <c r="A30" s="16"/>
      <c r="B30" s="49"/>
      <c r="C30" s="17" t="s">
        <v>146</v>
      </c>
      <c r="D30" s="13">
        <v>16128</v>
      </c>
      <c r="E30" s="70">
        <v>4800</v>
      </c>
      <c r="F30" s="14" t="s">
        <v>14</v>
      </c>
      <c r="G30" s="11"/>
      <c r="H30" s="67"/>
      <c r="I30" s="12" t="s">
        <v>15</v>
      </c>
      <c r="J30" s="53">
        <v>16210</v>
      </c>
      <c r="K30" s="72">
        <v>50</v>
      </c>
      <c r="L30" s="54" t="s">
        <v>110</v>
      </c>
      <c r="M30" s="75"/>
      <c r="N30" s="73"/>
      <c r="O30" s="15"/>
    </row>
    <row r="31" spans="1:15" x14ac:dyDescent="0.25">
      <c r="A31" s="16">
        <v>16058</v>
      </c>
      <c r="B31" s="49">
        <v>800</v>
      </c>
      <c r="C31" s="17" t="s">
        <v>104</v>
      </c>
      <c r="D31" s="13"/>
      <c r="E31" s="70"/>
      <c r="F31" s="14" t="s">
        <v>20</v>
      </c>
      <c r="G31" s="11">
        <v>16168</v>
      </c>
      <c r="H31" s="67">
        <v>400</v>
      </c>
      <c r="I31" s="12" t="s">
        <v>104</v>
      </c>
      <c r="J31" s="53">
        <v>16211</v>
      </c>
      <c r="K31" s="72">
        <v>400</v>
      </c>
      <c r="L31" s="54" t="s">
        <v>30</v>
      </c>
      <c r="M31" s="75"/>
      <c r="N31" s="73"/>
      <c r="O31" s="15"/>
    </row>
    <row r="32" spans="1:15" x14ac:dyDescent="0.25">
      <c r="A32" s="16"/>
      <c r="B32" s="49"/>
      <c r="C32" s="17" t="s">
        <v>20</v>
      </c>
      <c r="D32" s="13">
        <v>16129</v>
      </c>
      <c r="E32" s="70">
        <v>1200</v>
      </c>
      <c r="F32" s="14" t="s">
        <v>35</v>
      </c>
      <c r="G32" s="11"/>
      <c r="H32" s="67"/>
      <c r="I32" s="12" t="s">
        <v>15</v>
      </c>
      <c r="J32" s="53">
        <v>16212</v>
      </c>
      <c r="K32" s="72">
        <v>400</v>
      </c>
      <c r="L32" s="54" t="s">
        <v>104</v>
      </c>
      <c r="M32" s="75"/>
      <c r="N32" s="73"/>
      <c r="O32" s="15"/>
    </row>
    <row r="33" spans="1:15" x14ac:dyDescent="0.25">
      <c r="A33" s="16">
        <v>16059</v>
      </c>
      <c r="B33" s="49">
        <v>300</v>
      </c>
      <c r="C33" s="17" t="s">
        <v>30</v>
      </c>
      <c r="D33" s="13"/>
      <c r="E33" s="70"/>
      <c r="F33" s="14" t="s">
        <v>20</v>
      </c>
      <c r="G33" s="11">
        <v>16169</v>
      </c>
      <c r="H33" s="67">
        <v>400</v>
      </c>
      <c r="I33" s="12"/>
      <c r="J33" s="53"/>
      <c r="K33" s="72"/>
      <c r="L33" s="54" t="s">
        <v>15</v>
      </c>
      <c r="M33" s="75"/>
      <c r="N33" s="73"/>
      <c r="O33" s="15"/>
    </row>
    <row r="34" spans="1:15" x14ac:dyDescent="0.25">
      <c r="A34" s="16">
        <v>16060</v>
      </c>
      <c r="B34" s="49">
        <v>400</v>
      </c>
      <c r="C34" s="17"/>
      <c r="D34" s="13">
        <v>16130</v>
      </c>
      <c r="E34" s="70">
        <v>400</v>
      </c>
      <c r="F34" s="14"/>
      <c r="G34" s="11">
        <v>16170</v>
      </c>
      <c r="H34" s="67">
        <v>400</v>
      </c>
      <c r="I34" s="12"/>
      <c r="J34" s="53"/>
      <c r="K34" s="72"/>
      <c r="L34" s="54" t="s">
        <v>179</v>
      </c>
      <c r="M34" s="75"/>
      <c r="N34" s="73"/>
      <c r="O34" s="31"/>
    </row>
    <row r="35" spans="1:15" x14ac:dyDescent="0.25">
      <c r="A35" s="16">
        <v>16061</v>
      </c>
      <c r="B35" s="49">
        <v>300</v>
      </c>
      <c r="C35" s="17" t="s">
        <v>147</v>
      </c>
      <c r="D35" s="13">
        <v>16131</v>
      </c>
      <c r="E35" s="70">
        <v>400</v>
      </c>
      <c r="F35" s="14"/>
      <c r="G35" s="11">
        <v>16171</v>
      </c>
      <c r="H35" s="67">
        <v>400</v>
      </c>
      <c r="I35" s="12"/>
      <c r="J35" s="53">
        <v>16213</v>
      </c>
      <c r="K35" s="72"/>
      <c r="L35" s="54" t="s">
        <v>27</v>
      </c>
      <c r="M35" s="75"/>
      <c r="N35" s="73"/>
      <c r="O35" s="15"/>
    </row>
    <row r="36" spans="1:15" x14ac:dyDescent="0.25">
      <c r="A36" s="16">
        <v>16062</v>
      </c>
      <c r="B36" s="49">
        <v>100</v>
      </c>
      <c r="C36" s="17" t="s">
        <v>84</v>
      </c>
      <c r="D36" s="13">
        <v>16132</v>
      </c>
      <c r="E36" s="70">
        <v>900</v>
      </c>
      <c r="F36" s="14" t="s">
        <v>104</v>
      </c>
      <c r="G36" s="11">
        <v>16172</v>
      </c>
      <c r="H36" s="67">
        <v>400</v>
      </c>
      <c r="I36" s="12"/>
      <c r="J36" s="53">
        <v>16214</v>
      </c>
      <c r="K36" s="72">
        <v>900</v>
      </c>
      <c r="L36" s="54" t="s">
        <v>35</v>
      </c>
      <c r="M36" s="75"/>
      <c r="N36" s="73"/>
      <c r="O36" s="15"/>
    </row>
    <row r="37" spans="1:15" x14ac:dyDescent="0.25">
      <c r="A37" s="16">
        <v>16063</v>
      </c>
      <c r="B37" s="49">
        <v>200</v>
      </c>
      <c r="C37" s="17" t="s">
        <v>41</v>
      </c>
      <c r="D37" s="13"/>
      <c r="E37" s="70"/>
      <c r="F37" s="14" t="s">
        <v>38</v>
      </c>
      <c r="G37" s="11">
        <v>16173</v>
      </c>
      <c r="H37" s="67">
        <v>800</v>
      </c>
      <c r="I37" s="12" t="s">
        <v>130</v>
      </c>
      <c r="J37" s="53"/>
      <c r="K37" s="72"/>
      <c r="L37" s="54" t="s">
        <v>23</v>
      </c>
      <c r="M37" s="75"/>
      <c r="N37" s="73"/>
      <c r="O37" s="15"/>
    </row>
    <row r="38" spans="1:15" x14ac:dyDescent="0.25">
      <c r="A38" s="16">
        <v>16064</v>
      </c>
      <c r="B38" s="49">
        <v>400</v>
      </c>
      <c r="C38" s="17" t="s">
        <v>30</v>
      </c>
      <c r="D38" s="13"/>
      <c r="E38" s="70"/>
      <c r="F38" s="14" t="s">
        <v>160</v>
      </c>
      <c r="G38" s="11"/>
      <c r="H38" s="67"/>
      <c r="I38" s="12" t="s">
        <v>20</v>
      </c>
      <c r="J38" s="53">
        <v>16215</v>
      </c>
      <c r="K38" s="72">
        <v>800</v>
      </c>
      <c r="L38" s="54" t="s">
        <v>104</v>
      </c>
      <c r="M38" s="75"/>
      <c r="N38" s="73"/>
      <c r="O38" s="15"/>
    </row>
    <row r="39" spans="1:15" x14ac:dyDescent="0.25">
      <c r="A39" s="16">
        <v>16065</v>
      </c>
      <c r="B39" s="49">
        <v>400</v>
      </c>
      <c r="C39" s="17"/>
      <c r="D39" s="13">
        <v>16133</v>
      </c>
      <c r="E39" s="70">
        <v>300</v>
      </c>
      <c r="F39" s="14"/>
      <c r="G39" s="11">
        <v>16174</v>
      </c>
      <c r="H39" s="67">
        <v>250</v>
      </c>
      <c r="I39" s="12"/>
      <c r="J39" s="53"/>
      <c r="K39" s="72"/>
      <c r="L39" s="54" t="s">
        <v>20</v>
      </c>
      <c r="M39" s="75"/>
      <c r="N39" s="73"/>
      <c r="O39" s="15"/>
    </row>
    <row r="40" spans="1:15" x14ac:dyDescent="0.25">
      <c r="A40" s="16">
        <v>16066</v>
      </c>
      <c r="B40" s="49">
        <v>1250</v>
      </c>
      <c r="C40" s="17" t="s">
        <v>148</v>
      </c>
      <c r="D40" s="13">
        <v>16134</v>
      </c>
      <c r="E40" s="70">
        <v>800</v>
      </c>
      <c r="F40" s="14" t="s">
        <v>130</v>
      </c>
      <c r="G40" s="11">
        <v>16175</v>
      </c>
      <c r="H40" s="67">
        <v>50</v>
      </c>
      <c r="I40" s="12" t="s">
        <v>40</v>
      </c>
      <c r="J40" s="53">
        <v>16216</v>
      </c>
      <c r="K40" s="72">
        <v>1500</v>
      </c>
      <c r="L40" s="54" t="s">
        <v>180</v>
      </c>
      <c r="M40" s="75"/>
      <c r="N40" s="73"/>
      <c r="O40" s="15"/>
    </row>
    <row r="41" spans="1:15" x14ac:dyDescent="0.25">
      <c r="A41" s="16"/>
      <c r="B41" s="49"/>
      <c r="C41" s="17" t="s">
        <v>149</v>
      </c>
      <c r="D41" s="13"/>
      <c r="E41" s="70"/>
      <c r="F41" s="14" t="s">
        <v>20</v>
      </c>
      <c r="G41" s="11">
        <v>16176</v>
      </c>
      <c r="H41" s="67">
        <v>400</v>
      </c>
      <c r="I41" s="12"/>
      <c r="J41" s="53"/>
      <c r="K41" s="72"/>
      <c r="L41" s="54" t="s">
        <v>181</v>
      </c>
      <c r="M41" s="75"/>
      <c r="N41" s="73"/>
      <c r="O41" s="15"/>
    </row>
    <row r="42" spans="1:15" x14ac:dyDescent="0.25">
      <c r="A42" s="16"/>
      <c r="B42" s="49"/>
      <c r="C42" s="17" t="s">
        <v>150</v>
      </c>
      <c r="D42" s="13">
        <v>16135</v>
      </c>
      <c r="E42" s="70">
        <v>250</v>
      </c>
      <c r="F42" s="14" t="s">
        <v>161</v>
      </c>
      <c r="G42" s="11">
        <v>16177</v>
      </c>
      <c r="H42" s="67">
        <v>300</v>
      </c>
      <c r="I42" s="12"/>
      <c r="J42" s="53">
        <v>16217</v>
      </c>
      <c r="K42" s="72">
        <v>600</v>
      </c>
      <c r="L42" s="54" t="s">
        <v>35</v>
      </c>
      <c r="M42" s="75"/>
      <c r="N42" s="73"/>
      <c r="O42" s="15"/>
    </row>
    <row r="43" spans="1:15" x14ac:dyDescent="0.25">
      <c r="A43" s="16">
        <v>16067</v>
      </c>
      <c r="B43" s="49">
        <v>400</v>
      </c>
      <c r="C43" s="17"/>
      <c r="D43" s="13">
        <v>16136</v>
      </c>
      <c r="E43" s="70">
        <v>400</v>
      </c>
      <c r="F43" s="14"/>
      <c r="G43" s="11">
        <v>16178</v>
      </c>
      <c r="H43" s="67">
        <v>400</v>
      </c>
      <c r="I43" s="12"/>
      <c r="J43" s="53"/>
      <c r="K43" s="72"/>
      <c r="L43" s="54" t="s">
        <v>15</v>
      </c>
      <c r="M43" s="75"/>
      <c r="N43" s="73"/>
      <c r="O43" s="15"/>
    </row>
    <row r="44" spans="1:15" x14ac:dyDescent="0.25">
      <c r="A44" s="16">
        <v>16068</v>
      </c>
      <c r="B44" s="49">
        <v>50</v>
      </c>
      <c r="C44" s="17" t="s">
        <v>40</v>
      </c>
      <c r="D44" s="13">
        <v>16137</v>
      </c>
      <c r="E44" s="70">
        <v>50</v>
      </c>
      <c r="F44" s="14" t="s">
        <v>40</v>
      </c>
      <c r="G44" s="11">
        <v>16179</v>
      </c>
      <c r="H44" s="67">
        <v>800</v>
      </c>
      <c r="I44" s="12" t="s">
        <v>104</v>
      </c>
      <c r="J44" s="53">
        <v>16218</v>
      </c>
      <c r="K44" s="72">
        <v>400</v>
      </c>
      <c r="L44" s="54"/>
      <c r="M44" s="75"/>
      <c r="N44" s="73"/>
      <c r="O44" s="15"/>
    </row>
    <row r="45" spans="1:15" x14ac:dyDescent="0.25">
      <c r="A45" s="16">
        <v>16069</v>
      </c>
      <c r="B45" s="49">
        <v>200</v>
      </c>
      <c r="C45" s="17" t="s">
        <v>41</v>
      </c>
      <c r="D45" s="13">
        <v>16138</v>
      </c>
      <c r="E45" s="70">
        <v>200</v>
      </c>
      <c r="F45" s="14" t="s">
        <v>162</v>
      </c>
      <c r="G45" s="11"/>
      <c r="H45" s="67"/>
      <c r="I45" s="12" t="s">
        <v>20</v>
      </c>
      <c r="J45" s="53">
        <v>16219</v>
      </c>
      <c r="K45" s="72">
        <v>400</v>
      </c>
      <c r="L45" s="54"/>
      <c r="M45" s="75"/>
      <c r="N45" s="73"/>
      <c r="O45" s="15"/>
    </row>
    <row r="46" spans="1:15" x14ac:dyDescent="0.25">
      <c r="A46" s="16">
        <v>16070</v>
      </c>
      <c r="B46" s="49">
        <v>400</v>
      </c>
      <c r="C46" s="17"/>
      <c r="D46" s="13">
        <v>16139</v>
      </c>
      <c r="E46" s="70">
        <v>300</v>
      </c>
      <c r="F46" s="14"/>
      <c r="G46" s="11">
        <v>16180</v>
      </c>
      <c r="H46" s="67">
        <v>50</v>
      </c>
      <c r="I46" s="12" t="s">
        <v>40</v>
      </c>
      <c r="J46" s="53">
        <v>16220</v>
      </c>
      <c r="K46" s="72">
        <v>800</v>
      </c>
      <c r="L46" s="54" t="s">
        <v>182</v>
      </c>
      <c r="M46" s="75"/>
      <c r="N46" s="73"/>
      <c r="O46" s="15"/>
    </row>
    <row r="47" spans="1:15" x14ac:dyDescent="0.25">
      <c r="A47" s="16">
        <v>16071</v>
      </c>
      <c r="B47" s="49">
        <v>1200</v>
      </c>
      <c r="C47" s="17" t="s">
        <v>35</v>
      </c>
      <c r="D47" s="13">
        <v>16140</v>
      </c>
      <c r="E47" s="70">
        <v>200</v>
      </c>
      <c r="F47" s="14"/>
      <c r="G47" s="11">
        <v>16181</v>
      </c>
      <c r="H47" s="67">
        <v>800</v>
      </c>
      <c r="I47" s="12" t="s">
        <v>24</v>
      </c>
      <c r="J47" s="53">
        <v>16221</v>
      </c>
      <c r="K47" s="72">
        <v>1400</v>
      </c>
      <c r="L47" s="54" t="s">
        <v>177</v>
      </c>
      <c r="M47" s="75"/>
      <c r="N47" s="73"/>
      <c r="O47" s="15"/>
    </row>
    <row r="48" spans="1:15" x14ac:dyDescent="0.25">
      <c r="A48" s="16"/>
      <c r="B48" s="49"/>
      <c r="C48" s="17" t="s">
        <v>20</v>
      </c>
      <c r="D48" s="13">
        <v>16141</v>
      </c>
      <c r="E48" s="70">
        <v>400</v>
      </c>
      <c r="F48" s="14"/>
      <c r="G48" s="11"/>
      <c r="H48" s="67"/>
      <c r="I48" s="12" t="s">
        <v>20</v>
      </c>
      <c r="J48" s="53"/>
      <c r="K48" s="72"/>
      <c r="L48" s="54" t="s">
        <v>43</v>
      </c>
      <c r="M48" s="75"/>
      <c r="N48" s="73"/>
      <c r="O48" s="15"/>
    </row>
    <row r="49" spans="1:15" x14ac:dyDescent="0.25">
      <c r="A49" s="16">
        <v>16072</v>
      </c>
      <c r="B49" s="49">
        <v>400</v>
      </c>
      <c r="C49" s="17"/>
      <c r="D49" s="13">
        <v>16142</v>
      </c>
      <c r="E49" s="70">
        <v>400</v>
      </c>
      <c r="F49" s="14" t="s">
        <v>163</v>
      </c>
      <c r="G49" s="11">
        <v>16182</v>
      </c>
      <c r="H49" s="67">
        <v>800</v>
      </c>
      <c r="I49" s="12" t="s">
        <v>130</v>
      </c>
      <c r="J49" s="53">
        <v>16222</v>
      </c>
      <c r="K49" s="72">
        <v>400</v>
      </c>
      <c r="L49" s="54" t="s">
        <v>162</v>
      </c>
      <c r="M49" s="75"/>
      <c r="N49" s="73"/>
      <c r="O49" s="15"/>
    </row>
    <row r="50" spans="1:15" x14ac:dyDescent="0.25">
      <c r="A50" s="16">
        <v>16073</v>
      </c>
      <c r="B50" s="49">
        <v>400</v>
      </c>
      <c r="C50" s="17"/>
      <c r="D50" s="13"/>
      <c r="E50" s="70"/>
      <c r="F50" s="14" t="s">
        <v>15</v>
      </c>
      <c r="G50" s="11"/>
      <c r="H50" s="67"/>
      <c r="I50" s="12" t="s">
        <v>20</v>
      </c>
      <c r="J50" s="53">
        <v>16223</v>
      </c>
      <c r="K50" s="72">
        <v>1200</v>
      </c>
      <c r="L50" s="54" t="s">
        <v>35</v>
      </c>
      <c r="M50" s="75"/>
      <c r="N50" s="73"/>
      <c r="O50" s="15"/>
    </row>
    <row r="51" spans="1:15" x14ac:dyDescent="0.25">
      <c r="A51" s="16">
        <v>16074</v>
      </c>
      <c r="B51" s="49">
        <v>400</v>
      </c>
      <c r="C51" s="17" t="s">
        <v>30</v>
      </c>
      <c r="D51" s="13">
        <v>16143</v>
      </c>
      <c r="E51" s="70">
        <v>400</v>
      </c>
      <c r="F51" s="14"/>
      <c r="G51" s="11">
        <v>16183</v>
      </c>
      <c r="H51" s="67">
        <v>750</v>
      </c>
      <c r="I51" s="12" t="s">
        <v>171</v>
      </c>
      <c r="J51" s="53"/>
      <c r="K51" s="72"/>
      <c r="L51" s="54" t="s">
        <v>20</v>
      </c>
      <c r="M51" s="75"/>
      <c r="N51" s="73"/>
      <c r="O51" s="15"/>
    </row>
    <row r="52" spans="1:15" x14ac:dyDescent="0.25">
      <c r="A52" s="16">
        <v>16075</v>
      </c>
      <c r="B52" s="49">
        <v>400</v>
      </c>
      <c r="C52" s="17"/>
      <c r="D52" s="13">
        <v>16144</v>
      </c>
      <c r="E52" s="70">
        <v>300</v>
      </c>
      <c r="F52" s="14"/>
      <c r="G52" s="11"/>
      <c r="H52" s="67"/>
      <c r="I52" s="12" t="s">
        <v>69</v>
      </c>
      <c r="J52" s="53">
        <v>16224</v>
      </c>
      <c r="K52" s="72">
        <v>400</v>
      </c>
      <c r="L52" s="54"/>
      <c r="M52" s="75"/>
      <c r="N52" s="73"/>
      <c r="O52" s="15"/>
    </row>
    <row r="53" spans="1:15" x14ac:dyDescent="0.25">
      <c r="A53" s="16">
        <v>16076</v>
      </c>
      <c r="B53" s="49">
        <v>400</v>
      </c>
      <c r="C53" s="17"/>
      <c r="D53" s="13">
        <v>16145</v>
      </c>
      <c r="E53" s="70">
        <v>400</v>
      </c>
      <c r="F53" s="14"/>
      <c r="G53" s="11">
        <v>16184</v>
      </c>
      <c r="H53" s="67">
        <v>50</v>
      </c>
      <c r="I53" s="12" t="s">
        <v>40</v>
      </c>
      <c r="J53" s="53">
        <v>16225</v>
      </c>
      <c r="K53" s="72">
        <v>200</v>
      </c>
      <c r="L53" s="54"/>
      <c r="M53" s="75"/>
      <c r="N53" s="73"/>
      <c r="O53" s="15"/>
    </row>
    <row r="54" spans="1:15" x14ac:dyDescent="0.25">
      <c r="A54" s="16">
        <v>16077</v>
      </c>
      <c r="B54" s="49">
        <v>50</v>
      </c>
      <c r="C54" s="17" t="s">
        <v>40</v>
      </c>
      <c r="D54" s="13">
        <v>16146</v>
      </c>
      <c r="E54" s="70">
        <v>200</v>
      </c>
      <c r="F54" s="14" t="s">
        <v>30</v>
      </c>
      <c r="G54" s="11">
        <v>16185</v>
      </c>
      <c r="H54" s="67">
        <v>1200</v>
      </c>
      <c r="I54" s="12" t="s">
        <v>35</v>
      </c>
      <c r="J54" s="53">
        <v>16226</v>
      </c>
      <c r="K54" s="72">
        <v>1500</v>
      </c>
      <c r="L54" s="54" t="s">
        <v>166</v>
      </c>
      <c r="M54" s="75"/>
      <c r="N54" s="73"/>
      <c r="O54" s="15"/>
    </row>
    <row r="55" spans="1:15" x14ac:dyDescent="0.25">
      <c r="A55" s="16">
        <v>16078</v>
      </c>
      <c r="B55" s="49">
        <v>400</v>
      </c>
      <c r="C55" s="17" t="s">
        <v>151</v>
      </c>
      <c r="D55" s="13">
        <v>16147</v>
      </c>
      <c r="E55" s="70"/>
      <c r="F55" s="69" t="s">
        <v>27</v>
      </c>
      <c r="G55" s="11"/>
      <c r="H55" s="67"/>
      <c r="I55" s="12" t="s">
        <v>20</v>
      </c>
      <c r="J55" s="53"/>
      <c r="K55" s="72"/>
      <c r="L55" s="54" t="s">
        <v>167</v>
      </c>
      <c r="M55" s="75"/>
      <c r="N55" s="73"/>
      <c r="O55" s="15"/>
    </row>
    <row r="56" spans="1:15" x14ac:dyDescent="0.25">
      <c r="A56" s="16"/>
      <c r="B56" s="49"/>
      <c r="C56" s="17" t="s">
        <v>152</v>
      </c>
      <c r="D56" s="13">
        <v>16148</v>
      </c>
      <c r="E56" s="70">
        <v>400</v>
      </c>
      <c r="F56" s="14"/>
      <c r="G56" s="11">
        <v>16186</v>
      </c>
      <c r="H56" s="67">
        <v>900</v>
      </c>
      <c r="I56" s="12" t="s">
        <v>35</v>
      </c>
      <c r="J56" s="53"/>
      <c r="K56" s="72"/>
      <c r="L56" s="54"/>
      <c r="M56" s="75"/>
      <c r="N56" s="73"/>
      <c r="O56" s="15"/>
    </row>
    <row r="57" spans="1:15" x14ac:dyDescent="0.25">
      <c r="A57" s="16">
        <v>16079</v>
      </c>
      <c r="B57" s="49">
        <v>400</v>
      </c>
      <c r="C57" s="17"/>
      <c r="D57" s="13">
        <v>16149</v>
      </c>
      <c r="E57" s="70">
        <v>400</v>
      </c>
      <c r="F57" s="14"/>
      <c r="G57" s="11"/>
      <c r="H57" s="67"/>
      <c r="I57" s="12" t="s">
        <v>23</v>
      </c>
      <c r="J57" s="53"/>
      <c r="K57" s="72"/>
      <c r="L57" s="54"/>
      <c r="M57" s="75"/>
      <c r="N57" s="73"/>
      <c r="O57" s="15"/>
    </row>
    <row r="58" spans="1:15" x14ac:dyDescent="0.25">
      <c r="A58" s="16">
        <v>16080</v>
      </c>
      <c r="B58" s="49">
        <v>400</v>
      </c>
      <c r="C58" s="17" t="s">
        <v>30</v>
      </c>
      <c r="D58" s="13">
        <v>16150</v>
      </c>
      <c r="E58" s="70">
        <v>50</v>
      </c>
      <c r="F58" s="14" t="s">
        <v>40</v>
      </c>
      <c r="G58" s="11">
        <v>16187</v>
      </c>
      <c r="H58" s="67">
        <v>300</v>
      </c>
      <c r="I58" s="12" t="s">
        <v>164</v>
      </c>
      <c r="J58" s="53"/>
      <c r="K58" s="72"/>
      <c r="L58" s="54"/>
      <c r="M58" s="75"/>
      <c r="N58" s="73"/>
      <c r="O58" s="15"/>
    </row>
    <row r="59" spans="1:15" x14ac:dyDescent="0.25">
      <c r="A59" s="16">
        <v>16081</v>
      </c>
      <c r="B59" s="49">
        <v>300</v>
      </c>
      <c r="C59" s="17"/>
      <c r="D59" s="13">
        <v>16151</v>
      </c>
      <c r="E59" s="70">
        <v>800</v>
      </c>
      <c r="F59" s="14" t="s">
        <v>104</v>
      </c>
      <c r="G59" s="11">
        <v>16188</v>
      </c>
      <c r="H59" s="67">
        <v>2100</v>
      </c>
      <c r="I59" s="12" t="s">
        <v>172</v>
      </c>
      <c r="J59" s="53"/>
      <c r="K59" s="72"/>
      <c r="L59" s="54"/>
      <c r="M59" s="75"/>
      <c r="N59" s="73"/>
      <c r="O59" s="15"/>
    </row>
    <row r="60" spans="1:15" x14ac:dyDescent="0.25">
      <c r="A60" s="16">
        <v>16082</v>
      </c>
      <c r="B60" s="49">
        <v>900</v>
      </c>
      <c r="C60" s="89" t="s">
        <v>35</v>
      </c>
      <c r="D60" s="13"/>
      <c r="E60" s="70"/>
      <c r="F60" s="14" t="s">
        <v>20</v>
      </c>
      <c r="G60" s="11"/>
      <c r="H60" s="67"/>
      <c r="I60" s="12" t="s">
        <v>173</v>
      </c>
      <c r="J60" s="53"/>
      <c r="K60" s="72"/>
      <c r="L60" s="54"/>
      <c r="M60" s="75"/>
      <c r="N60" s="73"/>
      <c r="O60" s="15"/>
    </row>
    <row r="61" spans="1:15" x14ac:dyDescent="0.25">
      <c r="A61" s="16"/>
      <c r="B61" s="49"/>
      <c r="C61" s="17" t="s">
        <v>23</v>
      </c>
      <c r="D61" s="13"/>
      <c r="E61" s="70"/>
      <c r="F61" s="14"/>
      <c r="G61" s="11"/>
      <c r="H61" s="67"/>
      <c r="I61" s="12" t="s">
        <v>174</v>
      </c>
      <c r="J61" s="53"/>
      <c r="K61" s="72"/>
      <c r="L61" s="54"/>
      <c r="M61" s="75"/>
      <c r="N61" s="73"/>
      <c r="O61" s="15"/>
    </row>
    <row r="62" spans="1:15" x14ac:dyDescent="0.25">
      <c r="A62" s="16">
        <v>16083</v>
      </c>
      <c r="B62" s="49">
        <v>350</v>
      </c>
      <c r="C62" s="17"/>
      <c r="D62" s="13"/>
      <c r="E62" s="70"/>
      <c r="F62" s="14"/>
      <c r="G62" s="11">
        <v>16189</v>
      </c>
      <c r="H62" s="67">
        <v>600</v>
      </c>
      <c r="I62" s="12" t="s">
        <v>35</v>
      </c>
      <c r="J62" s="53"/>
      <c r="K62" s="72"/>
      <c r="L62" s="54"/>
      <c r="M62" s="75"/>
      <c r="N62" s="73"/>
      <c r="O62" s="15"/>
    </row>
    <row r="63" spans="1:15" x14ac:dyDescent="0.25">
      <c r="A63" s="16">
        <v>16084</v>
      </c>
      <c r="B63" s="49">
        <v>900</v>
      </c>
      <c r="C63" s="17" t="s">
        <v>35</v>
      </c>
      <c r="D63" s="13"/>
      <c r="E63" s="70"/>
      <c r="F63" s="14"/>
      <c r="G63" s="11"/>
      <c r="H63" s="67"/>
      <c r="I63" s="12" t="s">
        <v>15</v>
      </c>
      <c r="J63" s="53"/>
      <c r="K63" s="72"/>
      <c r="L63" s="54"/>
      <c r="M63" s="75"/>
      <c r="N63" s="73"/>
      <c r="O63" s="15"/>
    </row>
    <row r="64" spans="1:15" x14ac:dyDescent="0.25">
      <c r="A64" s="16"/>
      <c r="B64" s="49"/>
      <c r="C64" s="17" t="s">
        <v>23</v>
      </c>
      <c r="D64" s="13"/>
      <c r="E64" s="70"/>
      <c r="F64" s="14"/>
      <c r="G64" s="11">
        <v>16190</v>
      </c>
      <c r="H64" s="67">
        <v>50</v>
      </c>
      <c r="I64" s="12" t="s">
        <v>40</v>
      </c>
      <c r="J64" s="53"/>
      <c r="K64" s="72"/>
      <c r="L64" s="54"/>
      <c r="M64" s="75"/>
      <c r="N64" s="73"/>
      <c r="O64" s="15"/>
    </row>
    <row r="65" spans="1:15" x14ac:dyDescent="0.25">
      <c r="A65" s="16">
        <v>16085</v>
      </c>
      <c r="B65" s="49">
        <v>400</v>
      </c>
      <c r="C65" s="17"/>
      <c r="D65" s="13"/>
      <c r="E65" s="70"/>
      <c r="F65" s="14"/>
      <c r="G65" s="11">
        <v>16191</v>
      </c>
      <c r="H65" s="67">
        <v>400</v>
      </c>
      <c r="I65" s="12"/>
      <c r="J65" s="53"/>
      <c r="K65" s="72"/>
      <c r="L65" s="54"/>
      <c r="M65" s="75"/>
      <c r="N65" s="73"/>
      <c r="O65" s="15"/>
    </row>
    <row r="66" spans="1:15" x14ac:dyDescent="0.25">
      <c r="A66" s="16">
        <v>16086</v>
      </c>
      <c r="B66" s="49">
        <v>300</v>
      </c>
      <c r="C66" s="17"/>
      <c r="D66" s="13"/>
      <c r="E66" s="70"/>
      <c r="F66" s="14"/>
      <c r="G66" s="11">
        <v>16192</v>
      </c>
      <c r="H66" s="67">
        <v>600</v>
      </c>
      <c r="I66" s="12" t="s">
        <v>171</v>
      </c>
      <c r="J66" s="53"/>
      <c r="K66" s="72"/>
      <c r="L66" s="54"/>
      <c r="M66" s="75"/>
      <c r="N66" s="73"/>
      <c r="O66" s="15"/>
    </row>
    <row r="67" spans="1:15" x14ac:dyDescent="0.25">
      <c r="A67" s="16">
        <v>16087</v>
      </c>
      <c r="B67" s="49">
        <v>400</v>
      </c>
      <c r="C67" s="17" t="s">
        <v>82</v>
      </c>
      <c r="D67" s="13"/>
      <c r="E67" s="70"/>
      <c r="F67" s="14"/>
      <c r="G67" s="11"/>
      <c r="H67" s="67"/>
      <c r="I67" s="12" t="s">
        <v>15</v>
      </c>
      <c r="J67" s="53"/>
      <c r="K67" s="72"/>
      <c r="L67" s="54"/>
      <c r="M67" s="75"/>
      <c r="N67" s="73"/>
      <c r="O67" s="15"/>
    </row>
    <row r="68" spans="1:15" x14ac:dyDescent="0.25">
      <c r="A68" s="16">
        <v>16088</v>
      </c>
      <c r="B68" s="49">
        <v>125</v>
      </c>
      <c r="C68" s="17"/>
      <c r="D68" s="13"/>
      <c r="E68" s="70"/>
      <c r="F68" s="14"/>
      <c r="G68" s="11"/>
      <c r="H68" s="67"/>
      <c r="I68" s="12"/>
      <c r="J68" s="53"/>
      <c r="K68" s="72"/>
      <c r="L68" s="54"/>
      <c r="M68" s="75"/>
      <c r="N68" s="73"/>
      <c r="O68" s="15"/>
    </row>
    <row r="69" spans="1:15" x14ac:dyDescent="0.25">
      <c r="A69" s="16">
        <v>16089</v>
      </c>
      <c r="B69" s="49">
        <v>400</v>
      </c>
      <c r="C69" s="17"/>
      <c r="D69" s="13"/>
      <c r="E69" s="70"/>
      <c r="F69" s="14"/>
      <c r="G69" s="11"/>
      <c r="H69" s="67"/>
      <c r="I69" s="12"/>
      <c r="J69" s="53"/>
      <c r="K69" s="72"/>
      <c r="L69" s="54"/>
      <c r="M69" s="75"/>
      <c r="N69" s="73"/>
      <c r="O69" s="15"/>
    </row>
    <row r="70" spans="1:15" x14ac:dyDescent="0.25">
      <c r="A70" s="16">
        <v>16090</v>
      </c>
      <c r="B70" s="49">
        <v>300</v>
      </c>
      <c r="C70" s="17"/>
      <c r="D70" s="13"/>
      <c r="E70" s="70"/>
      <c r="F70" s="14"/>
      <c r="G70" s="11"/>
      <c r="H70" s="67"/>
      <c r="I70" s="12"/>
      <c r="J70" s="53"/>
      <c r="K70" s="72"/>
      <c r="L70" s="54"/>
      <c r="M70" s="75"/>
      <c r="N70" s="73"/>
      <c r="O70" s="15"/>
    </row>
    <row r="71" spans="1:15" x14ac:dyDescent="0.25">
      <c r="A71" s="16">
        <v>16091</v>
      </c>
      <c r="B71" s="49">
        <v>800</v>
      </c>
      <c r="C71" s="17" t="s">
        <v>130</v>
      </c>
      <c r="D71" s="13"/>
      <c r="E71" s="70"/>
      <c r="F71" s="14"/>
      <c r="G71" s="11"/>
      <c r="H71" s="67"/>
      <c r="I71" s="12"/>
      <c r="J71" s="53"/>
      <c r="K71" s="72"/>
      <c r="L71" s="54"/>
      <c r="M71" s="75"/>
      <c r="N71" s="73"/>
      <c r="O71" s="15"/>
    </row>
    <row r="72" spans="1:15" x14ac:dyDescent="0.25">
      <c r="A72" s="16"/>
      <c r="B72" s="49"/>
      <c r="C72" s="17" t="s">
        <v>20</v>
      </c>
      <c r="D72" s="13"/>
      <c r="E72" s="70"/>
      <c r="F72" s="14"/>
      <c r="G72" s="11"/>
      <c r="H72" s="67"/>
      <c r="I72" s="12"/>
      <c r="J72" s="53"/>
      <c r="K72" s="72"/>
      <c r="L72" s="54"/>
      <c r="M72" s="75"/>
      <c r="N72" s="73"/>
      <c r="O72" s="15"/>
    </row>
    <row r="73" spans="1:15" x14ac:dyDescent="0.25">
      <c r="A73" s="16">
        <v>16092</v>
      </c>
      <c r="B73" s="49">
        <v>900</v>
      </c>
      <c r="C73" s="17" t="s">
        <v>104</v>
      </c>
      <c r="D73" s="13"/>
      <c r="E73" s="70"/>
      <c r="F73" s="14"/>
      <c r="G73" s="11"/>
      <c r="H73" s="67"/>
      <c r="I73" s="12"/>
      <c r="J73" s="53"/>
      <c r="K73" s="72"/>
      <c r="L73" s="54"/>
      <c r="M73" s="75"/>
      <c r="N73" s="73"/>
      <c r="O73" s="15"/>
    </row>
    <row r="74" spans="1:15" x14ac:dyDescent="0.25">
      <c r="A74" s="16"/>
      <c r="B74" s="49"/>
      <c r="C74" s="17" t="s">
        <v>15</v>
      </c>
      <c r="D74" s="13"/>
      <c r="E74" s="70"/>
      <c r="F74" s="14"/>
      <c r="G74" s="11"/>
      <c r="H74" s="67"/>
      <c r="I74" s="12"/>
      <c r="J74" s="53"/>
      <c r="K74" s="72"/>
      <c r="L74" s="54"/>
      <c r="M74" s="75"/>
      <c r="N74" s="73"/>
      <c r="O74" s="15"/>
    </row>
    <row r="75" spans="1:15" x14ac:dyDescent="0.25">
      <c r="A75" s="16"/>
      <c r="B75" s="49"/>
      <c r="C75" s="17" t="s">
        <v>153</v>
      </c>
      <c r="D75" s="13"/>
      <c r="E75" s="70"/>
      <c r="F75" s="14"/>
      <c r="G75" s="11"/>
      <c r="H75" s="67"/>
      <c r="I75" s="12"/>
      <c r="J75" s="53"/>
      <c r="K75" s="72"/>
      <c r="L75" s="54"/>
      <c r="M75" s="75"/>
      <c r="N75" s="73"/>
      <c r="O75" s="15"/>
    </row>
    <row r="76" spans="1:15" x14ac:dyDescent="0.25">
      <c r="A76" s="16"/>
      <c r="B76" s="49"/>
      <c r="C76" s="17" t="s">
        <v>154</v>
      </c>
      <c r="D76" s="13"/>
      <c r="E76" s="70"/>
      <c r="F76" s="14"/>
      <c r="G76" s="11"/>
      <c r="H76" s="67"/>
      <c r="I76" s="12"/>
      <c r="J76" s="53"/>
      <c r="K76" s="72"/>
      <c r="L76" s="54"/>
      <c r="M76" s="75"/>
      <c r="N76" s="73"/>
      <c r="O76" s="15"/>
    </row>
    <row r="77" spans="1:15" x14ac:dyDescent="0.25">
      <c r="A77" s="16">
        <v>16093</v>
      </c>
      <c r="B77" s="49">
        <v>400</v>
      </c>
      <c r="C77" s="17"/>
      <c r="D77" s="13"/>
      <c r="E77" s="70"/>
      <c r="F77" s="14"/>
      <c r="G77" s="11"/>
      <c r="H77" s="67"/>
      <c r="I77" s="12"/>
      <c r="J77" s="53"/>
      <c r="K77" s="72"/>
      <c r="L77" s="54"/>
      <c r="M77" s="75"/>
      <c r="N77" s="73"/>
      <c r="O77" s="15"/>
    </row>
    <row r="78" spans="1:15" x14ac:dyDescent="0.25">
      <c r="A78" s="16">
        <v>16094</v>
      </c>
      <c r="B78" s="49">
        <v>400</v>
      </c>
      <c r="C78" s="17" t="s">
        <v>82</v>
      </c>
      <c r="D78" s="13"/>
      <c r="E78" s="70"/>
      <c r="F78" s="14"/>
      <c r="G78" s="11"/>
      <c r="H78" s="67"/>
      <c r="I78" s="12"/>
      <c r="J78" s="53"/>
      <c r="K78" s="72"/>
      <c r="L78" s="54"/>
      <c r="M78" s="75"/>
      <c r="N78" s="73"/>
      <c r="O78" s="15"/>
    </row>
    <row r="79" spans="1:15" x14ac:dyDescent="0.25">
      <c r="A79" s="16">
        <v>16095</v>
      </c>
      <c r="B79" s="49">
        <v>600</v>
      </c>
      <c r="C79" s="17" t="s">
        <v>155</v>
      </c>
      <c r="D79" s="13"/>
      <c r="E79" s="70"/>
      <c r="F79" s="14"/>
      <c r="G79" s="11"/>
      <c r="H79" s="67"/>
      <c r="I79" s="12"/>
      <c r="J79" s="53"/>
      <c r="K79" s="72"/>
      <c r="L79" s="54"/>
      <c r="M79" s="75"/>
      <c r="N79" s="73"/>
      <c r="O79" s="15"/>
    </row>
    <row r="80" spans="1:15" x14ac:dyDescent="0.25">
      <c r="A80" s="16"/>
      <c r="B80" s="49"/>
      <c r="C80" s="17" t="s">
        <v>15</v>
      </c>
      <c r="D80" s="13"/>
      <c r="E80" s="70"/>
      <c r="F80" s="14"/>
      <c r="G80" s="11"/>
      <c r="H80" s="67"/>
      <c r="I80" s="12"/>
      <c r="J80" s="53"/>
      <c r="K80" s="72"/>
      <c r="L80" s="54"/>
      <c r="M80" s="75"/>
      <c r="N80" s="73"/>
      <c r="O80" s="15"/>
    </row>
    <row r="81" spans="1:15" x14ac:dyDescent="0.25">
      <c r="A81" s="16">
        <v>16096</v>
      </c>
      <c r="B81" s="49">
        <v>400</v>
      </c>
      <c r="C81" s="17"/>
      <c r="D81" s="13"/>
      <c r="E81" s="70"/>
      <c r="F81" s="14"/>
      <c r="G81" s="11"/>
      <c r="H81" s="67"/>
      <c r="I81" s="12"/>
      <c r="J81" s="53"/>
      <c r="K81" s="72"/>
      <c r="L81" s="54"/>
      <c r="M81" s="75"/>
      <c r="N81" s="73"/>
      <c r="O81" s="15"/>
    </row>
    <row r="82" spans="1:15" x14ac:dyDescent="0.25">
      <c r="A82" s="16">
        <v>16097</v>
      </c>
      <c r="B82" s="49">
        <v>400</v>
      </c>
      <c r="C82" s="17"/>
      <c r="D82" s="13"/>
      <c r="E82" s="70"/>
      <c r="F82" s="14"/>
      <c r="G82" s="11"/>
      <c r="H82" s="67"/>
      <c r="I82" s="12"/>
      <c r="J82" s="53"/>
      <c r="K82" s="72"/>
      <c r="L82" s="54"/>
      <c r="M82" s="75"/>
      <c r="N82" s="73"/>
      <c r="O82" s="15"/>
    </row>
    <row r="83" spans="1:15" x14ac:dyDescent="0.25">
      <c r="A83" s="16">
        <v>16098</v>
      </c>
      <c r="B83" s="49">
        <v>200</v>
      </c>
      <c r="C83" s="17"/>
      <c r="D83" s="13"/>
      <c r="E83" s="70"/>
      <c r="F83" s="14"/>
      <c r="G83" s="11"/>
      <c r="H83" s="67"/>
      <c r="I83" s="12"/>
      <c r="J83" s="53"/>
      <c r="K83" s="72"/>
      <c r="L83" s="54"/>
      <c r="M83" s="75"/>
      <c r="N83" s="73"/>
      <c r="O83" s="15"/>
    </row>
    <row r="84" spans="1:15" x14ac:dyDescent="0.25">
      <c r="A84" s="16">
        <v>16099</v>
      </c>
      <c r="B84" s="49">
        <v>600</v>
      </c>
      <c r="C84" s="17" t="s">
        <v>104</v>
      </c>
      <c r="D84" s="13"/>
      <c r="E84" s="70"/>
      <c r="F84" s="14"/>
      <c r="G84" s="11"/>
      <c r="H84" s="67"/>
      <c r="I84" s="12"/>
      <c r="J84" s="53"/>
      <c r="K84" s="72"/>
      <c r="L84" s="54"/>
      <c r="M84" s="75"/>
      <c r="N84" s="73"/>
      <c r="O84" s="15"/>
    </row>
    <row r="85" spans="1:15" x14ac:dyDescent="0.25">
      <c r="A85" s="16"/>
      <c r="B85" s="49"/>
      <c r="C85" s="17" t="s">
        <v>23</v>
      </c>
      <c r="D85" s="13"/>
      <c r="E85" s="70"/>
      <c r="F85" s="14"/>
      <c r="G85" s="11"/>
      <c r="H85" s="67"/>
      <c r="I85" s="12"/>
      <c r="J85" s="53"/>
      <c r="K85" s="72"/>
      <c r="L85" s="54"/>
      <c r="M85" s="75"/>
      <c r="N85" s="73"/>
      <c r="O85" s="15"/>
    </row>
    <row r="86" spans="1:15" x14ac:dyDescent="0.25">
      <c r="A86" s="16">
        <v>16100</v>
      </c>
      <c r="B86" s="49">
        <v>500</v>
      </c>
      <c r="C86" s="17" t="s">
        <v>104</v>
      </c>
      <c r="D86" s="13"/>
      <c r="E86" s="70"/>
      <c r="F86" s="14"/>
      <c r="G86" s="11"/>
      <c r="H86" s="67"/>
      <c r="I86" s="12"/>
      <c r="J86" s="53"/>
      <c r="K86" s="72"/>
      <c r="L86" s="54"/>
      <c r="M86" s="75"/>
      <c r="N86" s="73"/>
      <c r="O86" s="15"/>
    </row>
    <row r="87" spans="1:15" x14ac:dyDescent="0.25">
      <c r="A87" s="16"/>
      <c r="B87" s="49"/>
      <c r="C87" s="17" t="s">
        <v>69</v>
      </c>
      <c r="D87" s="13"/>
      <c r="E87" s="70"/>
      <c r="F87" s="14"/>
      <c r="G87" s="11"/>
      <c r="H87" s="67"/>
      <c r="I87" s="12"/>
      <c r="J87" s="53"/>
      <c r="K87" s="72"/>
      <c r="L87" s="54"/>
      <c r="M87" s="75"/>
      <c r="N87" s="73"/>
      <c r="O87" s="15"/>
    </row>
    <row r="88" spans="1:15" x14ac:dyDescent="0.25">
      <c r="A88" s="16">
        <v>16101</v>
      </c>
      <c r="B88" s="49">
        <v>900</v>
      </c>
      <c r="C88" s="17" t="s">
        <v>19</v>
      </c>
      <c r="D88" s="13"/>
      <c r="E88" s="70"/>
      <c r="F88" s="14"/>
      <c r="G88" s="11"/>
      <c r="H88" s="67"/>
      <c r="I88" s="12"/>
      <c r="J88" s="53"/>
      <c r="K88" s="72"/>
      <c r="L88" s="54"/>
      <c r="M88" s="75"/>
      <c r="N88" s="73"/>
      <c r="O88" s="15"/>
    </row>
    <row r="89" spans="1:15" x14ac:dyDescent="0.25">
      <c r="A89" s="16"/>
      <c r="B89" s="49"/>
      <c r="C89" s="17" t="s">
        <v>23</v>
      </c>
      <c r="D89" s="13"/>
      <c r="E89" s="70"/>
      <c r="F89" s="14"/>
      <c r="G89" s="11"/>
      <c r="H89" s="67"/>
      <c r="I89" s="12"/>
      <c r="J89" s="53"/>
      <c r="K89" s="72"/>
      <c r="L89" s="54"/>
      <c r="M89" s="75"/>
      <c r="N89" s="73"/>
      <c r="O89" s="15"/>
    </row>
    <row r="90" spans="1:15" x14ac:dyDescent="0.25">
      <c r="A90" s="16">
        <v>16102</v>
      </c>
      <c r="B90" s="49">
        <v>400</v>
      </c>
      <c r="C90" s="17"/>
      <c r="D90" s="13"/>
      <c r="E90" s="70"/>
      <c r="F90" s="14"/>
      <c r="G90" s="11"/>
      <c r="H90" s="67"/>
      <c r="I90" s="12"/>
      <c r="J90" s="53"/>
      <c r="K90" s="72"/>
      <c r="L90" s="54"/>
      <c r="M90" s="75"/>
      <c r="N90" s="73"/>
      <c r="O90" s="15"/>
    </row>
    <row r="91" spans="1:15" x14ac:dyDescent="0.25">
      <c r="A91" s="16">
        <v>16103</v>
      </c>
      <c r="B91" s="49">
        <v>300</v>
      </c>
      <c r="C91" s="17"/>
      <c r="D91" s="13"/>
      <c r="E91" s="70"/>
      <c r="F91" s="14"/>
      <c r="G91" s="11"/>
      <c r="H91" s="67"/>
      <c r="I91" s="12"/>
      <c r="J91" s="53"/>
      <c r="K91" s="72"/>
      <c r="L91" s="54"/>
      <c r="M91" s="75"/>
      <c r="N91" s="73"/>
      <c r="O91" s="15"/>
    </row>
    <row r="92" spans="1:15" x14ac:dyDescent="0.25">
      <c r="A92" s="16">
        <v>16104</v>
      </c>
      <c r="B92" s="49"/>
      <c r="C92" s="17" t="s">
        <v>27</v>
      </c>
      <c r="D92" s="13"/>
      <c r="E92" s="70"/>
      <c r="F92" s="14"/>
      <c r="G92" s="11"/>
      <c r="H92" s="67"/>
      <c r="I92" s="12"/>
      <c r="J92" s="53"/>
      <c r="K92" s="72"/>
      <c r="L92" s="54"/>
      <c r="M92" s="75"/>
      <c r="N92" s="73"/>
      <c r="O92" s="15"/>
    </row>
    <row r="93" spans="1:15" x14ac:dyDescent="0.25">
      <c r="A93" s="16">
        <v>16105</v>
      </c>
      <c r="B93" s="49">
        <v>200</v>
      </c>
      <c r="C93" s="17" t="s">
        <v>156</v>
      </c>
      <c r="D93" s="13"/>
      <c r="E93" s="70"/>
      <c r="F93" s="14"/>
      <c r="G93" s="11"/>
      <c r="H93" s="67"/>
      <c r="I93" s="12"/>
      <c r="J93" s="53"/>
      <c r="K93" s="72"/>
      <c r="L93" s="54"/>
      <c r="M93" s="75"/>
      <c r="N93" s="73"/>
      <c r="O93" s="15"/>
    </row>
    <row r="94" spans="1:15" x14ac:dyDescent="0.25">
      <c r="A94" s="16">
        <v>16106</v>
      </c>
      <c r="B94" s="49">
        <v>400</v>
      </c>
      <c r="C94" s="17" t="s">
        <v>30</v>
      </c>
      <c r="D94" s="13"/>
      <c r="E94" s="70"/>
      <c r="F94" s="14"/>
      <c r="G94" s="11"/>
      <c r="H94" s="67"/>
      <c r="I94" s="12"/>
      <c r="J94" s="53"/>
      <c r="K94" s="72"/>
      <c r="L94" s="54"/>
      <c r="M94" s="75"/>
      <c r="N94" s="73"/>
      <c r="O94" s="15"/>
    </row>
    <row r="95" spans="1:15" x14ac:dyDescent="0.25">
      <c r="A95" s="16">
        <v>16107</v>
      </c>
      <c r="B95" s="49">
        <v>900</v>
      </c>
      <c r="C95" s="17" t="s">
        <v>35</v>
      </c>
      <c r="D95" s="13"/>
      <c r="E95" s="70"/>
      <c r="F95" s="14"/>
      <c r="G95" s="11"/>
      <c r="H95" s="67"/>
      <c r="I95" s="12"/>
      <c r="J95" s="53"/>
      <c r="K95" s="72"/>
      <c r="L95" s="54"/>
      <c r="M95" s="75"/>
      <c r="N95" s="73"/>
      <c r="O95" s="15"/>
    </row>
    <row r="96" spans="1:15" x14ac:dyDescent="0.25">
      <c r="A96" s="16"/>
      <c r="B96" s="49"/>
      <c r="C96" s="17" t="s">
        <v>23</v>
      </c>
      <c r="D96" s="13"/>
      <c r="E96" s="70"/>
      <c r="F96" s="14"/>
      <c r="G96" s="11"/>
      <c r="H96" s="67"/>
      <c r="I96" s="12"/>
      <c r="J96" s="53"/>
      <c r="K96" s="72"/>
      <c r="L96" s="54"/>
      <c r="M96" s="75"/>
      <c r="N96" s="73"/>
      <c r="O96" s="15"/>
    </row>
    <row r="97" spans="1:16" x14ac:dyDescent="0.25">
      <c r="A97" s="16">
        <v>16108</v>
      </c>
      <c r="B97" s="49">
        <v>200</v>
      </c>
      <c r="C97" s="17" t="s">
        <v>41</v>
      </c>
      <c r="D97" s="13"/>
      <c r="E97" s="70"/>
      <c r="F97" s="14"/>
      <c r="G97" s="11"/>
      <c r="H97" s="67"/>
      <c r="I97" s="12"/>
      <c r="J97" s="53"/>
      <c r="K97" s="72"/>
      <c r="L97" s="54"/>
      <c r="M97" s="75"/>
      <c r="N97" s="73"/>
      <c r="O97" s="15"/>
    </row>
    <row r="98" spans="1:16" x14ac:dyDescent="0.25">
      <c r="A98" s="16">
        <v>16109</v>
      </c>
      <c r="B98" s="49">
        <v>500</v>
      </c>
      <c r="C98" s="17" t="s">
        <v>104</v>
      </c>
      <c r="D98" s="13"/>
      <c r="E98" s="70"/>
      <c r="F98" s="14"/>
      <c r="G98" s="11"/>
      <c r="H98" s="67"/>
      <c r="I98" s="12"/>
      <c r="J98" s="53"/>
      <c r="K98" s="72"/>
      <c r="L98" s="54"/>
      <c r="M98" s="75"/>
      <c r="N98" s="73"/>
      <c r="O98" s="15"/>
    </row>
    <row r="99" spans="1:16" x14ac:dyDescent="0.25">
      <c r="A99" s="16"/>
      <c r="B99" s="49"/>
      <c r="C99" s="17" t="s">
        <v>69</v>
      </c>
      <c r="D99" s="13"/>
      <c r="E99" s="70"/>
      <c r="F99" s="14"/>
      <c r="G99" s="11"/>
      <c r="H99" s="67"/>
      <c r="I99" s="12"/>
      <c r="J99" s="53"/>
      <c r="K99" s="72"/>
      <c r="L99" s="54"/>
      <c r="M99" s="75"/>
      <c r="N99" s="73"/>
      <c r="O99" s="15"/>
    </row>
    <row r="100" spans="1:16" x14ac:dyDescent="0.25">
      <c r="A100" s="26"/>
      <c r="B100" s="66"/>
      <c r="C100" s="58"/>
      <c r="D100" s="26"/>
      <c r="E100" s="74"/>
      <c r="F100" s="58"/>
      <c r="G100" s="26"/>
      <c r="H100" s="74"/>
      <c r="I100" s="58"/>
      <c r="J100" s="26"/>
      <c r="K100" s="74"/>
      <c r="L100" s="58"/>
      <c r="M100" s="26"/>
      <c r="N100" s="74"/>
      <c r="O100" s="58"/>
      <c r="P100" s="58"/>
    </row>
    <row r="101" spans="1:16" x14ac:dyDescent="0.25">
      <c r="A101" s="26"/>
      <c r="B101" s="66"/>
      <c r="C101" s="58"/>
      <c r="D101" s="26"/>
      <c r="E101" s="74"/>
      <c r="F101" s="58"/>
      <c r="G101" s="26"/>
      <c r="H101" s="74"/>
      <c r="I101" s="58"/>
      <c r="J101" s="26"/>
      <c r="K101" s="74"/>
      <c r="L101" s="58"/>
      <c r="M101" s="26"/>
      <c r="N101" s="74"/>
      <c r="O101" s="58"/>
      <c r="P101" s="58"/>
    </row>
    <row r="102" spans="1:16" x14ac:dyDescent="0.25">
      <c r="A102" s="26"/>
      <c r="B102" s="66"/>
      <c r="C102" s="58"/>
      <c r="D102" s="26"/>
      <c r="E102" s="74"/>
      <c r="F102" s="58"/>
      <c r="G102" s="26"/>
      <c r="H102" s="74"/>
      <c r="I102" s="58"/>
      <c r="J102" s="26"/>
      <c r="K102" s="74"/>
      <c r="L102" s="58"/>
      <c r="M102" s="26"/>
      <c r="N102" s="74"/>
      <c r="O102" s="58"/>
      <c r="P102" s="58"/>
    </row>
    <row r="103" spans="1:16" x14ac:dyDescent="0.25">
      <c r="A103" s="26"/>
      <c r="B103" s="66"/>
      <c r="C103" s="58"/>
      <c r="D103" s="26"/>
      <c r="E103" s="74"/>
      <c r="F103" s="58"/>
      <c r="G103" s="26"/>
      <c r="H103" s="74"/>
      <c r="I103" s="58"/>
      <c r="J103" s="26"/>
      <c r="K103" s="74"/>
      <c r="L103" s="58"/>
      <c r="M103" s="26"/>
      <c r="N103" s="74"/>
      <c r="O103" s="58"/>
      <c r="P103" s="58"/>
    </row>
    <row r="104" spans="1:16" x14ac:dyDescent="0.25">
      <c r="A104" s="26"/>
      <c r="B104" s="66"/>
      <c r="C104" s="58"/>
      <c r="D104" s="26"/>
      <c r="E104" s="74"/>
      <c r="F104" s="58"/>
      <c r="G104" s="26"/>
      <c r="H104" s="74"/>
      <c r="I104" s="58"/>
      <c r="J104" s="26"/>
      <c r="K104" s="74"/>
      <c r="L104" s="58"/>
      <c r="M104" s="26"/>
      <c r="N104" s="74"/>
      <c r="O104" s="58"/>
      <c r="P104" s="58"/>
    </row>
    <row r="105" spans="1:16" x14ac:dyDescent="0.25">
      <c r="A105" s="26"/>
      <c r="B105" s="66"/>
      <c r="C105" s="58"/>
      <c r="D105" s="26"/>
      <c r="E105" s="74"/>
      <c r="F105" s="58"/>
      <c r="G105" s="26"/>
      <c r="H105" s="74"/>
      <c r="I105" s="58"/>
      <c r="J105" s="26"/>
      <c r="K105" s="74"/>
      <c r="L105" s="58"/>
      <c r="M105" s="26"/>
      <c r="N105" s="74"/>
      <c r="O105" s="58"/>
      <c r="P105" s="58"/>
    </row>
    <row r="106" spans="1:16" x14ac:dyDescent="0.25">
      <c r="A106" s="26"/>
      <c r="B106" s="66"/>
      <c r="C106" s="58"/>
      <c r="D106" s="26"/>
      <c r="E106" s="74"/>
      <c r="F106" s="58"/>
      <c r="G106" s="26"/>
      <c r="H106" s="74"/>
      <c r="I106" s="58"/>
      <c r="J106" s="26"/>
      <c r="K106" s="74"/>
      <c r="L106" s="58"/>
      <c r="M106" s="26"/>
      <c r="N106" s="74"/>
      <c r="O106" s="58"/>
      <c r="P106" s="58"/>
    </row>
    <row r="107" spans="1:16" x14ac:dyDescent="0.25">
      <c r="A107" s="26"/>
      <c r="B107" s="66"/>
      <c r="C107" s="58"/>
      <c r="D107" s="26"/>
      <c r="E107" s="74"/>
      <c r="F107" s="58"/>
      <c r="G107" s="26"/>
      <c r="H107" s="74"/>
      <c r="I107" s="58"/>
      <c r="J107" s="26"/>
      <c r="K107" s="74"/>
      <c r="L107" s="58"/>
      <c r="M107" s="26"/>
      <c r="N107" s="74"/>
      <c r="O107" s="58"/>
      <c r="P107" s="58"/>
    </row>
    <row r="108" spans="1:16" x14ac:dyDescent="0.25">
      <c r="A108" s="26"/>
      <c r="B108" s="66"/>
      <c r="C108" s="58"/>
      <c r="D108" s="26"/>
      <c r="E108" s="74"/>
      <c r="F108" s="58"/>
      <c r="G108" s="26"/>
      <c r="H108" s="74"/>
      <c r="I108" s="58"/>
      <c r="J108" s="26"/>
      <c r="K108" s="74"/>
      <c r="L108" s="58"/>
      <c r="M108" s="26"/>
      <c r="N108" s="74"/>
      <c r="O108" s="58"/>
      <c r="P108" s="58"/>
    </row>
    <row r="109" spans="1:16" x14ac:dyDescent="0.25">
      <c r="A109" s="26"/>
      <c r="B109" s="66"/>
      <c r="C109" s="58"/>
      <c r="D109" s="26"/>
      <c r="E109" s="74"/>
      <c r="F109" s="58"/>
      <c r="G109" s="26"/>
      <c r="H109" s="74"/>
      <c r="I109" s="58"/>
      <c r="J109" s="26"/>
      <c r="K109" s="74"/>
      <c r="L109" s="58"/>
      <c r="M109" s="26"/>
      <c r="N109" s="74"/>
      <c r="O109" s="58"/>
      <c r="P109" s="58"/>
    </row>
    <row r="110" spans="1:16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26"/>
      <c r="N110" s="74"/>
      <c r="O110" s="58"/>
      <c r="P110" s="58"/>
    </row>
    <row r="111" spans="1:16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26"/>
      <c r="N111" s="74"/>
      <c r="O111" s="58"/>
      <c r="P111" s="58"/>
    </row>
    <row r="112" spans="1:16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26"/>
      <c r="N112" s="74"/>
      <c r="O112" s="58"/>
      <c r="P112" s="58"/>
    </row>
    <row r="113" spans="1:16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26"/>
      <c r="N113" s="74"/>
      <c r="O113" s="58"/>
      <c r="P113" s="58"/>
    </row>
    <row r="114" spans="1:16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26"/>
      <c r="N114" s="74"/>
      <c r="O114" s="58"/>
      <c r="P114" s="58"/>
    </row>
    <row r="115" spans="1:16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26"/>
      <c r="N115" s="74"/>
      <c r="O115" s="58"/>
      <c r="P115" s="58"/>
    </row>
    <row r="116" spans="1:16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26"/>
      <c r="N116" s="74"/>
      <c r="O116" s="58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26"/>
      <c r="N117" s="74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26"/>
      <c r="N118" s="74"/>
      <c r="O118" s="58"/>
      <c r="P118" s="58"/>
    </row>
    <row r="119" spans="1:16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26"/>
      <c r="N119" s="74"/>
      <c r="O119" s="58"/>
      <c r="P119" s="58"/>
    </row>
    <row r="120" spans="1:16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26"/>
      <c r="N120" s="74"/>
      <c r="O120" s="58"/>
      <c r="P120" s="58"/>
    </row>
    <row r="121" spans="1:16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26"/>
      <c r="N121" s="74"/>
      <c r="O121" s="58"/>
      <c r="P121" s="58"/>
    </row>
    <row r="122" spans="1:16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26"/>
      <c r="N122" s="74"/>
      <c r="O122" s="58"/>
      <c r="P122" s="58"/>
    </row>
    <row r="123" spans="1:16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26"/>
      <c r="N123" s="74"/>
      <c r="O123" s="58"/>
      <c r="P123" s="58"/>
    </row>
    <row r="124" spans="1:16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26"/>
      <c r="N124" s="74"/>
      <c r="O124" s="58"/>
      <c r="P124" s="58"/>
    </row>
    <row r="125" spans="1:16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26"/>
      <c r="N125" s="74"/>
      <c r="O125" s="58"/>
      <c r="P125" s="58"/>
    </row>
    <row r="126" spans="1:16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26"/>
      <c r="N126" s="74"/>
      <c r="O126" s="58"/>
      <c r="P126" s="58"/>
    </row>
    <row r="127" spans="1:16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26"/>
      <c r="N127" s="74"/>
      <c r="O127" s="58"/>
      <c r="P127" s="58"/>
    </row>
    <row r="128" spans="1:16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26"/>
      <c r="N128" s="74"/>
      <c r="O128" s="58"/>
      <c r="P128" s="58"/>
    </row>
    <row r="129" spans="1:16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26"/>
      <c r="N129" s="74"/>
      <c r="O129" s="58"/>
      <c r="P129" s="58"/>
    </row>
    <row r="130" spans="1:16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26"/>
      <c r="N130" s="74"/>
      <c r="O130" s="58"/>
      <c r="P130" s="58"/>
    </row>
    <row r="131" spans="1:16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26"/>
      <c r="N131" s="74"/>
      <c r="O131" s="58"/>
      <c r="P131" s="58"/>
    </row>
    <row r="132" spans="1:16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26"/>
      <c r="N132" s="74"/>
      <c r="O132" s="58"/>
      <c r="P132" s="58"/>
    </row>
    <row r="133" spans="1:16" x14ac:dyDescent="0.25">
      <c r="A133" s="26"/>
      <c r="B133" s="66"/>
      <c r="C133" s="58"/>
      <c r="D133" s="26"/>
      <c r="E133" s="74"/>
      <c r="F133" s="58"/>
      <c r="G133" s="26"/>
      <c r="H133" s="74"/>
      <c r="I133" s="58"/>
      <c r="J133" s="26"/>
      <c r="K133" s="74"/>
      <c r="L133" s="58"/>
      <c r="M133" s="26"/>
      <c r="N133" s="74"/>
      <c r="O133" s="58"/>
      <c r="P133" s="58"/>
    </row>
    <row r="134" spans="1:16" x14ac:dyDescent="0.25">
      <c r="A134" s="26"/>
      <c r="B134" s="66"/>
      <c r="C134" s="58"/>
      <c r="D134" s="26"/>
      <c r="E134" s="74"/>
      <c r="F134" s="58"/>
      <c r="G134" s="26"/>
      <c r="H134" s="74"/>
      <c r="I134" s="58"/>
      <c r="J134" s="26"/>
      <c r="K134" s="74"/>
      <c r="L134" s="58"/>
      <c r="M134" s="26"/>
      <c r="N134" s="74"/>
      <c r="O134" s="58"/>
      <c r="P134" s="58"/>
    </row>
    <row r="135" spans="1:16" x14ac:dyDescent="0.25">
      <c r="A135" s="26"/>
      <c r="B135" s="66"/>
      <c r="C135" s="58"/>
      <c r="D135" s="26"/>
      <c r="E135" s="74"/>
      <c r="F135" s="58"/>
      <c r="G135" s="26"/>
      <c r="H135" s="74"/>
      <c r="I135" s="58"/>
      <c r="J135" s="26"/>
      <c r="K135" s="74"/>
      <c r="L135" s="58"/>
      <c r="M135" s="26"/>
      <c r="N135" s="74"/>
      <c r="O135" s="58"/>
      <c r="P135" s="58"/>
    </row>
    <row r="136" spans="1:16" x14ac:dyDescent="0.25">
      <c r="A136" s="26"/>
      <c r="B136" s="66"/>
      <c r="C136" s="58"/>
      <c r="D136" s="26"/>
      <c r="E136" s="74"/>
      <c r="F136" s="58"/>
      <c r="G136" s="26"/>
      <c r="H136" s="74"/>
      <c r="I136" s="58"/>
      <c r="J136" s="26"/>
      <c r="K136" s="74"/>
      <c r="L136" s="58"/>
      <c r="M136" s="26"/>
      <c r="N136" s="74"/>
      <c r="O136" s="58"/>
      <c r="P136" s="58"/>
    </row>
    <row r="137" spans="1:16" x14ac:dyDescent="0.25">
      <c r="A137" s="26"/>
      <c r="B137" s="66"/>
      <c r="C137" s="58"/>
      <c r="D137" s="26"/>
      <c r="E137" s="74"/>
      <c r="F137" s="58"/>
      <c r="G137" s="26"/>
      <c r="H137" s="74"/>
      <c r="I137" s="58"/>
      <c r="J137" s="26"/>
      <c r="K137" s="74"/>
      <c r="L137" s="58"/>
      <c r="M137" s="26"/>
      <c r="N137" s="74"/>
      <c r="O137" s="58"/>
      <c r="P137" s="58"/>
    </row>
    <row r="138" spans="1:16" x14ac:dyDescent="0.25">
      <c r="A138" s="26"/>
      <c r="B138" s="66"/>
      <c r="C138" s="58"/>
      <c r="D138" s="26"/>
      <c r="E138" s="74"/>
      <c r="F138" s="58"/>
      <c r="G138" s="26"/>
      <c r="H138" s="74"/>
      <c r="I138" s="58"/>
      <c r="J138" s="26"/>
      <c r="K138" s="74"/>
      <c r="L138" s="58"/>
      <c r="M138" s="26"/>
      <c r="N138" s="74"/>
      <c r="O138" s="58"/>
      <c r="P138" s="58"/>
    </row>
    <row r="139" spans="1:16" x14ac:dyDescent="0.25">
      <c r="A139" s="26"/>
      <c r="B139" s="66"/>
      <c r="C139" s="58"/>
      <c r="D139" s="26"/>
      <c r="E139" s="74"/>
      <c r="F139" s="58"/>
      <c r="G139" s="26"/>
      <c r="H139" s="74"/>
      <c r="I139" s="58"/>
      <c r="J139" s="26"/>
      <c r="K139" s="74"/>
      <c r="L139" s="58"/>
      <c r="M139" s="26"/>
      <c r="N139" s="74"/>
      <c r="O139" s="58"/>
      <c r="P139" s="58"/>
    </row>
    <row r="140" spans="1:16" x14ac:dyDescent="0.25">
      <c r="A140" s="26"/>
      <c r="B140" s="66"/>
      <c r="C140" s="58"/>
      <c r="D140" s="26"/>
      <c r="E140" s="74"/>
      <c r="F140" s="58"/>
      <c r="G140" s="26"/>
      <c r="H140" s="74"/>
      <c r="I140" s="58"/>
      <c r="J140" s="26"/>
      <c r="K140" s="74"/>
      <c r="L140" s="58"/>
      <c r="M140" s="26"/>
      <c r="N140" s="74"/>
      <c r="O140" s="58"/>
      <c r="P140" s="58"/>
    </row>
    <row r="141" spans="1:16" x14ac:dyDescent="0.25">
      <c r="A141" s="26"/>
      <c r="B141" s="66"/>
      <c r="C141" s="58"/>
      <c r="D141" s="26"/>
      <c r="E141" s="74"/>
      <c r="F141" s="58"/>
      <c r="G141" s="26"/>
      <c r="H141" s="74"/>
      <c r="I141" s="58"/>
      <c r="J141" s="26"/>
      <c r="K141" s="74"/>
      <c r="L141" s="58"/>
      <c r="M141" s="26"/>
      <c r="N141" s="74"/>
      <c r="O141" s="58"/>
      <c r="P141" s="58"/>
    </row>
    <row r="142" spans="1:16" x14ac:dyDescent="0.25">
      <c r="A142" s="26"/>
      <c r="B142" s="66"/>
      <c r="C142" s="58"/>
      <c r="D142" s="26"/>
      <c r="E142" s="74"/>
      <c r="F142" s="58"/>
      <c r="G142" s="26"/>
      <c r="H142" s="74"/>
      <c r="I142" s="58"/>
      <c r="J142" s="26"/>
      <c r="K142" s="74"/>
      <c r="L142" s="58"/>
      <c r="M142" s="26"/>
      <c r="N142" s="74"/>
      <c r="O142" s="58"/>
      <c r="P142" s="58"/>
    </row>
    <row r="143" spans="1:16" x14ac:dyDescent="0.25">
      <c r="A143" s="26"/>
      <c r="B143" s="66"/>
      <c r="C143" s="58"/>
      <c r="D143" s="26"/>
      <c r="E143" s="74"/>
      <c r="F143" s="58"/>
      <c r="G143" s="26"/>
      <c r="H143" s="74"/>
      <c r="I143" s="58"/>
      <c r="J143" s="26"/>
      <c r="K143" s="74"/>
      <c r="L143" s="58"/>
      <c r="M143" s="26"/>
      <c r="N143" s="74"/>
      <c r="O143" s="58"/>
      <c r="P143" s="58"/>
    </row>
    <row r="144" spans="1:16" x14ac:dyDescent="0.25">
      <c r="A144" s="26"/>
      <c r="B144" s="66"/>
      <c r="C144" s="58"/>
      <c r="D144" s="26"/>
      <c r="E144" s="74"/>
      <c r="F144" s="58"/>
      <c r="G144" s="26"/>
      <c r="H144" s="74"/>
      <c r="I144" s="58"/>
      <c r="J144" s="26"/>
      <c r="K144" s="74"/>
      <c r="L144" s="58"/>
      <c r="M144" s="26"/>
      <c r="N144" s="74"/>
      <c r="O144" s="58"/>
      <c r="P144" s="58"/>
    </row>
    <row r="145" spans="1:16" x14ac:dyDescent="0.25">
      <c r="A145" s="26"/>
      <c r="B145" s="66"/>
      <c r="C145" s="58"/>
      <c r="D145" s="26"/>
      <c r="E145" s="74"/>
      <c r="F145" s="58"/>
      <c r="G145" s="26"/>
      <c r="H145" s="74"/>
      <c r="I145" s="58"/>
      <c r="J145" s="26"/>
      <c r="K145" s="74"/>
      <c r="L145" s="58"/>
      <c r="M145" s="26"/>
      <c r="N145" s="74"/>
      <c r="O145" s="58"/>
      <c r="P145" s="58"/>
    </row>
    <row r="146" spans="1:16" x14ac:dyDescent="0.25">
      <c r="A146" s="26"/>
      <c r="B146" s="66"/>
      <c r="C146" s="58"/>
      <c r="D146" s="26"/>
      <c r="E146" s="74"/>
      <c r="F146" s="58"/>
      <c r="G146" s="26"/>
      <c r="H146" s="74"/>
      <c r="I146" s="58"/>
      <c r="J146" s="26"/>
      <c r="K146" s="74"/>
      <c r="L146" s="58"/>
      <c r="M146" s="26"/>
      <c r="N146" s="74"/>
      <c r="O146" s="58"/>
      <c r="P146" s="58"/>
    </row>
    <row r="147" spans="1:16" x14ac:dyDescent="0.25">
      <c r="A147" s="26"/>
      <c r="B147" s="66"/>
      <c r="C147" s="58"/>
      <c r="D147" s="26"/>
      <c r="E147" s="74"/>
      <c r="F147" s="58"/>
      <c r="G147" s="26"/>
      <c r="H147" s="74"/>
      <c r="I147" s="58"/>
      <c r="J147" s="26"/>
      <c r="K147" s="74"/>
      <c r="L147" s="58"/>
      <c r="M147" s="26"/>
      <c r="N147" s="74"/>
      <c r="O147" s="58"/>
      <c r="P147" s="58"/>
    </row>
    <row r="148" spans="1:16" x14ac:dyDescent="0.25">
      <c r="A148" s="26"/>
      <c r="B148" s="66"/>
      <c r="C148" s="58"/>
      <c r="D148" s="26"/>
      <c r="E148" s="74"/>
      <c r="F148" s="58"/>
      <c r="G148" s="26"/>
      <c r="H148" s="74"/>
      <c r="I148" s="58"/>
      <c r="J148" s="26"/>
      <c r="K148" s="74"/>
      <c r="L148" s="58"/>
      <c r="M148" s="26"/>
      <c r="N148" s="74"/>
      <c r="O148" s="58"/>
      <c r="P148" s="58"/>
    </row>
    <row r="149" spans="1:16" x14ac:dyDescent="0.25">
      <c r="A149" s="26"/>
      <c r="B149" s="66"/>
      <c r="C149" s="58"/>
      <c r="D149" s="26"/>
      <c r="E149" s="74"/>
      <c r="F149" s="58"/>
      <c r="G149" s="26"/>
      <c r="H149" s="74"/>
      <c r="I149" s="58"/>
      <c r="J149" s="26"/>
      <c r="K149" s="74"/>
      <c r="L149" s="58"/>
      <c r="M149" s="26"/>
      <c r="N149" s="74"/>
      <c r="O149" s="58"/>
      <c r="P149" s="58"/>
    </row>
    <row r="150" spans="1:16" x14ac:dyDescent="0.25">
      <c r="A150" s="26"/>
      <c r="B150" s="26"/>
      <c r="C150" s="58"/>
      <c r="D150" s="26"/>
      <c r="E150" s="74"/>
      <c r="F150" s="58"/>
      <c r="G150" s="26"/>
      <c r="H150" s="58"/>
      <c r="I150" s="58"/>
      <c r="J150" s="26"/>
      <c r="K150" s="58"/>
      <c r="L150" s="58"/>
      <c r="M150" s="58"/>
      <c r="N150" s="58"/>
      <c r="O150" s="58"/>
      <c r="P150" s="58"/>
    </row>
    <row r="151" spans="1:16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  <c r="P151" s="58"/>
    </row>
    <row r="152" spans="1:16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  <c r="P152" s="58"/>
    </row>
    <row r="153" spans="1:16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  <c r="P153" s="58"/>
    </row>
    <row r="154" spans="1:16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  <c r="P154" s="58"/>
    </row>
    <row r="155" spans="1:16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  <c r="P155" s="58"/>
    </row>
    <row r="156" spans="1:16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  <c r="P156" s="58"/>
    </row>
    <row r="157" spans="1:16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  <c r="P157" s="58"/>
    </row>
    <row r="158" spans="1:16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  <c r="P158" s="58"/>
    </row>
    <row r="159" spans="1:16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  <c r="P159" s="58"/>
    </row>
    <row r="160" spans="1:16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  <c r="P160" s="58"/>
    </row>
    <row r="161" spans="1:16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  <c r="P161" s="58"/>
    </row>
    <row r="162" spans="1:16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  <c r="P162" s="58"/>
    </row>
    <row r="163" spans="1:16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  <c r="P163" s="58"/>
    </row>
    <row r="164" spans="1:16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6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6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6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6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6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6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6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6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6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6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6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6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D535" s="26"/>
      <c r="E535" s="58"/>
      <c r="F535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C5" workbookViewId="0">
      <pane ySplit="3" topLeftCell="A58" activePane="bottomLeft" state="frozen"/>
      <selection activeCell="A5" sqref="A5"/>
      <selection pane="bottomLeft" activeCell="E58" sqref="E58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2" t="s">
        <v>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4" t="s">
        <v>11</v>
      </c>
      <c r="M1" s="12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5" t="s">
        <v>8</v>
      </c>
      <c r="D3" s="12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6" t="s">
        <v>0</v>
      </c>
      <c r="B5" s="126"/>
      <c r="C5" s="126"/>
      <c r="D5" s="127" t="s">
        <v>4</v>
      </c>
      <c r="E5" s="127"/>
      <c r="F5" s="127"/>
      <c r="G5" s="128" t="s">
        <v>5</v>
      </c>
      <c r="H5" s="128"/>
      <c r="I5" s="128"/>
      <c r="J5" s="133" t="s">
        <v>6</v>
      </c>
      <c r="K5" s="133"/>
      <c r="L5" s="133"/>
      <c r="M5" s="121" t="s">
        <v>12</v>
      </c>
      <c r="N5" s="121"/>
      <c r="O5" s="121"/>
      <c r="Q5" s="130" t="s">
        <v>13</v>
      </c>
      <c r="R5" s="130"/>
    </row>
    <row r="6" spans="1:18" x14ac:dyDescent="0.25">
      <c r="A6" s="8">
        <f>SUBTOTAL(3,A8:A120)</f>
        <v>57</v>
      </c>
      <c r="B6" s="8">
        <f>SUBTOTAL(9,B8:B120)</f>
        <v>26525</v>
      </c>
      <c r="C6" s="35">
        <v>43191</v>
      </c>
      <c r="D6" s="8">
        <f>SUBTOTAL(3,D8:D121)</f>
        <v>68</v>
      </c>
      <c r="E6" s="1">
        <f>SUBTOTAL(9,E8:E121)</f>
        <v>40550</v>
      </c>
      <c r="F6" s="38">
        <v>43198</v>
      </c>
      <c r="G6" s="8">
        <f>SUBTOTAL(3,G8:G120)</f>
        <v>44</v>
      </c>
      <c r="H6" s="1">
        <f>SUBTOTAL(9,H8:H120)</f>
        <v>21350</v>
      </c>
      <c r="I6" s="39">
        <v>43205</v>
      </c>
      <c r="J6" s="8">
        <f>SUBTOTAL(3,J8:J110)</f>
        <v>31</v>
      </c>
      <c r="K6" s="1">
        <f>SUBTOTAL(9,K8:K110)</f>
        <v>21650</v>
      </c>
      <c r="L6" s="63">
        <v>43212</v>
      </c>
      <c r="M6" s="1">
        <f>SUBTOTAL(3,M8:M120)</f>
        <v>36</v>
      </c>
      <c r="N6" s="1">
        <f>SUBTOTAL(9,N8:N120)</f>
        <v>20450</v>
      </c>
      <c r="O6" s="86">
        <v>43219</v>
      </c>
      <c r="Q6" s="30">
        <f>+A6+D6+G6+J6+M6</f>
        <v>236</v>
      </c>
      <c r="R6" s="29">
        <f>+B6+E6+H6+K6+N6</f>
        <v>130525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16233</v>
      </c>
      <c r="B8" s="49">
        <v>200</v>
      </c>
      <c r="C8" s="17" t="s">
        <v>111</v>
      </c>
      <c r="D8" s="13">
        <v>16290</v>
      </c>
      <c r="E8" s="70">
        <v>800</v>
      </c>
      <c r="F8" s="14" t="s">
        <v>104</v>
      </c>
      <c r="G8" s="11">
        <v>16358</v>
      </c>
      <c r="H8" s="67">
        <v>400</v>
      </c>
      <c r="I8" s="12" t="s">
        <v>104</v>
      </c>
      <c r="J8" s="61">
        <v>16402</v>
      </c>
      <c r="K8" s="71">
        <v>400</v>
      </c>
      <c r="L8" s="62" t="s">
        <v>209</v>
      </c>
      <c r="M8" s="75">
        <v>16433</v>
      </c>
      <c r="N8" s="110">
        <v>400</v>
      </c>
      <c r="O8" s="15"/>
      <c r="Q8" s="32"/>
      <c r="R8" s="32"/>
    </row>
    <row r="9" spans="1:18" x14ac:dyDescent="0.25">
      <c r="A9" s="16">
        <v>16334</v>
      </c>
      <c r="B9" s="49">
        <v>400</v>
      </c>
      <c r="C9" s="17" t="s">
        <v>31</v>
      </c>
      <c r="D9" s="13"/>
      <c r="E9" s="70"/>
      <c r="F9" s="14" t="s">
        <v>20</v>
      </c>
      <c r="G9" s="11"/>
      <c r="H9" s="67"/>
      <c r="I9" s="12" t="s">
        <v>15</v>
      </c>
      <c r="J9" s="61"/>
      <c r="K9" s="71"/>
      <c r="L9" s="62" t="s">
        <v>15</v>
      </c>
      <c r="M9" s="75">
        <v>16434</v>
      </c>
      <c r="N9" s="73">
        <v>200</v>
      </c>
      <c r="O9" s="15"/>
    </row>
    <row r="10" spans="1:18" x14ac:dyDescent="0.25">
      <c r="A10" s="16"/>
      <c r="B10" s="49"/>
      <c r="C10" s="17" t="s">
        <v>15</v>
      </c>
      <c r="D10" s="13">
        <v>16291</v>
      </c>
      <c r="E10" s="70">
        <v>1000</v>
      </c>
      <c r="F10" s="14" t="s">
        <v>177</v>
      </c>
      <c r="G10" s="11">
        <v>16359</v>
      </c>
      <c r="H10" s="67">
        <v>600</v>
      </c>
      <c r="I10" s="12" t="s">
        <v>111</v>
      </c>
      <c r="J10" s="61">
        <v>16403</v>
      </c>
      <c r="K10" s="71">
        <v>400</v>
      </c>
      <c r="L10" s="62"/>
      <c r="M10" s="75">
        <v>16435</v>
      </c>
      <c r="N10" s="73">
        <v>1600</v>
      </c>
      <c r="O10" s="15" t="s">
        <v>177</v>
      </c>
    </row>
    <row r="11" spans="1:18" x14ac:dyDescent="0.25">
      <c r="A11" s="16">
        <v>16335</v>
      </c>
      <c r="B11" s="49">
        <v>400</v>
      </c>
      <c r="C11" s="17"/>
      <c r="D11" s="13"/>
      <c r="E11" s="70"/>
      <c r="F11" s="14" t="s">
        <v>69</v>
      </c>
      <c r="G11" s="11">
        <v>16360</v>
      </c>
      <c r="H11" s="67">
        <v>200</v>
      </c>
      <c r="I11" s="12" t="s">
        <v>111</v>
      </c>
      <c r="J11" s="61">
        <v>16404</v>
      </c>
      <c r="K11" s="71">
        <v>200</v>
      </c>
      <c r="L11" s="62"/>
      <c r="M11" s="75"/>
      <c r="N11" s="73"/>
      <c r="O11" s="15" t="s">
        <v>20</v>
      </c>
    </row>
    <row r="12" spans="1:18" x14ac:dyDescent="0.25">
      <c r="A12" s="16">
        <v>16336</v>
      </c>
      <c r="B12" s="49">
        <v>800</v>
      </c>
      <c r="C12" s="17" t="s">
        <v>187</v>
      </c>
      <c r="D12" s="13">
        <v>16292</v>
      </c>
      <c r="E12" s="70">
        <v>600</v>
      </c>
      <c r="F12" s="14" t="s">
        <v>35</v>
      </c>
      <c r="G12" s="11">
        <v>16361</v>
      </c>
      <c r="H12" s="67">
        <v>300</v>
      </c>
      <c r="I12" s="12"/>
      <c r="J12" s="61">
        <v>16405</v>
      </c>
      <c r="K12" s="71">
        <v>4400</v>
      </c>
      <c r="L12" s="62" t="s">
        <v>210</v>
      </c>
      <c r="M12" s="75">
        <v>16436</v>
      </c>
      <c r="N12" s="73">
        <v>400</v>
      </c>
      <c r="O12" s="15" t="s">
        <v>224</v>
      </c>
    </row>
    <row r="13" spans="1:18" x14ac:dyDescent="0.25">
      <c r="A13" s="16"/>
      <c r="B13" s="49"/>
      <c r="C13" s="17" t="s">
        <v>20</v>
      </c>
      <c r="D13" s="13"/>
      <c r="E13" s="70"/>
      <c r="F13" s="14" t="s">
        <v>15</v>
      </c>
      <c r="G13" s="11">
        <v>16362</v>
      </c>
      <c r="H13" s="67">
        <v>400</v>
      </c>
      <c r="I13" s="12" t="s">
        <v>130</v>
      </c>
      <c r="J13" s="61"/>
      <c r="K13" s="71"/>
      <c r="L13" s="62" t="s">
        <v>38</v>
      </c>
      <c r="M13" s="75">
        <v>16437</v>
      </c>
      <c r="N13" s="73">
        <v>1400</v>
      </c>
      <c r="O13" s="15" t="s">
        <v>225</v>
      </c>
    </row>
    <row r="14" spans="1:18" x14ac:dyDescent="0.25">
      <c r="A14" s="16">
        <v>16337</v>
      </c>
      <c r="B14" s="49">
        <v>300</v>
      </c>
      <c r="C14" s="17"/>
      <c r="D14" s="13">
        <v>16293</v>
      </c>
      <c r="E14" s="70">
        <v>900</v>
      </c>
      <c r="F14" s="14" t="s">
        <v>35</v>
      </c>
      <c r="G14" s="11"/>
      <c r="H14" s="67"/>
      <c r="I14" s="12" t="s">
        <v>15</v>
      </c>
      <c r="J14" s="61"/>
      <c r="K14" s="71"/>
      <c r="L14" s="62" t="s">
        <v>211</v>
      </c>
      <c r="M14" s="75"/>
      <c r="N14" s="73"/>
      <c r="O14" s="114" t="s">
        <v>226</v>
      </c>
    </row>
    <row r="15" spans="1:18" x14ac:dyDescent="0.25">
      <c r="A15" s="16">
        <v>16338</v>
      </c>
      <c r="B15" s="49">
        <v>400</v>
      </c>
      <c r="C15" s="17"/>
      <c r="D15" s="13"/>
      <c r="E15" s="70"/>
      <c r="F15" s="14" t="s">
        <v>23</v>
      </c>
      <c r="G15" s="11">
        <v>16363</v>
      </c>
      <c r="H15" s="67">
        <v>400</v>
      </c>
      <c r="I15" s="12" t="s">
        <v>130</v>
      </c>
      <c r="J15" s="61">
        <v>16406</v>
      </c>
      <c r="K15" s="71">
        <v>400</v>
      </c>
      <c r="L15" s="92" t="s">
        <v>212</v>
      </c>
      <c r="M15" s="75"/>
      <c r="N15" s="73"/>
      <c r="O15" s="15" t="s">
        <v>227</v>
      </c>
    </row>
    <row r="16" spans="1:18" x14ac:dyDescent="0.25">
      <c r="A16" s="16">
        <v>16339</v>
      </c>
      <c r="B16" s="49">
        <v>500</v>
      </c>
      <c r="C16" s="17" t="s">
        <v>104</v>
      </c>
      <c r="D16" s="13">
        <v>16294</v>
      </c>
      <c r="E16" s="70">
        <v>100</v>
      </c>
      <c r="F16" s="14"/>
      <c r="G16" s="11"/>
      <c r="H16" s="67"/>
      <c r="I16" s="12" t="s">
        <v>15</v>
      </c>
      <c r="J16" s="61">
        <v>16407</v>
      </c>
      <c r="K16" s="71">
        <v>200</v>
      </c>
      <c r="L16" s="62"/>
      <c r="M16" s="75">
        <v>16438</v>
      </c>
      <c r="N16" s="73">
        <v>600</v>
      </c>
      <c r="O16" s="15" t="s">
        <v>130</v>
      </c>
    </row>
    <row r="17" spans="1:15" x14ac:dyDescent="0.25">
      <c r="A17" s="16"/>
      <c r="B17" s="49"/>
      <c r="C17" s="17" t="s">
        <v>69</v>
      </c>
      <c r="D17" s="13">
        <v>16295</v>
      </c>
      <c r="E17" s="70">
        <v>300</v>
      </c>
      <c r="F17" s="14" t="s">
        <v>192</v>
      </c>
      <c r="G17" s="11">
        <v>16364</v>
      </c>
      <c r="H17" s="67">
        <v>200</v>
      </c>
      <c r="I17" s="12" t="s">
        <v>203</v>
      </c>
      <c r="J17" s="61">
        <v>16408</v>
      </c>
      <c r="K17" s="71">
        <v>300</v>
      </c>
      <c r="L17" s="62"/>
      <c r="M17" s="75"/>
      <c r="N17" s="73"/>
      <c r="O17" s="15" t="s">
        <v>23</v>
      </c>
    </row>
    <row r="18" spans="1:15" x14ac:dyDescent="0.25">
      <c r="A18" s="16">
        <v>16340</v>
      </c>
      <c r="B18" s="49">
        <v>400</v>
      </c>
      <c r="C18" s="17"/>
      <c r="D18" s="13">
        <v>16296</v>
      </c>
      <c r="E18" s="70">
        <v>4000</v>
      </c>
      <c r="F18" s="14" t="s">
        <v>188</v>
      </c>
      <c r="G18" s="11">
        <v>16365</v>
      </c>
      <c r="H18" s="67"/>
      <c r="I18" s="12" t="s">
        <v>27</v>
      </c>
      <c r="J18" s="61">
        <v>16409</v>
      </c>
      <c r="K18" s="71">
        <v>400</v>
      </c>
      <c r="L18" s="62"/>
      <c r="M18" s="75">
        <v>16439</v>
      </c>
      <c r="N18" s="73">
        <v>50</v>
      </c>
      <c r="O18" s="15" t="s">
        <v>110</v>
      </c>
    </row>
    <row r="19" spans="1:15" x14ac:dyDescent="0.25">
      <c r="A19" s="16">
        <v>16341</v>
      </c>
      <c r="B19" s="49">
        <v>400</v>
      </c>
      <c r="C19" s="17" t="s">
        <v>111</v>
      </c>
      <c r="D19" s="13"/>
      <c r="E19" s="70"/>
      <c r="F19" s="33" t="s">
        <v>189</v>
      </c>
      <c r="G19" s="11">
        <v>16366</v>
      </c>
      <c r="H19" s="67">
        <v>1600</v>
      </c>
      <c r="I19" s="12" t="s">
        <v>177</v>
      </c>
      <c r="J19" s="61">
        <v>16410</v>
      </c>
      <c r="K19" s="71">
        <v>400</v>
      </c>
      <c r="L19" s="62"/>
      <c r="M19" s="75">
        <v>16440</v>
      </c>
      <c r="N19" s="73">
        <v>50</v>
      </c>
      <c r="O19" s="15" t="s">
        <v>110</v>
      </c>
    </row>
    <row r="20" spans="1:15" x14ac:dyDescent="0.25">
      <c r="A20" s="16">
        <v>16342</v>
      </c>
      <c r="B20" s="49">
        <v>200</v>
      </c>
      <c r="C20" s="17"/>
      <c r="D20" s="13"/>
      <c r="E20" s="70"/>
      <c r="F20" s="14" t="s">
        <v>190</v>
      </c>
      <c r="G20" s="11"/>
      <c r="H20" s="67"/>
      <c r="I20" s="12" t="s">
        <v>20</v>
      </c>
      <c r="J20" s="61">
        <v>16411</v>
      </c>
      <c r="K20" s="71">
        <v>400</v>
      </c>
      <c r="L20" s="62" t="s">
        <v>213</v>
      </c>
      <c r="M20" s="75">
        <v>16441</v>
      </c>
      <c r="N20" s="73">
        <v>1000</v>
      </c>
      <c r="O20" s="15" t="s">
        <v>177</v>
      </c>
    </row>
    <row r="21" spans="1:15" x14ac:dyDescent="0.25">
      <c r="A21" s="16">
        <v>16343</v>
      </c>
      <c r="B21" s="49">
        <v>400</v>
      </c>
      <c r="C21" s="17"/>
      <c r="D21" s="13">
        <v>16297</v>
      </c>
      <c r="E21" s="70">
        <v>600</v>
      </c>
      <c r="F21" s="14" t="s">
        <v>191</v>
      </c>
      <c r="G21" s="11">
        <v>16367</v>
      </c>
      <c r="H21" s="67">
        <v>2200</v>
      </c>
      <c r="I21" s="12" t="s">
        <v>59</v>
      </c>
      <c r="J21" s="61">
        <v>16412</v>
      </c>
      <c r="K21" s="71"/>
      <c r="L21" s="62" t="s">
        <v>27</v>
      </c>
      <c r="M21" s="75"/>
      <c r="N21" s="73"/>
      <c r="O21" s="15" t="s">
        <v>228</v>
      </c>
    </row>
    <row r="22" spans="1:15" x14ac:dyDescent="0.25">
      <c r="A22" s="16">
        <v>16344</v>
      </c>
      <c r="B22" s="49">
        <v>800</v>
      </c>
      <c r="C22" s="17" t="s">
        <v>130</v>
      </c>
      <c r="D22" s="13"/>
      <c r="E22" s="70"/>
      <c r="F22" s="14" t="s">
        <v>23</v>
      </c>
      <c r="G22" s="11"/>
      <c r="H22" s="67"/>
      <c r="I22" s="12" t="s">
        <v>15</v>
      </c>
      <c r="J22" s="61">
        <v>16413</v>
      </c>
      <c r="K22" s="71">
        <v>450</v>
      </c>
      <c r="L22" s="62" t="s">
        <v>214</v>
      </c>
      <c r="M22" s="75">
        <v>16442</v>
      </c>
      <c r="N22" s="73">
        <v>600</v>
      </c>
      <c r="O22" s="15" t="s">
        <v>155</v>
      </c>
    </row>
    <row r="23" spans="1:15" x14ac:dyDescent="0.25">
      <c r="A23" s="16"/>
      <c r="B23" s="49"/>
      <c r="C23" s="17" t="s">
        <v>20</v>
      </c>
      <c r="D23" s="13">
        <v>16298</v>
      </c>
      <c r="E23" s="70"/>
      <c r="F23" s="14" t="s">
        <v>92</v>
      </c>
      <c r="G23" s="11"/>
      <c r="H23" s="67"/>
      <c r="I23" s="12" t="s">
        <v>73</v>
      </c>
      <c r="J23" s="61">
        <v>16414</v>
      </c>
      <c r="K23" s="71">
        <v>1000</v>
      </c>
      <c r="L23" s="62" t="s">
        <v>215</v>
      </c>
      <c r="M23" s="75">
        <v>16443</v>
      </c>
      <c r="N23" s="73">
        <v>300</v>
      </c>
      <c r="O23" s="15" t="s">
        <v>213</v>
      </c>
    </row>
    <row r="24" spans="1:15" x14ac:dyDescent="0.25">
      <c r="A24" s="16">
        <v>16345</v>
      </c>
      <c r="B24" s="49">
        <v>400</v>
      </c>
      <c r="C24" s="17" t="s">
        <v>30</v>
      </c>
      <c r="D24" s="13"/>
      <c r="E24" s="70"/>
      <c r="F24" s="14" t="s">
        <v>15</v>
      </c>
      <c r="G24" s="11">
        <v>16368</v>
      </c>
      <c r="H24" s="67">
        <v>300</v>
      </c>
      <c r="I24" s="12"/>
      <c r="J24" s="61"/>
      <c r="K24" s="71"/>
      <c r="L24" s="62" t="s">
        <v>216</v>
      </c>
      <c r="M24" s="75">
        <v>16444</v>
      </c>
      <c r="N24" s="73">
        <v>400</v>
      </c>
      <c r="O24" s="15"/>
    </row>
    <row r="25" spans="1:15" x14ac:dyDescent="0.25">
      <c r="A25" s="16">
        <v>16346</v>
      </c>
      <c r="B25" s="49">
        <v>50</v>
      </c>
      <c r="C25" s="17" t="s">
        <v>110</v>
      </c>
      <c r="D25" s="13"/>
      <c r="E25" s="70"/>
      <c r="F25" s="14" t="s">
        <v>202</v>
      </c>
      <c r="G25" s="11">
        <v>16369</v>
      </c>
      <c r="H25" s="67">
        <v>600</v>
      </c>
      <c r="I25" s="12" t="s">
        <v>204</v>
      </c>
      <c r="J25" s="61"/>
      <c r="K25" s="71"/>
      <c r="L25" s="62" t="s">
        <v>217</v>
      </c>
      <c r="M25" s="75">
        <v>16445</v>
      </c>
      <c r="N25" s="73">
        <v>1200</v>
      </c>
      <c r="O25" s="15" t="s">
        <v>35</v>
      </c>
    </row>
    <row r="26" spans="1:15" x14ac:dyDescent="0.25">
      <c r="A26" s="16">
        <v>16347</v>
      </c>
      <c r="B26" s="49">
        <v>800</v>
      </c>
      <c r="C26" s="17" t="s">
        <v>24</v>
      </c>
      <c r="D26" s="13">
        <v>16299</v>
      </c>
      <c r="E26" s="70">
        <v>250</v>
      </c>
      <c r="F26" s="14" t="s">
        <v>111</v>
      </c>
      <c r="G26" s="11"/>
      <c r="H26" s="67"/>
      <c r="I26" s="12" t="s">
        <v>205</v>
      </c>
      <c r="J26" s="61">
        <v>16415</v>
      </c>
      <c r="K26" s="71">
        <v>100</v>
      </c>
      <c r="L26" s="62" t="s">
        <v>84</v>
      </c>
      <c r="M26" s="75"/>
      <c r="N26" s="73"/>
      <c r="O26" s="15" t="s">
        <v>20</v>
      </c>
    </row>
    <row r="27" spans="1:15" x14ac:dyDescent="0.25">
      <c r="A27" s="16"/>
      <c r="B27" s="49"/>
      <c r="C27" s="17" t="s">
        <v>20</v>
      </c>
      <c r="D27" s="13">
        <v>16300</v>
      </c>
      <c r="E27" s="70">
        <v>800</v>
      </c>
      <c r="F27" s="14" t="s">
        <v>104</v>
      </c>
      <c r="G27" s="11"/>
      <c r="H27" s="67"/>
      <c r="I27" s="12" t="s">
        <v>57</v>
      </c>
      <c r="J27" s="61">
        <v>16416</v>
      </c>
      <c r="K27" s="71">
        <v>800</v>
      </c>
      <c r="L27" s="62" t="s">
        <v>218</v>
      </c>
      <c r="M27" s="75">
        <v>16446</v>
      </c>
      <c r="N27" s="73">
        <v>300</v>
      </c>
      <c r="O27" s="31" t="s">
        <v>111</v>
      </c>
    </row>
    <row r="28" spans="1:15" x14ac:dyDescent="0.25">
      <c r="A28" s="16">
        <v>16248</v>
      </c>
      <c r="B28" s="49">
        <v>800</v>
      </c>
      <c r="C28" s="17" t="s">
        <v>130</v>
      </c>
      <c r="D28" s="13"/>
      <c r="E28" s="70"/>
      <c r="F28" s="14" t="s">
        <v>20</v>
      </c>
      <c r="G28" s="11">
        <v>16370</v>
      </c>
      <c r="H28" s="67">
        <v>200</v>
      </c>
      <c r="I28" s="12"/>
      <c r="J28" s="61"/>
      <c r="K28" s="71"/>
      <c r="L28" s="62" t="s">
        <v>38</v>
      </c>
      <c r="M28" s="75">
        <v>16447</v>
      </c>
      <c r="N28" s="73">
        <v>600</v>
      </c>
      <c r="O28" s="15" t="s">
        <v>229</v>
      </c>
    </row>
    <row r="29" spans="1:15" x14ac:dyDescent="0.25">
      <c r="A29" s="16"/>
      <c r="B29" s="49"/>
      <c r="C29" s="17" t="s">
        <v>20</v>
      </c>
      <c r="D29" s="13"/>
      <c r="E29" s="70"/>
      <c r="F29" s="14" t="s">
        <v>192</v>
      </c>
      <c r="G29" s="11">
        <v>16371</v>
      </c>
      <c r="H29" s="67">
        <v>50</v>
      </c>
      <c r="I29" s="12" t="s">
        <v>40</v>
      </c>
      <c r="J29" s="61">
        <v>16417</v>
      </c>
      <c r="K29" s="71">
        <v>400</v>
      </c>
      <c r="L29" s="62"/>
      <c r="M29" s="75">
        <v>16448</v>
      </c>
      <c r="N29" s="73">
        <v>400</v>
      </c>
      <c r="O29" s="15" t="s">
        <v>213</v>
      </c>
    </row>
    <row r="30" spans="1:15" x14ac:dyDescent="0.25">
      <c r="A30" s="16">
        <v>16249</v>
      </c>
      <c r="B30" s="49">
        <v>400</v>
      </c>
      <c r="C30" s="17"/>
      <c r="D30" s="13">
        <v>16301</v>
      </c>
      <c r="E30" s="70">
        <v>800</v>
      </c>
      <c r="F30" s="14" t="s">
        <v>193</v>
      </c>
      <c r="G30" s="11">
        <v>16372</v>
      </c>
      <c r="H30" s="67">
        <v>200</v>
      </c>
      <c r="I30" s="12" t="s">
        <v>111</v>
      </c>
      <c r="J30" s="61">
        <v>16418</v>
      </c>
      <c r="K30" s="71">
        <v>400</v>
      </c>
      <c r="L30" s="62"/>
      <c r="M30" s="75">
        <v>16449</v>
      </c>
      <c r="N30" s="73">
        <v>800</v>
      </c>
      <c r="O30" s="15" t="s">
        <v>230</v>
      </c>
    </row>
    <row r="31" spans="1:15" x14ac:dyDescent="0.25">
      <c r="A31" s="16">
        <v>16250</v>
      </c>
      <c r="B31" s="49">
        <v>400</v>
      </c>
      <c r="C31" s="17" t="s">
        <v>111</v>
      </c>
      <c r="D31" s="13"/>
      <c r="E31" s="70"/>
      <c r="F31" s="14" t="s">
        <v>194</v>
      </c>
      <c r="G31" s="11">
        <v>16373</v>
      </c>
      <c r="H31" s="67">
        <v>400</v>
      </c>
      <c r="I31" s="12" t="s">
        <v>206</v>
      </c>
      <c r="J31" s="61">
        <v>16419</v>
      </c>
      <c r="K31" s="71">
        <v>800</v>
      </c>
      <c r="L31" s="62" t="s">
        <v>130</v>
      </c>
      <c r="M31" s="75"/>
      <c r="N31" s="73"/>
      <c r="O31" s="15" t="s">
        <v>20</v>
      </c>
    </row>
    <row r="32" spans="1:15" x14ac:dyDescent="0.25">
      <c r="A32" s="16">
        <v>16251</v>
      </c>
      <c r="B32" s="49">
        <v>600</v>
      </c>
      <c r="C32" s="17" t="s">
        <v>104</v>
      </c>
      <c r="D32" s="13">
        <v>16302</v>
      </c>
      <c r="E32" s="70">
        <v>250</v>
      </c>
      <c r="F32" s="14"/>
      <c r="G32" s="11"/>
      <c r="H32" s="67"/>
      <c r="I32" s="12" t="s">
        <v>15</v>
      </c>
      <c r="J32" s="61"/>
      <c r="K32" s="71"/>
      <c r="L32" s="62" t="s">
        <v>38</v>
      </c>
      <c r="M32" s="75">
        <v>16450</v>
      </c>
      <c r="N32" s="73">
        <v>300</v>
      </c>
      <c r="O32" s="15"/>
    </row>
    <row r="33" spans="1:15" x14ac:dyDescent="0.25">
      <c r="A33" s="16"/>
      <c r="B33" s="49"/>
      <c r="C33" s="17" t="s">
        <v>23</v>
      </c>
      <c r="D33" s="13">
        <v>16303</v>
      </c>
      <c r="E33" s="70">
        <v>50</v>
      </c>
      <c r="F33" s="14" t="s">
        <v>110</v>
      </c>
      <c r="G33" s="11">
        <v>16374</v>
      </c>
      <c r="H33" s="67">
        <v>400</v>
      </c>
      <c r="I33" s="12"/>
      <c r="J33" s="61">
        <v>16420</v>
      </c>
      <c r="K33" s="71">
        <v>400</v>
      </c>
      <c r="L33" s="62" t="s">
        <v>111</v>
      </c>
      <c r="M33" s="75">
        <v>16451</v>
      </c>
      <c r="N33" s="73">
        <v>1900</v>
      </c>
      <c r="O33" s="15" t="s">
        <v>231</v>
      </c>
    </row>
    <row r="34" spans="1:15" x14ac:dyDescent="0.25">
      <c r="A34" s="16">
        <v>16252</v>
      </c>
      <c r="B34" s="49">
        <v>400</v>
      </c>
      <c r="C34" s="17"/>
      <c r="D34" s="13">
        <v>16304</v>
      </c>
      <c r="E34" s="70">
        <v>400</v>
      </c>
      <c r="F34" s="14"/>
      <c r="G34" s="11">
        <v>16375</v>
      </c>
      <c r="H34" s="67">
        <v>200</v>
      </c>
      <c r="I34" s="12"/>
      <c r="J34" s="61">
        <v>16421</v>
      </c>
      <c r="K34" s="71">
        <v>500</v>
      </c>
      <c r="L34" s="62" t="s">
        <v>219</v>
      </c>
      <c r="M34" s="75"/>
      <c r="N34" s="73"/>
      <c r="O34" s="31" t="s">
        <v>232</v>
      </c>
    </row>
    <row r="35" spans="1:15" x14ac:dyDescent="0.25">
      <c r="A35" s="16">
        <v>16253</v>
      </c>
      <c r="B35" s="49">
        <v>400</v>
      </c>
      <c r="C35" s="17"/>
      <c r="D35" s="13">
        <v>16305</v>
      </c>
      <c r="E35" s="70">
        <v>1600</v>
      </c>
      <c r="F35" s="14" t="s">
        <v>177</v>
      </c>
      <c r="G35" s="11">
        <v>16376</v>
      </c>
      <c r="H35" s="67">
        <v>400</v>
      </c>
      <c r="I35" s="12"/>
      <c r="J35" s="61">
        <v>16422</v>
      </c>
      <c r="K35" s="71">
        <v>400</v>
      </c>
      <c r="L35" s="62" t="s">
        <v>191</v>
      </c>
      <c r="M35" s="75"/>
      <c r="N35" s="73"/>
      <c r="O35" s="15" t="s">
        <v>233</v>
      </c>
    </row>
    <row r="36" spans="1:15" x14ac:dyDescent="0.25">
      <c r="A36" s="16">
        <v>16254</v>
      </c>
      <c r="B36" s="49">
        <v>300</v>
      </c>
      <c r="C36" s="17" t="s">
        <v>111</v>
      </c>
      <c r="D36" s="13"/>
      <c r="E36" s="70"/>
      <c r="F36" s="14" t="s">
        <v>20</v>
      </c>
      <c r="G36" s="11">
        <v>16377</v>
      </c>
      <c r="H36" s="67">
        <v>2000</v>
      </c>
      <c r="I36" s="12" t="s">
        <v>207</v>
      </c>
      <c r="J36" s="61"/>
      <c r="K36" s="71"/>
      <c r="L36" s="62" t="s">
        <v>15</v>
      </c>
      <c r="M36" s="75"/>
      <c r="N36" s="73"/>
      <c r="O36" s="15" t="s">
        <v>234</v>
      </c>
    </row>
    <row r="37" spans="1:15" x14ac:dyDescent="0.25">
      <c r="A37" s="16">
        <v>16255</v>
      </c>
      <c r="B37" s="49">
        <v>400</v>
      </c>
      <c r="C37" s="17"/>
      <c r="D37" s="13">
        <v>16306</v>
      </c>
      <c r="E37" s="70">
        <v>400</v>
      </c>
      <c r="F37" s="14"/>
      <c r="G37" s="11"/>
      <c r="H37" s="67"/>
      <c r="I37" s="12" t="s">
        <v>20</v>
      </c>
      <c r="J37" s="61">
        <v>16423</v>
      </c>
      <c r="K37" s="71">
        <v>1200</v>
      </c>
      <c r="L37" s="62" t="s">
        <v>35</v>
      </c>
      <c r="M37" s="75">
        <v>16452</v>
      </c>
      <c r="N37" s="73">
        <v>1200</v>
      </c>
      <c r="O37" s="15" t="s">
        <v>208</v>
      </c>
    </row>
    <row r="38" spans="1:15" x14ac:dyDescent="0.25">
      <c r="A38" s="16">
        <v>16256</v>
      </c>
      <c r="B38" s="49">
        <v>200</v>
      </c>
      <c r="C38" s="17" t="s">
        <v>213</v>
      </c>
      <c r="D38" s="13">
        <v>16307</v>
      </c>
      <c r="E38" s="70">
        <v>400</v>
      </c>
      <c r="F38" s="14" t="s">
        <v>24</v>
      </c>
      <c r="G38" s="11">
        <v>16378</v>
      </c>
      <c r="H38" s="67">
        <v>200</v>
      </c>
      <c r="I38" s="12"/>
      <c r="J38" s="61"/>
      <c r="K38" s="71"/>
      <c r="L38" s="62" t="s">
        <v>38</v>
      </c>
      <c r="M38" s="75"/>
      <c r="N38" s="73"/>
      <c r="O38" s="15" t="s">
        <v>20</v>
      </c>
    </row>
    <row r="39" spans="1:15" x14ac:dyDescent="0.25">
      <c r="A39" s="16">
        <v>16257</v>
      </c>
      <c r="B39" s="49">
        <v>300</v>
      </c>
      <c r="C39" s="17"/>
      <c r="D39" s="13"/>
      <c r="E39" s="70"/>
      <c r="F39" s="14" t="s">
        <v>15</v>
      </c>
      <c r="G39" s="11">
        <v>16379</v>
      </c>
      <c r="H39" s="67">
        <v>400</v>
      </c>
      <c r="I39" s="12" t="s">
        <v>111</v>
      </c>
      <c r="J39" s="61">
        <v>16424</v>
      </c>
      <c r="K39" s="71">
        <v>400</v>
      </c>
      <c r="L39" s="62" t="s">
        <v>111</v>
      </c>
      <c r="M39" s="75">
        <v>16453</v>
      </c>
      <c r="N39" s="73">
        <v>800</v>
      </c>
      <c r="O39" s="15" t="s">
        <v>171</v>
      </c>
    </row>
    <row r="40" spans="1:15" x14ac:dyDescent="0.25">
      <c r="A40" s="16">
        <v>16258</v>
      </c>
      <c r="B40" s="49">
        <v>1200</v>
      </c>
      <c r="C40" s="17" t="s">
        <v>166</v>
      </c>
      <c r="D40" s="13">
        <v>16308</v>
      </c>
      <c r="E40" s="70">
        <v>300</v>
      </c>
      <c r="F40" s="14"/>
      <c r="G40" s="11">
        <v>16380</v>
      </c>
      <c r="H40" s="67">
        <v>400</v>
      </c>
      <c r="I40" s="12"/>
      <c r="J40" s="61">
        <v>16425</v>
      </c>
      <c r="K40" s="71">
        <v>4400</v>
      </c>
      <c r="L40" s="62" t="s">
        <v>210</v>
      </c>
      <c r="M40" s="75"/>
      <c r="N40" s="73"/>
      <c r="O40" s="15" t="s">
        <v>235</v>
      </c>
    </row>
    <row r="41" spans="1:15" x14ac:dyDescent="0.25">
      <c r="A41" s="16"/>
      <c r="B41" s="49"/>
      <c r="C41" s="17" t="s">
        <v>222</v>
      </c>
      <c r="D41" s="13">
        <v>16309</v>
      </c>
      <c r="E41" s="70">
        <v>600</v>
      </c>
      <c r="F41" s="14" t="s">
        <v>177</v>
      </c>
      <c r="G41" s="11">
        <v>16381</v>
      </c>
      <c r="H41" s="67">
        <v>500</v>
      </c>
      <c r="I41" s="12"/>
      <c r="J41" s="61"/>
      <c r="K41" s="71"/>
      <c r="L41" s="62" t="s">
        <v>38</v>
      </c>
      <c r="M41" s="75">
        <v>16454</v>
      </c>
      <c r="N41" s="73">
        <v>200</v>
      </c>
      <c r="O41" s="15" t="s">
        <v>116</v>
      </c>
    </row>
    <row r="42" spans="1:15" x14ac:dyDescent="0.25">
      <c r="A42" s="16"/>
      <c r="B42" s="49"/>
      <c r="C42" s="17" t="s">
        <v>15</v>
      </c>
      <c r="D42" s="13"/>
      <c r="E42" s="70"/>
      <c r="F42" s="14" t="s">
        <v>36</v>
      </c>
      <c r="G42" s="11">
        <v>16382</v>
      </c>
      <c r="H42" s="67">
        <v>400</v>
      </c>
      <c r="I42" s="12"/>
      <c r="J42" s="61"/>
      <c r="K42" s="71"/>
      <c r="L42" s="62" t="s">
        <v>211</v>
      </c>
      <c r="M42" s="75">
        <v>16455</v>
      </c>
      <c r="N42" s="73">
        <v>600</v>
      </c>
      <c r="O42" s="15" t="s">
        <v>191</v>
      </c>
    </row>
    <row r="43" spans="1:15" x14ac:dyDescent="0.25">
      <c r="A43" s="16">
        <v>16259</v>
      </c>
      <c r="B43" s="49">
        <v>400</v>
      </c>
      <c r="C43" s="17" t="s">
        <v>111</v>
      </c>
      <c r="D43" s="13">
        <v>16310</v>
      </c>
      <c r="E43" s="70">
        <v>400</v>
      </c>
      <c r="F43" s="14"/>
      <c r="G43" s="11">
        <v>16383</v>
      </c>
      <c r="H43" s="67">
        <v>400</v>
      </c>
      <c r="I43" s="12"/>
      <c r="J43" s="61">
        <v>16426</v>
      </c>
      <c r="K43" s="71">
        <v>400</v>
      </c>
      <c r="L43" s="62" t="s">
        <v>111</v>
      </c>
      <c r="M43" s="75"/>
      <c r="N43" s="73"/>
      <c r="O43" s="15" t="s">
        <v>23</v>
      </c>
    </row>
    <row r="44" spans="1:15" x14ac:dyDescent="0.25">
      <c r="A44" s="16">
        <v>16260</v>
      </c>
      <c r="B44" s="49">
        <v>400</v>
      </c>
      <c r="C44" s="17" t="s">
        <v>67</v>
      </c>
      <c r="D44" s="13">
        <v>16311</v>
      </c>
      <c r="E44" s="70">
        <v>400</v>
      </c>
      <c r="F44" s="14" t="s">
        <v>195</v>
      </c>
      <c r="G44" s="11">
        <v>16384</v>
      </c>
      <c r="H44" s="67">
        <v>300</v>
      </c>
      <c r="I44" s="12"/>
      <c r="J44" s="61">
        <v>16427</v>
      </c>
      <c r="K44" s="71">
        <v>800</v>
      </c>
      <c r="L44" s="62" t="s">
        <v>24</v>
      </c>
      <c r="M44" s="75">
        <v>16456</v>
      </c>
      <c r="N44" s="73">
        <v>400</v>
      </c>
      <c r="O44" s="15"/>
    </row>
    <row r="45" spans="1:15" x14ac:dyDescent="0.25">
      <c r="A45" s="16"/>
      <c r="B45" s="49"/>
      <c r="C45" s="17" t="s">
        <v>15</v>
      </c>
      <c r="D45" s="13"/>
      <c r="E45" s="70"/>
      <c r="F45" s="14" t="s">
        <v>15</v>
      </c>
      <c r="G45" s="11">
        <v>16385</v>
      </c>
      <c r="H45" s="67">
        <v>300</v>
      </c>
      <c r="I45" s="12" t="s">
        <v>30</v>
      </c>
      <c r="J45" s="61"/>
      <c r="K45" s="71"/>
      <c r="L45" s="62" t="s">
        <v>38</v>
      </c>
      <c r="M45" s="75">
        <v>16457</v>
      </c>
      <c r="N45" s="73">
        <v>200</v>
      </c>
      <c r="O45" s="15"/>
    </row>
    <row r="46" spans="1:15" x14ac:dyDescent="0.25">
      <c r="A46" s="16">
        <v>16261</v>
      </c>
      <c r="B46" s="49">
        <v>400</v>
      </c>
      <c r="C46" s="17"/>
      <c r="D46" s="13">
        <v>16312</v>
      </c>
      <c r="E46" s="70">
        <v>400</v>
      </c>
      <c r="F46" s="14"/>
      <c r="G46" s="11">
        <v>16386</v>
      </c>
      <c r="H46" s="67">
        <v>800</v>
      </c>
      <c r="I46" s="12" t="s">
        <v>31</v>
      </c>
      <c r="J46" s="61">
        <v>16428</v>
      </c>
      <c r="K46" s="71">
        <v>800</v>
      </c>
      <c r="L46" s="62" t="s">
        <v>191</v>
      </c>
      <c r="M46" s="75">
        <v>16458</v>
      </c>
      <c r="N46" s="73">
        <v>200</v>
      </c>
      <c r="O46" s="15" t="s">
        <v>213</v>
      </c>
    </row>
    <row r="47" spans="1:15" x14ac:dyDescent="0.25">
      <c r="A47" s="16">
        <v>16262</v>
      </c>
      <c r="B47" s="49">
        <v>400</v>
      </c>
      <c r="C47" s="17"/>
      <c r="D47" s="13">
        <v>16313</v>
      </c>
      <c r="E47" s="70">
        <v>350</v>
      </c>
      <c r="F47" s="14"/>
      <c r="G47" s="11"/>
      <c r="H47" s="67"/>
      <c r="I47" s="12" t="s">
        <v>20</v>
      </c>
      <c r="J47" s="61"/>
      <c r="K47" s="71"/>
      <c r="L47" s="62" t="s">
        <v>38</v>
      </c>
      <c r="M47" s="75">
        <v>16459</v>
      </c>
      <c r="N47" s="73">
        <v>200</v>
      </c>
      <c r="O47" s="15" t="s">
        <v>111</v>
      </c>
    </row>
    <row r="48" spans="1:15" x14ac:dyDescent="0.25">
      <c r="A48" s="16">
        <v>16263</v>
      </c>
      <c r="B48" s="49">
        <v>125</v>
      </c>
      <c r="C48" s="17"/>
      <c r="D48" s="13">
        <v>16314</v>
      </c>
      <c r="E48" s="70">
        <v>1200</v>
      </c>
      <c r="F48" s="14" t="s">
        <v>70</v>
      </c>
      <c r="G48" s="11">
        <v>16387</v>
      </c>
      <c r="H48" s="67">
        <v>400</v>
      </c>
      <c r="I48" s="12"/>
      <c r="J48" s="61">
        <v>16429</v>
      </c>
      <c r="K48" s="71">
        <v>200</v>
      </c>
      <c r="L48" s="62" t="s">
        <v>104</v>
      </c>
      <c r="M48" s="75">
        <v>16460</v>
      </c>
      <c r="N48" s="73">
        <v>400</v>
      </c>
      <c r="O48" s="15"/>
    </row>
    <row r="49" spans="1:15" x14ac:dyDescent="0.25">
      <c r="A49" s="16">
        <v>16264</v>
      </c>
      <c r="B49" s="49">
        <v>800</v>
      </c>
      <c r="C49" s="17" t="s">
        <v>130</v>
      </c>
      <c r="D49" s="13"/>
      <c r="E49" s="70"/>
      <c r="F49" s="14" t="s">
        <v>20</v>
      </c>
      <c r="G49" s="11">
        <v>16388</v>
      </c>
      <c r="H49" s="67">
        <v>350</v>
      </c>
      <c r="I49" s="12"/>
      <c r="J49" s="61"/>
      <c r="K49" s="71"/>
      <c r="L49" s="62" t="s">
        <v>57</v>
      </c>
      <c r="M49" s="75">
        <v>16461</v>
      </c>
      <c r="N49" s="73">
        <v>200</v>
      </c>
      <c r="O49" s="15" t="s">
        <v>41</v>
      </c>
    </row>
    <row r="50" spans="1:15" x14ac:dyDescent="0.25">
      <c r="A50" s="16"/>
      <c r="B50" s="49"/>
      <c r="C50" s="17" t="s">
        <v>20</v>
      </c>
      <c r="D50" s="13">
        <v>16315</v>
      </c>
      <c r="E50" s="70">
        <v>400</v>
      </c>
      <c r="F50" s="14" t="s">
        <v>196</v>
      </c>
      <c r="G50" s="11">
        <v>16389</v>
      </c>
      <c r="H50" s="67">
        <v>600</v>
      </c>
      <c r="I50" s="12" t="s">
        <v>130</v>
      </c>
      <c r="J50" s="61">
        <v>16430</v>
      </c>
      <c r="K50" s="71">
        <v>250</v>
      </c>
      <c r="L50" s="62" t="s">
        <v>104</v>
      </c>
      <c r="M50" s="75">
        <v>16462</v>
      </c>
      <c r="N50" s="73">
        <v>450</v>
      </c>
      <c r="O50" s="15" t="s">
        <v>236</v>
      </c>
    </row>
    <row r="51" spans="1:15" x14ac:dyDescent="0.25">
      <c r="A51" s="16">
        <v>16265</v>
      </c>
      <c r="B51" s="49">
        <v>2400</v>
      </c>
      <c r="C51" s="17" t="s">
        <v>223</v>
      </c>
      <c r="D51" s="13">
        <v>16316</v>
      </c>
      <c r="E51" s="70">
        <v>2400</v>
      </c>
      <c r="F51" s="14" t="s">
        <v>197</v>
      </c>
      <c r="G51" s="11"/>
      <c r="H51" s="67"/>
      <c r="I51" s="12" t="s">
        <v>23</v>
      </c>
      <c r="J51" s="61"/>
      <c r="K51" s="71"/>
      <c r="L51" s="62" t="s">
        <v>57</v>
      </c>
      <c r="M51" s="75"/>
      <c r="N51" s="73"/>
      <c r="O51" s="15" t="s">
        <v>237</v>
      </c>
    </row>
    <row r="52" spans="1:15" x14ac:dyDescent="0.25">
      <c r="A52" s="16"/>
      <c r="B52" s="49"/>
      <c r="C52" s="17" t="s">
        <v>15</v>
      </c>
      <c r="D52" s="13"/>
      <c r="E52" s="70"/>
      <c r="F52" s="14" t="s">
        <v>198</v>
      </c>
      <c r="G52" s="11">
        <v>16390</v>
      </c>
      <c r="H52" s="67">
        <v>300</v>
      </c>
      <c r="I52" s="12"/>
      <c r="J52" s="61"/>
      <c r="K52" s="71"/>
      <c r="L52" s="62" t="s">
        <v>221</v>
      </c>
      <c r="M52" s="75">
        <v>16463</v>
      </c>
      <c r="N52" s="73">
        <v>1200</v>
      </c>
      <c r="O52" s="15" t="s">
        <v>155</v>
      </c>
    </row>
    <row r="53" spans="1:15" x14ac:dyDescent="0.25">
      <c r="A53" s="16">
        <v>16266</v>
      </c>
      <c r="B53" s="49">
        <v>250</v>
      </c>
      <c r="C53" s="17"/>
      <c r="D53" s="13">
        <v>16317</v>
      </c>
      <c r="E53" s="70">
        <v>200</v>
      </c>
      <c r="F53" s="14" t="s">
        <v>41</v>
      </c>
      <c r="G53" s="11">
        <v>16391</v>
      </c>
      <c r="H53" s="67">
        <v>800</v>
      </c>
      <c r="I53" s="12" t="s">
        <v>177</v>
      </c>
      <c r="J53" s="61">
        <v>16431</v>
      </c>
      <c r="K53" s="71">
        <v>400</v>
      </c>
      <c r="L53" s="62" t="s">
        <v>213</v>
      </c>
      <c r="M53" s="75"/>
      <c r="N53" s="73"/>
      <c r="O53" s="15" t="s">
        <v>20</v>
      </c>
    </row>
    <row r="54" spans="1:15" x14ac:dyDescent="0.25">
      <c r="A54" s="16">
        <v>16267</v>
      </c>
      <c r="B54" s="49">
        <v>800</v>
      </c>
      <c r="C54" s="17" t="s">
        <v>130</v>
      </c>
      <c r="D54" s="13">
        <v>16318</v>
      </c>
      <c r="E54" s="70">
        <v>200</v>
      </c>
      <c r="F54" s="14"/>
      <c r="G54" s="11"/>
      <c r="H54" s="67"/>
      <c r="I54" s="12" t="s">
        <v>15</v>
      </c>
      <c r="J54" s="61">
        <v>16432</v>
      </c>
      <c r="K54" s="71">
        <v>50</v>
      </c>
      <c r="L54" s="62" t="s">
        <v>220</v>
      </c>
      <c r="M54" s="75">
        <v>16464</v>
      </c>
      <c r="N54" s="73">
        <v>400</v>
      </c>
      <c r="O54" s="15" t="s">
        <v>224</v>
      </c>
    </row>
    <row r="55" spans="1:15" x14ac:dyDescent="0.25">
      <c r="A55" s="16"/>
      <c r="B55" s="49"/>
      <c r="C55" s="17" t="s">
        <v>20</v>
      </c>
      <c r="D55" s="13">
        <v>16319</v>
      </c>
      <c r="E55" s="70">
        <v>400</v>
      </c>
      <c r="F55" s="14" t="s">
        <v>30</v>
      </c>
      <c r="G55" s="11">
        <v>16392</v>
      </c>
      <c r="H55" s="67">
        <v>800</v>
      </c>
      <c r="I55" s="12" t="s">
        <v>171</v>
      </c>
      <c r="J55" s="61"/>
      <c r="K55" s="71"/>
      <c r="L55" s="62"/>
      <c r="M55" s="75">
        <v>16465</v>
      </c>
      <c r="N55" s="73">
        <v>50</v>
      </c>
      <c r="O55" s="15" t="s">
        <v>110</v>
      </c>
    </row>
    <row r="56" spans="1:15" x14ac:dyDescent="0.25">
      <c r="A56" s="16">
        <v>16268</v>
      </c>
      <c r="B56" s="49">
        <v>300</v>
      </c>
      <c r="C56" s="17"/>
      <c r="D56" s="13">
        <v>16320</v>
      </c>
      <c r="E56" s="70">
        <v>400</v>
      </c>
      <c r="F56" s="14"/>
      <c r="G56" s="11"/>
      <c r="H56" s="67"/>
      <c r="I56" s="12" t="s">
        <v>17</v>
      </c>
      <c r="J56" s="61"/>
      <c r="K56" s="71"/>
      <c r="L56" s="62"/>
      <c r="M56" s="75">
        <v>16466</v>
      </c>
      <c r="N56" s="73">
        <v>800</v>
      </c>
      <c r="O56" s="15" t="s">
        <v>230</v>
      </c>
    </row>
    <row r="57" spans="1:15" x14ac:dyDescent="0.25">
      <c r="A57" s="16">
        <v>16269</v>
      </c>
      <c r="B57" s="49">
        <v>400</v>
      </c>
      <c r="C57" s="17"/>
      <c r="D57" s="13">
        <v>16321</v>
      </c>
      <c r="E57" s="70"/>
      <c r="F57" s="14" t="s">
        <v>27</v>
      </c>
      <c r="G57" s="11">
        <v>16393</v>
      </c>
      <c r="H57" s="67">
        <v>1200</v>
      </c>
      <c r="I57" s="12" t="s">
        <v>208</v>
      </c>
      <c r="J57" s="61"/>
      <c r="K57" s="71"/>
      <c r="L57" s="62"/>
      <c r="M57" s="75"/>
      <c r="N57" s="73"/>
      <c r="O57" s="15" t="s">
        <v>20</v>
      </c>
    </row>
    <row r="58" spans="1:15" x14ac:dyDescent="0.25">
      <c r="A58" s="16">
        <v>16270</v>
      </c>
      <c r="B58" s="49">
        <v>400</v>
      </c>
      <c r="C58" s="17" t="s">
        <v>111</v>
      </c>
      <c r="D58" s="13">
        <v>16322</v>
      </c>
      <c r="E58" s="70">
        <v>400</v>
      </c>
      <c r="F58" s="14" t="s">
        <v>104</v>
      </c>
      <c r="G58" s="11">
        <v>16394</v>
      </c>
      <c r="H58" s="67">
        <v>400</v>
      </c>
      <c r="I58" s="12"/>
      <c r="J58" s="61"/>
      <c r="K58" s="71"/>
      <c r="L58" s="62"/>
      <c r="M58" s="75">
        <v>16467</v>
      </c>
      <c r="N58" s="73">
        <v>250</v>
      </c>
      <c r="O58" s="15"/>
    </row>
    <row r="59" spans="1:15" x14ac:dyDescent="0.25">
      <c r="A59" s="16">
        <v>16271</v>
      </c>
      <c r="B59" s="49">
        <v>400</v>
      </c>
      <c r="C59" s="17"/>
      <c r="D59" s="13"/>
      <c r="E59" s="70"/>
      <c r="F59" s="14" t="s">
        <v>15</v>
      </c>
      <c r="G59" s="11">
        <v>16395</v>
      </c>
      <c r="H59" s="67">
        <v>400</v>
      </c>
      <c r="I59" s="12"/>
      <c r="J59" s="61"/>
      <c r="K59" s="71"/>
      <c r="L59" s="62"/>
      <c r="M59" s="75">
        <v>16468</v>
      </c>
      <c r="N59" s="73">
        <v>400</v>
      </c>
      <c r="O59" s="15" t="s">
        <v>213</v>
      </c>
    </row>
    <row r="60" spans="1:15" x14ac:dyDescent="0.25">
      <c r="A60" s="16">
        <v>16272</v>
      </c>
      <c r="B60" s="49">
        <v>400</v>
      </c>
      <c r="C60" s="17" t="s">
        <v>111</v>
      </c>
      <c r="D60" s="13">
        <v>16323</v>
      </c>
      <c r="E60" s="70">
        <v>1200</v>
      </c>
      <c r="F60" s="14" t="s">
        <v>155</v>
      </c>
      <c r="G60" s="11">
        <v>16396</v>
      </c>
      <c r="H60" s="67">
        <v>200</v>
      </c>
      <c r="I60" s="12"/>
      <c r="J60" s="61"/>
      <c r="K60" s="71"/>
      <c r="L60" s="62"/>
      <c r="M60" s="75"/>
      <c r="N60" s="73"/>
      <c r="O60" s="15"/>
    </row>
    <row r="61" spans="1:15" x14ac:dyDescent="0.25">
      <c r="A61" s="16">
        <v>16273</v>
      </c>
      <c r="B61" s="49">
        <v>800</v>
      </c>
      <c r="C61" s="17" t="s">
        <v>24</v>
      </c>
      <c r="D61" s="13"/>
      <c r="E61" s="70"/>
      <c r="F61" s="14" t="s">
        <v>20</v>
      </c>
      <c r="G61" s="11">
        <v>16397</v>
      </c>
      <c r="H61" s="67">
        <v>250</v>
      </c>
      <c r="I61" s="12"/>
      <c r="J61" s="61"/>
      <c r="K61" s="71"/>
      <c r="L61" s="62"/>
      <c r="M61" s="75"/>
      <c r="N61" s="73"/>
      <c r="O61" s="15"/>
    </row>
    <row r="62" spans="1:15" x14ac:dyDescent="0.25">
      <c r="A62" s="16"/>
      <c r="B62" s="49"/>
      <c r="C62" s="17" t="s">
        <v>20</v>
      </c>
      <c r="D62" s="13">
        <v>16324</v>
      </c>
      <c r="E62" s="70">
        <v>400</v>
      </c>
      <c r="F62" s="14"/>
      <c r="G62" s="11">
        <v>16398</v>
      </c>
      <c r="H62" s="67">
        <v>50</v>
      </c>
      <c r="I62" s="12" t="s">
        <v>40</v>
      </c>
      <c r="J62" s="61"/>
      <c r="K62" s="71"/>
      <c r="L62" s="62"/>
      <c r="M62" s="75"/>
      <c r="N62" s="73"/>
      <c r="O62" s="15"/>
    </row>
    <row r="63" spans="1:15" x14ac:dyDescent="0.25">
      <c r="A63" s="16">
        <v>16274</v>
      </c>
      <c r="B63" s="49">
        <v>300</v>
      </c>
      <c r="C63" s="17"/>
      <c r="D63" s="13">
        <v>16325</v>
      </c>
      <c r="E63" s="70">
        <v>200</v>
      </c>
      <c r="F63" s="14" t="s">
        <v>111</v>
      </c>
      <c r="G63" s="11">
        <v>16399</v>
      </c>
      <c r="H63" s="67">
        <v>400</v>
      </c>
      <c r="I63" s="12" t="s">
        <v>162</v>
      </c>
      <c r="J63" s="61"/>
      <c r="K63" s="71"/>
      <c r="L63" s="62"/>
      <c r="M63" s="75"/>
      <c r="N63" s="73"/>
      <c r="O63" s="15"/>
    </row>
    <row r="64" spans="1:15" x14ac:dyDescent="0.25">
      <c r="A64" s="16">
        <v>16275</v>
      </c>
      <c r="B64" s="49">
        <v>400</v>
      </c>
      <c r="C64" s="17"/>
      <c r="D64" s="13">
        <v>16326</v>
      </c>
      <c r="E64" s="70">
        <v>400</v>
      </c>
      <c r="F64" s="14"/>
      <c r="G64" s="11">
        <v>16400</v>
      </c>
      <c r="H64" s="67">
        <v>400</v>
      </c>
      <c r="I64" s="12"/>
      <c r="J64" s="61"/>
      <c r="K64" s="71"/>
      <c r="L64" s="62"/>
      <c r="M64" s="75"/>
      <c r="N64" s="73"/>
      <c r="O64" s="15"/>
    </row>
    <row r="65" spans="1:15" x14ac:dyDescent="0.25">
      <c r="A65" s="16">
        <v>16276</v>
      </c>
      <c r="B65" s="49">
        <v>400</v>
      </c>
      <c r="C65" s="17"/>
      <c r="D65" s="13">
        <v>16327</v>
      </c>
      <c r="E65" s="70">
        <v>400</v>
      </c>
      <c r="F65" s="14"/>
      <c r="G65" s="11">
        <v>16401</v>
      </c>
      <c r="H65" s="67">
        <v>50</v>
      </c>
      <c r="I65" s="12" t="s">
        <v>40</v>
      </c>
      <c r="J65" s="61"/>
      <c r="K65" s="71"/>
      <c r="L65" s="62"/>
      <c r="M65" s="75"/>
      <c r="N65" s="73"/>
      <c r="O65" s="15"/>
    </row>
    <row r="66" spans="1:15" x14ac:dyDescent="0.25">
      <c r="A66" s="16">
        <v>16277</v>
      </c>
      <c r="B66" s="49">
        <v>400</v>
      </c>
      <c r="C66" s="17" t="s">
        <v>111</v>
      </c>
      <c r="D66" s="13">
        <v>16328</v>
      </c>
      <c r="E66" s="70">
        <v>400</v>
      </c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16278</v>
      </c>
      <c r="B67" s="49">
        <v>200</v>
      </c>
      <c r="C67" s="17"/>
      <c r="D67" s="13">
        <v>16329</v>
      </c>
      <c r="E67" s="70">
        <v>1200</v>
      </c>
      <c r="F67" s="14" t="s">
        <v>35</v>
      </c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>
        <v>16279</v>
      </c>
      <c r="B68" s="49">
        <v>100</v>
      </c>
      <c r="C68" s="17" t="s">
        <v>84</v>
      </c>
      <c r="D68" s="13"/>
      <c r="E68" s="70"/>
      <c r="F68" s="14" t="s">
        <v>20</v>
      </c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16280</v>
      </c>
      <c r="B69" s="49">
        <v>200</v>
      </c>
      <c r="C69" s="17"/>
      <c r="D69" s="13">
        <v>16330</v>
      </c>
      <c r="E69" s="70">
        <v>650</v>
      </c>
      <c r="F69" s="14" t="s">
        <v>191</v>
      </c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>
        <v>16281</v>
      </c>
      <c r="B70" s="49">
        <v>400</v>
      </c>
      <c r="C70" s="17"/>
      <c r="D70" s="13"/>
      <c r="E70" s="70"/>
      <c r="F70" s="14" t="s">
        <v>199</v>
      </c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>
        <v>16282</v>
      </c>
      <c r="B71" s="49">
        <v>600</v>
      </c>
      <c r="C71" s="17" t="s">
        <v>191</v>
      </c>
      <c r="D71" s="13">
        <v>16331</v>
      </c>
      <c r="E71" s="70">
        <v>800</v>
      </c>
      <c r="F71" s="14" t="s">
        <v>177</v>
      </c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 t="s">
        <v>23</v>
      </c>
      <c r="D72" s="13"/>
      <c r="E72" s="70"/>
      <c r="F72" s="14" t="s">
        <v>15</v>
      </c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16283</v>
      </c>
      <c r="B73" s="49">
        <v>400</v>
      </c>
      <c r="C73" s="17"/>
      <c r="D73" s="13">
        <v>16332</v>
      </c>
      <c r="E73" s="70">
        <v>200</v>
      </c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16284</v>
      </c>
      <c r="B74" s="49">
        <v>400</v>
      </c>
      <c r="C74" s="17"/>
      <c r="D74" s="13">
        <v>16333</v>
      </c>
      <c r="E74" s="70">
        <v>300</v>
      </c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>
        <v>16285</v>
      </c>
      <c r="B75" s="49">
        <v>400</v>
      </c>
      <c r="C75" s="17"/>
      <c r="D75" s="13">
        <v>16334</v>
      </c>
      <c r="E75" s="70">
        <v>1200</v>
      </c>
      <c r="F75" s="14" t="s">
        <v>171</v>
      </c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16286</v>
      </c>
      <c r="B76" s="49">
        <v>50</v>
      </c>
      <c r="C76" s="17" t="s">
        <v>110</v>
      </c>
      <c r="D76" s="13"/>
      <c r="E76" s="70"/>
      <c r="F76" s="14" t="s">
        <v>20</v>
      </c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16287</v>
      </c>
      <c r="B77" s="49">
        <v>400</v>
      </c>
      <c r="C77" s="17" t="s">
        <v>111</v>
      </c>
      <c r="D77" s="13">
        <v>16335</v>
      </c>
      <c r="E77" s="70">
        <v>50</v>
      </c>
      <c r="F77" s="14" t="s">
        <v>110</v>
      </c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>
        <v>16288</v>
      </c>
      <c r="B78" s="49">
        <v>450</v>
      </c>
      <c r="C78" s="17" t="s">
        <v>208</v>
      </c>
      <c r="D78" s="13">
        <v>16336</v>
      </c>
      <c r="E78" s="70">
        <v>400</v>
      </c>
      <c r="F78" s="14" t="s">
        <v>111</v>
      </c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 t="s">
        <v>36</v>
      </c>
      <c r="D79" s="13">
        <v>16337</v>
      </c>
      <c r="E79" s="70">
        <v>400</v>
      </c>
      <c r="F79" s="14" t="s">
        <v>111</v>
      </c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16289</v>
      </c>
      <c r="B80" s="49">
        <v>900</v>
      </c>
      <c r="C80" s="17" t="s">
        <v>155</v>
      </c>
      <c r="D80" s="13">
        <v>16338</v>
      </c>
      <c r="E80" s="70">
        <v>400</v>
      </c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/>
      <c r="B81" s="49"/>
      <c r="C81" s="17" t="s">
        <v>23</v>
      </c>
      <c r="D81" s="13">
        <v>16339</v>
      </c>
      <c r="E81" s="70">
        <v>400</v>
      </c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/>
      <c r="D82" s="13">
        <v>16340</v>
      </c>
      <c r="E82" s="70">
        <v>800</v>
      </c>
      <c r="F82" s="14" t="s">
        <v>130</v>
      </c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/>
      <c r="D83" s="13"/>
      <c r="E83" s="70"/>
      <c r="F83" s="14" t="s">
        <v>20</v>
      </c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/>
      <c r="D84" s="13">
        <v>16341</v>
      </c>
      <c r="E84" s="70">
        <v>200</v>
      </c>
      <c r="F84" s="14" t="s">
        <v>82</v>
      </c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/>
      <c r="D85" s="13">
        <v>16342</v>
      </c>
      <c r="E85" s="70">
        <v>50</v>
      </c>
      <c r="F85" s="14" t="s">
        <v>110</v>
      </c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/>
      <c r="D86" s="13">
        <v>16343</v>
      </c>
      <c r="E86" s="70">
        <v>600</v>
      </c>
      <c r="F86" s="14" t="s">
        <v>35</v>
      </c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/>
      <c r="D87" s="13"/>
      <c r="E87" s="70"/>
      <c r="F87" s="14" t="s">
        <v>15</v>
      </c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/>
      <c r="D88" s="13">
        <v>16344</v>
      </c>
      <c r="E88" s="70">
        <v>400</v>
      </c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/>
      <c r="D89" s="13">
        <v>16345</v>
      </c>
      <c r="E89" s="70">
        <v>100</v>
      </c>
      <c r="F89" s="14" t="s">
        <v>84</v>
      </c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26"/>
      <c r="B90" s="26"/>
      <c r="C90" s="58"/>
      <c r="D90" s="13">
        <v>16346</v>
      </c>
      <c r="E90" s="70">
        <v>400</v>
      </c>
      <c r="F90" s="14"/>
      <c r="G90" s="26"/>
      <c r="H90" s="58"/>
      <c r="I90" s="58"/>
      <c r="J90" s="26"/>
      <c r="K90" s="58"/>
      <c r="L90" s="58"/>
      <c r="M90" s="58"/>
      <c r="N90" s="58"/>
      <c r="O90" s="58"/>
    </row>
    <row r="91" spans="1:15" x14ac:dyDescent="0.25">
      <c r="A91" s="26"/>
      <c r="B91" s="26"/>
      <c r="C91" s="58"/>
      <c r="D91" s="13">
        <v>16347</v>
      </c>
      <c r="E91" s="70">
        <v>800</v>
      </c>
      <c r="F91" s="14" t="s">
        <v>92</v>
      </c>
      <c r="G91" s="26"/>
      <c r="H91" s="58"/>
      <c r="I91" s="58"/>
      <c r="J91" s="26"/>
      <c r="K91" s="58"/>
      <c r="L91" s="58"/>
      <c r="M91" s="58"/>
      <c r="N91" s="58"/>
      <c r="O91" s="58"/>
    </row>
    <row r="92" spans="1:15" x14ac:dyDescent="0.25">
      <c r="A92" s="26"/>
      <c r="B92" s="26"/>
      <c r="C92" s="58"/>
      <c r="D92" s="13"/>
      <c r="E92" s="70"/>
      <c r="F92" s="14" t="s">
        <v>20</v>
      </c>
      <c r="G92" s="26"/>
      <c r="H92" s="58"/>
      <c r="I92" s="58"/>
      <c r="J92" s="26"/>
      <c r="K92" s="58"/>
      <c r="L92" s="58"/>
      <c r="M92" s="58"/>
      <c r="N92" s="58"/>
      <c r="O92" s="58"/>
    </row>
    <row r="93" spans="1:15" x14ac:dyDescent="0.25">
      <c r="A93" s="26"/>
      <c r="B93" s="26"/>
      <c r="C93" s="58"/>
      <c r="D93" s="13">
        <v>16348</v>
      </c>
      <c r="E93" s="70">
        <v>50</v>
      </c>
      <c r="F93" s="14" t="s">
        <v>110</v>
      </c>
      <c r="G93" s="26"/>
      <c r="H93" s="58"/>
      <c r="I93" s="58"/>
      <c r="J93" s="26"/>
      <c r="K93" s="58"/>
      <c r="L93" s="58"/>
      <c r="M93" s="58"/>
      <c r="N93" s="58"/>
      <c r="O93" s="58"/>
    </row>
    <row r="94" spans="1:15" x14ac:dyDescent="0.25">
      <c r="A94" s="26"/>
      <c r="B94" s="26"/>
      <c r="C94" s="58"/>
      <c r="D94" s="13">
        <v>16349</v>
      </c>
      <c r="E94" s="70">
        <v>2000</v>
      </c>
      <c r="F94" s="14" t="s">
        <v>193</v>
      </c>
      <c r="G94" s="26"/>
      <c r="H94" s="58"/>
      <c r="I94" s="58"/>
      <c r="J94" s="26"/>
      <c r="K94" s="58"/>
      <c r="L94" s="58"/>
      <c r="M94" s="58"/>
      <c r="N94" s="58"/>
      <c r="O94" s="58"/>
    </row>
    <row r="95" spans="1:15" x14ac:dyDescent="0.25">
      <c r="A95" s="26"/>
      <c r="B95" s="26"/>
      <c r="C95" s="58"/>
      <c r="D95" s="13"/>
      <c r="E95" s="70"/>
      <c r="F95" s="14" t="s">
        <v>200</v>
      </c>
      <c r="G95" s="26"/>
      <c r="H95" s="58"/>
      <c r="I95" s="58"/>
      <c r="J95" s="26"/>
      <c r="K95" s="58"/>
      <c r="L95" s="58"/>
      <c r="M95" s="58"/>
      <c r="N95" s="58"/>
      <c r="O95" s="58"/>
    </row>
    <row r="96" spans="1:15" x14ac:dyDescent="0.25">
      <c r="A96" s="26"/>
      <c r="B96" s="26"/>
      <c r="C96" s="58"/>
      <c r="D96" s="13">
        <v>16350</v>
      </c>
      <c r="E96" s="70">
        <v>1050</v>
      </c>
      <c r="F96" s="14" t="s">
        <v>201</v>
      </c>
      <c r="G96" s="26"/>
      <c r="H96" s="58"/>
      <c r="I96" s="58"/>
      <c r="J96" s="26"/>
      <c r="K96" s="58"/>
      <c r="L96" s="58"/>
      <c r="M96" s="58"/>
      <c r="N96" s="58"/>
      <c r="O96" s="58"/>
    </row>
    <row r="97" spans="1:15" x14ac:dyDescent="0.25">
      <c r="A97" s="26"/>
      <c r="B97" s="26"/>
      <c r="C97" s="58"/>
      <c r="D97" s="13"/>
      <c r="E97" s="70"/>
      <c r="F97" s="14" t="s">
        <v>43</v>
      </c>
      <c r="G97" s="26"/>
      <c r="H97" s="58"/>
      <c r="I97" s="58"/>
      <c r="J97" s="26"/>
      <c r="K97" s="58"/>
      <c r="L97" s="58"/>
      <c r="M97" s="58"/>
      <c r="N97" s="58"/>
      <c r="O97" s="58"/>
    </row>
    <row r="98" spans="1:15" x14ac:dyDescent="0.25">
      <c r="A98" s="26"/>
      <c r="B98" s="26"/>
      <c r="C98" s="58"/>
      <c r="D98" s="13">
        <v>16351</v>
      </c>
      <c r="E98" s="70">
        <v>400</v>
      </c>
      <c r="F98" s="14" t="s">
        <v>82</v>
      </c>
      <c r="G98" s="26"/>
      <c r="H98" s="58"/>
      <c r="I98" s="58"/>
      <c r="J98" s="26"/>
      <c r="K98" s="58"/>
      <c r="L98" s="58"/>
      <c r="M98" s="58"/>
      <c r="N98" s="58"/>
      <c r="O98" s="58"/>
    </row>
    <row r="99" spans="1:15" x14ac:dyDescent="0.25">
      <c r="A99" s="26"/>
      <c r="B99" s="26"/>
      <c r="C99" s="58"/>
      <c r="D99" s="13">
        <v>16352</v>
      </c>
      <c r="E99" s="70">
        <v>1200</v>
      </c>
      <c r="F99" s="14" t="s">
        <v>177</v>
      </c>
      <c r="G99" s="26"/>
      <c r="H99" s="58"/>
      <c r="I99" s="58"/>
      <c r="J99" s="26"/>
      <c r="K99" s="58"/>
      <c r="L99" s="58"/>
      <c r="M99" s="58"/>
      <c r="N99" s="58"/>
      <c r="O99" s="58"/>
    </row>
    <row r="100" spans="1:15" x14ac:dyDescent="0.25">
      <c r="A100" s="26"/>
      <c r="B100" s="26"/>
      <c r="C100" s="58"/>
      <c r="D100" s="13"/>
      <c r="E100" s="70"/>
      <c r="F100" s="14" t="s">
        <v>23</v>
      </c>
      <c r="G100" s="26"/>
      <c r="H100" s="58"/>
      <c r="I100" s="58"/>
      <c r="J100" s="26"/>
      <c r="K100" s="58"/>
      <c r="L100" s="58"/>
      <c r="M100" s="58"/>
      <c r="N100" s="58"/>
      <c r="O100" s="58"/>
    </row>
    <row r="101" spans="1:15" x14ac:dyDescent="0.25">
      <c r="A101" s="26"/>
      <c r="B101" s="26"/>
      <c r="C101" s="58"/>
      <c r="D101" s="13">
        <v>16353</v>
      </c>
      <c r="E101" s="70">
        <v>800</v>
      </c>
      <c r="F101" s="14" t="s">
        <v>24</v>
      </c>
      <c r="G101" s="26"/>
      <c r="H101" s="58"/>
      <c r="I101" s="58"/>
      <c r="J101" s="26"/>
      <c r="K101" s="58"/>
      <c r="L101" s="58"/>
      <c r="M101" s="58"/>
      <c r="N101" s="58"/>
      <c r="O101" s="58"/>
    </row>
    <row r="102" spans="1:15" x14ac:dyDescent="0.25">
      <c r="A102" s="26"/>
      <c r="B102" s="26"/>
      <c r="C102" s="58"/>
      <c r="D102" s="13"/>
      <c r="E102" s="70"/>
      <c r="F102" s="14" t="s">
        <v>20</v>
      </c>
      <c r="G102" s="26"/>
      <c r="H102" s="58"/>
      <c r="I102" s="58"/>
      <c r="J102" s="26"/>
      <c r="K102" s="58"/>
      <c r="L102" s="58"/>
      <c r="M102" s="58"/>
      <c r="N102" s="58"/>
      <c r="O102" s="58"/>
    </row>
    <row r="103" spans="1:15" x14ac:dyDescent="0.25">
      <c r="A103" s="26"/>
      <c r="B103" s="26"/>
      <c r="C103" s="58"/>
      <c r="D103" s="13">
        <v>16354</v>
      </c>
      <c r="E103" s="70">
        <v>300</v>
      </c>
      <c r="F103" s="14"/>
      <c r="G103" s="26"/>
      <c r="H103" s="58"/>
      <c r="I103" s="58"/>
      <c r="J103" s="26"/>
      <c r="K103" s="58"/>
      <c r="L103" s="58"/>
      <c r="M103" s="58"/>
      <c r="N103" s="58"/>
      <c r="O103" s="58"/>
    </row>
    <row r="104" spans="1:15" x14ac:dyDescent="0.25">
      <c r="A104" s="26"/>
      <c r="B104" s="26"/>
      <c r="C104" s="58"/>
      <c r="D104" s="13">
        <v>16355</v>
      </c>
      <c r="E104" s="70">
        <v>400</v>
      </c>
      <c r="F104" s="14" t="s">
        <v>24</v>
      </c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26"/>
      <c r="C105" s="58"/>
      <c r="D105" s="13"/>
      <c r="E105" s="70"/>
      <c r="F105" s="14" t="s">
        <v>15</v>
      </c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26"/>
      <c r="C106" s="58"/>
      <c r="D106" s="13">
        <v>16356</v>
      </c>
      <c r="E106" s="70">
        <v>300</v>
      </c>
      <c r="F106" s="14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26"/>
      <c r="C107" s="58"/>
      <c r="D107" s="13">
        <v>16357</v>
      </c>
      <c r="E107" s="70">
        <v>400</v>
      </c>
      <c r="F107" s="14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26"/>
      <c r="C108" s="58"/>
      <c r="D108" s="13"/>
      <c r="E108" s="70"/>
      <c r="F108" s="14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26"/>
      <c r="C109" s="58"/>
      <c r="D109" s="13"/>
      <c r="E109" s="70"/>
      <c r="F109" s="14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26"/>
      <c r="C110" s="58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26"/>
      <c r="C111" s="58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2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2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2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2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2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2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2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2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2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2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2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2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2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2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2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2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2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2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2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2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2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8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8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8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8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8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8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8" x14ac:dyDescent="0.25">
      <c r="D535" s="26"/>
      <c r="E535" s="58"/>
      <c r="F535" s="58"/>
    </row>
    <row r="536" spans="1:18" x14ac:dyDescent="0.25">
      <c r="R536" t="s">
        <v>186</v>
      </c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5"/>
  <sheetViews>
    <sheetView topLeftCell="G5" zoomScale="98" zoomScaleNormal="98" workbookViewId="0">
      <pane ySplit="3" topLeftCell="A87" activePane="bottomLeft" state="frozen"/>
      <selection activeCell="A5" sqref="A5"/>
      <selection pane="bottomLeft" activeCell="A67" sqref="A67:S106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5.7109375" customWidth="1"/>
    <col min="13" max="13" width="7.7109375" style="6" customWidth="1"/>
    <col min="14" max="14" width="8.7109375" customWidth="1"/>
    <col min="15" max="15" width="23.7109375" customWidth="1"/>
    <col min="16" max="16" width="1" customWidth="1"/>
    <col min="17" max="17" width="9.85546875" customWidth="1"/>
    <col min="18" max="18" width="13.7109375" customWidth="1"/>
  </cols>
  <sheetData>
    <row r="1" spans="1:18" ht="15.75" x14ac:dyDescent="0.25">
      <c r="A1" s="122" t="s">
        <v>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4" t="s">
        <v>11</v>
      </c>
      <c r="M1" s="12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5" t="s">
        <v>8</v>
      </c>
      <c r="D3" s="12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4" t="s">
        <v>0</v>
      </c>
      <c r="B5" s="134"/>
      <c r="C5" s="134"/>
      <c r="D5" s="135" t="s">
        <v>4</v>
      </c>
      <c r="E5" s="135"/>
      <c r="F5" s="135"/>
      <c r="G5" s="136" t="s">
        <v>5</v>
      </c>
      <c r="H5" s="136"/>
      <c r="I5" s="136"/>
      <c r="J5" s="137" t="s">
        <v>6</v>
      </c>
      <c r="K5" s="137"/>
      <c r="L5" s="137"/>
      <c r="M5" s="138" t="s">
        <v>12</v>
      </c>
      <c r="N5" s="138"/>
      <c r="O5" s="138"/>
      <c r="Q5" s="130" t="s">
        <v>13</v>
      </c>
      <c r="R5" s="130"/>
    </row>
    <row r="6" spans="1:18" x14ac:dyDescent="0.25">
      <c r="A6" s="8">
        <f>SUBTOTAL(3,A8:A121)</f>
        <v>45</v>
      </c>
      <c r="B6" s="8">
        <f>SUBTOTAL(9,B8:B121)</f>
        <v>17225</v>
      </c>
      <c r="C6" s="35">
        <v>43226</v>
      </c>
      <c r="D6" s="8">
        <f>SUBTOTAL(3,D8:D119)</f>
        <v>47</v>
      </c>
      <c r="E6" s="1">
        <f>SUBTOTAL(9,E8:E119)</f>
        <v>20350</v>
      </c>
      <c r="F6" s="38">
        <v>43233</v>
      </c>
      <c r="G6" s="8">
        <f>SUBTOTAL(3,G8:G120)</f>
        <v>20</v>
      </c>
      <c r="H6" s="1">
        <f>SUBTOTAL(9,H8:H120)</f>
        <v>10600</v>
      </c>
      <c r="I6" s="39">
        <v>43240</v>
      </c>
      <c r="J6" s="8">
        <f>SUBTOTAL(3,J8:J110)</f>
        <v>38</v>
      </c>
      <c r="K6" s="1">
        <f>SUBTOTAL(9,K8:K110)</f>
        <v>22700</v>
      </c>
      <c r="L6" s="63">
        <v>43247</v>
      </c>
      <c r="M6" s="8">
        <f>SUBTOTAL(3,M8:M110)</f>
        <v>0</v>
      </c>
      <c r="N6" s="1">
        <f>SUBTOTAL(9,N8:N110)</f>
        <v>0</v>
      </c>
      <c r="O6" s="85"/>
      <c r="Q6" s="30">
        <f>+A6+D6+G6+J6+M6</f>
        <v>150</v>
      </c>
      <c r="R6" s="29">
        <f>+B6+E6+H6+K6+N6</f>
        <v>70875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2</v>
      </c>
      <c r="M7" s="96" t="s">
        <v>1</v>
      </c>
      <c r="N7" s="96" t="s">
        <v>3</v>
      </c>
      <c r="O7" s="96" t="s">
        <v>2</v>
      </c>
      <c r="Q7" s="28" t="s">
        <v>9</v>
      </c>
      <c r="R7" s="28" t="s">
        <v>3</v>
      </c>
    </row>
    <row r="8" spans="1:18" x14ac:dyDescent="0.25">
      <c r="A8" s="16">
        <v>16469</v>
      </c>
      <c r="B8" s="49">
        <v>50</v>
      </c>
      <c r="C8" s="17" t="s">
        <v>40</v>
      </c>
      <c r="D8" s="13">
        <v>16514</v>
      </c>
      <c r="E8" s="70">
        <v>200</v>
      </c>
      <c r="F8" s="14" t="s">
        <v>241</v>
      </c>
      <c r="G8" s="11">
        <v>16561</v>
      </c>
      <c r="H8" s="67">
        <v>400</v>
      </c>
      <c r="I8" s="12"/>
      <c r="J8" s="61">
        <v>16581</v>
      </c>
      <c r="K8" s="71">
        <v>200</v>
      </c>
      <c r="L8" s="62" t="s">
        <v>21</v>
      </c>
      <c r="M8" s="75"/>
      <c r="N8" s="73"/>
      <c r="O8" s="15"/>
      <c r="Q8" s="32"/>
      <c r="R8" s="32"/>
    </row>
    <row r="9" spans="1:18" x14ac:dyDescent="0.25">
      <c r="A9" s="16">
        <v>16470</v>
      </c>
      <c r="B9" s="49">
        <v>300</v>
      </c>
      <c r="C9" s="17"/>
      <c r="D9" s="13">
        <v>16515</v>
      </c>
      <c r="E9" s="70">
        <v>800</v>
      </c>
      <c r="F9" s="14" t="s">
        <v>242</v>
      </c>
      <c r="G9" s="11">
        <v>16562</v>
      </c>
      <c r="H9" s="67">
        <v>400</v>
      </c>
      <c r="I9" s="12"/>
      <c r="J9" s="61">
        <v>16582</v>
      </c>
      <c r="K9" s="71">
        <v>200</v>
      </c>
      <c r="L9" s="62" t="s">
        <v>259</v>
      </c>
      <c r="M9" s="75"/>
      <c r="N9" s="73"/>
      <c r="O9" s="15"/>
    </row>
    <row r="10" spans="1:18" x14ac:dyDescent="0.25">
      <c r="A10" s="16">
        <v>16471</v>
      </c>
      <c r="B10" s="49">
        <v>300</v>
      </c>
      <c r="C10" s="17" t="s">
        <v>238</v>
      </c>
      <c r="D10" s="13"/>
      <c r="E10" s="70"/>
      <c r="F10" s="14" t="s">
        <v>20</v>
      </c>
      <c r="G10" s="11">
        <v>16563</v>
      </c>
      <c r="H10" s="67">
        <v>200</v>
      </c>
      <c r="I10" s="12" t="s">
        <v>249</v>
      </c>
      <c r="J10" s="61">
        <v>16583</v>
      </c>
      <c r="K10" s="71">
        <v>50</v>
      </c>
      <c r="L10" s="62" t="s">
        <v>260</v>
      </c>
      <c r="M10" s="75"/>
      <c r="N10" s="73"/>
      <c r="O10" s="15"/>
    </row>
    <row r="11" spans="1:18" x14ac:dyDescent="0.25">
      <c r="A11" s="16">
        <v>16472</v>
      </c>
      <c r="B11" s="49"/>
      <c r="C11" s="17" t="s">
        <v>27</v>
      </c>
      <c r="D11" s="13">
        <v>16516</v>
      </c>
      <c r="E11" s="70">
        <v>300</v>
      </c>
      <c r="F11" s="14"/>
      <c r="G11" s="11">
        <v>16564</v>
      </c>
      <c r="H11" s="67">
        <v>200</v>
      </c>
      <c r="I11" s="12" t="s">
        <v>41</v>
      </c>
      <c r="J11" s="61">
        <v>16584</v>
      </c>
      <c r="K11" s="71"/>
      <c r="L11" s="62" t="s">
        <v>27</v>
      </c>
      <c r="M11" s="75"/>
      <c r="N11" s="73"/>
      <c r="O11" s="15"/>
    </row>
    <row r="12" spans="1:18" x14ac:dyDescent="0.25">
      <c r="A12" s="16">
        <v>16473</v>
      </c>
      <c r="B12" s="49">
        <v>200</v>
      </c>
      <c r="C12" s="17" t="s">
        <v>239</v>
      </c>
      <c r="D12" s="13">
        <v>16517</v>
      </c>
      <c r="E12" s="70">
        <v>200</v>
      </c>
      <c r="F12" s="14" t="s">
        <v>243</v>
      </c>
      <c r="G12" s="11">
        <v>16565</v>
      </c>
      <c r="H12" s="67">
        <v>400</v>
      </c>
      <c r="I12" s="12" t="s">
        <v>250</v>
      </c>
      <c r="J12" s="61">
        <v>16585</v>
      </c>
      <c r="K12" s="71">
        <v>2400</v>
      </c>
      <c r="L12" s="62" t="s">
        <v>261</v>
      </c>
      <c r="M12" s="75"/>
      <c r="N12" s="73"/>
      <c r="O12" s="15"/>
    </row>
    <row r="13" spans="1:18" x14ac:dyDescent="0.25">
      <c r="A13" s="16">
        <v>16474</v>
      </c>
      <c r="B13" s="49">
        <v>400</v>
      </c>
      <c r="C13" s="17"/>
      <c r="D13" s="13">
        <v>16518</v>
      </c>
      <c r="E13" s="70">
        <v>450</v>
      </c>
      <c r="F13" s="14" t="s">
        <v>171</v>
      </c>
      <c r="G13" s="11">
        <v>16566</v>
      </c>
      <c r="H13" s="67">
        <v>800</v>
      </c>
      <c r="I13" s="12" t="s">
        <v>251</v>
      </c>
      <c r="J13" s="61"/>
      <c r="K13" s="71"/>
      <c r="L13" s="62" t="s">
        <v>190</v>
      </c>
      <c r="M13" s="75"/>
      <c r="N13" s="73"/>
      <c r="O13" s="15"/>
    </row>
    <row r="14" spans="1:18" x14ac:dyDescent="0.25">
      <c r="A14" s="16">
        <v>16475</v>
      </c>
      <c r="B14" s="49">
        <v>600</v>
      </c>
      <c r="C14" s="17" t="s">
        <v>162</v>
      </c>
      <c r="D14" s="13"/>
      <c r="E14" s="70"/>
      <c r="F14" s="14" t="s">
        <v>36</v>
      </c>
      <c r="G14" s="11"/>
      <c r="H14" s="67"/>
      <c r="I14" s="12" t="s">
        <v>20</v>
      </c>
      <c r="J14" s="61">
        <v>16586</v>
      </c>
      <c r="K14" s="71">
        <v>400</v>
      </c>
      <c r="L14" s="62" t="s">
        <v>257</v>
      </c>
      <c r="M14" s="75"/>
      <c r="N14" s="73"/>
      <c r="O14" s="15"/>
    </row>
    <row r="15" spans="1:18" x14ac:dyDescent="0.25">
      <c r="A15" s="16">
        <v>16476</v>
      </c>
      <c r="B15" s="49">
        <v>800</v>
      </c>
      <c r="C15" s="17" t="s">
        <v>191</v>
      </c>
      <c r="D15" s="13">
        <v>16519</v>
      </c>
      <c r="E15" s="70">
        <v>400</v>
      </c>
      <c r="F15" s="14"/>
      <c r="G15" s="11">
        <v>16567</v>
      </c>
      <c r="H15" s="67">
        <v>50</v>
      </c>
      <c r="I15" s="12" t="s">
        <v>252</v>
      </c>
      <c r="J15" s="61">
        <v>16587</v>
      </c>
      <c r="K15" s="71">
        <v>600</v>
      </c>
      <c r="L15" s="62" t="s">
        <v>262</v>
      </c>
      <c r="M15" s="75"/>
      <c r="N15" s="73"/>
      <c r="O15" s="97"/>
    </row>
    <row r="16" spans="1:18" x14ac:dyDescent="0.25">
      <c r="A16" s="16"/>
      <c r="B16" s="49"/>
      <c r="C16" s="17" t="s">
        <v>20</v>
      </c>
      <c r="D16" s="13">
        <v>16520</v>
      </c>
      <c r="E16" s="70">
        <v>300</v>
      </c>
      <c r="F16" s="14"/>
      <c r="G16" s="11">
        <v>16568</v>
      </c>
      <c r="H16" s="67">
        <v>450</v>
      </c>
      <c r="I16" s="12" t="s">
        <v>253</v>
      </c>
      <c r="J16" s="61">
        <v>16588</v>
      </c>
      <c r="K16" s="71">
        <v>200</v>
      </c>
      <c r="L16" s="62" t="s">
        <v>263</v>
      </c>
      <c r="M16" s="75"/>
      <c r="N16" s="73"/>
      <c r="O16" s="15"/>
    </row>
    <row r="17" spans="1:15" x14ac:dyDescent="0.25">
      <c r="A17" s="16">
        <v>16477</v>
      </c>
      <c r="B17" s="49">
        <v>400</v>
      </c>
      <c r="C17" s="17"/>
      <c r="D17" s="13">
        <v>16521</v>
      </c>
      <c r="E17" s="70">
        <v>400</v>
      </c>
      <c r="F17" s="33" t="s">
        <v>242</v>
      </c>
      <c r="G17" s="11">
        <v>16569</v>
      </c>
      <c r="H17" s="67">
        <v>300</v>
      </c>
      <c r="I17" s="12"/>
      <c r="J17" s="61">
        <v>16589</v>
      </c>
      <c r="K17" s="71">
        <v>500</v>
      </c>
      <c r="L17" s="62" t="s">
        <v>230</v>
      </c>
      <c r="M17" s="75"/>
      <c r="N17" s="73"/>
      <c r="O17" s="15"/>
    </row>
    <row r="18" spans="1:15" x14ac:dyDescent="0.25">
      <c r="A18" s="16">
        <v>16478</v>
      </c>
      <c r="B18" s="49">
        <v>400</v>
      </c>
      <c r="C18" s="17"/>
      <c r="D18" s="13"/>
      <c r="E18" s="70"/>
      <c r="F18" s="14" t="s">
        <v>15</v>
      </c>
      <c r="G18" s="11">
        <v>16570</v>
      </c>
      <c r="H18" s="67">
        <v>400</v>
      </c>
      <c r="I18" s="98"/>
      <c r="J18" s="61"/>
      <c r="K18" s="71"/>
      <c r="L18" s="62" t="s">
        <v>69</v>
      </c>
      <c r="M18" s="75"/>
      <c r="N18" s="73"/>
      <c r="O18" s="15"/>
    </row>
    <row r="19" spans="1:15" x14ac:dyDescent="0.25">
      <c r="A19" s="16">
        <v>16479</v>
      </c>
      <c r="B19" s="49">
        <v>800</v>
      </c>
      <c r="C19" s="17" t="s">
        <v>130</v>
      </c>
      <c r="D19" s="13">
        <v>16522</v>
      </c>
      <c r="E19" s="70">
        <v>400</v>
      </c>
      <c r="F19" s="14" t="s">
        <v>162</v>
      </c>
      <c r="G19" s="11">
        <v>16571</v>
      </c>
      <c r="H19" s="67">
        <v>800</v>
      </c>
      <c r="I19" s="12" t="s">
        <v>230</v>
      </c>
      <c r="J19" s="61">
        <v>16590</v>
      </c>
      <c r="K19" s="71">
        <v>400</v>
      </c>
      <c r="L19" s="62"/>
      <c r="M19" s="75"/>
      <c r="N19" s="73"/>
      <c r="O19" s="15"/>
    </row>
    <row r="20" spans="1:15" x14ac:dyDescent="0.25">
      <c r="A20" s="16"/>
      <c r="B20" s="49"/>
      <c r="C20" s="17" t="s">
        <v>20</v>
      </c>
      <c r="D20" s="13">
        <v>16523</v>
      </c>
      <c r="E20" s="70">
        <v>400</v>
      </c>
      <c r="F20" s="14" t="s">
        <v>248</v>
      </c>
      <c r="G20" s="11"/>
      <c r="H20" s="67"/>
      <c r="I20" s="12" t="s">
        <v>20</v>
      </c>
      <c r="J20" s="61">
        <v>16591</v>
      </c>
      <c r="K20" s="71">
        <v>200</v>
      </c>
      <c r="L20" s="62" t="s">
        <v>264</v>
      </c>
      <c r="M20" s="75"/>
      <c r="N20" s="73"/>
      <c r="O20" s="15"/>
    </row>
    <row r="21" spans="1:15" x14ac:dyDescent="0.25">
      <c r="A21" s="16">
        <v>16480</v>
      </c>
      <c r="B21" s="49">
        <v>300</v>
      </c>
      <c r="C21" s="17"/>
      <c r="D21" s="13"/>
      <c r="E21" s="70"/>
      <c r="F21" s="14" t="s">
        <v>15</v>
      </c>
      <c r="G21" s="11">
        <v>16572</v>
      </c>
      <c r="H21" s="67">
        <v>350</v>
      </c>
      <c r="I21" s="12"/>
      <c r="J21" s="61">
        <v>16592</v>
      </c>
      <c r="K21" s="71">
        <v>1350</v>
      </c>
      <c r="L21" s="62" t="s">
        <v>265</v>
      </c>
      <c r="M21" s="75"/>
      <c r="N21" s="73"/>
      <c r="O21" s="15"/>
    </row>
    <row r="22" spans="1:15" x14ac:dyDescent="0.25">
      <c r="A22" s="16">
        <v>16481</v>
      </c>
      <c r="B22" s="49">
        <v>1200</v>
      </c>
      <c r="C22" s="17" t="s">
        <v>208</v>
      </c>
      <c r="D22" s="13">
        <v>16524</v>
      </c>
      <c r="E22" s="70">
        <v>200</v>
      </c>
      <c r="F22" s="14"/>
      <c r="G22" s="11">
        <v>16573</v>
      </c>
      <c r="H22" s="67">
        <v>1600</v>
      </c>
      <c r="I22" s="12" t="s">
        <v>254</v>
      </c>
      <c r="J22" s="61"/>
      <c r="K22" s="71"/>
      <c r="L22" s="62" t="s">
        <v>266</v>
      </c>
      <c r="M22" s="75"/>
      <c r="N22" s="73"/>
      <c r="O22" s="15"/>
    </row>
    <row r="23" spans="1:15" x14ac:dyDescent="0.25">
      <c r="A23" s="16"/>
      <c r="B23" s="49"/>
      <c r="C23" s="17" t="s">
        <v>20</v>
      </c>
      <c r="D23" s="13">
        <v>16525</v>
      </c>
      <c r="E23" s="70">
        <v>300</v>
      </c>
      <c r="F23" s="14"/>
      <c r="G23" s="11"/>
      <c r="H23" s="67"/>
      <c r="I23" s="12" t="s">
        <v>20</v>
      </c>
      <c r="J23" s="61"/>
      <c r="K23" s="71"/>
      <c r="L23" s="62" t="s">
        <v>267</v>
      </c>
      <c r="M23" s="75"/>
      <c r="N23" s="73"/>
      <c r="O23" s="15"/>
    </row>
    <row r="24" spans="1:15" x14ac:dyDescent="0.25">
      <c r="A24" s="16">
        <v>16482</v>
      </c>
      <c r="B24" s="49">
        <v>400</v>
      </c>
      <c r="C24" s="17"/>
      <c r="D24" s="13">
        <v>16526</v>
      </c>
      <c r="E24" s="70">
        <v>400</v>
      </c>
      <c r="F24" s="14"/>
      <c r="G24" s="11">
        <v>16574</v>
      </c>
      <c r="H24" s="67">
        <v>400</v>
      </c>
      <c r="I24" s="12"/>
      <c r="J24" s="61"/>
      <c r="K24" s="71"/>
      <c r="L24" s="62" t="s">
        <v>268</v>
      </c>
      <c r="M24" s="75"/>
      <c r="N24" s="73"/>
      <c r="O24" s="15"/>
    </row>
    <row r="25" spans="1:15" x14ac:dyDescent="0.25">
      <c r="A25" s="16">
        <v>16483</v>
      </c>
      <c r="B25" s="49">
        <v>400</v>
      </c>
      <c r="C25" s="17"/>
      <c r="D25" s="13">
        <v>16527</v>
      </c>
      <c r="E25" s="70">
        <v>200</v>
      </c>
      <c r="F25" s="14"/>
      <c r="G25" s="11">
        <v>16575</v>
      </c>
      <c r="H25" s="67">
        <v>50</v>
      </c>
      <c r="I25" s="12" t="s">
        <v>110</v>
      </c>
      <c r="J25" s="61">
        <v>16593</v>
      </c>
      <c r="K25" s="71">
        <v>400</v>
      </c>
      <c r="L25" s="62" t="s">
        <v>250</v>
      </c>
      <c r="M25" s="75"/>
      <c r="N25" s="73"/>
      <c r="O25" s="15"/>
    </row>
    <row r="26" spans="1:15" x14ac:dyDescent="0.25">
      <c r="A26" s="16">
        <v>16484</v>
      </c>
      <c r="B26" s="49">
        <v>200</v>
      </c>
      <c r="C26" s="17"/>
      <c r="D26" s="13">
        <v>16528</v>
      </c>
      <c r="E26" s="70">
        <v>400</v>
      </c>
      <c r="F26" s="14"/>
      <c r="G26" s="11">
        <v>16576</v>
      </c>
      <c r="H26" s="67">
        <v>900</v>
      </c>
      <c r="I26" s="12" t="s">
        <v>155</v>
      </c>
      <c r="J26" s="61">
        <v>16594</v>
      </c>
      <c r="K26" s="71">
        <v>400</v>
      </c>
      <c r="L26" s="62" t="s">
        <v>250</v>
      </c>
      <c r="M26" s="75"/>
      <c r="N26" s="73"/>
      <c r="O26" s="15"/>
    </row>
    <row r="27" spans="1:15" x14ac:dyDescent="0.25">
      <c r="A27" s="16">
        <v>16485</v>
      </c>
      <c r="B27" s="49">
        <v>400</v>
      </c>
      <c r="C27" s="17" t="s">
        <v>130</v>
      </c>
      <c r="D27" s="13">
        <v>16529</v>
      </c>
      <c r="E27" s="70">
        <v>400</v>
      </c>
      <c r="F27" s="14"/>
      <c r="G27" s="11"/>
      <c r="H27" s="67"/>
      <c r="I27" s="12" t="s">
        <v>23</v>
      </c>
      <c r="J27" s="61">
        <v>16595</v>
      </c>
      <c r="K27" s="71">
        <v>200</v>
      </c>
      <c r="L27" s="62" t="s">
        <v>250</v>
      </c>
      <c r="M27" s="75"/>
      <c r="N27" s="73"/>
      <c r="O27" s="15"/>
    </row>
    <row r="28" spans="1:15" x14ac:dyDescent="0.25">
      <c r="A28" s="16"/>
      <c r="B28" s="49"/>
      <c r="C28" s="17" t="s">
        <v>15</v>
      </c>
      <c r="D28" s="13">
        <v>16530</v>
      </c>
      <c r="E28" s="70">
        <v>800</v>
      </c>
      <c r="F28" s="14" t="s">
        <v>230</v>
      </c>
      <c r="G28" s="11">
        <v>16577</v>
      </c>
      <c r="H28" s="67">
        <v>1500</v>
      </c>
      <c r="I28" s="12" t="s">
        <v>255</v>
      </c>
      <c r="J28" s="61">
        <v>16596</v>
      </c>
      <c r="K28" s="71">
        <v>600</v>
      </c>
      <c r="L28" s="62" t="s">
        <v>130</v>
      </c>
      <c r="M28" s="75"/>
      <c r="N28" s="73"/>
      <c r="O28" s="15"/>
    </row>
    <row r="29" spans="1:15" x14ac:dyDescent="0.25">
      <c r="A29" s="16">
        <v>16486</v>
      </c>
      <c r="B29" s="49">
        <v>300</v>
      </c>
      <c r="C29" s="17"/>
      <c r="D29" s="13"/>
      <c r="E29" s="70"/>
      <c r="F29" s="14" t="s">
        <v>20</v>
      </c>
      <c r="G29" s="11"/>
      <c r="H29" s="67"/>
      <c r="I29" s="12" t="s">
        <v>256</v>
      </c>
      <c r="J29" s="61"/>
      <c r="K29" s="71"/>
      <c r="L29" s="62" t="s">
        <v>23</v>
      </c>
      <c r="M29" s="75"/>
      <c r="N29" s="73"/>
      <c r="O29" s="15"/>
    </row>
    <row r="30" spans="1:15" x14ac:dyDescent="0.25">
      <c r="A30" s="16">
        <v>16487</v>
      </c>
      <c r="B30" s="49">
        <v>400</v>
      </c>
      <c r="C30" s="17"/>
      <c r="D30" s="13">
        <v>16531</v>
      </c>
      <c r="E30" s="70">
        <v>200</v>
      </c>
      <c r="F30" s="14" t="s">
        <v>244</v>
      </c>
      <c r="G30" s="11">
        <v>16578</v>
      </c>
      <c r="H30" s="67">
        <v>400</v>
      </c>
      <c r="I30" s="12" t="s">
        <v>257</v>
      </c>
      <c r="J30" s="61">
        <v>16597</v>
      </c>
      <c r="K30" s="71">
        <v>400</v>
      </c>
      <c r="L30" s="62"/>
      <c r="M30" s="75"/>
      <c r="N30" s="73"/>
      <c r="O30" s="15"/>
    </row>
    <row r="31" spans="1:15" x14ac:dyDescent="0.25">
      <c r="A31" s="16">
        <v>16488</v>
      </c>
      <c r="B31" s="49">
        <v>400</v>
      </c>
      <c r="C31" s="17"/>
      <c r="D31" s="13">
        <v>16532</v>
      </c>
      <c r="E31" s="70">
        <v>400</v>
      </c>
      <c r="F31" s="14"/>
      <c r="G31" s="11">
        <v>16579</v>
      </c>
      <c r="H31" s="67">
        <v>400</v>
      </c>
      <c r="I31" s="12"/>
      <c r="J31" s="61">
        <v>16598</v>
      </c>
      <c r="K31" s="71">
        <v>400</v>
      </c>
      <c r="L31" s="62" t="s">
        <v>162</v>
      </c>
      <c r="M31" s="75"/>
      <c r="N31" s="73"/>
      <c r="O31" s="15"/>
    </row>
    <row r="32" spans="1:15" x14ac:dyDescent="0.25">
      <c r="A32" s="16">
        <v>16489</v>
      </c>
      <c r="B32" s="49">
        <v>125</v>
      </c>
      <c r="C32" s="17"/>
      <c r="D32" s="13">
        <v>16533</v>
      </c>
      <c r="E32" s="70">
        <v>400</v>
      </c>
      <c r="F32" s="14" t="s">
        <v>162</v>
      </c>
      <c r="G32" s="11">
        <v>16580</v>
      </c>
      <c r="H32" s="67">
        <v>600</v>
      </c>
      <c r="I32" s="12" t="s">
        <v>258</v>
      </c>
      <c r="J32" s="61">
        <v>16599</v>
      </c>
      <c r="K32" s="71">
        <v>400</v>
      </c>
      <c r="L32" s="62" t="s">
        <v>162</v>
      </c>
      <c r="M32" s="75"/>
      <c r="N32" s="73"/>
      <c r="O32" s="15"/>
    </row>
    <row r="33" spans="1:15" x14ac:dyDescent="0.25">
      <c r="A33" s="16">
        <v>16490</v>
      </c>
      <c r="B33" s="49">
        <v>400</v>
      </c>
      <c r="C33" s="17"/>
      <c r="D33" s="13">
        <v>16534</v>
      </c>
      <c r="E33" s="70">
        <v>400</v>
      </c>
      <c r="F33" s="14" t="s">
        <v>230</v>
      </c>
      <c r="G33" s="11"/>
      <c r="H33" s="67"/>
      <c r="I33" s="12"/>
      <c r="J33" s="61">
        <v>16600</v>
      </c>
      <c r="K33" s="71">
        <v>500</v>
      </c>
      <c r="L33" s="62" t="s">
        <v>230</v>
      </c>
      <c r="M33" s="75"/>
      <c r="N33" s="73"/>
      <c r="O33" s="15"/>
    </row>
    <row r="34" spans="1:15" x14ac:dyDescent="0.25">
      <c r="A34" s="16">
        <v>16491</v>
      </c>
      <c r="B34" s="49">
        <v>200</v>
      </c>
      <c r="C34" s="17"/>
      <c r="D34" s="13"/>
      <c r="E34" s="70"/>
      <c r="F34" s="14" t="s">
        <v>15</v>
      </c>
      <c r="G34" s="11"/>
      <c r="H34" s="67"/>
      <c r="I34" s="12"/>
      <c r="J34" s="61"/>
      <c r="K34" s="71"/>
      <c r="L34" s="62" t="s">
        <v>69</v>
      </c>
      <c r="M34" s="75"/>
      <c r="N34" s="73"/>
      <c r="O34" s="15"/>
    </row>
    <row r="35" spans="1:15" x14ac:dyDescent="0.25">
      <c r="A35" s="16">
        <v>16492</v>
      </c>
      <c r="B35" s="49">
        <v>350</v>
      </c>
      <c r="C35" s="17"/>
      <c r="D35" s="13">
        <v>16535</v>
      </c>
      <c r="E35" s="70">
        <v>400</v>
      </c>
      <c r="F35" s="14"/>
      <c r="G35" s="11"/>
      <c r="H35" s="67"/>
      <c r="I35" s="12"/>
      <c r="J35" s="61">
        <v>16601</v>
      </c>
      <c r="K35" s="71">
        <v>300</v>
      </c>
      <c r="L35" s="62" t="s">
        <v>111</v>
      </c>
      <c r="M35" s="75"/>
      <c r="N35" s="73"/>
      <c r="O35" s="15"/>
    </row>
    <row r="36" spans="1:15" x14ac:dyDescent="0.25">
      <c r="A36" s="16">
        <v>16493</v>
      </c>
      <c r="B36" s="49">
        <v>400</v>
      </c>
      <c r="C36" s="17"/>
      <c r="D36" s="13">
        <v>16536</v>
      </c>
      <c r="E36" s="70">
        <v>400</v>
      </c>
      <c r="F36" s="14"/>
      <c r="G36" s="11"/>
      <c r="H36" s="67"/>
      <c r="I36" s="12"/>
      <c r="J36" s="61">
        <v>16602</v>
      </c>
      <c r="K36" s="71">
        <v>400</v>
      </c>
      <c r="L36" s="62" t="s">
        <v>250</v>
      </c>
      <c r="M36" s="75"/>
      <c r="N36" s="73"/>
      <c r="O36" s="15"/>
    </row>
    <row r="37" spans="1:15" x14ac:dyDescent="0.25">
      <c r="A37" s="16">
        <v>16494</v>
      </c>
      <c r="B37" s="49">
        <v>200</v>
      </c>
      <c r="C37" s="17"/>
      <c r="D37" s="13">
        <v>16537</v>
      </c>
      <c r="E37" s="70">
        <v>400</v>
      </c>
      <c r="F37" s="14" t="s">
        <v>162</v>
      </c>
      <c r="G37" s="11"/>
      <c r="H37" s="67"/>
      <c r="I37" s="12"/>
      <c r="J37" s="61">
        <v>16603</v>
      </c>
      <c r="K37" s="71">
        <v>300</v>
      </c>
      <c r="L37" s="62" t="s">
        <v>250</v>
      </c>
      <c r="M37" s="75"/>
      <c r="N37" s="73"/>
      <c r="O37" s="15"/>
    </row>
    <row r="38" spans="1:15" x14ac:dyDescent="0.25">
      <c r="A38" s="16">
        <v>16495</v>
      </c>
      <c r="B38" s="49">
        <v>500</v>
      </c>
      <c r="C38" s="17" t="s">
        <v>240</v>
      </c>
      <c r="D38" s="13">
        <v>16538</v>
      </c>
      <c r="E38" s="70">
        <v>250</v>
      </c>
      <c r="F38" s="14"/>
      <c r="G38" s="11"/>
      <c r="H38" s="67"/>
      <c r="I38" s="12"/>
      <c r="J38" s="61">
        <v>16604</v>
      </c>
      <c r="K38" s="71">
        <v>400</v>
      </c>
      <c r="L38" s="62" t="s">
        <v>250</v>
      </c>
      <c r="M38" s="75"/>
      <c r="N38" s="73"/>
      <c r="O38" s="15"/>
    </row>
    <row r="39" spans="1:15" x14ac:dyDescent="0.25">
      <c r="A39" s="16">
        <v>16496</v>
      </c>
      <c r="B39" s="49">
        <v>400</v>
      </c>
      <c r="C39" s="17"/>
      <c r="D39" s="13">
        <v>16539</v>
      </c>
      <c r="E39" s="70">
        <v>250</v>
      </c>
      <c r="F39" s="14"/>
      <c r="G39" s="11"/>
      <c r="H39" s="67"/>
      <c r="I39" s="12"/>
      <c r="J39" s="61">
        <v>16605</v>
      </c>
      <c r="K39" s="71">
        <v>400</v>
      </c>
      <c r="L39" s="62" t="s">
        <v>230</v>
      </c>
      <c r="M39" s="75"/>
      <c r="N39" s="73"/>
      <c r="O39" s="15"/>
    </row>
    <row r="40" spans="1:15" x14ac:dyDescent="0.25">
      <c r="A40" s="16">
        <v>16497</v>
      </c>
      <c r="B40" s="49">
        <v>400</v>
      </c>
      <c r="C40" s="17"/>
      <c r="D40" s="13">
        <v>16540</v>
      </c>
      <c r="E40" s="70">
        <v>400</v>
      </c>
      <c r="F40" s="14" t="s">
        <v>162</v>
      </c>
      <c r="G40" s="11"/>
      <c r="H40" s="67"/>
      <c r="I40" s="12"/>
      <c r="J40" s="61"/>
      <c r="K40" s="71"/>
      <c r="L40" s="62" t="s">
        <v>15</v>
      </c>
      <c r="M40" s="75"/>
      <c r="N40" s="73"/>
      <c r="O40" s="15"/>
    </row>
    <row r="41" spans="1:15" x14ac:dyDescent="0.25">
      <c r="A41" s="16">
        <v>16498</v>
      </c>
      <c r="B41" s="49">
        <v>400</v>
      </c>
      <c r="C41" s="17"/>
      <c r="D41" s="13">
        <v>16541</v>
      </c>
      <c r="E41" s="70">
        <v>400</v>
      </c>
      <c r="F41" s="14" t="s">
        <v>162</v>
      </c>
      <c r="G41" s="11"/>
      <c r="H41" s="67"/>
      <c r="I41" s="12"/>
      <c r="J41" s="61">
        <v>16606</v>
      </c>
      <c r="K41" s="71">
        <v>400</v>
      </c>
      <c r="L41" s="62" t="s">
        <v>130</v>
      </c>
      <c r="M41" s="75"/>
      <c r="N41" s="73"/>
      <c r="O41" s="15"/>
    </row>
    <row r="42" spans="1:15" x14ac:dyDescent="0.25">
      <c r="A42" s="16">
        <v>16499</v>
      </c>
      <c r="B42" s="49">
        <v>400</v>
      </c>
      <c r="C42" s="17"/>
      <c r="D42" s="13">
        <v>16542</v>
      </c>
      <c r="E42" s="70">
        <v>800</v>
      </c>
      <c r="F42" s="14" t="s">
        <v>191</v>
      </c>
      <c r="G42" s="11"/>
      <c r="H42" s="67"/>
      <c r="I42" s="12"/>
      <c r="J42" s="61"/>
      <c r="K42" s="71"/>
      <c r="L42" s="62" t="s">
        <v>15</v>
      </c>
      <c r="M42" s="75"/>
      <c r="N42" s="73"/>
      <c r="O42" s="15"/>
    </row>
    <row r="43" spans="1:15" x14ac:dyDescent="0.25">
      <c r="A43" s="16">
        <v>16500</v>
      </c>
      <c r="B43" s="49">
        <v>400</v>
      </c>
      <c r="C43" s="17"/>
      <c r="D43" s="13"/>
      <c r="E43" s="70"/>
      <c r="F43" s="14" t="s">
        <v>20</v>
      </c>
      <c r="G43" s="11"/>
      <c r="H43" s="67"/>
      <c r="I43" s="12"/>
      <c r="J43" s="61">
        <v>16607</v>
      </c>
      <c r="K43" s="71">
        <v>600</v>
      </c>
      <c r="L43" s="62" t="s">
        <v>269</v>
      </c>
      <c r="M43" s="75"/>
      <c r="N43" s="73"/>
      <c r="O43" s="15"/>
    </row>
    <row r="44" spans="1:15" x14ac:dyDescent="0.25">
      <c r="A44" s="16">
        <v>16501</v>
      </c>
      <c r="B44" s="49">
        <v>400</v>
      </c>
      <c r="C44" s="17"/>
      <c r="D44" s="13">
        <v>16543</v>
      </c>
      <c r="E44" s="70">
        <v>400</v>
      </c>
      <c r="F44" s="14" t="s">
        <v>245</v>
      </c>
      <c r="G44" s="11"/>
      <c r="H44" s="67"/>
      <c r="I44" s="12"/>
      <c r="J44" s="61">
        <v>16608</v>
      </c>
      <c r="K44" s="71">
        <v>200</v>
      </c>
      <c r="L44" s="62" t="s">
        <v>162</v>
      </c>
      <c r="M44" s="75"/>
      <c r="N44" s="73"/>
      <c r="O44" s="15"/>
    </row>
    <row r="45" spans="1:15" x14ac:dyDescent="0.25">
      <c r="A45" s="16">
        <v>16502</v>
      </c>
      <c r="B45" s="49">
        <v>400</v>
      </c>
      <c r="C45" s="17"/>
      <c r="D45" s="13">
        <v>16544</v>
      </c>
      <c r="E45" s="70">
        <v>1000</v>
      </c>
      <c r="F45" s="14" t="s">
        <v>230</v>
      </c>
      <c r="G45" s="11"/>
      <c r="H45" s="67"/>
      <c r="I45" s="12"/>
      <c r="J45" s="61">
        <v>16609</v>
      </c>
      <c r="K45" s="71">
        <v>400</v>
      </c>
      <c r="L45" s="62"/>
      <c r="M45" s="75"/>
      <c r="N45" s="73"/>
      <c r="O45" s="15"/>
    </row>
    <row r="46" spans="1:15" x14ac:dyDescent="0.25">
      <c r="A46" s="16">
        <v>16503</v>
      </c>
      <c r="B46" s="49">
        <v>400</v>
      </c>
      <c r="C46" s="17" t="s">
        <v>130</v>
      </c>
      <c r="D46" s="13"/>
      <c r="E46" s="70"/>
      <c r="F46" s="14" t="s">
        <v>45</v>
      </c>
      <c r="G46" s="11"/>
      <c r="H46" s="67"/>
      <c r="I46" s="12"/>
      <c r="J46" s="61">
        <v>16610</v>
      </c>
      <c r="K46" s="71">
        <v>200</v>
      </c>
      <c r="L46" s="62" t="s">
        <v>162</v>
      </c>
      <c r="M46" s="75"/>
      <c r="N46" s="73"/>
      <c r="O46" s="15"/>
    </row>
    <row r="47" spans="1:15" x14ac:dyDescent="0.25">
      <c r="A47" s="16"/>
      <c r="B47" s="49"/>
      <c r="C47" s="17" t="s">
        <v>15</v>
      </c>
      <c r="D47" s="13">
        <v>16545</v>
      </c>
      <c r="E47" s="70">
        <v>400</v>
      </c>
      <c r="F47" s="14"/>
      <c r="G47" s="11"/>
      <c r="H47" s="67"/>
      <c r="I47" s="12"/>
      <c r="J47" s="61">
        <v>16611</v>
      </c>
      <c r="K47" s="71">
        <v>1200</v>
      </c>
      <c r="L47" s="62" t="s">
        <v>22</v>
      </c>
      <c r="M47" s="75"/>
      <c r="N47" s="73"/>
      <c r="O47" s="15"/>
    </row>
    <row r="48" spans="1:15" x14ac:dyDescent="0.25">
      <c r="A48" s="16">
        <v>16504</v>
      </c>
      <c r="B48" s="49">
        <v>400</v>
      </c>
      <c r="C48" s="17"/>
      <c r="D48" s="13">
        <v>16546</v>
      </c>
      <c r="E48" s="70">
        <v>200</v>
      </c>
      <c r="F48" s="14" t="s">
        <v>162</v>
      </c>
      <c r="G48" s="11"/>
      <c r="H48" s="67"/>
      <c r="I48" s="12"/>
      <c r="J48" s="61"/>
      <c r="K48" s="71"/>
      <c r="L48" s="62" t="s">
        <v>20</v>
      </c>
      <c r="M48" s="75"/>
      <c r="N48" s="73"/>
      <c r="O48" s="15"/>
    </row>
    <row r="49" spans="1:15" x14ac:dyDescent="0.25">
      <c r="A49" s="16">
        <v>16505</v>
      </c>
      <c r="B49" s="49">
        <v>300</v>
      </c>
      <c r="C49" s="17"/>
      <c r="D49" s="13">
        <v>16547</v>
      </c>
      <c r="E49" s="70">
        <v>800</v>
      </c>
      <c r="F49" s="14" t="s">
        <v>191</v>
      </c>
      <c r="G49" s="11"/>
      <c r="H49" s="67"/>
      <c r="I49" s="12"/>
      <c r="J49" s="61"/>
      <c r="K49" s="71"/>
      <c r="L49" s="62" t="s">
        <v>192</v>
      </c>
      <c r="M49" s="75"/>
      <c r="N49" s="73"/>
      <c r="O49" s="15"/>
    </row>
    <row r="50" spans="1:15" x14ac:dyDescent="0.25">
      <c r="A50" s="16">
        <v>16506</v>
      </c>
      <c r="B50" s="49">
        <v>400</v>
      </c>
      <c r="C50" s="17"/>
      <c r="D50" s="13"/>
      <c r="E50" s="70"/>
      <c r="F50" s="14" t="s">
        <v>20</v>
      </c>
      <c r="G50" s="11"/>
      <c r="H50" s="67"/>
      <c r="I50" s="12"/>
      <c r="J50" s="61">
        <v>16612</v>
      </c>
      <c r="K50" s="71">
        <v>200</v>
      </c>
      <c r="L50" s="62" t="s">
        <v>162</v>
      </c>
      <c r="M50" s="75"/>
      <c r="N50" s="73"/>
      <c r="O50" s="15"/>
    </row>
    <row r="51" spans="1:15" x14ac:dyDescent="0.25">
      <c r="A51" s="16">
        <v>16507</v>
      </c>
      <c r="B51" s="49">
        <v>400</v>
      </c>
      <c r="C51" s="17"/>
      <c r="D51" s="13">
        <v>16548</v>
      </c>
      <c r="E51" s="70">
        <v>200</v>
      </c>
      <c r="F51" s="14"/>
      <c r="G51" s="11"/>
      <c r="H51" s="67"/>
      <c r="I51" s="12"/>
      <c r="J51" s="61">
        <v>16613</v>
      </c>
      <c r="K51" s="71">
        <v>4800</v>
      </c>
      <c r="L51" s="62" t="s">
        <v>270</v>
      </c>
      <c r="M51" s="75"/>
      <c r="N51" s="73"/>
      <c r="O51" s="15"/>
    </row>
    <row r="52" spans="1:15" x14ac:dyDescent="0.25">
      <c r="A52" s="16">
        <v>16508</v>
      </c>
      <c r="B52" s="49">
        <v>300</v>
      </c>
      <c r="C52" s="17" t="s">
        <v>162</v>
      </c>
      <c r="D52" s="13">
        <v>16549</v>
      </c>
      <c r="E52" s="70">
        <v>400</v>
      </c>
      <c r="F52" s="14"/>
      <c r="G52" s="11"/>
      <c r="H52" s="67"/>
      <c r="I52" s="12"/>
      <c r="J52" s="61"/>
      <c r="K52" s="71"/>
      <c r="L52" s="62" t="s">
        <v>271</v>
      </c>
      <c r="M52" s="75"/>
      <c r="N52" s="73"/>
      <c r="O52" s="15"/>
    </row>
    <row r="53" spans="1:15" x14ac:dyDescent="0.25">
      <c r="A53" s="16">
        <v>16509</v>
      </c>
      <c r="B53" s="49">
        <v>400</v>
      </c>
      <c r="C53" s="17" t="s">
        <v>162</v>
      </c>
      <c r="D53" s="13">
        <v>16550</v>
      </c>
      <c r="E53" s="70">
        <v>400</v>
      </c>
      <c r="F53" s="14"/>
      <c r="G53" s="11"/>
      <c r="H53" s="67"/>
      <c r="I53" s="12"/>
      <c r="J53" s="61"/>
      <c r="K53" s="71"/>
      <c r="L53" s="62" t="s">
        <v>272</v>
      </c>
      <c r="M53" s="75"/>
      <c r="N53" s="73"/>
      <c r="O53" s="15"/>
    </row>
    <row r="54" spans="1:15" x14ac:dyDescent="0.25">
      <c r="A54" s="16">
        <v>16510</v>
      </c>
      <c r="B54" s="49">
        <v>200</v>
      </c>
      <c r="C54" s="17"/>
      <c r="D54" s="13">
        <v>16551</v>
      </c>
      <c r="E54" s="70">
        <v>400</v>
      </c>
      <c r="F54" s="14"/>
      <c r="G54" s="11"/>
      <c r="H54" s="67"/>
      <c r="I54" s="12"/>
      <c r="J54" s="61">
        <v>16614</v>
      </c>
      <c r="K54" s="71">
        <v>500</v>
      </c>
      <c r="L54" s="62" t="s">
        <v>191</v>
      </c>
      <c r="M54" s="75"/>
      <c r="N54" s="73"/>
      <c r="O54" s="15"/>
    </row>
    <row r="55" spans="1:15" x14ac:dyDescent="0.25">
      <c r="A55" s="16">
        <v>16511</v>
      </c>
      <c r="B55" s="49">
        <v>400</v>
      </c>
      <c r="C55" s="17" t="s">
        <v>111</v>
      </c>
      <c r="D55" s="13">
        <v>16552</v>
      </c>
      <c r="E55" s="70">
        <v>400</v>
      </c>
      <c r="F55" s="14" t="s">
        <v>162</v>
      </c>
      <c r="G55" s="11"/>
      <c r="H55" s="67"/>
      <c r="I55" s="12"/>
      <c r="J55" s="61"/>
      <c r="K55" s="71"/>
      <c r="L55" s="62" t="s">
        <v>69</v>
      </c>
      <c r="M55" s="75"/>
      <c r="N55" s="73"/>
      <c r="O55" s="15"/>
    </row>
    <row r="56" spans="1:15" x14ac:dyDescent="0.25">
      <c r="A56" s="16">
        <v>16512</v>
      </c>
      <c r="B56" s="49">
        <v>400</v>
      </c>
      <c r="C56" s="17" t="s">
        <v>162</v>
      </c>
      <c r="D56" s="13">
        <v>16553</v>
      </c>
      <c r="E56" s="70">
        <v>400</v>
      </c>
      <c r="F56" s="14" t="s">
        <v>191</v>
      </c>
      <c r="G56" s="11"/>
      <c r="H56" s="67"/>
      <c r="I56" s="12"/>
      <c r="J56" s="61">
        <v>16615</v>
      </c>
      <c r="K56" s="71"/>
      <c r="L56" s="62" t="s">
        <v>27</v>
      </c>
      <c r="M56" s="75"/>
      <c r="N56" s="73"/>
      <c r="O56" s="15"/>
    </row>
    <row r="57" spans="1:15" x14ac:dyDescent="0.25">
      <c r="A57" s="16">
        <v>16513</v>
      </c>
      <c r="B57" s="49">
        <v>400</v>
      </c>
      <c r="C57" s="17" t="s">
        <v>111</v>
      </c>
      <c r="D57" s="13"/>
      <c r="E57" s="70"/>
      <c r="F57" s="14" t="s">
        <v>15</v>
      </c>
      <c r="G57" s="11"/>
      <c r="H57" s="67"/>
      <c r="I57" s="12"/>
      <c r="J57" s="61">
        <v>16616</v>
      </c>
      <c r="K57" s="71">
        <v>200</v>
      </c>
      <c r="L57" s="62" t="s">
        <v>111</v>
      </c>
      <c r="M57" s="75"/>
      <c r="N57" s="73"/>
      <c r="O57" s="15"/>
    </row>
    <row r="58" spans="1:15" x14ac:dyDescent="0.25">
      <c r="A58" s="16"/>
      <c r="B58" s="49"/>
      <c r="C58" s="17"/>
      <c r="D58" s="13">
        <v>16554</v>
      </c>
      <c r="E58" s="70">
        <v>300</v>
      </c>
      <c r="F58" s="14"/>
      <c r="G58" s="11"/>
      <c r="H58" s="67"/>
      <c r="I58" s="12"/>
      <c r="J58" s="61">
        <v>16617</v>
      </c>
      <c r="K58" s="71">
        <v>800</v>
      </c>
      <c r="L58" s="62" t="s">
        <v>104</v>
      </c>
      <c r="M58" s="75"/>
      <c r="N58" s="73"/>
      <c r="O58" s="15"/>
    </row>
    <row r="59" spans="1:15" x14ac:dyDescent="0.25">
      <c r="A59" s="16"/>
      <c r="B59" s="49"/>
      <c r="C59" s="17"/>
      <c r="D59" s="13">
        <v>16555</v>
      </c>
      <c r="E59" s="70">
        <v>950</v>
      </c>
      <c r="F59" s="14" t="s">
        <v>246</v>
      </c>
      <c r="G59" s="11"/>
      <c r="H59" s="67"/>
      <c r="I59" s="12"/>
      <c r="J59" s="61"/>
      <c r="K59" s="71"/>
      <c r="L59" s="62" t="s">
        <v>20</v>
      </c>
      <c r="M59" s="75"/>
      <c r="N59" s="73"/>
      <c r="O59" s="15"/>
    </row>
    <row r="60" spans="1:15" x14ac:dyDescent="0.25">
      <c r="A60" s="16"/>
      <c r="B60" s="49"/>
      <c r="C60" s="17"/>
      <c r="D60" s="13"/>
      <c r="E60" s="70"/>
      <c r="F60" s="14" t="s">
        <v>247</v>
      </c>
      <c r="G60" s="11"/>
      <c r="H60" s="67"/>
      <c r="I60" s="12"/>
      <c r="J60" s="61">
        <v>16618</v>
      </c>
      <c r="K60" s="71">
        <v>1600</v>
      </c>
      <c r="L60" s="62" t="s">
        <v>273</v>
      </c>
      <c r="M60" s="75"/>
      <c r="N60" s="73"/>
      <c r="O60" s="15"/>
    </row>
    <row r="61" spans="1:15" x14ac:dyDescent="0.25">
      <c r="A61" s="16"/>
      <c r="B61" s="49"/>
      <c r="C61" s="17"/>
      <c r="D61" s="13">
        <v>16556</v>
      </c>
      <c r="E61" s="70">
        <v>400</v>
      </c>
      <c r="F61" s="14"/>
      <c r="G61" s="11"/>
      <c r="H61" s="67"/>
      <c r="I61" s="12"/>
      <c r="J61" s="61"/>
      <c r="K61" s="71"/>
      <c r="L61" s="62" t="s">
        <v>20</v>
      </c>
      <c r="M61" s="75"/>
      <c r="N61" s="73"/>
      <c r="O61" s="15"/>
    </row>
    <row r="62" spans="1:15" x14ac:dyDescent="0.25">
      <c r="A62" s="16"/>
      <c r="B62" s="49"/>
      <c r="C62" s="17"/>
      <c r="D62" s="13">
        <v>16557</v>
      </c>
      <c r="E62" s="70">
        <v>200</v>
      </c>
      <c r="F62" s="14" t="s">
        <v>30</v>
      </c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/>
      <c r="B63" s="49"/>
      <c r="C63" s="17"/>
      <c r="D63" s="13">
        <v>16558</v>
      </c>
      <c r="E63" s="70">
        <v>800</v>
      </c>
      <c r="F63" s="14" t="s">
        <v>104</v>
      </c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/>
      <c r="B64" s="49"/>
      <c r="C64" s="17"/>
      <c r="D64" s="13">
        <v>16559</v>
      </c>
      <c r="E64" s="70">
        <v>1050</v>
      </c>
      <c r="F64" s="14" t="s">
        <v>155</v>
      </c>
      <c r="G64" s="11"/>
      <c r="H64" s="67"/>
      <c r="I64" s="12"/>
      <c r="J64" s="61"/>
      <c r="K64" s="71"/>
      <c r="L64" s="62"/>
      <c r="M64" s="75"/>
      <c r="N64" s="73"/>
      <c r="O64" s="15"/>
    </row>
    <row r="65" spans="1:19" x14ac:dyDescent="0.25">
      <c r="A65" s="16"/>
      <c r="B65" s="49"/>
      <c r="C65" s="17"/>
      <c r="D65" s="13"/>
      <c r="E65" s="70"/>
      <c r="F65" s="14" t="s">
        <v>43</v>
      </c>
      <c r="G65" s="11"/>
      <c r="H65" s="67"/>
      <c r="I65" s="12"/>
      <c r="J65" s="61"/>
      <c r="K65" s="71"/>
      <c r="L65" s="62"/>
      <c r="M65" s="75"/>
      <c r="N65" s="73"/>
      <c r="O65" s="15"/>
    </row>
    <row r="66" spans="1:19" x14ac:dyDescent="0.25">
      <c r="A66" s="16"/>
      <c r="B66" s="49"/>
      <c r="C66" s="17"/>
      <c r="D66" s="13">
        <v>16560</v>
      </c>
      <c r="E66" s="70">
        <v>400</v>
      </c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9" x14ac:dyDescent="0.25">
      <c r="A67" s="26"/>
      <c r="B67" s="66"/>
      <c r="C67" s="58"/>
      <c r="D67" s="26"/>
      <c r="E67" s="74"/>
      <c r="F67" s="58"/>
      <c r="G67" s="26"/>
      <c r="H67" s="74"/>
      <c r="I67" s="58"/>
      <c r="J67" s="26"/>
      <c r="K67" s="74"/>
      <c r="L67" s="58"/>
      <c r="M67" s="26"/>
      <c r="N67" s="74"/>
      <c r="O67" s="58"/>
      <c r="P67" s="58"/>
      <c r="Q67" s="58"/>
      <c r="R67" s="58"/>
      <c r="S67" s="58"/>
    </row>
    <row r="68" spans="1:19" x14ac:dyDescent="0.25">
      <c r="A68" s="26"/>
      <c r="B68" s="66"/>
      <c r="C68" s="58"/>
      <c r="D68" s="26"/>
      <c r="E68" s="74"/>
      <c r="F68" s="58"/>
      <c r="G68" s="26"/>
      <c r="H68" s="74"/>
      <c r="I68" s="143"/>
      <c r="J68" s="26"/>
      <c r="K68" s="74"/>
      <c r="L68" s="58"/>
      <c r="M68" s="26"/>
      <c r="N68" s="74"/>
      <c r="O68" s="58"/>
      <c r="P68" s="58"/>
      <c r="Q68" s="58"/>
      <c r="R68" s="58"/>
      <c r="S68" s="58"/>
    </row>
    <row r="69" spans="1:19" x14ac:dyDescent="0.25">
      <c r="A69" s="26"/>
      <c r="B69" s="66"/>
      <c r="C69" s="58"/>
      <c r="D69" s="26"/>
      <c r="E69" s="74"/>
      <c r="F69" s="58"/>
      <c r="G69" s="26"/>
      <c r="H69" s="74"/>
      <c r="I69" s="58"/>
      <c r="J69" s="26"/>
      <c r="K69" s="74"/>
      <c r="L69" s="58"/>
      <c r="M69" s="26"/>
      <c r="N69" s="74"/>
      <c r="O69" s="58"/>
      <c r="P69" s="58"/>
      <c r="Q69" s="58"/>
      <c r="R69" s="58"/>
      <c r="S69" s="58"/>
    </row>
    <row r="70" spans="1:19" x14ac:dyDescent="0.25">
      <c r="A70" s="26"/>
      <c r="B70" s="66"/>
      <c r="C70" s="58"/>
      <c r="D70" s="26"/>
      <c r="E70" s="74"/>
      <c r="F70" s="58"/>
      <c r="G70" s="26"/>
      <c r="H70" s="74"/>
      <c r="I70" s="58"/>
      <c r="J70" s="26"/>
      <c r="K70" s="74"/>
      <c r="L70" s="58"/>
      <c r="M70" s="26"/>
      <c r="N70" s="74"/>
      <c r="O70" s="58"/>
      <c r="P70" s="58"/>
      <c r="Q70" s="58"/>
      <c r="R70" s="58"/>
      <c r="S70" s="58"/>
    </row>
    <row r="71" spans="1:19" x14ac:dyDescent="0.25">
      <c r="A71" s="26"/>
      <c r="B71" s="66"/>
      <c r="C71" s="58"/>
      <c r="D71" s="26"/>
      <c r="E71" s="74"/>
      <c r="F71" s="58"/>
      <c r="G71" s="26"/>
      <c r="H71" s="74"/>
      <c r="I71" s="58"/>
      <c r="J71" s="26"/>
      <c r="K71" s="74"/>
      <c r="L71" s="58"/>
      <c r="M71" s="26"/>
      <c r="N71" s="74"/>
      <c r="O71" s="58"/>
      <c r="P71" s="58"/>
      <c r="Q71" s="58"/>
      <c r="R71" s="58"/>
      <c r="S71" s="58"/>
    </row>
    <row r="72" spans="1:19" x14ac:dyDescent="0.25">
      <c r="A72" s="26"/>
      <c r="B72" s="66"/>
      <c r="C72" s="58"/>
      <c r="D72" s="26"/>
      <c r="E72" s="74"/>
      <c r="F72" s="58"/>
      <c r="G72" s="26"/>
      <c r="H72" s="74"/>
      <c r="I72" s="58"/>
      <c r="J72" s="26"/>
      <c r="K72" s="74"/>
      <c r="L72" s="58"/>
      <c r="M72" s="26"/>
      <c r="N72" s="74"/>
      <c r="O72" s="58"/>
      <c r="P72" s="58"/>
      <c r="Q72" s="58"/>
      <c r="R72" s="58"/>
      <c r="S72" s="58"/>
    </row>
    <row r="73" spans="1:19" x14ac:dyDescent="0.25">
      <c r="A73" s="26"/>
      <c r="B73" s="66"/>
      <c r="C73" s="58"/>
      <c r="D73" s="26"/>
      <c r="E73" s="74"/>
      <c r="F73" s="58"/>
      <c r="G73" s="26"/>
      <c r="H73" s="74"/>
      <c r="I73" s="58"/>
      <c r="J73" s="26"/>
      <c r="K73" s="74"/>
      <c r="L73" s="58"/>
      <c r="M73" s="26"/>
      <c r="N73" s="74"/>
      <c r="O73" s="58"/>
      <c r="P73" s="58"/>
      <c r="Q73" s="58"/>
      <c r="R73" s="58"/>
      <c r="S73" s="58"/>
    </row>
    <row r="74" spans="1:19" x14ac:dyDescent="0.25">
      <c r="A74" s="26"/>
      <c r="B74" s="66"/>
      <c r="C74" s="58"/>
      <c r="D74" s="26"/>
      <c r="E74" s="74"/>
      <c r="F74" s="58"/>
      <c r="G74" s="26"/>
      <c r="H74" s="74"/>
      <c r="I74" s="58"/>
      <c r="J74" s="26"/>
      <c r="K74" s="74"/>
      <c r="L74" s="58"/>
      <c r="M74" s="26"/>
      <c r="N74" s="74"/>
      <c r="O74" s="58"/>
      <c r="P74" s="58"/>
      <c r="Q74" s="58"/>
      <c r="R74" s="58"/>
      <c r="S74" s="58"/>
    </row>
    <row r="75" spans="1:19" x14ac:dyDescent="0.25">
      <c r="A75" s="26"/>
      <c r="B75" s="66"/>
      <c r="C75" s="58"/>
      <c r="D75" s="26"/>
      <c r="E75" s="74"/>
      <c r="F75" s="58"/>
      <c r="G75" s="26"/>
      <c r="H75" s="74"/>
      <c r="I75" s="58"/>
      <c r="J75" s="26"/>
      <c r="K75" s="74"/>
      <c r="L75" s="58"/>
      <c r="M75" s="26"/>
      <c r="N75" s="74"/>
      <c r="O75" s="58"/>
      <c r="P75" s="58"/>
      <c r="Q75" s="58"/>
      <c r="R75" s="58"/>
      <c r="S75" s="58"/>
    </row>
    <row r="76" spans="1:19" x14ac:dyDescent="0.25">
      <c r="A76" s="26"/>
      <c r="B76" s="66"/>
      <c r="C76" s="58"/>
      <c r="D76" s="26"/>
      <c r="E76" s="74"/>
      <c r="F76" s="58"/>
      <c r="G76" s="26"/>
      <c r="H76" s="74"/>
      <c r="I76" s="58"/>
      <c r="J76" s="26"/>
      <c r="K76" s="74"/>
      <c r="L76" s="58"/>
      <c r="M76" s="26"/>
      <c r="N76" s="74"/>
      <c r="O76" s="58"/>
      <c r="P76" s="58"/>
      <c r="Q76" s="58"/>
      <c r="R76" s="58"/>
      <c r="S76" s="58"/>
    </row>
    <row r="77" spans="1:19" x14ac:dyDescent="0.25">
      <c r="A77" s="26"/>
      <c r="B77" s="66"/>
      <c r="C77" s="58"/>
      <c r="D77" s="26"/>
      <c r="E77" s="74"/>
      <c r="F77" s="58"/>
      <c r="G77" s="26"/>
      <c r="H77" s="74"/>
      <c r="I77" s="58"/>
      <c r="J77" s="26"/>
      <c r="K77" s="74"/>
      <c r="L77" s="58"/>
      <c r="M77" s="26"/>
      <c r="N77" s="74"/>
      <c r="O77" s="58"/>
      <c r="P77" s="58"/>
      <c r="Q77" s="58"/>
      <c r="R77" s="58"/>
      <c r="S77" s="58"/>
    </row>
    <row r="78" spans="1:19" x14ac:dyDescent="0.25">
      <c r="A78" s="26"/>
      <c r="B78" s="66"/>
      <c r="C78" s="58"/>
      <c r="D78" s="26"/>
      <c r="E78" s="74"/>
      <c r="F78" s="58"/>
      <c r="G78" s="26"/>
      <c r="H78" s="74"/>
      <c r="I78" s="58"/>
      <c r="J78" s="26"/>
      <c r="K78" s="74"/>
      <c r="L78" s="58"/>
      <c r="M78" s="26"/>
      <c r="N78" s="74"/>
      <c r="O78" s="58"/>
      <c r="P78" s="58"/>
      <c r="Q78" s="58"/>
      <c r="R78" s="58"/>
      <c r="S78" s="58"/>
    </row>
    <row r="79" spans="1:19" x14ac:dyDescent="0.25">
      <c r="A79" s="26"/>
      <c r="B79" s="66"/>
      <c r="C79" s="58"/>
      <c r="D79" s="26"/>
      <c r="E79" s="74"/>
      <c r="F79" s="58"/>
      <c r="G79" s="26"/>
      <c r="H79" s="74"/>
      <c r="I79" s="58"/>
      <c r="J79" s="26"/>
      <c r="K79" s="74"/>
      <c r="L79" s="58"/>
      <c r="M79" s="26"/>
      <c r="N79" s="74"/>
      <c r="O79" s="58"/>
      <c r="P79" s="58"/>
      <c r="Q79" s="58"/>
      <c r="R79" s="58"/>
      <c r="S79" s="58"/>
    </row>
    <row r="80" spans="1:19" x14ac:dyDescent="0.25">
      <c r="A80" s="26"/>
      <c r="B80" s="66"/>
      <c r="C80" s="58"/>
      <c r="D80" s="26"/>
      <c r="E80" s="74"/>
      <c r="F80" s="58"/>
      <c r="G80" s="26"/>
      <c r="H80" s="74"/>
      <c r="I80" s="58"/>
      <c r="J80" s="26"/>
      <c r="K80" s="74"/>
      <c r="L80" s="58"/>
      <c r="M80" s="26"/>
      <c r="N80" s="74"/>
      <c r="O80" s="58"/>
      <c r="P80" s="58"/>
      <c r="Q80" s="58"/>
      <c r="R80" s="58"/>
      <c r="S80" s="58"/>
    </row>
    <row r="81" spans="1:19" x14ac:dyDescent="0.25">
      <c r="A81" s="26"/>
      <c r="B81" s="66"/>
      <c r="C81" s="58"/>
      <c r="D81" s="26"/>
      <c r="E81" s="74"/>
      <c r="F81" s="58"/>
      <c r="G81" s="26"/>
      <c r="H81" s="74"/>
      <c r="I81" s="58"/>
      <c r="J81" s="26"/>
      <c r="K81" s="74"/>
      <c r="L81" s="58"/>
      <c r="M81" s="26"/>
      <c r="N81" s="74"/>
      <c r="O81" s="58"/>
      <c r="P81" s="58"/>
      <c r="Q81" s="58"/>
      <c r="R81" s="58"/>
      <c r="S81" s="58"/>
    </row>
    <row r="82" spans="1:19" x14ac:dyDescent="0.25">
      <c r="A82" s="26"/>
      <c r="B82" s="66"/>
      <c r="C82" s="58"/>
      <c r="D82" s="26"/>
      <c r="E82" s="74"/>
      <c r="F82" s="58"/>
      <c r="G82" s="26"/>
      <c r="H82" s="74"/>
      <c r="I82" s="58"/>
      <c r="J82" s="26"/>
      <c r="K82" s="74"/>
      <c r="L82" s="58"/>
      <c r="M82" s="26"/>
      <c r="N82" s="74"/>
      <c r="O82" s="58"/>
      <c r="P82" s="58"/>
      <c r="Q82" s="58"/>
      <c r="R82" s="58"/>
      <c r="S82" s="58"/>
    </row>
    <row r="83" spans="1:19" x14ac:dyDescent="0.25">
      <c r="A83" s="26"/>
      <c r="B83" s="66"/>
      <c r="C83" s="58"/>
      <c r="D83" s="26"/>
      <c r="E83" s="74"/>
      <c r="F83" s="58"/>
      <c r="G83" s="26"/>
      <c r="H83" s="74"/>
      <c r="I83" s="58"/>
      <c r="J83" s="26"/>
      <c r="K83" s="74"/>
      <c r="L83" s="58"/>
      <c r="M83" s="26"/>
      <c r="N83" s="74"/>
      <c r="O83" s="58"/>
      <c r="P83" s="58"/>
      <c r="Q83" s="58"/>
      <c r="R83" s="58"/>
      <c r="S83" s="58"/>
    </row>
    <row r="84" spans="1:19" x14ac:dyDescent="0.25">
      <c r="A84" s="26"/>
      <c r="B84" s="66"/>
      <c r="C84" s="58"/>
      <c r="D84" s="26"/>
      <c r="E84" s="74"/>
      <c r="F84" s="58"/>
      <c r="G84" s="26"/>
      <c r="H84" s="74"/>
      <c r="I84" s="58"/>
      <c r="J84" s="26"/>
      <c r="K84" s="74"/>
      <c r="L84" s="58"/>
      <c r="M84" s="26"/>
      <c r="N84" s="74"/>
      <c r="O84" s="58"/>
      <c r="P84" s="58"/>
      <c r="Q84" s="58"/>
      <c r="R84" s="58"/>
      <c r="S84" s="58"/>
    </row>
    <row r="85" spans="1:19" x14ac:dyDescent="0.25">
      <c r="A85" s="26"/>
      <c r="B85" s="66"/>
      <c r="C85" s="58"/>
      <c r="D85" s="26"/>
      <c r="E85" s="74"/>
      <c r="F85" s="58"/>
      <c r="G85" s="26"/>
      <c r="H85" s="74"/>
      <c r="I85" s="58"/>
      <c r="J85" s="26"/>
      <c r="K85" s="74"/>
      <c r="L85" s="58"/>
      <c r="M85" s="26"/>
      <c r="N85" s="74"/>
      <c r="O85" s="58"/>
      <c r="P85" s="58"/>
      <c r="Q85" s="58"/>
      <c r="R85" s="58"/>
      <c r="S85" s="58"/>
    </row>
    <row r="86" spans="1:19" x14ac:dyDescent="0.25">
      <c r="A86" s="26"/>
      <c r="B86" s="66"/>
      <c r="C86" s="58"/>
      <c r="D86" s="26"/>
      <c r="E86" s="74"/>
      <c r="F86" s="58"/>
      <c r="G86" s="26"/>
      <c r="H86" s="74"/>
      <c r="I86" s="58"/>
      <c r="J86" s="26"/>
      <c r="K86" s="74"/>
      <c r="L86" s="58"/>
      <c r="M86" s="26"/>
      <c r="N86" s="74"/>
      <c r="O86" s="58"/>
      <c r="P86" s="58"/>
      <c r="Q86" s="58"/>
      <c r="R86" s="58"/>
      <c r="S86" s="58"/>
    </row>
    <row r="87" spans="1:19" x14ac:dyDescent="0.25">
      <c r="A87" s="26"/>
      <c r="B87" s="66"/>
      <c r="C87" s="58"/>
      <c r="D87" s="26"/>
      <c r="E87" s="74"/>
      <c r="F87" s="58"/>
      <c r="G87" s="26"/>
      <c r="H87" s="74"/>
      <c r="I87" s="58"/>
      <c r="J87" s="26"/>
      <c r="K87" s="74"/>
      <c r="L87" s="58"/>
      <c r="M87" s="26"/>
      <c r="N87" s="74"/>
      <c r="O87" s="58"/>
      <c r="P87" s="58"/>
      <c r="Q87" s="58"/>
      <c r="R87" s="58"/>
      <c r="S87" s="58"/>
    </row>
    <row r="88" spans="1:19" x14ac:dyDescent="0.25">
      <c r="A88" s="26"/>
      <c r="B88" s="66"/>
      <c r="C88" s="58"/>
      <c r="D88" s="26"/>
      <c r="E88" s="74"/>
      <c r="F88" s="58"/>
      <c r="G88" s="26"/>
      <c r="H88" s="74"/>
      <c r="I88" s="58"/>
      <c r="J88" s="26"/>
      <c r="K88" s="74"/>
      <c r="L88" s="58"/>
      <c r="M88" s="26"/>
      <c r="N88" s="74"/>
      <c r="O88" s="58"/>
      <c r="P88" s="58"/>
      <c r="Q88" s="58"/>
      <c r="R88" s="58"/>
      <c r="S88" s="58"/>
    </row>
    <row r="89" spans="1:19" x14ac:dyDescent="0.25">
      <c r="A89" s="26"/>
      <c r="B89" s="66"/>
      <c r="C89" s="58"/>
      <c r="D89" s="26"/>
      <c r="E89" s="74"/>
      <c r="F89" s="58"/>
      <c r="G89" s="26"/>
      <c r="H89" s="74"/>
      <c r="I89" s="58"/>
      <c r="J89" s="26"/>
      <c r="K89" s="74"/>
      <c r="L89" s="58"/>
      <c r="M89" s="26"/>
      <c r="N89" s="74"/>
      <c r="O89" s="58"/>
      <c r="P89" s="58"/>
      <c r="Q89" s="58"/>
      <c r="R89" s="58"/>
      <c r="S89" s="58"/>
    </row>
    <row r="90" spans="1:19" x14ac:dyDescent="0.25">
      <c r="A90" s="26"/>
      <c r="B90" s="66"/>
      <c r="C90" s="58"/>
      <c r="D90" s="26"/>
      <c r="E90" s="74"/>
      <c r="F90" s="58"/>
      <c r="G90" s="26"/>
      <c r="H90" s="74"/>
      <c r="I90" s="58"/>
      <c r="J90" s="26"/>
      <c r="K90" s="74"/>
      <c r="L90" s="58"/>
      <c r="M90" s="26"/>
      <c r="N90" s="74"/>
      <c r="O90" s="58"/>
      <c r="P90" s="58"/>
      <c r="Q90" s="58"/>
      <c r="R90" s="58"/>
      <c r="S90" s="58"/>
    </row>
    <row r="91" spans="1:19" x14ac:dyDescent="0.25">
      <c r="A91" s="26"/>
      <c r="B91" s="66"/>
      <c r="C91" s="58"/>
      <c r="D91" s="26"/>
      <c r="E91" s="74"/>
      <c r="F91" s="58"/>
      <c r="G91" s="26"/>
      <c r="H91" s="74"/>
      <c r="I91" s="58"/>
      <c r="J91" s="26"/>
      <c r="K91" s="74"/>
      <c r="L91" s="58"/>
      <c r="M91" s="26"/>
      <c r="N91" s="74"/>
      <c r="O91" s="58"/>
      <c r="P91" s="58"/>
      <c r="Q91" s="58"/>
      <c r="R91" s="58"/>
      <c r="S91" s="58"/>
    </row>
    <row r="92" spans="1:19" x14ac:dyDescent="0.25">
      <c r="A92" s="26"/>
      <c r="B92" s="66"/>
      <c r="C92" s="58"/>
      <c r="D92" s="26"/>
      <c r="E92" s="74"/>
      <c r="F92" s="58"/>
      <c r="G92" s="26"/>
      <c r="H92" s="74"/>
      <c r="I92" s="58"/>
      <c r="J92" s="26"/>
      <c r="K92" s="74"/>
      <c r="L92" s="58"/>
      <c r="M92" s="26"/>
      <c r="N92" s="74"/>
      <c r="O92" s="58"/>
      <c r="P92" s="58"/>
      <c r="Q92" s="58"/>
      <c r="R92" s="58"/>
      <c r="S92" s="58"/>
    </row>
    <row r="93" spans="1:19" x14ac:dyDescent="0.25">
      <c r="A93" s="26"/>
      <c r="B93" s="66"/>
      <c r="C93" s="58"/>
      <c r="D93" s="64"/>
      <c r="E93" s="65"/>
      <c r="F93" s="65"/>
      <c r="G93" s="26"/>
      <c r="H93" s="74"/>
      <c r="I93" s="58"/>
      <c r="J93" s="26"/>
      <c r="K93" s="74"/>
      <c r="L93" s="58"/>
      <c r="M93" s="26"/>
      <c r="N93" s="74"/>
      <c r="O93" s="58"/>
      <c r="P93" s="58"/>
      <c r="Q93" s="58"/>
      <c r="R93" s="58"/>
      <c r="S93" s="58"/>
    </row>
    <row r="94" spans="1:19" x14ac:dyDescent="0.25">
      <c r="A94" s="64"/>
      <c r="B94" s="64"/>
      <c r="C94" s="65"/>
      <c r="D94" s="64"/>
      <c r="E94" s="65"/>
      <c r="F94" s="65"/>
      <c r="G94" s="64"/>
      <c r="H94" s="65"/>
      <c r="I94" s="65"/>
      <c r="J94" s="64"/>
      <c r="K94" s="65"/>
      <c r="L94" s="65"/>
      <c r="M94" s="64"/>
      <c r="N94" s="65"/>
      <c r="O94" s="65"/>
      <c r="P94" s="58"/>
      <c r="Q94" s="58"/>
      <c r="R94" s="58"/>
      <c r="S94" s="58"/>
    </row>
    <row r="95" spans="1:19" x14ac:dyDescent="0.25">
      <c r="A95" s="64"/>
      <c r="B95" s="64"/>
      <c r="C95" s="65"/>
      <c r="D95" s="64"/>
      <c r="E95" s="65"/>
      <c r="F95" s="65"/>
      <c r="G95" s="64"/>
      <c r="H95" s="65"/>
      <c r="I95" s="65"/>
      <c r="J95" s="64"/>
      <c r="K95" s="65"/>
      <c r="L95" s="65"/>
      <c r="M95" s="64"/>
      <c r="N95" s="65"/>
      <c r="O95" s="65"/>
      <c r="P95" s="58"/>
      <c r="Q95" s="58"/>
      <c r="R95" s="58"/>
      <c r="S95" s="58"/>
    </row>
    <row r="96" spans="1:19" x14ac:dyDescent="0.25">
      <c r="A96" s="64"/>
      <c r="B96" s="64"/>
      <c r="C96" s="65"/>
      <c r="D96" s="64"/>
      <c r="E96" s="65"/>
      <c r="F96" s="65"/>
      <c r="G96" s="64"/>
      <c r="H96" s="65"/>
      <c r="I96" s="65"/>
      <c r="J96" s="64"/>
      <c r="K96" s="65"/>
      <c r="L96" s="65"/>
      <c r="M96" s="64"/>
      <c r="N96" s="65"/>
      <c r="O96" s="65"/>
      <c r="P96" s="58"/>
      <c r="Q96" s="58"/>
      <c r="R96" s="58"/>
      <c r="S96" s="58"/>
    </row>
    <row r="97" spans="1:19" x14ac:dyDescent="0.25">
      <c r="A97" s="64"/>
      <c r="B97" s="64"/>
      <c r="C97" s="65"/>
      <c r="D97" s="64"/>
      <c r="E97" s="65"/>
      <c r="F97" s="65"/>
      <c r="G97" s="64"/>
      <c r="H97" s="65"/>
      <c r="I97" s="65"/>
      <c r="J97" s="64"/>
      <c r="K97" s="65"/>
      <c r="L97" s="65"/>
      <c r="M97" s="64"/>
      <c r="N97" s="65"/>
      <c r="O97" s="65"/>
      <c r="P97" s="58"/>
      <c r="Q97" s="58"/>
      <c r="R97" s="58"/>
      <c r="S97" s="58"/>
    </row>
    <row r="98" spans="1:19" x14ac:dyDescent="0.25">
      <c r="A98" s="64"/>
      <c r="B98" s="64"/>
      <c r="C98" s="65"/>
      <c r="D98" s="64"/>
      <c r="E98" s="65"/>
      <c r="F98" s="65"/>
      <c r="G98" s="64"/>
      <c r="H98" s="65"/>
      <c r="I98" s="65"/>
      <c r="J98" s="64"/>
      <c r="K98" s="65"/>
      <c r="L98" s="65"/>
      <c r="M98" s="64"/>
      <c r="N98" s="65"/>
      <c r="O98" s="65"/>
      <c r="P98" s="58"/>
      <c r="Q98" s="58"/>
      <c r="R98" s="58"/>
      <c r="S98" s="58"/>
    </row>
    <row r="99" spans="1:19" x14ac:dyDescent="0.25">
      <c r="A99" s="64"/>
      <c r="B99" s="64"/>
      <c r="C99" s="65"/>
      <c r="D99" s="64"/>
      <c r="E99" s="65"/>
      <c r="F99" s="65"/>
      <c r="G99" s="64"/>
      <c r="H99" s="65"/>
      <c r="I99" s="65"/>
      <c r="J99" s="64"/>
      <c r="K99" s="65"/>
      <c r="L99" s="65"/>
      <c r="M99" s="64"/>
      <c r="N99" s="65"/>
      <c r="O99" s="65"/>
      <c r="P99" s="58"/>
      <c r="Q99" s="58"/>
      <c r="R99" s="58"/>
      <c r="S99" s="58"/>
    </row>
    <row r="100" spans="1:19" x14ac:dyDescent="0.25">
      <c r="A100" s="64"/>
      <c r="B100" s="64"/>
      <c r="C100" s="65"/>
      <c r="D100" s="64"/>
      <c r="E100" s="65"/>
      <c r="F100" s="65"/>
      <c r="G100" s="64"/>
      <c r="H100" s="65"/>
      <c r="I100" s="65"/>
      <c r="J100" s="64"/>
      <c r="K100" s="65"/>
      <c r="L100" s="65"/>
      <c r="M100" s="64"/>
      <c r="N100" s="65"/>
      <c r="O100" s="65"/>
      <c r="P100" s="58"/>
      <c r="Q100" s="58"/>
      <c r="R100" s="58"/>
      <c r="S100" s="58"/>
    </row>
    <row r="101" spans="1:19" x14ac:dyDescent="0.25">
      <c r="A101" s="64"/>
      <c r="B101" s="64"/>
      <c r="C101" s="65"/>
      <c r="D101" s="64"/>
      <c r="E101" s="65"/>
      <c r="F101" s="65"/>
      <c r="G101" s="64"/>
      <c r="H101" s="65"/>
      <c r="I101" s="65"/>
      <c r="J101" s="64"/>
      <c r="K101" s="65"/>
      <c r="L101" s="65"/>
      <c r="M101" s="64"/>
      <c r="N101" s="65"/>
      <c r="O101" s="65"/>
      <c r="P101" s="58"/>
      <c r="Q101" s="58"/>
      <c r="R101" s="58"/>
      <c r="S101" s="58"/>
    </row>
    <row r="102" spans="1:19" x14ac:dyDescent="0.25">
      <c r="A102" s="64"/>
      <c r="B102" s="64"/>
      <c r="C102" s="65"/>
      <c r="D102" s="64"/>
      <c r="E102" s="65"/>
      <c r="F102" s="65"/>
      <c r="G102" s="64"/>
      <c r="H102" s="65"/>
      <c r="I102" s="65"/>
      <c r="J102" s="64"/>
      <c r="K102" s="65"/>
      <c r="L102" s="65"/>
      <c r="M102" s="64"/>
      <c r="N102" s="65"/>
      <c r="O102" s="65"/>
      <c r="P102" s="58"/>
      <c r="Q102" s="58"/>
      <c r="R102" s="58"/>
      <c r="S102" s="58"/>
    </row>
    <row r="103" spans="1:19" x14ac:dyDescent="0.25">
      <c r="A103" s="64"/>
      <c r="B103" s="64"/>
      <c r="C103" s="65"/>
      <c r="D103" s="64"/>
      <c r="E103" s="65"/>
      <c r="F103" s="65"/>
      <c r="G103" s="64"/>
      <c r="H103" s="65"/>
      <c r="I103" s="65"/>
      <c r="J103" s="64"/>
      <c r="K103" s="65"/>
      <c r="L103" s="65"/>
      <c r="M103" s="64"/>
      <c r="N103" s="65"/>
      <c r="O103" s="65"/>
      <c r="P103" s="58"/>
      <c r="Q103" s="58"/>
      <c r="R103" s="58"/>
      <c r="S103" s="58"/>
    </row>
    <row r="104" spans="1:19" x14ac:dyDescent="0.25">
      <c r="A104" s="64"/>
      <c r="B104" s="64"/>
      <c r="C104" s="65"/>
      <c r="D104" s="64"/>
      <c r="E104" s="65"/>
      <c r="F104" s="65"/>
      <c r="G104" s="64"/>
      <c r="H104" s="65"/>
      <c r="I104" s="65"/>
      <c r="J104" s="64"/>
      <c r="K104" s="65"/>
      <c r="L104" s="65"/>
      <c r="M104" s="64"/>
      <c r="N104" s="65"/>
      <c r="O104" s="65"/>
      <c r="P104" s="58"/>
      <c r="Q104" s="58"/>
      <c r="R104" s="58"/>
      <c r="S104" s="58"/>
    </row>
    <row r="105" spans="1:19" x14ac:dyDescent="0.25">
      <c r="A105" s="64"/>
      <c r="B105" s="64"/>
      <c r="C105" s="65"/>
      <c r="D105" s="64"/>
      <c r="E105" s="65"/>
      <c r="F105" s="65"/>
      <c r="G105" s="64"/>
      <c r="H105" s="65"/>
      <c r="I105" s="65"/>
      <c r="J105" s="64"/>
      <c r="K105" s="65"/>
      <c r="L105" s="65"/>
      <c r="M105" s="64"/>
      <c r="N105" s="65"/>
      <c r="O105" s="65"/>
      <c r="P105" s="58"/>
      <c r="Q105" s="58"/>
      <c r="R105" s="58"/>
      <c r="S105" s="58"/>
    </row>
    <row r="106" spans="1:19" x14ac:dyDescent="0.25">
      <c r="A106" s="64"/>
      <c r="B106" s="64"/>
      <c r="C106" s="65"/>
      <c r="D106" s="64"/>
      <c r="E106" s="65"/>
      <c r="F106" s="65"/>
      <c r="G106" s="64"/>
      <c r="H106" s="65"/>
      <c r="I106" s="65"/>
      <c r="J106" s="64"/>
      <c r="K106" s="65"/>
      <c r="L106" s="65"/>
      <c r="M106" s="64"/>
      <c r="N106" s="65"/>
      <c r="O106" s="65"/>
      <c r="P106" s="58"/>
      <c r="Q106" s="58"/>
      <c r="R106" s="58"/>
      <c r="S106" s="58"/>
    </row>
    <row r="107" spans="1:19" x14ac:dyDescent="0.25">
      <c r="A107" s="64"/>
      <c r="B107" s="64"/>
      <c r="C107" s="65"/>
      <c r="D107" s="64"/>
      <c r="E107" s="65"/>
      <c r="F107" s="65"/>
      <c r="G107" s="64"/>
      <c r="H107" s="65"/>
      <c r="I107" s="65"/>
      <c r="J107" s="64"/>
      <c r="K107" s="65"/>
      <c r="L107" s="65"/>
      <c r="M107" s="64"/>
      <c r="N107" s="65"/>
      <c r="O107" s="65"/>
    </row>
    <row r="108" spans="1:19" x14ac:dyDescent="0.25">
      <c r="A108" s="64"/>
      <c r="B108" s="64"/>
      <c r="C108" s="65"/>
      <c r="D108" s="64"/>
      <c r="E108" s="65"/>
      <c r="F108" s="65"/>
      <c r="G108" s="64"/>
      <c r="H108" s="65"/>
      <c r="I108" s="65"/>
      <c r="J108" s="64"/>
      <c r="K108" s="65"/>
      <c r="L108" s="65"/>
      <c r="M108" s="64"/>
      <c r="N108" s="65"/>
      <c r="O108" s="65"/>
    </row>
    <row r="109" spans="1:19" x14ac:dyDescent="0.25">
      <c r="A109" s="64"/>
      <c r="B109" s="64"/>
      <c r="C109" s="65"/>
      <c r="D109" s="64"/>
      <c r="E109" s="65"/>
      <c r="F109" s="65"/>
      <c r="G109" s="64"/>
      <c r="H109" s="65"/>
      <c r="I109" s="65"/>
      <c r="J109" s="64"/>
      <c r="K109" s="65"/>
      <c r="L109" s="65"/>
      <c r="M109" s="64"/>
      <c r="N109" s="65"/>
      <c r="O109" s="65"/>
    </row>
    <row r="110" spans="1:19" x14ac:dyDescent="0.25">
      <c r="A110" s="64"/>
      <c r="B110" s="64"/>
      <c r="C110" s="65"/>
      <c r="D110" s="64"/>
      <c r="E110" s="65"/>
      <c r="F110" s="65"/>
      <c r="G110" s="64"/>
      <c r="H110" s="65"/>
      <c r="I110" s="65"/>
      <c r="J110" s="64"/>
      <c r="K110" s="65"/>
      <c r="L110" s="65"/>
      <c r="M110" s="64"/>
      <c r="N110" s="65"/>
      <c r="O110" s="65"/>
    </row>
    <row r="111" spans="1:19" x14ac:dyDescent="0.25">
      <c r="A111" s="64"/>
      <c r="B111" s="64"/>
      <c r="C111" s="65"/>
      <c r="D111" s="64"/>
      <c r="E111" s="65"/>
      <c r="F111" s="65"/>
      <c r="G111" s="64"/>
      <c r="H111" s="65"/>
      <c r="I111" s="65"/>
      <c r="J111" s="64"/>
      <c r="K111" s="65"/>
      <c r="L111" s="65"/>
      <c r="M111" s="64"/>
      <c r="N111" s="65"/>
      <c r="O111" s="65"/>
    </row>
    <row r="112" spans="1:19" x14ac:dyDescent="0.25">
      <c r="A112" s="64"/>
      <c r="B112" s="64"/>
      <c r="C112" s="65"/>
      <c r="D112" s="64"/>
      <c r="E112" s="65"/>
      <c r="F112" s="65"/>
      <c r="G112" s="64"/>
      <c r="H112" s="65"/>
      <c r="I112" s="65"/>
      <c r="J112" s="64"/>
      <c r="K112" s="65"/>
      <c r="L112" s="65"/>
      <c r="M112" s="64"/>
      <c r="N112" s="65"/>
      <c r="O112" s="65"/>
    </row>
    <row r="113" spans="1:15" x14ac:dyDescent="0.25">
      <c r="A113" s="64"/>
      <c r="B113" s="64"/>
      <c r="C113" s="65"/>
      <c r="D113" s="64"/>
      <c r="E113" s="65"/>
      <c r="F113" s="65"/>
      <c r="G113" s="64"/>
      <c r="H113" s="65"/>
      <c r="I113" s="65"/>
      <c r="J113" s="64"/>
      <c r="K113" s="65"/>
      <c r="L113" s="65"/>
      <c r="M113" s="64"/>
      <c r="N113" s="65"/>
      <c r="O113" s="65"/>
    </row>
    <row r="114" spans="1:15" x14ac:dyDescent="0.25">
      <c r="A114" s="64"/>
      <c r="B114" s="64"/>
      <c r="C114" s="65"/>
      <c r="D114" s="64"/>
      <c r="E114" s="65"/>
      <c r="F114" s="65"/>
      <c r="G114" s="64"/>
      <c r="H114" s="65"/>
      <c r="I114" s="65"/>
      <c r="J114" s="64"/>
      <c r="K114" s="65"/>
      <c r="L114" s="65"/>
      <c r="M114" s="64"/>
      <c r="N114" s="65"/>
      <c r="O114" s="65"/>
    </row>
    <row r="115" spans="1:15" x14ac:dyDescent="0.25">
      <c r="A115" s="64"/>
      <c r="B115" s="64"/>
      <c r="C115" s="65"/>
      <c r="D115" s="64"/>
      <c r="E115" s="65"/>
      <c r="F115" s="65"/>
      <c r="G115" s="64"/>
      <c r="H115" s="65"/>
      <c r="I115" s="65"/>
      <c r="J115" s="64"/>
      <c r="K115" s="65"/>
      <c r="L115" s="65"/>
      <c r="M115" s="64"/>
      <c r="N115" s="65"/>
      <c r="O115" s="65"/>
    </row>
    <row r="116" spans="1:15" x14ac:dyDescent="0.25">
      <c r="A116" s="64"/>
      <c r="B116" s="64"/>
      <c r="C116" s="65"/>
      <c r="D116" s="64"/>
      <c r="E116" s="65"/>
      <c r="F116" s="65"/>
      <c r="G116" s="64"/>
      <c r="H116" s="65"/>
      <c r="I116" s="65"/>
      <c r="J116" s="64"/>
      <c r="K116" s="65"/>
      <c r="L116" s="65"/>
      <c r="M116" s="64"/>
      <c r="N116" s="65"/>
      <c r="O116" s="65"/>
    </row>
    <row r="117" spans="1:15" x14ac:dyDescent="0.25">
      <c r="A117" s="64"/>
      <c r="B117" s="64"/>
      <c r="C117" s="65"/>
      <c r="D117" s="64"/>
      <c r="E117" s="65"/>
      <c r="F117" s="65"/>
      <c r="G117" s="64"/>
      <c r="H117" s="65"/>
      <c r="I117" s="65"/>
      <c r="J117" s="64"/>
      <c r="K117" s="65"/>
      <c r="L117" s="65"/>
      <c r="M117" s="64"/>
      <c r="N117" s="65"/>
      <c r="O117" s="65"/>
    </row>
    <row r="118" spans="1:15" x14ac:dyDescent="0.25">
      <c r="A118" s="64"/>
      <c r="B118" s="64"/>
      <c r="C118" s="65"/>
      <c r="D118" s="64"/>
      <c r="E118" s="65"/>
      <c r="F118" s="65"/>
      <c r="G118" s="64"/>
      <c r="H118" s="65"/>
      <c r="I118" s="65"/>
      <c r="J118" s="64"/>
      <c r="K118" s="65"/>
      <c r="L118" s="65"/>
      <c r="M118" s="64"/>
      <c r="N118" s="65"/>
      <c r="O118" s="65"/>
    </row>
    <row r="119" spans="1:15" x14ac:dyDescent="0.25">
      <c r="A119" s="64"/>
      <c r="B119" s="64"/>
      <c r="C119" s="65"/>
      <c r="D119" s="64"/>
      <c r="E119" s="65"/>
      <c r="F119" s="65"/>
      <c r="G119" s="64"/>
      <c r="H119" s="65"/>
      <c r="I119" s="65"/>
      <c r="J119" s="64"/>
      <c r="K119" s="65"/>
      <c r="L119" s="65"/>
      <c r="M119" s="64"/>
      <c r="N119" s="65"/>
      <c r="O119" s="65"/>
    </row>
    <row r="120" spans="1:15" x14ac:dyDescent="0.25">
      <c r="A120" s="64"/>
      <c r="B120" s="64"/>
      <c r="C120" s="65"/>
      <c r="D120" s="64"/>
      <c r="E120" s="65"/>
      <c r="F120" s="65"/>
      <c r="G120" s="64"/>
      <c r="H120" s="65"/>
      <c r="I120" s="65"/>
      <c r="J120" s="64"/>
      <c r="K120" s="65"/>
      <c r="L120" s="65"/>
      <c r="M120" s="64"/>
      <c r="N120" s="65"/>
      <c r="O120" s="65"/>
    </row>
    <row r="121" spans="1:15" x14ac:dyDescent="0.25">
      <c r="A121" s="64"/>
      <c r="B121" s="64"/>
      <c r="C121" s="65"/>
      <c r="D121" s="64"/>
      <c r="E121" s="65"/>
      <c r="F121" s="65"/>
      <c r="G121" s="64"/>
      <c r="H121" s="65"/>
      <c r="I121" s="65"/>
      <c r="J121" s="64"/>
      <c r="K121" s="65"/>
      <c r="L121" s="65"/>
      <c r="M121" s="64"/>
      <c r="N121" s="65"/>
      <c r="O121" s="65"/>
    </row>
    <row r="122" spans="1:15" x14ac:dyDescent="0.25">
      <c r="A122" s="64"/>
      <c r="B122" s="64"/>
      <c r="C122" s="65"/>
      <c r="D122" s="64"/>
      <c r="E122" s="65"/>
      <c r="F122" s="65"/>
      <c r="G122" s="64"/>
      <c r="H122" s="65"/>
      <c r="I122" s="65"/>
      <c r="J122" s="64"/>
      <c r="K122" s="65"/>
      <c r="L122" s="65"/>
      <c r="M122" s="64"/>
      <c r="N122" s="65"/>
      <c r="O122" s="65"/>
    </row>
    <row r="123" spans="1:15" x14ac:dyDescent="0.25">
      <c r="A123" s="64"/>
      <c r="B123" s="64"/>
      <c r="C123" s="65"/>
      <c r="D123" s="64"/>
      <c r="E123" s="65"/>
      <c r="F123" s="65"/>
      <c r="G123" s="64"/>
      <c r="H123" s="65"/>
      <c r="I123" s="65"/>
      <c r="J123" s="64"/>
      <c r="K123" s="65"/>
      <c r="L123" s="65"/>
      <c r="M123" s="64"/>
      <c r="N123" s="65"/>
      <c r="O123" s="65"/>
    </row>
    <row r="124" spans="1:15" x14ac:dyDescent="0.25">
      <c r="A124" s="64"/>
      <c r="B124" s="64"/>
      <c r="C124" s="65"/>
      <c r="D124" s="64"/>
      <c r="E124" s="65"/>
      <c r="F124" s="65"/>
      <c r="G124" s="64"/>
      <c r="H124" s="65"/>
      <c r="I124" s="65"/>
      <c r="J124" s="64"/>
      <c r="K124" s="65"/>
      <c r="L124" s="65"/>
      <c r="M124" s="64"/>
      <c r="N124" s="65"/>
      <c r="O124" s="65"/>
    </row>
    <row r="125" spans="1:15" x14ac:dyDescent="0.25">
      <c r="A125" s="64"/>
      <c r="B125" s="64"/>
      <c r="C125" s="65"/>
      <c r="D125" s="64"/>
      <c r="E125" s="65"/>
      <c r="F125" s="65"/>
      <c r="G125" s="64"/>
      <c r="H125" s="65"/>
      <c r="I125" s="65"/>
      <c r="J125" s="64"/>
      <c r="K125" s="65"/>
      <c r="L125" s="65"/>
      <c r="M125" s="64"/>
      <c r="N125" s="65"/>
      <c r="O125" s="65"/>
    </row>
    <row r="126" spans="1:15" x14ac:dyDescent="0.25">
      <c r="A126" s="64"/>
      <c r="B126" s="64"/>
      <c r="C126" s="65"/>
      <c r="D126" s="64"/>
      <c r="E126" s="65"/>
      <c r="F126" s="65"/>
      <c r="G126" s="64"/>
      <c r="H126" s="65"/>
      <c r="I126" s="65"/>
      <c r="J126" s="64"/>
      <c r="K126" s="65"/>
      <c r="L126" s="65"/>
      <c r="M126" s="64"/>
      <c r="N126" s="65"/>
      <c r="O126" s="65"/>
    </row>
    <row r="127" spans="1:15" x14ac:dyDescent="0.25">
      <c r="A127" s="64"/>
      <c r="B127" s="64"/>
      <c r="C127" s="65"/>
      <c r="D127" s="64"/>
      <c r="E127" s="65"/>
      <c r="F127" s="65"/>
      <c r="G127" s="64"/>
      <c r="H127" s="65"/>
      <c r="I127" s="65"/>
      <c r="J127" s="64"/>
      <c r="K127" s="65"/>
      <c r="L127" s="65"/>
      <c r="M127" s="64"/>
      <c r="N127" s="65"/>
      <c r="O127" s="65"/>
    </row>
    <row r="128" spans="1:15" x14ac:dyDescent="0.25">
      <c r="A128" s="64"/>
      <c r="B128" s="64"/>
      <c r="C128" s="65"/>
      <c r="D128" s="64"/>
      <c r="E128" s="65"/>
      <c r="F128" s="65"/>
      <c r="G128" s="64"/>
      <c r="H128" s="65"/>
      <c r="I128" s="65"/>
      <c r="J128" s="64"/>
      <c r="K128" s="65"/>
      <c r="L128" s="65"/>
      <c r="M128" s="64"/>
      <c r="N128" s="65"/>
      <c r="O128" s="65"/>
    </row>
    <row r="129" spans="1:15" x14ac:dyDescent="0.25">
      <c r="A129" s="64"/>
      <c r="B129" s="64"/>
      <c r="C129" s="65"/>
      <c r="D129" s="64"/>
      <c r="E129" s="65"/>
      <c r="F129" s="65"/>
      <c r="G129" s="64"/>
      <c r="H129" s="65"/>
      <c r="I129" s="65"/>
      <c r="J129" s="64"/>
      <c r="K129" s="65"/>
      <c r="L129" s="65"/>
      <c r="M129" s="64"/>
      <c r="N129" s="65"/>
      <c r="O129" s="65"/>
    </row>
    <row r="130" spans="1:15" x14ac:dyDescent="0.25">
      <c r="A130" s="64"/>
      <c r="B130" s="64"/>
      <c r="C130" s="65"/>
      <c r="D130" s="64"/>
      <c r="E130" s="65"/>
      <c r="F130" s="65"/>
      <c r="G130" s="64"/>
      <c r="H130" s="65"/>
      <c r="I130" s="65"/>
      <c r="J130" s="64"/>
      <c r="K130" s="65"/>
      <c r="L130" s="65"/>
      <c r="M130" s="64"/>
      <c r="N130" s="65"/>
      <c r="O130" s="65"/>
    </row>
    <row r="131" spans="1:15" x14ac:dyDescent="0.25">
      <c r="A131" s="64"/>
      <c r="B131" s="64"/>
      <c r="C131" s="65"/>
      <c r="D131" s="64"/>
      <c r="E131" s="65"/>
      <c r="F131" s="65"/>
      <c r="G131" s="64"/>
      <c r="H131" s="65"/>
      <c r="I131" s="65"/>
      <c r="J131" s="64"/>
      <c r="K131" s="65"/>
      <c r="L131" s="65"/>
      <c r="M131" s="64"/>
      <c r="N131" s="65"/>
      <c r="O131" s="65"/>
    </row>
    <row r="132" spans="1:15" x14ac:dyDescent="0.25">
      <c r="A132" s="64"/>
      <c r="B132" s="64"/>
      <c r="C132" s="65"/>
      <c r="D132" s="64"/>
      <c r="E132" s="65"/>
      <c r="F132" s="65"/>
      <c r="G132" s="64"/>
      <c r="H132" s="65"/>
      <c r="I132" s="65"/>
      <c r="J132" s="64"/>
      <c r="K132" s="65"/>
      <c r="L132" s="65"/>
      <c r="M132" s="64"/>
      <c r="N132" s="65"/>
      <c r="O132" s="65"/>
    </row>
    <row r="133" spans="1:15" x14ac:dyDescent="0.25">
      <c r="A133" s="64"/>
      <c r="B133" s="64"/>
      <c r="C133" s="65"/>
      <c r="D133" s="64"/>
      <c r="E133" s="65"/>
      <c r="F133" s="65"/>
      <c r="G133" s="64"/>
      <c r="H133" s="65"/>
      <c r="I133" s="65"/>
      <c r="J133" s="64"/>
      <c r="K133" s="65"/>
      <c r="L133" s="65"/>
      <c r="M133" s="64"/>
      <c r="N133" s="65"/>
      <c r="O133" s="65"/>
    </row>
    <row r="134" spans="1:15" x14ac:dyDescent="0.25">
      <c r="A134" s="64"/>
      <c r="B134" s="64"/>
      <c r="C134" s="65"/>
      <c r="D134" s="64"/>
      <c r="E134" s="65"/>
      <c r="F134" s="65"/>
      <c r="G134" s="64"/>
      <c r="H134" s="65"/>
      <c r="I134" s="65"/>
      <c r="J134" s="64"/>
      <c r="K134" s="65"/>
      <c r="L134" s="65"/>
      <c r="M134" s="64"/>
      <c r="N134" s="65"/>
      <c r="O134" s="65"/>
    </row>
    <row r="135" spans="1:15" x14ac:dyDescent="0.25">
      <c r="A135" s="64"/>
      <c r="B135" s="64"/>
      <c r="C135" s="65"/>
      <c r="D135" s="64"/>
      <c r="E135" s="65"/>
      <c r="F135" s="65"/>
      <c r="G135" s="64"/>
      <c r="H135" s="65"/>
      <c r="I135" s="65"/>
      <c r="J135" s="64"/>
      <c r="K135" s="65"/>
      <c r="L135" s="65"/>
      <c r="M135" s="64"/>
      <c r="N135" s="65"/>
      <c r="O135" s="65"/>
    </row>
    <row r="136" spans="1:15" x14ac:dyDescent="0.25">
      <c r="A136" s="64"/>
      <c r="B136" s="64"/>
      <c r="C136" s="65"/>
      <c r="D136" s="64"/>
      <c r="E136" s="65"/>
      <c r="F136" s="65"/>
      <c r="G136" s="64"/>
      <c r="H136" s="65"/>
      <c r="I136" s="65"/>
      <c r="J136" s="64"/>
      <c r="K136" s="65"/>
      <c r="L136" s="65"/>
      <c r="M136" s="64"/>
      <c r="N136" s="65"/>
      <c r="O136" s="65"/>
    </row>
    <row r="137" spans="1:15" x14ac:dyDescent="0.25">
      <c r="A137" s="64"/>
      <c r="B137" s="64"/>
      <c r="C137" s="65"/>
      <c r="D137" s="64"/>
      <c r="E137" s="65"/>
      <c r="F137" s="65"/>
      <c r="G137" s="64"/>
      <c r="H137" s="65"/>
      <c r="I137" s="65"/>
      <c r="J137" s="64"/>
      <c r="K137" s="65"/>
      <c r="L137" s="65"/>
      <c r="M137" s="64"/>
      <c r="N137" s="65"/>
      <c r="O137" s="65"/>
    </row>
    <row r="138" spans="1:15" x14ac:dyDescent="0.25">
      <c r="A138" s="64"/>
      <c r="B138" s="64"/>
      <c r="C138" s="65"/>
      <c r="D138" s="64"/>
      <c r="E138" s="65"/>
      <c r="F138" s="65"/>
      <c r="G138" s="64"/>
      <c r="H138" s="65"/>
      <c r="I138" s="65"/>
      <c r="J138" s="64"/>
      <c r="K138" s="65"/>
      <c r="L138" s="65"/>
      <c r="M138" s="64"/>
      <c r="N138" s="65"/>
      <c r="O138" s="65"/>
    </row>
    <row r="139" spans="1:15" x14ac:dyDescent="0.25">
      <c r="A139" s="64"/>
      <c r="B139" s="64"/>
      <c r="C139" s="65"/>
      <c r="D139" s="64"/>
      <c r="E139" s="65"/>
      <c r="F139" s="65"/>
      <c r="G139" s="64"/>
      <c r="H139" s="65"/>
      <c r="I139" s="65"/>
      <c r="J139" s="64"/>
      <c r="K139" s="65"/>
      <c r="L139" s="65"/>
      <c r="M139" s="64"/>
      <c r="N139" s="65"/>
      <c r="O139" s="65"/>
    </row>
    <row r="140" spans="1:15" x14ac:dyDescent="0.25">
      <c r="A140" s="64"/>
      <c r="B140" s="64"/>
      <c r="C140" s="65"/>
      <c r="D140" s="64"/>
      <c r="E140" s="65"/>
      <c r="F140" s="65"/>
      <c r="G140" s="64"/>
      <c r="H140" s="65"/>
      <c r="I140" s="65"/>
      <c r="J140" s="64"/>
      <c r="K140" s="65"/>
      <c r="L140" s="65"/>
      <c r="M140" s="64"/>
      <c r="N140" s="65"/>
      <c r="O140" s="65"/>
    </row>
    <row r="141" spans="1:15" x14ac:dyDescent="0.25">
      <c r="A141" s="64"/>
      <c r="B141" s="64"/>
      <c r="C141" s="65"/>
      <c r="D141" s="64"/>
      <c r="E141" s="65"/>
      <c r="F141" s="65"/>
      <c r="G141" s="64"/>
      <c r="H141" s="65"/>
      <c r="I141" s="65"/>
      <c r="J141" s="64"/>
      <c r="K141" s="65"/>
      <c r="L141" s="65"/>
      <c r="M141" s="64"/>
      <c r="N141" s="65"/>
      <c r="O141" s="65"/>
    </row>
    <row r="142" spans="1:15" x14ac:dyDescent="0.25">
      <c r="A142" s="64"/>
      <c r="B142" s="64"/>
      <c r="C142" s="65"/>
      <c r="D142" s="64"/>
      <c r="E142" s="65"/>
      <c r="F142" s="65"/>
      <c r="G142" s="64"/>
      <c r="H142" s="65"/>
      <c r="I142" s="65"/>
      <c r="J142" s="64"/>
      <c r="K142" s="65"/>
      <c r="L142" s="65"/>
      <c r="M142" s="64"/>
      <c r="N142" s="65"/>
      <c r="O142" s="65"/>
    </row>
    <row r="143" spans="1:15" x14ac:dyDescent="0.25">
      <c r="A143" s="64"/>
      <c r="B143" s="64"/>
      <c r="C143" s="65"/>
      <c r="D143" s="64"/>
      <c r="E143" s="65"/>
      <c r="F143" s="65"/>
      <c r="G143" s="64"/>
      <c r="H143" s="65"/>
      <c r="I143" s="65"/>
      <c r="J143" s="64"/>
      <c r="K143" s="65"/>
      <c r="L143" s="65"/>
      <c r="M143" s="64"/>
      <c r="N143" s="65"/>
      <c r="O143" s="65"/>
    </row>
    <row r="144" spans="1:15" x14ac:dyDescent="0.25">
      <c r="A144" s="64"/>
      <c r="B144" s="64"/>
      <c r="C144" s="65"/>
      <c r="D144" s="64"/>
      <c r="E144" s="65"/>
      <c r="F144" s="65"/>
      <c r="G144" s="64"/>
      <c r="H144" s="65"/>
      <c r="I144" s="65"/>
      <c r="J144" s="64"/>
      <c r="K144" s="65"/>
      <c r="L144" s="65"/>
      <c r="M144" s="64"/>
      <c r="N144" s="65"/>
      <c r="O144" s="65"/>
    </row>
    <row r="145" spans="1:15" x14ac:dyDescent="0.25">
      <c r="A145" s="64"/>
      <c r="B145" s="64"/>
      <c r="C145" s="65"/>
      <c r="D145" s="64"/>
      <c r="E145" s="65"/>
      <c r="F145" s="65"/>
      <c r="G145" s="64"/>
      <c r="H145" s="65"/>
      <c r="I145" s="65"/>
      <c r="J145" s="64"/>
      <c r="K145" s="65"/>
      <c r="L145" s="65"/>
      <c r="M145" s="64"/>
      <c r="N145" s="65"/>
      <c r="O145" s="65"/>
    </row>
    <row r="146" spans="1:15" x14ac:dyDescent="0.25">
      <c r="A146" s="64"/>
      <c r="B146" s="64"/>
      <c r="C146" s="65"/>
      <c r="D146" s="64"/>
      <c r="E146" s="65"/>
      <c r="F146" s="65"/>
      <c r="G146" s="64"/>
      <c r="H146" s="65"/>
      <c r="I146" s="65"/>
      <c r="J146" s="64"/>
      <c r="K146" s="65"/>
      <c r="L146" s="65"/>
      <c r="M146" s="64"/>
      <c r="N146" s="65"/>
      <c r="O146" s="65"/>
    </row>
    <row r="147" spans="1:15" x14ac:dyDescent="0.25">
      <c r="A147" s="64"/>
      <c r="B147" s="64"/>
      <c r="C147" s="65"/>
      <c r="D147" s="64"/>
      <c r="E147" s="65"/>
      <c r="F147" s="65"/>
      <c r="G147" s="64"/>
      <c r="H147" s="65"/>
      <c r="I147" s="65"/>
      <c r="J147" s="64"/>
      <c r="K147" s="65"/>
      <c r="L147" s="65"/>
      <c r="M147" s="64"/>
      <c r="N147" s="65"/>
      <c r="O147" s="65"/>
    </row>
    <row r="148" spans="1:15" x14ac:dyDescent="0.25">
      <c r="A148" s="64"/>
      <c r="B148" s="64"/>
      <c r="C148" s="65"/>
      <c r="D148" s="64"/>
      <c r="E148" s="65"/>
      <c r="F148" s="65"/>
      <c r="G148" s="64"/>
      <c r="H148" s="65"/>
      <c r="I148" s="65"/>
      <c r="J148" s="64"/>
      <c r="K148" s="65"/>
      <c r="L148" s="65"/>
      <c r="M148" s="64"/>
      <c r="N148" s="65"/>
      <c r="O148" s="65"/>
    </row>
    <row r="149" spans="1:15" x14ac:dyDescent="0.25">
      <c r="A149" s="64"/>
      <c r="B149" s="64"/>
      <c r="C149" s="65"/>
      <c r="D149" s="64"/>
      <c r="E149" s="65"/>
      <c r="F149" s="65"/>
      <c r="G149" s="64"/>
      <c r="H149" s="65"/>
      <c r="I149" s="65"/>
      <c r="J149" s="64"/>
      <c r="K149" s="65"/>
      <c r="L149" s="65"/>
      <c r="M149" s="64"/>
      <c r="N149" s="65"/>
      <c r="O149" s="65"/>
    </row>
    <row r="150" spans="1:15" x14ac:dyDescent="0.25">
      <c r="A150" s="64"/>
      <c r="B150" s="64"/>
      <c r="C150" s="65"/>
      <c r="D150" s="64"/>
      <c r="E150" s="65"/>
      <c r="F150" s="65"/>
      <c r="G150" s="64"/>
      <c r="H150" s="65"/>
      <c r="I150" s="65"/>
      <c r="J150" s="64"/>
      <c r="K150" s="65"/>
      <c r="L150" s="65"/>
      <c r="M150" s="64"/>
      <c r="N150" s="65"/>
      <c r="O150" s="65"/>
    </row>
    <row r="151" spans="1:15" x14ac:dyDescent="0.25">
      <c r="A151" s="64"/>
      <c r="B151" s="64"/>
      <c r="C151" s="65"/>
      <c r="D151" s="64"/>
      <c r="E151" s="65"/>
      <c r="F151" s="65"/>
      <c r="G151" s="64"/>
      <c r="H151" s="65"/>
      <c r="I151" s="65"/>
      <c r="J151" s="64"/>
      <c r="K151" s="65"/>
      <c r="L151" s="65"/>
      <c r="M151" s="64"/>
      <c r="N151" s="65"/>
      <c r="O151" s="65"/>
    </row>
    <row r="152" spans="1:15" x14ac:dyDescent="0.25">
      <c r="A152" s="64"/>
      <c r="B152" s="64"/>
      <c r="C152" s="65"/>
      <c r="D152" s="64"/>
      <c r="E152" s="65"/>
      <c r="F152" s="65"/>
      <c r="G152" s="64"/>
      <c r="H152" s="65"/>
      <c r="I152" s="65"/>
      <c r="J152" s="64"/>
      <c r="K152" s="65"/>
      <c r="L152" s="65"/>
      <c r="M152" s="64"/>
      <c r="N152" s="65"/>
      <c r="O152" s="65"/>
    </row>
    <row r="153" spans="1:15" x14ac:dyDescent="0.25">
      <c r="A153" s="64"/>
      <c r="B153" s="64"/>
      <c r="C153" s="65"/>
      <c r="D153" s="64"/>
      <c r="E153" s="65"/>
      <c r="F153" s="65"/>
      <c r="G153" s="64"/>
      <c r="H153" s="65"/>
      <c r="I153" s="65"/>
      <c r="J153" s="64"/>
      <c r="K153" s="65"/>
      <c r="L153" s="65"/>
      <c r="M153" s="64"/>
      <c r="N153" s="65"/>
      <c r="O153" s="65"/>
    </row>
    <row r="154" spans="1:15" x14ac:dyDescent="0.25">
      <c r="A154" s="64"/>
      <c r="B154" s="64"/>
      <c r="C154" s="65"/>
      <c r="D154" s="64"/>
      <c r="E154" s="65"/>
      <c r="F154" s="65"/>
      <c r="G154" s="64"/>
      <c r="H154" s="65"/>
      <c r="I154" s="65"/>
      <c r="J154" s="64"/>
      <c r="K154" s="65"/>
      <c r="L154" s="65"/>
      <c r="M154" s="64"/>
      <c r="N154" s="65"/>
      <c r="O154" s="65"/>
    </row>
    <row r="155" spans="1:15" x14ac:dyDescent="0.25">
      <c r="A155" s="64"/>
      <c r="B155" s="64"/>
      <c r="C155" s="65"/>
      <c r="D155" s="64"/>
      <c r="E155" s="65"/>
      <c r="F155" s="65"/>
      <c r="G155" s="64"/>
      <c r="H155" s="65"/>
      <c r="I155" s="65"/>
      <c r="J155" s="64"/>
      <c r="K155" s="65"/>
      <c r="L155" s="65"/>
      <c r="M155" s="64"/>
      <c r="N155" s="65"/>
      <c r="O155" s="65"/>
    </row>
    <row r="156" spans="1:15" x14ac:dyDescent="0.25">
      <c r="A156" s="64"/>
      <c r="B156" s="64"/>
      <c r="C156" s="65"/>
      <c r="D156" s="64"/>
      <c r="E156" s="65"/>
      <c r="F156" s="65"/>
      <c r="G156" s="64"/>
      <c r="H156" s="65"/>
      <c r="I156" s="65"/>
      <c r="J156" s="64"/>
      <c r="K156" s="65"/>
      <c r="L156" s="65"/>
      <c r="M156" s="64"/>
      <c r="N156" s="65"/>
      <c r="O156" s="65"/>
    </row>
    <row r="157" spans="1:15" x14ac:dyDescent="0.25">
      <c r="A157" s="64"/>
      <c r="B157" s="64"/>
      <c r="C157" s="65"/>
      <c r="D157" s="64"/>
      <c r="E157" s="65"/>
      <c r="F157" s="65"/>
      <c r="G157" s="64"/>
      <c r="H157" s="65"/>
      <c r="I157" s="65"/>
      <c r="J157" s="64"/>
      <c r="K157" s="65"/>
      <c r="L157" s="65"/>
      <c r="M157" s="64"/>
      <c r="N157" s="65"/>
      <c r="O157" s="65"/>
    </row>
    <row r="158" spans="1:15" x14ac:dyDescent="0.25">
      <c r="A158" s="64"/>
      <c r="B158" s="64"/>
      <c r="C158" s="65"/>
      <c r="D158" s="64"/>
      <c r="E158" s="65"/>
      <c r="F158" s="65"/>
      <c r="G158" s="64"/>
      <c r="H158" s="65"/>
      <c r="I158" s="65"/>
      <c r="J158" s="64"/>
      <c r="K158" s="65"/>
      <c r="L158" s="65"/>
      <c r="M158" s="64"/>
      <c r="N158" s="65"/>
      <c r="O158" s="65"/>
    </row>
    <row r="159" spans="1:15" x14ac:dyDescent="0.25">
      <c r="A159" s="64"/>
      <c r="B159" s="64"/>
      <c r="C159" s="65"/>
      <c r="D159" s="64"/>
      <c r="E159" s="65"/>
      <c r="F159" s="65"/>
      <c r="G159" s="64"/>
      <c r="H159" s="65"/>
      <c r="I159" s="65"/>
      <c r="J159" s="64"/>
      <c r="K159" s="65"/>
      <c r="L159" s="65"/>
      <c r="M159" s="64"/>
      <c r="N159" s="65"/>
      <c r="O159" s="65"/>
    </row>
    <row r="160" spans="1:15" x14ac:dyDescent="0.25">
      <c r="A160" s="64"/>
      <c r="B160" s="64"/>
      <c r="C160" s="65"/>
      <c r="D160" s="64"/>
      <c r="E160" s="65"/>
      <c r="F160" s="65"/>
      <c r="G160" s="64"/>
      <c r="H160" s="65"/>
      <c r="I160" s="65"/>
      <c r="J160" s="64"/>
      <c r="K160" s="65"/>
      <c r="L160" s="65"/>
      <c r="M160" s="64"/>
      <c r="N160" s="65"/>
      <c r="O160" s="65"/>
    </row>
    <row r="161" spans="1:15" x14ac:dyDescent="0.25">
      <c r="A161" s="64"/>
      <c r="B161" s="64"/>
      <c r="C161" s="65"/>
      <c r="D161" s="64"/>
      <c r="E161" s="65"/>
      <c r="F161" s="65"/>
      <c r="G161" s="64"/>
      <c r="H161" s="65"/>
      <c r="I161" s="65"/>
      <c r="J161" s="64"/>
      <c r="K161" s="65"/>
      <c r="L161" s="65"/>
      <c r="M161" s="64"/>
      <c r="N161" s="65"/>
      <c r="O161" s="65"/>
    </row>
    <row r="162" spans="1:15" x14ac:dyDescent="0.25">
      <c r="A162" s="64"/>
      <c r="B162" s="64"/>
      <c r="C162" s="65"/>
      <c r="D162" s="64"/>
      <c r="E162" s="65"/>
      <c r="F162" s="65"/>
      <c r="G162" s="64"/>
      <c r="H162" s="65"/>
      <c r="I162" s="65"/>
      <c r="J162" s="64"/>
      <c r="K162" s="65"/>
      <c r="L162" s="65"/>
      <c r="M162" s="64"/>
      <c r="N162" s="65"/>
      <c r="O162" s="65"/>
    </row>
    <row r="163" spans="1:15" x14ac:dyDescent="0.25">
      <c r="A163" s="64"/>
      <c r="B163" s="64"/>
      <c r="C163" s="65"/>
      <c r="D163" s="64"/>
      <c r="E163" s="65"/>
      <c r="F163" s="65"/>
      <c r="G163" s="64"/>
      <c r="H163" s="65"/>
      <c r="I163" s="65"/>
      <c r="J163" s="64"/>
      <c r="K163" s="65"/>
      <c r="L163" s="65"/>
      <c r="M163" s="64"/>
      <c r="N163" s="65"/>
      <c r="O163" s="65"/>
    </row>
    <row r="164" spans="1:15" x14ac:dyDescent="0.25">
      <c r="A164" s="64"/>
      <c r="B164" s="64"/>
      <c r="C164" s="65"/>
      <c r="D164" s="64"/>
      <c r="E164" s="65"/>
      <c r="F164" s="65"/>
      <c r="G164" s="64"/>
      <c r="H164" s="65"/>
      <c r="I164" s="65"/>
      <c r="J164" s="64"/>
      <c r="K164" s="65"/>
      <c r="L164" s="65"/>
      <c r="M164" s="64"/>
      <c r="N164" s="65"/>
      <c r="O164" s="65"/>
    </row>
    <row r="165" spans="1:15" x14ac:dyDescent="0.25">
      <c r="A165" s="64"/>
      <c r="B165" s="64"/>
      <c r="C165" s="65"/>
      <c r="D165" s="64"/>
      <c r="E165" s="65"/>
      <c r="F165" s="65"/>
      <c r="G165" s="64"/>
      <c r="H165" s="65"/>
      <c r="I165" s="65"/>
      <c r="J165" s="64"/>
      <c r="K165" s="65"/>
      <c r="L165" s="65"/>
      <c r="M165" s="64"/>
      <c r="N165" s="65"/>
      <c r="O165" s="65"/>
    </row>
    <row r="166" spans="1:15" x14ac:dyDescent="0.25">
      <c r="A166" s="64"/>
      <c r="B166" s="64"/>
      <c r="C166" s="65"/>
      <c r="D166" s="64"/>
      <c r="E166" s="65"/>
      <c r="F166" s="65"/>
      <c r="G166" s="64"/>
      <c r="H166" s="65"/>
      <c r="I166" s="65"/>
      <c r="J166" s="64"/>
      <c r="K166" s="65"/>
      <c r="L166" s="65"/>
      <c r="M166" s="64"/>
      <c r="N166" s="65"/>
      <c r="O166" s="65"/>
    </row>
    <row r="167" spans="1:15" x14ac:dyDescent="0.25">
      <c r="A167" s="64"/>
      <c r="B167" s="64"/>
      <c r="C167" s="65"/>
      <c r="D167" s="64"/>
      <c r="E167" s="65"/>
      <c r="F167" s="65"/>
      <c r="G167" s="64"/>
      <c r="H167" s="65"/>
      <c r="I167" s="65"/>
      <c r="J167" s="64"/>
      <c r="K167" s="65"/>
      <c r="L167" s="65"/>
      <c r="M167" s="64"/>
      <c r="N167" s="65"/>
      <c r="O167" s="65"/>
    </row>
    <row r="168" spans="1:15" x14ac:dyDescent="0.25">
      <c r="A168" s="64"/>
      <c r="B168" s="64"/>
      <c r="C168" s="65"/>
      <c r="D168" s="64"/>
      <c r="E168" s="65"/>
      <c r="F168" s="65"/>
      <c r="G168" s="64"/>
      <c r="H168" s="65"/>
      <c r="I168" s="65"/>
      <c r="J168" s="64"/>
      <c r="K168" s="65"/>
      <c r="L168" s="65"/>
      <c r="M168" s="64"/>
      <c r="N168" s="65"/>
      <c r="O168" s="65"/>
    </row>
    <row r="169" spans="1:15" x14ac:dyDescent="0.25">
      <c r="A169" s="64"/>
      <c r="B169" s="64"/>
      <c r="C169" s="65"/>
      <c r="D169" s="64"/>
      <c r="E169" s="65"/>
      <c r="F169" s="65"/>
      <c r="G169" s="64"/>
      <c r="H169" s="65"/>
      <c r="I169" s="65"/>
      <c r="J169" s="64"/>
      <c r="K169" s="65"/>
      <c r="L169" s="65"/>
      <c r="M169" s="64"/>
      <c r="N169" s="65"/>
      <c r="O169" s="65"/>
    </row>
    <row r="170" spans="1:15" x14ac:dyDescent="0.25">
      <c r="A170" s="64"/>
      <c r="B170" s="64"/>
      <c r="C170" s="65"/>
      <c r="D170" s="64"/>
      <c r="E170" s="65"/>
      <c r="F170" s="65"/>
      <c r="G170" s="64"/>
      <c r="H170" s="65"/>
      <c r="I170" s="65"/>
      <c r="J170" s="64"/>
      <c r="K170" s="65"/>
      <c r="L170" s="65"/>
      <c r="M170" s="64"/>
      <c r="N170" s="65"/>
      <c r="O170" s="65"/>
    </row>
    <row r="171" spans="1:15" x14ac:dyDescent="0.25">
      <c r="A171" s="64"/>
      <c r="B171" s="64"/>
      <c r="C171" s="65"/>
      <c r="D171" s="64"/>
      <c r="E171" s="65"/>
      <c r="F171" s="65"/>
      <c r="G171" s="64"/>
      <c r="H171" s="65"/>
      <c r="I171" s="65"/>
      <c r="J171" s="64"/>
      <c r="K171" s="65"/>
      <c r="L171" s="65"/>
      <c r="M171" s="64"/>
      <c r="N171" s="65"/>
      <c r="O171" s="65"/>
    </row>
    <row r="172" spans="1:15" x14ac:dyDescent="0.25">
      <c r="A172" s="64"/>
      <c r="B172" s="64"/>
      <c r="C172" s="65"/>
      <c r="D172" s="64"/>
      <c r="E172" s="65"/>
      <c r="F172" s="65"/>
      <c r="G172" s="64"/>
      <c r="H172" s="65"/>
      <c r="I172" s="65"/>
      <c r="J172" s="64"/>
      <c r="K172" s="65"/>
      <c r="L172" s="65"/>
      <c r="M172" s="64"/>
      <c r="N172" s="65"/>
      <c r="O172" s="65"/>
    </row>
    <row r="173" spans="1:15" x14ac:dyDescent="0.25">
      <c r="A173" s="64"/>
      <c r="B173" s="64"/>
      <c r="C173" s="65"/>
      <c r="D173" s="64"/>
      <c r="E173" s="65"/>
      <c r="F173" s="65"/>
      <c r="G173" s="64"/>
      <c r="H173" s="65"/>
      <c r="I173" s="65"/>
      <c r="J173" s="64"/>
      <c r="K173" s="65"/>
      <c r="L173" s="65"/>
      <c r="M173" s="64"/>
      <c r="N173" s="65"/>
      <c r="O173" s="65"/>
    </row>
    <row r="174" spans="1:15" x14ac:dyDescent="0.25">
      <c r="A174" s="64"/>
      <c r="B174" s="64"/>
      <c r="C174" s="65"/>
      <c r="D174" s="64"/>
      <c r="E174" s="65"/>
      <c r="F174" s="65"/>
      <c r="G174" s="64"/>
      <c r="H174" s="65"/>
      <c r="I174" s="65"/>
      <c r="J174" s="64"/>
      <c r="K174" s="65"/>
      <c r="L174" s="65"/>
      <c r="M174" s="64"/>
      <c r="N174" s="65"/>
      <c r="O174" s="65"/>
    </row>
    <row r="175" spans="1:15" x14ac:dyDescent="0.25">
      <c r="A175" s="64"/>
      <c r="B175" s="64"/>
      <c r="C175" s="65"/>
      <c r="D175" s="64"/>
      <c r="E175" s="65"/>
      <c r="F175" s="65"/>
      <c r="G175" s="64"/>
      <c r="H175" s="65"/>
      <c r="I175" s="65"/>
      <c r="J175" s="64"/>
      <c r="K175" s="65"/>
      <c r="L175" s="65"/>
      <c r="M175" s="64"/>
      <c r="N175" s="65"/>
      <c r="O175" s="65"/>
    </row>
    <row r="176" spans="1:15" x14ac:dyDescent="0.25">
      <c r="A176" s="64"/>
      <c r="B176" s="64"/>
      <c r="C176" s="65"/>
      <c r="D176" s="64"/>
      <c r="E176" s="65"/>
      <c r="F176" s="65"/>
      <c r="G176" s="64"/>
      <c r="H176" s="65"/>
      <c r="I176" s="65"/>
      <c r="J176" s="64"/>
      <c r="K176" s="65"/>
      <c r="L176" s="65"/>
      <c r="M176" s="64"/>
      <c r="N176" s="65"/>
      <c r="O176" s="65"/>
    </row>
    <row r="177" spans="1:15" x14ac:dyDescent="0.25">
      <c r="A177" s="64"/>
      <c r="B177" s="64"/>
      <c r="C177" s="65"/>
      <c r="D177" s="64"/>
      <c r="E177" s="65"/>
      <c r="F177" s="65"/>
      <c r="G177" s="64"/>
      <c r="H177" s="65"/>
      <c r="I177" s="65"/>
      <c r="J177" s="64"/>
      <c r="K177" s="65"/>
      <c r="L177" s="65"/>
      <c r="M177" s="64"/>
      <c r="N177" s="65"/>
      <c r="O177" s="65"/>
    </row>
    <row r="178" spans="1:15" x14ac:dyDescent="0.25">
      <c r="A178" s="64"/>
      <c r="B178" s="64"/>
      <c r="C178" s="65"/>
      <c r="D178" s="64"/>
      <c r="E178" s="65"/>
      <c r="F178" s="65"/>
      <c r="G178" s="64"/>
      <c r="H178" s="65"/>
      <c r="I178" s="65"/>
      <c r="J178" s="64"/>
      <c r="K178" s="65"/>
      <c r="L178" s="65"/>
      <c r="M178" s="64"/>
      <c r="N178" s="65"/>
      <c r="O178" s="65"/>
    </row>
    <row r="179" spans="1:15" x14ac:dyDescent="0.25">
      <c r="A179" s="64"/>
      <c r="B179" s="64"/>
      <c r="C179" s="65"/>
      <c r="D179" s="64"/>
      <c r="E179" s="65"/>
      <c r="F179" s="65"/>
      <c r="G179" s="64"/>
      <c r="H179" s="65"/>
      <c r="I179" s="65"/>
      <c r="J179" s="64"/>
      <c r="K179" s="65"/>
      <c r="L179" s="65"/>
      <c r="M179" s="64"/>
      <c r="N179" s="65"/>
      <c r="O179" s="65"/>
    </row>
    <row r="180" spans="1:15" x14ac:dyDescent="0.25">
      <c r="A180" s="64"/>
      <c r="B180" s="64"/>
      <c r="C180" s="65"/>
      <c r="D180" s="64"/>
      <c r="E180" s="65"/>
      <c r="F180" s="65"/>
      <c r="G180" s="64"/>
      <c r="H180" s="65"/>
      <c r="I180" s="65"/>
      <c r="J180" s="64"/>
      <c r="K180" s="65"/>
      <c r="L180" s="65"/>
      <c r="M180" s="64"/>
      <c r="N180" s="65"/>
      <c r="O180" s="65"/>
    </row>
    <row r="181" spans="1:15" x14ac:dyDescent="0.25">
      <c r="A181" s="64"/>
      <c r="B181" s="64"/>
      <c r="C181" s="65"/>
      <c r="D181" s="64"/>
      <c r="E181" s="65"/>
      <c r="F181" s="65"/>
      <c r="G181" s="64"/>
      <c r="H181" s="65"/>
      <c r="I181" s="65"/>
      <c r="J181" s="64"/>
      <c r="K181" s="65"/>
      <c r="L181" s="65"/>
      <c r="M181" s="64"/>
      <c r="N181" s="65"/>
      <c r="O181" s="65"/>
    </row>
    <row r="182" spans="1:15" x14ac:dyDescent="0.25">
      <c r="A182" s="64"/>
      <c r="B182" s="64"/>
      <c r="C182" s="65"/>
      <c r="D182" s="64"/>
      <c r="E182" s="65"/>
      <c r="F182" s="65"/>
      <c r="G182" s="64"/>
      <c r="H182" s="65"/>
      <c r="I182" s="65"/>
      <c r="J182" s="64"/>
      <c r="K182" s="65"/>
      <c r="L182" s="65"/>
      <c r="M182" s="64"/>
      <c r="N182" s="65"/>
      <c r="O182" s="65"/>
    </row>
    <row r="183" spans="1:15" x14ac:dyDescent="0.25">
      <c r="A183" s="64"/>
      <c r="B183" s="64"/>
      <c r="C183" s="65"/>
      <c r="D183" s="64"/>
      <c r="E183" s="65"/>
      <c r="F183" s="65"/>
      <c r="G183" s="64"/>
      <c r="H183" s="65"/>
      <c r="I183" s="65"/>
      <c r="J183" s="64"/>
      <c r="K183" s="65"/>
      <c r="L183" s="65"/>
      <c r="M183" s="64"/>
      <c r="N183" s="65"/>
      <c r="O183" s="65"/>
    </row>
    <row r="184" spans="1:15" x14ac:dyDescent="0.25">
      <c r="A184" s="64"/>
      <c r="B184" s="64"/>
      <c r="C184" s="65"/>
      <c r="D184" s="64"/>
      <c r="E184" s="65"/>
      <c r="F184" s="65"/>
      <c r="G184" s="64"/>
      <c r="H184" s="65"/>
      <c r="I184" s="65"/>
      <c r="J184" s="64"/>
      <c r="K184" s="65"/>
      <c r="L184" s="65"/>
      <c r="M184" s="64"/>
      <c r="N184" s="65"/>
      <c r="O184" s="65"/>
    </row>
    <row r="185" spans="1:15" x14ac:dyDescent="0.25">
      <c r="A185" s="64"/>
      <c r="B185" s="64"/>
      <c r="C185" s="65"/>
      <c r="D185" s="64"/>
      <c r="E185" s="65"/>
      <c r="F185" s="65"/>
      <c r="G185" s="64"/>
      <c r="H185" s="65"/>
      <c r="I185" s="65"/>
      <c r="J185" s="64"/>
      <c r="K185" s="65"/>
      <c r="L185" s="65"/>
      <c r="M185" s="64"/>
      <c r="N185" s="65"/>
      <c r="O185" s="65"/>
    </row>
    <row r="186" spans="1:15" x14ac:dyDescent="0.25">
      <c r="A186" s="64"/>
      <c r="B186" s="64"/>
      <c r="C186" s="65"/>
      <c r="D186" s="64"/>
      <c r="E186" s="65"/>
      <c r="F186" s="65"/>
      <c r="G186" s="64"/>
      <c r="H186" s="65"/>
      <c r="I186" s="65"/>
      <c r="J186" s="64"/>
      <c r="K186" s="65"/>
      <c r="L186" s="65"/>
      <c r="M186" s="64"/>
      <c r="N186" s="65"/>
      <c r="O186" s="65"/>
    </row>
    <row r="187" spans="1:15" x14ac:dyDescent="0.25">
      <c r="A187" s="64"/>
      <c r="B187" s="64"/>
      <c r="C187" s="65"/>
      <c r="D187" s="64"/>
      <c r="E187" s="65"/>
      <c r="F187" s="65"/>
      <c r="G187" s="64"/>
      <c r="H187" s="65"/>
      <c r="I187" s="65"/>
      <c r="J187" s="64"/>
      <c r="K187" s="65"/>
      <c r="L187" s="65"/>
      <c r="M187" s="64"/>
      <c r="N187" s="65"/>
      <c r="O187" s="65"/>
    </row>
    <row r="188" spans="1:15" x14ac:dyDescent="0.25">
      <c r="A188" s="64"/>
      <c r="B188" s="64"/>
      <c r="C188" s="65"/>
      <c r="D188" s="64"/>
      <c r="E188" s="65"/>
      <c r="F188" s="65"/>
      <c r="G188" s="64"/>
      <c r="H188" s="65"/>
      <c r="I188" s="65"/>
      <c r="J188" s="64"/>
      <c r="K188" s="65"/>
      <c r="L188" s="65"/>
      <c r="M188" s="64"/>
      <c r="N188" s="65"/>
      <c r="O188" s="65"/>
    </row>
    <row r="189" spans="1:15" x14ac:dyDescent="0.25">
      <c r="A189" s="64"/>
      <c r="B189" s="64"/>
      <c r="C189" s="65"/>
      <c r="D189" s="64"/>
      <c r="E189" s="65"/>
      <c r="F189" s="65"/>
      <c r="G189" s="64"/>
      <c r="H189" s="65"/>
      <c r="I189" s="65"/>
      <c r="J189" s="64"/>
      <c r="K189" s="65"/>
      <c r="L189" s="65"/>
      <c r="M189" s="64"/>
      <c r="N189" s="65"/>
      <c r="O189" s="65"/>
    </row>
    <row r="190" spans="1:15" x14ac:dyDescent="0.25">
      <c r="A190" s="64"/>
      <c r="B190" s="64"/>
      <c r="C190" s="65"/>
      <c r="D190" s="64"/>
      <c r="E190" s="65"/>
      <c r="F190" s="65"/>
      <c r="G190" s="64"/>
      <c r="H190" s="65"/>
      <c r="I190" s="65"/>
      <c r="J190" s="64"/>
      <c r="K190" s="65"/>
      <c r="L190" s="65"/>
      <c r="M190" s="64"/>
      <c r="N190" s="65"/>
      <c r="O190" s="65"/>
    </row>
    <row r="191" spans="1:15" x14ac:dyDescent="0.25">
      <c r="A191" s="64"/>
      <c r="B191" s="64"/>
      <c r="C191" s="65"/>
      <c r="D191" s="64"/>
      <c r="E191" s="65"/>
      <c r="F191" s="65"/>
      <c r="G191" s="64"/>
      <c r="H191" s="65"/>
      <c r="I191" s="65"/>
      <c r="J191" s="64"/>
      <c r="K191" s="65"/>
      <c r="L191" s="65"/>
      <c r="M191" s="64"/>
      <c r="N191" s="65"/>
      <c r="O191" s="65"/>
    </row>
    <row r="192" spans="1:15" x14ac:dyDescent="0.25">
      <c r="A192" s="64"/>
      <c r="B192" s="64"/>
      <c r="C192" s="65"/>
      <c r="D192" s="64"/>
      <c r="E192" s="65"/>
      <c r="F192" s="65"/>
      <c r="G192" s="64"/>
      <c r="H192" s="65"/>
      <c r="I192" s="65"/>
      <c r="J192" s="64"/>
      <c r="K192" s="65"/>
      <c r="L192" s="65"/>
      <c r="M192" s="64"/>
      <c r="N192" s="65"/>
      <c r="O192" s="65"/>
    </row>
    <row r="193" spans="1:15" x14ac:dyDescent="0.25">
      <c r="A193" s="64"/>
      <c r="B193" s="64"/>
      <c r="C193" s="65"/>
      <c r="D193" s="64"/>
      <c r="E193" s="65"/>
      <c r="F193" s="65"/>
      <c r="G193" s="64"/>
      <c r="H193" s="65"/>
      <c r="I193" s="65"/>
      <c r="J193" s="64"/>
      <c r="K193" s="65"/>
      <c r="L193" s="65"/>
      <c r="M193" s="64"/>
      <c r="N193" s="65"/>
      <c r="O193" s="65"/>
    </row>
    <row r="194" spans="1:15" x14ac:dyDescent="0.25">
      <c r="A194" s="64"/>
      <c r="B194" s="64"/>
      <c r="C194" s="65"/>
      <c r="D194" s="64"/>
      <c r="E194" s="65"/>
      <c r="F194" s="65"/>
      <c r="G194" s="64"/>
      <c r="H194" s="65"/>
      <c r="I194" s="65"/>
      <c r="J194" s="64"/>
      <c r="K194" s="65"/>
      <c r="L194" s="65"/>
      <c r="M194" s="64"/>
      <c r="N194" s="65"/>
      <c r="O194" s="65"/>
    </row>
    <row r="195" spans="1:15" x14ac:dyDescent="0.25">
      <c r="A195" s="64"/>
      <c r="B195" s="64"/>
      <c r="C195" s="65"/>
      <c r="D195" s="64"/>
      <c r="E195" s="65"/>
      <c r="F195" s="65"/>
      <c r="G195" s="64"/>
      <c r="H195" s="65"/>
      <c r="I195" s="65"/>
      <c r="J195" s="64"/>
      <c r="K195" s="65"/>
      <c r="L195" s="65"/>
      <c r="M195" s="64"/>
      <c r="N195" s="65"/>
      <c r="O195" s="65"/>
    </row>
    <row r="196" spans="1:15" x14ac:dyDescent="0.25">
      <c r="A196" s="64"/>
      <c r="B196" s="64"/>
      <c r="C196" s="65"/>
      <c r="D196" s="64"/>
      <c r="E196" s="65"/>
      <c r="F196" s="65"/>
      <c r="G196" s="64"/>
      <c r="H196" s="65"/>
      <c r="I196" s="65"/>
      <c r="J196" s="64"/>
      <c r="K196" s="65"/>
      <c r="L196" s="65"/>
      <c r="M196" s="64"/>
      <c r="N196" s="65"/>
      <c r="O196" s="65"/>
    </row>
    <row r="197" spans="1:15" x14ac:dyDescent="0.25">
      <c r="A197" s="64"/>
      <c r="B197" s="64"/>
      <c r="C197" s="65"/>
      <c r="D197" s="64"/>
      <c r="E197" s="65"/>
      <c r="F197" s="65"/>
      <c r="G197" s="64"/>
      <c r="H197" s="65"/>
      <c r="I197" s="65"/>
      <c r="J197" s="64"/>
      <c r="K197" s="65"/>
      <c r="L197" s="65"/>
      <c r="M197" s="64"/>
      <c r="N197" s="65"/>
      <c r="O197" s="65"/>
    </row>
    <row r="198" spans="1:15" x14ac:dyDescent="0.25">
      <c r="A198" s="64"/>
      <c r="B198" s="64"/>
      <c r="C198" s="65"/>
      <c r="D198" s="64"/>
      <c r="E198" s="65"/>
      <c r="F198" s="65"/>
      <c r="G198" s="64"/>
      <c r="H198" s="65"/>
      <c r="I198" s="65"/>
      <c r="J198" s="64"/>
      <c r="K198" s="65"/>
      <c r="L198" s="65"/>
      <c r="M198" s="64"/>
      <c r="N198" s="65"/>
      <c r="O198" s="65"/>
    </row>
    <row r="199" spans="1:15" x14ac:dyDescent="0.25">
      <c r="A199" s="64"/>
      <c r="B199" s="64"/>
      <c r="C199" s="65"/>
      <c r="D199" s="64"/>
      <c r="E199" s="65"/>
      <c r="F199" s="65"/>
      <c r="G199" s="64"/>
      <c r="H199" s="65"/>
      <c r="I199" s="65"/>
      <c r="J199" s="64"/>
      <c r="K199" s="65"/>
      <c r="L199" s="65"/>
      <c r="M199" s="64"/>
      <c r="N199" s="65"/>
      <c r="O199" s="65"/>
    </row>
    <row r="200" spans="1:15" x14ac:dyDescent="0.25">
      <c r="A200" s="64"/>
      <c r="B200" s="64"/>
      <c r="C200" s="65"/>
      <c r="D200" s="64"/>
      <c r="E200" s="65"/>
      <c r="F200" s="65"/>
      <c r="G200" s="64"/>
      <c r="H200" s="65"/>
      <c r="I200" s="65"/>
      <c r="J200" s="64"/>
      <c r="K200" s="65"/>
      <c r="L200" s="65"/>
      <c r="M200" s="64"/>
      <c r="N200" s="65"/>
      <c r="O200" s="65"/>
    </row>
    <row r="201" spans="1:15" x14ac:dyDescent="0.25">
      <c r="A201" s="64"/>
      <c r="B201" s="64"/>
      <c r="C201" s="65"/>
      <c r="D201" s="64"/>
      <c r="E201" s="65"/>
      <c r="F201" s="65"/>
      <c r="G201" s="64"/>
      <c r="H201" s="65"/>
      <c r="I201" s="65"/>
      <c r="J201" s="64"/>
      <c r="K201" s="65"/>
      <c r="L201" s="65"/>
      <c r="M201" s="64"/>
      <c r="N201" s="65"/>
      <c r="O201" s="65"/>
    </row>
    <row r="202" spans="1:15" x14ac:dyDescent="0.25">
      <c r="A202" s="64"/>
      <c r="B202" s="64"/>
      <c r="C202" s="65"/>
      <c r="D202" s="64"/>
      <c r="E202" s="65"/>
      <c r="F202" s="65"/>
      <c r="G202" s="64"/>
      <c r="H202" s="65"/>
      <c r="I202" s="65"/>
      <c r="J202" s="64"/>
      <c r="K202" s="65"/>
      <c r="L202" s="65"/>
      <c r="M202" s="64"/>
      <c r="N202" s="65"/>
      <c r="O202" s="65"/>
    </row>
    <row r="203" spans="1:15" x14ac:dyDescent="0.25">
      <c r="A203" s="64"/>
      <c r="B203" s="64"/>
      <c r="C203" s="65"/>
      <c r="D203" s="64"/>
      <c r="E203" s="65"/>
      <c r="F203" s="65"/>
      <c r="G203" s="64"/>
      <c r="H203" s="65"/>
      <c r="I203" s="65"/>
      <c r="J203" s="64"/>
      <c r="K203" s="65"/>
      <c r="L203" s="65"/>
      <c r="M203" s="64"/>
      <c r="N203" s="65"/>
      <c r="O203" s="65"/>
    </row>
    <row r="204" spans="1:15" x14ac:dyDescent="0.25">
      <c r="A204" s="64"/>
      <c r="B204" s="64"/>
      <c r="C204" s="65"/>
      <c r="D204" s="64"/>
      <c r="E204" s="65"/>
      <c r="F204" s="65"/>
      <c r="G204" s="64"/>
      <c r="H204" s="65"/>
      <c r="I204" s="65"/>
      <c r="J204" s="64"/>
      <c r="K204" s="65"/>
      <c r="L204" s="65"/>
      <c r="M204" s="64"/>
      <c r="N204" s="65"/>
      <c r="O204" s="65"/>
    </row>
    <row r="205" spans="1:15" x14ac:dyDescent="0.25">
      <c r="A205" s="64"/>
      <c r="B205" s="64"/>
      <c r="C205" s="65"/>
      <c r="D205" s="64"/>
      <c r="E205" s="65"/>
      <c r="F205" s="65"/>
      <c r="G205" s="64"/>
      <c r="H205" s="65"/>
      <c r="I205" s="65"/>
      <c r="J205" s="64"/>
      <c r="K205" s="65"/>
      <c r="L205" s="65"/>
      <c r="M205" s="64"/>
      <c r="N205" s="65"/>
      <c r="O205" s="65"/>
    </row>
    <row r="206" spans="1:15" x14ac:dyDescent="0.25">
      <c r="A206" s="64"/>
      <c r="B206" s="64"/>
      <c r="C206" s="65"/>
      <c r="D206" s="64"/>
      <c r="E206" s="65"/>
      <c r="F206" s="65"/>
      <c r="G206" s="64"/>
      <c r="H206" s="65"/>
      <c r="I206" s="65"/>
      <c r="J206" s="64"/>
      <c r="K206" s="65"/>
      <c r="L206" s="65"/>
      <c r="M206" s="64"/>
      <c r="N206" s="65"/>
      <c r="O206" s="65"/>
    </row>
    <row r="207" spans="1:15" x14ac:dyDescent="0.25">
      <c r="A207" s="64"/>
      <c r="B207" s="64"/>
      <c r="C207" s="65"/>
      <c r="D207" s="64"/>
      <c r="E207" s="65"/>
      <c r="F207" s="65"/>
      <c r="G207" s="64"/>
      <c r="H207" s="65"/>
      <c r="I207" s="65"/>
      <c r="J207" s="64"/>
      <c r="K207" s="65"/>
      <c r="L207" s="65"/>
      <c r="M207" s="64"/>
      <c r="N207" s="65"/>
      <c r="O207" s="65"/>
    </row>
    <row r="208" spans="1:15" x14ac:dyDescent="0.25">
      <c r="A208" s="64"/>
      <c r="B208" s="64"/>
      <c r="C208" s="65"/>
      <c r="D208" s="64"/>
      <c r="E208" s="65"/>
      <c r="F208" s="65"/>
      <c r="G208" s="64"/>
      <c r="H208" s="65"/>
      <c r="I208" s="65"/>
      <c r="J208" s="64"/>
      <c r="K208" s="65"/>
      <c r="L208" s="65"/>
      <c r="M208" s="64"/>
      <c r="N208" s="65"/>
      <c r="O208" s="65"/>
    </row>
    <row r="209" spans="1:15" x14ac:dyDescent="0.25">
      <c r="A209" s="64"/>
      <c r="B209" s="64"/>
      <c r="C209" s="65"/>
      <c r="D209" s="64"/>
      <c r="E209" s="65"/>
      <c r="F209" s="65"/>
      <c r="G209" s="64"/>
      <c r="H209" s="65"/>
      <c r="I209" s="65"/>
      <c r="J209" s="64"/>
      <c r="K209" s="65"/>
      <c r="L209" s="65"/>
      <c r="M209" s="64"/>
      <c r="N209" s="65"/>
      <c r="O209" s="65"/>
    </row>
    <row r="210" spans="1:15" x14ac:dyDescent="0.25">
      <c r="A210" s="64"/>
      <c r="B210" s="64"/>
      <c r="C210" s="65"/>
      <c r="D210" s="64"/>
      <c r="E210" s="65"/>
      <c r="F210" s="65"/>
      <c r="G210" s="64"/>
      <c r="H210" s="65"/>
      <c r="I210" s="65"/>
      <c r="J210" s="64"/>
      <c r="K210" s="65"/>
      <c r="L210" s="65"/>
      <c r="M210" s="64"/>
      <c r="N210" s="65"/>
      <c r="O210" s="65"/>
    </row>
    <row r="211" spans="1:15" x14ac:dyDescent="0.25">
      <c r="A211" s="64"/>
      <c r="B211" s="64"/>
      <c r="C211" s="65"/>
      <c r="D211" s="64"/>
      <c r="E211" s="65"/>
      <c r="F211" s="65"/>
      <c r="G211" s="64"/>
      <c r="H211" s="65"/>
      <c r="I211" s="65"/>
      <c r="J211" s="64"/>
      <c r="K211" s="65"/>
      <c r="L211" s="65"/>
      <c r="M211" s="64"/>
      <c r="N211" s="65"/>
      <c r="O211" s="65"/>
    </row>
    <row r="212" spans="1:15" x14ac:dyDescent="0.25">
      <c r="A212" s="64"/>
      <c r="B212" s="64"/>
      <c r="C212" s="65"/>
      <c r="D212" s="64"/>
      <c r="E212" s="65"/>
      <c r="F212" s="65"/>
      <c r="G212" s="64"/>
      <c r="H212" s="65"/>
      <c r="I212" s="65"/>
      <c r="J212" s="64"/>
      <c r="K212" s="65"/>
      <c r="L212" s="65"/>
      <c r="M212" s="64"/>
      <c r="N212" s="65"/>
      <c r="O212" s="65"/>
    </row>
    <row r="213" spans="1:15" x14ac:dyDescent="0.25">
      <c r="A213" s="64"/>
      <c r="B213" s="64"/>
      <c r="C213" s="65"/>
      <c r="D213" s="64"/>
      <c r="E213" s="65"/>
      <c r="F213" s="65"/>
      <c r="G213" s="64"/>
      <c r="H213" s="65"/>
      <c r="I213" s="65"/>
      <c r="J213" s="64"/>
      <c r="K213" s="65"/>
      <c r="L213" s="65"/>
      <c r="M213" s="64"/>
      <c r="N213" s="65"/>
      <c r="O213" s="65"/>
    </row>
    <row r="214" spans="1:15" x14ac:dyDescent="0.25">
      <c r="A214" s="64"/>
      <c r="B214" s="64"/>
      <c r="C214" s="65"/>
      <c r="D214" s="64"/>
      <c r="E214" s="65"/>
      <c r="F214" s="65"/>
      <c r="G214" s="64"/>
      <c r="H214" s="65"/>
      <c r="I214" s="65"/>
      <c r="J214" s="64"/>
      <c r="K214" s="65"/>
      <c r="L214" s="65"/>
      <c r="M214" s="64"/>
      <c r="N214" s="65"/>
      <c r="O214" s="65"/>
    </row>
    <row r="215" spans="1:15" x14ac:dyDescent="0.25">
      <c r="A215" s="64"/>
      <c r="B215" s="64"/>
      <c r="C215" s="65"/>
      <c r="D215" s="64"/>
      <c r="E215" s="65"/>
      <c r="F215" s="65"/>
      <c r="G215" s="64"/>
      <c r="H215" s="65"/>
      <c r="I215" s="65"/>
      <c r="J215" s="64"/>
      <c r="K215" s="65"/>
      <c r="L215" s="65"/>
      <c r="M215" s="64"/>
      <c r="N215" s="65"/>
      <c r="O215" s="65"/>
    </row>
    <row r="216" spans="1:15" x14ac:dyDescent="0.25">
      <c r="A216" s="64"/>
      <c r="B216" s="64"/>
      <c r="C216" s="65"/>
      <c r="D216" s="64"/>
      <c r="E216" s="65"/>
      <c r="F216" s="65"/>
      <c r="G216" s="64"/>
      <c r="H216" s="65"/>
      <c r="I216" s="65"/>
      <c r="J216" s="64"/>
      <c r="K216" s="65"/>
      <c r="L216" s="65"/>
      <c r="M216" s="64"/>
      <c r="N216" s="65"/>
      <c r="O216" s="65"/>
    </row>
    <row r="217" spans="1:15" x14ac:dyDescent="0.25">
      <c r="A217" s="64"/>
      <c r="B217" s="64"/>
      <c r="C217" s="65"/>
      <c r="D217" s="64"/>
      <c r="E217" s="65"/>
      <c r="F217" s="65"/>
      <c r="G217" s="64"/>
      <c r="H217" s="65"/>
      <c r="I217" s="65"/>
      <c r="J217" s="64"/>
      <c r="K217" s="65"/>
      <c r="L217" s="65"/>
      <c r="M217" s="64"/>
      <c r="N217" s="65"/>
      <c r="O217" s="65"/>
    </row>
    <row r="218" spans="1:15" x14ac:dyDescent="0.25">
      <c r="A218" s="64"/>
      <c r="B218" s="64"/>
      <c r="C218" s="65"/>
      <c r="D218" s="64"/>
      <c r="E218" s="65"/>
      <c r="F218" s="65"/>
      <c r="G218" s="64"/>
      <c r="H218" s="65"/>
      <c r="I218" s="65"/>
      <c r="J218" s="64"/>
      <c r="K218" s="65"/>
      <c r="L218" s="65"/>
      <c r="M218" s="64"/>
      <c r="N218" s="65"/>
      <c r="O218" s="65"/>
    </row>
    <row r="219" spans="1:15" x14ac:dyDescent="0.25">
      <c r="A219" s="64"/>
      <c r="B219" s="64"/>
      <c r="C219" s="65"/>
      <c r="D219" s="64"/>
      <c r="E219" s="65"/>
      <c r="F219" s="65"/>
      <c r="G219" s="64"/>
      <c r="H219" s="65"/>
      <c r="I219" s="65"/>
      <c r="J219" s="64"/>
      <c r="K219" s="65"/>
      <c r="L219" s="65"/>
      <c r="M219" s="64"/>
      <c r="N219" s="65"/>
      <c r="O219" s="65"/>
    </row>
    <row r="220" spans="1:15" x14ac:dyDescent="0.25">
      <c r="A220" s="64"/>
      <c r="B220" s="64"/>
      <c r="C220" s="65"/>
      <c r="D220" s="64"/>
      <c r="E220" s="65"/>
      <c r="F220" s="65"/>
      <c r="G220" s="64"/>
      <c r="H220" s="65"/>
      <c r="I220" s="65"/>
      <c r="J220" s="64"/>
      <c r="K220" s="65"/>
      <c r="L220" s="65"/>
      <c r="M220" s="64"/>
      <c r="N220" s="65"/>
      <c r="O220" s="65"/>
    </row>
    <row r="221" spans="1:15" x14ac:dyDescent="0.25">
      <c r="A221" s="64"/>
      <c r="B221" s="64"/>
      <c r="C221" s="65"/>
      <c r="D221" s="64"/>
      <c r="E221" s="65"/>
      <c r="F221" s="65"/>
      <c r="G221" s="64"/>
      <c r="H221" s="65"/>
      <c r="I221" s="65"/>
      <c r="J221" s="64"/>
      <c r="K221" s="65"/>
      <c r="L221" s="65"/>
      <c r="M221" s="64"/>
      <c r="N221" s="65"/>
      <c r="O221" s="65"/>
    </row>
    <row r="222" spans="1:15" x14ac:dyDescent="0.25">
      <c r="A222" s="64"/>
      <c r="B222" s="64"/>
      <c r="C222" s="65"/>
      <c r="D222" s="64"/>
      <c r="E222" s="65"/>
      <c r="F222" s="65"/>
      <c r="G222" s="64"/>
      <c r="H222" s="65"/>
      <c r="I222" s="65"/>
      <c r="J222" s="64"/>
      <c r="K222" s="65"/>
      <c r="L222" s="65"/>
      <c r="M222" s="64"/>
      <c r="N222" s="65"/>
      <c r="O222" s="65"/>
    </row>
    <row r="223" spans="1:15" x14ac:dyDescent="0.25">
      <c r="A223" s="64"/>
      <c r="B223" s="64"/>
      <c r="C223" s="65"/>
      <c r="D223" s="64"/>
      <c r="E223" s="65"/>
      <c r="F223" s="65"/>
      <c r="G223" s="64"/>
      <c r="H223" s="65"/>
      <c r="I223" s="65"/>
      <c r="J223" s="64"/>
      <c r="K223" s="65"/>
      <c r="L223" s="65"/>
      <c r="M223" s="64"/>
      <c r="N223" s="65"/>
      <c r="O223" s="65"/>
    </row>
    <row r="224" spans="1:15" x14ac:dyDescent="0.25">
      <c r="A224" s="64"/>
      <c r="B224" s="64"/>
      <c r="C224" s="65"/>
      <c r="D224" s="64"/>
      <c r="E224" s="65"/>
      <c r="F224" s="65"/>
      <c r="G224" s="64"/>
      <c r="H224" s="65"/>
      <c r="I224" s="65"/>
      <c r="J224" s="64"/>
      <c r="K224" s="65"/>
      <c r="L224" s="65"/>
      <c r="M224" s="64"/>
      <c r="N224" s="65"/>
      <c r="O224" s="65"/>
    </row>
    <row r="225" spans="1:15" x14ac:dyDescent="0.25">
      <c r="A225" s="64"/>
      <c r="B225" s="64"/>
      <c r="C225" s="65"/>
      <c r="D225" s="64"/>
      <c r="E225" s="65"/>
      <c r="F225" s="65"/>
      <c r="G225" s="64"/>
      <c r="H225" s="65"/>
      <c r="I225" s="65"/>
      <c r="J225" s="64"/>
      <c r="K225" s="65"/>
      <c r="L225" s="65"/>
      <c r="M225" s="64"/>
      <c r="N225" s="65"/>
      <c r="O225" s="65"/>
    </row>
    <row r="226" spans="1:15" x14ac:dyDescent="0.25">
      <c r="A226" s="64"/>
      <c r="B226" s="64"/>
      <c r="C226" s="65"/>
      <c r="D226" s="64"/>
      <c r="E226" s="65"/>
      <c r="F226" s="65"/>
      <c r="G226" s="64"/>
      <c r="H226" s="65"/>
      <c r="I226" s="65"/>
      <c r="J226" s="64"/>
      <c r="K226" s="65"/>
      <c r="L226" s="65"/>
      <c r="M226" s="64"/>
      <c r="N226" s="65"/>
      <c r="O226" s="65"/>
    </row>
    <row r="227" spans="1:15" x14ac:dyDescent="0.25">
      <c r="A227" s="64"/>
      <c r="B227" s="64"/>
      <c r="C227" s="65"/>
      <c r="D227" s="64"/>
      <c r="E227" s="65"/>
      <c r="F227" s="65"/>
      <c r="G227" s="64"/>
      <c r="H227" s="65"/>
      <c r="I227" s="65"/>
      <c r="J227" s="64"/>
      <c r="K227" s="65"/>
      <c r="L227" s="65"/>
      <c r="M227" s="64"/>
      <c r="N227" s="65"/>
      <c r="O227" s="65"/>
    </row>
    <row r="228" spans="1:15" x14ac:dyDescent="0.25">
      <c r="A228" s="64"/>
      <c r="B228" s="64"/>
      <c r="C228" s="65"/>
      <c r="D228" s="64"/>
      <c r="E228" s="65"/>
      <c r="F228" s="65"/>
      <c r="G228" s="64"/>
      <c r="H228" s="65"/>
      <c r="I228" s="65"/>
      <c r="J228" s="64"/>
      <c r="K228" s="65"/>
      <c r="L228" s="65"/>
      <c r="M228" s="64"/>
      <c r="N228" s="65"/>
      <c r="O228" s="65"/>
    </row>
    <row r="229" spans="1:15" x14ac:dyDescent="0.25">
      <c r="A229" s="64"/>
      <c r="B229" s="64"/>
      <c r="C229" s="65"/>
      <c r="D229" s="64"/>
      <c r="E229" s="65"/>
      <c r="F229" s="65"/>
      <c r="G229" s="64"/>
      <c r="H229" s="65"/>
      <c r="I229" s="65"/>
      <c r="J229" s="64"/>
      <c r="K229" s="65"/>
      <c r="L229" s="65"/>
      <c r="M229" s="64"/>
      <c r="N229" s="65"/>
      <c r="O229" s="65"/>
    </row>
    <row r="230" spans="1:15" x14ac:dyDescent="0.25">
      <c r="A230" s="64"/>
      <c r="B230" s="64"/>
      <c r="C230" s="65"/>
      <c r="D230" s="64"/>
      <c r="E230" s="65"/>
      <c r="F230" s="65"/>
      <c r="G230" s="64"/>
      <c r="H230" s="65"/>
      <c r="I230" s="65"/>
      <c r="J230" s="64"/>
      <c r="K230" s="65"/>
      <c r="L230" s="65"/>
      <c r="M230" s="64"/>
      <c r="N230" s="65"/>
      <c r="O230" s="65"/>
    </row>
    <row r="231" spans="1:15" x14ac:dyDescent="0.25">
      <c r="A231" s="64"/>
      <c r="B231" s="64"/>
      <c r="C231" s="65"/>
      <c r="D231" s="64"/>
      <c r="E231" s="65"/>
      <c r="F231" s="65"/>
      <c r="G231" s="64"/>
      <c r="H231" s="65"/>
      <c r="I231" s="65"/>
      <c r="J231" s="64"/>
      <c r="K231" s="65"/>
      <c r="L231" s="65"/>
      <c r="M231" s="64"/>
      <c r="N231" s="65"/>
      <c r="O231" s="65"/>
    </row>
    <row r="232" spans="1:15" x14ac:dyDescent="0.25">
      <c r="A232" s="64"/>
      <c r="B232" s="64"/>
      <c r="C232" s="65"/>
      <c r="D232" s="64"/>
      <c r="E232" s="65"/>
      <c r="F232" s="65"/>
      <c r="G232" s="64"/>
      <c r="H232" s="65"/>
      <c r="I232" s="65"/>
      <c r="J232" s="64"/>
      <c r="K232" s="65"/>
      <c r="L232" s="65"/>
      <c r="M232" s="64"/>
      <c r="N232" s="65"/>
      <c r="O232" s="65"/>
    </row>
    <row r="233" spans="1:15" x14ac:dyDescent="0.25">
      <c r="A233" s="64"/>
      <c r="B233" s="64"/>
      <c r="C233" s="65"/>
      <c r="D233" s="64"/>
      <c r="E233" s="65"/>
      <c r="F233" s="65"/>
      <c r="G233" s="64"/>
      <c r="H233" s="65"/>
      <c r="I233" s="65"/>
      <c r="J233" s="64"/>
      <c r="K233" s="65"/>
      <c r="L233" s="65"/>
      <c r="M233" s="64"/>
      <c r="N233" s="65"/>
      <c r="O233" s="65"/>
    </row>
    <row r="234" spans="1:15" x14ac:dyDescent="0.25">
      <c r="A234" s="64"/>
      <c r="B234" s="64"/>
      <c r="C234" s="65"/>
      <c r="D234" s="64"/>
      <c r="E234" s="65"/>
      <c r="F234" s="65"/>
      <c r="G234" s="64"/>
      <c r="H234" s="65"/>
      <c r="I234" s="65"/>
      <c r="J234" s="64"/>
      <c r="K234" s="65"/>
      <c r="L234" s="65"/>
      <c r="M234" s="64"/>
      <c r="N234" s="65"/>
      <c r="O234" s="65"/>
    </row>
    <row r="235" spans="1:15" x14ac:dyDescent="0.25">
      <c r="A235" s="64"/>
      <c r="B235" s="64"/>
      <c r="C235" s="65"/>
      <c r="D235" s="64"/>
      <c r="E235" s="65"/>
      <c r="F235" s="65"/>
      <c r="G235" s="64"/>
      <c r="H235" s="65"/>
      <c r="I235" s="65"/>
      <c r="J235" s="64"/>
      <c r="K235" s="65"/>
      <c r="L235" s="65"/>
      <c r="M235" s="64"/>
      <c r="N235" s="65"/>
      <c r="O235" s="65"/>
    </row>
    <row r="236" spans="1:15" x14ac:dyDescent="0.25">
      <c r="A236" s="64"/>
      <c r="B236" s="64"/>
      <c r="C236" s="65"/>
      <c r="D236" s="64"/>
      <c r="E236" s="65"/>
      <c r="F236" s="65"/>
      <c r="G236" s="64"/>
      <c r="H236" s="65"/>
      <c r="I236" s="65"/>
      <c r="J236" s="64"/>
      <c r="K236" s="65"/>
      <c r="L236" s="65"/>
      <c r="M236" s="64"/>
      <c r="N236" s="65"/>
      <c r="O236" s="65"/>
    </row>
    <row r="237" spans="1:15" x14ac:dyDescent="0.25">
      <c r="A237" s="64"/>
      <c r="B237" s="64"/>
      <c r="C237" s="65"/>
      <c r="D237" s="64"/>
      <c r="E237" s="65"/>
      <c r="F237" s="65"/>
      <c r="G237" s="64"/>
      <c r="H237" s="65"/>
      <c r="I237" s="65"/>
      <c r="J237" s="64"/>
      <c r="K237" s="65"/>
      <c r="L237" s="65"/>
      <c r="M237" s="64"/>
      <c r="N237" s="65"/>
      <c r="O237" s="65"/>
    </row>
    <row r="238" spans="1:15" x14ac:dyDescent="0.25">
      <c r="A238" s="64"/>
      <c r="B238" s="64"/>
      <c r="C238" s="65"/>
      <c r="D238" s="64"/>
      <c r="E238" s="65"/>
      <c r="F238" s="65"/>
      <c r="G238" s="64"/>
      <c r="H238" s="65"/>
      <c r="I238" s="65"/>
      <c r="J238" s="64"/>
      <c r="K238" s="65"/>
      <c r="L238" s="65"/>
      <c r="M238" s="64"/>
      <c r="N238" s="65"/>
      <c r="O238" s="65"/>
    </row>
    <row r="239" spans="1:15" x14ac:dyDescent="0.25">
      <c r="A239" s="64"/>
      <c r="B239" s="64"/>
      <c r="C239" s="65"/>
      <c r="D239" s="64"/>
      <c r="E239" s="65"/>
      <c r="F239" s="65"/>
      <c r="G239" s="64"/>
      <c r="H239" s="65"/>
      <c r="I239" s="65"/>
      <c r="J239" s="64"/>
      <c r="K239" s="65"/>
      <c r="L239" s="65"/>
      <c r="M239" s="64"/>
      <c r="N239" s="65"/>
      <c r="O239" s="65"/>
    </row>
    <row r="240" spans="1:15" x14ac:dyDescent="0.25">
      <c r="A240" s="64"/>
      <c r="B240" s="64"/>
      <c r="C240" s="65"/>
      <c r="D240" s="64"/>
      <c r="E240" s="65"/>
      <c r="F240" s="65"/>
      <c r="G240" s="64"/>
      <c r="H240" s="65"/>
      <c r="I240" s="65"/>
      <c r="J240" s="64"/>
      <c r="K240" s="65"/>
      <c r="L240" s="65"/>
      <c r="M240" s="64"/>
      <c r="N240" s="65"/>
      <c r="O240" s="65"/>
    </row>
    <row r="241" spans="1:15" x14ac:dyDescent="0.25">
      <c r="A241" s="64"/>
      <c r="B241" s="64"/>
      <c r="C241" s="65"/>
      <c r="D241" s="64"/>
      <c r="E241" s="65"/>
      <c r="F241" s="65"/>
      <c r="G241" s="64"/>
      <c r="H241" s="65"/>
      <c r="I241" s="65"/>
      <c r="J241" s="64"/>
      <c r="K241" s="65"/>
      <c r="L241" s="65"/>
      <c r="M241" s="64"/>
      <c r="N241" s="65"/>
      <c r="O241" s="65"/>
    </row>
    <row r="242" spans="1:15" x14ac:dyDescent="0.25">
      <c r="A242" s="64"/>
      <c r="B242" s="64"/>
      <c r="C242" s="65"/>
      <c r="D242" s="64"/>
      <c r="E242" s="65"/>
      <c r="F242" s="65"/>
      <c r="G242" s="64"/>
      <c r="H242" s="65"/>
      <c r="I242" s="65"/>
      <c r="J242" s="64"/>
      <c r="K242" s="65"/>
      <c r="L242" s="65"/>
      <c r="M242" s="64"/>
      <c r="N242" s="65"/>
      <c r="O242" s="65"/>
    </row>
    <row r="243" spans="1:15" x14ac:dyDescent="0.25">
      <c r="A243" s="64"/>
      <c r="B243" s="64"/>
      <c r="C243" s="65"/>
      <c r="D243" s="64"/>
      <c r="E243" s="65"/>
      <c r="F243" s="65"/>
      <c r="G243" s="64"/>
      <c r="H243" s="65"/>
      <c r="I243" s="65"/>
      <c r="J243" s="64"/>
      <c r="K243" s="65"/>
      <c r="L243" s="65"/>
      <c r="M243" s="64"/>
      <c r="N243" s="65"/>
      <c r="O243" s="65"/>
    </row>
    <row r="244" spans="1:15" x14ac:dyDescent="0.25">
      <c r="A244" s="64"/>
      <c r="B244" s="64"/>
      <c r="C244" s="65"/>
      <c r="D244" s="64"/>
      <c r="E244" s="65"/>
      <c r="F244" s="65"/>
      <c r="G244" s="64"/>
      <c r="H244" s="65"/>
      <c r="I244" s="65"/>
      <c r="J244" s="64"/>
      <c r="K244" s="65"/>
      <c r="L244" s="65"/>
      <c r="M244" s="64"/>
      <c r="N244" s="65"/>
      <c r="O244" s="65"/>
    </row>
    <row r="245" spans="1:15" x14ac:dyDescent="0.25">
      <c r="A245" s="64"/>
      <c r="B245" s="64"/>
      <c r="C245" s="65"/>
      <c r="D245" s="64"/>
      <c r="E245" s="65"/>
      <c r="F245" s="65"/>
      <c r="G245" s="64"/>
      <c r="H245" s="65"/>
      <c r="I245" s="65"/>
      <c r="J245" s="64"/>
      <c r="K245" s="65"/>
      <c r="L245" s="65"/>
      <c r="M245" s="64"/>
      <c r="N245" s="65"/>
      <c r="O245" s="65"/>
    </row>
    <row r="246" spans="1:15" x14ac:dyDescent="0.25">
      <c r="A246" s="64"/>
      <c r="B246" s="64"/>
      <c r="C246" s="65"/>
      <c r="D246" s="64"/>
      <c r="E246" s="65"/>
      <c r="F246" s="65"/>
      <c r="G246" s="64"/>
      <c r="H246" s="65"/>
      <c r="I246" s="65"/>
      <c r="J246" s="64"/>
      <c r="K246" s="65"/>
      <c r="L246" s="65"/>
      <c r="M246" s="64"/>
      <c r="N246" s="65"/>
      <c r="O246" s="65"/>
    </row>
    <row r="247" spans="1:15" x14ac:dyDescent="0.25">
      <c r="A247" s="64"/>
      <c r="B247" s="64"/>
      <c r="C247" s="65"/>
      <c r="D247" s="64"/>
      <c r="E247" s="65"/>
      <c r="F247" s="65"/>
      <c r="G247" s="64"/>
      <c r="H247" s="65"/>
      <c r="I247" s="65"/>
      <c r="J247" s="64"/>
      <c r="K247" s="65"/>
      <c r="L247" s="65"/>
      <c r="M247" s="64"/>
      <c r="N247" s="65"/>
      <c r="O247" s="65"/>
    </row>
    <row r="248" spans="1:15" x14ac:dyDescent="0.25">
      <c r="A248" s="64"/>
      <c r="B248" s="64"/>
      <c r="C248" s="65"/>
      <c r="D248" s="64"/>
      <c r="E248" s="65"/>
      <c r="F248" s="65"/>
      <c r="G248" s="64"/>
      <c r="H248" s="65"/>
      <c r="I248" s="65"/>
      <c r="J248" s="64"/>
      <c r="K248" s="65"/>
      <c r="L248" s="65"/>
      <c r="M248" s="64"/>
      <c r="N248" s="65"/>
      <c r="O248" s="65"/>
    </row>
    <row r="249" spans="1:15" x14ac:dyDescent="0.25">
      <c r="A249" s="64"/>
      <c r="B249" s="64"/>
      <c r="C249" s="65"/>
      <c r="D249" s="64"/>
      <c r="E249" s="65"/>
      <c r="F249" s="65"/>
      <c r="G249" s="64"/>
      <c r="H249" s="65"/>
      <c r="I249" s="65"/>
      <c r="J249" s="64"/>
      <c r="K249" s="65"/>
      <c r="L249" s="65"/>
      <c r="M249" s="64"/>
      <c r="N249" s="65"/>
      <c r="O249" s="65"/>
    </row>
    <row r="250" spans="1:15" x14ac:dyDescent="0.25">
      <c r="A250" s="64"/>
      <c r="B250" s="64"/>
      <c r="C250" s="65"/>
      <c r="D250" s="64"/>
      <c r="E250" s="65"/>
      <c r="F250" s="65"/>
      <c r="G250" s="64"/>
      <c r="H250" s="65"/>
      <c r="I250" s="65"/>
      <c r="J250" s="64"/>
      <c r="K250" s="65"/>
      <c r="L250" s="65"/>
      <c r="M250" s="64"/>
      <c r="N250" s="65"/>
      <c r="O250" s="65"/>
    </row>
    <row r="251" spans="1:15" x14ac:dyDescent="0.25">
      <c r="A251" s="64"/>
      <c r="B251" s="64"/>
      <c r="C251" s="65"/>
      <c r="D251" s="64"/>
      <c r="E251" s="65"/>
      <c r="F251" s="65"/>
      <c r="G251" s="64"/>
      <c r="H251" s="65"/>
      <c r="I251" s="65"/>
      <c r="J251" s="64"/>
      <c r="K251" s="65"/>
      <c r="L251" s="65"/>
      <c r="M251" s="64"/>
      <c r="N251" s="65"/>
      <c r="O251" s="65"/>
    </row>
    <row r="252" spans="1:15" x14ac:dyDescent="0.25">
      <c r="A252" s="64"/>
      <c r="B252" s="64"/>
      <c r="C252" s="65"/>
      <c r="D252" s="64"/>
      <c r="E252" s="65"/>
      <c r="F252" s="65"/>
      <c r="G252" s="64"/>
      <c r="H252" s="65"/>
      <c r="I252" s="65"/>
      <c r="J252" s="64"/>
      <c r="K252" s="65"/>
      <c r="L252" s="65"/>
      <c r="M252" s="64"/>
      <c r="N252" s="65"/>
      <c r="O252" s="65"/>
    </row>
    <row r="253" spans="1:15" x14ac:dyDescent="0.25">
      <c r="A253" s="64"/>
      <c r="B253" s="64"/>
      <c r="C253" s="65"/>
      <c r="D253" s="64"/>
      <c r="E253" s="65"/>
      <c r="F253" s="65"/>
      <c r="G253" s="64"/>
      <c r="H253" s="65"/>
      <c r="I253" s="65"/>
      <c r="J253" s="64"/>
      <c r="K253" s="65"/>
      <c r="L253" s="65"/>
      <c r="M253" s="64"/>
      <c r="N253" s="65"/>
      <c r="O253" s="65"/>
    </row>
    <row r="254" spans="1:15" x14ac:dyDescent="0.25">
      <c r="A254" s="64"/>
      <c r="B254" s="64"/>
      <c r="C254" s="65"/>
      <c r="D254" s="64"/>
      <c r="E254" s="65"/>
      <c r="F254" s="65"/>
      <c r="G254" s="64"/>
      <c r="H254" s="65"/>
      <c r="I254" s="65"/>
      <c r="J254" s="64"/>
      <c r="K254" s="65"/>
      <c r="L254" s="65"/>
      <c r="M254" s="64"/>
      <c r="N254" s="65"/>
      <c r="O254" s="65"/>
    </row>
    <row r="255" spans="1:15" x14ac:dyDescent="0.25">
      <c r="A255" s="64"/>
      <c r="B255" s="64"/>
      <c r="C255" s="65"/>
      <c r="D255" s="64"/>
      <c r="E255" s="65"/>
      <c r="F255" s="65"/>
      <c r="G255" s="64"/>
      <c r="H255" s="65"/>
      <c r="I255" s="65"/>
      <c r="J255" s="64"/>
      <c r="K255" s="65"/>
      <c r="L255" s="65"/>
      <c r="M255" s="64"/>
      <c r="N255" s="65"/>
      <c r="O255" s="65"/>
    </row>
    <row r="256" spans="1:15" x14ac:dyDescent="0.25">
      <c r="A256" s="64"/>
      <c r="B256" s="64"/>
      <c r="C256" s="65"/>
      <c r="D256" s="64"/>
      <c r="E256" s="65"/>
      <c r="F256" s="65"/>
      <c r="G256" s="64"/>
      <c r="H256" s="65"/>
      <c r="I256" s="65"/>
      <c r="J256" s="64"/>
      <c r="K256" s="65"/>
      <c r="L256" s="65"/>
      <c r="M256" s="64"/>
      <c r="N256" s="65"/>
      <c r="O256" s="65"/>
    </row>
    <row r="257" spans="1:15" x14ac:dyDescent="0.25">
      <c r="A257" s="64"/>
      <c r="B257" s="64"/>
      <c r="C257" s="65"/>
      <c r="D257" s="64"/>
      <c r="E257" s="65"/>
      <c r="F257" s="65"/>
      <c r="G257" s="64"/>
      <c r="H257" s="65"/>
      <c r="I257" s="65"/>
      <c r="J257" s="64"/>
      <c r="K257" s="65"/>
      <c r="L257" s="65"/>
      <c r="M257" s="64"/>
      <c r="N257" s="65"/>
      <c r="O257" s="65"/>
    </row>
    <row r="258" spans="1:15" x14ac:dyDescent="0.25">
      <c r="A258" s="64"/>
      <c r="B258" s="64"/>
      <c r="C258" s="65"/>
      <c r="D258" s="64"/>
      <c r="E258" s="65"/>
      <c r="F258" s="65"/>
      <c r="G258" s="64"/>
      <c r="H258" s="65"/>
      <c r="I258" s="65"/>
      <c r="J258" s="64"/>
      <c r="K258" s="65"/>
      <c r="L258" s="65"/>
      <c r="M258" s="64"/>
      <c r="N258" s="65"/>
      <c r="O258" s="65"/>
    </row>
    <row r="259" spans="1:15" x14ac:dyDescent="0.25">
      <c r="A259" s="64"/>
      <c r="B259" s="64"/>
      <c r="C259" s="65"/>
      <c r="D259" s="64"/>
      <c r="E259" s="65"/>
      <c r="F259" s="65"/>
      <c r="G259" s="64"/>
      <c r="H259" s="65"/>
      <c r="I259" s="65"/>
      <c r="J259" s="64"/>
      <c r="K259" s="65"/>
      <c r="L259" s="65"/>
      <c r="M259" s="64"/>
      <c r="N259" s="65"/>
      <c r="O259" s="65"/>
    </row>
    <row r="260" spans="1:15" x14ac:dyDescent="0.25">
      <c r="A260" s="64"/>
      <c r="B260" s="64"/>
      <c r="C260" s="65"/>
      <c r="D260" s="64"/>
      <c r="E260" s="65"/>
      <c r="F260" s="65"/>
      <c r="G260" s="64"/>
      <c r="H260" s="65"/>
      <c r="I260" s="65"/>
      <c r="J260" s="64"/>
      <c r="K260" s="65"/>
      <c r="L260" s="65"/>
      <c r="M260" s="64"/>
      <c r="N260" s="65"/>
      <c r="O260" s="65"/>
    </row>
    <row r="261" spans="1:15" x14ac:dyDescent="0.25">
      <c r="A261" s="64"/>
      <c r="B261" s="64"/>
      <c r="C261" s="65"/>
      <c r="D261" s="64"/>
      <c r="E261" s="65"/>
      <c r="F261" s="65"/>
      <c r="G261" s="64"/>
      <c r="H261" s="65"/>
      <c r="I261" s="65"/>
      <c r="J261" s="64"/>
      <c r="K261" s="65"/>
      <c r="L261" s="65"/>
      <c r="M261" s="64"/>
      <c r="N261" s="65"/>
      <c r="O261" s="65"/>
    </row>
    <row r="262" spans="1:15" x14ac:dyDescent="0.25">
      <c r="A262" s="64"/>
      <c r="B262" s="64"/>
      <c r="C262" s="65"/>
      <c r="D262" s="64"/>
      <c r="E262" s="65"/>
      <c r="F262" s="65"/>
      <c r="G262" s="64"/>
      <c r="H262" s="65"/>
      <c r="I262" s="65"/>
      <c r="J262" s="64"/>
      <c r="K262" s="65"/>
      <c r="L262" s="65"/>
      <c r="M262" s="64"/>
      <c r="N262" s="65"/>
      <c r="O262" s="65"/>
    </row>
    <row r="263" spans="1:15" x14ac:dyDescent="0.25">
      <c r="A263" s="64"/>
      <c r="B263" s="64"/>
      <c r="C263" s="65"/>
      <c r="D263" s="64"/>
      <c r="E263" s="65"/>
      <c r="F263" s="65"/>
      <c r="G263" s="64"/>
      <c r="H263" s="65"/>
      <c r="I263" s="65"/>
      <c r="J263" s="64"/>
      <c r="K263" s="65"/>
      <c r="L263" s="65"/>
      <c r="M263" s="64"/>
      <c r="N263" s="65"/>
      <c r="O263" s="65"/>
    </row>
    <row r="264" spans="1:15" x14ac:dyDescent="0.25">
      <c r="A264" s="64"/>
      <c r="B264" s="64"/>
      <c r="C264" s="65"/>
      <c r="D264" s="64"/>
      <c r="E264" s="65"/>
      <c r="F264" s="65"/>
      <c r="G264" s="64"/>
      <c r="H264" s="65"/>
      <c r="I264" s="65"/>
      <c r="J264" s="64"/>
      <c r="K264" s="65"/>
      <c r="L264" s="65"/>
      <c r="M264" s="64"/>
      <c r="N264" s="65"/>
      <c r="O264" s="65"/>
    </row>
    <row r="265" spans="1:15" x14ac:dyDescent="0.25">
      <c r="A265" s="64"/>
      <c r="B265" s="64"/>
      <c r="C265" s="65"/>
      <c r="D265" s="64"/>
      <c r="E265" s="65"/>
      <c r="F265" s="65"/>
      <c r="G265" s="64"/>
      <c r="H265" s="65"/>
      <c r="I265" s="65"/>
      <c r="J265" s="64"/>
      <c r="K265" s="65"/>
      <c r="L265" s="65"/>
      <c r="M265" s="64"/>
      <c r="N265" s="65"/>
      <c r="O265" s="65"/>
    </row>
    <row r="266" spans="1:15" x14ac:dyDescent="0.25">
      <c r="A266" s="64"/>
      <c r="B266" s="64"/>
      <c r="C266" s="65"/>
      <c r="D266" s="64"/>
      <c r="E266" s="65"/>
      <c r="F266" s="65"/>
      <c r="G266" s="64"/>
      <c r="H266" s="65"/>
      <c r="I266" s="65"/>
      <c r="J266" s="64"/>
      <c r="K266" s="65"/>
      <c r="L266" s="65"/>
      <c r="M266" s="64"/>
      <c r="N266" s="65"/>
      <c r="O266" s="65"/>
    </row>
    <row r="267" spans="1:15" x14ac:dyDescent="0.25">
      <c r="A267" s="64"/>
      <c r="B267" s="64"/>
      <c r="C267" s="65"/>
      <c r="D267" s="64"/>
      <c r="E267" s="65"/>
      <c r="F267" s="65"/>
      <c r="G267" s="64"/>
      <c r="H267" s="65"/>
      <c r="I267" s="65"/>
      <c r="J267" s="64"/>
      <c r="K267" s="65"/>
      <c r="L267" s="65"/>
      <c r="M267" s="64"/>
      <c r="N267" s="65"/>
      <c r="O267" s="65"/>
    </row>
    <row r="268" spans="1:15" x14ac:dyDescent="0.25">
      <c r="A268" s="64"/>
      <c r="B268" s="64"/>
      <c r="C268" s="65"/>
      <c r="D268" s="64"/>
      <c r="E268" s="65"/>
      <c r="F268" s="65"/>
      <c r="G268" s="64"/>
      <c r="H268" s="65"/>
      <c r="I268" s="65"/>
      <c r="J268" s="64"/>
      <c r="K268" s="65"/>
      <c r="L268" s="65"/>
      <c r="M268" s="64"/>
      <c r="N268" s="65"/>
      <c r="O268" s="65"/>
    </row>
    <row r="269" spans="1:15" x14ac:dyDescent="0.25">
      <c r="A269" s="64"/>
      <c r="B269" s="64"/>
      <c r="C269" s="65"/>
      <c r="D269" s="64"/>
      <c r="E269" s="65"/>
      <c r="F269" s="65"/>
      <c r="G269" s="64"/>
      <c r="H269" s="65"/>
      <c r="I269" s="65"/>
      <c r="J269" s="64"/>
      <c r="K269" s="65"/>
      <c r="L269" s="65"/>
      <c r="M269" s="64"/>
      <c r="N269" s="65"/>
      <c r="O269" s="65"/>
    </row>
    <row r="270" spans="1:15" x14ac:dyDescent="0.25">
      <c r="A270" s="64"/>
      <c r="B270" s="64"/>
      <c r="C270" s="65"/>
      <c r="D270" s="64"/>
      <c r="E270" s="65"/>
      <c r="F270" s="65"/>
      <c r="G270" s="64"/>
      <c r="H270" s="65"/>
      <c r="I270" s="65"/>
      <c r="J270" s="64"/>
      <c r="K270" s="65"/>
      <c r="L270" s="65"/>
      <c r="M270" s="64"/>
      <c r="N270" s="65"/>
      <c r="O270" s="65"/>
    </row>
    <row r="271" spans="1:15" x14ac:dyDescent="0.25">
      <c r="A271" s="64"/>
      <c r="B271" s="64"/>
      <c r="C271" s="65"/>
      <c r="D271" s="64"/>
      <c r="E271" s="65"/>
      <c r="F271" s="65"/>
      <c r="G271" s="64"/>
      <c r="H271" s="65"/>
      <c r="I271" s="65"/>
      <c r="J271" s="64"/>
      <c r="K271" s="65"/>
      <c r="L271" s="65"/>
      <c r="M271" s="64"/>
      <c r="N271" s="65"/>
      <c r="O271" s="65"/>
    </row>
    <row r="272" spans="1:15" x14ac:dyDescent="0.25">
      <c r="A272" s="64"/>
      <c r="B272" s="64"/>
      <c r="C272" s="65"/>
      <c r="D272" s="64"/>
      <c r="E272" s="65"/>
      <c r="F272" s="65"/>
      <c r="G272" s="64"/>
      <c r="H272" s="65"/>
      <c r="I272" s="65"/>
      <c r="J272" s="64"/>
      <c r="K272" s="65"/>
      <c r="L272" s="65"/>
      <c r="M272" s="64"/>
      <c r="N272" s="65"/>
      <c r="O272" s="65"/>
    </row>
    <row r="273" spans="1:15" x14ac:dyDescent="0.25">
      <c r="A273" s="64"/>
      <c r="B273" s="64"/>
      <c r="C273" s="65"/>
      <c r="D273" s="64"/>
      <c r="E273" s="65"/>
      <c r="F273" s="65"/>
      <c r="G273" s="64"/>
      <c r="H273" s="65"/>
      <c r="I273" s="65"/>
      <c r="J273" s="64"/>
      <c r="K273" s="65"/>
      <c r="L273" s="65"/>
      <c r="M273" s="64"/>
      <c r="N273" s="65"/>
      <c r="O273" s="65"/>
    </row>
    <row r="274" spans="1:15" x14ac:dyDescent="0.25">
      <c r="A274" s="64"/>
      <c r="B274" s="64"/>
      <c r="C274" s="65"/>
      <c r="D274" s="64"/>
      <c r="E274" s="65"/>
      <c r="F274" s="65"/>
      <c r="G274" s="64"/>
      <c r="H274" s="65"/>
      <c r="I274" s="65"/>
      <c r="J274" s="64"/>
      <c r="K274" s="65"/>
      <c r="L274" s="65"/>
      <c r="M274" s="64"/>
      <c r="N274" s="65"/>
      <c r="O274" s="65"/>
    </row>
    <row r="275" spans="1:15" x14ac:dyDescent="0.25">
      <c r="A275" s="64"/>
      <c r="B275" s="64"/>
      <c r="C275" s="65"/>
      <c r="D275" s="64"/>
      <c r="E275" s="65"/>
      <c r="F275" s="65"/>
      <c r="G275" s="64"/>
      <c r="H275" s="65"/>
      <c r="I275" s="65"/>
      <c r="J275" s="64"/>
      <c r="K275" s="65"/>
      <c r="L275" s="65"/>
      <c r="M275" s="64"/>
      <c r="N275" s="65"/>
      <c r="O275" s="65"/>
    </row>
    <row r="276" spans="1:15" x14ac:dyDescent="0.25">
      <c r="A276" s="64"/>
      <c r="B276" s="64"/>
      <c r="C276" s="65"/>
      <c r="D276" s="64"/>
      <c r="E276" s="65"/>
      <c r="F276" s="65"/>
      <c r="G276" s="64"/>
      <c r="H276" s="65"/>
      <c r="I276" s="65"/>
      <c r="J276" s="64"/>
      <c r="K276" s="65"/>
      <c r="L276" s="65"/>
      <c r="M276" s="64"/>
      <c r="N276" s="65"/>
      <c r="O276" s="65"/>
    </row>
    <row r="277" spans="1:15" x14ac:dyDescent="0.25">
      <c r="A277" s="64"/>
      <c r="B277" s="64"/>
      <c r="C277" s="65"/>
      <c r="D277" s="64"/>
      <c r="E277" s="65"/>
      <c r="F277" s="65"/>
      <c r="G277" s="64"/>
      <c r="H277" s="65"/>
      <c r="I277" s="65"/>
      <c r="J277" s="64"/>
      <c r="K277" s="65"/>
      <c r="L277" s="65"/>
      <c r="M277" s="64"/>
      <c r="N277" s="65"/>
      <c r="O277" s="65"/>
    </row>
    <row r="278" spans="1:15" x14ac:dyDescent="0.25">
      <c r="A278" s="64"/>
      <c r="B278" s="64"/>
      <c r="C278" s="65"/>
      <c r="D278" s="64"/>
      <c r="E278" s="65"/>
      <c r="F278" s="65"/>
      <c r="G278" s="64"/>
      <c r="H278" s="65"/>
      <c r="I278" s="65"/>
      <c r="J278" s="64"/>
      <c r="K278" s="65"/>
      <c r="L278" s="65"/>
      <c r="M278" s="64"/>
      <c r="N278" s="65"/>
      <c r="O278" s="65"/>
    </row>
    <row r="279" spans="1:15" x14ac:dyDescent="0.25">
      <c r="A279" s="64"/>
      <c r="B279" s="64"/>
      <c r="C279" s="65"/>
      <c r="D279" s="64"/>
      <c r="E279" s="65"/>
      <c r="F279" s="65"/>
      <c r="G279" s="64"/>
      <c r="H279" s="65"/>
      <c r="I279" s="65"/>
      <c r="J279" s="64"/>
      <c r="K279" s="65"/>
      <c r="L279" s="65"/>
      <c r="M279" s="64"/>
      <c r="N279" s="65"/>
      <c r="O279" s="65"/>
    </row>
    <row r="280" spans="1:15" x14ac:dyDescent="0.25">
      <c r="A280" s="64"/>
      <c r="B280" s="64"/>
      <c r="C280" s="65"/>
      <c r="D280" s="64"/>
      <c r="E280" s="65"/>
      <c r="F280" s="65"/>
      <c r="G280" s="64"/>
      <c r="H280" s="65"/>
      <c r="I280" s="65"/>
      <c r="J280" s="64"/>
      <c r="K280" s="65"/>
      <c r="L280" s="65"/>
      <c r="M280" s="64"/>
      <c r="N280" s="65"/>
      <c r="O280" s="65"/>
    </row>
    <row r="281" spans="1:15" x14ac:dyDescent="0.25">
      <c r="A281" s="64"/>
      <c r="B281" s="64"/>
      <c r="C281" s="65"/>
      <c r="D281" s="64"/>
      <c r="E281" s="65"/>
      <c r="F281" s="65"/>
      <c r="G281" s="64"/>
      <c r="H281" s="65"/>
      <c r="I281" s="65"/>
      <c r="J281" s="64"/>
      <c r="K281" s="65"/>
      <c r="L281" s="65"/>
      <c r="M281" s="64"/>
      <c r="N281" s="65"/>
      <c r="O281" s="65"/>
    </row>
    <row r="282" spans="1:15" x14ac:dyDescent="0.25">
      <c r="A282" s="64"/>
      <c r="B282" s="64"/>
      <c r="C282" s="65"/>
      <c r="D282" s="64"/>
      <c r="E282" s="65"/>
      <c r="F282" s="65"/>
      <c r="G282" s="64"/>
      <c r="H282" s="65"/>
      <c r="I282" s="65"/>
      <c r="J282" s="64"/>
      <c r="K282" s="65"/>
      <c r="L282" s="65"/>
      <c r="M282" s="64"/>
      <c r="N282" s="65"/>
      <c r="O282" s="65"/>
    </row>
    <row r="283" spans="1:15" x14ac:dyDescent="0.25">
      <c r="A283" s="64"/>
      <c r="B283" s="64"/>
      <c r="C283" s="65"/>
      <c r="D283" s="64"/>
      <c r="E283" s="65"/>
      <c r="F283" s="65"/>
      <c r="G283" s="64"/>
      <c r="H283" s="65"/>
      <c r="I283" s="65"/>
      <c r="J283" s="64"/>
      <c r="K283" s="65"/>
      <c r="L283" s="65"/>
      <c r="M283" s="64"/>
      <c r="N283" s="65"/>
      <c r="O283" s="65"/>
    </row>
    <row r="284" spans="1:15" x14ac:dyDescent="0.25">
      <c r="A284" s="64"/>
      <c r="B284" s="64"/>
      <c r="C284" s="65"/>
      <c r="D284" s="64"/>
      <c r="E284" s="65"/>
      <c r="F284" s="65"/>
      <c r="G284" s="64"/>
      <c r="H284" s="65"/>
      <c r="I284" s="65"/>
      <c r="J284" s="64"/>
      <c r="K284" s="65"/>
      <c r="L284" s="65"/>
      <c r="M284" s="64"/>
      <c r="N284" s="65"/>
      <c r="O284" s="65"/>
    </row>
    <row r="285" spans="1:15" x14ac:dyDescent="0.25">
      <c r="A285" s="64"/>
      <c r="B285" s="64"/>
      <c r="C285" s="65"/>
      <c r="D285" s="64"/>
      <c r="E285" s="65"/>
      <c r="F285" s="65"/>
      <c r="G285" s="64"/>
      <c r="H285" s="65"/>
      <c r="I285" s="65"/>
      <c r="J285" s="64"/>
      <c r="K285" s="65"/>
      <c r="L285" s="65"/>
      <c r="M285" s="64"/>
      <c r="N285" s="65"/>
      <c r="O285" s="65"/>
    </row>
    <row r="286" spans="1:15" x14ac:dyDescent="0.25">
      <c r="A286" s="64"/>
      <c r="B286" s="64"/>
      <c r="C286" s="65"/>
      <c r="D286" s="64"/>
      <c r="E286" s="65"/>
      <c r="F286" s="65"/>
      <c r="G286" s="64"/>
      <c r="H286" s="65"/>
      <c r="I286" s="65"/>
      <c r="J286" s="64"/>
      <c r="K286" s="65"/>
      <c r="L286" s="65"/>
      <c r="M286" s="64"/>
      <c r="N286" s="65"/>
      <c r="O286" s="65"/>
    </row>
    <row r="287" spans="1:15" x14ac:dyDescent="0.25">
      <c r="A287" s="64"/>
      <c r="B287" s="64"/>
      <c r="C287" s="65"/>
      <c r="D287" s="64"/>
      <c r="E287" s="65"/>
      <c r="F287" s="65"/>
      <c r="G287" s="64"/>
      <c r="H287" s="65"/>
      <c r="I287" s="65"/>
      <c r="J287" s="64"/>
      <c r="K287" s="65"/>
      <c r="L287" s="65"/>
      <c r="M287" s="64"/>
      <c r="N287" s="65"/>
      <c r="O287" s="65"/>
    </row>
    <row r="288" spans="1:15" x14ac:dyDescent="0.25">
      <c r="A288" s="64"/>
      <c r="B288" s="64"/>
      <c r="C288" s="65"/>
      <c r="D288" s="64"/>
      <c r="E288" s="65"/>
      <c r="F288" s="65"/>
      <c r="G288" s="64"/>
      <c r="H288" s="65"/>
      <c r="I288" s="65"/>
      <c r="J288" s="64"/>
      <c r="K288" s="65"/>
      <c r="L288" s="65"/>
      <c r="M288" s="64"/>
      <c r="N288" s="65"/>
      <c r="O288" s="65"/>
    </row>
    <row r="289" spans="1:15" x14ac:dyDescent="0.25">
      <c r="A289" s="64"/>
      <c r="B289" s="64"/>
      <c r="C289" s="65"/>
      <c r="D289" s="64"/>
      <c r="E289" s="65"/>
      <c r="F289" s="65"/>
      <c r="G289" s="64"/>
      <c r="H289" s="65"/>
      <c r="I289" s="65"/>
      <c r="J289" s="64"/>
      <c r="K289" s="65"/>
      <c r="L289" s="65"/>
      <c r="M289" s="64"/>
      <c r="N289" s="65"/>
      <c r="O289" s="65"/>
    </row>
    <row r="290" spans="1:15" x14ac:dyDescent="0.25">
      <c r="A290" s="64"/>
      <c r="B290" s="64"/>
      <c r="C290" s="65"/>
      <c r="D290" s="64"/>
      <c r="E290" s="65"/>
      <c r="F290" s="65"/>
      <c r="G290" s="64"/>
      <c r="H290" s="65"/>
      <c r="I290" s="65"/>
      <c r="J290" s="64"/>
      <c r="K290" s="65"/>
      <c r="L290" s="65"/>
      <c r="M290" s="64"/>
      <c r="N290" s="65"/>
      <c r="O290" s="65"/>
    </row>
    <row r="291" spans="1:15" x14ac:dyDescent="0.25">
      <c r="A291" s="64"/>
      <c r="B291" s="64"/>
      <c r="C291" s="65"/>
      <c r="D291" s="64"/>
      <c r="E291" s="65"/>
      <c r="F291" s="65"/>
      <c r="G291" s="64"/>
      <c r="H291" s="65"/>
      <c r="I291" s="65"/>
      <c r="J291" s="64"/>
      <c r="K291" s="65"/>
      <c r="L291" s="65"/>
      <c r="M291" s="64"/>
      <c r="N291" s="65"/>
      <c r="O291" s="65"/>
    </row>
    <row r="292" spans="1:15" x14ac:dyDescent="0.25">
      <c r="A292" s="64"/>
      <c r="B292" s="64"/>
      <c r="C292" s="65"/>
      <c r="D292" s="64"/>
      <c r="E292" s="65"/>
      <c r="F292" s="65"/>
      <c r="G292" s="64"/>
      <c r="H292" s="65"/>
      <c r="I292" s="65"/>
      <c r="J292" s="64"/>
      <c r="K292" s="65"/>
      <c r="L292" s="65"/>
      <c r="M292" s="64"/>
      <c r="N292" s="65"/>
      <c r="O292" s="65"/>
    </row>
    <row r="293" spans="1:15" x14ac:dyDescent="0.25">
      <c r="A293" s="64"/>
      <c r="B293" s="64"/>
      <c r="C293" s="65"/>
      <c r="D293" s="64"/>
      <c r="E293" s="65"/>
      <c r="F293" s="65"/>
      <c r="G293" s="64"/>
      <c r="H293" s="65"/>
      <c r="I293" s="65"/>
      <c r="J293" s="64"/>
      <c r="K293" s="65"/>
      <c r="L293" s="65"/>
      <c r="M293" s="64"/>
      <c r="N293" s="65"/>
      <c r="O293" s="65"/>
    </row>
    <row r="294" spans="1:15" x14ac:dyDescent="0.25">
      <c r="A294" s="64"/>
      <c r="B294" s="64"/>
      <c r="C294" s="65"/>
      <c r="D294" s="64"/>
      <c r="E294" s="65"/>
      <c r="F294" s="65"/>
      <c r="G294" s="64"/>
      <c r="H294" s="65"/>
      <c r="I294" s="65"/>
      <c r="J294" s="64"/>
      <c r="K294" s="65"/>
      <c r="L294" s="65"/>
      <c r="M294" s="64"/>
      <c r="N294" s="65"/>
      <c r="O294" s="65"/>
    </row>
    <row r="295" spans="1:15" x14ac:dyDescent="0.25">
      <c r="A295" s="64"/>
      <c r="B295" s="64"/>
      <c r="C295" s="65"/>
      <c r="D295" s="64"/>
      <c r="E295" s="65"/>
      <c r="F295" s="65"/>
      <c r="G295" s="64"/>
      <c r="H295" s="65"/>
      <c r="I295" s="65"/>
      <c r="J295" s="64"/>
      <c r="K295" s="65"/>
      <c r="L295" s="65"/>
      <c r="M295" s="64"/>
      <c r="N295" s="65"/>
      <c r="O295" s="65"/>
    </row>
    <row r="296" spans="1:15" x14ac:dyDescent="0.25">
      <c r="A296" s="64"/>
      <c r="B296" s="64"/>
      <c r="C296" s="65"/>
      <c r="D296" s="64"/>
      <c r="E296" s="65"/>
      <c r="F296" s="65"/>
      <c r="G296" s="64"/>
      <c r="H296" s="65"/>
      <c r="I296" s="65"/>
      <c r="J296" s="64"/>
      <c r="K296" s="65"/>
      <c r="L296" s="65"/>
      <c r="M296" s="64"/>
      <c r="N296" s="65"/>
      <c r="O296" s="65"/>
    </row>
    <row r="297" spans="1:15" x14ac:dyDescent="0.25">
      <c r="A297" s="64"/>
      <c r="B297" s="64"/>
      <c r="C297" s="65"/>
      <c r="D297" s="64"/>
      <c r="E297" s="65"/>
      <c r="F297" s="65"/>
      <c r="G297" s="64"/>
      <c r="H297" s="65"/>
      <c r="I297" s="65"/>
      <c r="J297" s="64"/>
      <c r="K297" s="65"/>
      <c r="L297" s="65"/>
      <c r="M297" s="64"/>
      <c r="N297" s="65"/>
      <c r="O297" s="65"/>
    </row>
    <row r="298" spans="1:15" x14ac:dyDescent="0.25">
      <c r="A298" s="64"/>
      <c r="B298" s="64"/>
      <c r="C298" s="65"/>
      <c r="D298" s="64"/>
      <c r="E298" s="65"/>
      <c r="F298" s="65"/>
      <c r="G298" s="64"/>
      <c r="H298" s="65"/>
      <c r="I298" s="65"/>
      <c r="J298" s="64"/>
      <c r="K298" s="65"/>
      <c r="L298" s="65"/>
      <c r="M298" s="64"/>
      <c r="N298" s="65"/>
      <c r="O298" s="65"/>
    </row>
    <row r="299" spans="1:15" x14ac:dyDescent="0.25">
      <c r="A299" s="64"/>
      <c r="B299" s="64"/>
      <c r="C299" s="65"/>
      <c r="D299" s="64"/>
      <c r="E299" s="65"/>
      <c r="F299" s="65"/>
      <c r="G299" s="64"/>
      <c r="H299" s="65"/>
      <c r="I299" s="65"/>
      <c r="J299" s="64"/>
      <c r="K299" s="65"/>
      <c r="L299" s="65"/>
      <c r="M299" s="64"/>
      <c r="N299" s="65"/>
      <c r="O299" s="65"/>
    </row>
    <row r="300" spans="1:15" x14ac:dyDescent="0.25">
      <c r="A300" s="64"/>
      <c r="B300" s="64"/>
      <c r="C300" s="65"/>
      <c r="D300" s="64"/>
      <c r="E300" s="65"/>
      <c r="F300" s="65"/>
      <c r="G300" s="64"/>
      <c r="H300" s="65"/>
      <c r="I300" s="65"/>
      <c r="J300" s="64"/>
      <c r="K300" s="65"/>
      <c r="L300" s="65"/>
      <c r="M300" s="64"/>
      <c r="N300" s="65"/>
      <c r="O300" s="65"/>
    </row>
    <row r="301" spans="1:15" x14ac:dyDescent="0.25">
      <c r="A301" s="64"/>
      <c r="B301" s="64"/>
      <c r="C301" s="65"/>
      <c r="D301" s="64"/>
      <c r="E301" s="65"/>
      <c r="F301" s="65"/>
      <c r="G301" s="64"/>
      <c r="H301" s="65"/>
      <c r="I301" s="65"/>
      <c r="J301" s="64"/>
      <c r="K301" s="65"/>
      <c r="L301" s="65"/>
      <c r="M301" s="64"/>
      <c r="N301" s="65"/>
      <c r="O301" s="65"/>
    </row>
    <row r="302" spans="1:15" x14ac:dyDescent="0.25">
      <c r="A302" s="64"/>
      <c r="B302" s="64"/>
      <c r="C302" s="65"/>
      <c r="D302" s="64"/>
      <c r="E302" s="65"/>
      <c r="F302" s="65"/>
      <c r="G302" s="64"/>
      <c r="H302" s="65"/>
      <c r="I302" s="65"/>
      <c r="J302" s="64"/>
      <c r="K302" s="65"/>
      <c r="L302" s="65"/>
      <c r="M302" s="64"/>
      <c r="N302" s="65"/>
      <c r="O302" s="65"/>
    </row>
    <row r="303" spans="1:15" x14ac:dyDescent="0.25">
      <c r="A303" s="64"/>
      <c r="B303" s="64"/>
      <c r="C303" s="65"/>
      <c r="D303" s="64"/>
      <c r="E303" s="65"/>
      <c r="F303" s="65"/>
      <c r="G303" s="64"/>
      <c r="H303" s="65"/>
      <c r="I303" s="65"/>
      <c r="J303" s="64"/>
      <c r="K303" s="65"/>
      <c r="L303" s="65"/>
      <c r="M303" s="64"/>
      <c r="N303" s="65"/>
      <c r="O303" s="65"/>
    </row>
    <row r="304" spans="1:15" x14ac:dyDescent="0.25">
      <c r="A304" s="64"/>
      <c r="B304" s="64"/>
      <c r="C304" s="65"/>
      <c r="D304" s="64"/>
      <c r="E304" s="65"/>
      <c r="F304" s="65"/>
      <c r="G304" s="64"/>
      <c r="H304" s="65"/>
      <c r="I304" s="65"/>
      <c r="J304" s="64"/>
      <c r="K304" s="65"/>
      <c r="L304" s="65"/>
      <c r="M304" s="64"/>
      <c r="N304" s="65"/>
      <c r="O304" s="65"/>
    </row>
    <row r="305" spans="1:15" x14ac:dyDescent="0.25">
      <c r="A305" s="64"/>
      <c r="B305" s="64"/>
      <c r="C305" s="65"/>
      <c r="D305" s="64"/>
      <c r="E305" s="65"/>
      <c r="F305" s="65"/>
      <c r="G305" s="64"/>
      <c r="H305" s="65"/>
      <c r="I305" s="65"/>
      <c r="J305" s="64"/>
      <c r="K305" s="65"/>
      <c r="L305" s="65"/>
      <c r="M305" s="64"/>
      <c r="N305" s="65"/>
      <c r="O305" s="65"/>
    </row>
    <row r="306" spans="1:15" x14ac:dyDescent="0.25">
      <c r="A306" s="64"/>
      <c r="B306" s="64"/>
      <c r="C306" s="65"/>
      <c r="D306" s="64"/>
      <c r="E306" s="65"/>
      <c r="F306" s="65"/>
      <c r="G306" s="64"/>
      <c r="H306" s="65"/>
      <c r="I306" s="65"/>
      <c r="J306" s="64"/>
      <c r="K306" s="65"/>
      <c r="L306" s="65"/>
      <c r="M306" s="64"/>
      <c r="N306" s="65"/>
      <c r="O306" s="65"/>
    </row>
    <row r="307" spans="1:15" x14ac:dyDescent="0.25">
      <c r="A307" s="64"/>
      <c r="B307" s="64"/>
      <c r="C307" s="65"/>
      <c r="D307" s="64"/>
      <c r="E307" s="65"/>
      <c r="F307" s="65"/>
      <c r="G307" s="64"/>
      <c r="H307" s="65"/>
      <c r="I307" s="65"/>
      <c r="J307" s="64"/>
      <c r="K307" s="65"/>
      <c r="L307" s="65"/>
      <c r="M307" s="64"/>
      <c r="N307" s="65"/>
      <c r="O307" s="65"/>
    </row>
    <row r="308" spans="1:15" x14ac:dyDescent="0.25">
      <c r="A308" s="64"/>
      <c r="B308" s="64"/>
      <c r="C308" s="65"/>
      <c r="D308" s="64"/>
      <c r="E308" s="65"/>
      <c r="F308" s="65"/>
      <c r="G308" s="64"/>
      <c r="H308" s="65"/>
      <c r="I308" s="65"/>
      <c r="J308" s="64"/>
      <c r="K308" s="65"/>
      <c r="L308" s="65"/>
      <c r="M308" s="64"/>
      <c r="N308" s="65"/>
      <c r="O308" s="65"/>
    </row>
    <row r="309" spans="1:15" x14ac:dyDescent="0.25">
      <c r="A309" s="64"/>
      <c r="B309" s="64"/>
      <c r="C309" s="65"/>
      <c r="D309" s="64"/>
      <c r="E309" s="65"/>
      <c r="F309" s="65"/>
      <c r="G309" s="64"/>
      <c r="H309" s="65"/>
      <c r="I309" s="65"/>
      <c r="J309" s="64"/>
      <c r="K309" s="65"/>
      <c r="L309" s="65"/>
      <c r="M309" s="64"/>
      <c r="N309" s="65"/>
      <c r="O309" s="65"/>
    </row>
    <row r="310" spans="1:15" x14ac:dyDescent="0.25">
      <c r="A310" s="64"/>
      <c r="B310" s="64"/>
      <c r="C310" s="65"/>
      <c r="D310" s="64"/>
      <c r="E310" s="65"/>
      <c r="F310" s="65"/>
      <c r="G310" s="64"/>
      <c r="H310" s="65"/>
      <c r="I310" s="65"/>
      <c r="J310" s="64"/>
      <c r="K310" s="65"/>
      <c r="L310" s="65"/>
      <c r="M310" s="64"/>
      <c r="N310" s="65"/>
      <c r="O310" s="65"/>
    </row>
    <row r="311" spans="1:15" x14ac:dyDescent="0.25">
      <c r="A311" s="64"/>
      <c r="B311" s="64"/>
      <c r="C311" s="65"/>
      <c r="D311" s="64"/>
      <c r="E311" s="65"/>
      <c r="F311" s="65"/>
      <c r="G311" s="64"/>
      <c r="H311" s="65"/>
      <c r="I311" s="65"/>
      <c r="J311" s="64"/>
      <c r="K311" s="65"/>
      <c r="L311" s="65"/>
      <c r="M311" s="64"/>
      <c r="N311" s="65"/>
      <c r="O311" s="65"/>
    </row>
    <row r="312" spans="1:15" x14ac:dyDescent="0.25">
      <c r="A312" s="64"/>
      <c r="B312" s="64"/>
      <c r="C312" s="65"/>
      <c r="D312" s="64"/>
      <c r="E312" s="65"/>
      <c r="F312" s="65"/>
      <c r="G312" s="64"/>
      <c r="H312" s="65"/>
      <c r="I312" s="65"/>
      <c r="J312" s="64"/>
      <c r="K312" s="65"/>
      <c r="L312" s="65"/>
      <c r="M312" s="64"/>
      <c r="N312" s="65"/>
      <c r="O312" s="65"/>
    </row>
    <row r="313" spans="1:15" x14ac:dyDescent="0.25">
      <c r="A313" s="64"/>
      <c r="B313" s="64"/>
      <c r="C313" s="65"/>
      <c r="D313" s="64"/>
      <c r="E313" s="65"/>
      <c r="F313" s="65"/>
      <c r="G313" s="64"/>
      <c r="H313" s="65"/>
      <c r="I313" s="65"/>
      <c r="J313" s="64"/>
      <c r="K313" s="65"/>
      <c r="L313" s="65"/>
      <c r="M313" s="64"/>
      <c r="N313" s="65"/>
      <c r="O313" s="65"/>
    </row>
    <row r="314" spans="1:15" x14ac:dyDescent="0.25">
      <c r="A314" s="64"/>
      <c r="B314" s="64"/>
      <c r="C314" s="65"/>
      <c r="D314" s="64"/>
      <c r="E314" s="65"/>
      <c r="F314" s="65"/>
      <c r="G314" s="64"/>
      <c r="H314" s="65"/>
      <c r="I314" s="65"/>
      <c r="J314" s="64"/>
      <c r="K314" s="65"/>
      <c r="L314" s="65"/>
      <c r="M314" s="64"/>
      <c r="N314" s="65"/>
      <c r="O314" s="65"/>
    </row>
    <row r="315" spans="1:15" x14ac:dyDescent="0.25">
      <c r="A315" s="64"/>
      <c r="B315" s="64"/>
      <c r="C315" s="65"/>
      <c r="D315" s="64"/>
      <c r="E315" s="65"/>
      <c r="F315" s="65"/>
      <c r="G315" s="64"/>
      <c r="H315" s="65"/>
      <c r="I315" s="65"/>
      <c r="J315" s="64"/>
      <c r="K315" s="65"/>
      <c r="L315" s="65"/>
      <c r="M315" s="64"/>
      <c r="N315" s="65"/>
      <c r="O315" s="65"/>
    </row>
    <row r="316" spans="1:15" x14ac:dyDescent="0.25">
      <c r="A316" s="64"/>
      <c r="B316" s="64"/>
      <c r="C316" s="65"/>
      <c r="D316" s="64"/>
      <c r="E316" s="65"/>
      <c r="F316" s="65"/>
      <c r="G316" s="64"/>
      <c r="H316" s="65"/>
      <c r="I316" s="65"/>
      <c r="J316" s="64"/>
      <c r="K316" s="65"/>
      <c r="L316" s="65"/>
      <c r="M316" s="64"/>
      <c r="N316" s="65"/>
      <c r="O316" s="65"/>
    </row>
    <row r="317" spans="1:15" x14ac:dyDescent="0.25">
      <c r="A317" s="64"/>
      <c r="B317" s="64"/>
      <c r="C317" s="65"/>
      <c r="D317" s="64"/>
      <c r="E317" s="65"/>
      <c r="F317" s="65"/>
      <c r="G317" s="64"/>
      <c r="H317" s="65"/>
      <c r="I317" s="65"/>
      <c r="J317" s="64"/>
      <c r="K317" s="65"/>
      <c r="L317" s="65"/>
      <c r="M317" s="64"/>
      <c r="N317" s="65"/>
      <c r="O317" s="65"/>
    </row>
    <row r="318" spans="1:15" x14ac:dyDescent="0.25">
      <c r="A318" s="64"/>
      <c r="B318" s="64"/>
      <c r="C318" s="65"/>
      <c r="D318" s="64"/>
      <c r="E318" s="65"/>
      <c r="F318" s="65"/>
      <c r="G318" s="64"/>
      <c r="H318" s="65"/>
      <c r="I318" s="65"/>
      <c r="J318" s="64"/>
      <c r="K318" s="65"/>
      <c r="L318" s="65"/>
      <c r="M318" s="64"/>
      <c r="N318" s="65"/>
      <c r="O318" s="65"/>
    </row>
    <row r="319" spans="1:15" x14ac:dyDescent="0.25">
      <c r="A319" s="64"/>
      <c r="B319" s="64"/>
      <c r="C319" s="65"/>
      <c r="D319" s="64"/>
      <c r="E319" s="65"/>
      <c r="F319" s="65"/>
      <c r="G319" s="64"/>
      <c r="H319" s="65"/>
      <c r="I319" s="65"/>
      <c r="J319" s="64"/>
      <c r="K319" s="65"/>
      <c r="L319" s="65"/>
      <c r="M319" s="64"/>
      <c r="N319" s="65"/>
      <c r="O319" s="65"/>
    </row>
    <row r="320" spans="1:15" x14ac:dyDescent="0.25">
      <c r="A320" s="64"/>
      <c r="B320" s="64"/>
      <c r="C320" s="65"/>
      <c r="D320" s="64"/>
      <c r="E320" s="65"/>
      <c r="F320" s="65"/>
      <c r="G320" s="64"/>
      <c r="H320" s="65"/>
      <c r="I320" s="65"/>
      <c r="J320" s="64"/>
      <c r="K320" s="65"/>
      <c r="L320" s="65"/>
      <c r="M320" s="64"/>
      <c r="N320" s="65"/>
      <c r="O320" s="65"/>
    </row>
    <row r="321" spans="1:15" x14ac:dyDescent="0.25">
      <c r="A321" s="64"/>
      <c r="B321" s="64"/>
      <c r="C321" s="65"/>
      <c r="D321" s="64"/>
      <c r="E321" s="65"/>
      <c r="F321" s="65"/>
      <c r="G321" s="64"/>
      <c r="H321" s="65"/>
      <c r="I321" s="65"/>
      <c r="J321" s="64"/>
      <c r="K321" s="65"/>
      <c r="L321" s="65"/>
      <c r="M321" s="64"/>
      <c r="N321" s="65"/>
      <c r="O321" s="65"/>
    </row>
    <row r="322" spans="1:15" x14ac:dyDescent="0.25">
      <c r="A322" s="64"/>
      <c r="B322" s="64"/>
      <c r="C322" s="65"/>
      <c r="D322" s="64"/>
      <c r="E322" s="65"/>
      <c r="F322" s="65"/>
      <c r="G322" s="64"/>
      <c r="H322" s="65"/>
      <c r="I322" s="65"/>
      <c r="J322" s="64"/>
      <c r="K322" s="65"/>
      <c r="L322" s="65"/>
      <c r="M322" s="64"/>
      <c r="N322" s="65"/>
      <c r="O322" s="65"/>
    </row>
    <row r="323" spans="1:15" x14ac:dyDescent="0.25">
      <c r="A323" s="64"/>
      <c r="B323" s="64"/>
      <c r="C323" s="65"/>
      <c r="D323" s="64"/>
      <c r="E323" s="65"/>
      <c r="F323" s="65"/>
      <c r="G323" s="64"/>
      <c r="H323" s="65"/>
      <c r="I323" s="65"/>
      <c r="J323" s="64"/>
      <c r="K323" s="65"/>
      <c r="L323" s="65"/>
      <c r="M323" s="64"/>
      <c r="N323" s="65"/>
      <c r="O323" s="65"/>
    </row>
    <row r="324" spans="1:15" x14ac:dyDescent="0.25">
      <c r="A324" s="64"/>
      <c r="B324" s="64"/>
      <c r="C324" s="65"/>
      <c r="D324" s="64"/>
      <c r="E324" s="65"/>
      <c r="F324" s="65"/>
      <c r="G324" s="64"/>
      <c r="H324" s="65"/>
      <c r="I324" s="65"/>
      <c r="J324" s="64"/>
      <c r="K324" s="65"/>
      <c r="L324" s="65"/>
      <c r="M324" s="64"/>
      <c r="N324" s="65"/>
      <c r="O324" s="65"/>
    </row>
    <row r="325" spans="1:15" x14ac:dyDescent="0.25">
      <c r="A325" s="64"/>
      <c r="B325" s="64"/>
      <c r="C325" s="65"/>
      <c r="D325" s="64"/>
      <c r="E325" s="65"/>
      <c r="F325" s="65"/>
      <c r="G325" s="64"/>
      <c r="H325" s="65"/>
      <c r="I325" s="65"/>
      <c r="J325" s="64"/>
      <c r="K325" s="65"/>
      <c r="L325" s="65"/>
      <c r="M325" s="64"/>
      <c r="N325" s="65"/>
      <c r="O325" s="65"/>
    </row>
    <row r="326" spans="1:15" x14ac:dyDescent="0.25">
      <c r="A326" s="64"/>
      <c r="B326" s="64"/>
      <c r="C326" s="65"/>
      <c r="D326" s="64"/>
      <c r="E326" s="65"/>
      <c r="F326" s="65"/>
      <c r="G326" s="64"/>
      <c r="H326" s="65"/>
      <c r="I326" s="65"/>
      <c r="J326" s="64"/>
      <c r="K326" s="65"/>
      <c r="L326" s="65"/>
      <c r="M326" s="64"/>
      <c r="N326" s="65"/>
      <c r="O326" s="65"/>
    </row>
    <row r="327" spans="1:15" x14ac:dyDescent="0.25">
      <c r="A327" s="64"/>
      <c r="B327" s="64"/>
      <c r="C327" s="65"/>
      <c r="D327" s="64"/>
      <c r="E327" s="65"/>
      <c r="F327" s="65"/>
      <c r="G327" s="64"/>
      <c r="H327" s="65"/>
      <c r="I327" s="65"/>
      <c r="J327" s="64"/>
      <c r="K327" s="65"/>
      <c r="L327" s="65"/>
      <c r="M327" s="64"/>
      <c r="N327" s="65"/>
      <c r="O327" s="65"/>
    </row>
    <row r="328" spans="1:15" x14ac:dyDescent="0.25">
      <c r="A328" s="64"/>
      <c r="B328" s="64"/>
      <c r="C328" s="65"/>
      <c r="D328" s="64"/>
      <c r="E328" s="65"/>
      <c r="F328" s="65"/>
      <c r="G328" s="64"/>
      <c r="H328" s="65"/>
      <c r="I328" s="65"/>
      <c r="J328" s="64"/>
      <c r="K328" s="65"/>
      <c r="L328" s="65"/>
      <c r="M328" s="64"/>
      <c r="N328" s="65"/>
      <c r="O328" s="65"/>
    </row>
    <row r="329" spans="1:15" x14ac:dyDescent="0.25">
      <c r="A329" s="64"/>
      <c r="B329" s="64"/>
      <c r="C329" s="65"/>
      <c r="D329" s="64"/>
      <c r="E329" s="65"/>
      <c r="F329" s="65"/>
      <c r="G329" s="64"/>
      <c r="H329" s="65"/>
      <c r="I329" s="65"/>
      <c r="J329" s="64"/>
      <c r="K329" s="65"/>
      <c r="L329" s="65"/>
      <c r="M329" s="64"/>
      <c r="N329" s="65"/>
      <c r="O329" s="65"/>
    </row>
    <row r="330" spans="1:15" x14ac:dyDescent="0.25">
      <c r="A330" s="64"/>
      <c r="B330" s="64"/>
      <c r="C330" s="65"/>
      <c r="D330" s="64"/>
      <c r="E330" s="65"/>
      <c r="F330" s="65"/>
      <c r="G330" s="64"/>
      <c r="H330" s="65"/>
      <c r="I330" s="65"/>
      <c r="J330" s="64"/>
      <c r="K330" s="65"/>
      <c r="L330" s="65"/>
      <c r="M330" s="64"/>
      <c r="N330" s="65"/>
      <c r="O330" s="65"/>
    </row>
    <row r="331" spans="1:15" x14ac:dyDescent="0.25">
      <c r="A331" s="64"/>
      <c r="B331" s="64"/>
      <c r="C331" s="65"/>
      <c r="D331" s="64"/>
      <c r="E331" s="65"/>
      <c r="F331" s="65"/>
      <c r="G331" s="64"/>
      <c r="H331" s="65"/>
      <c r="I331" s="65"/>
      <c r="J331" s="64"/>
      <c r="K331" s="65"/>
      <c r="L331" s="65"/>
      <c r="M331" s="64"/>
      <c r="N331" s="65"/>
      <c r="O331" s="65"/>
    </row>
    <row r="332" spans="1:15" x14ac:dyDescent="0.25">
      <c r="A332" s="64"/>
      <c r="B332" s="64"/>
      <c r="C332" s="65"/>
      <c r="D332" s="64"/>
      <c r="E332" s="65"/>
      <c r="F332" s="65"/>
      <c r="G332" s="64"/>
      <c r="H332" s="65"/>
      <c r="I332" s="65"/>
      <c r="J332" s="64"/>
      <c r="K332" s="65"/>
      <c r="L332" s="65"/>
      <c r="M332" s="64"/>
      <c r="N332" s="65"/>
      <c r="O332" s="65"/>
    </row>
    <row r="333" spans="1:15" x14ac:dyDescent="0.25">
      <c r="A333" s="64"/>
      <c r="B333" s="64"/>
      <c r="C333" s="65"/>
      <c r="D333" s="64"/>
      <c r="E333" s="65"/>
      <c r="F333" s="65"/>
      <c r="G333" s="64"/>
      <c r="H333" s="65"/>
      <c r="I333" s="65"/>
      <c r="J333" s="64"/>
      <c r="K333" s="65"/>
      <c r="L333" s="65"/>
      <c r="M333" s="64"/>
      <c r="N333" s="65"/>
      <c r="O333" s="65"/>
    </row>
    <row r="334" spans="1:15" x14ac:dyDescent="0.25">
      <c r="A334" s="64"/>
      <c r="B334" s="64"/>
      <c r="C334" s="65"/>
      <c r="D334" s="64"/>
      <c r="E334" s="65"/>
      <c r="F334" s="65"/>
      <c r="G334" s="64"/>
      <c r="H334" s="65"/>
      <c r="I334" s="65"/>
      <c r="J334" s="64"/>
      <c r="K334" s="65"/>
      <c r="L334" s="65"/>
      <c r="M334" s="64"/>
      <c r="N334" s="65"/>
      <c r="O334" s="65"/>
    </row>
    <row r="335" spans="1:15" x14ac:dyDescent="0.25">
      <c r="A335" s="64"/>
      <c r="B335" s="64"/>
      <c r="C335" s="65"/>
      <c r="D335" s="64"/>
      <c r="E335" s="65"/>
      <c r="F335" s="65"/>
      <c r="G335" s="64"/>
      <c r="H335" s="65"/>
      <c r="I335" s="65"/>
      <c r="J335" s="64"/>
      <c r="K335" s="65"/>
      <c r="L335" s="65"/>
      <c r="M335" s="64"/>
      <c r="N335" s="65"/>
      <c r="O335" s="65"/>
    </row>
    <row r="336" spans="1:15" x14ac:dyDescent="0.25">
      <c r="A336" s="64"/>
      <c r="B336" s="64"/>
      <c r="C336" s="65"/>
      <c r="D336" s="64"/>
      <c r="E336" s="65"/>
      <c r="F336" s="65"/>
      <c r="G336" s="64"/>
      <c r="H336" s="65"/>
      <c r="I336" s="65"/>
      <c r="J336" s="64"/>
      <c r="K336" s="65"/>
      <c r="L336" s="65"/>
      <c r="M336" s="64"/>
      <c r="N336" s="65"/>
      <c r="O336" s="65"/>
    </row>
    <row r="337" spans="1:15" x14ac:dyDescent="0.25">
      <c r="A337" s="64"/>
      <c r="B337" s="64"/>
      <c r="C337" s="65"/>
      <c r="D337" s="64"/>
      <c r="E337" s="65"/>
      <c r="F337" s="65"/>
      <c r="G337" s="64"/>
      <c r="H337" s="65"/>
      <c r="I337" s="65"/>
      <c r="J337" s="64"/>
      <c r="K337" s="65"/>
      <c r="L337" s="65"/>
      <c r="M337" s="64"/>
      <c r="N337" s="65"/>
      <c r="O337" s="65"/>
    </row>
    <row r="338" spans="1:15" x14ac:dyDescent="0.25">
      <c r="A338" s="64"/>
      <c r="B338" s="64"/>
      <c r="C338" s="65"/>
      <c r="D338" s="64"/>
      <c r="E338" s="65"/>
      <c r="F338" s="65"/>
      <c r="G338" s="64"/>
      <c r="H338" s="65"/>
      <c r="I338" s="65"/>
      <c r="J338" s="64"/>
      <c r="K338" s="65"/>
      <c r="L338" s="65"/>
      <c r="M338" s="64"/>
      <c r="N338" s="65"/>
      <c r="O338" s="65"/>
    </row>
    <row r="339" spans="1:15" x14ac:dyDescent="0.25">
      <c r="A339" s="64"/>
      <c r="B339" s="64"/>
      <c r="C339" s="65"/>
      <c r="D339" s="64"/>
      <c r="E339" s="65"/>
      <c r="F339" s="65"/>
      <c r="G339" s="64"/>
      <c r="H339" s="65"/>
      <c r="I339" s="65"/>
      <c r="J339" s="64"/>
      <c r="K339" s="65"/>
      <c r="L339" s="65"/>
      <c r="M339" s="64"/>
      <c r="N339" s="65"/>
      <c r="O339" s="65"/>
    </row>
    <row r="340" spans="1:15" x14ac:dyDescent="0.25">
      <c r="A340" s="64"/>
      <c r="B340" s="64"/>
      <c r="C340" s="65"/>
      <c r="D340" s="64"/>
      <c r="E340" s="65"/>
      <c r="F340" s="65"/>
      <c r="G340" s="64"/>
      <c r="H340" s="65"/>
      <c r="I340" s="65"/>
      <c r="J340" s="64"/>
      <c r="K340" s="65"/>
      <c r="L340" s="65"/>
      <c r="M340" s="64"/>
      <c r="N340" s="65"/>
      <c r="O340" s="65"/>
    </row>
    <row r="341" spans="1:15" x14ac:dyDescent="0.25">
      <c r="A341" s="64"/>
      <c r="B341" s="64"/>
      <c r="C341" s="65"/>
      <c r="D341" s="64"/>
      <c r="E341" s="65"/>
      <c r="F341" s="65"/>
      <c r="G341" s="64"/>
      <c r="H341" s="65"/>
      <c r="I341" s="65"/>
      <c r="J341" s="64"/>
      <c r="K341" s="65"/>
      <c r="L341" s="65"/>
      <c r="M341" s="64"/>
      <c r="N341" s="65"/>
      <c r="O341" s="65"/>
    </row>
    <row r="342" spans="1:15" x14ac:dyDescent="0.25">
      <c r="A342" s="64"/>
      <c r="B342" s="64"/>
      <c r="C342" s="65"/>
      <c r="D342" s="64"/>
      <c r="E342" s="65"/>
      <c r="F342" s="65"/>
      <c r="G342" s="64"/>
      <c r="H342" s="65"/>
      <c r="I342" s="65"/>
      <c r="J342" s="64"/>
      <c r="K342" s="65"/>
      <c r="L342" s="65"/>
      <c r="M342" s="64"/>
      <c r="N342" s="65"/>
      <c r="O342" s="65"/>
    </row>
    <row r="343" spans="1:15" x14ac:dyDescent="0.25">
      <c r="A343" s="64"/>
      <c r="B343" s="64"/>
      <c r="C343" s="65"/>
      <c r="D343" s="64"/>
      <c r="E343" s="65"/>
      <c r="F343" s="65"/>
      <c r="G343" s="64"/>
      <c r="H343" s="65"/>
      <c r="I343" s="65"/>
      <c r="J343" s="64"/>
      <c r="K343" s="65"/>
      <c r="L343" s="65"/>
      <c r="M343" s="64"/>
      <c r="N343" s="65"/>
      <c r="O343" s="65"/>
    </row>
    <row r="344" spans="1:15" x14ac:dyDescent="0.25">
      <c r="A344" s="64"/>
      <c r="B344" s="64"/>
      <c r="C344" s="65"/>
      <c r="D344" s="64"/>
      <c r="E344" s="65"/>
      <c r="F344" s="65"/>
      <c r="G344" s="64"/>
      <c r="H344" s="65"/>
      <c r="I344" s="65"/>
      <c r="J344" s="64"/>
      <c r="K344" s="65"/>
      <c r="L344" s="65"/>
      <c r="M344" s="64"/>
      <c r="N344" s="65"/>
      <c r="O344" s="65"/>
    </row>
    <row r="345" spans="1:15" x14ac:dyDescent="0.25">
      <c r="A345" s="64"/>
      <c r="B345" s="64"/>
      <c r="C345" s="65"/>
      <c r="D345" s="64"/>
      <c r="E345" s="65"/>
      <c r="F345" s="65"/>
      <c r="G345" s="64"/>
      <c r="H345" s="65"/>
      <c r="I345" s="65"/>
      <c r="J345" s="64"/>
      <c r="K345" s="65"/>
      <c r="L345" s="65"/>
      <c r="M345" s="64"/>
      <c r="N345" s="65"/>
      <c r="O345" s="65"/>
    </row>
    <row r="346" spans="1:15" x14ac:dyDescent="0.25">
      <c r="A346" s="64"/>
      <c r="B346" s="64"/>
      <c r="C346" s="65"/>
      <c r="D346" s="64"/>
      <c r="E346" s="65"/>
      <c r="F346" s="65"/>
      <c r="G346" s="64"/>
      <c r="H346" s="65"/>
      <c r="I346" s="65"/>
      <c r="J346" s="64"/>
      <c r="K346" s="65"/>
      <c r="L346" s="65"/>
      <c r="M346" s="64"/>
      <c r="N346" s="65"/>
      <c r="O346" s="65"/>
    </row>
    <row r="347" spans="1:15" x14ac:dyDescent="0.25">
      <c r="A347" s="64"/>
      <c r="B347" s="64"/>
      <c r="C347" s="65"/>
      <c r="D347" s="64"/>
      <c r="E347" s="65"/>
      <c r="F347" s="65"/>
      <c r="G347" s="64"/>
      <c r="H347" s="65"/>
      <c r="I347" s="65"/>
      <c r="J347" s="64"/>
      <c r="K347" s="65"/>
      <c r="L347" s="65"/>
      <c r="M347" s="64"/>
      <c r="N347" s="65"/>
      <c r="O347" s="65"/>
    </row>
    <row r="348" spans="1:15" x14ac:dyDescent="0.25">
      <c r="A348" s="64"/>
      <c r="B348" s="64"/>
      <c r="C348" s="65"/>
      <c r="D348" s="64"/>
      <c r="E348" s="65"/>
      <c r="F348" s="65"/>
      <c r="G348" s="64"/>
      <c r="H348" s="65"/>
      <c r="I348" s="65"/>
      <c r="J348" s="64"/>
      <c r="K348" s="65"/>
      <c r="L348" s="65"/>
      <c r="M348" s="64"/>
      <c r="N348" s="65"/>
      <c r="O348" s="65"/>
    </row>
    <row r="349" spans="1:15" x14ac:dyDescent="0.25">
      <c r="A349" s="64"/>
      <c r="B349" s="64"/>
      <c r="C349" s="65"/>
      <c r="D349" s="64"/>
      <c r="E349" s="65"/>
      <c r="F349" s="65"/>
      <c r="G349" s="64"/>
      <c r="H349" s="65"/>
      <c r="I349" s="65"/>
      <c r="J349" s="64"/>
      <c r="K349" s="65"/>
      <c r="L349" s="65"/>
      <c r="M349" s="64"/>
      <c r="N349" s="65"/>
      <c r="O349" s="65"/>
    </row>
    <row r="350" spans="1:15" x14ac:dyDescent="0.25">
      <c r="A350" s="64"/>
      <c r="B350" s="64"/>
      <c r="C350" s="65"/>
      <c r="D350" s="64"/>
      <c r="E350" s="65"/>
      <c r="F350" s="65"/>
      <c r="G350" s="64"/>
      <c r="H350" s="65"/>
      <c r="I350" s="65"/>
      <c r="J350" s="64"/>
      <c r="K350" s="65"/>
      <c r="L350" s="65"/>
      <c r="M350" s="64"/>
      <c r="N350" s="65"/>
      <c r="O350" s="65"/>
    </row>
    <row r="351" spans="1:15" x14ac:dyDescent="0.25">
      <c r="A351" s="64"/>
      <c r="B351" s="64"/>
      <c r="C351" s="65"/>
      <c r="D351" s="64"/>
      <c r="E351" s="65"/>
      <c r="F351" s="65"/>
      <c r="G351" s="64"/>
      <c r="H351" s="65"/>
      <c r="I351" s="65"/>
      <c r="J351" s="64"/>
      <c r="K351" s="65"/>
      <c r="L351" s="65"/>
      <c r="M351" s="64"/>
      <c r="N351" s="65"/>
      <c r="O351" s="65"/>
    </row>
    <row r="352" spans="1:15" x14ac:dyDescent="0.25">
      <c r="A352" s="64"/>
      <c r="B352" s="64"/>
      <c r="C352" s="65"/>
      <c r="D352" s="64"/>
      <c r="E352" s="65"/>
      <c r="F352" s="65"/>
      <c r="G352" s="64"/>
      <c r="H352" s="65"/>
      <c r="I352" s="65"/>
      <c r="J352" s="64"/>
      <c r="K352" s="65"/>
      <c r="L352" s="65"/>
      <c r="M352" s="64"/>
      <c r="N352" s="65"/>
      <c r="O352" s="65"/>
    </row>
    <row r="353" spans="1:15" x14ac:dyDescent="0.25">
      <c r="A353" s="64"/>
      <c r="B353" s="64"/>
      <c r="C353" s="65"/>
      <c r="D353" s="64"/>
      <c r="E353" s="65"/>
      <c r="F353" s="65"/>
      <c r="G353" s="64"/>
      <c r="H353" s="65"/>
      <c r="I353" s="65"/>
      <c r="J353" s="64"/>
      <c r="K353" s="65"/>
      <c r="L353" s="65"/>
      <c r="M353" s="64"/>
      <c r="N353" s="65"/>
      <c r="O353" s="65"/>
    </row>
    <row r="354" spans="1:15" x14ac:dyDescent="0.25">
      <c r="A354" s="64"/>
      <c r="B354" s="64"/>
      <c r="C354" s="65"/>
      <c r="D354" s="64"/>
      <c r="E354" s="65"/>
      <c r="F354" s="65"/>
      <c r="G354" s="64"/>
      <c r="H354" s="65"/>
      <c r="I354" s="65"/>
      <c r="J354" s="64"/>
      <c r="K354" s="65"/>
      <c r="L354" s="65"/>
      <c r="M354" s="64"/>
      <c r="N354" s="65"/>
      <c r="O354" s="65"/>
    </row>
    <row r="355" spans="1:15" x14ac:dyDescent="0.25">
      <c r="A355" s="64"/>
      <c r="B355" s="64"/>
      <c r="C355" s="65"/>
      <c r="D355" s="64"/>
      <c r="E355" s="65"/>
      <c r="F355" s="65"/>
      <c r="G355" s="64"/>
      <c r="H355" s="65"/>
      <c r="I355" s="65"/>
      <c r="J355" s="64"/>
      <c r="K355" s="65"/>
      <c r="L355" s="65"/>
      <c r="M355" s="64"/>
      <c r="N355" s="65"/>
      <c r="O355" s="65"/>
    </row>
    <row r="356" spans="1:15" x14ac:dyDescent="0.25">
      <c r="A356" s="64"/>
      <c r="B356" s="64"/>
      <c r="C356" s="65"/>
      <c r="D356" s="64"/>
      <c r="E356" s="65"/>
      <c r="F356" s="65"/>
      <c r="G356" s="64"/>
      <c r="H356" s="65"/>
      <c r="I356" s="65"/>
      <c r="J356" s="64"/>
      <c r="K356" s="65"/>
      <c r="L356" s="65"/>
      <c r="M356" s="64"/>
      <c r="N356" s="65"/>
      <c r="O356" s="65"/>
    </row>
    <row r="357" spans="1:15" x14ac:dyDescent="0.25">
      <c r="A357" s="64"/>
      <c r="B357" s="64"/>
      <c r="C357" s="65"/>
      <c r="D357" s="64"/>
      <c r="E357" s="65"/>
      <c r="F357" s="65"/>
      <c r="G357" s="64"/>
      <c r="H357" s="65"/>
      <c r="I357" s="65"/>
      <c r="J357" s="64"/>
      <c r="K357" s="65"/>
      <c r="L357" s="65"/>
      <c r="M357" s="64"/>
      <c r="N357" s="65"/>
      <c r="O357" s="65"/>
    </row>
    <row r="358" spans="1:15" x14ac:dyDescent="0.25">
      <c r="A358" s="64"/>
      <c r="B358" s="64"/>
      <c r="C358" s="65"/>
      <c r="D358" s="64"/>
      <c r="E358" s="65"/>
      <c r="F358" s="65"/>
      <c r="G358" s="64"/>
      <c r="H358" s="65"/>
      <c r="I358" s="65"/>
      <c r="J358" s="64"/>
      <c r="K358" s="65"/>
      <c r="L358" s="65"/>
      <c r="M358" s="64"/>
      <c r="N358" s="65"/>
      <c r="O358" s="65"/>
    </row>
    <row r="359" spans="1:15" x14ac:dyDescent="0.25">
      <c r="A359" s="64"/>
      <c r="B359" s="64"/>
      <c r="C359" s="65"/>
      <c r="D359" s="64"/>
      <c r="E359" s="65"/>
      <c r="F359" s="65"/>
      <c r="G359" s="64"/>
      <c r="H359" s="65"/>
      <c r="I359" s="65"/>
      <c r="J359" s="64"/>
      <c r="K359" s="65"/>
      <c r="L359" s="65"/>
      <c r="M359" s="64"/>
      <c r="N359" s="65"/>
      <c r="O359" s="65"/>
    </row>
    <row r="360" spans="1:15" x14ac:dyDescent="0.25">
      <c r="A360" s="64"/>
      <c r="B360" s="64"/>
      <c r="C360" s="65"/>
      <c r="D360" s="64"/>
      <c r="E360" s="65"/>
      <c r="F360" s="65"/>
      <c r="G360" s="64"/>
      <c r="H360" s="65"/>
      <c r="I360" s="65"/>
      <c r="J360" s="64"/>
      <c r="K360" s="65"/>
      <c r="L360" s="65"/>
      <c r="M360" s="64"/>
      <c r="N360" s="65"/>
      <c r="O360" s="65"/>
    </row>
    <row r="361" spans="1:15" x14ac:dyDescent="0.25">
      <c r="A361" s="64"/>
      <c r="B361" s="64"/>
      <c r="C361" s="65"/>
      <c r="D361" s="64"/>
      <c r="E361" s="65"/>
      <c r="F361" s="65"/>
      <c r="G361" s="64"/>
      <c r="H361" s="65"/>
      <c r="I361" s="65"/>
      <c r="J361" s="64"/>
      <c r="K361" s="65"/>
      <c r="L361" s="65"/>
      <c r="M361" s="64"/>
      <c r="N361" s="65"/>
      <c r="O361" s="65"/>
    </row>
    <row r="362" spans="1:15" x14ac:dyDescent="0.25">
      <c r="A362" s="64"/>
      <c r="B362" s="64"/>
      <c r="C362" s="65"/>
      <c r="D362" s="64"/>
      <c r="E362" s="65"/>
      <c r="F362" s="65"/>
      <c r="G362" s="64"/>
      <c r="H362" s="65"/>
      <c r="I362" s="65"/>
      <c r="J362" s="64"/>
      <c r="K362" s="65"/>
      <c r="L362" s="65"/>
      <c r="M362" s="64"/>
      <c r="N362" s="65"/>
      <c r="O362" s="65"/>
    </row>
    <row r="363" spans="1:15" x14ac:dyDescent="0.25">
      <c r="A363" s="64"/>
      <c r="B363" s="64"/>
      <c r="C363" s="65"/>
      <c r="D363" s="64"/>
      <c r="E363" s="65"/>
      <c r="F363" s="65"/>
      <c r="G363" s="64"/>
      <c r="H363" s="65"/>
      <c r="I363" s="65"/>
      <c r="J363" s="64"/>
      <c r="K363" s="65"/>
      <c r="L363" s="65"/>
      <c r="M363" s="64"/>
      <c r="N363" s="65"/>
      <c r="O363" s="65"/>
    </row>
    <row r="364" spans="1:15" x14ac:dyDescent="0.25">
      <c r="A364" s="64"/>
      <c r="B364" s="64"/>
      <c r="C364" s="65"/>
      <c r="D364" s="64"/>
      <c r="E364" s="65"/>
      <c r="F364" s="65"/>
      <c r="G364" s="64"/>
      <c r="H364" s="65"/>
      <c r="I364" s="65"/>
      <c r="J364" s="64"/>
      <c r="K364" s="65"/>
      <c r="L364" s="65"/>
      <c r="M364" s="64"/>
      <c r="N364" s="65"/>
      <c r="O364" s="65"/>
    </row>
    <row r="365" spans="1:15" x14ac:dyDescent="0.25">
      <c r="A365" s="64"/>
      <c r="B365" s="64"/>
      <c r="C365" s="65"/>
      <c r="D365" s="64"/>
      <c r="E365" s="65"/>
      <c r="F365" s="65"/>
      <c r="G365" s="64"/>
      <c r="H365" s="65"/>
      <c r="I365" s="65"/>
      <c r="J365" s="64"/>
      <c r="K365" s="65"/>
      <c r="L365" s="65"/>
      <c r="M365" s="64"/>
      <c r="N365" s="65"/>
      <c r="O365" s="65"/>
    </row>
    <row r="366" spans="1:15" x14ac:dyDescent="0.25">
      <c r="A366" s="64"/>
      <c r="B366" s="64"/>
      <c r="C366" s="65"/>
      <c r="D366" s="64"/>
      <c r="E366" s="65"/>
      <c r="F366" s="65"/>
      <c r="G366" s="64"/>
      <c r="H366" s="65"/>
      <c r="I366" s="65"/>
      <c r="J366" s="64"/>
      <c r="K366" s="65"/>
      <c r="L366" s="65"/>
      <c r="M366" s="64"/>
      <c r="N366" s="65"/>
      <c r="O366" s="65"/>
    </row>
    <row r="367" spans="1:15" x14ac:dyDescent="0.25">
      <c r="A367" s="64"/>
      <c r="B367" s="64"/>
      <c r="C367" s="65"/>
      <c r="D367" s="64"/>
      <c r="E367" s="65"/>
      <c r="F367" s="65"/>
      <c r="G367" s="64"/>
      <c r="H367" s="65"/>
      <c r="I367" s="65"/>
      <c r="J367" s="64"/>
      <c r="K367" s="65"/>
      <c r="L367" s="65"/>
      <c r="M367" s="64"/>
      <c r="N367" s="65"/>
      <c r="O367" s="65"/>
    </row>
    <row r="368" spans="1:15" x14ac:dyDescent="0.25">
      <c r="A368" s="64"/>
      <c r="B368" s="64"/>
      <c r="C368" s="65"/>
      <c r="D368" s="64"/>
      <c r="E368" s="65"/>
      <c r="F368" s="65"/>
      <c r="G368" s="64"/>
      <c r="H368" s="65"/>
      <c r="I368" s="65"/>
      <c r="J368" s="64"/>
      <c r="K368" s="65"/>
      <c r="L368" s="65"/>
      <c r="M368" s="64"/>
      <c r="N368" s="65"/>
      <c r="O368" s="65"/>
    </row>
    <row r="369" spans="1:15" x14ac:dyDescent="0.25">
      <c r="A369" s="64"/>
      <c r="B369" s="64"/>
      <c r="C369" s="65"/>
      <c r="D369" s="64"/>
      <c r="E369" s="65"/>
      <c r="F369" s="65"/>
      <c r="G369" s="64"/>
      <c r="H369" s="65"/>
      <c r="I369" s="65"/>
      <c r="J369" s="64"/>
      <c r="K369" s="65"/>
      <c r="L369" s="65"/>
      <c r="M369" s="64"/>
      <c r="N369" s="65"/>
      <c r="O369" s="65"/>
    </row>
    <row r="370" spans="1:15" x14ac:dyDescent="0.25">
      <c r="A370" s="64"/>
      <c r="B370" s="64"/>
      <c r="C370" s="65"/>
      <c r="D370" s="64"/>
      <c r="E370" s="65"/>
      <c r="F370" s="65"/>
      <c r="G370" s="64"/>
      <c r="H370" s="65"/>
      <c r="I370" s="65"/>
      <c r="J370" s="64"/>
      <c r="K370" s="65"/>
      <c r="L370" s="65"/>
      <c r="M370" s="64"/>
      <c r="N370" s="65"/>
      <c r="O370" s="65"/>
    </row>
    <row r="371" spans="1:15" x14ac:dyDescent="0.25">
      <c r="A371" s="64"/>
      <c r="B371" s="64"/>
      <c r="C371" s="65"/>
      <c r="D371" s="64"/>
      <c r="E371" s="65"/>
      <c r="F371" s="65"/>
      <c r="G371" s="64"/>
      <c r="H371" s="65"/>
      <c r="I371" s="65"/>
      <c r="J371" s="64"/>
      <c r="K371" s="65"/>
      <c r="L371" s="65"/>
      <c r="M371" s="64"/>
      <c r="N371" s="65"/>
      <c r="O371" s="65"/>
    </row>
    <row r="372" spans="1:15" x14ac:dyDescent="0.25">
      <c r="A372" s="64"/>
      <c r="B372" s="64"/>
      <c r="C372" s="65"/>
      <c r="D372" s="64"/>
      <c r="E372" s="65"/>
      <c r="F372" s="65"/>
      <c r="G372" s="64"/>
      <c r="H372" s="65"/>
      <c r="I372" s="65"/>
      <c r="J372" s="64"/>
      <c r="K372" s="65"/>
      <c r="L372" s="65"/>
      <c r="M372" s="64"/>
      <c r="N372" s="65"/>
      <c r="O372" s="65"/>
    </row>
    <row r="373" spans="1:15" x14ac:dyDescent="0.25">
      <c r="A373" s="64"/>
      <c r="B373" s="64"/>
      <c r="C373" s="65"/>
      <c r="D373" s="64"/>
      <c r="E373" s="65"/>
      <c r="F373" s="65"/>
      <c r="G373" s="64"/>
      <c r="H373" s="65"/>
      <c r="I373" s="65"/>
      <c r="J373" s="64"/>
      <c r="K373" s="65"/>
      <c r="L373" s="65"/>
      <c r="M373" s="64"/>
      <c r="N373" s="65"/>
      <c r="O373" s="65"/>
    </row>
    <row r="374" spans="1:15" x14ac:dyDescent="0.25">
      <c r="A374" s="64"/>
      <c r="B374" s="64"/>
      <c r="C374" s="65"/>
      <c r="D374" s="64"/>
      <c r="E374" s="65"/>
      <c r="F374" s="65"/>
      <c r="G374" s="64"/>
      <c r="H374" s="65"/>
      <c r="I374" s="65"/>
      <c r="J374" s="64"/>
      <c r="K374" s="65"/>
      <c r="L374" s="65"/>
      <c r="M374" s="64"/>
      <c r="N374" s="65"/>
      <c r="O374" s="65"/>
    </row>
    <row r="375" spans="1:15" x14ac:dyDescent="0.25">
      <c r="A375" s="64"/>
      <c r="B375" s="64"/>
      <c r="C375" s="65"/>
      <c r="D375" s="64"/>
      <c r="E375" s="65"/>
      <c r="F375" s="65"/>
      <c r="G375" s="64"/>
      <c r="H375" s="65"/>
      <c r="I375" s="65"/>
      <c r="J375" s="64"/>
      <c r="K375" s="65"/>
      <c r="L375" s="65"/>
      <c r="M375" s="64"/>
      <c r="N375" s="65"/>
      <c r="O375" s="65"/>
    </row>
    <row r="376" spans="1:15" x14ac:dyDescent="0.25">
      <c r="A376" s="64"/>
      <c r="B376" s="64"/>
      <c r="C376" s="65"/>
      <c r="D376" s="64"/>
      <c r="E376" s="65"/>
      <c r="F376" s="65"/>
      <c r="G376" s="64"/>
      <c r="H376" s="65"/>
      <c r="I376" s="65"/>
      <c r="J376" s="64"/>
      <c r="K376" s="65"/>
      <c r="L376" s="65"/>
      <c r="M376" s="64"/>
      <c r="N376" s="65"/>
      <c r="O376" s="65"/>
    </row>
    <row r="377" spans="1:15" x14ac:dyDescent="0.25">
      <c r="A377" s="64"/>
      <c r="B377" s="64"/>
      <c r="C377" s="65"/>
      <c r="D377" s="64"/>
      <c r="E377" s="65"/>
      <c r="F377" s="65"/>
      <c r="G377" s="64"/>
      <c r="H377" s="65"/>
      <c r="I377" s="65"/>
      <c r="J377" s="64"/>
      <c r="K377" s="65"/>
      <c r="L377" s="65"/>
      <c r="M377" s="64"/>
      <c r="N377" s="65"/>
      <c r="O377" s="65"/>
    </row>
    <row r="378" spans="1:15" x14ac:dyDescent="0.25">
      <c r="A378" s="64"/>
      <c r="B378" s="64"/>
      <c r="C378" s="65"/>
      <c r="D378" s="64"/>
      <c r="E378" s="65"/>
      <c r="F378" s="65"/>
      <c r="G378" s="64"/>
      <c r="H378" s="65"/>
      <c r="I378" s="65"/>
      <c r="J378" s="64"/>
      <c r="K378" s="65"/>
      <c r="L378" s="65"/>
      <c r="M378" s="64"/>
      <c r="N378" s="65"/>
      <c r="O378" s="65"/>
    </row>
    <row r="379" spans="1:15" x14ac:dyDescent="0.25">
      <c r="A379" s="64"/>
      <c r="B379" s="64"/>
      <c r="C379" s="65"/>
      <c r="D379" s="64"/>
      <c r="E379" s="65"/>
      <c r="F379" s="65"/>
      <c r="G379" s="64"/>
      <c r="H379" s="65"/>
      <c r="I379" s="65"/>
      <c r="J379" s="64"/>
      <c r="K379" s="65"/>
      <c r="L379" s="65"/>
      <c r="M379" s="64"/>
      <c r="N379" s="65"/>
      <c r="O379" s="65"/>
    </row>
    <row r="380" spans="1:15" x14ac:dyDescent="0.25">
      <c r="A380" s="64"/>
      <c r="B380" s="64"/>
      <c r="C380" s="65"/>
      <c r="D380" s="64"/>
      <c r="E380" s="65"/>
      <c r="F380" s="65"/>
      <c r="G380" s="64"/>
      <c r="H380" s="65"/>
      <c r="I380" s="65"/>
      <c r="J380" s="64"/>
      <c r="K380" s="65"/>
      <c r="L380" s="65"/>
      <c r="M380" s="64"/>
      <c r="N380" s="65"/>
      <c r="O380" s="65"/>
    </row>
    <row r="381" spans="1:15" x14ac:dyDescent="0.25">
      <c r="A381" s="64"/>
      <c r="B381" s="64"/>
      <c r="C381" s="65"/>
      <c r="D381" s="64"/>
      <c r="E381" s="65"/>
      <c r="F381" s="65"/>
      <c r="G381" s="64"/>
      <c r="H381" s="65"/>
      <c r="I381" s="65"/>
      <c r="J381" s="64"/>
      <c r="K381" s="65"/>
      <c r="L381" s="65"/>
      <c r="M381" s="64"/>
      <c r="N381" s="65"/>
      <c r="O381" s="65"/>
    </row>
    <row r="382" spans="1:15" x14ac:dyDescent="0.25">
      <c r="A382" s="64"/>
      <c r="B382" s="64"/>
      <c r="C382" s="65"/>
      <c r="D382" s="64"/>
      <c r="E382" s="65"/>
      <c r="F382" s="65"/>
      <c r="G382" s="64"/>
      <c r="H382" s="65"/>
      <c r="I382" s="65"/>
      <c r="J382" s="64"/>
      <c r="K382" s="65"/>
      <c r="L382" s="65"/>
      <c r="M382" s="64"/>
      <c r="N382" s="65"/>
      <c r="O382" s="65"/>
    </row>
    <row r="383" spans="1:15" x14ac:dyDescent="0.25">
      <c r="A383" s="64"/>
      <c r="B383" s="64"/>
      <c r="C383" s="65"/>
      <c r="D383" s="64"/>
      <c r="E383" s="65"/>
      <c r="F383" s="65"/>
      <c r="G383" s="64"/>
      <c r="H383" s="65"/>
      <c r="I383" s="65"/>
      <c r="J383" s="64"/>
      <c r="K383" s="65"/>
      <c r="L383" s="65"/>
      <c r="M383" s="64"/>
      <c r="N383" s="65"/>
      <c r="O383" s="65"/>
    </row>
    <row r="384" spans="1:15" x14ac:dyDescent="0.25">
      <c r="A384" s="64"/>
      <c r="B384" s="64"/>
      <c r="C384" s="65"/>
      <c r="D384" s="64"/>
      <c r="E384" s="65"/>
      <c r="F384" s="65"/>
      <c r="G384" s="64"/>
      <c r="H384" s="65"/>
      <c r="I384" s="65"/>
      <c r="J384" s="64"/>
      <c r="K384" s="65"/>
      <c r="L384" s="65"/>
      <c r="M384" s="64"/>
      <c r="N384" s="65"/>
      <c r="O384" s="65"/>
    </row>
    <row r="385" spans="1:15" x14ac:dyDescent="0.25">
      <c r="A385" s="64"/>
      <c r="B385" s="64"/>
      <c r="C385" s="65"/>
      <c r="D385" s="64"/>
      <c r="E385" s="65"/>
      <c r="F385" s="65"/>
      <c r="G385" s="64"/>
      <c r="H385" s="65"/>
      <c r="I385" s="65"/>
      <c r="J385" s="64"/>
      <c r="K385" s="65"/>
      <c r="L385" s="65"/>
      <c r="M385" s="64"/>
      <c r="N385" s="65"/>
      <c r="O385" s="65"/>
    </row>
    <row r="386" spans="1:15" x14ac:dyDescent="0.25">
      <c r="A386" s="64"/>
      <c r="B386" s="64"/>
      <c r="C386" s="65"/>
      <c r="D386" s="64"/>
      <c r="E386" s="65"/>
      <c r="F386" s="65"/>
      <c r="G386" s="64"/>
      <c r="H386" s="65"/>
      <c r="I386" s="65"/>
      <c r="J386" s="64"/>
      <c r="K386" s="65"/>
      <c r="L386" s="65"/>
      <c r="M386" s="64"/>
      <c r="N386" s="65"/>
      <c r="O386" s="65"/>
    </row>
    <row r="387" spans="1:15" x14ac:dyDescent="0.25">
      <c r="A387" s="64"/>
      <c r="B387" s="64"/>
      <c r="C387" s="65"/>
      <c r="D387" s="64"/>
      <c r="E387" s="65"/>
      <c r="F387" s="65"/>
      <c r="G387" s="64"/>
      <c r="H387" s="65"/>
      <c r="I387" s="65"/>
      <c r="J387" s="64"/>
      <c r="K387" s="65"/>
      <c r="L387" s="65"/>
      <c r="M387" s="64"/>
      <c r="N387" s="65"/>
      <c r="O387" s="65"/>
    </row>
    <row r="388" spans="1:15" x14ac:dyDescent="0.25">
      <c r="A388" s="64"/>
      <c r="B388" s="64"/>
      <c r="C388" s="65"/>
      <c r="D388" s="64"/>
      <c r="E388" s="65"/>
      <c r="F388" s="65"/>
      <c r="G388" s="64"/>
      <c r="H388" s="65"/>
      <c r="I388" s="65"/>
      <c r="J388" s="64"/>
      <c r="K388" s="65"/>
      <c r="L388" s="65"/>
      <c r="M388" s="64"/>
      <c r="N388" s="65"/>
      <c r="O388" s="65"/>
    </row>
    <row r="389" spans="1:15" x14ac:dyDescent="0.25">
      <c r="A389" s="64"/>
      <c r="B389" s="64"/>
      <c r="C389" s="65"/>
      <c r="D389" s="64"/>
      <c r="E389" s="65"/>
      <c r="F389" s="65"/>
      <c r="G389" s="64"/>
      <c r="H389" s="65"/>
      <c r="I389" s="65"/>
      <c r="J389" s="64"/>
      <c r="K389" s="65"/>
      <c r="L389" s="65"/>
      <c r="M389" s="64"/>
      <c r="N389" s="65"/>
      <c r="O389" s="65"/>
    </row>
    <row r="390" spans="1:15" x14ac:dyDescent="0.25">
      <c r="A390" s="64"/>
      <c r="B390" s="64"/>
      <c r="C390" s="65"/>
      <c r="D390" s="64"/>
      <c r="E390" s="65"/>
      <c r="F390" s="65"/>
      <c r="G390" s="64"/>
      <c r="H390" s="65"/>
      <c r="I390" s="65"/>
      <c r="J390" s="64"/>
      <c r="K390" s="65"/>
      <c r="L390" s="65"/>
      <c r="M390" s="64"/>
      <c r="N390" s="65"/>
      <c r="O390" s="65"/>
    </row>
    <row r="391" spans="1:15" x14ac:dyDescent="0.25">
      <c r="A391" s="64"/>
      <c r="B391" s="64"/>
      <c r="C391" s="65"/>
      <c r="D391" s="64"/>
      <c r="E391" s="65"/>
      <c r="F391" s="65"/>
      <c r="G391" s="64"/>
      <c r="H391" s="65"/>
      <c r="I391" s="65"/>
      <c r="J391" s="64"/>
      <c r="K391" s="65"/>
      <c r="L391" s="65"/>
      <c r="M391" s="64"/>
      <c r="N391" s="65"/>
      <c r="O391" s="65"/>
    </row>
    <row r="392" spans="1:15" x14ac:dyDescent="0.25">
      <c r="A392" s="64"/>
      <c r="B392" s="64"/>
      <c r="C392" s="65"/>
      <c r="D392" s="64"/>
      <c r="E392" s="65"/>
      <c r="F392" s="65"/>
      <c r="G392" s="64"/>
      <c r="H392" s="65"/>
      <c r="I392" s="65"/>
      <c r="J392" s="64"/>
      <c r="K392" s="65"/>
      <c r="L392" s="65"/>
      <c r="M392" s="64"/>
      <c r="N392" s="65"/>
      <c r="O392" s="65"/>
    </row>
    <row r="393" spans="1:15" x14ac:dyDescent="0.25">
      <c r="A393" s="64"/>
      <c r="B393" s="64"/>
      <c r="C393" s="65"/>
      <c r="D393" s="64"/>
      <c r="E393" s="65"/>
      <c r="F393" s="65"/>
      <c r="G393" s="64"/>
      <c r="H393" s="65"/>
      <c r="I393" s="65"/>
      <c r="J393" s="64"/>
      <c r="K393" s="65"/>
      <c r="L393" s="65"/>
      <c r="M393" s="64"/>
      <c r="N393" s="65"/>
      <c r="O393" s="65"/>
    </row>
    <row r="394" spans="1:15" x14ac:dyDescent="0.25">
      <c r="A394" s="64"/>
      <c r="B394" s="64"/>
      <c r="C394" s="65"/>
      <c r="D394" s="64"/>
      <c r="E394" s="65"/>
      <c r="F394" s="65"/>
      <c r="G394" s="64"/>
      <c r="H394" s="65"/>
      <c r="I394" s="65"/>
      <c r="J394" s="64"/>
      <c r="K394" s="65"/>
      <c r="L394" s="65"/>
      <c r="M394" s="64"/>
      <c r="N394" s="65"/>
      <c r="O394" s="65"/>
    </row>
    <row r="395" spans="1:15" x14ac:dyDescent="0.25">
      <c r="A395" s="64"/>
      <c r="B395" s="64"/>
      <c r="C395" s="65"/>
      <c r="D395" s="64"/>
      <c r="E395" s="65"/>
      <c r="F395" s="65"/>
      <c r="G395" s="64"/>
      <c r="H395" s="65"/>
      <c r="I395" s="65"/>
      <c r="J395" s="64"/>
      <c r="K395" s="65"/>
      <c r="L395" s="65"/>
      <c r="M395" s="64"/>
      <c r="N395" s="65"/>
      <c r="O395" s="65"/>
    </row>
    <row r="396" spans="1:15" x14ac:dyDescent="0.25">
      <c r="A396" s="64"/>
      <c r="B396" s="64"/>
      <c r="C396" s="65"/>
      <c r="D396" s="64"/>
      <c r="E396" s="65"/>
      <c r="F396" s="65"/>
      <c r="G396" s="64"/>
      <c r="H396" s="65"/>
      <c r="I396" s="65"/>
      <c r="J396" s="64"/>
      <c r="K396" s="65"/>
      <c r="L396" s="65"/>
      <c r="M396" s="64"/>
      <c r="N396" s="65"/>
      <c r="O396" s="65"/>
    </row>
    <row r="397" spans="1:15" x14ac:dyDescent="0.25">
      <c r="A397" s="64"/>
      <c r="B397" s="64"/>
      <c r="C397" s="65"/>
      <c r="D397" s="64"/>
      <c r="E397" s="65"/>
      <c r="F397" s="65"/>
      <c r="G397" s="64"/>
      <c r="H397" s="65"/>
      <c r="I397" s="65"/>
      <c r="J397" s="64"/>
      <c r="K397" s="65"/>
      <c r="L397" s="65"/>
      <c r="M397" s="64"/>
      <c r="N397" s="65"/>
      <c r="O397" s="65"/>
    </row>
    <row r="398" spans="1:15" x14ac:dyDescent="0.25">
      <c r="A398" s="64"/>
      <c r="B398" s="64"/>
      <c r="C398" s="65"/>
      <c r="D398" s="64"/>
      <c r="E398" s="65"/>
      <c r="F398" s="65"/>
      <c r="G398" s="64"/>
      <c r="H398" s="65"/>
      <c r="I398" s="65"/>
      <c r="J398" s="64"/>
      <c r="K398" s="65"/>
      <c r="L398" s="65"/>
      <c r="M398" s="64"/>
      <c r="N398" s="65"/>
      <c r="O398" s="65"/>
    </row>
    <row r="399" spans="1:15" x14ac:dyDescent="0.25">
      <c r="A399" s="64"/>
      <c r="B399" s="64"/>
      <c r="C399" s="65"/>
      <c r="D399" s="64"/>
      <c r="E399" s="65"/>
      <c r="F399" s="65"/>
      <c r="G399" s="64"/>
      <c r="H399" s="65"/>
      <c r="I399" s="65"/>
      <c r="J399" s="64"/>
      <c r="K399" s="65"/>
      <c r="L399" s="65"/>
      <c r="M399" s="64"/>
      <c r="N399" s="65"/>
      <c r="O399" s="65"/>
    </row>
    <row r="400" spans="1:15" x14ac:dyDescent="0.25">
      <c r="A400" s="64"/>
      <c r="B400" s="64"/>
      <c r="C400" s="65"/>
      <c r="D400" s="64"/>
      <c r="E400" s="65"/>
      <c r="F400" s="65"/>
      <c r="G400" s="64"/>
      <c r="H400" s="65"/>
      <c r="I400" s="65"/>
      <c r="J400" s="64"/>
      <c r="K400" s="65"/>
      <c r="L400" s="65"/>
      <c r="M400" s="64"/>
      <c r="N400" s="65"/>
      <c r="O400" s="65"/>
    </row>
    <row r="401" spans="1:15" x14ac:dyDescent="0.25">
      <c r="A401" s="64"/>
      <c r="B401" s="64"/>
      <c r="C401" s="65"/>
      <c r="D401" s="64"/>
      <c r="E401" s="65"/>
      <c r="F401" s="65"/>
      <c r="G401" s="64"/>
      <c r="H401" s="65"/>
      <c r="I401" s="65"/>
      <c r="J401" s="64"/>
      <c r="K401" s="65"/>
      <c r="L401" s="65"/>
      <c r="M401" s="64"/>
      <c r="N401" s="65"/>
      <c r="O401" s="65"/>
    </row>
    <row r="402" spans="1:15" x14ac:dyDescent="0.25">
      <c r="A402" s="64"/>
      <c r="B402" s="64"/>
      <c r="C402" s="65"/>
      <c r="D402" s="64"/>
      <c r="E402" s="65"/>
      <c r="F402" s="65"/>
      <c r="G402" s="64"/>
      <c r="H402" s="65"/>
      <c r="I402" s="65"/>
      <c r="J402" s="64"/>
      <c r="K402" s="65"/>
      <c r="L402" s="65"/>
      <c r="M402" s="64"/>
      <c r="N402" s="65"/>
      <c r="O402" s="65"/>
    </row>
    <row r="403" spans="1:15" x14ac:dyDescent="0.25">
      <c r="A403" s="64"/>
      <c r="B403" s="64"/>
      <c r="C403" s="65"/>
      <c r="D403" s="64"/>
      <c r="E403" s="65"/>
      <c r="F403" s="65"/>
      <c r="G403" s="64"/>
      <c r="H403" s="65"/>
      <c r="I403" s="65"/>
      <c r="J403" s="64"/>
      <c r="K403" s="65"/>
      <c r="L403" s="65"/>
      <c r="M403" s="64"/>
      <c r="N403" s="65"/>
      <c r="O403" s="65"/>
    </row>
    <row r="404" spans="1:15" x14ac:dyDescent="0.25">
      <c r="A404" s="64"/>
      <c r="B404" s="64"/>
      <c r="C404" s="65"/>
      <c r="D404" s="64"/>
      <c r="E404" s="65"/>
      <c r="F404" s="65"/>
      <c r="G404" s="64"/>
      <c r="H404" s="65"/>
      <c r="I404" s="65"/>
      <c r="J404" s="64"/>
      <c r="K404" s="65"/>
      <c r="L404" s="65"/>
      <c r="M404" s="64"/>
      <c r="N404" s="65"/>
      <c r="O404" s="65"/>
    </row>
    <row r="405" spans="1:15" x14ac:dyDescent="0.25">
      <c r="A405" s="64"/>
      <c r="B405" s="64"/>
      <c r="C405" s="65"/>
      <c r="D405" s="64"/>
      <c r="E405" s="65"/>
      <c r="F405" s="65"/>
      <c r="G405" s="64"/>
      <c r="H405" s="65"/>
      <c r="I405" s="65"/>
      <c r="J405" s="64"/>
      <c r="K405" s="65"/>
      <c r="L405" s="65"/>
      <c r="M405" s="64"/>
      <c r="N405" s="65"/>
      <c r="O405" s="65"/>
    </row>
    <row r="406" spans="1:15" x14ac:dyDescent="0.25">
      <c r="A406" s="64"/>
      <c r="B406" s="64"/>
      <c r="C406" s="65"/>
      <c r="D406" s="64"/>
      <c r="E406" s="65"/>
      <c r="F406" s="65"/>
      <c r="G406" s="64"/>
      <c r="H406" s="65"/>
      <c r="I406" s="65"/>
      <c r="J406" s="64"/>
      <c r="K406" s="65"/>
      <c r="L406" s="65"/>
      <c r="M406" s="64"/>
      <c r="N406" s="65"/>
      <c r="O406" s="65"/>
    </row>
    <row r="407" spans="1:15" x14ac:dyDescent="0.25">
      <c r="A407" s="64"/>
      <c r="B407" s="64"/>
      <c r="C407" s="65"/>
      <c r="D407" s="64"/>
      <c r="E407" s="65"/>
      <c r="F407" s="65"/>
      <c r="G407" s="64"/>
      <c r="H407" s="65"/>
      <c r="I407" s="65"/>
      <c r="J407" s="64"/>
      <c r="K407" s="65"/>
      <c r="L407" s="65"/>
      <c r="M407" s="64"/>
      <c r="N407" s="65"/>
      <c r="O407" s="65"/>
    </row>
    <row r="408" spans="1:15" x14ac:dyDescent="0.25">
      <c r="A408" s="64"/>
      <c r="B408" s="64"/>
      <c r="C408" s="65"/>
      <c r="D408" s="64"/>
      <c r="E408" s="65"/>
      <c r="F408" s="65"/>
      <c r="G408" s="64"/>
      <c r="H408" s="65"/>
      <c r="I408" s="65"/>
      <c r="J408" s="64"/>
      <c r="K408" s="65"/>
      <c r="L408" s="65"/>
      <c r="M408" s="64"/>
      <c r="N408" s="65"/>
      <c r="O408" s="65"/>
    </row>
    <row r="409" spans="1:15" x14ac:dyDescent="0.25">
      <c r="A409" s="64"/>
      <c r="B409" s="64"/>
      <c r="C409" s="65"/>
      <c r="D409" s="64"/>
      <c r="E409" s="65"/>
      <c r="F409" s="65"/>
      <c r="G409" s="64"/>
      <c r="H409" s="65"/>
      <c r="I409" s="65"/>
      <c r="J409" s="64"/>
      <c r="K409" s="65"/>
      <c r="L409" s="65"/>
      <c r="M409" s="64"/>
      <c r="N409" s="65"/>
      <c r="O409" s="65"/>
    </row>
    <row r="410" spans="1:15" x14ac:dyDescent="0.25">
      <c r="A410" s="64"/>
      <c r="B410" s="64"/>
      <c r="C410" s="65"/>
      <c r="D410" s="64"/>
      <c r="E410" s="65"/>
      <c r="F410" s="65"/>
      <c r="G410" s="64"/>
      <c r="H410" s="65"/>
      <c r="I410" s="65"/>
      <c r="J410" s="64"/>
      <c r="K410" s="65"/>
      <c r="L410" s="65"/>
      <c r="M410" s="64"/>
      <c r="N410" s="65"/>
      <c r="O410" s="65"/>
    </row>
    <row r="411" spans="1:15" x14ac:dyDescent="0.25">
      <c r="A411" s="64"/>
      <c r="B411" s="64"/>
      <c r="C411" s="65"/>
      <c r="D411" s="64"/>
      <c r="E411" s="65"/>
      <c r="F411" s="65"/>
      <c r="G411" s="64"/>
      <c r="H411" s="65"/>
      <c r="I411" s="65"/>
      <c r="J411" s="64"/>
      <c r="K411" s="65"/>
      <c r="L411" s="65"/>
      <c r="M411" s="64"/>
      <c r="N411" s="65"/>
      <c r="O411" s="65"/>
    </row>
    <row r="412" spans="1:15" x14ac:dyDescent="0.25">
      <c r="A412" s="64"/>
      <c r="B412" s="64"/>
      <c r="C412" s="65"/>
      <c r="D412" s="64"/>
      <c r="E412" s="65"/>
      <c r="F412" s="65"/>
      <c r="G412" s="64"/>
      <c r="H412" s="65"/>
      <c r="I412" s="65"/>
      <c r="J412" s="64"/>
      <c r="K412" s="65"/>
      <c r="L412" s="65"/>
      <c r="M412" s="64"/>
      <c r="N412" s="65"/>
      <c r="O412" s="65"/>
    </row>
    <row r="413" spans="1:15" x14ac:dyDescent="0.25">
      <c r="A413" s="64"/>
      <c r="B413" s="64"/>
      <c r="C413" s="65"/>
      <c r="D413" s="64"/>
      <c r="E413" s="65"/>
      <c r="F413" s="65"/>
      <c r="G413" s="64"/>
      <c r="H413" s="65"/>
      <c r="I413" s="65"/>
      <c r="J413" s="64"/>
      <c r="K413" s="65"/>
      <c r="L413" s="65"/>
      <c r="M413" s="64"/>
      <c r="N413" s="65"/>
      <c r="O413" s="65"/>
    </row>
    <row r="414" spans="1:15" x14ac:dyDescent="0.25">
      <c r="A414" s="64"/>
      <c r="B414" s="64"/>
      <c r="C414" s="65"/>
      <c r="D414" s="64"/>
      <c r="E414" s="65"/>
      <c r="F414" s="65"/>
      <c r="G414" s="64"/>
      <c r="H414" s="65"/>
      <c r="I414" s="65"/>
      <c r="J414" s="64"/>
      <c r="K414" s="65"/>
      <c r="L414" s="65"/>
      <c r="M414" s="64"/>
      <c r="N414" s="65"/>
      <c r="O414" s="65"/>
    </row>
    <row r="415" spans="1:15" x14ac:dyDescent="0.25">
      <c r="A415" s="64"/>
      <c r="B415" s="64"/>
      <c r="C415" s="65"/>
      <c r="D415" s="64"/>
      <c r="E415" s="65"/>
      <c r="F415" s="65"/>
      <c r="G415" s="64"/>
      <c r="H415" s="65"/>
      <c r="I415" s="65"/>
      <c r="J415" s="64"/>
      <c r="K415" s="65"/>
      <c r="L415" s="65"/>
      <c r="M415" s="64"/>
      <c r="N415" s="65"/>
      <c r="O415" s="65"/>
    </row>
    <row r="416" spans="1:15" x14ac:dyDescent="0.25">
      <c r="A416" s="64"/>
      <c r="B416" s="64"/>
      <c r="C416" s="65"/>
      <c r="D416" s="64"/>
      <c r="E416" s="65"/>
      <c r="F416" s="65"/>
      <c r="G416" s="64"/>
      <c r="H416" s="65"/>
      <c r="I416" s="65"/>
      <c r="J416" s="64"/>
      <c r="K416" s="65"/>
      <c r="L416" s="65"/>
      <c r="M416" s="64"/>
      <c r="N416" s="65"/>
      <c r="O416" s="65"/>
    </row>
    <row r="417" spans="1:15" x14ac:dyDescent="0.25">
      <c r="A417" s="64"/>
      <c r="B417" s="64"/>
      <c r="C417" s="65"/>
      <c r="D417" s="64"/>
      <c r="E417" s="65"/>
      <c r="F417" s="65"/>
      <c r="G417" s="64"/>
      <c r="H417" s="65"/>
      <c r="I417" s="65"/>
      <c r="J417" s="64"/>
      <c r="K417" s="65"/>
      <c r="L417" s="65"/>
      <c r="M417" s="64"/>
      <c r="N417" s="65"/>
      <c r="O417" s="65"/>
    </row>
    <row r="418" spans="1:15" x14ac:dyDescent="0.25">
      <c r="A418" s="64"/>
      <c r="B418" s="64"/>
      <c r="C418" s="65"/>
      <c r="D418" s="64"/>
      <c r="E418" s="65"/>
      <c r="F418" s="65"/>
      <c r="G418" s="64"/>
      <c r="H418" s="65"/>
      <c r="I418" s="65"/>
      <c r="J418" s="64"/>
      <c r="K418" s="65"/>
      <c r="L418" s="65"/>
      <c r="M418" s="64"/>
      <c r="N418" s="65"/>
      <c r="O418" s="65"/>
    </row>
    <row r="419" spans="1:15" x14ac:dyDescent="0.25">
      <c r="A419" s="64"/>
      <c r="B419" s="64"/>
      <c r="C419" s="65"/>
      <c r="D419" s="64"/>
      <c r="E419" s="65"/>
      <c r="F419" s="65"/>
      <c r="G419" s="64"/>
      <c r="H419" s="65"/>
      <c r="I419" s="65"/>
      <c r="J419" s="64"/>
      <c r="K419" s="65"/>
      <c r="L419" s="65"/>
      <c r="M419" s="64"/>
      <c r="N419" s="65"/>
      <c r="O419" s="65"/>
    </row>
    <row r="420" spans="1:15" x14ac:dyDescent="0.25">
      <c r="A420" s="64"/>
      <c r="B420" s="64"/>
      <c r="C420" s="65"/>
      <c r="D420" s="64"/>
      <c r="E420" s="65"/>
      <c r="F420" s="65"/>
      <c r="G420" s="64"/>
      <c r="H420" s="65"/>
      <c r="I420" s="65"/>
      <c r="J420" s="64"/>
      <c r="K420" s="65"/>
      <c r="L420" s="65"/>
      <c r="M420" s="64"/>
      <c r="N420" s="65"/>
      <c r="O420" s="65"/>
    </row>
    <row r="421" spans="1:15" x14ac:dyDescent="0.25">
      <c r="A421" s="64"/>
      <c r="B421" s="64"/>
      <c r="C421" s="65"/>
      <c r="D421" s="64"/>
      <c r="E421" s="65"/>
      <c r="F421" s="65"/>
      <c r="G421" s="64"/>
      <c r="H421" s="65"/>
      <c r="I421" s="65"/>
      <c r="J421" s="64"/>
      <c r="K421" s="65"/>
      <c r="L421" s="65"/>
      <c r="M421" s="64"/>
      <c r="N421" s="65"/>
      <c r="O421" s="65"/>
    </row>
    <row r="422" spans="1:15" x14ac:dyDescent="0.25">
      <c r="A422" s="64"/>
      <c r="B422" s="64"/>
      <c r="C422" s="65"/>
      <c r="D422" s="64"/>
      <c r="E422" s="65"/>
      <c r="F422" s="65"/>
      <c r="G422" s="64"/>
      <c r="H422" s="65"/>
      <c r="I422" s="65"/>
      <c r="J422" s="64"/>
      <c r="K422" s="65"/>
      <c r="L422" s="65"/>
      <c r="M422" s="64"/>
      <c r="N422" s="65"/>
      <c r="O422" s="65"/>
    </row>
    <row r="423" spans="1:15" x14ac:dyDescent="0.25">
      <c r="A423" s="64"/>
      <c r="B423" s="64"/>
      <c r="C423" s="65"/>
      <c r="D423" s="64"/>
      <c r="E423" s="65"/>
      <c r="F423" s="65"/>
      <c r="G423" s="64"/>
      <c r="H423" s="65"/>
      <c r="I423" s="65"/>
      <c r="J423" s="64"/>
      <c r="K423" s="65"/>
      <c r="L423" s="65"/>
      <c r="M423" s="64"/>
      <c r="N423" s="65"/>
      <c r="O423" s="65"/>
    </row>
    <row r="424" spans="1:15" x14ac:dyDescent="0.25">
      <c r="A424" s="64"/>
      <c r="B424" s="64"/>
      <c r="C424" s="65"/>
      <c r="D424" s="64"/>
      <c r="E424" s="65"/>
      <c r="F424" s="65"/>
      <c r="G424" s="64"/>
      <c r="H424" s="65"/>
      <c r="I424" s="65"/>
      <c r="J424" s="64"/>
      <c r="K424" s="65"/>
      <c r="L424" s="65"/>
      <c r="M424" s="64"/>
      <c r="N424" s="65"/>
      <c r="O424" s="65"/>
    </row>
    <row r="425" spans="1:15" x14ac:dyDescent="0.25">
      <c r="A425" s="64"/>
      <c r="B425" s="64"/>
      <c r="C425" s="65"/>
      <c r="D425" s="64"/>
      <c r="E425" s="65"/>
      <c r="F425" s="65"/>
      <c r="G425" s="64"/>
      <c r="H425" s="65"/>
      <c r="I425" s="65"/>
      <c r="J425" s="64"/>
      <c r="K425" s="65"/>
      <c r="L425" s="65"/>
      <c r="M425" s="64"/>
      <c r="N425" s="65"/>
      <c r="O425" s="65"/>
    </row>
    <row r="426" spans="1:15" x14ac:dyDescent="0.25">
      <c r="A426" s="64"/>
      <c r="B426" s="64"/>
      <c r="C426" s="65"/>
      <c r="D426" s="64"/>
      <c r="E426" s="65"/>
      <c r="F426" s="65"/>
      <c r="G426" s="64"/>
      <c r="H426" s="65"/>
      <c r="I426" s="65"/>
      <c r="J426" s="64"/>
      <c r="K426" s="65"/>
      <c r="L426" s="65"/>
      <c r="M426" s="64"/>
      <c r="N426" s="65"/>
      <c r="O426" s="65"/>
    </row>
    <row r="427" spans="1:15" x14ac:dyDescent="0.25">
      <c r="A427" s="64"/>
      <c r="B427" s="64"/>
      <c r="C427" s="65"/>
      <c r="D427" s="64"/>
      <c r="E427" s="65"/>
      <c r="F427" s="65"/>
      <c r="G427" s="64"/>
      <c r="H427" s="65"/>
      <c r="I427" s="65"/>
      <c r="J427" s="64"/>
      <c r="K427" s="65"/>
      <c r="L427" s="65"/>
      <c r="M427" s="64"/>
      <c r="N427" s="65"/>
      <c r="O427" s="65"/>
    </row>
    <row r="428" spans="1:15" x14ac:dyDescent="0.25">
      <c r="A428" s="64"/>
      <c r="B428" s="64"/>
      <c r="C428" s="65"/>
      <c r="D428" s="64"/>
      <c r="E428" s="65"/>
      <c r="F428" s="65"/>
      <c r="G428" s="64"/>
      <c r="H428" s="65"/>
      <c r="I428" s="65"/>
      <c r="J428" s="64"/>
      <c r="K428" s="65"/>
      <c r="L428" s="65"/>
      <c r="M428" s="64"/>
      <c r="N428" s="65"/>
      <c r="O428" s="65"/>
    </row>
    <row r="429" spans="1:15" x14ac:dyDescent="0.25">
      <c r="A429" s="64"/>
      <c r="B429" s="64"/>
      <c r="C429" s="65"/>
      <c r="D429" s="64"/>
      <c r="E429" s="65"/>
      <c r="F429" s="65"/>
      <c r="G429" s="64"/>
      <c r="H429" s="65"/>
      <c r="I429" s="65"/>
      <c r="J429" s="64"/>
      <c r="K429" s="65"/>
      <c r="L429" s="65"/>
      <c r="M429" s="64"/>
      <c r="N429" s="65"/>
      <c r="O429" s="65"/>
    </row>
    <row r="430" spans="1:15" x14ac:dyDescent="0.25">
      <c r="A430" s="64"/>
      <c r="B430" s="64"/>
      <c r="C430" s="65"/>
      <c r="D430" s="64"/>
      <c r="E430" s="65"/>
      <c r="F430" s="65"/>
      <c r="G430" s="64"/>
      <c r="H430" s="65"/>
      <c r="I430" s="65"/>
      <c r="J430" s="64"/>
      <c r="K430" s="65"/>
      <c r="L430" s="65"/>
      <c r="M430" s="64"/>
      <c r="N430" s="65"/>
      <c r="O430" s="65"/>
    </row>
    <row r="431" spans="1:15" x14ac:dyDescent="0.25">
      <c r="A431" s="64"/>
      <c r="B431" s="64"/>
      <c r="C431" s="65"/>
      <c r="D431" s="64"/>
      <c r="E431" s="65"/>
      <c r="F431" s="65"/>
      <c r="G431" s="64"/>
      <c r="H431" s="65"/>
      <c r="I431" s="65"/>
      <c r="J431" s="64"/>
      <c r="K431" s="65"/>
      <c r="L431" s="65"/>
      <c r="M431" s="64"/>
      <c r="N431" s="65"/>
      <c r="O431" s="65"/>
    </row>
    <row r="432" spans="1:15" x14ac:dyDescent="0.25">
      <c r="A432" s="64"/>
      <c r="B432" s="64"/>
      <c r="C432" s="65"/>
      <c r="D432" s="64"/>
      <c r="E432" s="65"/>
      <c r="F432" s="65"/>
      <c r="G432" s="64"/>
      <c r="H432" s="65"/>
      <c r="I432" s="65"/>
      <c r="J432" s="64"/>
      <c r="K432" s="65"/>
      <c r="L432" s="65"/>
      <c r="M432" s="64"/>
      <c r="N432" s="65"/>
      <c r="O432" s="65"/>
    </row>
    <row r="433" spans="1:15" x14ac:dyDescent="0.25">
      <c r="A433" s="64"/>
      <c r="B433" s="64"/>
      <c r="C433" s="65"/>
      <c r="D433" s="64"/>
      <c r="E433" s="65"/>
      <c r="F433" s="65"/>
      <c r="G433" s="64"/>
      <c r="H433" s="65"/>
      <c r="I433" s="65"/>
      <c r="J433" s="64"/>
      <c r="K433" s="65"/>
      <c r="L433" s="65"/>
      <c r="M433" s="64"/>
      <c r="N433" s="65"/>
      <c r="O433" s="65"/>
    </row>
    <row r="434" spans="1:15" x14ac:dyDescent="0.25">
      <c r="A434" s="64"/>
      <c r="B434" s="64"/>
      <c r="C434" s="65"/>
      <c r="D434" s="64"/>
      <c r="E434" s="65"/>
      <c r="F434" s="65"/>
      <c r="G434" s="64"/>
      <c r="H434" s="65"/>
      <c r="I434" s="65"/>
      <c r="J434" s="64"/>
      <c r="K434" s="65"/>
      <c r="L434" s="65"/>
      <c r="M434" s="64"/>
      <c r="N434" s="65"/>
      <c r="O434" s="65"/>
    </row>
    <row r="435" spans="1:15" x14ac:dyDescent="0.25">
      <c r="A435" s="64"/>
      <c r="B435" s="64"/>
      <c r="C435" s="65"/>
      <c r="D435" s="64"/>
      <c r="E435" s="65"/>
      <c r="F435" s="65"/>
      <c r="G435" s="64"/>
      <c r="H435" s="65"/>
      <c r="I435" s="65"/>
      <c r="J435" s="64"/>
      <c r="K435" s="65"/>
      <c r="L435" s="65"/>
      <c r="M435" s="64"/>
      <c r="N435" s="65"/>
      <c r="O435" s="65"/>
    </row>
    <row r="436" spans="1:15" x14ac:dyDescent="0.25">
      <c r="A436" s="64"/>
      <c r="B436" s="64"/>
      <c r="C436" s="65"/>
      <c r="D436" s="64"/>
      <c r="E436" s="65"/>
      <c r="F436" s="65"/>
      <c r="G436" s="64"/>
      <c r="H436" s="65"/>
      <c r="I436" s="65"/>
      <c r="J436" s="64"/>
      <c r="K436" s="65"/>
      <c r="L436" s="65"/>
      <c r="M436" s="64"/>
      <c r="N436" s="65"/>
      <c r="O436" s="65"/>
    </row>
    <row r="437" spans="1:15" x14ac:dyDescent="0.25">
      <c r="A437" s="64"/>
      <c r="B437" s="64"/>
      <c r="C437" s="65"/>
      <c r="D437" s="64"/>
      <c r="E437" s="65"/>
      <c r="F437" s="65"/>
      <c r="G437" s="64"/>
      <c r="H437" s="65"/>
      <c r="I437" s="65"/>
      <c r="J437" s="64"/>
      <c r="K437" s="65"/>
      <c r="L437" s="65"/>
      <c r="M437" s="64"/>
      <c r="N437" s="65"/>
      <c r="O437" s="65"/>
    </row>
    <row r="438" spans="1:15" x14ac:dyDescent="0.25">
      <c r="A438" s="64"/>
      <c r="B438" s="64"/>
      <c r="C438" s="65"/>
      <c r="D438" s="64"/>
      <c r="E438" s="65"/>
      <c r="F438" s="65"/>
      <c r="G438" s="64"/>
      <c r="H438" s="65"/>
      <c r="I438" s="65"/>
      <c r="J438" s="64"/>
      <c r="K438" s="65"/>
      <c r="L438" s="65"/>
      <c r="M438" s="64"/>
      <c r="N438" s="65"/>
      <c r="O438" s="65"/>
    </row>
    <row r="439" spans="1:15" x14ac:dyDescent="0.25">
      <c r="A439" s="64"/>
      <c r="B439" s="64"/>
      <c r="C439" s="65"/>
      <c r="D439" s="64"/>
      <c r="E439" s="65"/>
      <c r="F439" s="65"/>
      <c r="G439" s="64"/>
      <c r="H439" s="65"/>
      <c r="I439" s="65"/>
      <c r="J439" s="64"/>
      <c r="K439" s="65"/>
      <c r="L439" s="65"/>
      <c r="M439" s="64"/>
      <c r="N439" s="65"/>
      <c r="O439" s="65"/>
    </row>
    <row r="440" spans="1:15" x14ac:dyDescent="0.25">
      <c r="A440" s="64"/>
      <c r="B440" s="64"/>
      <c r="C440" s="65"/>
      <c r="D440" s="64"/>
      <c r="E440" s="65"/>
      <c r="F440" s="65"/>
      <c r="G440" s="64"/>
      <c r="H440" s="65"/>
      <c r="I440" s="65"/>
      <c r="J440" s="64"/>
      <c r="K440" s="65"/>
      <c r="L440" s="65"/>
      <c r="M440" s="64"/>
      <c r="N440" s="65"/>
      <c r="O440" s="65"/>
    </row>
    <row r="441" spans="1:15" x14ac:dyDescent="0.25">
      <c r="A441" s="64"/>
      <c r="B441" s="64"/>
      <c r="C441" s="65"/>
      <c r="D441" s="64"/>
      <c r="E441" s="65"/>
      <c r="F441" s="65"/>
      <c r="G441" s="64"/>
      <c r="H441" s="65"/>
      <c r="I441" s="65"/>
      <c r="J441" s="64"/>
      <c r="K441" s="65"/>
      <c r="L441" s="65"/>
      <c r="M441" s="64"/>
      <c r="N441" s="65"/>
      <c r="O441" s="65"/>
    </row>
    <row r="442" spans="1:15" x14ac:dyDescent="0.25">
      <c r="A442" s="64"/>
      <c r="B442" s="64"/>
      <c r="C442" s="65"/>
      <c r="D442" s="64"/>
      <c r="E442" s="65"/>
      <c r="F442" s="65"/>
      <c r="G442" s="64"/>
      <c r="H442" s="65"/>
      <c r="I442" s="65"/>
      <c r="J442" s="64"/>
      <c r="K442" s="65"/>
      <c r="L442" s="65"/>
      <c r="M442" s="64"/>
      <c r="N442" s="65"/>
      <c r="O442" s="65"/>
    </row>
    <row r="443" spans="1:15" x14ac:dyDescent="0.25">
      <c r="A443" s="64"/>
      <c r="B443" s="64"/>
      <c r="C443" s="65"/>
      <c r="D443" s="64"/>
      <c r="E443" s="65"/>
      <c r="F443" s="65"/>
      <c r="G443" s="64"/>
      <c r="H443" s="65"/>
      <c r="I443" s="65"/>
      <c r="J443" s="64"/>
      <c r="K443" s="65"/>
      <c r="L443" s="65"/>
      <c r="M443" s="64"/>
      <c r="N443" s="65"/>
      <c r="O443" s="65"/>
    </row>
    <row r="444" spans="1:15" x14ac:dyDescent="0.25">
      <c r="A444" s="64"/>
      <c r="B444" s="64"/>
      <c r="C444" s="65"/>
      <c r="D444" s="64"/>
      <c r="E444" s="65"/>
      <c r="F444" s="65"/>
      <c r="G444" s="64"/>
      <c r="H444" s="65"/>
      <c r="I444" s="65"/>
      <c r="J444" s="64"/>
      <c r="K444" s="65"/>
      <c r="L444" s="65"/>
      <c r="M444" s="64"/>
      <c r="N444" s="65"/>
      <c r="O444" s="65"/>
    </row>
    <row r="445" spans="1:15" x14ac:dyDescent="0.25">
      <c r="A445" s="64"/>
      <c r="B445" s="64"/>
      <c r="C445" s="65"/>
      <c r="D445" s="64"/>
      <c r="E445" s="65"/>
      <c r="F445" s="65"/>
      <c r="G445" s="64"/>
      <c r="H445" s="65"/>
      <c r="I445" s="65"/>
      <c r="J445" s="64"/>
      <c r="K445" s="65"/>
      <c r="L445" s="65"/>
      <c r="M445" s="64"/>
      <c r="N445" s="65"/>
      <c r="O445" s="65"/>
    </row>
    <row r="446" spans="1:15" x14ac:dyDescent="0.25">
      <c r="A446" s="64"/>
      <c r="B446" s="64"/>
      <c r="C446" s="65"/>
      <c r="D446" s="64"/>
      <c r="E446" s="65"/>
      <c r="F446" s="65"/>
      <c r="G446" s="64"/>
      <c r="H446" s="65"/>
      <c r="I446" s="65"/>
      <c r="J446" s="64"/>
      <c r="K446" s="65"/>
      <c r="L446" s="65"/>
      <c r="M446" s="64"/>
      <c r="N446" s="65"/>
      <c r="O446" s="65"/>
    </row>
    <row r="447" spans="1:15" x14ac:dyDescent="0.25">
      <c r="A447" s="64"/>
      <c r="B447" s="64"/>
      <c r="C447" s="65"/>
      <c r="D447" s="64"/>
      <c r="E447" s="65"/>
      <c r="F447" s="65"/>
      <c r="G447" s="64"/>
      <c r="H447" s="65"/>
      <c r="I447" s="65"/>
      <c r="J447" s="64"/>
      <c r="K447" s="65"/>
      <c r="L447" s="65"/>
      <c r="M447" s="64"/>
      <c r="N447" s="65"/>
      <c r="O447" s="65"/>
    </row>
    <row r="448" spans="1:15" x14ac:dyDescent="0.25">
      <c r="A448" s="64"/>
      <c r="B448" s="64"/>
      <c r="C448" s="65"/>
      <c r="D448" s="64"/>
      <c r="E448" s="65"/>
      <c r="F448" s="65"/>
      <c r="G448" s="64"/>
      <c r="H448" s="65"/>
      <c r="I448" s="65"/>
      <c r="J448" s="64"/>
      <c r="K448" s="65"/>
      <c r="L448" s="65"/>
      <c r="M448" s="64"/>
      <c r="N448" s="65"/>
      <c r="O448" s="65"/>
    </row>
    <row r="449" spans="1:15" x14ac:dyDescent="0.25">
      <c r="A449" s="64"/>
      <c r="B449" s="64"/>
      <c r="C449" s="65"/>
      <c r="D449" s="64"/>
      <c r="E449" s="65"/>
      <c r="F449" s="65"/>
      <c r="G449" s="64"/>
      <c r="H449" s="65"/>
      <c r="I449" s="65"/>
      <c r="J449" s="64"/>
      <c r="K449" s="65"/>
      <c r="L449" s="65"/>
      <c r="M449" s="64"/>
      <c r="N449" s="65"/>
      <c r="O449" s="65"/>
    </row>
    <row r="450" spans="1:15" x14ac:dyDescent="0.25">
      <c r="A450" s="64"/>
      <c r="B450" s="64"/>
      <c r="C450" s="65"/>
      <c r="D450" s="64"/>
      <c r="E450" s="65"/>
      <c r="F450" s="65"/>
      <c r="G450" s="64"/>
      <c r="H450" s="65"/>
      <c r="I450" s="65"/>
      <c r="J450" s="64"/>
      <c r="K450" s="65"/>
      <c r="L450" s="65"/>
      <c r="M450" s="64"/>
      <c r="N450" s="65"/>
      <c r="O450" s="65"/>
    </row>
    <row r="451" spans="1:15" x14ac:dyDescent="0.25">
      <c r="A451" s="64"/>
      <c r="B451" s="64"/>
      <c r="C451" s="65"/>
      <c r="D451" s="64"/>
      <c r="E451" s="65"/>
      <c r="F451" s="65"/>
      <c r="G451" s="64"/>
      <c r="H451" s="65"/>
      <c r="I451" s="65"/>
      <c r="J451" s="64"/>
      <c r="K451" s="65"/>
      <c r="L451" s="65"/>
      <c r="M451" s="64"/>
      <c r="N451" s="65"/>
      <c r="O451" s="65"/>
    </row>
    <row r="452" spans="1:15" x14ac:dyDescent="0.25">
      <c r="A452" s="64"/>
      <c r="B452" s="64"/>
      <c r="C452" s="65"/>
      <c r="D452" s="64"/>
      <c r="E452" s="65"/>
      <c r="F452" s="65"/>
      <c r="G452" s="64"/>
      <c r="H452" s="65"/>
      <c r="I452" s="65"/>
      <c r="J452" s="64"/>
      <c r="K452" s="65"/>
      <c r="L452" s="65"/>
      <c r="M452" s="64"/>
      <c r="N452" s="65"/>
      <c r="O452" s="65"/>
    </row>
    <row r="453" spans="1:15" x14ac:dyDescent="0.25">
      <c r="A453" s="64"/>
      <c r="B453" s="64"/>
      <c r="C453" s="65"/>
      <c r="D453" s="64"/>
      <c r="E453" s="65"/>
      <c r="F453" s="65"/>
      <c r="G453" s="64"/>
      <c r="H453" s="65"/>
      <c r="I453" s="65"/>
      <c r="J453" s="64"/>
      <c r="K453" s="65"/>
      <c r="L453" s="65"/>
      <c r="M453" s="64"/>
      <c r="N453" s="65"/>
      <c r="O453" s="65"/>
    </row>
    <row r="454" spans="1:15" x14ac:dyDescent="0.25">
      <c r="A454" s="64"/>
      <c r="B454" s="64"/>
      <c r="C454" s="65"/>
      <c r="D454" s="64"/>
      <c r="E454" s="65"/>
      <c r="F454" s="65"/>
      <c r="G454" s="64"/>
      <c r="H454" s="65"/>
      <c r="I454" s="65"/>
      <c r="J454" s="64"/>
      <c r="K454" s="65"/>
      <c r="L454" s="65"/>
      <c r="M454" s="64"/>
      <c r="N454" s="65"/>
      <c r="O454" s="65"/>
    </row>
    <row r="455" spans="1:15" x14ac:dyDescent="0.25">
      <c r="A455" s="64"/>
      <c r="B455" s="64"/>
      <c r="C455" s="65"/>
      <c r="D455" s="64"/>
      <c r="E455" s="65"/>
      <c r="F455" s="65"/>
      <c r="G455" s="64"/>
      <c r="H455" s="65"/>
      <c r="I455" s="65"/>
      <c r="J455" s="64"/>
      <c r="K455" s="65"/>
      <c r="L455" s="65"/>
      <c r="M455" s="64"/>
      <c r="N455" s="65"/>
      <c r="O455" s="65"/>
    </row>
    <row r="456" spans="1:15" x14ac:dyDescent="0.25">
      <c r="A456" s="64"/>
      <c r="B456" s="64"/>
      <c r="C456" s="65"/>
      <c r="D456" s="64"/>
      <c r="E456" s="65"/>
      <c r="F456" s="65"/>
      <c r="G456" s="64"/>
      <c r="H456" s="65"/>
      <c r="I456" s="65"/>
      <c r="J456" s="64"/>
      <c r="K456" s="65"/>
      <c r="L456" s="65"/>
      <c r="M456" s="64"/>
      <c r="N456" s="65"/>
      <c r="O456" s="65"/>
    </row>
    <row r="457" spans="1:15" x14ac:dyDescent="0.25">
      <c r="A457" s="64"/>
      <c r="B457" s="64"/>
      <c r="C457" s="65"/>
      <c r="D457" s="64"/>
      <c r="E457" s="65"/>
      <c r="F457" s="65"/>
      <c r="G457" s="64"/>
      <c r="H457" s="65"/>
      <c r="I457" s="65"/>
      <c r="J457" s="64"/>
      <c r="K457" s="65"/>
      <c r="L457" s="65"/>
      <c r="M457" s="64"/>
      <c r="N457" s="65"/>
      <c r="O457" s="65"/>
    </row>
    <row r="458" spans="1:15" x14ac:dyDescent="0.25">
      <c r="A458" s="64"/>
      <c r="B458" s="64"/>
      <c r="C458" s="65"/>
      <c r="D458" s="64"/>
      <c r="E458" s="65"/>
      <c r="F458" s="65"/>
      <c r="G458" s="64"/>
      <c r="H458" s="65"/>
      <c r="I458" s="65"/>
      <c r="J458" s="64"/>
      <c r="K458" s="65"/>
      <c r="L458" s="65"/>
      <c r="M458" s="64"/>
      <c r="N458" s="65"/>
      <c r="O458" s="65"/>
    </row>
    <row r="459" spans="1:15" x14ac:dyDescent="0.25">
      <c r="A459" s="64"/>
      <c r="B459" s="64"/>
      <c r="C459" s="65"/>
      <c r="D459" s="64"/>
      <c r="E459" s="65"/>
      <c r="F459" s="65"/>
      <c r="G459" s="64"/>
      <c r="H459" s="65"/>
      <c r="I459" s="65"/>
      <c r="J459" s="64"/>
      <c r="K459" s="65"/>
      <c r="L459" s="65"/>
      <c r="M459" s="64"/>
      <c r="N459" s="65"/>
      <c r="O459" s="65"/>
    </row>
    <row r="460" spans="1:15" x14ac:dyDescent="0.25">
      <c r="A460" s="64"/>
      <c r="B460" s="64"/>
      <c r="C460" s="65"/>
      <c r="D460" s="64"/>
      <c r="E460" s="65"/>
      <c r="F460" s="65"/>
      <c r="G460" s="64"/>
      <c r="H460" s="65"/>
      <c r="I460" s="65"/>
      <c r="J460" s="64"/>
      <c r="K460" s="65"/>
      <c r="L460" s="65"/>
      <c r="M460" s="64"/>
      <c r="N460" s="65"/>
      <c r="O460" s="65"/>
    </row>
    <row r="461" spans="1:15" x14ac:dyDescent="0.25">
      <c r="A461" s="64"/>
      <c r="B461" s="64"/>
      <c r="C461" s="65"/>
      <c r="D461" s="64"/>
      <c r="E461" s="65"/>
      <c r="F461" s="65"/>
      <c r="G461" s="64"/>
      <c r="H461" s="65"/>
      <c r="I461" s="65"/>
      <c r="J461" s="64"/>
      <c r="K461" s="65"/>
      <c r="L461" s="65"/>
      <c r="M461" s="64"/>
      <c r="N461" s="65"/>
      <c r="O461" s="65"/>
    </row>
    <row r="462" spans="1:15" x14ac:dyDescent="0.25">
      <c r="A462" s="64"/>
      <c r="B462" s="64"/>
      <c r="C462" s="65"/>
      <c r="D462" s="64"/>
      <c r="E462" s="65"/>
      <c r="F462" s="65"/>
      <c r="G462" s="64"/>
      <c r="H462" s="65"/>
      <c r="I462" s="65"/>
      <c r="J462" s="64"/>
      <c r="K462" s="65"/>
      <c r="L462" s="65"/>
      <c r="M462" s="64"/>
      <c r="N462" s="65"/>
      <c r="O462" s="65"/>
    </row>
    <row r="463" spans="1:15" x14ac:dyDescent="0.25">
      <c r="A463" s="64"/>
      <c r="B463" s="64"/>
      <c r="C463" s="65"/>
      <c r="D463" s="64"/>
      <c r="E463" s="65"/>
      <c r="F463" s="65"/>
      <c r="G463" s="64"/>
      <c r="H463" s="65"/>
      <c r="I463" s="65"/>
      <c r="J463" s="64"/>
      <c r="K463" s="65"/>
      <c r="L463" s="65"/>
      <c r="M463" s="64"/>
      <c r="N463" s="65"/>
      <c r="O463" s="65"/>
    </row>
    <row r="464" spans="1:15" x14ac:dyDescent="0.25">
      <c r="A464" s="64"/>
      <c r="B464" s="64"/>
      <c r="C464" s="65"/>
      <c r="D464" s="64"/>
      <c r="E464" s="65"/>
      <c r="F464" s="65"/>
      <c r="G464" s="64"/>
      <c r="H464" s="65"/>
      <c r="I464" s="65"/>
      <c r="J464" s="64"/>
      <c r="K464" s="65"/>
      <c r="L464" s="65"/>
      <c r="M464" s="64"/>
      <c r="N464" s="65"/>
      <c r="O464" s="65"/>
    </row>
    <row r="465" spans="1:15" x14ac:dyDescent="0.25">
      <c r="A465" s="64"/>
      <c r="B465" s="64"/>
      <c r="C465" s="65"/>
      <c r="D465" s="64"/>
      <c r="E465" s="65"/>
      <c r="F465" s="65"/>
      <c r="G465" s="64"/>
      <c r="H465" s="65"/>
      <c r="I465" s="65"/>
      <c r="J465" s="64"/>
      <c r="K465" s="65"/>
      <c r="L465" s="65"/>
      <c r="M465" s="64"/>
      <c r="N465" s="65"/>
      <c r="O465" s="65"/>
    </row>
    <row r="466" spans="1:15" x14ac:dyDescent="0.25">
      <c r="A466" s="64"/>
      <c r="B466" s="64"/>
      <c r="C466" s="65"/>
      <c r="D466" s="64"/>
      <c r="E466" s="65"/>
      <c r="F466" s="65"/>
      <c r="G466" s="64"/>
      <c r="H466" s="65"/>
      <c r="I466" s="65"/>
      <c r="J466" s="64"/>
      <c r="K466" s="65"/>
      <c r="L466" s="65"/>
      <c r="M466" s="64"/>
      <c r="N466" s="65"/>
      <c r="O466" s="65"/>
    </row>
    <row r="467" spans="1:15" x14ac:dyDescent="0.25">
      <c r="A467" s="64"/>
      <c r="B467" s="64"/>
      <c r="C467" s="65"/>
      <c r="D467" s="64"/>
      <c r="E467" s="65"/>
      <c r="F467" s="65"/>
      <c r="G467" s="64"/>
      <c r="H467" s="65"/>
      <c r="I467" s="65"/>
      <c r="J467" s="64"/>
      <c r="K467" s="65"/>
      <c r="L467" s="65"/>
      <c r="M467" s="64"/>
      <c r="N467" s="65"/>
      <c r="O467" s="65"/>
    </row>
    <row r="468" spans="1:15" x14ac:dyDescent="0.25">
      <c r="A468" s="64"/>
      <c r="B468" s="64"/>
      <c r="C468" s="65"/>
      <c r="D468" s="64"/>
      <c r="E468" s="65"/>
      <c r="F468" s="65"/>
      <c r="G468" s="64"/>
      <c r="H468" s="65"/>
      <c r="I468" s="65"/>
      <c r="J468" s="64"/>
      <c r="K468" s="65"/>
      <c r="L468" s="65"/>
      <c r="M468" s="64"/>
      <c r="N468" s="65"/>
      <c r="O468" s="65"/>
    </row>
    <row r="469" spans="1:15" x14ac:dyDescent="0.25">
      <c r="A469" s="64"/>
      <c r="B469" s="64"/>
      <c r="C469" s="65"/>
      <c r="D469" s="64"/>
      <c r="E469" s="65"/>
      <c r="F469" s="65"/>
      <c r="G469" s="64"/>
      <c r="H469" s="65"/>
      <c r="I469" s="65"/>
      <c r="J469" s="64"/>
      <c r="K469" s="65"/>
      <c r="L469" s="65"/>
      <c r="M469" s="64"/>
      <c r="N469" s="65"/>
      <c r="O469" s="65"/>
    </row>
    <row r="470" spans="1:15" x14ac:dyDescent="0.25">
      <c r="A470" s="64"/>
      <c r="B470" s="64"/>
      <c r="C470" s="65"/>
      <c r="D470" s="64"/>
      <c r="E470" s="65"/>
      <c r="F470" s="65"/>
      <c r="G470" s="64"/>
      <c r="H470" s="65"/>
      <c r="I470" s="65"/>
      <c r="J470" s="64"/>
      <c r="K470" s="65"/>
      <c r="L470" s="65"/>
      <c r="M470" s="64"/>
      <c r="N470" s="65"/>
      <c r="O470" s="65"/>
    </row>
    <row r="471" spans="1:15" x14ac:dyDescent="0.25">
      <c r="A471" s="64"/>
      <c r="B471" s="64"/>
      <c r="C471" s="65"/>
      <c r="D471" s="64"/>
      <c r="E471" s="65"/>
      <c r="F471" s="65"/>
      <c r="G471" s="64"/>
      <c r="H471" s="65"/>
      <c r="I471" s="65"/>
      <c r="J471" s="64"/>
      <c r="K471" s="65"/>
      <c r="L471" s="65"/>
      <c r="M471" s="64"/>
      <c r="N471" s="65"/>
      <c r="O471" s="65"/>
    </row>
    <row r="472" spans="1:15" x14ac:dyDescent="0.25">
      <c r="A472" s="64"/>
      <c r="B472" s="64"/>
      <c r="C472" s="65"/>
      <c r="D472" s="64"/>
      <c r="E472" s="65"/>
      <c r="F472" s="65"/>
      <c r="G472" s="64"/>
      <c r="H472" s="65"/>
      <c r="I472" s="65"/>
      <c r="J472" s="64"/>
      <c r="K472" s="65"/>
      <c r="L472" s="65"/>
      <c r="M472" s="64"/>
      <c r="N472" s="65"/>
      <c r="O472" s="65"/>
    </row>
    <row r="473" spans="1:15" x14ac:dyDescent="0.25">
      <c r="A473" s="64"/>
      <c r="B473" s="64"/>
      <c r="C473" s="65"/>
      <c r="D473" s="64"/>
      <c r="E473" s="65"/>
      <c r="F473" s="65"/>
      <c r="G473" s="64"/>
      <c r="H473" s="65"/>
      <c r="I473" s="65"/>
      <c r="J473" s="64"/>
      <c r="K473" s="65"/>
      <c r="L473" s="65"/>
      <c r="M473" s="64"/>
      <c r="N473" s="65"/>
      <c r="O473" s="65"/>
    </row>
    <row r="474" spans="1:15" x14ac:dyDescent="0.25">
      <c r="A474" s="64"/>
      <c r="B474" s="64"/>
      <c r="C474" s="65"/>
      <c r="D474" s="64"/>
      <c r="E474" s="65"/>
      <c r="F474" s="65"/>
      <c r="G474" s="64"/>
      <c r="H474" s="65"/>
      <c r="I474" s="65"/>
      <c r="J474" s="64"/>
      <c r="K474" s="65"/>
      <c r="L474" s="65"/>
      <c r="M474" s="64"/>
      <c r="N474" s="65"/>
      <c r="O474" s="65"/>
    </row>
    <row r="475" spans="1:15" x14ac:dyDescent="0.25">
      <c r="A475" s="64"/>
      <c r="B475" s="64"/>
      <c r="C475" s="65"/>
      <c r="D475" s="64"/>
      <c r="E475" s="65"/>
      <c r="F475" s="65"/>
      <c r="G475" s="64"/>
      <c r="H475" s="65"/>
      <c r="I475" s="65"/>
      <c r="J475" s="64"/>
      <c r="K475" s="65"/>
      <c r="L475" s="65"/>
      <c r="M475" s="64"/>
      <c r="N475" s="65"/>
      <c r="O475" s="65"/>
    </row>
    <row r="476" spans="1:15" x14ac:dyDescent="0.25">
      <c r="A476" s="64"/>
      <c r="B476" s="64"/>
      <c r="C476" s="65"/>
      <c r="D476" s="64"/>
      <c r="E476" s="65"/>
      <c r="F476" s="65"/>
      <c r="G476" s="64"/>
      <c r="H476" s="65"/>
      <c r="I476" s="65"/>
      <c r="J476" s="64"/>
      <c r="K476" s="65"/>
      <c r="L476" s="65"/>
      <c r="M476" s="64"/>
      <c r="N476" s="65"/>
      <c r="O476" s="65"/>
    </row>
    <row r="477" spans="1:15" x14ac:dyDescent="0.25">
      <c r="A477" s="64"/>
      <c r="B477" s="64"/>
      <c r="C477" s="65"/>
      <c r="D477" s="64"/>
      <c r="E477" s="65"/>
      <c r="F477" s="65"/>
      <c r="G477" s="64"/>
      <c r="H477" s="65"/>
      <c r="I477" s="65"/>
      <c r="J477" s="64"/>
      <c r="K477" s="65"/>
      <c r="L477" s="65"/>
      <c r="M477" s="64"/>
      <c r="N477" s="65"/>
      <c r="O477" s="65"/>
    </row>
    <row r="478" spans="1:15" x14ac:dyDescent="0.25">
      <c r="A478" s="64"/>
      <c r="B478" s="64"/>
      <c r="C478" s="65"/>
      <c r="D478" s="64"/>
      <c r="E478" s="65"/>
      <c r="F478" s="65"/>
      <c r="G478" s="64"/>
      <c r="H478" s="65"/>
      <c r="I478" s="65"/>
      <c r="J478" s="64"/>
      <c r="K478" s="65"/>
      <c r="L478" s="65"/>
      <c r="M478" s="64"/>
      <c r="N478" s="65"/>
      <c r="O478" s="65"/>
    </row>
    <row r="479" spans="1:15" x14ac:dyDescent="0.25">
      <c r="A479" s="64"/>
      <c r="B479" s="64"/>
      <c r="C479" s="65"/>
      <c r="D479" s="64"/>
      <c r="E479" s="65"/>
      <c r="F479" s="65"/>
      <c r="G479" s="64"/>
      <c r="H479" s="65"/>
      <c r="I479" s="65"/>
      <c r="J479" s="64"/>
      <c r="K479" s="65"/>
      <c r="L479" s="65"/>
      <c r="M479" s="64"/>
      <c r="N479" s="65"/>
      <c r="O479" s="65"/>
    </row>
    <row r="480" spans="1:15" x14ac:dyDescent="0.25">
      <c r="A480" s="64"/>
      <c r="B480" s="64"/>
      <c r="C480" s="65"/>
      <c r="D480" s="64"/>
      <c r="E480" s="65"/>
      <c r="F480" s="65"/>
      <c r="G480" s="64"/>
      <c r="H480" s="65"/>
      <c r="I480" s="65"/>
      <c r="J480" s="64"/>
      <c r="K480" s="65"/>
      <c r="L480" s="65"/>
      <c r="M480" s="64"/>
      <c r="N480" s="65"/>
      <c r="O480" s="65"/>
    </row>
    <row r="481" spans="1:15" x14ac:dyDescent="0.25">
      <c r="A481" s="64"/>
      <c r="B481" s="64"/>
      <c r="C481" s="65"/>
      <c r="D481" s="64"/>
      <c r="E481" s="65"/>
      <c r="F481" s="65"/>
      <c r="G481" s="64"/>
      <c r="H481" s="65"/>
      <c r="I481" s="65"/>
      <c r="J481" s="64"/>
      <c r="K481" s="65"/>
      <c r="L481" s="65"/>
      <c r="M481" s="64"/>
      <c r="N481" s="65"/>
      <c r="O481" s="65"/>
    </row>
    <row r="482" spans="1:15" x14ac:dyDescent="0.25">
      <c r="A482" s="64"/>
      <c r="B482" s="64"/>
      <c r="C482" s="65"/>
      <c r="D482" s="64"/>
      <c r="E482" s="65"/>
      <c r="F482" s="65"/>
      <c r="G482" s="64"/>
      <c r="H482" s="65"/>
      <c r="I482" s="65"/>
      <c r="J482" s="64"/>
      <c r="K482" s="65"/>
      <c r="L482" s="65"/>
      <c r="M482" s="64"/>
      <c r="N482" s="65"/>
      <c r="O482" s="65"/>
    </row>
    <row r="483" spans="1:15" x14ac:dyDescent="0.25">
      <c r="A483" s="64"/>
      <c r="B483" s="64"/>
      <c r="C483" s="65"/>
      <c r="D483" s="64"/>
      <c r="E483" s="65"/>
      <c r="F483" s="65"/>
      <c r="G483" s="64"/>
      <c r="H483" s="65"/>
      <c r="I483" s="65"/>
      <c r="J483" s="64"/>
      <c r="K483" s="65"/>
      <c r="L483" s="65"/>
      <c r="M483" s="64"/>
      <c r="N483" s="65"/>
      <c r="O483" s="65"/>
    </row>
    <row r="484" spans="1:15" x14ac:dyDescent="0.25">
      <c r="A484" s="64"/>
      <c r="B484" s="64"/>
      <c r="C484" s="65"/>
      <c r="D484" s="64"/>
      <c r="E484" s="65"/>
      <c r="F484" s="65"/>
      <c r="G484" s="64"/>
      <c r="H484" s="65"/>
      <c r="I484" s="65"/>
      <c r="J484" s="64"/>
      <c r="K484" s="65"/>
      <c r="L484" s="65"/>
      <c r="M484" s="64"/>
      <c r="N484" s="65"/>
      <c r="O484" s="65"/>
    </row>
    <row r="485" spans="1:15" x14ac:dyDescent="0.25">
      <c r="A485" s="64"/>
      <c r="B485" s="64"/>
      <c r="C485" s="65"/>
      <c r="D485" s="64"/>
      <c r="E485" s="65"/>
      <c r="F485" s="65"/>
      <c r="G485" s="64"/>
      <c r="H485" s="65"/>
      <c r="I485" s="65"/>
      <c r="J485" s="64"/>
      <c r="K485" s="65"/>
      <c r="L485" s="65"/>
      <c r="M485" s="64"/>
      <c r="N485" s="65"/>
      <c r="O485" s="65"/>
    </row>
    <row r="486" spans="1:15" x14ac:dyDescent="0.25">
      <c r="A486" s="64"/>
      <c r="B486" s="64"/>
      <c r="C486" s="65"/>
      <c r="D486" s="64"/>
      <c r="E486" s="65"/>
      <c r="F486" s="65"/>
      <c r="G486" s="64"/>
      <c r="H486" s="65"/>
      <c r="I486" s="65"/>
      <c r="J486" s="64"/>
      <c r="K486" s="65"/>
      <c r="L486" s="65"/>
      <c r="M486" s="64"/>
      <c r="N486" s="65"/>
      <c r="O486" s="65"/>
    </row>
    <row r="487" spans="1:15" x14ac:dyDescent="0.25">
      <c r="A487" s="64"/>
      <c r="B487" s="64"/>
      <c r="C487" s="65"/>
      <c r="D487" s="64"/>
      <c r="E487" s="65"/>
      <c r="F487" s="65"/>
      <c r="G487" s="64"/>
      <c r="H487" s="65"/>
      <c r="I487" s="65"/>
      <c r="J487" s="64"/>
      <c r="K487" s="65"/>
      <c r="L487" s="65"/>
      <c r="M487" s="64"/>
      <c r="N487" s="65"/>
      <c r="O487" s="65"/>
    </row>
    <row r="488" spans="1:15" x14ac:dyDescent="0.25">
      <c r="A488" s="64"/>
      <c r="B488" s="64"/>
      <c r="C488" s="65"/>
      <c r="D488" s="64"/>
      <c r="E488" s="65"/>
      <c r="F488" s="65"/>
      <c r="G488" s="64"/>
      <c r="H488" s="65"/>
      <c r="I488" s="65"/>
      <c r="J488" s="64"/>
      <c r="K488" s="65"/>
      <c r="L488" s="65"/>
      <c r="M488" s="64"/>
      <c r="N488" s="65"/>
      <c r="O488" s="65"/>
    </row>
    <row r="489" spans="1:15" x14ac:dyDescent="0.25">
      <c r="A489" s="64"/>
      <c r="B489" s="64"/>
      <c r="C489" s="65"/>
      <c r="D489" s="64"/>
      <c r="E489" s="65"/>
      <c r="F489" s="65"/>
      <c r="G489" s="64"/>
      <c r="H489" s="65"/>
      <c r="I489" s="65"/>
      <c r="J489" s="64"/>
      <c r="K489" s="65"/>
      <c r="L489" s="65"/>
      <c r="M489" s="64"/>
      <c r="N489" s="65"/>
      <c r="O489" s="65"/>
    </row>
    <row r="490" spans="1:15" x14ac:dyDescent="0.25">
      <c r="A490" s="64"/>
      <c r="B490" s="64"/>
      <c r="C490" s="65"/>
      <c r="D490" s="64"/>
      <c r="E490" s="65"/>
      <c r="F490" s="65"/>
      <c r="G490" s="64"/>
      <c r="H490" s="65"/>
      <c r="I490" s="65"/>
      <c r="J490" s="64"/>
      <c r="K490" s="65"/>
      <c r="L490" s="65"/>
      <c r="M490" s="64"/>
      <c r="N490" s="65"/>
      <c r="O490" s="65"/>
    </row>
    <row r="491" spans="1:15" x14ac:dyDescent="0.25">
      <c r="A491" s="64"/>
      <c r="B491" s="64"/>
      <c r="C491" s="65"/>
      <c r="D491" s="64"/>
      <c r="E491" s="65"/>
      <c r="F491" s="65"/>
      <c r="G491" s="64"/>
      <c r="H491" s="65"/>
      <c r="I491" s="65"/>
      <c r="J491" s="64"/>
      <c r="K491" s="65"/>
      <c r="L491" s="65"/>
      <c r="M491" s="64"/>
      <c r="N491" s="65"/>
      <c r="O491" s="65"/>
    </row>
    <row r="492" spans="1:15" x14ac:dyDescent="0.25">
      <c r="A492" s="64"/>
      <c r="B492" s="64"/>
      <c r="C492" s="65"/>
      <c r="D492" s="64"/>
      <c r="E492" s="65"/>
      <c r="F492" s="65"/>
      <c r="G492" s="64"/>
      <c r="H492" s="65"/>
      <c r="I492" s="65"/>
      <c r="J492" s="64"/>
      <c r="K492" s="65"/>
      <c r="L492" s="65"/>
      <c r="M492" s="64"/>
      <c r="N492" s="65"/>
      <c r="O492" s="65"/>
    </row>
    <row r="493" spans="1:15" x14ac:dyDescent="0.25">
      <c r="A493" s="64"/>
      <c r="B493" s="64"/>
      <c r="C493" s="65"/>
      <c r="D493" s="64"/>
      <c r="E493" s="65"/>
      <c r="F493" s="65"/>
      <c r="G493" s="64"/>
      <c r="H493" s="65"/>
      <c r="I493" s="65"/>
      <c r="J493" s="64"/>
      <c r="K493" s="65"/>
      <c r="L493" s="65"/>
      <c r="M493" s="64"/>
      <c r="N493" s="65"/>
      <c r="O493" s="65"/>
    </row>
    <row r="494" spans="1:15" x14ac:dyDescent="0.25">
      <c r="A494" s="64"/>
      <c r="B494" s="64"/>
      <c r="C494" s="65"/>
      <c r="D494" s="64"/>
      <c r="E494" s="65"/>
      <c r="F494" s="65"/>
      <c r="G494" s="64"/>
      <c r="H494" s="65"/>
      <c r="I494" s="65"/>
      <c r="J494" s="64"/>
      <c r="K494" s="65"/>
      <c r="L494" s="65"/>
      <c r="M494" s="64"/>
      <c r="N494" s="65"/>
      <c r="O494" s="65"/>
    </row>
    <row r="495" spans="1:15" x14ac:dyDescent="0.25">
      <c r="A495" s="64"/>
      <c r="B495" s="64"/>
      <c r="C495" s="65"/>
      <c r="D495" s="64"/>
      <c r="E495" s="65"/>
      <c r="F495" s="65"/>
      <c r="G495" s="64"/>
      <c r="H495" s="65"/>
      <c r="I495" s="65"/>
      <c r="J495" s="64"/>
      <c r="K495" s="65"/>
      <c r="L495" s="65"/>
      <c r="M495" s="64"/>
      <c r="N495" s="65"/>
      <c r="O495" s="65"/>
    </row>
    <row r="496" spans="1:15" x14ac:dyDescent="0.25">
      <c r="A496" s="64"/>
      <c r="B496" s="64"/>
      <c r="C496" s="65"/>
      <c r="D496" s="64"/>
      <c r="E496" s="65"/>
      <c r="F496" s="65"/>
      <c r="G496" s="64"/>
      <c r="H496" s="65"/>
      <c r="I496" s="65"/>
      <c r="J496" s="64"/>
      <c r="K496" s="65"/>
      <c r="L496" s="65"/>
      <c r="M496" s="64"/>
      <c r="N496" s="65"/>
      <c r="O496" s="65"/>
    </row>
    <row r="497" spans="1:15" x14ac:dyDescent="0.25">
      <c r="A497" s="64"/>
      <c r="B497" s="64"/>
      <c r="C497" s="65"/>
      <c r="D497" s="64"/>
      <c r="E497" s="65"/>
      <c r="F497" s="65"/>
      <c r="G497" s="64"/>
      <c r="H497" s="65"/>
      <c r="I497" s="65"/>
      <c r="J497" s="64"/>
      <c r="K497" s="65"/>
      <c r="L497" s="65"/>
      <c r="M497" s="64"/>
      <c r="N497" s="65"/>
      <c r="O497" s="65"/>
    </row>
    <row r="498" spans="1:15" x14ac:dyDescent="0.25">
      <c r="A498" s="64"/>
      <c r="B498" s="64"/>
      <c r="C498" s="65"/>
      <c r="D498" s="64"/>
      <c r="E498" s="65"/>
      <c r="F498" s="65"/>
      <c r="G498" s="64"/>
      <c r="H498" s="65"/>
      <c r="I498" s="65"/>
      <c r="J498" s="64"/>
      <c r="K498" s="65"/>
      <c r="L498" s="65"/>
      <c r="M498" s="64"/>
      <c r="N498" s="65"/>
      <c r="O498" s="65"/>
    </row>
    <row r="499" spans="1:15" x14ac:dyDescent="0.25">
      <c r="A499" s="64"/>
      <c r="B499" s="64"/>
      <c r="C499" s="65"/>
      <c r="D499" s="64"/>
      <c r="E499" s="65"/>
      <c r="F499" s="65"/>
      <c r="G499" s="64"/>
      <c r="H499" s="65"/>
      <c r="I499" s="65"/>
      <c r="J499" s="64"/>
      <c r="K499" s="65"/>
      <c r="L499" s="65"/>
      <c r="M499" s="64"/>
      <c r="N499" s="65"/>
      <c r="O499" s="65"/>
    </row>
    <row r="500" spans="1:15" x14ac:dyDescent="0.25">
      <c r="A500" s="64"/>
      <c r="B500" s="64"/>
      <c r="C500" s="65"/>
      <c r="D500" s="64"/>
      <c r="E500" s="65"/>
      <c r="F500" s="65"/>
      <c r="G500" s="64"/>
      <c r="H500" s="65"/>
      <c r="I500" s="65"/>
      <c r="J500" s="64"/>
      <c r="K500" s="65"/>
      <c r="L500" s="65"/>
      <c r="M500" s="64"/>
      <c r="N500" s="65"/>
      <c r="O500" s="65"/>
    </row>
    <row r="501" spans="1:15" x14ac:dyDescent="0.25">
      <c r="A501" s="64"/>
      <c r="B501" s="64"/>
      <c r="C501" s="65"/>
      <c r="D501" s="64"/>
      <c r="E501" s="65"/>
      <c r="F501" s="65"/>
      <c r="G501" s="64"/>
      <c r="H501" s="65"/>
      <c r="I501" s="65"/>
      <c r="J501" s="64"/>
      <c r="K501" s="65"/>
      <c r="L501" s="65"/>
      <c r="M501" s="64"/>
      <c r="N501" s="65"/>
      <c r="O501" s="65"/>
    </row>
    <row r="502" spans="1:15" x14ac:dyDescent="0.25">
      <c r="A502" s="64"/>
      <c r="B502" s="64"/>
      <c r="C502" s="65"/>
      <c r="D502" s="64"/>
      <c r="E502" s="65"/>
      <c r="F502" s="65"/>
      <c r="G502" s="64"/>
      <c r="H502" s="65"/>
      <c r="I502" s="65"/>
      <c r="J502" s="64"/>
      <c r="K502" s="65"/>
      <c r="L502" s="65"/>
      <c r="M502" s="64"/>
      <c r="N502" s="65"/>
      <c r="O502" s="65"/>
    </row>
    <row r="503" spans="1:15" x14ac:dyDescent="0.25">
      <c r="A503" s="64"/>
      <c r="B503" s="64"/>
      <c r="C503" s="65"/>
      <c r="D503" s="64"/>
      <c r="E503" s="65"/>
      <c r="F503" s="65"/>
      <c r="G503" s="64"/>
      <c r="H503" s="65"/>
      <c r="I503" s="65"/>
      <c r="J503" s="64"/>
      <c r="K503" s="65"/>
      <c r="L503" s="65"/>
      <c r="M503" s="64"/>
      <c r="N503" s="65"/>
      <c r="O503" s="65"/>
    </row>
    <row r="504" spans="1:15" x14ac:dyDescent="0.25">
      <c r="A504" s="64"/>
      <c r="B504" s="64"/>
      <c r="C504" s="65"/>
      <c r="D504" s="64"/>
      <c r="E504" s="65"/>
      <c r="F504" s="65"/>
      <c r="G504" s="64"/>
      <c r="H504" s="65"/>
      <c r="I504" s="65"/>
      <c r="J504" s="64"/>
      <c r="K504" s="65"/>
      <c r="L504" s="65"/>
      <c r="M504" s="64"/>
      <c r="N504" s="65"/>
      <c r="O504" s="65"/>
    </row>
    <row r="505" spans="1:15" x14ac:dyDescent="0.25">
      <c r="A505" s="64"/>
      <c r="B505" s="64"/>
      <c r="C505" s="65"/>
      <c r="D505" s="64"/>
      <c r="E505" s="65"/>
      <c r="F505" s="65"/>
      <c r="G505" s="64"/>
      <c r="H505" s="65"/>
      <c r="I505" s="65"/>
      <c r="J505" s="64"/>
      <c r="K505" s="65"/>
      <c r="L505" s="65"/>
      <c r="M505" s="64"/>
      <c r="N505" s="65"/>
      <c r="O505" s="65"/>
    </row>
    <row r="506" spans="1:15" x14ac:dyDescent="0.25">
      <c r="A506" s="64"/>
      <c r="B506" s="64"/>
      <c r="C506" s="65"/>
      <c r="D506" s="64"/>
      <c r="E506" s="65"/>
      <c r="F506" s="65"/>
      <c r="G506" s="64"/>
      <c r="H506" s="65"/>
      <c r="I506" s="65"/>
      <c r="J506" s="64"/>
      <c r="K506" s="65"/>
      <c r="L506" s="65"/>
      <c r="M506" s="64"/>
      <c r="N506" s="65"/>
      <c r="O506" s="65"/>
    </row>
    <row r="507" spans="1:15" x14ac:dyDescent="0.25">
      <c r="A507" s="64"/>
      <c r="B507" s="64"/>
      <c r="C507" s="65"/>
      <c r="D507" s="64"/>
      <c r="E507" s="65"/>
      <c r="F507" s="65"/>
      <c r="G507" s="64"/>
      <c r="H507" s="65"/>
      <c r="I507" s="65"/>
      <c r="J507" s="64"/>
      <c r="K507" s="65"/>
      <c r="L507" s="65"/>
      <c r="M507" s="64"/>
      <c r="N507" s="65"/>
      <c r="O507" s="65"/>
    </row>
    <row r="508" spans="1:15" x14ac:dyDescent="0.25">
      <c r="A508" s="64"/>
      <c r="B508" s="64"/>
      <c r="C508" s="65"/>
      <c r="D508" s="64"/>
      <c r="E508" s="65"/>
      <c r="F508" s="65"/>
      <c r="G508" s="64"/>
      <c r="H508" s="65"/>
      <c r="I508" s="65"/>
      <c r="J508" s="64"/>
      <c r="K508" s="65"/>
      <c r="L508" s="65"/>
      <c r="M508" s="64"/>
      <c r="N508" s="65"/>
      <c r="O508" s="65"/>
    </row>
    <row r="509" spans="1:15" x14ac:dyDescent="0.25">
      <c r="A509" s="64"/>
      <c r="B509" s="64"/>
      <c r="C509" s="65"/>
      <c r="D509" s="64"/>
      <c r="E509" s="65"/>
      <c r="F509" s="65"/>
      <c r="G509" s="64"/>
      <c r="H509" s="65"/>
      <c r="I509" s="65"/>
      <c r="J509" s="64"/>
      <c r="K509" s="65"/>
      <c r="L509" s="65"/>
      <c r="M509" s="64"/>
      <c r="N509" s="65"/>
      <c r="O509" s="65"/>
    </row>
    <row r="510" spans="1:15" x14ac:dyDescent="0.25">
      <c r="A510" s="64"/>
      <c r="B510" s="64"/>
      <c r="C510" s="65"/>
      <c r="D510" s="64"/>
      <c r="E510" s="65"/>
      <c r="F510" s="65"/>
      <c r="G510" s="64"/>
      <c r="H510" s="65"/>
      <c r="I510" s="65"/>
      <c r="J510" s="64"/>
      <c r="K510" s="65"/>
      <c r="L510" s="65"/>
      <c r="M510" s="64"/>
      <c r="N510" s="65"/>
      <c r="O510" s="65"/>
    </row>
    <row r="511" spans="1:15" x14ac:dyDescent="0.25">
      <c r="A511" s="64"/>
      <c r="B511" s="64"/>
      <c r="C511" s="65"/>
      <c r="D511" s="64"/>
      <c r="E511" s="65"/>
      <c r="F511" s="65"/>
      <c r="G511" s="64"/>
      <c r="H511" s="65"/>
      <c r="I511" s="65"/>
      <c r="J511" s="64"/>
      <c r="K511" s="65"/>
      <c r="L511" s="65"/>
      <c r="M511" s="64"/>
      <c r="N511" s="65"/>
      <c r="O511" s="65"/>
    </row>
    <row r="512" spans="1:15" x14ac:dyDescent="0.25">
      <c r="A512" s="64"/>
      <c r="B512" s="64"/>
      <c r="C512" s="65"/>
      <c r="D512" s="64"/>
      <c r="E512" s="65"/>
      <c r="F512" s="65"/>
      <c r="G512" s="64"/>
      <c r="H512" s="65"/>
      <c r="I512" s="65"/>
      <c r="J512" s="64"/>
      <c r="K512" s="65"/>
      <c r="L512" s="65"/>
      <c r="M512" s="64"/>
      <c r="N512" s="65"/>
      <c r="O512" s="65"/>
    </row>
    <row r="513" spans="1:15" x14ac:dyDescent="0.25">
      <c r="A513" s="64"/>
      <c r="B513" s="64"/>
      <c r="C513" s="65"/>
      <c r="D513" s="64"/>
      <c r="E513" s="65"/>
      <c r="F513" s="65"/>
      <c r="G513" s="64"/>
      <c r="H513" s="65"/>
      <c r="I513" s="65"/>
      <c r="J513" s="64"/>
      <c r="K513" s="65"/>
      <c r="L513" s="65"/>
      <c r="M513" s="64"/>
      <c r="N513" s="65"/>
      <c r="O513" s="65"/>
    </row>
    <row r="514" spans="1:15" x14ac:dyDescent="0.25">
      <c r="A514" s="64"/>
      <c r="B514" s="64"/>
      <c r="C514" s="65"/>
      <c r="D514" s="64"/>
      <c r="E514" s="65"/>
      <c r="F514" s="65"/>
      <c r="G514" s="64"/>
      <c r="H514" s="65"/>
      <c r="I514" s="65"/>
      <c r="J514" s="64"/>
      <c r="K514" s="65"/>
      <c r="L514" s="65"/>
      <c r="M514" s="64"/>
      <c r="N514" s="65"/>
      <c r="O514" s="65"/>
    </row>
    <row r="515" spans="1:15" x14ac:dyDescent="0.25">
      <c r="A515" s="64"/>
      <c r="B515" s="64"/>
      <c r="C515" s="65"/>
      <c r="D515" s="64"/>
      <c r="E515" s="65"/>
      <c r="F515" s="65"/>
      <c r="G515" s="64"/>
      <c r="H515" s="65"/>
      <c r="I515" s="65"/>
      <c r="J515" s="64"/>
      <c r="K515" s="65"/>
      <c r="L515" s="65"/>
      <c r="M515" s="64"/>
      <c r="N515" s="65"/>
      <c r="O515" s="65"/>
    </row>
    <row r="516" spans="1:15" x14ac:dyDescent="0.25">
      <c r="A516" s="64"/>
      <c r="B516" s="64"/>
      <c r="C516" s="65"/>
      <c r="D516" s="64"/>
      <c r="E516" s="65"/>
      <c r="F516" s="65"/>
      <c r="G516" s="64"/>
      <c r="H516" s="65"/>
      <c r="I516" s="65"/>
      <c r="J516" s="64"/>
      <c r="K516" s="65"/>
      <c r="L516" s="65"/>
      <c r="M516" s="64"/>
      <c r="N516" s="65"/>
      <c r="O516" s="65"/>
    </row>
    <row r="517" spans="1:15" x14ac:dyDescent="0.25">
      <c r="A517" s="64"/>
      <c r="B517" s="64"/>
      <c r="C517" s="65"/>
      <c r="D517" s="64"/>
      <c r="E517" s="65"/>
      <c r="F517" s="65"/>
      <c r="G517" s="64"/>
      <c r="H517" s="65"/>
      <c r="I517" s="65"/>
      <c r="J517" s="64"/>
      <c r="K517" s="65"/>
      <c r="L517" s="65"/>
      <c r="M517" s="64"/>
      <c r="N517" s="65"/>
      <c r="O517" s="65"/>
    </row>
    <row r="518" spans="1:15" x14ac:dyDescent="0.25">
      <c r="A518" s="64"/>
      <c r="B518" s="64"/>
      <c r="C518" s="65"/>
      <c r="D518" s="64"/>
      <c r="E518" s="65"/>
      <c r="F518" s="65"/>
      <c r="G518" s="64"/>
      <c r="H518" s="65"/>
      <c r="I518" s="65"/>
      <c r="J518" s="64"/>
      <c r="K518" s="65"/>
      <c r="L518" s="65"/>
      <c r="M518" s="64"/>
      <c r="N518" s="65"/>
      <c r="O518" s="65"/>
    </row>
    <row r="519" spans="1:15" x14ac:dyDescent="0.25">
      <c r="A519" s="64"/>
      <c r="B519" s="64"/>
      <c r="C519" s="65"/>
      <c r="D519" s="64"/>
      <c r="E519" s="65"/>
      <c r="F519" s="65"/>
      <c r="G519" s="64"/>
      <c r="H519" s="65"/>
      <c r="I519" s="65"/>
      <c r="J519" s="64"/>
      <c r="K519" s="65"/>
      <c r="L519" s="65"/>
      <c r="M519" s="64"/>
      <c r="N519" s="65"/>
      <c r="O519" s="65"/>
    </row>
    <row r="520" spans="1:15" x14ac:dyDescent="0.25">
      <c r="A520" s="64"/>
      <c r="B520" s="64"/>
      <c r="C520" s="65"/>
      <c r="D520" s="64"/>
      <c r="E520" s="65"/>
      <c r="F520" s="65"/>
      <c r="G520" s="64"/>
      <c r="H520" s="65"/>
      <c r="I520" s="65"/>
      <c r="J520" s="64"/>
      <c r="K520" s="65"/>
      <c r="L520" s="65"/>
      <c r="M520" s="64"/>
      <c r="N520" s="65"/>
      <c r="O520" s="65"/>
    </row>
    <row r="521" spans="1:15" x14ac:dyDescent="0.25">
      <c r="A521" s="64"/>
      <c r="B521" s="64"/>
      <c r="C521" s="65"/>
      <c r="D521" s="64"/>
      <c r="E521" s="65"/>
      <c r="F521" s="65"/>
      <c r="G521" s="64"/>
      <c r="H521" s="65"/>
      <c r="I521" s="65"/>
      <c r="J521" s="64"/>
      <c r="K521" s="65"/>
      <c r="L521" s="65"/>
      <c r="M521" s="64"/>
      <c r="N521" s="65"/>
      <c r="O521" s="65"/>
    </row>
    <row r="522" spans="1:15" x14ac:dyDescent="0.25">
      <c r="A522" s="64"/>
      <c r="B522" s="64"/>
      <c r="C522" s="65"/>
      <c r="D522" s="64"/>
      <c r="E522" s="65"/>
      <c r="F522" s="65"/>
      <c r="G522" s="64"/>
      <c r="H522" s="65"/>
      <c r="I522" s="65"/>
      <c r="J522" s="64"/>
      <c r="K522" s="65"/>
      <c r="L522" s="65"/>
      <c r="M522" s="64"/>
      <c r="N522" s="65"/>
      <c r="O522" s="65"/>
    </row>
    <row r="523" spans="1:15" x14ac:dyDescent="0.25">
      <c r="A523" s="64"/>
      <c r="B523" s="64"/>
      <c r="C523" s="65"/>
      <c r="D523" s="64"/>
      <c r="E523" s="65"/>
      <c r="F523" s="65"/>
      <c r="G523" s="64"/>
      <c r="H523" s="65"/>
      <c r="I523" s="65"/>
      <c r="J523" s="64"/>
      <c r="K523" s="65"/>
      <c r="L523" s="65"/>
      <c r="M523" s="64"/>
      <c r="N523" s="65"/>
      <c r="O523" s="65"/>
    </row>
    <row r="524" spans="1:15" x14ac:dyDescent="0.25">
      <c r="A524" s="64"/>
      <c r="B524" s="64"/>
      <c r="C524" s="65"/>
      <c r="D524" s="64"/>
      <c r="E524" s="65"/>
      <c r="F524" s="65"/>
      <c r="G524" s="64"/>
      <c r="H524" s="65"/>
      <c r="I524" s="65"/>
      <c r="J524" s="64"/>
      <c r="K524" s="65"/>
      <c r="L524" s="65"/>
      <c r="M524" s="64"/>
      <c r="N524" s="65"/>
      <c r="O524" s="65"/>
    </row>
    <row r="525" spans="1:15" x14ac:dyDescent="0.25">
      <c r="A525" s="64"/>
      <c r="B525" s="64"/>
      <c r="C525" s="65"/>
      <c r="D525" s="64"/>
      <c r="E525" s="65"/>
      <c r="F525" s="65"/>
      <c r="G525" s="64"/>
      <c r="H525" s="65"/>
      <c r="I525" s="65"/>
      <c r="J525" s="64"/>
      <c r="K525" s="65"/>
      <c r="L525" s="65"/>
      <c r="M525" s="64"/>
      <c r="N525" s="65"/>
      <c r="O525" s="65"/>
    </row>
    <row r="526" spans="1:15" x14ac:dyDescent="0.25">
      <c r="A526" s="64"/>
      <c r="B526" s="64"/>
      <c r="C526" s="65"/>
      <c r="D526" s="64"/>
      <c r="E526" s="65"/>
      <c r="F526" s="65"/>
      <c r="G526" s="64"/>
      <c r="H526" s="65"/>
      <c r="I526" s="65"/>
      <c r="J526" s="64"/>
      <c r="K526" s="65"/>
      <c r="L526" s="65"/>
      <c r="M526" s="64"/>
      <c r="N526" s="65"/>
      <c r="O526" s="65"/>
    </row>
    <row r="527" spans="1:15" x14ac:dyDescent="0.25">
      <c r="A527" s="64"/>
      <c r="B527" s="64"/>
      <c r="C527" s="65"/>
      <c r="D527" s="64"/>
      <c r="E527" s="65"/>
      <c r="F527" s="65"/>
      <c r="G527" s="64"/>
      <c r="H527" s="65"/>
      <c r="I527" s="65"/>
      <c r="J527" s="64"/>
      <c r="K527" s="65"/>
      <c r="L527" s="65"/>
      <c r="M527" s="64"/>
      <c r="N527" s="65"/>
      <c r="O527" s="65"/>
    </row>
    <row r="528" spans="1:15" x14ac:dyDescent="0.25">
      <c r="A528" s="64"/>
      <c r="B528" s="64"/>
      <c r="C528" s="65"/>
      <c r="D528" s="64"/>
      <c r="E528" s="65"/>
      <c r="F528" s="65"/>
      <c r="G528" s="64"/>
      <c r="H528" s="65"/>
      <c r="I528" s="65"/>
      <c r="J528" s="64"/>
      <c r="K528" s="65"/>
      <c r="L528" s="65"/>
      <c r="M528" s="64"/>
      <c r="N528" s="65"/>
      <c r="O528" s="65"/>
    </row>
    <row r="529" spans="1:15" x14ac:dyDescent="0.25">
      <c r="A529" s="64"/>
      <c r="B529" s="64"/>
      <c r="C529" s="65"/>
      <c r="D529" s="64"/>
      <c r="E529" s="65"/>
      <c r="F529" s="65"/>
      <c r="G529" s="64"/>
      <c r="H529" s="65"/>
      <c r="I529" s="65"/>
      <c r="J529" s="64"/>
      <c r="K529" s="65"/>
      <c r="L529" s="65"/>
      <c r="M529" s="64"/>
      <c r="N529" s="65"/>
      <c r="O529" s="65"/>
    </row>
    <row r="530" spans="1:15" x14ac:dyDescent="0.25">
      <c r="A530" s="64"/>
      <c r="B530" s="64"/>
      <c r="C530" s="65"/>
      <c r="D530" s="64"/>
      <c r="E530" s="65"/>
      <c r="F530" s="65"/>
      <c r="G530" s="64"/>
      <c r="H530" s="65"/>
      <c r="I530" s="65"/>
      <c r="J530" s="64"/>
      <c r="K530" s="65"/>
      <c r="L530" s="65"/>
      <c r="M530" s="64"/>
      <c r="N530" s="65"/>
      <c r="O530" s="65"/>
    </row>
    <row r="531" spans="1:15" x14ac:dyDescent="0.25">
      <c r="A531" s="64"/>
      <c r="B531" s="64"/>
      <c r="C531" s="65"/>
      <c r="D531" s="64"/>
      <c r="E531" s="65"/>
      <c r="F531" s="65"/>
      <c r="G531" s="64"/>
      <c r="H531" s="65"/>
      <c r="I531" s="65"/>
      <c r="J531" s="64"/>
      <c r="K531" s="65"/>
      <c r="L531" s="65"/>
      <c r="M531" s="64"/>
      <c r="N531" s="65"/>
      <c r="O531" s="65"/>
    </row>
    <row r="532" spans="1:15" x14ac:dyDescent="0.25">
      <c r="A532" s="64"/>
      <c r="B532" s="64"/>
      <c r="C532" s="65"/>
      <c r="D532" s="64"/>
      <c r="E532" s="65"/>
      <c r="F532" s="65"/>
      <c r="G532" s="64"/>
      <c r="H532" s="65"/>
      <c r="I532" s="65"/>
      <c r="J532" s="64"/>
      <c r="K532" s="65"/>
      <c r="L532" s="65"/>
      <c r="M532" s="64"/>
      <c r="N532" s="65"/>
      <c r="O532" s="65"/>
    </row>
    <row r="533" spans="1:15" x14ac:dyDescent="0.25">
      <c r="A533" s="64"/>
      <c r="B533" s="64"/>
      <c r="C533" s="65"/>
      <c r="D533" s="64"/>
      <c r="E533" s="65"/>
      <c r="F533" s="65"/>
      <c r="G533" s="64"/>
      <c r="H533" s="65"/>
      <c r="I533" s="65"/>
      <c r="J533" s="64"/>
      <c r="K533" s="65"/>
      <c r="L533" s="65"/>
      <c r="M533" s="64"/>
      <c r="N533" s="65"/>
      <c r="O533" s="65"/>
    </row>
    <row r="534" spans="1:15" x14ac:dyDescent="0.25">
      <c r="A534" s="64"/>
      <c r="B534" s="64"/>
      <c r="C534" s="65"/>
      <c r="D534" s="64"/>
      <c r="E534" s="65"/>
      <c r="F534" s="65"/>
      <c r="G534" s="64"/>
      <c r="H534" s="65"/>
      <c r="I534" s="65"/>
      <c r="J534" s="64"/>
      <c r="K534" s="65"/>
      <c r="L534" s="65"/>
      <c r="M534" s="64"/>
      <c r="N534" s="65"/>
      <c r="O534" s="65"/>
    </row>
    <row r="535" spans="1:15" x14ac:dyDescent="0.25">
      <c r="A535" s="64"/>
      <c r="B535" s="64"/>
      <c r="C535" s="65"/>
      <c r="G535" s="64"/>
      <c r="H535" s="65"/>
      <c r="I535" s="65"/>
      <c r="J535" s="64"/>
      <c r="K535" s="65"/>
      <c r="L535" s="65"/>
      <c r="M535" s="64"/>
      <c r="N535" s="65"/>
      <c r="O535" s="65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2"/>
  <sheetViews>
    <sheetView zoomScaleNormal="100" workbookViewId="0">
      <pane ySplit="4" topLeftCell="A153" activePane="bottomLeft" state="frozen"/>
      <selection pane="bottomLeft" activeCell="C159" sqref="C159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2" t="s">
        <v>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4" t="s">
        <v>11</v>
      </c>
      <c r="M1" s="124"/>
      <c r="N1" s="5">
        <v>2014</v>
      </c>
      <c r="O1" s="4"/>
    </row>
    <row r="2" spans="1:18" x14ac:dyDescent="0.25">
      <c r="A2" s="126" t="s">
        <v>0</v>
      </c>
      <c r="B2" s="126"/>
      <c r="C2" s="126"/>
      <c r="D2" s="127" t="s">
        <v>4</v>
      </c>
      <c r="E2" s="127"/>
      <c r="F2" s="127"/>
      <c r="G2" s="128" t="s">
        <v>5</v>
      </c>
      <c r="H2" s="128"/>
      <c r="I2" s="128"/>
      <c r="J2" s="133" t="s">
        <v>6</v>
      </c>
      <c r="K2" s="133"/>
      <c r="L2" s="133"/>
      <c r="M2" s="121" t="s">
        <v>12</v>
      </c>
      <c r="N2" s="121"/>
      <c r="O2" s="121"/>
      <c r="Q2" s="130" t="s">
        <v>13</v>
      </c>
      <c r="R2" s="130"/>
    </row>
    <row r="3" spans="1:18" x14ac:dyDescent="0.25">
      <c r="A3" s="8">
        <f>SUBTOTAL(3,A5:A118)</f>
        <v>40</v>
      </c>
      <c r="B3" s="8">
        <f>SUBTOTAL(9,B5:B118)</f>
        <v>15125</v>
      </c>
      <c r="C3" s="35">
        <v>43254</v>
      </c>
      <c r="D3" s="8">
        <f>SUBTOTAL(3,D5:D117)</f>
        <v>64</v>
      </c>
      <c r="E3" s="1">
        <f>SUBTOTAL(9,E5:E155)</f>
        <v>43600</v>
      </c>
      <c r="F3" s="38">
        <v>43261</v>
      </c>
      <c r="G3" s="8">
        <f>SUBTOTAL(3,G5:G117)</f>
        <v>29</v>
      </c>
      <c r="H3" s="1">
        <f>SUBTOTAL(9,H5:H158)</f>
        <v>18300</v>
      </c>
      <c r="I3" s="39">
        <v>43268</v>
      </c>
      <c r="J3" s="8">
        <f>SUBTOTAL(3,J5:J107)</f>
        <v>0</v>
      </c>
      <c r="K3" s="1">
        <f>SUBTOTAL(9,K5:K107)</f>
        <v>0</v>
      </c>
      <c r="L3" s="63">
        <v>43275</v>
      </c>
      <c r="M3" s="1">
        <f>SUBTOTAL(3,M5:M117)</f>
        <v>0</v>
      </c>
      <c r="N3" s="1">
        <f>SUBTOTAL(9,N5:N117)</f>
        <v>0</v>
      </c>
      <c r="O3" s="85"/>
      <c r="Q3" s="30">
        <f>+A3+D3+G3+J3+M3</f>
        <v>133</v>
      </c>
      <c r="R3" s="29">
        <f>+B3+E3+H3+K3+N3</f>
        <v>77025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>
        <v>16619</v>
      </c>
      <c r="B5" s="49">
        <v>300</v>
      </c>
      <c r="C5" s="17"/>
      <c r="D5" s="13">
        <v>16659</v>
      </c>
      <c r="E5" s="70">
        <v>600</v>
      </c>
      <c r="F5" s="14" t="s">
        <v>213</v>
      </c>
      <c r="G5" s="11">
        <v>16723</v>
      </c>
      <c r="H5" s="67">
        <v>200</v>
      </c>
      <c r="I5" s="12" t="s">
        <v>41</v>
      </c>
      <c r="J5" s="61"/>
      <c r="K5" s="71"/>
      <c r="L5" s="62"/>
      <c r="M5" s="15"/>
      <c r="N5" s="73"/>
      <c r="O5" s="15"/>
      <c r="Q5" s="32"/>
      <c r="R5" s="32"/>
    </row>
    <row r="6" spans="1:18" x14ac:dyDescent="0.25">
      <c r="A6" s="16">
        <v>16620</v>
      </c>
      <c r="B6" s="49">
        <v>400</v>
      </c>
      <c r="C6" s="17"/>
      <c r="D6" s="13">
        <v>16660</v>
      </c>
      <c r="E6" s="70">
        <v>600</v>
      </c>
      <c r="F6" s="14" t="s">
        <v>258</v>
      </c>
      <c r="G6" s="11">
        <v>16724</v>
      </c>
      <c r="H6" s="67">
        <v>900</v>
      </c>
      <c r="I6" s="12" t="s">
        <v>208</v>
      </c>
      <c r="J6" s="61"/>
      <c r="K6" s="71"/>
      <c r="L6" s="62"/>
      <c r="M6" s="15"/>
      <c r="N6" s="73"/>
      <c r="O6" s="15"/>
    </row>
    <row r="7" spans="1:18" x14ac:dyDescent="0.25">
      <c r="A7" s="16">
        <v>16621</v>
      </c>
      <c r="B7" s="49">
        <v>400</v>
      </c>
      <c r="C7" s="111" t="s">
        <v>213</v>
      </c>
      <c r="D7" s="13">
        <v>16661</v>
      </c>
      <c r="E7" s="70">
        <v>1200</v>
      </c>
      <c r="F7" s="14" t="s">
        <v>35</v>
      </c>
      <c r="G7" s="11"/>
      <c r="H7" s="67"/>
      <c r="I7" s="12" t="s">
        <v>23</v>
      </c>
      <c r="J7" s="61"/>
      <c r="K7" s="71"/>
      <c r="L7" s="62"/>
      <c r="M7" s="15"/>
      <c r="N7" s="73"/>
      <c r="O7" s="15"/>
    </row>
    <row r="8" spans="1:18" x14ac:dyDescent="0.25">
      <c r="A8" s="16">
        <v>16622</v>
      </c>
      <c r="B8" s="49">
        <v>200</v>
      </c>
      <c r="C8" s="17"/>
      <c r="D8" s="13"/>
      <c r="E8" s="70"/>
      <c r="F8" s="14" t="s">
        <v>20</v>
      </c>
      <c r="G8" s="11">
        <v>16725</v>
      </c>
      <c r="H8" s="67">
        <v>2000</v>
      </c>
      <c r="I8" s="12" t="s">
        <v>118</v>
      </c>
      <c r="J8" s="61"/>
      <c r="K8" s="71"/>
      <c r="L8" s="62"/>
      <c r="M8" s="15"/>
      <c r="N8" s="73"/>
      <c r="O8" s="15"/>
    </row>
    <row r="9" spans="1:18" x14ac:dyDescent="0.25">
      <c r="A9" s="16">
        <v>16623</v>
      </c>
      <c r="B9" s="49">
        <v>250</v>
      </c>
      <c r="C9" s="17" t="s">
        <v>274</v>
      </c>
      <c r="D9" s="13">
        <v>16662</v>
      </c>
      <c r="E9" s="70">
        <v>200</v>
      </c>
      <c r="F9" s="14" t="s">
        <v>111</v>
      </c>
      <c r="G9" s="11"/>
      <c r="H9" s="67"/>
      <c r="I9" s="12" t="s">
        <v>293</v>
      </c>
      <c r="J9" s="61"/>
      <c r="K9" s="71"/>
      <c r="L9" s="62"/>
      <c r="M9" s="15"/>
      <c r="N9" s="73"/>
      <c r="O9" s="15"/>
    </row>
    <row r="10" spans="1:18" x14ac:dyDescent="0.25">
      <c r="A10" s="16"/>
      <c r="B10" s="49"/>
      <c r="C10" s="17" t="s">
        <v>221</v>
      </c>
      <c r="D10" s="13">
        <v>16663</v>
      </c>
      <c r="E10" s="70">
        <v>500</v>
      </c>
      <c r="F10" s="14" t="s">
        <v>282</v>
      </c>
      <c r="G10" s="11">
        <v>16726</v>
      </c>
      <c r="H10" s="67">
        <v>400</v>
      </c>
      <c r="I10" s="12" t="s">
        <v>230</v>
      </c>
      <c r="J10" s="61"/>
      <c r="K10" s="71"/>
      <c r="L10" s="62"/>
      <c r="M10" s="15"/>
      <c r="N10" s="73"/>
      <c r="O10" s="15"/>
    </row>
    <row r="11" spans="1:18" x14ac:dyDescent="0.25">
      <c r="A11" s="16">
        <v>16624</v>
      </c>
      <c r="B11" s="49">
        <v>400</v>
      </c>
      <c r="C11" s="17"/>
      <c r="D11" s="13">
        <v>16664</v>
      </c>
      <c r="E11" s="70">
        <v>800</v>
      </c>
      <c r="F11" s="14" t="s">
        <v>283</v>
      </c>
      <c r="G11" s="11"/>
      <c r="H11" s="67"/>
      <c r="I11" s="12" t="s">
        <v>15</v>
      </c>
      <c r="J11" s="61"/>
      <c r="K11" s="71"/>
      <c r="L11" s="62"/>
      <c r="M11" s="15"/>
      <c r="N11" s="73"/>
      <c r="O11" s="31"/>
    </row>
    <row r="12" spans="1:18" x14ac:dyDescent="0.25">
      <c r="A12" s="16">
        <v>16625</v>
      </c>
      <c r="B12" s="49">
        <v>200</v>
      </c>
      <c r="C12" s="17"/>
      <c r="D12" s="13"/>
      <c r="E12" s="70"/>
      <c r="F12" s="14" t="s">
        <v>15</v>
      </c>
      <c r="G12" s="11">
        <v>16727</v>
      </c>
      <c r="H12" s="67">
        <v>1200</v>
      </c>
      <c r="I12" s="12" t="s">
        <v>294</v>
      </c>
      <c r="J12" s="61"/>
      <c r="K12" s="71"/>
      <c r="L12" s="62"/>
      <c r="M12" s="15"/>
      <c r="N12" s="73"/>
      <c r="O12" s="15"/>
    </row>
    <row r="13" spans="1:18" x14ac:dyDescent="0.25">
      <c r="A13" s="16">
        <v>16626</v>
      </c>
      <c r="B13" s="49">
        <v>200</v>
      </c>
      <c r="C13" s="17" t="s">
        <v>213</v>
      </c>
      <c r="D13" s="13">
        <v>16665</v>
      </c>
      <c r="E13" s="70">
        <v>2400</v>
      </c>
      <c r="F13" s="14" t="s">
        <v>166</v>
      </c>
      <c r="G13" s="11"/>
      <c r="H13" s="67"/>
      <c r="I13" s="12" t="s">
        <v>23</v>
      </c>
      <c r="J13" s="61"/>
      <c r="K13" s="71"/>
      <c r="L13" s="62"/>
      <c r="M13" s="15"/>
      <c r="N13" s="73"/>
      <c r="O13" s="15"/>
    </row>
    <row r="14" spans="1:18" x14ac:dyDescent="0.25">
      <c r="A14" s="16">
        <v>16627</v>
      </c>
      <c r="B14" s="49">
        <v>400</v>
      </c>
      <c r="C14" s="17"/>
      <c r="D14" s="13"/>
      <c r="E14" s="70"/>
      <c r="F14" s="14" t="s">
        <v>284</v>
      </c>
      <c r="G14" s="11">
        <v>16728</v>
      </c>
      <c r="H14" s="67">
        <v>600</v>
      </c>
      <c r="I14" s="12" t="s">
        <v>191</v>
      </c>
      <c r="J14" s="61"/>
      <c r="K14" s="71"/>
      <c r="L14" s="62"/>
      <c r="M14" s="15"/>
      <c r="N14" s="73"/>
      <c r="O14" s="15"/>
    </row>
    <row r="15" spans="1:18" x14ac:dyDescent="0.25">
      <c r="A15" s="16">
        <v>16628</v>
      </c>
      <c r="B15" s="49">
        <v>300</v>
      </c>
      <c r="C15" s="17" t="s">
        <v>162</v>
      </c>
      <c r="D15" s="13">
        <v>16666</v>
      </c>
      <c r="E15" s="70">
        <v>400</v>
      </c>
      <c r="F15" s="33" t="s">
        <v>111</v>
      </c>
      <c r="G15" s="11"/>
      <c r="H15" s="67"/>
      <c r="I15" s="12" t="s">
        <v>23</v>
      </c>
      <c r="J15" s="61"/>
      <c r="K15" s="71"/>
      <c r="L15" s="62"/>
      <c r="M15" s="15"/>
      <c r="N15" s="73"/>
      <c r="O15" s="15"/>
    </row>
    <row r="16" spans="1:18" x14ac:dyDescent="0.25">
      <c r="A16" s="16">
        <v>16629</v>
      </c>
      <c r="B16" s="49">
        <v>400</v>
      </c>
      <c r="C16" s="17"/>
      <c r="D16" s="13">
        <v>16667</v>
      </c>
      <c r="E16" s="70">
        <v>900</v>
      </c>
      <c r="F16" s="14" t="s">
        <v>208</v>
      </c>
      <c r="G16" s="11">
        <v>16729</v>
      </c>
      <c r="H16" s="67">
        <v>300</v>
      </c>
      <c r="I16" s="12" t="s">
        <v>295</v>
      </c>
      <c r="J16" s="61"/>
      <c r="K16" s="71"/>
      <c r="L16" s="62"/>
      <c r="M16" s="15"/>
      <c r="N16" s="73"/>
      <c r="O16" s="15"/>
    </row>
    <row r="17" spans="1:15" x14ac:dyDescent="0.25">
      <c r="A17" s="16">
        <v>16630</v>
      </c>
      <c r="B17" s="49">
        <v>400</v>
      </c>
      <c r="C17" s="17" t="s">
        <v>213</v>
      </c>
      <c r="D17" s="13"/>
      <c r="E17" s="70"/>
      <c r="F17" s="14" t="s">
        <v>23</v>
      </c>
      <c r="G17" s="11"/>
      <c r="H17" s="67"/>
      <c r="I17" s="12" t="s">
        <v>296</v>
      </c>
      <c r="J17" s="61"/>
      <c r="K17" s="71"/>
      <c r="L17" s="62"/>
      <c r="M17" s="15"/>
      <c r="N17" s="73"/>
      <c r="O17" s="15"/>
    </row>
    <row r="18" spans="1:15" x14ac:dyDescent="0.25">
      <c r="A18" s="16">
        <v>16631</v>
      </c>
      <c r="B18" s="49">
        <v>400</v>
      </c>
      <c r="C18" s="17" t="s">
        <v>213</v>
      </c>
      <c r="D18" s="13">
        <v>16668</v>
      </c>
      <c r="E18" s="70">
        <v>800</v>
      </c>
      <c r="F18" s="14" t="s">
        <v>273</v>
      </c>
      <c r="G18" s="11">
        <v>16730</v>
      </c>
      <c r="H18" s="67">
        <v>300</v>
      </c>
      <c r="I18" s="12" t="s">
        <v>213</v>
      </c>
      <c r="J18" s="61"/>
      <c r="K18" s="71"/>
      <c r="L18" s="62"/>
      <c r="M18" s="15"/>
      <c r="N18" s="73"/>
      <c r="O18" s="15"/>
    </row>
    <row r="19" spans="1:15" x14ac:dyDescent="0.25">
      <c r="A19" s="16">
        <v>16632</v>
      </c>
      <c r="B19" s="49">
        <v>400</v>
      </c>
      <c r="C19" s="17" t="s">
        <v>213</v>
      </c>
      <c r="D19" s="13"/>
      <c r="E19" s="70"/>
      <c r="F19" s="14" t="s">
        <v>15</v>
      </c>
      <c r="G19" s="11">
        <v>16731</v>
      </c>
      <c r="H19" s="67">
        <v>400</v>
      </c>
      <c r="I19" s="12" t="s">
        <v>297</v>
      </c>
      <c r="J19" s="61"/>
      <c r="K19" s="71"/>
      <c r="L19" s="62"/>
      <c r="M19" s="15"/>
      <c r="N19" s="73"/>
      <c r="O19" s="15"/>
    </row>
    <row r="20" spans="1:15" x14ac:dyDescent="0.25">
      <c r="A20" s="16">
        <v>16633</v>
      </c>
      <c r="B20" s="49">
        <v>250</v>
      </c>
      <c r="C20" s="17" t="s">
        <v>275</v>
      </c>
      <c r="D20" s="13">
        <v>16669</v>
      </c>
      <c r="E20" s="70">
        <v>1200</v>
      </c>
      <c r="F20" s="14" t="s">
        <v>208</v>
      </c>
      <c r="G20" s="11"/>
      <c r="H20" s="67"/>
      <c r="I20" s="12" t="s">
        <v>298</v>
      </c>
      <c r="J20" s="61"/>
      <c r="K20" s="71"/>
      <c r="L20" s="62"/>
      <c r="M20" s="15"/>
      <c r="N20" s="73"/>
      <c r="O20" s="15"/>
    </row>
    <row r="21" spans="1:15" x14ac:dyDescent="0.25">
      <c r="A21" s="16"/>
      <c r="B21" s="49"/>
      <c r="C21" s="17" t="s">
        <v>237</v>
      </c>
      <c r="D21" s="13"/>
      <c r="E21" s="70"/>
      <c r="F21" s="14" t="s">
        <v>20</v>
      </c>
      <c r="G21" s="11">
        <v>16732</v>
      </c>
      <c r="H21" s="67">
        <v>600</v>
      </c>
      <c r="I21" s="12" t="s">
        <v>230</v>
      </c>
      <c r="J21" s="61"/>
      <c r="K21" s="71"/>
      <c r="L21" s="62"/>
      <c r="M21" s="15"/>
      <c r="N21" s="73"/>
      <c r="O21" s="15"/>
    </row>
    <row r="22" spans="1:15" x14ac:dyDescent="0.25">
      <c r="A22" s="16">
        <v>16634</v>
      </c>
      <c r="B22" s="49"/>
      <c r="C22" s="17" t="s">
        <v>27</v>
      </c>
      <c r="D22" s="13">
        <v>16670</v>
      </c>
      <c r="E22" s="70">
        <v>400</v>
      </c>
      <c r="F22" s="14"/>
      <c r="G22" s="11"/>
      <c r="H22" s="67"/>
      <c r="I22" s="12" t="s">
        <v>23</v>
      </c>
      <c r="J22" s="61"/>
      <c r="K22" s="71"/>
      <c r="L22" s="62"/>
      <c r="M22" s="15"/>
      <c r="N22" s="73"/>
      <c r="O22" s="15"/>
    </row>
    <row r="23" spans="1:15" x14ac:dyDescent="0.25">
      <c r="A23" s="16">
        <v>16635</v>
      </c>
      <c r="B23" s="49">
        <v>325</v>
      </c>
      <c r="C23" s="17" t="s">
        <v>276</v>
      </c>
      <c r="D23" s="13">
        <v>16671</v>
      </c>
      <c r="E23" s="70">
        <v>400</v>
      </c>
      <c r="F23" s="14" t="s">
        <v>213</v>
      </c>
      <c r="G23" s="11">
        <v>16733</v>
      </c>
      <c r="H23" s="67">
        <v>400</v>
      </c>
      <c r="I23" s="12"/>
      <c r="J23" s="61"/>
      <c r="K23" s="71"/>
      <c r="L23" s="62"/>
      <c r="M23" s="15"/>
      <c r="N23" s="73"/>
      <c r="O23" s="15"/>
    </row>
    <row r="24" spans="1:15" x14ac:dyDescent="0.25">
      <c r="A24" s="16"/>
      <c r="B24" s="49"/>
      <c r="C24" s="17" t="s">
        <v>277</v>
      </c>
      <c r="D24" s="13">
        <v>16672</v>
      </c>
      <c r="E24" s="70">
        <v>100</v>
      </c>
      <c r="F24" s="14" t="s">
        <v>84</v>
      </c>
      <c r="G24" s="11">
        <v>16734</v>
      </c>
      <c r="H24" s="67">
        <v>600</v>
      </c>
      <c r="I24" s="12" t="s">
        <v>208</v>
      </c>
      <c r="J24" s="61"/>
      <c r="K24" s="71"/>
      <c r="L24" s="62"/>
      <c r="M24" s="15"/>
      <c r="N24" s="73"/>
      <c r="O24" s="31"/>
    </row>
    <row r="25" spans="1:15" x14ac:dyDescent="0.25">
      <c r="A25" s="16">
        <v>16636</v>
      </c>
      <c r="B25" s="49">
        <v>400</v>
      </c>
      <c r="C25" s="17"/>
      <c r="D25" s="13">
        <v>16673</v>
      </c>
      <c r="E25" s="70">
        <v>600</v>
      </c>
      <c r="F25" s="14" t="s">
        <v>191</v>
      </c>
      <c r="G25" s="11"/>
      <c r="H25" s="67"/>
      <c r="I25" s="12" t="s">
        <v>15</v>
      </c>
      <c r="J25" s="61"/>
      <c r="K25" s="71"/>
      <c r="L25" s="62"/>
      <c r="M25" s="15"/>
      <c r="N25" s="73"/>
      <c r="O25" s="15"/>
    </row>
    <row r="26" spans="1:15" x14ac:dyDescent="0.25">
      <c r="A26" s="16">
        <v>16637</v>
      </c>
      <c r="B26" s="49">
        <v>400</v>
      </c>
      <c r="C26" s="17"/>
      <c r="D26" s="13"/>
      <c r="E26" s="70"/>
      <c r="F26" s="14" t="s">
        <v>23</v>
      </c>
      <c r="G26" s="11">
        <v>16735</v>
      </c>
      <c r="H26" s="67">
        <v>400</v>
      </c>
      <c r="I26" s="12"/>
      <c r="J26" s="61"/>
      <c r="K26" s="71"/>
      <c r="L26" s="62"/>
      <c r="M26" s="15"/>
      <c r="N26" s="73"/>
      <c r="O26" s="15"/>
    </row>
    <row r="27" spans="1:15" x14ac:dyDescent="0.25">
      <c r="A27" s="16">
        <v>16638</v>
      </c>
      <c r="B27" s="49">
        <v>800</v>
      </c>
      <c r="C27" s="17" t="s">
        <v>230</v>
      </c>
      <c r="D27" s="13">
        <v>16674</v>
      </c>
      <c r="E27" s="70">
        <v>2400</v>
      </c>
      <c r="F27" s="14" t="s">
        <v>166</v>
      </c>
      <c r="G27" s="11">
        <v>16736</v>
      </c>
      <c r="H27" s="67">
        <v>1000</v>
      </c>
      <c r="I27" s="99" t="s">
        <v>230</v>
      </c>
      <c r="J27" s="61"/>
      <c r="K27" s="71"/>
      <c r="L27" s="62"/>
      <c r="M27" s="15"/>
      <c r="N27" s="73"/>
      <c r="O27" s="15"/>
    </row>
    <row r="28" spans="1:15" x14ac:dyDescent="0.25">
      <c r="A28" s="16"/>
      <c r="B28" s="49"/>
      <c r="C28" s="17" t="s">
        <v>20</v>
      </c>
      <c r="D28" s="13"/>
      <c r="E28" s="70"/>
      <c r="F28" s="14" t="s">
        <v>222</v>
      </c>
      <c r="G28" s="11"/>
      <c r="H28" s="67"/>
      <c r="I28" s="12" t="s">
        <v>299</v>
      </c>
      <c r="J28" s="61"/>
      <c r="K28" s="71"/>
      <c r="L28" s="62"/>
      <c r="M28" s="15"/>
      <c r="N28" s="73"/>
      <c r="O28" s="15"/>
    </row>
    <row r="29" spans="1:15" x14ac:dyDescent="0.25">
      <c r="A29" s="16">
        <v>16639</v>
      </c>
      <c r="B29" s="49">
        <v>500</v>
      </c>
      <c r="C29" s="17" t="s">
        <v>230</v>
      </c>
      <c r="D29" s="13"/>
      <c r="E29" s="70"/>
      <c r="F29" s="14" t="s">
        <v>20</v>
      </c>
      <c r="G29" s="11"/>
      <c r="H29" s="67"/>
      <c r="I29" s="12" t="s">
        <v>300</v>
      </c>
      <c r="J29" s="61"/>
      <c r="K29" s="71"/>
      <c r="L29" s="62"/>
      <c r="M29" s="15"/>
      <c r="N29" s="73"/>
      <c r="O29" s="15"/>
    </row>
    <row r="30" spans="1:15" x14ac:dyDescent="0.25">
      <c r="A30" s="16"/>
      <c r="B30" s="49"/>
      <c r="C30" s="17" t="s">
        <v>69</v>
      </c>
      <c r="D30" s="13">
        <v>16675</v>
      </c>
      <c r="E30" s="70">
        <v>400</v>
      </c>
      <c r="F30" s="14" t="s">
        <v>213</v>
      </c>
      <c r="G30" s="11">
        <v>16737</v>
      </c>
      <c r="H30" s="67">
        <v>800</v>
      </c>
      <c r="I30" s="12" t="s">
        <v>191</v>
      </c>
      <c r="J30" s="61"/>
      <c r="K30" s="71"/>
      <c r="L30" s="62"/>
      <c r="M30" s="15"/>
      <c r="N30" s="73"/>
      <c r="O30" s="15"/>
    </row>
    <row r="31" spans="1:15" x14ac:dyDescent="0.25">
      <c r="A31" s="16">
        <v>16640</v>
      </c>
      <c r="B31" s="49">
        <v>300</v>
      </c>
      <c r="C31" s="17"/>
      <c r="D31" s="13">
        <v>16676</v>
      </c>
      <c r="E31" s="70">
        <v>400</v>
      </c>
      <c r="F31" s="14"/>
      <c r="G31" s="11"/>
      <c r="H31" s="67"/>
      <c r="I31" s="12" t="s">
        <v>20</v>
      </c>
      <c r="J31" s="61"/>
      <c r="K31" s="71"/>
      <c r="L31" s="62"/>
      <c r="M31" s="15"/>
      <c r="N31" s="73"/>
      <c r="O31" s="31"/>
    </row>
    <row r="32" spans="1:15" x14ac:dyDescent="0.25">
      <c r="A32" s="16">
        <v>16641</v>
      </c>
      <c r="B32" s="49">
        <v>400</v>
      </c>
      <c r="C32" s="17"/>
      <c r="D32" s="13">
        <v>16677</v>
      </c>
      <c r="E32" s="70">
        <v>400</v>
      </c>
      <c r="F32" s="14"/>
      <c r="G32" s="11">
        <v>16738</v>
      </c>
      <c r="H32" s="67">
        <v>400</v>
      </c>
      <c r="I32" s="12" t="s">
        <v>301</v>
      </c>
      <c r="J32" s="61"/>
      <c r="K32" s="71"/>
      <c r="L32" s="62"/>
      <c r="M32" s="15"/>
      <c r="N32" s="73"/>
      <c r="O32" s="15"/>
    </row>
    <row r="33" spans="1:15" x14ac:dyDescent="0.25">
      <c r="A33" s="16">
        <v>16642</v>
      </c>
      <c r="B33" s="49">
        <v>800</v>
      </c>
      <c r="C33" s="17" t="s">
        <v>130</v>
      </c>
      <c r="D33" s="13">
        <v>16678</v>
      </c>
      <c r="E33" s="70">
        <v>800</v>
      </c>
      <c r="F33" s="14" t="s">
        <v>191</v>
      </c>
      <c r="G33" s="11"/>
      <c r="H33" s="67"/>
      <c r="I33" s="12" t="s">
        <v>15</v>
      </c>
      <c r="J33" s="61"/>
      <c r="K33" s="71"/>
      <c r="L33" s="62"/>
      <c r="M33" s="15"/>
      <c r="N33" s="73"/>
      <c r="O33" s="15"/>
    </row>
    <row r="34" spans="1:15" x14ac:dyDescent="0.25">
      <c r="A34" s="16"/>
      <c r="B34" s="49"/>
      <c r="C34" s="17" t="s">
        <v>278</v>
      </c>
      <c r="D34" s="13"/>
      <c r="E34" s="70"/>
      <c r="F34" s="14" t="s">
        <v>20</v>
      </c>
      <c r="G34" s="11">
        <v>16739</v>
      </c>
      <c r="H34" s="67">
        <v>400</v>
      </c>
      <c r="I34" s="12" t="s">
        <v>230</v>
      </c>
      <c r="J34" s="61"/>
      <c r="K34" s="71"/>
      <c r="L34" s="62"/>
      <c r="M34" s="15"/>
      <c r="N34" s="73"/>
      <c r="O34" s="15"/>
    </row>
    <row r="35" spans="1:15" x14ac:dyDescent="0.25">
      <c r="A35" s="16">
        <v>16643</v>
      </c>
      <c r="B35" s="49">
        <v>450</v>
      </c>
      <c r="C35" s="17" t="s">
        <v>279</v>
      </c>
      <c r="D35" s="13">
        <v>16679</v>
      </c>
      <c r="E35" s="70">
        <v>400</v>
      </c>
      <c r="F35" s="14" t="s">
        <v>162</v>
      </c>
      <c r="G35" s="11"/>
      <c r="H35" s="67"/>
      <c r="I35" s="12" t="s">
        <v>15</v>
      </c>
      <c r="J35" s="61"/>
      <c r="K35" s="71"/>
      <c r="L35" s="62"/>
      <c r="M35" s="15"/>
      <c r="N35" s="73"/>
      <c r="O35" s="15"/>
    </row>
    <row r="36" spans="1:15" x14ac:dyDescent="0.25">
      <c r="A36" s="16"/>
      <c r="B36" s="49"/>
      <c r="C36" s="17" t="s">
        <v>280</v>
      </c>
      <c r="D36" s="13">
        <v>16680</v>
      </c>
      <c r="E36" s="70">
        <v>300</v>
      </c>
      <c r="F36" s="14"/>
      <c r="G36" s="11">
        <v>16740</v>
      </c>
      <c r="H36" s="67">
        <v>600</v>
      </c>
      <c r="I36" s="12" t="s">
        <v>130</v>
      </c>
      <c r="J36" s="61"/>
      <c r="K36" s="71"/>
      <c r="L36" s="62"/>
      <c r="M36" s="15"/>
      <c r="N36" s="73"/>
      <c r="O36" s="15"/>
    </row>
    <row r="37" spans="1:15" x14ac:dyDescent="0.25">
      <c r="A37" s="16">
        <v>16644</v>
      </c>
      <c r="B37" s="49">
        <v>300</v>
      </c>
      <c r="C37" s="17" t="s">
        <v>213</v>
      </c>
      <c r="D37" s="13">
        <v>16681</v>
      </c>
      <c r="E37" s="70"/>
      <c r="F37" s="14" t="s">
        <v>27</v>
      </c>
      <c r="G37" s="11"/>
      <c r="H37" s="67"/>
      <c r="I37" s="12" t="s">
        <v>23</v>
      </c>
      <c r="J37" s="61"/>
      <c r="K37" s="71"/>
      <c r="L37" s="62"/>
      <c r="M37" s="15"/>
      <c r="N37" s="73"/>
      <c r="O37" s="15"/>
    </row>
    <row r="38" spans="1:15" x14ac:dyDescent="0.25">
      <c r="A38" s="16">
        <v>16645</v>
      </c>
      <c r="B38" s="49">
        <v>800</v>
      </c>
      <c r="C38" s="17" t="s">
        <v>230</v>
      </c>
      <c r="D38" s="13">
        <v>16682</v>
      </c>
      <c r="E38" s="70">
        <v>400</v>
      </c>
      <c r="F38" s="14"/>
      <c r="G38" s="11">
        <v>16741</v>
      </c>
      <c r="H38" s="67">
        <v>300</v>
      </c>
      <c r="I38" s="12"/>
      <c r="J38" s="61"/>
      <c r="K38" s="71"/>
      <c r="L38" s="62"/>
      <c r="M38" s="15"/>
      <c r="N38" s="73"/>
      <c r="O38" s="15"/>
    </row>
    <row r="39" spans="1:15" x14ac:dyDescent="0.25">
      <c r="A39" s="16"/>
      <c r="B39" s="49"/>
      <c r="C39" s="17" t="s">
        <v>20</v>
      </c>
      <c r="D39" s="13">
        <v>16683</v>
      </c>
      <c r="E39" s="70">
        <v>800</v>
      </c>
      <c r="F39" s="14" t="s">
        <v>230</v>
      </c>
      <c r="G39" s="11">
        <v>16742</v>
      </c>
      <c r="H39" s="67">
        <v>200</v>
      </c>
      <c r="I39" s="12"/>
      <c r="J39" s="61"/>
      <c r="K39" s="71"/>
      <c r="L39" s="62"/>
      <c r="M39" s="15"/>
      <c r="N39" s="73"/>
      <c r="O39" s="15"/>
    </row>
    <row r="40" spans="1:15" x14ac:dyDescent="0.25">
      <c r="A40" s="16">
        <v>16646</v>
      </c>
      <c r="B40" s="49">
        <v>50</v>
      </c>
      <c r="C40" s="17" t="s">
        <v>220</v>
      </c>
      <c r="D40" s="13"/>
      <c r="E40" s="70"/>
      <c r="F40" s="14" t="s">
        <v>20</v>
      </c>
      <c r="G40" s="11">
        <v>16743</v>
      </c>
      <c r="H40" s="67">
        <v>600</v>
      </c>
      <c r="I40" s="12" t="s">
        <v>302</v>
      </c>
      <c r="J40" s="61"/>
      <c r="K40" s="71"/>
      <c r="L40" s="68"/>
      <c r="M40" s="15"/>
      <c r="N40" s="73"/>
      <c r="O40" s="15"/>
    </row>
    <row r="41" spans="1:15" x14ac:dyDescent="0.25">
      <c r="A41" s="16">
        <v>16647</v>
      </c>
      <c r="B41" s="49">
        <v>400</v>
      </c>
      <c r="C41" s="17" t="s">
        <v>162</v>
      </c>
      <c r="D41" s="13">
        <v>16684</v>
      </c>
      <c r="E41" s="70">
        <v>800</v>
      </c>
      <c r="F41" s="14" t="s">
        <v>206</v>
      </c>
      <c r="G41" s="11"/>
      <c r="H41" s="67"/>
      <c r="I41" s="12" t="s">
        <v>15</v>
      </c>
      <c r="J41" s="61"/>
      <c r="K41" s="71"/>
      <c r="L41" s="62"/>
      <c r="M41" s="15"/>
      <c r="N41" s="73"/>
      <c r="O41" s="15"/>
    </row>
    <row r="42" spans="1:15" x14ac:dyDescent="0.25">
      <c r="A42" s="16">
        <v>16648</v>
      </c>
      <c r="B42" s="49">
        <v>50</v>
      </c>
      <c r="C42" s="89" t="s">
        <v>110</v>
      </c>
      <c r="D42" s="13"/>
      <c r="E42" s="70"/>
      <c r="F42" s="14" t="s">
        <v>20</v>
      </c>
      <c r="G42" s="11">
        <v>16744</v>
      </c>
      <c r="H42" s="67">
        <v>200</v>
      </c>
      <c r="I42" s="12"/>
      <c r="J42" s="61"/>
      <c r="K42" s="71"/>
      <c r="L42" s="62"/>
      <c r="M42" s="15"/>
      <c r="N42" s="73"/>
      <c r="O42" s="15"/>
    </row>
    <row r="43" spans="1:15" x14ac:dyDescent="0.25">
      <c r="A43" s="16">
        <v>16649</v>
      </c>
      <c r="B43" s="49">
        <v>400</v>
      </c>
      <c r="C43" s="17"/>
      <c r="D43" s="13">
        <v>16685</v>
      </c>
      <c r="E43" s="70">
        <v>350</v>
      </c>
      <c r="F43" s="14"/>
      <c r="G43" s="11">
        <v>16745</v>
      </c>
      <c r="H43" s="67">
        <v>900</v>
      </c>
      <c r="I43" s="12" t="s">
        <v>208</v>
      </c>
      <c r="J43" s="61"/>
      <c r="K43" s="71"/>
      <c r="L43" s="62"/>
      <c r="M43" s="15"/>
      <c r="N43" s="73"/>
      <c r="O43" s="15"/>
    </row>
    <row r="44" spans="1:15" x14ac:dyDescent="0.25">
      <c r="A44" s="16">
        <v>16650</v>
      </c>
      <c r="B44" s="49">
        <v>200</v>
      </c>
      <c r="C44" s="17"/>
      <c r="D44" s="13">
        <v>16686</v>
      </c>
      <c r="E44" s="70">
        <v>400</v>
      </c>
      <c r="F44" s="14" t="s">
        <v>213</v>
      </c>
      <c r="G44" s="11"/>
      <c r="H44" s="67"/>
      <c r="I44" s="12" t="s">
        <v>23</v>
      </c>
      <c r="J44" s="61"/>
      <c r="K44" s="71"/>
      <c r="L44" s="62"/>
      <c r="M44" s="15"/>
      <c r="N44" s="73"/>
      <c r="O44" s="15"/>
    </row>
    <row r="45" spans="1:15" x14ac:dyDescent="0.25">
      <c r="A45" s="16">
        <v>16651</v>
      </c>
      <c r="B45" s="49">
        <v>400</v>
      </c>
      <c r="C45" s="17" t="s">
        <v>257</v>
      </c>
      <c r="D45" s="13">
        <v>16687</v>
      </c>
      <c r="E45" s="70">
        <v>400</v>
      </c>
      <c r="F45" s="14" t="s">
        <v>213</v>
      </c>
      <c r="G45" s="11">
        <v>16746</v>
      </c>
      <c r="H45" s="67">
        <v>400</v>
      </c>
      <c r="I45" s="12"/>
      <c r="J45" s="61"/>
      <c r="K45" s="71"/>
      <c r="L45" s="62"/>
      <c r="M45" s="15"/>
      <c r="N45" s="73"/>
      <c r="O45" s="15"/>
    </row>
    <row r="46" spans="1:15" x14ac:dyDescent="0.25">
      <c r="A46" s="16">
        <v>16652</v>
      </c>
      <c r="B46" s="49">
        <v>400</v>
      </c>
      <c r="C46" s="17"/>
      <c r="D46" s="13">
        <v>16688</v>
      </c>
      <c r="E46" s="70">
        <v>350</v>
      </c>
      <c r="F46" s="14"/>
      <c r="G46" s="11">
        <v>16747</v>
      </c>
      <c r="H46" s="67">
        <v>400</v>
      </c>
      <c r="I46" s="12" t="s">
        <v>230</v>
      </c>
      <c r="J46" s="61"/>
      <c r="K46" s="71"/>
      <c r="L46" s="62"/>
      <c r="M46" s="15"/>
      <c r="N46" s="73"/>
      <c r="O46" s="15"/>
    </row>
    <row r="47" spans="1:15" x14ac:dyDescent="0.25">
      <c r="A47" s="16">
        <v>16653</v>
      </c>
      <c r="B47" s="49">
        <v>400</v>
      </c>
      <c r="C47" s="17"/>
      <c r="D47" s="13">
        <v>16689</v>
      </c>
      <c r="E47" s="70">
        <v>400</v>
      </c>
      <c r="F47" s="14" t="s">
        <v>257</v>
      </c>
      <c r="G47" s="11"/>
      <c r="H47" s="67"/>
      <c r="I47" s="12" t="s">
        <v>15</v>
      </c>
      <c r="J47" s="61"/>
      <c r="K47" s="71"/>
      <c r="L47" s="62"/>
      <c r="M47" s="15"/>
      <c r="N47" s="73"/>
      <c r="O47" s="15"/>
    </row>
    <row r="48" spans="1:15" x14ac:dyDescent="0.25">
      <c r="A48" s="16">
        <v>16654</v>
      </c>
      <c r="B48" s="49">
        <v>800</v>
      </c>
      <c r="C48" s="17" t="s">
        <v>230</v>
      </c>
      <c r="D48" s="13">
        <v>16690</v>
      </c>
      <c r="E48" s="70">
        <v>800</v>
      </c>
      <c r="F48" s="14" t="s">
        <v>191</v>
      </c>
      <c r="G48" s="11">
        <v>16748</v>
      </c>
      <c r="H48" s="67">
        <v>400</v>
      </c>
      <c r="I48" s="12" t="s">
        <v>82</v>
      </c>
      <c r="J48" s="61"/>
      <c r="K48" s="71"/>
      <c r="L48" s="62"/>
      <c r="M48" s="15"/>
      <c r="N48" s="73"/>
      <c r="O48" s="15"/>
    </row>
    <row r="49" spans="1:15" x14ac:dyDescent="0.25">
      <c r="A49" s="16"/>
      <c r="B49" s="49"/>
      <c r="C49" s="17" t="s">
        <v>20</v>
      </c>
      <c r="D49" s="13"/>
      <c r="E49" s="70"/>
      <c r="F49" s="14" t="s">
        <v>20</v>
      </c>
      <c r="G49" s="11">
        <v>16749</v>
      </c>
      <c r="H49" s="67">
        <v>400</v>
      </c>
      <c r="I49" s="12"/>
      <c r="J49" s="61"/>
      <c r="K49" s="71"/>
      <c r="L49" s="62"/>
      <c r="M49" s="15"/>
      <c r="N49" s="73"/>
      <c r="O49" s="15"/>
    </row>
    <row r="50" spans="1:15" x14ac:dyDescent="0.25">
      <c r="A50" s="16">
        <v>16655</v>
      </c>
      <c r="B50" s="49">
        <v>400</v>
      </c>
      <c r="C50" s="17"/>
      <c r="D50" s="13">
        <v>16691</v>
      </c>
      <c r="E50" s="70">
        <v>2000</v>
      </c>
      <c r="F50" s="14" t="s">
        <v>285</v>
      </c>
      <c r="G50" s="11">
        <v>16750</v>
      </c>
      <c r="H50" s="67">
        <v>600</v>
      </c>
      <c r="I50" s="12" t="s">
        <v>230</v>
      </c>
      <c r="J50" s="61"/>
      <c r="K50" s="71"/>
      <c r="L50" s="62"/>
      <c r="M50" s="15"/>
      <c r="N50" s="73"/>
      <c r="O50" s="15"/>
    </row>
    <row r="51" spans="1:15" x14ac:dyDescent="0.25">
      <c r="A51" s="16">
        <v>16656</v>
      </c>
      <c r="B51" s="49">
        <v>450</v>
      </c>
      <c r="C51" s="17" t="s">
        <v>281</v>
      </c>
      <c r="D51" s="13"/>
      <c r="E51" s="70"/>
      <c r="F51" s="14" t="s">
        <v>284</v>
      </c>
      <c r="G51" s="11"/>
      <c r="H51" s="67"/>
      <c r="I51" s="12" t="s">
        <v>23</v>
      </c>
      <c r="J51" s="61"/>
      <c r="K51" s="71"/>
      <c r="L51" s="62"/>
      <c r="M51" s="15"/>
      <c r="N51" s="73"/>
      <c r="O51" s="15"/>
    </row>
    <row r="52" spans="1:15" x14ac:dyDescent="0.25">
      <c r="A52" s="16"/>
      <c r="B52" s="49"/>
      <c r="C52" s="17" t="s">
        <v>280</v>
      </c>
      <c r="D52" s="13">
        <v>16692</v>
      </c>
      <c r="E52" s="70">
        <v>1200</v>
      </c>
      <c r="F52" s="14" t="s">
        <v>286</v>
      </c>
      <c r="G52" s="11">
        <v>16751</v>
      </c>
      <c r="H52" s="67">
        <v>2400</v>
      </c>
      <c r="I52" s="12" t="s">
        <v>166</v>
      </c>
      <c r="J52" s="61"/>
      <c r="K52" s="71"/>
      <c r="L52" s="62"/>
      <c r="M52" s="15"/>
      <c r="N52" s="73"/>
      <c r="O52" s="15"/>
    </row>
    <row r="53" spans="1:15" x14ac:dyDescent="0.25">
      <c r="A53" s="16">
        <v>16657</v>
      </c>
      <c r="B53" s="49">
        <v>400</v>
      </c>
      <c r="C53" s="17" t="s">
        <v>162</v>
      </c>
      <c r="D53" s="13"/>
      <c r="E53" s="70"/>
      <c r="F53" s="14" t="s">
        <v>20</v>
      </c>
      <c r="G53" s="11"/>
      <c r="H53" s="67"/>
      <c r="I53" s="12" t="s">
        <v>303</v>
      </c>
      <c r="J53" s="61"/>
      <c r="K53" s="71"/>
      <c r="L53" s="62"/>
      <c r="M53" s="15"/>
      <c r="N53" s="73"/>
      <c r="O53" s="15"/>
    </row>
    <row r="54" spans="1:15" x14ac:dyDescent="0.25">
      <c r="A54" s="16">
        <v>16658</v>
      </c>
      <c r="B54" s="49">
        <v>400</v>
      </c>
      <c r="C54" s="17"/>
      <c r="D54" s="13">
        <v>16693</v>
      </c>
      <c r="E54" s="70">
        <v>200</v>
      </c>
      <c r="F54" s="14" t="s">
        <v>287</v>
      </c>
      <c r="G54" s="11"/>
      <c r="H54" s="67"/>
      <c r="I54" s="12"/>
      <c r="J54" s="61"/>
      <c r="K54" s="71"/>
      <c r="L54" s="62"/>
      <c r="M54" s="15"/>
      <c r="N54" s="73"/>
      <c r="O54" s="15"/>
    </row>
    <row r="55" spans="1:15" x14ac:dyDescent="0.25">
      <c r="A55" s="16"/>
      <c r="B55" s="49"/>
      <c r="C55" s="17"/>
      <c r="D55" s="13">
        <v>16694</v>
      </c>
      <c r="E55" s="70">
        <v>800</v>
      </c>
      <c r="F55" s="14" t="s">
        <v>130</v>
      </c>
      <c r="G55" s="11"/>
      <c r="H55" s="67"/>
      <c r="I55" s="12"/>
      <c r="J55" s="115"/>
      <c r="K55" s="71"/>
      <c r="L55" s="62"/>
      <c r="M55" s="15"/>
      <c r="N55" s="73"/>
      <c r="O55" s="15"/>
    </row>
    <row r="56" spans="1:15" x14ac:dyDescent="0.25">
      <c r="A56" s="16"/>
      <c r="B56" s="49"/>
      <c r="C56" s="17"/>
      <c r="D56" s="13"/>
      <c r="E56" s="70"/>
      <c r="F56" s="14" t="s">
        <v>20</v>
      </c>
      <c r="G56" s="11"/>
      <c r="H56" s="67"/>
      <c r="I56" s="12"/>
      <c r="J56" s="61"/>
      <c r="K56" s="71"/>
      <c r="L56" s="62"/>
      <c r="M56" s="15"/>
      <c r="N56" s="73"/>
      <c r="O56" s="15"/>
    </row>
    <row r="57" spans="1:15" x14ac:dyDescent="0.25">
      <c r="A57" s="16"/>
      <c r="B57" s="49"/>
      <c r="C57" s="17"/>
      <c r="D57" s="13">
        <v>16695</v>
      </c>
      <c r="E57" s="70">
        <v>900</v>
      </c>
      <c r="F57" s="14" t="s">
        <v>208</v>
      </c>
      <c r="G57" s="11"/>
      <c r="H57" s="67"/>
      <c r="I57" s="12"/>
      <c r="J57" s="61"/>
      <c r="K57" s="71"/>
      <c r="L57" s="62"/>
      <c r="M57" s="15"/>
      <c r="N57" s="73"/>
      <c r="O57" s="15"/>
    </row>
    <row r="58" spans="1:15" x14ac:dyDescent="0.25">
      <c r="A58" s="16"/>
      <c r="B58" s="49"/>
      <c r="C58" s="17"/>
      <c r="D58" s="13"/>
      <c r="E58" s="70"/>
      <c r="F58" s="14" t="s">
        <v>23</v>
      </c>
      <c r="G58" s="11"/>
      <c r="H58" s="67"/>
      <c r="I58" s="12"/>
      <c r="J58" s="61"/>
      <c r="K58" s="71"/>
      <c r="L58" s="62"/>
      <c r="M58" s="15"/>
      <c r="N58" s="73"/>
      <c r="O58" s="15"/>
    </row>
    <row r="59" spans="1:15" x14ac:dyDescent="0.25">
      <c r="A59" s="16"/>
      <c r="B59" s="49"/>
      <c r="C59" s="17"/>
      <c r="D59" s="13">
        <v>16696</v>
      </c>
      <c r="E59" s="70">
        <v>400</v>
      </c>
      <c r="F59" s="14"/>
      <c r="G59" s="11"/>
      <c r="H59" s="67"/>
      <c r="I59" s="12"/>
      <c r="J59" s="61"/>
      <c r="K59" s="71"/>
      <c r="L59" s="62"/>
      <c r="M59" s="15"/>
      <c r="N59" s="73"/>
      <c r="O59" s="15"/>
    </row>
    <row r="60" spans="1:15" x14ac:dyDescent="0.25">
      <c r="A60" s="16"/>
      <c r="B60" s="49"/>
      <c r="C60" s="17"/>
      <c r="D60" s="13">
        <v>16697</v>
      </c>
      <c r="E60" s="70">
        <v>300</v>
      </c>
      <c r="F60" s="14"/>
      <c r="G60" s="11"/>
      <c r="H60" s="67"/>
      <c r="I60" s="12"/>
      <c r="J60" s="61"/>
      <c r="K60" s="71"/>
      <c r="L60" s="62"/>
      <c r="M60" s="15"/>
      <c r="N60" s="73"/>
      <c r="O60" s="15"/>
    </row>
    <row r="61" spans="1:15" x14ac:dyDescent="0.25">
      <c r="A61" s="16"/>
      <c r="B61" s="49"/>
      <c r="C61" s="17"/>
      <c r="D61" s="13">
        <v>16698</v>
      </c>
      <c r="E61" s="70">
        <v>400</v>
      </c>
      <c r="F61" s="14"/>
      <c r="G61" s="11"/>
      <c r="H61" s="67"/>
      <c r="I61" s="12"/>
      <c r="J61" s="61"/>
      <c r="K61" s="71"/>
      <c r="L61" s="62"/>
      <c r="M61" s="15"/>
      <c r="N61" s="73"/>
      <c r="O61" s="15"/>
    </row>
    <row r="62" spans="1:15" x14ac:dyDescent="0.25">
      <c r="A62" s="16"/>
      <c r="B62" s="49"/>
      <c r="C62" s="17"/>
      <c r="D62" s="13">
        <v>16699</v>
      </c>
      <c r="E62" s="70">
        <v>800</v>
      </c>
      <c r="F62" s="14" t="s">
        <v>191</v>
      </c>
      <c r="G62" s="11"/>
      <c r="H62" s="67"/>
      <c r="I62" s="12"/>
      <c r="J62" s="61"/>
      <c r="K62" s="71"/>
      <c r="L62" s="62"/>
      <c r="M62" s="15"/>
      <c r="N62" s="73"/>
      <c r="O62" s="15"/>
    </row>
    <row r="63" spans="1:15" x14ac:dyDescent="0.25">
      <c r="A63" s="16"/>
      <c r="B63" s="49"/>
      <c r="C63" s="17"/>
      <c r="D63" s="13"/>
      <c r="E63" s="70"/>
      <c r="F63" s="14" t="s">
        <v>20</v>
      </c>
      <c r="G63" s="11"/>
      <c r="H63" s="67"/>
      <c r="I63" s="12"/>
      <c r="J63" s="61"/>
      <c r="K63" s="71"/>
      <c r="L63" s="62"/>
      <c r="M63" s="15"/>
      <c r="N63" s="73"/>
      <c r="O63" s="15"/>
    </row>
    <row r="64" spans="1:15" x14ac:dyDescent="0.25">
      <c r="A64" s="16"/>
      <c r="B64" s="49"/>
      <c r="C64" s="17"/>
      <c r="D64" s="13">
        <v>16700</v>
      </c>
      <c r="E64" s="70">
        <v>400</v>
      </c>
      <c r="F64" s="14"/>
      <c r="G64" s="11"/>
      <c r="H64" s="67"/>
      <c r="I64" s="12"/>
      <c r="J64" s="61"/>
      <c r="K64" s="71"/>
      <c r="L64" s="62"/>
      <c r="M64" s="15"/>
      <c r="N64" s="73"/>
      <c r="O64" s="15"/>
    </row>
    <row r="65" spans="1:15" x14ac:dyDescent="0.25">
      <c r="A65" s="16"/>
      <c r="B65" s="49"/>
      <c r="C65" s="17"/>
      <c r="D65" s="13">
        <v>16701</v>
      </c>
      <c r="E65" s="70">
        <v>400</v>
      </c>
      <c r="F65" s="14"/>
      <c r="G65" s="11"/>
      <c r="H65" s="67"/>
      <c r="I65" s="12"/>
      <c r="J65" s="61"/>
      <c r="K65" s="71"/>
      <c r="L65" s="62"/>
      <c r="M65" s="15"/>
      <c r="N65" s="73"/>
      <c r="O65" s="15"/>
    </row>
    <row r="66" spans="1:15" x14ac:dyDescent="0.25">
      <c r="A66" s="16"/>
      <c r="B66" s="49"/>
      <c r="C66" s="17"/>
      <c r="D66" s="13">
        <v>16702</v>
      </c>
      <c r="E66" s="70">
        <v>200</v>
      </c>
      <c r="F66" s="14" t="s">
        <v>288</v>
      </c>
      <c r="G66" s="11"/>
      <c r="H66" s="67"/>
      <c r="I66" s="12"/>
      <c r="J66" s="61"/>
      <c r="K66" s="71"/>
      <c r="L66" s="62"/>
      <c r="M66" s="15"/>
      <c r="N66" s="73"/>
      <c r="O66" s="15"/>
    </row>
    <row r="67" spans="1:15" x14ac:dyDescent="0.25">
      <c r="A67" s="16"/>
      <c r="B67" s="49"/>
      <c r="C67" s="17"/>
      <c r="D67" s="13">
        <v>16703</v>
      </c>
      <c r="E67" s="70">
        <v>400</v>
      </c>
      <c r="F67" s="14" t="s">
        <v>289</v>
      </c>
      <c r="G67" s="11"/>
      <c r="H67" s="67"/>
      <c r="I67" s="12"/>
      <c r="J67" s="61"/>
      <c r="K67" s="71"/>
      <c r="L67" s="62"/>
      <c r="M67" s="15"/>
      <c r="N67" s="73"/>
      <c r="O67" s="15"/>
    </row>
    <row r="68" spans="1:15" x14ac:dyDescent="0.25">
      <c r="A68" s="16"/>
      <c r="B68" s="49"/>
      <c r="C68" s="17"/>
      <c r="D68" s="13">
        <v>16704</v>
      </c>
      <c r="E68" s="70">
        <v>300</v>
      </c>
      <c r="F68" s="14"/>
      <c r="G68" s="11"/>
      <c r="H68" s="67"/>
      <c r="I68" s="12"/>
      <c r="J68" s="61"/>
      <c r="K68" s="71"/>
      <c r="L68" s="62"/>
      <c r="M68" s="15"/>
      <c r="N68" s="73"/>
      <c r="O68" s="15"/>
    </row>
    <row r="69" spans="1:15" x14ac:dyDescent="0.25">
      <c r="A69" s="16"/>
      <c r="B69" s="49"/>
      <c r="C69" s="17"/>
      <c r="D69" s="13">
        <v>16705</v>
      </c>
      <c r="E69" s="70">
        <v>800</v>
      </c>
      <c r="F69" s="14" t="s">
        <v>191</v>
      </c>
      <c r="G69" s="11"/>
      <c r="H69" s="67"/>
      <c r="I69" s="12"/>
      <c r="J69" s="61"/>
      <c r="K69" s="71"/>
      <c r="L69" s="62"/>
      <c r="M69" s="15"/>
      <c r="N69" s="73"/>
      <c r="O69" s="15"/>
    </row>
    <row r="70" spans="1:15" x14ac:dyDescent="0.25">
      <c r="A70" s="16"/>
      <c r="B70" s="49"/>
      <c r="C70" s="17"/>
      <c r="D70" s="13"/>
      <c r="E70" s="70"/>
      <c r="F70" s="14" t="s">
        <v>20</v>
      </c>
      <c r="G70" s="11"/>
      <c r="H70" s="67"/>
      <c r="I70" s="12"/>
      <c r="J70" s="61"/>
      <c r="K70" s="71"/>
      <c r="L70" s="62"/>
      <c r="M70" s="15"/>
      <c r="N70" s="73"/>
      <c r="O70" s="15"/>
    </row>
    <row r="71" spans="1:15" x14ac:dyDescent="0.25">
      <c r="A71" s="16"/>
      <c r="B71" s="49"/>
      <c r="C71" s="17"/>
      <c r="D71" s="13">
        <v>16706</v>
      </c>
      <c r="E71" s="70">
        <v>400</v>
      </c>
      <c r="F71" s="14"/>
      <c r="G71" s="11"/>
      <c r="H71" s="67"/>
      <c r="I71" s="12"/>
      <c r="J71" s="61"/>
      <c r="K71" s="71"/>
      <c r="L71" s="62"/>
      <c r="M71" s="15"/>
      <c r="N71" s="73"/>
      <c r="O71" s="15"/>
    </row>
    <row r="72" spans="1:15" x14ac:dyDescent="0.25">
      <c r="A72" s="16"/>
      <c r="B72" s="49"/>
      <c r="C72" s="17"/>
      <c r="D72" s="13">
        <v>16707</v>
      </c>
      <c r="E72" s="70">
        <v>2400</v>
      </c>
      <c r="F72" s="14" t="s">
        <v>166</v>
      </c>
      <c r="G72" s="11"/>
      <c r="H72" s="67"/>
      <c r="I72" s="12"/>
      <c r="J72" s="61"/>
      <c r="K72" s="71"/>
      <c r="L72" s="62"/>
      <c r="M72" s="15"/>
      <c r="N72" s="73"/>
      <c r="O72" s="15"/>
    </row>
    <row r="73" spans="1:15" x14ac:dyDescent="0.25">
      <c r="A73" s="16"/>
      <c r="B73" s="49"/>
      <c r="C73" s="17"/>
      <c r="D73" s="13"/>
      <c r="E73" s="70"/>
      <c r="F73" s="14" t="s">
        <v>222</v>
      </c>
      <c r="G73" s="11"/>
      <c r="H73" s="67"/>
      <c r="I73" s="12"/>
      <c r="J73" s="61"/>
      <c r="K73" s="71"/>
      <c r="L73" s="62"/>
      <c r="M73" s="15"/>
      <c r="N73" s="73"/>
      <c r="O73" s="15"/>
    </row>
    <row r="74" spans="1:15" x14ac:dyDescent="0.25">
      <c r="A74" s="16"/>
      <c r="B74" s="49"/>
      <c r="C74" s="17"/>
      <c r="D74" s="13"/>
      <c r="E74" s="70"/>
      <c r="F74" s="14" t="s">
        <v>20</v>
      </c>
      <c r="G74" s="11"/>
      <c r="H74" s="67"/>
      <c r="I74" s="12"/>
      <c r="J74" s="61"/>
      <c r="K74" s="71"/>
      <c r="L74" s="62"/>
      <c r="M74" s="15"/>
      <c r="N74" s="73"/>
      <c r="O74" s="15"/>
    </row>
    <row r="75" spans="1:15" x14ac:dyDescent="0.25">
      <c r="A75" s="16"/>
      <c r="B75" s="49"/>
      <c r="C75" s="17"/>
      <c r="D75" s="13"/>
      <c r="E75" s="70"/>
      <c r="F75" s="14" t="s">
        <v>290</v>
      </c>
      <c r="G75" s="11"/>
      <c r="H75" s="67"/>
      <c r="I75" s="12"/>
      <c r="J75" s="61"/>
      <c r="K75" s="71"/>
      <c r="L75" s="62"/>
      <c r="M75" s="15"/>
      <c r="N75" s="73"/>
      <c r="O75" s="15"/>
    </row>
    <row r="76" spans="1:15" x14ac:dyDescent="0.25">
      <c r="A76" s="16"/>
      <c r="B76" s="49"/>
      <c r="C76" s="17"/>
      <c r="D76" s="13">
        <v>16708</v>
      </c>
      <c r="E76" s="70">
        <v>400</v>
      </c>
      <c r="F76" s="14" t="s">
        <v>206</v>
      </c>
      <c r="G76" s="11"/>
      <c r="H76" s="67"/>
      <c r="I76" s="12"/>
      <c r="J76" s="61"/>
      <c r="K76" s="71"/>
      <c r="L76" s="62"/>
      <c r="M76" s="15"/>
      <c r="N76" s="73"/>
      <c r="O76" s="15"/>
    </row>
    <row r="77" spans="1:15" x14ac:dyDescent="0.25">
      <c r="A77" s="16"/>
      <c r="B77" s="49"/>
      <c r="C77" s="17"/>
      <c r="D77" s="13"/>
      <c r="E77" s="70"/>
      <c r="F77" s="14" t="s">
        <v>15</v>
      </c>
      <c r="G77" s="11"/>
      <c r="H77" s="67"/>
      <c r="I77" s="12"/>
      <c r="J77" s="61"/>
      <c r="K77" s="71"/>
      <c r="L77" s="62"/>
      <c r="M77" s="15"/>
      <c r="N77" s="73"/>
      <c r="O77" s="15"/>
    </row>
    <row r="78" spans="1:15" x14ac:dyDescent="0.25">
      <c r="A78" s="16"/>
      <c r="B78" s="49"/>
      <c r="C78" s="17"/>
      <c r="D78" s="13">
        <v>16709</v>
      </c>
      <c r="E78" s="70">
        <v>400</v>
      </c>
      <c r="F78" s="14"/>
      <c r="G78" s="11"/>
      <c r="H78" s="67"/>
      <c r="I78" s="12"/>
      <c r="J78" s="61"/>
      <c r="K78" s="71"/>
      <c r="L78" s="62"/>
      <c r="M78" s="15"/>
      <c r="N78" s="73"/>
      <c r="O78" s="15"/>
    </row>
    <row r="79" spans="1:15" x14ac:dyDescent="0.25">
      <c r="A79" s="16"/>
      <c r="B79" s="49"/>
      <c r="C79" s="17"/>
      <c r="D79" s="13">
        <v>16710</v>
      </c>
      <c r="E79" s="70">
        <v>600</v>
      </c>
      <c r="F79" s="14" t="s">
        <v>155</v>
      </c>
      <c r="G79" s="11"/>
      <c r="H79" s="67"/>
      <c r="I79" s="12"/>
      <c r="J79" s="61"/>
      <c r="K79" s="71"/>
      <c r="L79" s="62"/>
      <c r="M79" s="15"/>
      <c r="N79" s="73"/>
      <c r="O79" s="15"/>
    </row>
    <row r="80" spans="1:15" x14ac:dyDescent="0.25">
      <c r="A80" s="16"/>
      <c r="B80" s="49"/>
      <c r="C80" s="17"/>
      <c r="D80" s="13"/>
      <c r="E80" s="70"/>
      <c r="F80" s="14" t="s">
        <v>15</v>
      </c>
      <c r="G80" s="11"/>
      <c r="H80" s="67"/>
      <c r="I80" s="12"/>
      <c r="J80" s="61"/>
      <c r="K80" s="71"/>
      <c r="L80" s="62"/>
      <c r="M80" s="15"/>
      <c r="N80" s="73"/>
      <c r="O80" s="15"/>
    </row>
    <row r="81" spans="1:15" x14ac:dyDescent="0.25">
      <c r="A81" s="16"/>
      <c r="B81" s="49"/>
      <c r="C81" s="17"/>
      <c r="D81" s="13">
        <v>16711</v>
      </c>
      <c r="E81" s="70">
        <v>100</v>
      </c>
      <c r="F81" s="14" t="s">
        <v>84</v>
      </c>
      <c r="G81" s="11"/>
      <c r="H81" s="67"/>
      <c r="I81" s="12"/>
      <c r="J81" s="61"/>
      <c r="K81" s="71"/>
      <c r="L81" s="62"/>
      <c r="M81" s="15"/>
      <c r="N81" s="73"/>
      <c r="O81" s="15"/>
    </row>
    <row r="82" spans="1:15" x14ac:dyDescent="0.25">
      <c r="A82" s="16"/>
      <c r="B82" s="49"/>
      <c r="C82" s="17"/>
      <c r="D82" s="13">
        <v>16712</v>
      </c>
      <c r="E82" s="70">
        <v>200</v>
      </c>
      <c r="F82" s="14" t="s">
        <v>213</v>
      </c>
      <c r="G82" s="11"/>
      <c r="H82" s="67"/>
      <c r="I82" s="12"/>
      <c r="J82" s="61"/>
      <c r="K82" s="71"/>
      <c r="L82" s="62"/>
      <c r="M82" s="15"/>
      <c r="N82" s="73"/>
      <c r="O82" s="15"/>
    </row>
    <row r="83" spans="1:15" x14ac:dyDescent="0.25">
      <c r="A83" s="16"/>
      <c r="B83" s="49"/>
      <c r="C83" s="17"/>
      <c r="D83" s="13">
        <v>16713</v>
      </c>
      <c r="E83" s="70">
        <v>800</v>
      </c>
      <c r="F83" s="14" t="s">
        <v>254</v>
      </c>
      <c r="G83" s="11"/>
      <c r="H83" s="67"/>
      <c r="I83" s="12"/>
      <c r="J83" s="61"/>
      <c r="K83" s="71"/>
      <c r="L83" s="62"/>
      <c r="M83" s="15"/>
      <c r="N83" s="73"/>
      <c r="O83" s="15"/>
    </row>
    <row r="84" spans="1:15" x14ac:dyDescent="0.25">
      <c r="A84" s="16"/>
      <c r="B84" s="49"/>
      <c r="C84" s="17"/>
      <c r="D84" s="13"/>
      <c r="E84" s="70"/>
      <c r="F84" s="14" t="s">
        <v>15</v>
      </c>
      <c r="G84" s="11"/>
      <c r="H84" s="67"/>
      <c r="I84" s="12"/>
      <c r="J84" s="61"/>
      <c r="K84" s="71"/>
      <c r="L84" s="62"/>
      <c r="M84" s="15"/>
      <c r="N84" s="73"/>
      <c r="O84" s="15"/>
    </row>
    <row r="85" spans="1:15" x14ac:dyDescent="0.25">
      <c r="A85" s="16"/>
      <c r="B85" s="49"/>
      <c r="C85" s="17"/>
      <c r="D85" s="13">
        <v>16714</v>
      </c>
      <c r="E85" s="70">
        <v>600</v>
      </c>
      <c r="F85" s="14" t="s">
        <v>191</v>
      </c>
      <c r="G85" s="11"/>
      <c r="H85" s="67"/>
      <c r="I85" s="12"/>
      <c r="J85" s="61"/>
      <c r="K85" s="71"/>
      <c r="L85" s="62"/>
      <c r="M85" s="15"/>
      <c r="N85" s="73"/>
      <c r="O85" s="15"/>
    </row>
    <row r="86" spans="1:15" x14ac:dyDescent="0.25">
      <c r="A86" s="26"/>
      <c r="B86" s="66"/>
      <c r="C86" s="58"/>
      <c r="D86" s="13"/>
      <c r="E86" s="70"/>
      <c r="F86" s="14" t="s">
        <v>23</v>
      </c>
      <c r="G86" s="11"/>
      <c r="H86" s="67"/>
      <c r="I86" s="12"/>
      <c r="J86" s="61"/>
      <c r="K86" s="71"/>
      <c r="L86" s="62"/>
      <c r="M86" s="58"/>
      <c r="N86" s="58"/>
      <c r="O86" s="58"/>
    </row>
    <row r="87" spans="1:15" x14ac:dyDescent="0.25">
      <c r="A87" s="26"/>
      <c r="B87" s="66"/>
      <c r="C87" s="58"/>
      <c r="D87" s="13">
        <v>16715</v>
      </c>
      <c r="E87" s="70">
        <v>3000</v>
      </c>
      <c r="F87" s="14" t="s">
        <v>291</v>
      </c>
      <c r="G87" s="11"/>
      <c r="H87" s="67"/>
      <c r="I87" s="12"/>
      <c r="J87" s="61"/>
      <c r="K87" s="71"/>
      <c r="L87" s="62"/>
      <c r="M87" s="58"/>
      <c r="N87" s="58"/>
      <c r="O87" s="58"/>
    </row>
    <row r="88" spans="1:15" x14ac:dyDescent="0.25">
      <c r="A88" s="26"/>
      <c r="B88" s="66"/>
      <c r="C88" s="58"/>
      <c r="D88" s="13"/>
      <c r="E88" s="70"/>
      <c r="F88" s="14" t="s">
        <v>292</v>
      </c>
      <c r="G88" s="11"/>
      <c r="H88" s="67"/>
      <c r="I88" s="12"/>
      <c r="J88" s="61"/>
      <c r="K88" s="71"/>
      <c r="L88" s="62"/>
      <c r="M88" s="58"/>
      <c r="N88" s="58"/>
      <c r="O88" s="58"/>
    </row>
    <row r="89" spans="1:15" x14ac:dyDescent="0.25">
      <c r="A89" s="26"/>
      <c r="B89" s="66"/>
      <c r="C89" s="58"/>
      <c r="D89" s="13">
        <v>16716</v>
      </c>
      <c r="E89" s="70">
        <v>500</v>
      </c>
      <c r="F89" s="14" t="s">
        <v>206</v>
      </c>
      <c r="G89" s="11"/>
      <c r="H89" s="67"/>
      <c r="I89" s="12"/>
      <c r="J89" s="61"/>
      <c r="K89" s="71"/>
      <c r="L89" s="62"/>
      <c r="M89" s="58"/>
      <c r="N89" s="58"/>
      <c r="O89" s="58"/>
    </row>
    <row r="90" spans="1:15" x14ac:dyDescent="0.25">
      <c r="A90" s="26"/>
      <c r="B90" s="66"/>
      <c r="C90" s="58"/>
      <c r="D90" s="13"/>
      <c r="E90" s="70"/>
      <c r="F90" s="14" t="s">
        <v>69</v>
      </c>
      <c r="G90" s="11"/>
      <c r="H90" s="67"/>
      <c r="I90" s="12"/>
      <c r="J90" s="61"/>
      <c r="K90" s="71"/>
      <c r="L90" s="62"/>
      <c r="M90" s="58"/>
      <c r="N90" s="58"/>
      <c r="O90" s="58"/>
    </row>
    <row r="91" spans="1:15" x14ac:dyDescent="0.25">
      <c r="A91" s="26"/>
      <c r="B91" s="66"/>
      <c r="C91" s="58"/>
      <c r="D91" s="13">
        <v>16717</v>
      </c>
      <c r="E91" s="70">
        <v>1200</v>
      </c>
      <c r="F91" s="14" t="s">
        <v>208</v>
      </c>
      <c r="G91" s="11"/>
      <c r="H91" s="67"/>
      <c r="I91" s="12"/>
      <c r="J91" s="61"/>
      <c r="K91" s="71"/>
      <c r="L91" s="62"/>
      <c r="M91" s="58"/>
      <c r="N91" s="58"/>
      <c r="O91" s="58"/>
    </row>
    <row r="92" spans="1:15" x14ac:dyDescent="0.25">
      <c r="A92" s="26"/>
      <c r="B92" s="66"/>
      <c r="C92" s="58"/>
      <c r="D92" s="13"/>
      <c r="E92" s="70"/>
      <c r="F92" s="14" t="s">
        <v>20</v>
      </c>
      <c r="G92" s="11"/>
      <c r="H92" s="67"/>
      <c r="I92" s="12"/>
      <c r="J92" s="61"/>
      <c r="K92" s="71"/>
      <c r="L92" s="62"/>
      <c r="M92" s="58"/>
      <c r="N92" s="58"/>
      <c r="O92" s="58"/>
    </row>
    <row r="93" spans="1:15" x14ac:dyDescent="0.25">
      <c r="A93" s="26"/>
      <c r="B93" s="66"/>
      <c r="C93" s="58"/>
      <c r="D93" s="13">
        <v>16718</v>
      </c>
      <c r="E93" s="70">
        <v>800</v>
      </c>
      <c r="F93" s="14" t="s">
        <v>230</v>
      </c>
      <c r="G93" s="11"/>
      <c r="H93" s="67"/>
      <c r="I93" s="12"/>
      <c r="J93" s="61"/>
      <c r="K93" s="71"/>
      <c r="L93" s="62"/>
      <c r="M93" s="58"/>
      <c r="N93" s="58"/>
      <c r="O93" s="58"/>
    </row>
    <row r="94" spans="1:15" x14ac:dyDescent="0.25">
      <c r="A94" s="26"/>
      <c r="B94" s="66"/>
      <c r="C94" s="58"/>
      <c r="D94" s="13"/>
      <c r="E94" s="70"/>
      <c r="F94" s="14" t="s">
        <v>20</v>
      </c>
      <c r="G94" s="11"/>
      <c r="H94" s="67"/>
      <c r="I94" s="12"/>
      <c r="J94" s="61"/>
      <c r="K94" s="71"/>
      <c r="L94" s="62"/>
      <c r="M94" s="58"/>
      <c r="N94" s="58"/>
      <c r="O94" s="58"/>
    </row>
    <row r="95" spans="1:15" x14ac:dyDescent="0.25">
      <c r="A95" s="26"/>
      <c r="B95" s="66"/>
      <c r="C95" s="58"/>
      <c r="D95" s="13">
        <v>16719</v>
      </c>
      <c r="E95" s="70">
        <v>700</v>
      </c>
      <c r="F95" s="14" t="s">
        <v>206</v>
      </c>
      <c r="G95" s="11"/>
      <c r="H95" s="67"/>
      <c r="I95" s="12"/>
      <c r="J95" s="61"/>
      <c r="K95" s="71"/>
      <c r="L95" s="62"/>
      <c r="M95" s="58"/>
      <c r="N95" s="58"/>
      <c r="O95" s="58"/>
    </row>
    <row r="96" spans="1:15" x14ac:dyDescent="0.25">
      <c r="A96" s="26"/>
      <c r="B96" s="66"/>
      <c r="C96" s="58"/>
      <c r="D96" s="13"/>
      <c r="E96" s="70"/>
      <c r="F96" s="14" t="s">
        <v>43</v>
      </c>
      <c r="G96" s="11"/>
      <c r="H96" s="67"/>
      <c r="I96" s="12"/>
      <c r="J96" s="61"/>
      <c r="K96" s="71"/>
      <c r="L96" s="62"/>
      <c r="M96" s="58"/>
      <c r="N96" s="58"/>
      <c r="O96" s="58"/>
    </row>
    <row r="97" spans="1:15" x14ac:dyDescent="0.25">
      <c r="A97" s="26"/>
      <c r="B97" s="66"/>
      <c r="C97" s="58"/>
      <c r="D97" s="13">
        <v>16720</v>
      </c>
      <c r="E97" s="70">
        <v>400</v>
      </c>
      <c r="F97" s="14"/>
      <c r="G97" s="11"/>
      <c r="H97" s="67"/>
      <c r="I97" s="12"/>
      <c r="J97" s="61"/>
      <c r="K97" s="71"/>
      <c r="L97" s="62"/>
      <c r="M97" s="58"/>
      <c r="N97" s="58"/>
      <c r="O97" s="58"/>
    </row>
    <row r="98" spans="1:15" x14ac:dyDescent="0.25">
      <c r="A98" s="26"/>
      <c r="B98" s="66"/>
      <c r="C98" s="58"/>
      <c r="D98" s="13">
        <v>16721</v>
      </c>
      <c r="E98" s="70">
        <v>400</v>
      </c>
      <c r="F98" s="14"/>
      <c r="G98" s="11"/>
      <c r="H98" s="67"/>
      <c r="I98" s="12"/>
      <c r="J98" s="61"/>
      <c r="K98" s="71"/>
      <c r="L98" s="62"/>
      <c r="M98" s="58"/>
      <c r="N98" s="58"/>
      <c r="O98" s="58"/>
    </row>
    <row r="99" spans="1:15" x14ac:dyDescent="0.25">
      <c r="A99" s="26"/>
      <c r="B99" s="66"/>
      <c r="C99" s="58"/>
      <c r="D99" s="13">
        <v>16722</v>
      </c>
      <c r="E99" s="70">
        <v>300</v>
      </c>
      <c r="F99" s="14"/>
      <c r="G99" s="11"/>
      <c r="H99" s="67"/>
      <c r="I99" s="12"/>
      <c r="J99" s="61"/>
      <c r="K99" s="71"/>
      <c r="L99" s="62"/>
      <c r="M99" s="58"/>
      <c r="N99" s="58"/>
      <c r="O99" s="58"/>
    </row>
    <row r="100" spans="1:15" x14ac:dyDescent="0.25">
      <c r="A100" s="26"/>
      <c r="B100" s="66"/>
      <c r="C100" s="58"/>
      <c r="D100" s="26"/>
      <c r="E100" s="74"/>
      <c r="F100" s="58"/>
      <c r="G100" s="26"/>
      <c r="H100" s="74"/>
      <c r="I100" s="58"/>
      <c r="J100" s="26"/>
      <c r="K100" s="74"/>
      <c r="L100" s="58"/>
      <c r="M100" s="58"/>
      <c r="N100" s="58"/>
      <c r="O100" s="58"/>
    </row>
    <row r="101" spans="1:15" x14ac:dyDescent="0.25">
      <c r="A101" s="26"/>
      <c r="B101" s="66"/>
      <c r="C101" s="58"/>
      <c r="D101" s="26"/>
      <c r="E101" s="74"/>
      <c r="F101" s="58"/>
      <c r="G101" s="26"/>
      <c r="H101" s="74"/>
      <c r="I101" s="58"/>
      <c r="J101" s="26"/>
      <c r="K101" s="74"/>
      <c r="L101" s="58"/>
      <c r="M101" s="58"/>
      <c r="N101" s="58"/>
      <c r="O101" s="58"/>
    </row>
    <row r="102" spans="1:15" x14ac:dyDescent="0.25">
      <c r="A102" s="26"/>
      <c r="B102" s="66"/>
      <c r="C102" s="58"/>
      <c r="D102" s="26"/>
      <c r="E102" s="74"/>
      <c r="F102" s="58"/>
      <c r="G102" s="26"/>
      <c r="H102" s="74"/>
      <c r="I102" s="58"/>
      <c r="J102" s="26"/>
      <c r="K102" s="74"/>
      <c r="L102" s="58"/>
      <c r="M102" s="58"/>
      <c r="N102" s="58"/>
      <c r="O102" s="58"/>
    </row>
    <row r="103" spans="1:15" x14ac:dyDescent="0.25">
      <c r="A103" s="26"/>
      <c r="B103" s="66"/>
      <c r="C103" s="58"/>
      <c r="D103" s="26"/>
      <c r="E103" s="74"/>
      <c r="F103" s="58"/>
      <c r="G103" s="26"/>
      <c r="H103" s="74"/>
      <c r="I103" s="58"/>
      <c r="J103" s="26"/>
      <c r="K103" s="74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74"/>
      <c r="F104" s="58"/>
      <c r="G104" s="26"/>
      <c r="H104" s="74"/>
      <c r="I104" s="58"/>
      <c r="J104" s="26"/>
      <c r="K104" s="74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74"/>
      <c r="F105" s="58"/>
      <c r="G105" s="26"/>
      <c r="H105" s="74"/>
      <c r="I105" s="58"/>
      <c r="J105" s="26"/>
      <c r="K105" s="74"/>
      <c r="L105" s="58"/>
      <c r="M105" s="58"/>
      <c r="N105" s="58"/>
      <c r="O105" s="58"/>
    </row>
    <row r="106" spans="1:15" x14ac:dyDescent="0.25">
      <c r="A106" s="26"/>
      <c r="B106" s="66"/>
      <c r="C106" s="58"/>
      <c r="D106" s="26"/>
      <c r="E106" s="74"/>
      <c r="F106" s="58"/>
      <c r="G106" s="26"/>
      <c r="H106" s="74"/>
      <c r="I106" s="58"/>
      <c r="J106" s="26"/>
      <c r="K106" s="74"/>
      <c r="L106" s="58"/>
      <c r="M106" s="58"/>
      <c r="N106" s="58"/>
      <c r="O106" s="58"/>
    </row>
    <row r="107" spans="1:15" x14ac:dyDescent="0.25">
      <c r="A107" s="26"/>
      <c r="B107" s="66"/>
      <c r="C107" s="58"/>
      <c r="D107" s="26"/>
      <c r="E107" s="74"/>
      <c r="F107" s="58"/>
      <c r="G107" s="26"/>
      <c r="H107" s="74"/>
      <c r="I107" s="58"/>
      <c r="J107" s="26"/>
      <c r="K107" s="74"/>
      <c r="L107" s="58"/>
      <c r="M107" s="58"/>
      <c r="N107" s="58"/>
      <c r="O107" s="58"/>
    </row>
    <row r="108" spans="1:15" x14ac:dyDescent="0.25">
      <c r="A108" s="26"/>
      <c r="B108" s="66"/>
      <c r="C108" s="58"/>
      <c r="D108" s="26"/>
      <c r="E108" s="74"/>
      <c r="F108" s="58"/>
      <c r="G108" s="26"/>
      <c r="H108" s="74"/>
      <c r="I108" s="58"/>
      <c r="J108" s="26"/>
      <c r="K108" s="74"/>
      <c r="L108" s="58"/>
      <c r="M108" s="58"/>
      <c r="N108" s="58"/>
      <c r="O108" s="58"/>
    </row>
    <row r="109" spans="1:15" x14ac:dyDescent="0.25">
      <c r="A109" s="26"/>
      <c r="B109" s="66"/>
      <c r="C109" s="58"/>
      <c r="D109" s="26"/>
      <c r="E109" s="74"/>
      <c r="F109" s="58"/>
      <c r="G109" s="26"/>
      <c r="H109" s="74"/>
      <c r="I109" s="144"/>
      <c r="J109" s="26"/>
      <c r="K109" s="74"/>
      <c r="L109" s="58"/>
      <c r="M109" s="58"/>
      <c r="N109" s="58"/>
      <c r="O109" s="58"/>
    </row>
    <row r="110" spans="1:15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58"/>
      <c r="N110" s="58"/>
      <c r="O110" s="58"/>
    </row>
    <row r="111" spans="1:15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58"/>
      <c r="N111" s="58"/>
      <c r="O111" s="58"/>
    </row>
    <row r="112" spans="1:15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58"/>
      <c r="N112" s="58"/>
      <c r="O112" s="58"/>
    </row>
    <row r="113" spans="1:15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74"/>
      <c r="F133" s="58"/>
      <c r="G133" s="26"/>
      <c r="H133" s="74"/>
      <c r="I133" s="58"/>
      <c r="J133" s="26"/>
      <c r="K133" s="74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74"/>
      <c r="F134" s="58"/>
      <c r="G134" s="26"/>
      <c r="H134" s="74"/>
      <c r="I134" s="58"/>
      <c r="J134" s="26"/>
      <c r="K134" s="74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74"/>
      <c r="F135" s="58"/>
      <c r="G135" s="26"/>
      <c r="H135" s="74"/>
      <c r="I135" s="58"/>
      <c r="J135" s="26"/>
      <c r="K135" s="74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74"/>
      <c r="F136" s="58"/>
      <c r="G136" s="26"/>
      <c r="H136" s="74"/>
      <c r="I136" s="58"/>
      <c r="J136" s="26"/>
      <c r="K136" s="74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74"/>
      <c r="F137" s="58"/>
      <c r="G137" s="26"/>
      <c r="H137" s="74"/>
      <c r="I137" s="58"/>
      <c r="J137" s="26"/>
      <c r="K137" s="74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74"/>
      <c r="F138" s="58"/>
      <c r="G138" s="26"/>
      <c r="H138" s="74"/>
      <c r="I138" s="58"/>
      <c r="J138" s="26"/>
      <c r="K138" s="74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74"/>
      <c r="F139" s="58"/>
      <c r="G139" s="26"/>
      <c r="H139" s="74"/>
      <c r="I139" s="58"/>
      <c r="J139" s="26"/>
      <c r="K139" s="74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74"/>
      <c r="F140" s="58"/>
      <c r="G140" s="26"/>
      <c r="H140" s="74"/>
      <c r="I140" s="58"/>
      <c r="J140" s="26"/>
      <c r="K140" s="74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74"/>
      <c r="F141" s="58"/>
      <c r="G141" s="26"/>
      <c r="H141" s="74"/>
      <c r="I141" s="58"/>
      <c r="J141" s="26"/>
      <c r="K141" s="74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74"/>
      <c r="F142" s="58"/>
      <c r="G142" s="26"/>
      <c r="H142" s="74"/>
      <c r="I142" s="58"/>
      <c r="J142" s="26"/>
      <c r="K142" s="74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74"/>
      <c r="F143" s="58"/>
      <c r="G143" s="26"/>
      <c r="H143" s="74"/>
      <c r="I143" s="58"/>
      <c r="J143" s="26"/>
      <c r="K143" s="74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74"/>
      <c r="F144" s="58"/>
      <c r="G144" s="26"/>
      <c r="H144" s="74"/>
      <c r="I144" s="58"/>
      <c r="J144" s="26"/>
      <c r="K144" s="74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74"/>
      <c r="F145" s="58"/>
      <c r="G145" s="26"/>
      <c r="H145" s="74"/>
      <c r="I145" s="58"/>
      <c r="J145" s="26"/>
      <c r="K145" s="74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74"/>
      <c r="F146" s="58"/>
      <c r="G146" s="26"/>
      <c r="H146" s="74"/>
      <c r="I146" s="58"/>
      <c r="J146" s="26"/>
      <c r="K146" s="74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74"/>
      <c r="F147" s="58"/>
      <c r="G147" s="26"/>
      <c r="H147" s="74"/>
      <c r="I147" s="58"/>
      <c r="J147" s="26"/>
      <c r="K147" s="74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74"/>
      <c r="F148" s="58"/>
      <c r="G148" s="26"/>
      <c r="H148" s="74"/>
      <c r="I148" s="58"/>
      <c r="J148" s="26"/>
      <c r="K148" s="74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74"/>
      <c r="F149" s="58"/>
      <c r="G149" s="26"/>
      <c r="H149" s="74"/>
      <c r="I149" s="58"/>
      <c r="J149" s="26"/>
      <c r="K149" s="74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74"/>
      <c r="F150" s="58"/>
      <c r="G150" s="26"/>
      <c r="H150" s="74"/>
      <c r="I150" s="58"/>
      <c r="J150" s="26"/>
      <c r="K150" s="74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74"/>
      <c r="F151" s="58"/>
      <c r="G151" s="26"/>
      <c r="H151" s="74"/>
      <c r="I151" s="58"/>
      <c r="J151" s="26"/>
      <c r="K151" s="74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74"/>
      <c r="F152" s="58"/>
      <c r="G152" s="26"/>
      <c r="H152" s="74"/>
      <c r="I152" s="58"/>
      <c r="J152" s="26"/>
      <c r="K152" s="74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74"/>
      <c r="I153" s="58"/>
      <c r="J153" s="26"/>
      <c r="K153" s="74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74"/>
      <c r="I154" s="58"/>
      <c r="J154" s="26"/>
      <c r="K154" s="74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74"/>
      <c r="F155" s="58"/>
      <c r="G155" s="26"/>
      <c r="H155" s="74"/>
      <c r="I155" s="58"/>
      <c r="J155" s="26"/>
      <c r="K155" s="74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74"/>
      <c r="I156" s="58"/>
      <c r="J156" s="26"/>
      <c r="K156" s="74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74"/>
      <c r="I157" s="58"/>
      <c r="J157" s="26"/>
      <c r="K157" s="74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74"/>
      <c r="I158" s="58"/>
      <c r="J158" s="26"/>
      <c r="K158" s="74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74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74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74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74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74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74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74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74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74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74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74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74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74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74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74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74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74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74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74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74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74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74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74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74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74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74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74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74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74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G5" workbookViewId="0">
      <pane ySplit="3" topLeftCell="A136" activePane="bottomLeft" state="frozen"/>
      <selection activeCell="A5" sqref="A5"/>
      <selection pane="bottomLeft" activeCell="A86" sqref="A86:P155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2" t="s">
        <v>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4" t="s">
        <v>11</v>
      </c>
      <c r="M1" s="12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5" t="s">
        <v>8</v>
      </c>
      <c r="D3" s="12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6" t="s">
        <v>0</v>
      </c>
      <c r="B5" s="126"/>
      <c r="C5" s="126"/>
      <c r="D5" s="127" t="s">
        <v>4</v>
      </c>
      <c r="E5" s="127"/>
      <c r="F5" s="127"/>
      <c r="G5" s="128" t="s">
        <v>5</v>
      </c>
      <c r="H5" s="128"/>
      <c r="I5" s="128"/>
      <c r="J5" s="133" t="s">
        <v>6</v>
      </c>
      <c r="K5" s="133"/>
      <c r="L5" s="133"/>
      <c r="M5" s="121" t="s">
        <v>12</v>
      </c>
      <c r="N5" s="121"/>
      <c r="O5" s="121"/>
      <c r="Q5" s="130" t="s">
        <v>13</v>
      </c>
      <c r="R5" s="130"/>
    </row>
    <row r="6" spans="1:18" x14ac:dyDescent="0.25">
      <c r="A6" s="8">
        <f>SUBTOTAL(3,A8:A121)</f>
        <v>37</v>
      </c>
      <c r="B6" s="8">
        <f>SUBTOTAL(9,B8:B135)</f>
        <v>18900</v>
      </c>
      <c r="C6" s="35">
        <v>43282</v>
      </c>
      <c r="D6" s="8">
        <f>SUBTOTAL(3,D8:D120)</f>
        <v>59</v>
      </c>
      <c r="E6" s="1">
        <f>SUBTOTAL(9,E8:E120)</f>
        <v>28075</v>
      </c>
      <c r="F6" s="38">
        <v>43289</v>
      </c>
      <c r="G6" s="8">
        <f>SUBTOTAL(3,G8:G121)</f>
        <v>30</v>
      </c>
      <c r="H6" s="1">
        <f>SUBTOTAL(9,H8:H121)</f>
        <v>12900</v>
      </c>
      <c r="I6" s="39">
        <v>43296</v>
      </c>
      <c r="J6" s="8">
        <f>SUBTOTAL(3,J8:J110)</f>
        <v>23</v>
      </c>
      <c r="K6" s="1">
        <f>SUBTOTAL(9,K8:K110)</f>
        <v>12550</v>
      </c>
      <c r="L6" s="63">
        <v>43303</v>
      </c>
      <c r="M6" s="1">
        <f>SUBTOTAL(3,M8:M120)</f>
        <v>27</v>
      </c>
      <c r="N6" s="1">
        <f>SUBTOTAL(9,N8:N120)</f>
        <v>14250</v>
      </c>
      <c r="O6" s="85">
        <v>43310</v>
      </c>
      <c r="P6" s="15"/>
      <c r="Q6" s="30">
        <f>+A6+D6+G6+J6+M6</f>
        <v>176</v>
      </c>
      <c r="R6" s="29">
        <f>+B6+E6+H6+K6+N6</f>
        <v>86675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16793</v>
      </c>
      <c r="B8" s="49">
        <v>400</v>
      </c>
      <c r="C8" s="17"/>
      <c r="D8" s="13">
        <v>16831</v>
      </c>
      <c r="E8" s="70">
        <v>400</v>
      </c>
      <c r="F8" s="14" t="s">
        <v>250</v>
      </c>
      <c r="G8" s="11">
        <v>16890</v>
      </c>
      <c r="H8" s="67">
        <v>600</v>
      </c>
      <c r="I8" s="12" t="s">
        <v>250</v>
      </c>
      <c r="J8" s="61">
        <v>16920</v>
      </c>
      <c r="K8" s="71">
        <v>800</v>
      </c>
      <c r="L8" s="62" t="s">
        <v>206</v>
      </c>
      <c r="M8" s="75">
        <v>16943</v>
      </c>
      <c r="N8" s="73">
        <v>300</v>
      </c>
      <c r="O8" s="15"/>
      <c r="Q8" s="32"/>
      <c r="R8" s="32"/>
    </row>
    <row r="9" spans="1:18" x14ac:dyDescent="0.25">
      <c r="A9" s="16">
        <v>16794</v>
      </c>
      <c r="B9" s="49">
        <v>200</v>
      </c>
      <c r="C9" s="17"/>
      <c r="D9" s="13">
        <v>16832</v>
      </c>
      <c r="E9" s="70">
        <v>400</v>
      </c>
      <c r="F9" s="14" t="s">
        <v>250</v>
      </c>
      <c r="G9" s="11">
        <v>16891</v>
      </c>
      <c r="H9" s="67">
        <v>200</v>
      </c>
      <c r="I9" s="12" t="s">
        <v>111</v>
      </c>
      <c r="J9" s="61"/>
      <c r="K9" s="71"/>
      <c r="L9" s="62" t="s">
        <v>20</v>
      </c>
      <c r="M9" s="75">
        <v>16944</v>
      </c>
      <c r="N9" s="73">
        <v>400</v>
      </c>
      <c r="O9" s="15"/>
    </row>
    <row r="10" spans="1:18" x14ac:dyDescent="0.25">
      <c r="A10" s="16">
        <v>16795</v>
      </c>
      <c r="B10" s="49">
        <v>400</v>
      </c>
      <c r="C10" s="17"/>
      <c r="D10" s="13">
        <v>16833</v>
      </c>
      <c r="E10" s="70"/>
      <c r="F10" s="112" t="s">
        <v>310</v>
      </c>
      <c r="G10" s="11">
        <v>16892</v>
      </c>
      <c r="H10" s="67">
        <v>800</v>
      </c>
      <c r="I10" s="12" t="s">
        <v>230</v>
      </c>
      <c r="J10" s="61">
        <v>16921</v>
      </c>
      <c r="K10" s="71">
        <v>400</v>
      </c>
      <c r="L10" s="62" t="s">
        <v>250</v>
      </c>
      <c r="M10" s="75">
        <v>16945</v>
      </c>
      <c r="N10" s="73">
        <v>800</v>
      </c>
      <c r="O10" s="15" t="s">
        <v>206</v>
      </c>
    </row>
    <row r="11" spans="1:18" x14ac:dyDescent="0.25">
      <c r="A11" s="16">
        <v>16796</v>
      </c>
      <c r="B11" s="49">
        <v>400</v>
      </c>
      <c r="C11" s="17"/>
      <c r="D11" s="13">
        <v>16834</v>
      </c>
      <c r="E11" s="70">
        <v>300</v>
      </c>
      <c r="F11" s="14" t="s">
        <v>310</v>
      </c>
      <c r="G11" s="11"/>
      <c r="H11" s="67"/>
      <c r="I11" s="12" t="s">
        <v>20</v>
      </c>
      <c r="J11" s="61">
        <v>16922</v>
      </c>
      <c r="K11" s="71">
        <v>600</v>
      </c>
      <c r="L11" s="62" t="s">
        <v>325</v>
      </c>
      <c r="M11" s="75"/>
      <c r="N11" s="73"/>
      <c r="O11" s="15" t="s">
        <v>20</v>
      </c>
    </row>
    <row r="12" spans="1:18" x14ac:dyDescent="0.25">
      <c r="A12" s="16">
        <v>16797</v>
      </c>
      <c r="B12" s="49">
        <v>400</v>
      </c>
      <c r="C12" s="17" t="s">
        <v>206</v>
      </c>
      <c r="D12" s="13"/>
      <c r="E12" s="70"/>
      <c r="F12" s="112" t="s">
        <v>311</v>
      </c>
      <c r="G12" s="11">
        <v>16893</v>
      </c>
      <c r="H12" s="67">
        <v>800</v>
      </c>
      <c r="I12" s="12" t="s">
        <v>130</v>
      </c>
      <c r="J12" s="61"/>
      <c r="K12" s="71"/>
      <c r="L12" s="62" t="s">
        <v>15</v>
      </c>
      <c r="M12" s="75">
        <v>16946</v>
      </c>
      <c r="N12" s="73">
        <v>600</v>
      </c>
      <c r="O12" s="15" t="s">
        <v>206</v>
      </c>
    </row>
    <row r="13" spans="1:18" x14ac:dyDescent="0.25">
      <c r="A13" s="16"/>
      <c r="B13" s="49"/>
      <c r="C13" s="17" t="s">
        <v>15</v>
      </c>
      <c r="D13" s="13">
        <v>16835</v>
      </c>
      <c r="E13" s="70"/>
      <c r="F13" s="14" t="s">
        <v>310</v>
      </c>
      <c r="G13" s="11"/>
      <c r="H13" s="67"/>
      <c r="I13" s="12" t="s">
        <v>20</v>
      </c>
      <c r="J13" s="61">
        <v>16923</v>
      </c>
      <c r="K13" s="71">
        <v>800</v>
      </c>
      <c r="L13" s="62" t="s">
        <v>307</v>
      </c>
      <c r="M13" s="75"/>
      <c r="N13" s="73"/>
      <c r="O13" s="15" t="s">
        <v>17</v>
      </c>
    </row>
    <row r="14" spans="1:18" x14ac:dyDescent="0.25">
      <c r="A14" s="16">
        <v>16798</v>
      </c>
      <c r="B14" s="49">
        <v>800</v>
      </c>
      <c r="C14" s="17" t="s">
        <v>206</v>
      </c>
      <c r="D14" s="13">
        <v>16836</v>
      </c>
      <c r="E14" s="70"/>
      <c r="F14" s="14" t="s">
        <v>310</v>
      </c>
      <c r="G14" s="11">
        <v>16894</v>
      </c>
      <c r="H14" s="67"/>
      <c r="I14" s="12" t="s">
        <v>27</v>
      </c>
      <c r="J14" s="61"/>
      <c r="K14" s="71"/>
      <c r="L14" s="62" t="s">
        <v>20</v>
      </c>
      <c r="M14" s="75">
        <v>16947</v>
      </c>
      <c r="N14" s="73">
        <v>300</v>
      </c>
      <c r="O14" s="31"/>
    </row>
    <row r="15" spans="1:18" x14ac:dyDescent="0.25">
      <c r="A15" s="16"/>
      <c r="B15" s="49"/>
      <c r="C15" s="17" t="s">
        <v>20</v>
      </c>
      <c r="D15" s="13">
        <v>16837</v>
      </c>
      <c r="E15" s="70">
        <v>200</v>
      </c>
      <c r="F15" s="14" t="s">
        <v>41</v>
      </c>
      <c r="G15" s="11">
        <v>16895</v>
      </c>
      <c r="H15" s="67">
        <v>400</v>
      </c>
      <c r="I15" s="12" t="s">
        <v>206</v>
      </c>
      <c r="J15" s="61">
        <v>16924</v>
      </c>
      <c r="K15" s="71">
        <v>400</v>
      </c>
      <c r="L15" s="62" t="s">
        <v>206</v>
      </c>
      <c r="M15" s="75">
        <v>16948</v>
      </c>
      <c r="N15" s="73">
        <v>600</v>
      </c>
      <c r="O15" s="15" t="s">
        <v>206</v>
      </c>
    </row>
    <row r="16" spans="1:18" x14ac:dyDescent="0.25">
      <c r="A16" s="16">
        <v>16799</v>
      </c>
      <c r="B16" s="49">
        <v>600</v>
      </c>
      <c r="C16" s="17" t="s">
        <v>304</v>
      </c>
      <c r="D16" s="13">
        <v>16838</v>
      </c>
      <c r="E16" s="70">
        <v>300</v>
      </c>
      <c r="F16" s="14" t="s">
        <v>250</v>
      </c>
      <c r="G16" s="11"/>
      <c r="H16" s="67"/>
      <c r="I16" s="12" t="s">
        <v>15</v>
      </c>
      <c r="J16" s="61"/>
      <c r="K16" s="71"/>
      <c r="L16" s="62" t="s">
        <v>15</v>
      </c>
      <c r="M16" s="75"/>
      <c r="N16" s="73"/>
      <c r="O16" s="15" t="s">
        <v>23</v>
      </c>
    </row>
    <row r="17" spans="1:15" x14ac:dyDescent="0.25">
      <c r="A17" s="16">
        <v>16800</v>
      </c>
      <c r="B17" s="49">
        <v>300</v>
      </c>
      <c r="C17" s="17" t="s">
        <v>250</v>
      </c>
      <c r="D17" s="13">
        <v>16839</v>
      </c>
      <c r="E17" s="70">
        <v>200</v>
      </c>
      <c r="F17" s="14" t="s">
        <v>213</v>
      </c>
      <c r="G17" s="11">
        <v>16896</v>
      </c>
      <c r="H17" s="67">
        <v>200</v>
      </c>
      <c r="I17" s="12" t="s">
        <v>321</v>
      </c>
      <c r="J17" s="61">
        <v>16925</v>
      </c>
      <c r="K17" s="71">
        <v>1050</v>
      </c>
      <c r="L17" s="62" t="s">
        <v>326</v>
      </c>
      <c r="M17" s="75">
        <v>16949</v>
      </c>
      <c r="N17" s="73">
        <v>200</v>
      </c>
      <c r="O17" s="15"/>
    </row>
    <row r="18" spans="1:15" x14ac:dyDescent="0.25">
      <c r="A18" s="16">
        <v>16801</v>
      </c>
      <c r="B18" s="49">
        <v>200</v>
      </c>
      <c r="C18" s="17" t="s">
        <v>41</v>
      </c>
      <c r="D18" s="13">
        <v>16940</v>
      </c>
      <c r="E18" s="70">
        <v>1000</v>
      </c>
      <c r="F18" s="33" t="s">
        <v>312</v>
      </c>
      <c r="G18" s="11">
        <v>16897</v>
      </c>
      <c r="H18" s="67">
        <v>600</v>
      </c>
      <c r="I18" s="12" t="s">
        <v>322</v>
      </c>
      <c r="J18" s="61"/>
      <c r="K18" s="71"/>
      <c r="L18" s="68" t="s">
        <v>43</v>
      </c>
      <c r="M18" s="75">
        <v>16950</v>
      </c>
      <c r="N18" s="73">
        <v>400</v>
      </c>
      <c r="O18" s="15"/>
    </row>
    <row r="19" spans="1:15" x14ac:dyDescent="0.25">
      <c r="A19" s="16">
        <v>16802</v>
      </c>
      <c r="B19" s="49">
        <v>300</v>
      </c>
      <c r="C19" s="17" t="s">
        <v>250</v>
      </c>
      <c r="D19" s="13"/>
      <c r="E19" s="70"/>
      <c r="F19" s="14" t="s">
        <v>138</v>
      </c>
      <c r="G19" s="11">
        <v>16898</v>
      </c>
      <c r="H19" s="67">
        <v>2000</v>
      </c>
      <c r="I19" s="12" t="s">
        <v>323</v>
      </c>
      <c r="J19" s="61">
        <v>16926</v>
      </c>
      <c r="K19" s="71">
        <v>400</v>
      </c>
      <c r="L19" s="62" t="s">
        <v>327</v>
      </c>
      <c r="M19" s="75">
        <v>16951</v>
      </c>
      <c r="N19" s="73">
        <v>1200</v>
      </c>
      <c r="O19" s="15" t="s">
        <v>315</v>
      </c>
    </row>
    <row r="20" spans="1:15" x14ac:dyDescent="0.25">
      <c r="A20" s="16">
        <v>16803</v>
      </c>
      <c r="B20" s="49">
        <v>800</v>
      </c>
      <c r="C20" s="17" t="s">
        <v>191</v>
      </c>
      <c r="D20" s="13">
        <v>16941</v>
      </c>
      <c r="E20" s="70">
        <v>400</v>
      </c>
      <c r="F20" s="14"/>
      <c r="G20" s="11"/>
      <c r="H20" s="67"/>
      <c r="I20" s="12" t="s">
        <v>20</v>
      </c>
      <c r="J20" s="61">
        <v>16927</v>
      </c>
      <c r="K20" s="71">
        <v>800</v>
      </c>
      <c r="L20" s="62" t="s">
        <v>328</v>
      </c>
      <c r="M20" s="75"/>
      <c r="N20" s="73"/>
      <c r="O20" s="15" t="s">
        <v>20</v>
      </c>
    </row>
    <row r="21" spans="1:15" x14ac:dyDescent="0.25">
      <c r="A21" s="16"/>
      <c r="B21" s="49"/>
      <c r="C21" s="17" t="s">
        <v>20</v>
      </c>
      <c r="D21" s="13">
        <v>16942</v>
      </c>
      <c r="E21" s="70">
        <v>300</v>
      </c>
      <c r="F21" s="14"/>
      <c r="G21" s="11">
        <v>16899</v>
      </c>
      <c r="H21" s="67">
        <v>50</v>
      </c>
      <c r="I21" s="12" t="s">
        <v>110</v>
      </c>
      <c r="J21" s="61"/>
      <c r="K21" s="71"/>
      <c r="L21" s="62" t="s">
        <v>20</v>
      </c>
      <c r="M21" s="75">
        <v>16952</v>
      </c>
      <c r="N21" s="73">
        <v>200</v>
      </c>
      <c r="O21" s="31" t="s">
        <v>41</v>
      </c>
    </row>
    <row r="22" spans="1:15" x14ac:dyDescent="0.25">
      <c r="A22" s="16">
        <v>16804</v>
      </c>
      <c r="B22" s="49">
        <v>400</v>
      </c>
      <c r="C22" s="17"/>
      <c r="D22" s="13">
        <v>16943</v>
      </c>
      <c r="E22" s="70">
        <v>400</v>
      </c>
      <c r="F22" s="14"/>
      <c r="G22" s="11">
        <v>16900</v>
      </c>
      <c r="H22" s="67">
        <v>200</v>
      </c>
      <c r="I22" s="12"/>
      <c r="J22" s="61">
        <v>16928</v>
      </c>
      <c r="K22" s="71">
        <v>400</v>
      </c>
      <c r="L22" s="62" t="s">
        <v>250</v>
      </c>
      <c r="M22" s="75">
        <v>16953</v>
      </c>
      <c r="N22" s="73">
        <v>400</v>
      </c>
      <c r="O22" s="15" t="s">
        <v>313</v>
      </c>
    </row>
    <row r="23" spans="1:15" x14ac:dyDescent="0.25">
      <c r="A23" s="16">
        <v>16805</v>
      </c>
      <c r="B23" s="49">
        <v>400</v>
      </c>
      <c r="C23" s="17"/>
      <c r="D23" s="13">
        <v>16944</v>
      </c>
      <c r="E23" s="70">
        <v>400</v>
      </c>
      <c r="F23" s="14"/>
      <c r="G23" s="11">
        <v>16901</v>
      </c>
      <c r="H23" s="67">
        <v>400</v>
      </c>
      <c r="I23" s="12" t="s">
        <v>206</v>
      </c>
      <c r="J23" s="61">
        <v>16929</v>
      </c>
      <c r="K23" s="71">
        <v>300</v>
      </c>
      <c r="L23" s="62"/>
      <c r="M23" s="75">
        <v>16954</v>
      </c>
      <c r="N23" s="73">
        <v>1200</v>
      </c>
      <c r="O23" s="15" t="s">
        <v>286</v>
      </c>
    </row>
    <row r="24" spans="1:15" x14ac:dyDescent="0.25">
      <c r="A24" s="16">
        <v>16806</v>
      </c>
      <c r="B24" s="49">
        <v>400</v>
      </c>
      <c r="C24" s="17" t="s">
        <v>305</v>
      </c>
      <c r="D24" s="13">
        <v>16945</v>
      </c>
      <c r="E24" s="70">
        <v>250</v>
      </c>
      <c r="F24" s="14"/>
      <c r="G24" s="11"/>
      <c r="H24" s="67"/>
      <c r="I24" s="12" t="s">
        <v>15</v>
      </c>
      <c r="J24" s="61">
        <v>16930</v>
      </c>
      <c r="K24" s="71">
        <v>200</v>
      </c>
      <c r="L24" s="62"/>
      <c r="M24" s="75"/>
      <c r="N24" s="73"/>
      <c r="O24" s="15" t="s">
        <v>20</v>
      </c>
    </row>
    <row r="25" spans="1:15" x14ac:dyDescent="0.25">
      <c r="A25" s="16"/>
      <c r="B25" s="49"/>
      <c r="C25" s="17" t="s">
        <v>15</v>
      </c>
      <c r="D25" s="13">
        <v>16946</v>
      </c>
      <c r="E25" s="70">
        <v>400</v>
      </c>
      <c r="F25" s="14"/>
      <c r="G25" s="11">
        <v>16902</v>
      </c>
      <c r="H25" s="67">
        <v>400</v>
      </c>
      <c r="I25" s="12"/>
      <c r="J25" s="61">
        <v>16931</v>
      </c>
      <c r="K25" s="71">
        <v>400</v>
      </c>
      <c r="L25" s="62"/>
      <c r="M25" s="75">
        <v>16955</v>
      </c>
      <c r="N25" s="73">
        <v>50</v>
      </c>
      <c r="O25" s="15" t="s">
        <v>110</v>
      </c>
    </row>
    <row r="26" spans="1:15" x14ac:dyDescent="0.25">
      <c r="A26" s="16">
        <v>16807</v>
      </c>
      <c r="B26" s="49">
        <v>600</v>
      </c>
      <c r="C26" s="17" t="s">
        <v>208</v>
      </c>
      <c r="D26" s="13">
        <v>16947</v>
      </c>
      <c r="E26" s="70">
        <v>400</v>
      </c>
      <c r="F26" s="14"/>
      <c r="G26" s="11">
        <v>16903</v>
      </c>
      <c r="H26" s="67">
        <v>50</v>
      </c>
      <c r="I26" s="12" t="s">
        <v>324</v>
      </c>
      <c r="J26" s="61">
        <v>16932</v>
      </c>
      <c r="K26" s="71">
        <v>400</v>
      </c>
      <c r="L26" s="62"/>
      <c r="M26" s="75">
        <v>16956</v>
      </c>
      <c r="N26" s="73">
        <v>400</v>
      </c>
      <c r="O26" s="15" t="s">
        <v>250</v>
      </c>
    </row>
    <row r="27" spans="1:15" x14ac:dyDescent="0.25">
      <c r="A27" s="16"/>
      <c r="B27" s="49"/>
      <c r="C27" s="17" t="s">
        <v>15</v>
      </c>
      <c r="D27" s="13">
        <v>16948</v>
      </c>
      <c r="E27" s="70">
        <v>100</v>
      </c>
      <c r="F27" s="14" t="s">
        <v>84</v>
      </c>
      <c r="G27" s="11">
        <v>16904</v>
      </c>
      <c r="H27" s="67">
        <v>600</v>
      </c>
      <c r="I27" s="12" t="s">
        <v>206</v>
      </c>
      <c r="J27" s="61">
        <v>16933</v>
      </c>
      <c r="K27" s="71">
        <v>250</v>
      </c>
      <c r="L27" s="62" t="s">
        <v>250</v>
      </c>
      <c r="M27" s="75">
        <v>16957</v>
      </c>
      <c r="N27" s="73">
        <v>200</v>
      </c>
      <c r="O27" s="31" t="s">
        <v>41</v>
      </c>
    </row>
    <row r="28" spans="1:15" x14ac:dyDescent="0.25">
      <c r="A28" s="16">
        <v>16808</v>
      </c>
      <c r="B28" s="49">
        <v>500</v>
      </c>
      <c r="C28" s="17"/>
      <c r="D28" s="13">
        <v>16949</v>
      </c>
      <c r="E28" s="70">
        <v>125</v>
      </c>
      <c r="F28" s="14"/>
      <c r="G28" s="11"/>
      <c r="H28" s="67"/>
      <c r="I28" s="12" t="s">
        <v>23</v>
      </c>
      <c r="J28" s="61">
        <v>16934</v>
      </c>
      <c r="K28" s="71">
        <v>50</v>
      </c>
      <c r="L28" s="62" t="s">
        <v>110</v>
      </c>
      <c r="M28" s="75">
        <v>16958</v>
      </c>
      <c r="N28" s="73">
        <v>400</v>
      </c>
      <c r="O28" s="15"/>
    </row>
    <row r="29" spans="1:15" x14ac:dyDescent="0.25">
      <c r="A29" s="16">
        <v>16809</v>
      </c>
      <c r="B29" s="49">
        <v>650</v>
      </c>
      <c r="C29" s="17" t="s">
        <v>306</v>
      </c>
      <c r="D29" s="13">
        <v>16950</v>
      </c>
      <c r="E29" s="70">
        <v>350</v>
      </c>
      <c r="F29" s="14"/>
      <c r="G29" s="11">
        <v>16905</v>
      </c>
      <c r="H29" s="67">
        <v>300</v>
      </c>
      <c r="I29" s="12"/>
      <c r="J29" s="61">
        <v>16935</v>
      </c>
      <c r="K29" s="71">
        <v>400</v>
      </c>
      <c r="L29" s="62"/>
      <c r="M29" s="75">
        <v>16959</v>
      </c>
      <c r="N29" s="73">
        <v>800</v>
      </c>
      <c r="O29" s="15" t="s">
        <v>206</v>
      </c>
    </row>
    <row r="30" spans="1:15" x14ac:dyDescent="0.25">
      <c r="A30" s="16"/>
      <c r="B30" s="49"/>
      <c r="C30" s="17" t="s">
        <v>23</v>
      </c>
      <c r="D30" s="13">
        <v>16851</v>
      </c>
      <c r="E30" s="70"/>
      <c r="F30" s="14" t="s">
        <v>27</v>
      </c>
      <c r="G30" s="11">
        <v>16906</v>
      </c>
      <c r="H30" s="67">
        <v>600</v>
      </c>
      <c r="I30" s="12" t="s">
        <v>206</v>
      </c>
      <c r="J30" s="61">
        <v>16936</v>
      </c>
      <c r="K30" s="71">
        <v>1600</v>
      </c>
      <c r="L30" s="62" t="s">
        <v>283</v>
      </c>
      <c r="M30" s="75"/>
      <c r="N30" s="73"/>
      <c r="O30" s="15" t="s">
        <v>20</v>
      </c>
    </row>
    <row r="31" spans="1:15" x14ac:dyDescent="0.25">
      <c r="A31" s="16">
        <v>16810</v>
      </c>
      <c r="B31" s="49">
        <v>600</v>
      </c>
      <c r="C31" s="17" t="s">
        <v>206</v>
      </c>
      <c r="D31" s="13">
        <v>16852</v>
      </c>
      <c r="E31" s="70">
        <v>400</v>
      </c>
      <c r="F31" s="14"/>
      <c r="G31" s="11"/>
      <c r="H31" s="67"/>
      <c r="I31" s="12" t="s">
        <v>23</v>
      </c>
      <c r="J31" s="61"/>
      <c r="K31" s="71"/>
      <c r="L31" s="62" t="s">
        <v>20</v>
      </c>
      <c r="M31" s="75">
        <v>16960</v>
      </c>
      <c r="N31" s="73">
        <v>400</v>
      </c>
      <c r="O31" s="15"/>
    </row>
    <row r="32" spans="1:15" x14ac:dyDescent="0.25">
      <c r="A32" s="16"/>
      <c r="B32" s="49"/>
      <c r="C32" s="17" t="s">
        <v>23</v>
      </c>
      <c r="D32" s="13">
        <v>16853</v>
      </c>
      <c r="E32" s="70">
        <v>400</v>
      </c>
      <c r="F32" s="14"/>
      <c r="G32" s="11">
        <v>16907</v>
      </c>
      <c r="H32" s="67">
        <v>400</v>
      </c>
      <c r="I32" s="12" t="s">
        <v>250</v>
      </c>
      <c r="J32" s="61">
        <v>16937</v>
      </c>
      <c r="K32" s="71">
        <v>200</v>
      </c>
      <c r="L32" s="62"/>
      <c r="M32" s="75">
        <v>16961</v>
      </c>
      <c r="N32" s="73">
        <v>200</v>
      </c>
      <c r="O32" s="15" t="s">
        <v>41</v>
      </c>
    </row>
    <row r="33" spans="1:15" x14ac:dyDescent="0.25">
      <c r="A33" s="16">
        <v>16811</v>
      </c>
      <c r="B33" s="49">
        <v>400</v>
      </c>
      <c r="C33" s="17"/>
      <c r="D33" s="13">
        <v>16854</v>
      </c>
      <c r="E33" s="70">
        <v>800</v>
      </c>
      <c r="F33" s="14" t="s">
        <v>307</v>
      </c>
      <c r="G33" s="11">
        <v>16908</v>
      </c>
      <c r="H33" s="67">
        <v>900</v>
      </c>
      <c r="I33" s="12" t="s">
        <v>315</v>
      </c>
      <c r="J33" s="61">
        <v>16938</v>
      </c>
      <c r="K33" s="71">
        <v>1200</v>
      </c>
      <c r="L33" s="62" t="s">
        <v>329</v>
      </c>
      <c r="M33" s="75">
        <v>16962</v>
      </c>
      <c r="N33" s="73">
        <v>2800</v>
      </c>
      <c r="O33" s="15" t="s">
        <v>291</v>
      </c>
    </row>
    <row r="34" spans="1:15" x14ac:dyDescent="0.25">
      <c r="A34" s="16">
        <v>16812</v>
      </c>
      <c r="B34" s="49">
        <v>800</v>
      </c>
      <c r="C34" s="17" t="s">
        <v>206</v>
      </c>
      <c r="D34" s="101">
        <v>16855</v>
      </c>
      <c r="E34" s="70">
        <v>600</v>
      </c>
      <c r="F34" s="14" t="s">
        <v>286</v>
      </c>
      <c r="G34" s="11"/>
      <c r="H34" s="67"/>
      <c r="I34" s="12" t="s">
        <v>23</v>
      </c>
      <c r="J34" s="61"/>
      <c r="K34" s="71"/>
      <c r="L34" s="62" t="s">
        <v>20</v>
      </c>
      <c r="M34" s="75"/>
      <c r="N34" s="73"/>
      <c r="O34" s="31" t="s">
        <v>20</v>
      </c>
    </row>
    <row r="35" spans="1:15" x14ac:dyDescent="0.25">
      <c r="A35" s="16"/>
      <c r="B35" s="49"/>
      <c r="C35" s="17" t="s">
        <v>20</v>
      </c>
      <c r="D35" s="13"/>
      <c r="E35" s="70"/>
      <c r="F35" s="14" t="s">
        <v>15</v>
      </c>
      <c r="G35" s="11">
        <v>16909</v>
      </c>
      <c r="H35" s="67">
        <v>400</v>
      </c>
      <c r="I35" s="12"/>
      <c r="J35" s="61">
        <v>16939</v>
      </c>
      <c r="K35" s="71">
        <v>400</v>
      </c>
      <c r="L35" s="62" t="s">
        <v>330</v>
      </c>
      <c r="M35" s="75">
        <v>16963</v>
      </c>
      <c r="N35" s="73">
        <v>200</v>
      </c>
      <c r="O35" s="15" t="s">
        <v>313</v>
      </c>
    </row>
    <row r="36" spans="1:15" x14ac:dyDescent="0.25">
      <c r="A36" s="16">
        <v>16813</v>
      </c>
      <c r="B36" s="49">
        <v>400</v>
      </c>
      <c r="C36" s="17" t="s">
        <v>213</v>
      </c>
      <c r="D36" s="13">
        <v>16856</v>
      </c>
      <c r="E36" s="70">
        <v>400</v>
      </c>
      <c r="F36" s="14"/>
      <c r="G36" s="11">
        <v>16910</v>
      </c>
      <c r="H36" s="67">
        <v>250</v>
      </c>
      <c r="I36" s="12"/>
      <c r="J36" s="61">
        <v>16940</v>
      </c>
      <c r="K36" s="71">
        <v>400</v>
      </c>
      <c r="L36" s="62" t="s">
        <v>307</v>
      </c>
      <c r="M36" s="75">
        <v>16964</v>
      </c>
      <c r="N36" s="73">
        <v>300</v>
      </c>
      <c r="O36" s="15" t="s">
        <v>250</v>
      </c>
    </row>
    <row r="37" spans="1:15" x14ac:dyDescent="0.25">
      <c r="A37" s="16">
        <v>16814</v>
      </c>
      <c r="B37" s="49">
        <v>400</v>
      </c>
      <c r="C37" s="17"/>
      <c r="D37" s="13">
        <v>16857</v>
      </c>
      <c r="E37" s="70">
        <v>800</v>
      </c>
      <c r="F37" s="14" t="s">
        <v>307</v>
      </c>
      <c r="G37" s="11">
        <v>16911</v>
      </c>
      <c r="H37" s="67">
        <v>200</v>
      </c>
      <c r="I37" s="12" t="s">
        <v>213</v>
      </c>
      <c r="J37" s="61"/>
      <c r="K37" s="71"/>
      <c r="L37" s="62" t="s">
        <v>15</v>
      </c>
      <c r="M37" s="75">
        <v>16965</v>
      </c>
      <c r="N37" s="73">
        <v>50</v>
      </c>
      <c r="O37" s="15" t="s">
        <v>110</v>
      </c>
    </row>
    <row r="38" spans="1:15" x14ac:dyDescent="0.25">
      <c r="A38" s="16">
        <v>16815</v>
      </c>
      <c r="B38" s="49">
        <v>400</v>
      </c>
      <c r="C38" s="17"/>
      <c r="D38" s="13"/>
      <c r="E38" s="70"/>
      <c r="F38" s="14" t="s">
        <v>20</v>
      </c>
      <c r="G38" s="11">
        <v>16912</v>
      </c>
      <c r="H38" s="67">
        <v>400</v>
      </c>
      <c r="I38" s="12"/>
      <c r="J38" s="61">
        <v>16941</v>
      </c>
      <c r="K38" s="71">
        <v>700</v>
      </c>
      <c r="L38" s="62" t="s">
        <v>328</v>
      </c>
      <c r="M38" s="75">
        <v>16966</v>
      </c>
      <c r="N38" s="73">
        <v>400</v>
      </c>
      <c r="O38" s="15" t="s">
        <v>250</v>
      </c>
    </row>
    <row r="39" spans="1:15" x14ac:dyDescent="0.25">
      <c r="A39" s="16">
        <v>16816</v>
      </c>
      <c r="B39" s="49">
        <v>800</v>
      </c>
      <c r="C39" s="17" t="s">
        <v>307</v>
      </c>
      <c r="D39" s="13">
        <v>16858</v>
      </c>
      <c r="E39" s="70">
        <v>850</v>
      </c>
      <c r="F39" s="14" t="s">
        <v>307</v>
      </c>
      <c r="G39" s="11">
        <v>16913</v>
      </c>
      <c r="H39" s="67">
        <v>400</v>
      </c>
      <c r="I39" s="12"/>
      <c r="J39" s="61"/>
      <c r="K39" s="71"/>
      <c r="L39" s="62" t="s">
        <v>43</v>
      </c>
      <c r="M39" s="75">
        <v>16967</v>
      </c>
      <c r="N39" s="73">
        <v>800</v>
      </c>
      <c r="O39" s="15" t="s">
        <v>230</v>
      </c>
    </row>
    <row r="40" spans="1:15" x14ac:dyDescent="0.25">
      <c r="A40" s="16"/>
      <c r="B40" s="49"/>
      <c r="C40" s="17" t="s">
        <v>20</v>
      </c>
      <c r="D40" s="13"/>
      <c r="E40" s="70"/>
      <c r="F40" s="14" t="s">
        <v>97</v>
      </c>
      <c r="G40" s="11">
        <v>16914</v>
      </c>
      <c r="H40" s="67">
        <v>300</v>
      </c>
      <c r="I40" s="12"/>
      <c r="J40" s="61">
        <v>16942</v>
      </c>
      <c r="K40" s="71">
        <v>400</v>
      </c>
      <c r="L40" s="62" t="s">
        <v>250</v>
      </c>
      <c r="M40" s="75"/>
      <c r="N40" s="73"/>
      <c r="O40" s="15" t="s">
        <v>20</v>
      </c>
    </row>
    <row r="41" spans="1:15" x14ac:dyDescent="0.25">
      <c r="A41" s="16">
        <v>16817</v>
      </c>
      <c r="B41" s="49">
        <v>800</v>
      </c>
      <c r="C41" s="17" t="s">
        <v>308</v>
      </c>
      <c r="D41" s="13">
        <v>16859</v>
      </c>
      <c r="E41" s="70">
        <v>1200</v>
      </c>
      <c r="F41" s="14" t="s">
        <v>286</v>
      </c>
      <c r="G41" s="11">
        <v>16915</v>
      </c>
      <c r="H41" s="67">
        <v>400</v>
      </c>
      <c r="I41" s="12" t="s">
        <v>250</v>
      </c>
      <c r="J41" s="61"/>
      <c r="K41" s="71"/>
      <c r="L41" s="62"/>
      <c r="M41" s="75">
        <v>16968</v>
      </c>
      <c r="N41" s="73">
        <v>200</v>
      </c>
      <c r="O41" s="15" t="s">
        <v>41</v>
      </c>
    </row>
    <row r="42" spans="1:15" x14ac:dyDescent="0.25">
      <c r="A42" s="16"/>
      <c r="B42" s="49"/>
      <c r="C42" s="17" t="s">
        <v>20</v>
      </c>
      <c r="D42" s="13"/>
      <c r="E42" s="70"/>
      <c r="F42" s="14" t="s">
        <v>20</v>
      </c>
      <c r="G42" s="11">
        <v>16916</v>
      </c>
      <c r="H42" s="67">
        <v>300</v>
      </c>
      <c r="I42" s="12"/>
      <c r="J42" s="61"/>
      <c r="K42" s="71"/>
      <c r="L42" s="62"/>
      <c r="M42" s="75">
        <v>16969</v>
      </c>
      <c r="N42" s="73">
        <v>450</v>
      </c>
      <c r="O42" s="15" t="s">
        <v>331</v>
      </c>
    </row>
    <row r="43" spans="1:15" x14ac:dyDescent="0.25">
      <c r="A43" s="16">
        <v>16818</v>
      </c>
      <c r="B43" s="49">
        <v>500</v>
      </c>
      <c r="C43" s="17" t="s">
        <v>230</v>
      </c>
      <c r="D43" s="13">
        <v>16960</v>
      </c>
      <c r="E43" s="70">
        <v>800</v>
      </c>
      <c r="F43" s="14" t="s">
        <v>230</v>
      </c>
      <c r="G43" s="11">
        <v>16917</v>
      </c>
      <c r="H43" s="67">
        <v>200</v>
      </c>
      <c r="I43" s="12" t="s">
        <v>250</v>
      </c>
      <c r="J43" s="61"/>
      <c r="K43" s="71"/>
      <c r="L43" s="62"/>
      <c r="M43" s="75"/>
      <c r="N43" s="73"/>
      <c r="O43" s="15" t="s">
        <v>36</v>
      </c>
    </row>
    <row r="44" spans="1:15" x14ac:dyDescent="0.25">
      <c r="A44" s="16"/>
      <c r="B44" s="49"/>
      <c r="C44" s="17" t="s">
        <v>69</v>
      </c>
      <c r="D44" s="13"/>
      <c r="E44" s="70"/>
      <c r="F44" s="14" t="s">
        <v>20</v>
      </c>
      <c r="G44" s="11">
        <v>16918</v>
      </c>
      <c r="H44" s="67">
        <v>50</v>
      </c>
      <c r="I44" s="12" t="s">
        <v>110</v>
      </c>
      <c r="J44" s="61"/>
      <c r="K44" s="71"/>
      <c r="L44" s="62"/>
      <c r="M44" s="75"/>
      <c r="N44" s="73"/>
      <c r="O44" s="15"/>
    </row>
    <row r="45" spans="1:15" x14ac:dyDescent="0.25">
      <c r="A45" s="16">
        <v>16819</v>
      </c>
      <c r="B45" s="49">
        <v>800</v>
      </c>
      <c r="C45" s="17" t="s">
        <v>230</v>
      </c>
      <c r="D45" s="13">
        <v>16961</v>
      </c>
      <c r="E45" s="70">
        <v>400</v>
      </c>
      <c r="F45" s="14" t="s">
        <v>206</v>
      </c>
      <c r="G45" s="11">
        <v>16919</v>
      </c>
      <c r="H45" s="67">
        <v>500</v>
      </c>
      <c r="I45" s="12" t="s">
        <v>206</v>
      </c>
      <c r="J45" s="61"/>
      <c r="K45" s="71"/>
      <c r="L45" s="62"/>
      <c r="M45" s="75"/>
      <c r="N45" s="73"/>
      <c r="O45" s="15"/>
    </row>
    <row r="46" spans="1:15" x14ac:dyDescent="0.25">
      <c r="A46" s="16"/>
      <c r="B46" s="49"/>
      <c r="C46" s="17" t="s">
        <v>20</v>
      </c>
      <c r="D46" s="13"/>
      <c r="E46" s="70"/>
      <c r="F46" s="14" t="s">
        <v>15</v>
      </c>
      <c r="G46" s="11"/>
      <c r="H46" s="67"/>
      <c r="I46" s="12" t="s">
        <v>69</v>
      </c>
      <c r="J46" s="61"/>
      <c r="K46" s="71"/>
      <c r="L46" s="62"/>
      <c r="M46" s="75"/>
      <c r="N46" s="73"/>
      <c r="O46" s="15"/>
    </row>
    <row r="47" spans="1:15" x14ac:dyDescent="0.25">
      <c r="A47" s="16">
        <v>16820</v>
      </c>
      <c r="B47" s="49">
        <v>50</v>
      </c>
      <c r="C47" s="17" t="s">
        <v>110</v>
      </c>
      <c r="D47" s="13">
        <v>16962</v>
      </c>
      <c r="E47" s="70">
        <v>1600</v>
      </c>
      <c r="F47" s="14" t="s">
        <v>309</v>
      </c>
      <c r="G47" s="11"/>
      <c r="H47" s="67"/>
      <c r="I47" s="12"/>
      <c r="J47" s="61"/>
      <c r="K47" s="71"/>
      <c r="L47" s="62"/>
      <c r="M47" s="75"/>
      <c r="N47" s="73"/>
      <c r="O47" s="15"/>
    </row>
    <row r="48" spans="1:15" x14ac:dyDescent="0.25">
      <c r="A48" s="16">
        <v>16821</v>
      </c>
      <c r="B48" s="49">
        <v>1200</v>
      </c>
      <c r="C48" s="17" t="s">
        <v>309</v>
      </c>
      <c r="D48" s="13"/>
      <c r="E48" s="70"/>
      <c r="F48" s="14" t="s">
        <v>20</v>
      </c>
      <c r="G48" s="11"/>
      <c r="H48" s="67"/>
      <c r="I48" s="12"/>
      <c r="J48" s="61"/>
      <c r="K48" s="71"/>
      <c r="L48" s="62"/>
      <c r="M48" s="75"/>
      <c r="N48" s="73"/>
      <c r="O48" s="15"/>
    </row>
    <row r="49" spans="1:15" x14ac:dyDescent="0.25">
      <c r="A49" s="16"/>
      <c r="B49" s="49"/>
      <c r="C49" s="17" t="s">
        <v>23</v>
      </c>
      <c r="D49" s="13">
        <v>16863</v>
      </c>
      <c r="E49" s="70">
        <v>200</v>
      </c>
      <c r="F49" s="14" t="s">
        <v>313</v>
      </c>
      <c r="G49" s="11"/>
      <c r="H49" s="67"/>
      <c r="I49" s="12"/>
      <c r="J49" s="61"/>
      <c r="K49" s="71"/>
      <c r="L49" s="62"/>
      <c r="M49" s="75"/>
      <c r="N49" s="73"/>
      <c r="O49" s="15"/>
    </row>
    <row r="50" spans="1:15" x14ac:dyDescent="0.25">
      <c r="A50" s="16">
        <v>16822</v>
      </c>
      <c r="B50" s="49">
        <v>300</v>
      </c>
      <c r="C50" s="17"/>
      <c r="D50" s="13">
        <v>16864</v>
      </c>
      <c r="E50" s="70">
        <v>400</v>
      </c>
      <c r="F50" s="14"/>
      <c r="G50" s="11"/>
      <c r="H50" s="67"/>
      <c r="I50" s="12"/>
      <c r="J50" s="61"/>
      <c r="K50" s="71"/>
      <c r="L50" s="62"/>
      <c r="M50" s="75"/>
      <c r="N50" s="73"/>
      <c r="O50" s="15"/>
    </row>
    <row r="51" spans="1:15" x14ac:dyDescent="0.25">
      <c r="A51" s="16">
        <v>16823</v>
      </c>
      <c r="B51" s="49">
        <v>400</v>
      </c>
      <c r="C51" s="17"/>
      <c r="D51" s="13">
        <v>16865</v>
      </c>
      <c r="E51" s="70">
        <v>200</v>
      </c>
      <c r="F51" s="14"/>
      <c r="G51" s="11"/>
      <c r="H51" s="67"/>
      <c r="I51" s="12"/>
      <c r="J51" s="61"/>
      <c r="K51" s="71"/>
      <c r="L51" s="62"/>
      <c r="M51" s="75"/>
      <c r="N51" s="73"/>
      <c r="O51" s="15"/>
    </row>
    <row r="52" spans="1:15" x14ac:dyDescent="0.25">
      <c r="A52" s="16">
        <v>16824</v>
      </c>
      <c r="B52" s="49">
        <v>800</v>
      </c>
      <c r="C52" s="17" t="s">
        <v>230</v>
      </c>
      <c r="D52" s="13">
        <v>16866</v>
      </c>
      <c r="E52" s="70">
        <v>900</v>
      </c>
      <c r="F52" s="14" t="s">
        <v>302</v>
      </c>
      <c r="G52" s="11"/>
      <c r="H52" s="67"/>
      <c r="I52" s="12"/>
      <c r="J52" s="61"/>
      <c r="K52" s="71"/>
      <c r="L52" s="68"/>
      <c r="M52" s="75"/>
      <c r="N52" s="73"/>
      <c r="O52" s="15"/>
    </row>
    <row r="53" spans="1:15" x14ac:dyDescent="0.25">
      <c r="A53" s="16"/>
      <c r="B53" s="49"/>
      <c r="C53" s="17" t="s">
        <v>20</v>
      </c>
      <c r="D53" s="13"/>
      <c r="E53" s="70"/>
      <c r="F53" s="14" t="s">
        <v>23</v>
      </c>
      <c r="G53" s="11"/>
      <c r="H53" s="67"/>
      <c r="I53" s="12"/>
      <c r="J53" s="61"/>
      <c r="K53" s="71"/>
      <c r="L53" s="62"/>
      <c r="M53" s="75"/>
      <c r="N53" s="73"/>
      <c r="O53" s="15"/>
    </row>
    <row r="54" spans="1:15" x14ac:dyDescent="0.25">
      <c r="A54" s="16">
        <v>16825</v>
      </c>
      <c r="B54" s="49">
        <v>300</v>
      </c>
      <c r="C54" s="17" t="s">
        <v>250</v>
      </c>
      <c r="D54" s="13">
        <v>16867</v>
      </c>
      <c r="E54" s="70">
        <v>400</v>
      </c>
      <c r="F54" s="14"/>
      <c r="G54" s="11"/>
      <c r="H54" s="67"/>
      <c r="I54" s="12"/>
      <c r="J54" s="61"/>
      <c r="K54" s="71"/>
      <c r="L54" s="62"/>
      <c r="M54" s="75"/>
      <c r="N54" s="73"/>
      <c r="O54" s="15"/>
    </row>
    <row r="55" spans="1:15" x14ac:dyDescent="0.25">
      <c r="A55" s="16">
        <v>16826</v>
      </c>
      <c r="B55" s="49">
        <v>400</v>
      </c>
      <c r="C55" s="17" t="s">
        <v>230</v>
      </c>
      <c r="D55" s="13">
        <v>16868</v>
      </c>
      <c r="E55" s="70">
        <v>600</v>
      </c>
      <c r="F55" s="14" t="s">
        <v>314</v>
      </c>
      <c r="G55" s="11"/>
      <c r="H55" s="67"/>
      <c r="I55" s="12"/>
      <c r="J55" s="61"/>
      <c r="K55" s="71"/>
      <c r="L55" s="62"/>
      <c r="M55" s="75"/>
      <c r="N55" s="73"/>
      <c r="O55" s="15"/>
    </row>
    <row r="56" spans="1:15" x14ac:dyDescent="0.25">
      <c r="A56" s="16"/>
      <c r="B56" s="49"/>
      <c r="C56" s="17" t="s">
        <v>15</v>
      </c>
      <c r="D56" s="13">
        <v>16869</v>
      </c>
      <c r="E56" s="70">
        <v>400</v>
      </c>
      <c r="F56" s="14" t="s">
        <v>213</v>
      </c>
      <c r="G56" s="11"/>
      <c r="H56" s="67"/>
      <c r="I56" s="12"/>
      <c r="J56" s="61"/>
      <c r="K56" s="71"/>
      <c r="L56" s="62"/>
      <c r="M56" s="75"/>
      <c r="N56" s="73"/>
      <c r="O56" s="15"/>
    </row>
    <row r="57" spans="1:15" x14ac:dyDescent="0.25">
      <c r="A57" s="16">
        <v>16827</v>
      </c>
      <c r="B57" s="49">
        <v>800</v>
      </c>
      <c r="C57" s="17" t="s">
        <v>230</v>
      </c>
      <c r="D57" s="13">
        <v>16870</v>
      </c>
      <c r="E57" s="70">
        <v>1200</v>
      </c>
      <c r="F57" s="14" t="s">
        <v>315</v>
      </c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/>
      <c r="B58" s="49"/>
      <c r="C58" s="17" t="s">
        <v>20</v>
      </c>
      <c r="D58" s="13"/>
      <c r="E58" s="70"/>
      <c r="F58" s="14" t="s">
        <v>20</v>
      </c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>
        <v>16828</v>
      </c>
      <c r="B59" s="49">
        <v>800</v>
      </c>
      <c r="C59" s="17" t="s">
        <v>230</v>
      </c>
      <c r="D59" s="13">
        <v>16871</v>
      </c>
      <c r="E59" s="70">
        <v>800</v>
      </c>
      <c r="F59" s="14" t="s">
        <v>206</v>
      </c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/>
      <c r="B60" s="49"/>
      <c r="C60" s="17" t="s">
        <v>20</v>
      </c>
      <c r="D60" s="13"/>
      <c r="E60" s="70"/>
      <c r="F60" s="14" t="s">
        <v>20</v>
      </c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>
        <v>16829</v>
      </c>
      <c r="B61" s="49">
        <v>200</v>
      </c>
      <c r="C61" s="17"/>
      <c r="D61" s="13">
        <v>16872</v>
      </c>
      <c r="E61" s="70">
        <v>400</v>
      </c>
      <c r="F61" s="14" t="s">
        <v>213</v>
      </c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/>
      <c r="B62" s="49"/>
      <c r="C62" s="17"/>
      <c r="D62" s="13">
        <v>16873</v>
      </c>
      <c r="E62" s="70">
        <v>200</v>
      </c>
      <c r="F62" s="14" t="s">
        <v>316</v>
      </c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/>
      <c r="B63" s="49"/>
      <c r="C63" s="17"/>
      <c r="D63" s="13">
        <v>16874</v>
      </c>
      <c r="E63" s="70">
        <v>800</v>
      </c>
      <c r="F63" s="14" t="s">
        <v>206</v>
      </c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/>
      <c r="B64" s="49"/>
      <c r="C64" s="17"/>
      <c r="D64" s="13"/>
      <c r="E64" s="70"/>
      <c r="F64" s="14" t="s">
        <v>317</v>
      </c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/>
      <c r="D65" s="13">
        <v>16875</v>
      </c>
      <c r="E65" s="70">
        <v>300</v>
      </c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/>
      <c r="B66" s="49"/>
      <c r="C66" s="17"/>
      <c r="D66" s="13">
        <v>16876</v>
      </c>
      <c r="E66" s="70">
        <v>1000</v>
      </c>
      <c r="F66" s="14" t="s">
        <v>318</v>
      </c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/>
      <c r="B67" s="49"/>
      <c r="C67" s="17"/>
      <c r="D67" s="13"/>
      <c r="E67" s="70"/>
      <c r="F67" s="14" t="s">
        <v>319</v>
      </c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/>
      <c r="D68" s="13">
        <v>16877</v>
      </c>
      <c r="E68" s="70">
        <v>400</v>
      </c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/>
      <c r="B69" s="49"/>
      <c r="C69" s="17"/>
      <c r="D69" s="13">
        <v>16878</v>
      </c>
      <c r="E69" s="70">
        <v>400</v>
      </c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/>
      <c r="D70" s="13">
        <v>16879</v>
      </c>
      <c r="E70" s="70">
        <v>200</v>
      </c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/>
      <c r="D71" s="13">
        <v>16880</v>
      </c>
      <c r="E71" s="70">
        <v>200</v>
      </c>
      <c r="F71" s="14" t="s">
        <v>41</v>
      </c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/>
      <c r="D72" s="13">
        <v>16881</v>
      </c>
      <c r="E72" s="70">
        <v>400</v>
      </c>
      <c r="F72" s="14" t="s">
        <v>230</v>
      </c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7"/>
      <c r="D73" s="13"/>
      <c r="E73" s="70"/>
      <c r="F73" s="14" t="s">
        <v>15</v>
      </c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/>
      <c r="D74" s="13">
        <v>16882</v>
      </c>
      <c r="E74" s="70">
        <v>400</v>
      </c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/>
      <c r="D75" s="13">
        <v>16883</v>
      </c>
      <c r="E75" s="70">
        <v>300</v>
      </c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/>
      <c r="D76" s="13">
        <v>16884</v>
      </c>
      <c r="E76" s="70">
        <v>600</v>
      </c>
      <c r="F76" s="14" t="s">
        <v>78</v>
      </c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/>
      <c r="D77" s="13"/>
      <c r="E77" s="70"/>
      <c r="F77" s="14" t="s">
        <v>57</v>
      </c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/>
      <c r="D78" s="13">
        <v>16885</v>
      </c>
      <c r="E78" s="70">
        <v>200</v>
      </c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/>
      <c r="D79" s="13">
        <v>16886</v>
      </c>
      <c r="E79" s="70">
        <v>600</v>
      </c>
      <c r="F79" s="14" t="s">
        <v>320</v>
      </c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>
        <v>16887</v>
      </c>
      <c r="E80" s="70">
        <v>800</v>
      </c>
      <c r="F80" s="14" t="s">
        <v>206</v>
      </c>
      <c r="G80" s="11"/>
      <c r="H80" s="67"/>
      <c r="I80" s="12"/>
      <c r="J80" s="61"/>
      <c r="K80" s="71"/>
      <c r="L80" s="62"/>
      <c r="M80" s="75"/>
      <c r="N80" s="73"/>
      <c r="O80" s="15"/>
    </row>
    <row r="81" spans="1:16" x14ac:dyDescent="0.25">
      <c r="A81" s="16"/>
      <c r="B81" s="49"/>
      <c r="C81" s="17"/>
      <c r="D81" s="13"/>
      <c r="E81" s="70"/>
      <c r="F81" s="14" t="s">
        <v>20</v>
      </c>
      <c r="G81" s="11"/>
      <c r="H81" s="67"/>
      <c r="I81" s="12"/>
      <c r="J81" s="61"/>
      <c r="K81" s="71"/>
      <c r="L81" s="62"/>
      <c r="M81" s="75"/>
      <c r="N81" s="73"/>
      <c r="O81" s="15"/>
    </row>
    <row r="82" spans="1:16" x14ac:dyDescent="0.25">
      <c r="A82" s="16"/>
      <c r="B82" s="49"/>
      <c r="C82" s="17"/>
      <c r="D82" s="13">
        <v>16888</v>
      </c>
      <c r="E82" s="70">
        <v>1200</v>
      </c>
      <c r="F82" s="14" t="s">
        <v>286</v>
      </c>
      <c r="G82" s="11"/>
      <c r="H82" s="67"/>
      <c r="I82" s="12"/>
      <c r="J82" s="61"/>
      <c r="K82" s="71"/>
      <c r="L82" s="62"/>
      <c r="M82" s="75"/>
      <c r="N82" s="73"/>
      <c r="O82" s="15"/>
    </row>
    <row r="83" spans="1:16" x14ac:dyDescent="0.25">
      <c r="A83" s="16"/>
      <c r="B83" s="49"/>
      <c r="C83" s="17"/>
      <c r="D83" s="13"/>
      <c r="E83" s="70"/>
      <c r="F83" s="14" t="s">
        <v>20</v>
      </c>
      <c r="G83" s="11"/>
      <c r="H83" s="67"/>
      <c r="I83" s="12"/>
      <c r="J83" s="61"/>
      <c r="K83" s="71"/>
      <c r="L83" s="62"/>
      <c r="M83" s="75"/>
      <c r="N83" s="73"/>
      <c r="O83" s="15"/>
    </row>
    <row r="84" spans="1:16" x14ac:dyDescent="0.25">
      <c r="A84" s="16"/>
      <c r="B84" s="49"/>
      <c r="C84" s="17"/>
      <c r="D84" s="13">
        <v>16889</v>
      </c>
      <c r="E84" s="70">
        <v>400</v>
      </c>
      <c r="F84" s="14" t="s">
        <v>250</v>
      </c>
      <c r="G84" s="11"/>
      <c r="H84" s="67"/>
      <c r="I84" s="12"/>
      <c r="J84" s="61"/>
      <c r="K84" s="71"/>
      <c r="L84" s="62"/>
      <c r="M84" s="75"/>
      <c r="N84" s="73"/>
      <c r="O84" s="15"/>
    </row>
    <row r="85" spans="1:16" x14ac:dyDescent="0.25">
      <c r="A85" s="16"/>
      <c r="B85" s="49"/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6" x14ac:dyDescent="0.25">
      <c r="A86" s="26"/>
      <c r="B86" s="66"/>
      <c r="C86" s="58"/>
      <c r="D86" s="26"/>
      <c r="E86" s="74"/>
      <c r="F86" s="58"/>
      <c r="G86" s="26"/>
      <c r="H86" s="74"/>
      <c r="I86" s="58"/>
      <c r="J86" s="26"/>
      <c r="K86" s="74"/>
      <c r="L86" s="58"/>
      <c r="M86" s="26"/>
      <c r="N86" s="74"/>
      <c r="O86" s="58"/>
      <c r="P86" s="58"/>
    </row>
    <row r="87" spans="1:16" x14ac:dyDescent="0.25">
      <c r="A87" s="26"/>
      <c r="B87" s="66"/>
      <c r="C87" s="58"/>
      <c r="D87" s="26"/>
      <c r="E87" s="74"/>
      <c r="F87" s="58"/>
      <c r="G87" s="26"/>
      <c r="H87" s="74"/>
      <c r="I87" s="58"/>
      <c r="J87" s="26"/>
      <c r="K87" s="74"/>
      <c r="L87" s="58"/>
      <c r="M87" s="26"/>
      <c r="N87" s="74"/>
      <c r="O87" s="58"/>
      <c r="P87" s="58"/>
    </row>
    <row r="88" spans="1:16" x14ac:dyDescent="0.25">
      <c r="A88" s="26"/>
      <c r="B88" s="66"/>
      <c r="C88" s="58"/>
      <c r="D88" s="26"/>
      <c r="E88" s="74"/>
      <c r="F88" s="58"/>
      <c r="G88" s="26"/>
      <c r="H88" s="74"/>
      <c r="I88" s="58"/>
      <c r="J88" s="26"/>
      <c r="K88" s="74"/>
      <c r="L88" s="58"/>
      <c r="M88" s="26"/>
      <c r="N88" s="74"/>
      <c r="O88" s="58"/>
      <c r="P88" s="58"/>
    </row>
    <row r="89" spans="1:16" x14ac:dyDescent="0.25">
      <c r="A89" s="26"/>
      <c r="B89" s="66"/>
      <c r="C89" s="58"/>
      <c r="D89" s="26"/>
      <c r="E89" s="74"/>
      <c r="F89" s="58"/>
      <c r="G89" s="26"/>
      <c r="H89" s="74"/>
      <c r="I89" s="58"/>
      <c r="J89" s="26"/>
      <c r="K89" s="74"/>
      <c r="L89" s="58"/>
      <c r="M89" s="26"/>
      <c r="N89" s="74"/>
      <c r="O89" s="58"/>
      <c r="P89" s="58"/>
    </row>
    <row r="90" spans="1:16" x14ac:dyDescent="0.25">
      <c r="A90" s="26"/>
      <c r="B90" s="66"/>
      <c r="C90" s="58"/>
      <c r="D90" s="26"/>
      <c r="E90" s="74"/>
      <c r="F90" s="58"/>
      <c r="G90" s="26"/>
      <c r="H90" s="74"/>
      <c r="I90" s="58"/>
      <c r="J90" s="26"/>
      <c r="K90" s="74"/>
      <c r="L90" s="58"/>
      <c r="M90" s="26"/>
      <c r="N90" s="74"/>
      <c r="O90" s="58"/>
      <c r="P90" s="58"/>
    </row>
    <row r="91" spans="1:16" x14ac:dyDescent="0.25">
      <c r="A91" s="26"/>
      <c r="B91" s="66"/>
      <c r="C91" s="58"/>
      <c r="D91" s="26"/>
      <c r="E91" s="74"/>
      <c r="F91" s="58"/>
      <c r="G91" s="26"/>
      <c r="H91" s="74"/>
      <c r="I91" s="58"/>
      <c r="J91" s="26"/>
      <c r="K91" s="74"/>
      <c r="L91" s="58"/>
      <c r="M91" s="26"/>
      <c r="N91" s="74"/>
      <c r="O91" s="58"/>
      <c r="P91" s="58"/>
    </row>
    <row r="92" spans="1:16" x14ac:dyDescent="0.25">
      <c r="A92" s="26"/>
      <c r="B92" s="66"/>
      <c r="C92" s="58"/>
      <c r="D92" s="26"/>
      <c r="E92" s="74"/>
      <c r="F92" s="58"/>
      <c r="G92" s="26"/>
      <c r="H92" s="74"/>
      <c r="I92" s="58"/>
      <c r="J92" s="26"/>
      <c r="K92" s="74"/>
      <c r="L92" s="58"/>
      <c r="M92" s="26"/>
      <c r="N92" s="74"/>
      <c r="O92" s="58"/>
      <c r="P92" s="58"/>
    </row>
    <row r="93" spans="1:16" x14ac:dyDescent="0.25">
      <c r="A93" s="26"/>
      <c r="B93" s="66"/>
      <c r="C93" s="58"/>
      <c r="D93" s="26"/>
      <c r="E93" s="74"/>
      <c r="F93" s="58"/>
      <c r="G93" s="26"/>
      <c r="H93" s="74"/>
      <c r="I93" s="58"/>
      <c r="J93" s="26"/>
      <c r="K93" s="74"/>
      <c r="L93" s="58"/>
      <c r="M93" s="26"/>
      <c r="N93" s="74"/>
      <c r="O93" s="58"/>
      <c r="P93" s="58"/>
    </row>
    <row r="94" spans="1:16" x14ac:dyDescent="0.25">
      <c r="A94" s="26"/>
      <c r="B94" s="66"/>
      <c r="C94" s="58"/>
      <c r="D94" s="26"/>
      <c r="E94" s="74"/>
      <c r="F94" s="58"/>
      <c r="G94" s="26"/>
      <c r="H94" s="74"/>
      <c r="I94" s="58"/>
      <c r="J94" s="26"/>
      <c r="K94" s="74"/>
      <c r="L94" s="58"/>
      <c r="M94" s="26"/>
      <c r="N94" s="74"/>
      <c r="O94" s="58"/>
      <c r="P94" s="58"/>
    </row>
    <row r="95" spans="1:16" x14ac:dyDescent="0.25">
      <c r="A95" s="26"/>
      <c r="B95" s="66"/>
      <c r="C95" s="58"/>
      <c r="D95" s="26"/>
      <c r="E95" s="74"/>
      <c r="F95" s="58"/>
      <c r="G95" s="26"/>
      <c r="H95" s="74"/>
      <c r="I95" s="58"/>
      <c r="J95" s="26"/>
      <c r="K95" s="74"/>
      <c r="L95" s="58"/>
      <c r="M95" s="26"/>
      <c r="N95" s="74"/>
      <c r="O95" s="58"/>
      <c r="P95" s="58"/>
    </row>
    <row r="96" spans="1:16" x14ac:dyDescent="0.25">
      <c r="A96" s="26"/>
      <c r="B96" s="66"/>
      <c r="C96" s="58"/>
      <c r="D96" s="26"/>
      <c r="E96" s="74"/>
      <c r="F96" s="58"/>
      <c r="G96" s="26"/>
      <c r="H96" s="74"/>
      <c r="I96" s="58"/>
      <c r="J96" s="26"/>
      <c r="K96" s="74"/>
      <c r="L96" s="58"/>
      <c r="M96" s="26"/>
      <c r="N96" s="74"/>
      <c r="O96" s="58"/>
      <c r="P96" s="58"/>
    </row>
    <row r="97" spans="1:16" x14ac:dyDescent="0.25">
      <c r="A97" s="26"/>
      <c r="B97" s="66"/>
      <c r="C97" s="58"/>
      <c r="D97" s="26"/>
      <c r="E97" s="74"/>
      <c r="F97" s="58"/>
      <c r="G97" s="26"/>
      <c r="H97" s="74"/>
      <c r="I97" s="58"/>
      <c r="J97" s="26"/>
      <c r="K97" s="74"/>
      <c r="L97" s="58"/>
      <c r="M97" s="26"/>
      <c r="N97" s="74"/>
      <c r="O97" s="58"/>
      <c r="P97" s="58"/>
    </row>
    <row r="98" spans="1:16" x14ac:dyDescent="0.25">
      <c r="A98" s="26"/>
      <c r="B98" s="66"/>
      <c r="C98" s="58"/>
      <c r="D98" s="26"/>
      <c r="E98" s="74"/>
      <c r="F98" s="58"/>
      <c r="G98" s="26"/>
      <c r="H98" s="74"/>
      <c r="I98" s="58"/>
      <c r="J98" s="26"/>
      <c r="K98" s="74"/>
      <c r="L98" s="58"/>
      <c r="M98" s="26"/>
      <c r="N98" s="74"/>
      <c r="O98" s="58"/>
      <c r="P98" s="58"/>
    </row>
    <row r="99" spans="1:16" x14ac:dyDescent="0.25">
      <c r="A99" s="26"/>
      <c r="B99" s="66"/>
      <c r="C99" s="58"/>
      <c r="D99" s="26"/>
      <c r="E99" s="74"/>
      <c r="F99" s="58"/>
      <c r="G99" s="26"/>
      <c r="H99" s="74"/>
      <c r="I99" s="58"/>
      <c r="J99" s="26"/>
      <c r="K99" s="74"/>
      <c r="L99" s="58"/>
      <c r="M99" s="26"/>
      <c r="N99" s="74"/>
      <c r="O99" s="58"/>
      <c r="P99" s="58"/>
    </row>
    <row r="100" spans="1:16" x14ac:dyDescent="0.25">
      <c r="A100" s="26"/>
      <c r="B100" s="66"/>
      <c r="C100" s="58"/>
      <c r="D100" s="26"/>
      <c r="E100" s="74"/>
      <c r="F100" s="58"/>
      <c r="G100" s="26"/>
      <c r="H100" s="74"/>
      <c r="I100" s="58"/>
      <c r="J100" s="26"/>
      <c r="K100" s="74"/>
      <c r="L100" s="58"/>
      <c r="M100" s="26"/>
      <c r="N100" s="74"/>
      <c r="O100" s="58"/>
      <c r="P100" s="58"/>
    </row>
    <row r="101" spans="1:16" x14ac:dyDescent="0.25">
      <c r="A101" s="26"/>
      <c r="B101" s="66"/>
      <c r="C101" s="58"/>
      <c r="D101" s="26"/>
      <c r="E101" s="74"/>
      <c r="F101" s="58"/>
      <c r="G101" s="26"/>
      <c r="H101" s="74"/>
      <c r="I101" s="58"/>
      <c r="J101" s="26"/>
      <c r="K101" s="74"/>
      <c r="L101" s="58"/>
      <c r="M101" s="26"/>
      <c r="N101" s="74"/>
      <c r="O101" s="58"/>
      <c r="P101" s="58"/>
    </row>
    <row r="102" spans="1:16" x14ac:dyDescent="0.25">
      <c r="A102" s="26"/>
      <c r="B102" s="66"/>
      <c r="C102" s="58"/>
      <c r="D102" s="26"/>
      <c r="E102" s="74"/>
      <c r="F102" s="58"/>
      <c r="G102" s="26"/>
      <c r="H102" s="74"/>
      <c r="I102" s="58"/>
      <c r="J102" s="26"/>
      <c r="K102" s="74"/>
      <c r="L102" s="58"/>
      <c r="M102" s="26"/>
      <c r="N102" s="74"/>
      <c r="O102" s="58"/>
      <c r="P102" s="58"/>
    </row>
    <row r="103" spans="1:16" x14ac:dyDescent="0.25">
      <c r="A103" s="26"/>
      <c r="B103" s="66"/>
      <c r="C103" s="58"/>
      <c r="D103" s="26"/>
      <c r="E103" s="74"/>
      <c r="F103" s="58"/>
      <c r="G103" s="26"/>
      <c r="H103" s="74"/>
      <c r="I103" s="58"/>
      <c r="J103" s="26"/>
      <c r="K103" s="74"/>
      <c r="L103" s="58"/>
      <c r="M103" s="26"/>
      <c r="N103" s="74"/>
      <c r="O103" s="58"/>
      <c r="P103" s="58"/>
    </row>
    <row r="104" spans="1:16" x14ac:dyDescent="0.25">
      <c r="A104" s="26"/>
      <c r="B104" s="66"/>
      <c r="C104" s="58"/>
      <c r="D104" s="26"/>
      <c r="E104" s="74"/>
      <c r="F104" s="58"/>
      <c r="G104" s="26"/>
      <c r="H104" s="74"/>
      <c r="I104" s="58"/>
      <c r="J104" s="26"/>
      <c r="K104" s="74"/>
      <c r="L104" s="58"/>
      <c r="M104" s="26"/>
      <c r="N104" s="74"/>
      <c r="O104" s="58"/>
      <c r="P104" s="58"/>
    </row>
    <row r="105" spans="1:16" x14ac:dyDescent="0.25">
      <c r="A105" s="26"/>
      <c r="B105" s="66"/>
      <c r="C105" s="58"/>
      <c r="D105" s="26"/>
      <c r="E105" s="74"/>
      <c r="F105" s="58"/>
      <c r="G105" s="26"/>
      <c r="H105" s="74"/>
      <c r="I105" s="58"/>
      <c r="J105" s="26"/>
      <c r="K105" s="74"/>
      <c r="L105" s="58"/>
      <c r="M105" s="26"/>
      <c r="N105" s="74"/>
      <c r="O105" s="58"/>
      <c r="P105" s="58"/>
    </row>
    <row r="106" spans="1:16" x14ac:dyDescent="0.25">
      <c r="A106" s="26"/>
      <c r="B106" s="66"/>
      <c r="C106" s="58"/>
      <c r="D106" s="26"/>
      <c r="E106" s="74"/>
      <c r="F106" s="58"/>
      <c r="G106" s="26"/>
      <c r="H106" s="74"/>
      <c r="I106" s="58"/>
      <c r="J106" s="26"/>
      <c r="K106" s="74"/>
      <c r="L106" s="58"/>
      <c r="M106" s="26"/>
      <c r="N106" s="74"/>
      <c r="O106" s="58"/>
      <c r="P106" s="58"/>
    </row>
    <row r="107" spans="1:16" x14ac:dyDescent="0.25">
      <c r="A107" s="26"/>
      <c r="B107" s="66"/>
      <c r="C107" s="58"/>
      <c r="D107" s="26"/>
      <c r="E107" s="74"/>
      <c r="F107" s="58"/>
      <c r="G107" s="26"/>
      <c r="H107" s="74"/>
      <c r="I107" s="58"/>
      <c r="J107" s="26"/>
      <c r="K107" s="74"/>
      <c r="L107" s="58"/>
      <c r="M107" s="26"/>
      <c r="N107" s="74"/>
      <c r="O107" s="58"/>
      <c r="P107" s="58"/>
    </row>
    <row r="108" spans="1:16" x14ac:dyDescent="0.25">
      <c r="A108" s="26"/>
      <c r="B108" s="66"/>
      <c r="C108" s="58"/>
      <c r="D108" s="26"/>
      <c r="E108" s="74"/>
      <c r="F108" s="58"/>
      <c r="G108" s="26"/>
      <c r="H108" s="74"/>
      <c r="I108" s="58"/>
      <c r="J108" s="26"/>
      <c r="K108" s="74"/>
      <c r="L108" s="58"/>
      <c r="M108" s="26"/>
      <c r="N108" s="74"/>
      <c r="O108" s="58"/>
      <c r="P108" s="58"/>
    </row>
    <row r="109" spans="1:16" x14ac:dyDescent="0.25">
      <c r="A109" s="26"/>
      <c r="B109" s="66"/>
      <c r="C109" s="58"/>
      <c r="D109" s="26"/>
      <c r="E109" s="74"/>
      <c r="F109" s="58"/>
      <c r="G109" s="26"/>
      <c r="H109" s="74"/>
      <c r="I109" s="58"/>
      <c r="J109" s="26"/>
      <c r="K109" s="74"/>
      <c r="L109" s="58"/>
      <c r="M109" s="26"/>
      <c r="N109" s="74"/>
      <c r="O109" s="58"/>
      <c r="P109" s="58"/>
    </row>
    <row r="110" spans="1:16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26"/>
      <c r="N110" s="74"/>
      <c r="O110" s="58"/>
      <c r="P110" s="58"/>
    </row>
    <row r="111" spans="1:16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26"/>
      <c r="N111" s="74"/>
      <c r="O111" s="58"/>
      <c r="P111" s="58"/>
    </row>
    <row r="112" spans="1:16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26"/>
      <c r="N112" s="74"/>
      <c r="O112" s="58"/>
      <c r="P112" s="58"/>
    </row>
    <row r="113" spans="1:16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26"/>
      <c r="N113" s="74"/>
      <c r="O113" s="58"/>
      <c r="P113" s="58"/>
    </row>
    <row r="114" spans="1:16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26"/>
      <c r="N114" s="74"/>
      <c r="O114" s="58"/>
      <c r="P114" s="58"/>
    </row>
    <row r="115" spans="1:16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26"/>
      <c r="N115" s="74"/>
      <c r="O115" s="58"/>
      <c r="P115" s="58"/>
    </row>
    <row r="116" spans="1:16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26"/>
      <c r="N116" s="74"/>
      <c r="O116" s="58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26"/>
      <c r="N117" s="74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26"/>
      <c r="N118" s="74"/>
      <c r="O118" s="58"/>
      <c r="P118" s="58"/>
    </row>
    <row r="119" spans="1:16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26"/>
      <c r="N119" s="74"/>
      <c r="O119" s="58"/>
      <c r="P119" s="58"/>
    </row>
    <row r="120" spans="1:16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26"/>
      <c r="N120" s="74"/>
      <c r="O120" s="58"/>
      <c r="P120" s="58"/>
    </row>
    <row r="121" spans="1:16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26"/>
      <c r="N121" s="74"/>
      <c r="O121" s="58"/>
      <c r="P121" s="58"/>
    </row>
    <row r="122" spans="1:16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26"/>
      <c r="N122" s="74"/>
      <c r="O122" s="58"/>
      <c r="P122" s="58"/>
    </row>
    <row r="123" spans="1:16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26"/>
      <c r="N123" s="74"/>
      <c r="O123" s="58"/>
      <c r="P123" s="58"/>
    </row>
    <row r="124" spans="1:16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26"/>
      <c r="N124" s="74"/>
      <c r="O124" s="58"/>
      <c r="P124" s="58"/>
    </row>
    <row r="125" spans="1:16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26"/>
      <c r="N125" s="74"/>
      <c r="O125" s="58"/>
      <c r="P125" s="58"/>
    </row>
    <row r="126" spans="1:16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26"/>
      <c r="N126" s="74"/>
      <c r="O126" s="58"/>
      <c r="P126" s="58"/>
    </row>
    <row r="127" spans="1:16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26"/>
      <c r="N127" s="74"/>
      <c r="O127" s="58"/>
      <c r="P127" s="58"/>
    </row>
    <row r="128" spans="1:16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26"/>
      <c r="N128" s="74"/>
      <c r="O128" s="58"/>
      <c r="P128" s="58"/>
    </row>
    <row r="129" spans="1:16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26"/>
      <c r="N129" s="74"/>
      <c r="O129" s="58"/>
      <c r="P129" s="58"/>
    </row>
    <row r="130" spans="1:16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26"/>
      <c r="N130" s="74"/>
      <c r="O130" s="58"/>
      <c r="P130" s="58"/>
    </row>
    <row r="131" spans="1:16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26"/>
      <c r="N131" s="74"/>
      <c r="O131" s="58"/>
      <c r="P131" s="58"/>
    </row>
    <row r="132" spans="1:16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26"/>
      <c r="N132" s="74"/>
      <c r="O132" s="58"/>
      <c r="P132" s="58"/>
    </row>
    <row r="133" spans="1:16" x14ac:dyDescent="0.25">
      <c r="A133" s="26"/>
      <c r="B133" s="66"/>
      <c r="C133" s="58"/>
      <c r="D133" s="26"/>
      <c r="E133" s="74"/>
      <c r="F133" s="58"/>
      <c r="G133" s="26"/>
      <c r="H133" s="74"/>
      <c r="I133" s="58"/>
      <c r="J133" s="26"/>
      <c r="K133" s="74"/>
      <c r="L133" s="58"/>
      <c r="M133" s="26"/>
      <c r="N133" s="74"/>
      <c r="O133" s="58"/>
      <c r="P133" s="58"/>
    </row>
    <row r="134" spans="1:16" x14ac:dyDescent="0.25">
      <c r="A134" s="26"/>
      <c r="B134" s="66"/>
      <c r="C134" s="58"/>
      <c r="D134" s="26"/>
      <c r="E134" s="74"/>
      <c r="F134" s="58"/>
      <c r="G134" s="26"/>
      <c r="H134" s="74"/>
      <c r="I134" s="58"/>
      <c r="J134" s="26"/>
      <c r="K134" s="74"/>
      <c r="L134" s="58"/>
      <c r="M134" s="26"/>
      <c r="N134" s="74"/>
      <c r="O134" s="58"/>
      <c r="P134" s="58"/>
    </row>
    <row r="135" spans="1:16" x14ac:dyDescent="0.25">
      <c r="A135" s="26"/>
      <c r="B135" s="66"/>
      <c r="C135" s="58"/>
      <c r="D135" s="26"/>
      <c r="E135" s="74"/>
      <c r="F135" s="58"/>
      <c r="G135" s="26"/>
      <c r="H135" s="74"/>
      <c r="I135" s="58"/>
      <c r="J135" s="26"/>
      <c r="K135" s="74"/>
      <c r="L135" s="58"/>
      <c r="M135" s="26"/>
      <c r="N135" s="74"/>
      <c r="O135" s="58"/>
      <c r="P135" s="58"/>
    </row>
    <row r="136" spans="1:16" x14ac:dyDescent="0.25">
      <c r="A136" s="26"/>
      <c r="B136" s="66"/>
      <c r="C136" s="58"/>
      <c r="D136" s="26"/>
      <c r="E136" s="74"/>
      <c r="F136" s="58"/>
      <c r="G136" s="26"/>
      <c r="H136" s="74"/>
      <c r="I136" s="58"/>
      <c r="J136" s="26"/>
      <c r="K136" s="74"/>
      <c r="L136" s="58"/>
      <c r="M136" s="26"/>
      <c r="N136" s="74"/>
      <c r="O136" s="58"/>
      <c r="P136" s="58"/>
    </row>
    <row r="137" spans="1:16" x14ac:dyDescent="0.25">
      <c r="A137" s="26"/>
      <c r="B137" s="58"/>
      <c r="C137" s="58"/>
      <c r="D137" s="26"/>
      <c r="E137" s="58"/>
      <c r="F137" s="58"/>
      <c r="G137" s="26"/>
      <c r="H137" s="58"/>
      <c r="I137" s="58"/>
      <c r="J137" s="58"/>
      <c r="K137" s="58"/>
      <c r="L137" s="58"/>
      <c r="M137" s="58"/>
      <c r="N137" s="58"/>
      <c r="O137" s="58"/>
      <c r="P137" s="58"/>
    </row>
    <row r="138" spans="1:16" x14ac:dyDescent="0.25">
      <c r="A138" s="26"/>
      <c r="B138" s="58"/>
      <c r="C138" s="58"/>
      <c r="D138" s="26"/>
      <c r="E138" s="58"/>
      <c r="F138" s="58"/>
      <c r="G138" s="26"/>
      <c r="H138" s="58"/>
      <c r="I138" s="58"/>
      <c r="J138" s="58"/>
      <c r="K138" s="58"/>
      <c r="L138" s="58"/>
      <c r="M138" s="58"/>
      <c r="N138" s="58"/>
      <c r="O138" s="58"/>
      <c r="P138" s="58"/>
    </row>
    <row r="139" spans="1:16" x14ac:dyDescent="0.25">
      <c r="A139" s="26"/>
      <c r="B139" s="58"/>
      <c r="C139" s="58"/>
      <c r="D139" s="26"/>
      <c r="E139" s="58"/>
      <c r="F139" s="58"/>
      <c r="G139" s="26"/>
      <c r="H139" s="58"/>
      <c r="I139" s="58"/>
      <c r="J139" s="58"/>
      <c r="K139" s="58"/>
      <c r="L139" s="58"/>
      <c r="M139" s="58"/>
      <c r="N139" s="58"/>
      <c r="O139" s="58"/>
      <c r="P139" s="58"/>
    </row>
    <row r="140" spans="1:16" x14ac:dyDescent="0.25">
      <c r="A140" s="26"/>
      <c r="B140" s="58"/>
      <c r="C140" s="58"/>
      <c r="D140" s="26"/>
      <c r="E140" s="58"/>
      <c r="F140" s="58"/>
      <c r="G140" s="26"/>
      <c r="H140" s="58"/>
      <c r="I140" s="58"/>
      <c r="J140" s="58"/>
      <c r="K140" s="58"/>
      <c r="L140" s="58"/>
      <c r="M140" s="58"/>
      <c r="N140" s="58"/>
      <c r="O140" s="58"/>
      <c r="P140" s="58"/>
    </row>
    <row r="141" spans="1:16" x14ac:dyDescent="0.25">
      <c r="A141" s="26"/>
      <c r="B141" s="58"/>
      <c r="C141" s="58"/>
      <c r="D141" s="26"/>
      <c r="E141" s="58"/>
      <c r="F141" s="58"/>
      <c r="G141" s="26"/>
      <c r="H141" s="58"/>
      <c r="I141" s="58"/>
      <c r="J141" s="58"/>
      <c r="K141" s="58"/>
      <c r="L141" s="58"/>
      <c r="M141" s="58"/>
      <c r="N141" s="58"/>
      <c r="O141" s="58"/>
      <c r="P141" s="58"/>
    </row>
    <row r="142" spans="1:16" x14ac:dyDescent="0.25">
      <c r="A142" s="26"/>
      <c r="B142" s="58"/>
      <c r="C142" s="58"/>
      <c r="D142" s="26"/>
      <c r="E142" s="58"/>
      <c r="F142" s="58"/>
      <c r="G142" s="26"/>
      <c r="H142" s="58"/>
      <c r="I142" s="58"/>
      <c r="J142" s="58"/>
      <c r="K142" s="58"/>
      <c r="L142" s="58"/>
      <c r="M142" s="58"/>
      <c r="N142" s="58"/>
      <c r="O142" s="58"/>
      <c r="P142" s="58"/>
    </row>
    <row r="143" spans="1:16" x14ac:dyDescent="0.25">
      <c r="A143" s="26"/>
      <c r="B143" s="58"/>
      <c r="C143" s="58"/>
      <c r="D143" s="26"/>
      <c r="E143" s="58"/>
      <c r="F143" s="58"/>
      <c r="G143" s="26"/>
      <c r="H143" s="58"/>
      <c r="I143" s="58"/>
      <c r="J143" s="58"/>
      <c r="K143" s="58"/>
      <c r="L143" s="58"/>
      <c r="M143" s="58"/>
      <c r="N143" s="58"/>
      <c r="O143" s="58"/>
      <c r="P143" s="58"/>
    </row>
    <row r="144" spans="1:16" x14ac:dyDescent="0.25">
      <c r="A144" s="26"/>
      <c r="B144" s="58"/>
      <c r="C144" s="58"/>
      <c r="D144" s="26"/>
      <c r="E144" s="58"/>
      <c r="F144" s="58"/>
      <c r="G144" s="26"/>
      <c r="H144" s="58"/>
      <c r="I144" s="58"/>
      <c r="J144" s="58"/>
      <c r="K144" s="58"/>
      <c r="L144" s="58"/>
      <c r="M144" s="58"/>
      <c r="N144" s="58"/>
      <c r="O144" s="58"/>
      <c r="P144" s="58"/>
    </row>
    <row r="145" spans="1:16" x14ac:dyDescent="0.25">
      <c r="A145" s="26"/>
      <c r="B145" s="58"/>
      <c r="C145" s="58"/>
      <c r="D145" s="26"/>
      <c r="E145" s="58"/>
      <c r="F145" s="58"/>
      <c r="G145" s="26"/>
      <c r="H145" s="58"/>
      <c r="I145" s="58"/>
      <c r="J145" s="58"/>
      <c r="K145" s="58"/>
      <c r="L145" s="58"/>
      <c r="M145" s="58"/>
      <c r="N145" s="58"/>
      <c r="O145" s="58"/>
      <c r="P145" s="58"/>
    </row>
    <row r="146" spans="1:16" x14ac:dyDescent="0.25">
      <c r="A146" s="26"/>
      <c r="B146" s="58"/>
      <c r="C146" s="58"/>
      <c r="D146" s="26"/>
      <c r="E146" s="58"/>
      <c r="F146" s="58"/>
      <c r="G146" s="26"/>
      <c r="H146" s="58"/>
      <c r="I146" s="58"/>
      <c r="J146" s="58"/>
      <c r="K146" s="58"/>
      <c r="L146" s="58"/>
      <c r="M146" s="58"/>
      <c r="N146" s="58"/>
      <c r="O146" s="58"/>
      <c r="P146" s="58"/>
    </row>
    <row r="147" spans="1:16" x14ac:dyDescent="0.25">
      <c r="A147" s="26"/>
      <c r="B147" s="58"/>
      <c r="C147" s="58"/>
      <c r="D147" s="26"/>
      <c r="E147" s="58"/>
      <c r="F147" s="58"/>
      <c r="G147" s="26"/>
      <c r="H147" s="58"/>
      <c r="I147" s="58"/>
      <c r="J147" s="58"/>
      <c r="K147" s="58"/>
      <c r="L147" s="58"/>
      <c r="M147" s="58"/>
      <c r="N147" s="58"/>
      <c r="O147" s="58"/>
      <c r="P147" s="58"/>
    </row>
    <row r="148" spans="1:16" x14ac:dyDescent="0.25">
      <c r="A148" s="26"/>
      <c r="B148" s="58"/>
      <c r="C148" s="58"/>
      <c r="D148" s="26"/>
      <c r="E148" s="58"/>
      <c r="F148" s="58"/>
      <c r="G148" s="26"/>
      <c r="H148" s="58"/>
      <c r="I148" s="58"/>
      <c r="J148" s="58"/>
      <c r="K148" s="58"/>
      <c r="L148" s="58"/>
      <c r="M148" s="58"/>
      <c r="N148" s="58"/>
      <c r="O148" s="58"/>
      <c r="P148" s="58"/>
    </row>
    <row r="149" spans="1:16" x14ac:dyDescent="0.25">
      <c r="A149" s="26"/>
      <c r="B149" s="58"/>
      <c r="C149" s="58"/>
      <c r="D149" s="26"/>
      <c r="E149" s="58"/>
      <c r="F149" s="58"/>
      <c r="G149" s="26"/>
      <c r="H149" s="58"/>
      <c r="I149" s="58"/>
      <c r="J149" s="58"/>
      <c r="K149" s="58"/>
      <c r="L149" s="58"/>
      <c r="M149" s="58"/>
      <c r="N149" s="58"/>
      <c r="O149" s="58"/>
      <c r="P149" s="58"/>
    </row>
    <row r="150" spans="1:16" x14ac:dyDescent="0.25">
      <c r="A150" s="26"/>
      <c r="B150" s="58"/>
      <c r="C150" s="58"/>
      <c r="D150" s="26"/>
      <c r="E150" s="58"/>
      <c r="F150" s="58"/>
      <c r="G150" s="26"/>
      <c r="H150" s="58"/>
      <c r="I150" s="58"/>
      <c r="J150" s="58"/>
      <c r="K150" s="58"/>
      <c r="L150" s="58"/>
      <c r="M150" s="58"/>
      <c r="N150" s="58"/>
      <c r="O150" s="58"/>
      <c r="P150" s="58"/>
    </row>
    <row r="151" spans="1:16" x14ac:dyDescent="0.25">
      <c r="A151" s="26"/>
      <c r="B151" s="58"/>
      <c r="C151" s="58"/>
      <c r="D151" s="26"/>
      <c r="E151" s="58"/>
      <c r="F151" s="58"/>
      <c r="G151" s="26"/>
      <c r="H151" s="58"/>
      <c r="I151" s="58"/>
      <c r="J151" s="58"/>
      <c r="K151" s="58"/>
      <c r="L151" s="58"/>
      <c r="M151" s="58"/>
      <c r="N151" s="58"/>
      <c r="O151" s="58"/>
      <c r="P151" s="58"/>
    </row>
    <row r="152" spans="1:16" x14ac:dyDescent="0.25">
      <c r="A152" s="26"/>
      <c r="B152" s="58"/>
      <c r="C152" s="58"/>
      <c r="D152" s="26"/>
      <c r="E152" s="58"/>
      <c r="F152" s="58"/>
      <c r="G152" s="26"/>
      <c r="H152" s="58"/>
      <c r="I152" s="58"/>
      <c r="J152" s="58"/>
      <c r="K152" s="58"/>
      <c r="L152" s="58"/>
      <c r="M152" s="58"/>
      <c r="N152" s="58"/>
      <c r="O152" s="58"/>
      <c r="P152" s="58"/>
    </row>
    <row r="153" spans="1:16" x14ac:dyDescent="0.25">
      <c r="A153" s="26"/>
      <c r="B153" s="58"/>
      <c r="C153" s="58"/>
      <c r="D153" s="26"/>
      <c r="E153" s="58"/>
      <c r="F153" s="58"/>
      <c r="G153" s="26"/>
      <c r="H153" s="58"/>
      <c r="I153" s="58"/>
      <c r="J153" s="58"/>
      <c r="K153" s="58"/>
      <c r="L153" s="58"/>
      <c r="M153" s="58"/>
      <c r="N153" s="58"/>
      <c r="O153" s="58"/>
      <c r="P153" s="58"/>
    </row>
    <row r="154" spans="1:16" x14ac:dyDescent="0.25">
      <c r="A154" s="26"/>
      <c r="B154" s="58"/>
      <c r="C154" s="58"/>
      <c r="D154" s="26"/>
      <c r="E154" s="58"/>
      <c r="F154" s="58"/>
      <c r="G154" s="26"/>
      <c r="H154" s="58"/>
      <c r="I154" s="58"/>
      <c r="J154" s="58"/>
      <c r="K154" s="58"/>
      <c r="L154" s="58"/>
      <c r="M154" s="58"/>
      <c r="N154" s="58"/>
      <c r="O154" s="58"/>
      <c r="P154" s="58"/>
    </row>
    <row r="155" spans="1:16" x14ac:dyDescent="0.25">
      <c r="A155" s="26"/>
      <c r="B155" s="58"/>
      <c r="C155" s="58"/>
      <c r="D155" s="26"/>
      <c r="E155" s="58"/>
      <c r="F155" s="58"/>
      <c r="G155" s="26"/>
      <c r="H155" s="58"/>
      <c r="I155" s="58"/>
      <c r="J155" s="58"/>
      <c r="K155" s="58"/>
      <c r="L155" s="58"/>
      <c r="M155" s="58"/>
      <c r="N155" s="58"/>
      <c r="O155" s="58"/>
      <c r="P155" s="58"/>
    </row>
    <row r="156" spans="1:16" x14ac:dyDescent="0.25">
      <c r="A156" s="26"/>
      <c r="B156" s="58"/>
      <c r="C156" s="58"/>
      <c r="D156" s="26"/>
      <c r="E156" s="58"/>
      <c r="F156" s="58"/>
      <c r="G156" s="26"/>
      <c r="H156" s="58"/>
      <c r="I156" s="58"/>
      <c r="J156" s="58"/>
      <c r="K156" s="58"/>
      <c r="L156" s="58"/>
    </row>
    <row r="157" spans="1:16" x14ac:dyDescent="0.25">
      <c r="A157" s="26"/>
      <c r="B157" s="58"/>
      <c r="C157" s="58"/>
      <c r="D157" s="26"/>
      <c r="E157" s="58"/>
      <c r="F157" s="58"/>
      <c r="G157" s="26"/>
      <c r="H157" s="58"/>
      <c r="I157" s="58"/>
      <c r="J157" s="58"/>
      <c r="K157" s="58"/>
      <c r="L157" s="58"/>
    </row>
    <row r="158" spans="1:16" x14ac:dyDescent="0.25">
      <c r="A158" s="26"/>
      <c r="B158" s="58"/>
      <c r="C158" s="58"/>
      <c r="D158" s="26"/>
      <c r="E158" s="58"/>
      <c r="F158" s="58"/>
      <c r="G158" s="26"/>
      <c r="H158" s="58"/>
      <c r="I158" s="58"/>
      <c r="J158" s="58"/>
      <c r="K158" s="58"/>
      <c r="L158" s="58"/>
    </row>
    <row r="159" spans="1:16" x14ac:dyDescent="0.25">
      <c r="A159" s="26"/>
      <c r="B159" s="58"/>
      <c r="C159" s="58"/>
      <c r="D159" s="26"/>
      <c r="E159" s="58"/>
      <c r="F159" s="58"/>
      <c r="G159" s="26"/>
      <c r="H159" s="58"/>
      <c r="I159" s="58"/>
      <c r="J159" s="58"/>
      <c r="K159" s="58"/>
      <c r="L159" s="58"/>
    </row>
    <row r="160" spans="1:16" x14ac:dyDescent="0.25">
      <c r="A160" s="26"/>
      <c r="B160" s="58"/>
      <c r="C160" s="58"/>
      <c r="D160" s="26"/>
      <c r="E160" s="58"/>
      <c r="F160" s="58"/>
      <c r="G160" s="26"/>
      <c r="H160" s="58"/>
      <c r="I160" s="58"/>
      <c r="J160" s="58"/>
      <c r="K160" s="58"/>
      <c r="L160" s="58"/>
    </row>
    <row r="161" spans="1:12" x14ac:dyDescent="0.25">
      <c r="A161" s="26"/>
      <c r="B161" s="58"/>
      <c r="C161" s="58"/>
      <c r="D161" s="26"/>
      <c r="E161" s="58"/>
      <c r="F161" s="58"/>
      <c r="G161" s="26"/>
      <c r="H161" s="58"/>
      <c r="I161" s="58"/>
      <c r="J161" s="58"/>
      <c r="K161" s="58"/>
      <c r="L161" s="58"/>
    </row>
    <row r="162" spans="1:12" x14ac:dyDescent="0.25">
      <c r="A162" s="26"/>
      <c r="B162" s="58"/>
      <c r="C162" s="58"/>
      <c r="D162" s="26"/>
      <c r="E162" s="58"/>
      <c r="F162" s="58"/>
      <c r="G162" s="26"/>
      <c r="H162" s="58"/>
      <c r="I162" s="58"/>
      <c r="J162" s="58"/>
      <c r="K162" s="58"/>
      <c r="L162" s="58"/>
    </row>
    <row r="163" spans="1:12" x14ac:dyDescent="0.25">
      <c r="A163" s="26"/>
      <c r="B163" s="58"/>
      <c r="C163" s="58"/>
      <c r="D163" s="26"/>
      <c r="E163" s="58"/>
      <c r="F163" s="58"/>
      <c r="G163" s="26"/>
      <c r="H163" s="58"/>
      <c r="I163" s="58"/>
      <c r="J163" s="58"/>
      <c r="K163" s="58"/>
      <c r="L163" s="58"/>
    </row>
    <row r="164" spans="1:12" x14ac:dyDescent="0.25">
      <c r="A164" s="26"/>
      <c r="B164" s="58"/>
      <c r="C164" s="58"/>
      <c r="D164" s="26"/>
      <c r="E164" s="58"/>
      <c r="F164" s="58"/>
      <c r="G164" s="26"/>
      <c r="H164" s="58"/>
      <c r="I164" s="58"/>
      <c r="J164" s="58"/>
      <c r="K164" s="58"/>
      <c r="L164" s="58"/>
    </row>
    <row r="165" spans="1:12" x14ac:dyDescent="0.25">
      <c r="A165" s="26"/>
      <c r="B165" s="58"/>
      <c r="C165" s="58"/>
      <c r="D165" s="26"/>
      <c r="E165" s="58"/>
      <c r="F165" s="58"/>
      <c r="G165" s="26"/>
      <c r="H165" s="58"/>
      <c r="I165" s="58"/>
      <c r="J165" s="58"/>
      <c r="K165" s="58"/>
      <c r="L165" s="58"/>
    </row>
    <row r="166" spans="1:12" x14ac:dyDescent="0.25">
      <c r="A166" s="26"/>
      <c r="B166" s="58"/>
      <c r="C166" s="58"/>
      <c r="D166" s="26"/>
      <c r="E166" s="58"/>
      <c r="F166" s="58"/>
      <c r="G166" s="26"/>
      <c r="H166" s="58"/>
      <c r="I166" s="58"/>
      <c r="J166" s="58"/>
      <c r="K166" s="58"/>
      <c r="L166" s="58"/>
    </row>
    <row r="167" spans="1:12" x14ac:dyDescent="0.25">
      <c r="A167" s="26"/>
      <c r="B167" s="58"/>
      <c r="C167" s="58"/>
      <c r="D167" s="26"/>
      <c r="E167" s="58"/>
      <c r="F167" s="58"/>
      <c r="G167" s="26"/>
      <c r="H167" s="58"/>
      <c r="I167" s="58"/>
      <c r="J167" s="58"/>
      <c r="K167" s="58"/>
      <c r="L167" s="58"/>
    </row>
    <row r="168" spans="1:12" x14ac:dyDescent="0.25">
      <c r="A168" s="26"/>
      <c r="B168" s="58"/>
      <c r="C168" s="58"/>
      <c r="D168" s="26"/>
      <c r="E168" s="58"/>
      <c r="F168" s="58"/>
      <c r="G168" s="26"/>
      <c r="H168" s="58"/>
      <c r="I168" s="58"/>
      <c r="J168" s="58"/>
      <c r="K168" s="58"/>
      <c r="L168" s="58"/>
    </row>
    <row r="169" spans="1:12" x14ac:dyDescent="0.25">
      <c r="A169" s="26"/>
      <c r="B169" s="58"/>
      <c r="C169" s="58"/>
      <c r="D169" s="26"/>
      <c r="E169" s="58"/>
      <c r="F169" s="58"/>
      <c r="G169" s="26"/>
      <c r="H169" s="58"/>
      <c r="I169" s="58"/>
      <c r="J169" s="58"/>
      <c r="K169" s="58"/>
      <c r="L169" s="58"/>
    </row>
    <row r="170" spans="1:12" x14ac:dyDescent="0.25">
      <c r="A170" s="26"/>
      <c r="B170" s="58"/>
      <c r="C170" s="58"/>
      <c r="D170" s="26"/>
      <c r="E170" s="58"/>
      <c r="F170" s="58"/>
      <c r="G170" s="26"/>
      <c r="H170" s="58"/>
      <c r="I170" s="58"/>
      <c r="J170" s="58"/>
      <c r="K170" s="58"/>
      <c r="L170" s="58"/>
    </row>
    <row r="171" spans="1:12" x14ac:dyDescent="0.25">
      <c r="A171" s="26"/>
      <c r="B171" s="58"/>
      <c r="C171" s="58"/>
      <c r="D171" s="26"/>
      <c r="E171" s="58"/>
      <c r="F171" s="58"/>
      <c r="G171" s="26"/>
      <c r="H171" s="58"/>
      <c r="I171" s="58"/>
      <c r="J171" s="58"/>
      <c r="K171" s="58"/>
      <c r="L171" s="58"/>
    </row>
    <row r="172" spans="1:12" x14ac:dyDescent="0.25">
      <c r="A172" s="26"/>
      <c r="B172" s="58"/>
      <c r="C172" s="58"/>
      <c r="D172" s="26"/>
      <c r="E172" s="58"/>
      <c r="F172" s="58"/>
      <c r="G172" s="26"/>
      <c r="H172" s="58"/>
      <c r="I172" s="58"/>
      <c r="J172" s="58"/>
      <c r="K172" s="58"/>
      <c r="L172" s="58"/>
    </row>
    <row r="173" spans="1:12" x14ac:dyDescent="0.25">
      <c r="A173" s="26"/>
      <c r="B173" s="58"/>
      <c r="C173" s="58"/>
      <c r="D173" s="26"/>
      <c r="E173" s="58"/>
      <c r="F173" s="58"/>
      <c r="G173" s="26"/>
      <c r="H173" s="58"/>
      <c r="I173" s="58"/>
      <c r="J173" s="58"/>
      <c r="K173" s="58"/>
      <c r="L173" s="58"/>
    </row>
    <row r="174" spans="1:12" x14ac:dyDescent="0.25">
      <c r="A174" s="26"/>
      <c r="B174" s="58"/>
      <c r="C174" s="58"/>
      <c r="D174" s="26"/>
      <c r="E174" s="58"/>
      <c r="F174" s="58"/>
      <c r="G174" s="26"/>
      <c r="H174" s="58"/>
      <c r="I174" s="58"/>
      <c r="J174" s="58"/>
      <c r="K174" s="58"/>
      <c r="L174" s="58"/>
    </row>
    <row r="175" spans="1:12" x14ac:dyDescent="0.25">
      <c r="A175" s="26"/>
      <c r="B175" s="58"/>
      <c r="C175" s="58"/>
      <c r="D175" s="26"/>
      <c r="E175" s="58"/>
      <c r="F175" s="58"/>
      <c r="G175" s="26"/>
      <c r="H175" s="58"/>
      <c r="I175" s="58"/>
      <c r="J175" s="58"/>
      <c r="K175" s="58"/>
      <c r="L175" s="58"/>
    </row>
    <row r="176" spans="1:12" x14ac:dyDescent="0.25">
      <c r="A176" s="26"/>
      <c r="B176" s="58"/>
      <c r="C176" s="58"/>
      <c r="D176" s="26"/>
      <c r="E176" s="58"/>
      <c r="F176" s="58"/>
      <c r="G176" s="26"/>
      <c r="H176" s="58"/>
      <c r="I176" s="58"/>
      <c r="J176" s="58"/>
      <c r="K176" s="58"/>
      <c r="L176" s="58"/>
    </row>
    <row r="177" spans="1:15" x14ac:dyDescent="0.25">
      <c r="A177" s="26"/>
      <c r="B177" s="58"/>
      <c r="C177" s="58"/>
      <c r="D177" s="26"/>
      <c r="E177" s="58"/>
      <c r="F177" s="58"/>
      <c r="G177" s="26"/>
      <c r="H177" s="58"/>
      <c r="I177" s="58"/>
      <c r="J177" s="58"/>
      <c r="K177" s="58"/>
      <c r="L177" s="58"/>
    </row>
    <row r="178" spans="1:15" x14ac:dyDescent="0.25">
      <c r="A178" s="26"/>
      <c r="B178" s="58"/>
      <c r="C178" s="58"/>
      <c r="D178" s="26"/>
      <c r="E178" s="58"/>
      <c r="F178" s="58"/>
      <c r="G178" s="26"/>
      <c r="H178" s="58"/>
      <c r="I178" s="58"/>
      <c r="J178" s="58"/>
      <c r="K178" s="58"/>
      <c r="L178" s="58"/>
    </row>
    <row r="179" spans="1:15" x14ac:dyDescent="0.25">
      <c r="A179" s="26"/>
      <c r="B179" s="58"/>
      <c r="C179" s="58"/>
      <c r="D179" s="26"/>
      <c r="E179" s="58"/>
      <c r="F179" s="58"/>
      <c r="G179" s="26"/>
      <c r="H179" s="58"/>
      <c r="I179" s="58"/>
      <c r="J179" s="58"/>
      <c r="K179" s="58"/>
      <c r="L179" s="58"/>
    </row>
    <row r="180" spans="1:15" x14ac:dyDescent="0.25">
      <c r="A180" s="26"/>
      <c r="B180" s="58"/>
      <c r="C180" s="58"/>
      <c r="D180" s="26"/>
      <c r="E180" s="58"/>
      <c r="F180" s="58"/>
      <c r="G180" s="26"/>
      <c r="H180" s="58"/>
      <c r="I180" s="58"/>
      <c r="J180" s="58"/>
      <c r="K180" s="58"/>
      <c r="L180" s="58"/>
    </row>
    <row r="181" spans="1:15" x14ac:dyDescent="0.25">
      <c r="A181" s="26"/>
      <c r="B181" s="58"/>
      <c r="C181" s="58"/>
      <c r="D181" s="26"/>
      <c r="E181" s="58"/>
      <c r="F181" s="58"/>
      <c r="G181" s="26"/>
      <c r="H181" s="58"/>
      <c r="I181" s="58"/>
      <c r="J181" s="58"/>
      <c r="K181" s="58"/>
      <c r="L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I5" workbookViewId="0">
      <pane ySplit="3" topLeftCell="A85" activePane="bottomLeft" state="frozen"/>
      <selection activeCell="A5" sqref="A5"/>
      <selection pane="bottomLeft" activeCell="A90" sqref="A90:P95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855468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855468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2" t="s">
        <v>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4" t="s">
        <v>11</v>
      </c>
      <c r="M1" s="12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5" t="s">
        <v>8</v>
      </c>
      <c r="D3" s="12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6" t="s">
        <v>0</v>
      </c>
      <c r="B5" s="126"/>
      <c r="C5" s="126"/>
      <c r="D5" s="127" t="s">
        <v>4</v>
      </c>
      <c r="E5" s="127"/>
      <c r="F5" s="127"/>
      <c r="G5" s="128" t="s">
        <v>5</v>
      </c>
      <c r="H5" s="128"/>
      <c r="I5" s="128"/>
      <c r="J5" s="133" t="s">
        <v>6</v>
      </c>
      <c r="K5" s="133"/>
      <c r="L5" s="133"/>
      <c r="M5" s="121" t="s">
        <v>12</v>
      </c>
      <c r="N5" s="121"/>
      <c r="O5" s="121"/>
      <c r="Q5" s="130" t="s">
        <v>13</v>
      </c>
      <c r="R5" s="130"/>
    </row>
    <row r="6" spans="1:18" x14ac:dyDescent="0.25">
      <c r="A6" s="8">
        <f>SUBTOTAL(3,A9:A122)</f>
        <v>62</v>
      </c>
      <c r="B6" s="8">
        <f>SUBTOTAL(9,B8:B122)</f>
        <v>30375</v>
      </c>
      <c r="C6" s="35">
        <v>43317</v>
      </c>
      <c r="D6" s="8">
        <f>SUBTOTAL(3,D8:D120)</f>
        <v>56</v>
      </c>
      <c r="E6" s="1">
        <f>SUBTOTAL(9,E8:E120)</f>
        <v>35250</v>
      </c>
      <c r="F6" s="38">
        <v>43324</v>
      </c>
      <c r="G6" s="8">
        <f>SUBTOTAL(3,G8:G121)</f>
        <v>23</v>
      </c>
      <c r="H6" s="1">
        <f>SUBTOTAL(9,H8:H121)</f>
        <v>10550</v>
      </c>
      <c r="I6" s="39">
        <v>43331</v>
      </c>
      <c r="J6" s="8">
        <f>SUBTOTAL(3,J8:J111)</f>
        <v>28</v>
      </c>
      <c r="K6" s="1">
        <f>SUBTOTAL(9,K8:K111)</f>
        <v>16200</v>
      </c>
      <c r="L6" s="63">
        <v>43338</v>
      </c>
      <c r="M6" s="1">
        <f>SUBTOTAL(3,M8:M120)</f>
        <v>3</v>
      </c>
      <c r="N6" s="1">
        <f>SUBTOTAL(9,N8:N120)</f>
        <v>2000</v>
      </c>
      <c r="O6" s="85"/>
      <c r="Q6" s="30">
        <f>+A6+D6+G6+J6+M6</f>
        <v>172</v>
      </c>
      <c r="R6" s="29">
        <f>+B6+E6+H6+K6+N6</f>
        <v>94375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16">
        <v>16970</v>
      </c>
      <c r="B8" s="49">
        <v>200</v>
      </c>
      <c r="C8" s="117" t="s">
        <v>41</v>
      </c>
      <c r="D8" s="13">
        <v>17033</v>
      </c>
      <c r="E8" s="70">
        <v>50</v>
      </c>
      <c r="F8" s="14" t="s">
        <v>110</v>
      </c>
      <c r="G8" s="11">
        <v>17089</v>
      </c>
      <c r="H8" s="67">
        <v>800</v>
      </c>
      <c r="I8" s="12" t="s">
        <v>328</v>
      </c>
      <c r="J8" s="61">
        <v>17112</v>
      </c>
      <c r="K8" s="71">
        <v>250</v>
      </c>
      <c r="L8" s="62" t="s">
        <v>367</v>
      </c>
      <c r="M8" s="15">
        <v>17140</v>
      </c>
      <c r="N8" s="73">
        <v>800</v>
      </c>
      <c r="O8" s="15" t="s">
        <v>206</v>
      </c>
      <c r="Q8" s="32"/>
      <c r="R8" s="32"/>
    </row>
    <row r="9" spans="1:18" x14ac:dyDescent="0.25">
      <c r="A9" s="16">
        <v>16971</v>
      </c>
      <c r="B9" s="49">
        <v>200</v>
      </c>
      <c r="C9" s="17" t="s">
        <v>41</v>
      </c>
      <c r="D9" s="13">
        <v>17034</v>
      </c>
      <c r="E9" s="70">
        <v>400</v>
      </c>
      <c r="F9" s="14" t="s">
        <v>307</v>
      </c>
      <c r="G9" s="11"/>
      <c r="H9" s="67"/>
      <c r="I9" s="12" t="s">
        <v>20</v>
      </c>
      <c r="J9" s="61">
        <v>17113</v>
      </c>
      <c r="K9" s="71">
        <v>200</v>
      </c>
      <c r="L9" s="62" t="s">
        <v>360</v>
      </c>
      <c r="M9" s="15"/>
      <c r="N9" s="73"/>
      <c r="O9" s="15" t="s">
        <v>20</v>
      </c>
    </row>
    <row r="10" spans="1:18" x14ac:dyDescent="0.25">
      <c r="A10" s="16">
        <v>16972</v>
      </c>
      <c r="B10" s="49">
        <v>800</v>
      </c>
      <c r="C10" s="17" t="s">
        <v>206</v>
      </c>
      <c r="D10" s="13"/>
      <c r="E10" s="70"/>
      <c r="F10" s="14" t="s">
        <v>15</v>
      </c>
      <c r="G10" s="11">
        <v>17090</v>
      </c>
      <c r="H10" s="67">
        <v>1000</v>
      </c>
      <c r="I10" s="12" t="s">
        <v>64</v>
      </c>
      <c r="J10" s="61">
        <v>17114</v>
      </c>
      <c r="K10" s="71">
        <v>600</v>
      </c>
      <c r="L10" s="62" t="s">
        <v>206</v>
      </c>
      <c r="M10" s="15">
        <v>17141</v>
      </c>
      <c r="N10" s="73">
        <v>400</v>
      </c>
      <c r="O10" s="15" t="s">
        <v>250</v>
      </c>
    </row>
    <row r="11" spans="1:18" x14ac:dyDescent="0.25">
      <c r="A11" s="16"/>
      <c r="B11" s="49"/>
      <c r="C11" s="17" t="s">
        <v>20</v>
      </c>
      <c r="D11" s="13">
        <v>17035</v>
      </c>
      <c r="E11" s="70">
        <v>300</v>
      </c>
      <c r="F11" s="14" t="s">
        <v>288</v>
      </c>
      <c r="G11" s="11"/>
      <c r="H11" s="67"/>
      <c r="I11" s="12" t="s">
        <v>332</v>
      </c>
      <c r="J11" s="61"/>
      <c r="K11" s="71"/>
      <c r="L11" s="62" t="s">
        <v>23</v>
      </c>
      <c r="M11" s="15">
        <v>17142</v>
      </c>
      <c r="N11" s="73">
        <v>800</v>
      </c>
      <c r="O11" s="15" t="s">
        <v>307</v>
      </c>
    </row>
    <row r="12" spans="1:18" x14ac:dyDescent="0.25">
      <c r="A12" s="16">
        <v>16973</v>
      </c>
      <c r="B12" s="49">
        <v>600</v>
      </c>
      <c r="C12" s="17" t="s">
        <v>288</v>
      </c>
      <c r="D12" s="13">
        <v>17036</v>
      </c>
      <c r="E12" s="70">
        <v>200</v>
      </c>
      <c r="F12" s="14" t="s">
        <v>41</v>
      </c>
      <c r="G12" s="11">
        <v>17091</v>
      </c>
      <c r="H12" s="67">
        <v>400</v>
      </c>
      <c r="I12" s="12"/>
      <c r="J12" s="61">
        <v>17115</v>
      </c>
      <c r="K12" s="71">
        <v>800</v>
      </c>
      <c r="L12" s="62" t="s">
        <v>307</v>
      </c>
      <c r="M12" s="15"/>
      <c r="N12" s="73"/>
      <c r="O12" s="15" t="s">
        <v>20</v>
      </c>
    </row>
    <row r="13" spans="1:18" x14ac:dyDescent="0.25">
      <c r="A13" s="16">
        <v>16974</v>
      </c>
      <c r="B13" s="49">
        <v>500</v>
      </c>
      <c r="C13" s="17" t="s">
        <v>64</v>
      </c>
      <c r="D13" s="13">
        <v>17037</v>
      </c>
      <c r="E13" s="70"/>
      <c r="F13" s="14" t="s">
        <v>343</v>
      </c>
      <c r="G13" s="11">
        <v>17092</v>
      </c>
      <c r="H13" s="67">
        <v>400</v>
      </c>
      <c r="I13" s="12"/>
      <c r="J13" s="61"/>
      <c r="K13" s="71"/>
      <c r="L13" s="62" t="s">
        <v>361</v>
      </c>
      <c r="M13" s="15"/>
      <c r="N13" s="73"/>
      <c r="O13" s="15"/>
    </row>
    <row r="14" spans="1:18" x14ac:dyDescent="0.25">
      <c r="A14" s="16"/>
      <c r="B14" s="49"/>
      <c r="C14" s="17" t="s">
        <v>333</v>
      </c>
      <c r="D14" s="13">
        <v>17038</v>
      </c>
      <c r="E14" s="70">
        <v>1500</v>
      </c>
      <c r="F14" s="14" t="s">
        <v>344</v>
      </c>
      <c r="G14" s="11">
        <v>17093</v>
      </c>
      <c r="H14" s="67">
        <v>400</v>
      </c>
      <c r="I14" s="12"/>
      <c r="J14" s="61">
        <v>17116</v>
      </c>
      <c r="K14" s="71">
        <v>400</v>
      </c>
      <c r="L14" s="62" t="s">
        <v>307</v>
      </c>
      <c r="M14" s="15"/>
      <c r="N14" s="73"/>
      <c r="O14" s="31"/>
    </row>
    <row r="15" spans="1:18" x14ac:dyDescent="0.25">
      <c r="A15" s="16">
        <v>16975</v>
      </c>
      <c r="B15" s="49">
        <v>1000</v>
      </c>
      <c r="C15" s="17" t="s">
        <v>64</v>
      </c>
      <c r="D15" s="13"/>
      <c r="E15" s="70"/>
      <c r="F15" s="14" t="s">
        <v>23</v>
      </c>
      <c r="G15" s="11">
        <v>17094</v>
      </c>
      <c r="H15" s="67">
        <v>50</v>
      </c>
      <c r="I15" s="12" t="s">
        <v>220</v>
      </c>
      <c r="J15" s="61"/>
      <c r="K15" s="71"/>
      <c r="L15" s="62" t="s">
        <v>362</v>
      </c>
      <c r="M15" s="15"/>
      <c r="N15" s="73"/>
      <c r="O15" s="15"/>
    </row>
    <row r="16" spans="1:18" x14ac:dyDescent="0.25">
      <c r="A16" s="16"/>
      <c r="B16" s="49"/>
      <c r="C16" s="17" t="s">
        <v>332</v>
      </c>
      <c r="D16" s="13">
        <v>17039</v>
      </c>
      <c r="E16" s="70">
        <v>3600</v>
      </c>
      <c r="F16" s="14" t="s">
        <v>345</v>
      </c>
      <c r="G16" s="11">
        <v>17095</v>
      </c>
      <c r="H16" s="67">
        <v>500</v>
      </c>
      <c r="I16" s="12" t="s">
        <v>353</v>
      </c>
      <c r="J16" s="61">
        <v>17117</v>
      </c>
      <c r="K16" s="71">
        <v>600</v>
      </c>
      <c r="L16" s="62" t="s">
        <v>254</v>
      </c>
      <c r="M16" s="15"/>
      <c r="N16" s="73"/>
      <c r="O16" s="15"/>
    </row>
    <row r="17" spans="1:15" x14ac:dyDescent="0.25">
      <c r="A17" s="16">
        <v>16976</v>
      </c>
      <c r="B17" s="49">
        <v>400</v>
      </c>
      <c r="C17" s="17"/>
      <c r="D17" s="13"/>
      <c r="E17" s="70"/>
      <c r="F17" s="14" t="s">
        <v>346</v>
      </c>
      <c r="G17" s="11"/>
      <c r="H17" s="67"/>
      <c r="I17" s="12" t="s">
        <v>354</v>
      </c>
      <c r="J17" s="61"/>
      <c r="K17" s="71"/>
      <c r="L17" s="62" t="s">
        <v>36</v>
      </c>
      <c r="M17" s="15"/>
      <c r="N17" s="73"/>
      <c r="O17" s="15"/>
    </row>
    <row r="18" spans="1:15" x14ac:dyDescent="0.25">
      <c r="A18" s="16">
        <v>16977</v>
      </c>
      <c r="B18" s="49">
        <v>400</v>
      </c>
      <c r="C18" s="17"/>
      <c r="D18" s="13"/>
      <c r="E18" s="70"/>
      <c r="F18" s="33" t="s">
        <v>15</v>
      </c>
      <c r="G18" s="11">
        <v>17096</v>
      </c>
      <c r="H18" s="67">
        <v>300</v>
      </c>
      <c r="I18" s="12"/>
      <c r="J18" s="61">
        <v>17118</v>
      </c>
      <c r="K18" s="71">
        <v>400</v>
      </c>
      <c r="L18" s="62" t="s">
        <v>307</v>
      </c>
      <c r="M18" s="15"/>
      <c r="N18" s="73"/>
      <c r="O18" s="15"/>
    </row>
    <row r="19" spans="1:15" x14ac:dyDescent="0.25">
      <c r="A19" s="16">
        <v>16978</v>
      </c>
      <c r="B19" s="49">
        <v>350</v>
      </c>
      <c r="C19" s="17"/>
      <c r="D19" s="13">
        <v>17040</v>
      </c>
      <c r="E19" s="70">
        <v>50</v>
      </c>
      <c r="F19" s="14" t="s">
        <v>110</v>
      </c>
      <c r="G19" s="11">
        <v>17097</v>
      </c>
      <c r="H19" s="67"/>
      <c r="I19" s="12" t="s">
        <v>27</v>
      </c>
      <c r="J19" s="61"/>
      <c r="K19" s="71"/>
      <c r="L19" s="62" t="s">
        <v>15</v>
      </c>
      <c r="M19" s="15"/>
      <c r="N19" s="73"/>
      <c r="O19" s="15"/>
    </row>
    <row r="20" spans="1:15" x14ac:dyDescent="0.25">
      <c r="A20" s="16">
        <v>16979</v>
      </c>
      <c r="B20" s="49">
        <v>400</v>
      </c>
      <c r="C20" s="17"/>
      <c r="D20" s="13">
        <v>17041</v>
      </c>
      <c r="E20" s="70">
        <v>300</v>
      </c>
      <c r="F20" s="14" t="s">
        <v>85</v>
      </c>
      <c r="G20" s="11">
        <v>17098</v>
      </c>
      <c r="H20" s="67">
        <v>1000</v>
      </c>
      <c r="I20" s="12" t="s">
        <v>355</v>
      </c>
      <c r="J20" s="61"/>
      <c r="K20" s="71"/>
      <c r="L20" s="62" t="s">
        <v>366</v>
      </c>
      <c r="M20" s="15"/>
      <c r="N20" s="73"/>
      <c r="O20" s="15"/>
    </row>
    <row r="21" spans="1:15" x14ac:dyDescent="0.25">
      <c r="A21" s="16">
        <v>16980</v>
      </c>
      <c r="B21" s="49">
        <v>400</v>
      </c>
      <c r="C21" s="17" t="s">
        <v>288</v>
      </c>
      <c r="D21" s="13">
        <v>17042</v>
      </c>
      <c r="E21" s="70">
        <v>2000</v>
      </c>
      <c r="F21" s="14" t="s">
        <v>85</v>
      </c>
      <c r="G21" s="11"/>
      <c r="H21" s="67"/>
      <c r="I21" s="12" t="s">
        <v>356</v>
      </c>
      <c r="J21" s="61">
        <v>17119</v>
      </c>
      <c r="K21" s="71">
        <v>400</v>
      </c>
      <c r="L21" s="62"/>
      <c r="M21" s="15"/>
      <c r="N21" s="73"/>
      <c r="O21" s="15"/>
    </row>
    <row r="22" spans="1:15" x14ac:dyDescent="0.25">
      <c r="A22" s="16">
        <v>16981</v>
      </c>
      <c r="B22" s="49">
        <v>300</v>
      </c>
      <c r="C22" s="17"/>
      <c r="D22" s="13"/>
      <c r="E22" s="70"/>
      <c r="F22" s="14" t="s">
        <v>347</v>
      </c>
      <c r="G22" s="11">
        <v>17099</v>
      </c>
      <c r="H22" s="67">
        <v>200</v>
      </c>
      <c r="I22" s="12" t="s">
        <v>357</v>
      </c>
      <c r="J22" s="61">
        <v>17120</v>
      </c>
      <c r="K22" s="71">
        <v>600</v>
      </c>
      <c r="L22" s="62" t="s">
        <v>307</v>
      </c>
      <c r="M22" s="15"/>
      <c r="N22" s="73"/>
      <c r="O22" s="15"/>
    </row>
    <row r="23" spans="1:15" x14ac:dyDescent="0.25">
      <c r="A23" s="16">
        <v>16982</v>
      </c>
      <c r="B23" s="49">
        <v>125</v>
      </c>
      <c r="C23" s="17"/>
      <c r="D23" s="13"/>
      <c r="E23" s="70"/>
      <c r="F23" s="14" t="s">
        <v>20</v>
      </c>
      <c r="G23" s="11">
        <v>17100</v>
      </c>
      <c r="H23" s="67">
        <v>2000</v>
      </c>
      <c r="I23" s="12" t="s">
        <v>64</v>
      </c>
      <c r="J23" s="61"/>
      <c r="K23" s="71"/>
      <c r="L23" s="62" t="s">
        <v>23</v>
      </c>
      <c r="M23" s="15"/>
      <c r="N23" s="73"/>
      <c r="O23" s="15"/>
    </row>
    <row r="24" spans="1:15" x14ac:dyDescent="0.25">
      <c r="A24" s="16">
        <v>16983</v>
      </c>
      <c r="B24" s="49">
        <v>400</v>
      </c>
      <c r="C24" s="17" t="s">
        <v>288</v>
      </c>
      <c r="D24" s="13">
        <v>17043</v>
      </c>
      <c r="E24" s="70">
        <v>300</v>
      </c>
      <c r="F24" s="14"/>
      <c r="G24" s="11"/>
      <c r="H24" s="67"/>
      <c r="I24" s="12" t="s">
        <v>358</v>
      </c>
      <c r="J24" s="61">
        <v>17121</v>
      </c>
      <c r="K24" s="71">
        <v>1200</v>
      </c>
      <c r="L24" s="62" t="s">
        <v>315</v>
      </c>
      <c r="M24" s="15"/>
      <c r="N24" s="73"/>
      <c r="O24" s="15"/>
    </row>
    <row r="25" spans="1:15" x14ac:dyDescent="0.25">
      <c r="A25" s="16">
        <v>16984</v>
      </c>
      <c r="B25" s="49">
        <v>400</v>
      </c>
      <c r="C25" s="17"/>
      <c r="D25" s="13">
        <v>17044</v>
      </c>
      <c r="E25" s="70">
        <v>400</v>
      </c>
      <c r="F25" s="14" t="s">
        <v>288</v>
      </c>
      <c r="G25" s="11">
        <v>17101</v>
      </c>
      <c r="H25" s="67">
        <v>400</v>
      </c>
      <c r="I25" s="12"/>
      <c r="J25" s="61"/>
      <c r="K25" s="71"/>
      <c r="L25" s="62" t="s">
        <v>20</v>
      </c>
      <c r="M25" s="15"/>
      <c r="N25" s="73"/>
      <c r="O25" s="15"/>
    </row>
    <row r="26" spans="1:15" x14ac:dyDescent="0.25">
      <c r="A26" s="16">
        <v>16985</v>
      </c>
      <c r="B26" s="49">
        <v>400</v>
      </c>
      <c r="C26" s="17"/>
      <c r="D26" s="13">
        <v>17045</v>
      </c>
      <c r="E26" s="70">
        <v>400</v>
      </c>
      <c r="F26" s="14" t="s">
        <v>130</v>
      </c>
      <c r="G26" s="11">
        <v>17102</v>
      </c>
      <c r="H26" s="67">
        <v>200</v>
      </c>
      <c r="I26" s="12" t="s">
        <v>41</v>
      </c>
      <c r="J26" s="61">
        <v>17122</v>
      </c>
      <c r="K26" s="71">
        <v>400</v>
      </c>
      <c r="L26" s="62"/>
      <c r="M26" s="15"/>
      <c r="N26" s="73"/>
      <c r="O26" s="15"/>
    </row>
    <row r="27" spans="1:15" x14ac:dyDescent="0.25">
      <c r="A27" s="16">
        <v>16986</v>
      </c>
      <c r="B27" s="49">
        <v>400</v>
      </c>
      <c r="C27" s="17"/>
      <c r="D27" s="13"/>
      <c r="E27" s="70"/>
      <c r="F27" s="69" t="s">
        <v>15</v>
      </c>
      <c r="G27" s="11">
        <v>17103</v>
      </c>
      <c r="H27" s="67">
        <v>400</v>
      </c>
      <c r="I27" s="12"/>
      <c r="J27" s="61">
        <v>17123</v>
      </c>
      <c r="K27" s="71">
        <v>400</v>
      </c>
      <c r="L27" s="62" t="s">
        <v>307</v>
      </c>
      <c r="M27" s="15"/>
      <c r="N27" s="73"/>
      <c r="O27" s="31"/>
    </row>
    <row r="28" spans="1:15" x14ac:dyDescent="0.25">
      <c r="A28" s="16">
        <v>16987</v>
      </c>
      <c r="B28" s="49">
        <v>400</v>
      </c>
      <c r="C28" s="17" t="s">
        <v>328</v>
      </c>
      <c r="D28" s="13">
        <v>17046</v>
      </c>
      <c r="E28" s="70">
        <v>600</v>
      </c>
      <c r="F28" s="14" t="s">
        <v>307</v>
      </c>
      <c r="G28" s="11">
        <v>17104</v>
      </c>
      <c r="H28" s="67">
        <v>300</v>
      </c>
      <c r="I28" s="100"/>
      <c r="J28" s="61"/>
      <c r="K28" s="71"/>
      <c r="L28" s="62" t="s">
        <v>15</v>
      </c>
      <c r="M28" s="15"/>
      <c r="N28" s="73"/>
      <c r="O28" s="15"/>
    </row>
    <row r="29" spans="1:15" x14ac:dyDescent="0.25">
      <c r="A29" s="16"/>
      <c r="B29" s="49"/>
      <c r="C29" s="17" t="s">
        <v>15</v>
      </c>
      <c r="D29" s="13"/>
      <c r="E29" s="70"/>
      <c r="F29" s="14" t="s">
        <v>23</v>
      </c>
      <c r="G29" s="11">
        <v>17105</v>
      </c>
      <c r="H29" s="67">
        <v>600</v>
      </c>
      <c r="I29" s="12" t="s">
        <v>359</v>
      </c>
      <c r="J29" s="61">
        <v>17124</v>
      </c>
      <c r="K29" s="71">
        <v>400</v>
      </c>
      <c r="L29" s="62" t="s">
        <v>330</v>
      </c>
      <c r="M29" s="15"/>
      <c r="N29" s="73"/>
      <c r="O29" s="15"/>
    </row>
    <row r="30" spans="1:15" x14ac:dyDescent="0.25">
      <c r="A30" s="16">
        <v>16988</v>
      </c>
      <c r="B30" s="49">
        <v>400</v>
      </c>
      <c r="C30" s="17"/>
      <c r="D30" s="13">
        <v>17047</v>
      </c>
      <c r="E30" s="70">
        <v>200</v>
      </c>
      <c r="F30" s="14" t="s">
        <v>348</v>
      </c>
      <c r="G30" s="11"/>
      <c r="H30" s="67"/>
      <c r="I30" s="12" t="s">
        <v>23</v>
      </c>
      <c r="J30" s="61">
        <v>17125</v>
      </c>
      <c r="K30" s="71">
        <v>200</v>
      </c>
      <c r="L30" s="62" t="s">
        <v>41</v>
      </c>
      <c r="M30" s="15"/>
      <c r="N30" s="73"/>
      <c r="O30" s="15"/>
    </row>
    <row r="31" spans="1:15" x14ac:dyDescent="0.25">
      <c r="A31" s="16">
        <v>16989</v>
      </c>
      <c r="B31" s="49">
        <v>400</v>
      </c>
      <c r="C31" s="17" t="s">
        <v>206</v>
      </c>
      <c r="D31" s="13">
        <v>17048</v>
      </c>
      <c r="E31" s="70">
        <v>200</v>
      </c>
      <c r="F31" s="14" t="s">
        <v>213</v>
      </c>
      <c r="G31" s="11">
        <v>17106</v>
      </c>
      <c r="H31" s="67">
        <v>200</v>
      </c>
      <c r="I31" s="12" t="s">
        <v>41</v>
      </c>
      <c r="J31" s="61">
        <v>17126</v>
      </c>
      <c r="K31" s="71">
        <v>1200</v>
      </c>
      <c r="L31" s="62" t="s">
        <v>315</v>
      </c>
      <c r="M31" s="15"/>
      <c r="N31" s="73"/>
      <c r="O31" s="15"/>
    </row>
    <row r="32" spans="1:15" x14ac:dyDescent="0.25">
      <c r="A32" s="16"/>
      <c r="B32" s="49"/>
      <c r="C32" s="17" t="s">
        <v>15</v>
      </c>
      <c r="D32" s="13">
        <v>17049</v>
      </c>
      <c r="E32" s="70">
        <v>400</v>
      </c>
      <c r="F32" s="14" t="s">
        <v>288</v>
      </c>
      <c r="G32" s="11">
        <v>17107</v>
      </c>
      <c r="H32" s="67">
        <v>200</v>
      </c>
      <c r="I32" s="12"/>
      <c r="J32" s="61"/>
      <c r="K32" s="71"/>
      <c r="L32" s="62" t="s">
        <v>20</v>
      </c>
      <c r="M32" s="15"/>
      <c r="N32" s="73"/>
      <c r="O32" s="15"/>
    </row>
    <row r="33" spans="1:15" x14ac:dyDescent="0.25">
      <c r="A33" s="16">
        <v>16990</v>
      </c>
      <c r="B33" s="49">
        <v>600</v>
      </c>
      <c r="C33" s="17" t="s">
        <v>328</v>
      </c>
      <c r="D33" s="13">
        <v>17050</v>
      </c>
      <c r="E33" s="70">
        <v>400</v>
      </c>
      <c r="F33" s="14"/>
      <c r="G33" s="11">
        <v>17108</v>
      </c>
      <c r="H33" s="67">
        <v>400</v>
      </c>
      <c r="I33" s="12"/>
      <c r="J33" s="61">
        <v>17127</v>
      </c>
      <c r="K33" s="71">
        <v>1200</v>
      </c>
      <c r="L33" s="62" t="s">
        <v>325</v>
      </c>
      <c r="M33" s="15"/>
      <c r="N33" s="73"/>
      <c r="O33" s="15"/>
    </row>
    <row r="34" spans="1:15" x14ac:dyDescent="0.25">
      <c r="A34" s="16"/>
      <c r="B34" s="49"/>
      <c r="C34" s="17" t="s">
        <v>334</v>
      </c>
      <c r="D34" s="13">
        <v>17051</v>
      </c>
      <c r="E34" s="70">
        <v>400</v>
      </c>
      <c r="F34" s="14"/>
      <c r="G34" s="11">
        <v>17109</v>
      </c>
      <c r="H34" s="67">
        <v>200</v>
      </c>
      <c r="I34" s="12" t="s">
        <v>41</v>
      </c>
      <c r="J34" s="61"/>
      <c r="K34" s="71"/>
      <c r="L34" s="62" t="s">
        <v>20</v>
      </c>
      <c r="M34" s="15"/>
      <c r="N34" s="73"/>
      <c r="O34" s="31"/>
    </row>
    <row r="35" spans="1:15" x14ac:dyDescent="0.25">
      <c r="A35" s="16">
        <v>16991</v>
      </c>
      <c r="B35" s="49">
        <v>400</v>
      </c>
      <c r="C35" s="17"/>
      <c r="D35" s="13">
        <v>17052</v>
      </c>
      <c r="E35" s="70">
        <v>250</v>
      </c>
      <c r="F35" s="14"/>
      <c r="G35" s="11">
        <v>17110</v>
      </c>
      <c r="H35" s="67">
        <v>300</v>
      </c>
      <c r="I35" s="12"/>
      <c r="J35" s="61">
        <v>17128</v>
      </c>
      <c r="K35" s="71">
        <v>300</v>
      </c>
      <c r="L35" s="62" t="s">
        <v>363</v>
      </c>
      <c r="M35" s="15"/>
      <c r="N35" s="73"/>
      <c r="O35" s="15"/>
    </row>
    <row r="36" spans="1:15" x14ac:dyDescent="0.25">
      <c r="A36" s="16">
        <v>16992</v>
      </c>
      <c r="B36" s="49">
        <v>1600</v>
      </c>
      <c r="C36" s="17" t="s">
        <v>335</v>
      </c>
      <c r="D36" s="13">
        <v>17053</v>
      </c>
      <c r="E36" s="70">
        <v>800</v>
      </c>
      <c r="F36" s="14" t="s">
        <v>307</v>
      </c>
      <c r="G36" s="11">
        <v>17111</v>
      </c>
      <c r="H36" s="67">
        <v>300</v>
      </c>
      <c r="I36" s="12" t="s">
        <v>288</v>
      </c>
      <c r="J36" s="61"/>
      <c r="K36" s="71"/>
      <c r="L36" s="62" t="s">
        <v>57</v>
      </c>
      <c r="M36" s="15"/>
      <c r="N36" s="73"/>
      <c r="O36" s="15"/>
    </row>
    <row r="37" spans="1:15" x14ac:dyDescent="0.25">
      <c r="A37" s="16"/>
      <c r="B37" s="49"/>
      <c r="C37" s="17" t="s">
        <v>20</v>
      </c>
      <c r="D37" s="13"/>
      <c r="E37" s="70"/>
      <c r="F37" s="14" t="s">
        <v>20</v>
      </c>
      <c r="G37" s="11"/>
      <c r="H37" s="67"/>
      <c r="I37" s="12"/>
      <c r="J37" s="61">
        <v>17129</v>
      </c>
      <c r="K37" s="71">
        <v>300</v>
      </c>
      <c r="L37" s="62" t="s">
        <v>363</v>
      </c>
      <c r="M37" s="15"/>
      <c r="N37" s="73"/>
      <c r="O37" s="15"/>
    </row>
    <row r="38" spans="1:15" x14ac:dyDescent="0.25">
      <c r="A38" s="16">
        <v>16993</v>
      </c>
      <c r="B38" s="49">
        <v>400</v>
      </c>
      <c r="C38" s="17"/>
      <c r="D38" s="13">
        <v>17054</v>
      </c>
      <c r="E38" s="70">
        <v>800</v>
      </c>
      <c r="F38" s="14" t="s">
        <v>307</v>
      </c>
      <c r="G38" s="11"/>
      <c r="H38" s="67"/>
      <c r="I38" s="12"/>
      <c r="J38" s="61"/>
      <c r="K38" s="71"/>
      <c r="L38" s="62" t="s">
        <v>57</v>
      </c>
      <c r="M38" s="15"/>
      <c r="N38" s="73"/>
      <c r="O38" s="15"/>
    </row>
    <row r="39" spans="1:15" x14ac:dyDescent="0.25">
      <c r="A39" s="16">
        <v>16994</v>
      </c>
      <c r="B39" s="49">
        <v>300</v>
      </c>
      <c r="C39" s="17"/>
      <c r="D39" s="13"/>
      <c r="E39" s="70"/>
      <c r="F39" s="14" t="s">
        <v>20</v>
      </c>
      <c r="G39" s="11"/>
      <c r="H39" s="67"/>
      <c r="I39" s="12"/>
      <c r="J39" s="61">
        <v>17130</v>
      </c>
      <c r="K39" s="71">
        <v>400</v>
      </c>
      <c r="L39" s="62"/>
      <c r="M39" s="15"/>
      <c r="N39" s="73"/>
      <c r="O39" s="15"/>
    </row>
    <row r="40" spans="1:15" x14ac:dyDescent="0.25">
      <c r="A40" s="16">
        <v>16995</v>
      </c>
      <c r="B40" s="49">
        <v>400</v>
      </c>
      <c r="C40" s="17"/>
      <c r="D40" s="13">
        <v>17055</v>
      </c>
      <c r="E40" s="70">
        <v>200</v>
      </c>
      <c r="F40" s="14" t="s">
        <v>41</v>
      </c>
      <c r="G40" s="11"/>
      <c r="H40" s="67"/>
      <c r="I40" s="12"/>
      <c r="J40" s="61">
        <v>17131</v>
      </c>
      <c r="K40" s="71">
        <v>400</v>
      </c>
      <c r="L40" s="62" t="s">
        <v>288</v>
      </c>
      <c r="M40" s="15"/>
      <c r="N40" s="73"/>
      <c r="O40" s="15"/>
    </row>
    <row r="41" spans="1:15" x14ac:dyDescent="0.25">
      <c r="A41" s="16">
        <v>16996</v>
      </c>
      <c r="B41" s="49">
        <v>300</v>
      </c>
      <c r="C41" s="17" t="s">
        <v>288</v>
      </c>
      <c r="D41" s="13">
        <v>17056</v>
      </c>
      <c r="E41" s="70">
        <v>1600</v>
      </c>
      <c r="F41" s="14" t="s">
        <v>254</v>
      </c>
      <c r="G41" s="11"/>
      <c r="H41" s="67"/>
      <c r="I41" s="12"/>
      <c r="J41" s="61">
        <v>17132</v>
      </c>
      <c r="K41" s="71">
        <v>800</v>
      </c>
      <c r="L41" s="62" t="s">
        <v>206</v>
      </c>
      <c r="M41" s="15"/>
      <c r="N41" s="73"/>
      <c r="O41" s="15"/>
    </row>
    <row r="42" spans="1:15" x14ac:dyDescent="0.25">
      <c r="A42" s="16">
        <v>16997</v>
      </c>
      <c r="B42" s="49">
        <v>400</v>
      </c>
      <c r="C42" s="17"/>
      <c r="D42" s="13"/>
      <c r="E42" s="70"/>
      <c r="F42" s="14" t="s">
        <v>20</v>
      </c>
      <c r="G42" s="11"/>
      <c r="H42" s="67"/>
      <c r="I42" s="12"/>
      <c r="J42" s="61"/>
      <c r="K42" s="71"/>
      <c r="L42" s="62" t="s">
        <v>20</v>
      </c>
      <c r="M42" s="15"/>
      <c r="N42" s="73"/>
      <c r="O42" s="15"/>
    </row>
    <row r="43" spans="1:15" x14ac:dyDescent="0.25">
      <c r="A43" s="16">
        <v>16998</v>
      </c>
      <c r="B43" s="49">
        <v>200</v>
      </c>
      <c r="C43" s="17" t="s">
        <v>288</v>
      </c>
      <c r="D43" s="13">
        <v>17057</v>
      </c>
      <c r="E43" s="70">
        <v>200</v>
      </c>
      <c r="F43" s="14"/>
      <c r="G43" s="11"/>
      <c r="H43" s="67"/>
      <c r="I43" s="12"/>
      <c r="J43" s="61">
        <v>17133</v>
      </c>
      <c r="K43" s="71">
        <v>1000</v>
      </c>
      <c r="L43" s="62" t="s">
        <v>328</v>
      </c>
      <c r="M43" s="15"/>
      <c r="N43" s="73"/>
      <c r="O43" s="15"/>
    </row>
    <row r="44" spans="1:15" x14ac:dyDescent="0.25">
      <c r="A44" s="16">
        <v>16999</v>
      </c>
      <c r="B44" s="49">
        <v>200</v>
      </c>
      <c r="C44" s="17" t="s">
        <v>336</v>
      </c>
      <c r="D44" s="13">
        <v>17058</v>
      </c>
      <c r="E44" s="70">
        <v>400</v>
      </c>
      <c r="F44" s="14"/>
      <c r="G44" s="11"/>
      <c r="H44" s="67"/>
      <c r="I44" s="12"/>
      <c r="J44" s="61"/>
      <c r="K44" s="71"/>
      <c r="L44" s="62" t="s">
        <v>45</v>
      </c>
      <c r="M44" s="15"/>
      <c r="N44" s="73"/>
      <c r="O44" s="15"/>
    </row>
    <row r="45" spans="1:15" x14ac:dyDescent="0.25">
      <c r="A45" s="16">
        <v>17000</v>
      </c>
      <c r="B45" s="49"/>
      <c r="C45" s="107" t="s">
        <v>27</v>
      </c>
      <c r="D45" s="13">
        <v>17059</v>
      </c>
      <c r="E45" s="70">
        <v>600</v>
      </c>
      <c r="F45" s="14" t="s">
        <v>206</v>
      </c>
      <c r="G45" s="11"/>
      <c r="H45" s="67"/>
      <c r="I45" s="12"/>
      <c r="J45" s="61">
        <v>17134</v>
      </c>
      <c r="K45" s="71">
        <v>1200</v>
      </c>
      <c r="L45" s="62" t="s">
        <v>364</v>
      </c>
      <c r="M45" s="15"/>
      <c r="N45" s="73"/>
      <c r="O45" s="15"/>
    </row>
    <row r="46" spans="1:15" x14ac:dyDescent="0.25">
      <c r="A46" s="16">
        <v>17001</v>
      </c>
      <c r="B46" s="49">
        <v>400</v>
      </c>
      <c r="C46" s="17"/>
      <c r="D46" s="13"/>
      <c r="E46" s="70"/>
      <c r="F46" s="14" t="s">
        <v>17</v>
      </c>
      <c r="G46" s="11"/>
      <c r="H46" s="67"/>
      <c r="I46" s="12"/>
      <c r="J46" s="61"/>
      <c r="K46" s="71"/>
      <c r="L46" s="62" t="s">
        <v>20</v>
      </c>
      <c r="M46" s="15"/>
      <c r="N46" s="73"/>
      <c r="O46" s="15"/>
    </row>
    <row r="47" spans="1:15" x14ac:dyDescent="0.25">
      <c r="A47" s="16">
        <v>17002</v>
      </c>
      <c r="B47" s="49">
        <v>600</v>
      </c>
      <c r="C47" s="17" t="s">
        <v>328</v>
      </c>
      <c r="D47" s="13">
        <v>17060</v>
      </c>
      <c r="E47" s="70">
        <v>400</v>
      </c>
      <c r="F47" s="14" t="s">
        <v>250</v>
      </c>
      <c r="G47" s="11"/>
      <c r="H47" s="67"/>
      <c r="I47" s="12"/>
      <c r="J47" s="61">
        <v>17135</v>
      </c>
      <c r="K47" s="71">
        <v>50</v>
      </c>
      <c r="L47" s="62" t="s">
        <v>110</v>
      </c>
      <c r="M47" s="15"/>
      <c r="N47" s="73"/>
      <c r="O47" s="15"/>
    </row>
    <row r="48" spans="1:15" x14ac:dyDescent="0.25">
      <c r="A48" s="16"/>
      <c r="B48" s="49"/>
      <c r="C48" s="17" t="s">
        <v>23</v>
      </c>
      <c r="D48" s="13">
        <v>17061</v>
      </c>
      <c r="E48" s="70">
        <v>200</v>
      </c>
      <c r="F48" s="14" t="s">
        <v>330</v>
      </c>
      <c r="G48" s="11"/>
      <c r="H48" s="67"/>
      <c r="I48" s="12"/>
      <c r="J48" s="61">
        <v>17136</v>
      </c>
      <c r="K48" s="71">
        <v>300</v>
      </c>
      <c r="L48" s="62" t="s">
        <v>330</v>
      </c>
      <c r="M48" s="15"/>
      <c r="N48" s="73"/>
      <c r="O48" s="15"/>
    </row>
    <row r="49" spans="1:15" x14ac:dyDescent="0.25">
      <c r="A49" s="16">
        <v>17003</v>
      </c>
      <c r="B49" s="49">
        <v>600</v>
      </c>
      <c r="C49" s="17" t="s">
        <v>337</v>
      </c>
      <c r="D49" s="13">
        <v>17062</v>
      </c>
      <c r="E49" s="70">
        <v>3200</v>
      </c>
      <c r="F49" s="14" t="s">
        <v>349</v>
      </c>
      <c r="G49" s="11"/>
      <c r="H49" s="67"/>
      <c r="I49" s="12"/>
      <c r="J49" s="61">
        <v>17137</v>
      </c>
      <c r="K49" s="71">
        <v>800</v>
      </c>
      <c r="L49" s="62" t="s">
        <v>307</v>
      </c>
      <c r="M49" s="15"/>
      <c r="N49" s="73"/>
      <c r="O49" s="15"/>
    </row>
    <row r="50" spans="1:15" x14ac:dyDescent="0.25">
      <c r="A50" s="16"/>
      <c r="B50" s="49"/>
      <c r="C50" s="17" t="s">
        <v>36</v>
      </c>
      <c r="D50" s="13"/>
      <c r="E50" s="70"/>
      <c r="F50" s="14" t="s">
        <v>350</v>
      </c>
      <c r="G50" s="11"/>
      <c r="H50" s="67"/>
      <c r="I50" s="12"/>
      <c r="J50" s="61"/>
      <c r="K50" s="71"/>
      <c r="L50" s="62" t="s">
        <v>20</v>
      </c>
      <c r="M50" s="15"/>
      <c r="N50" s="73"/>
      <c r="O50" s="15"/>
    </row>
    <row r="51" spans="1:15" x14ac:dyDescent="0.25">
      <c r="A51" s="16">
        <v>17004</v>
      </c>
      <c r="B51" s="49">
        <v>200</v>
      </c>
      <c r="C51" s="17"/>
      <c r="D51" s="13">
        <v>17063</v>
      </c>
      <c r="E51" s="70">
        <v>400</v>
      </c>
      <c r="F51" s="14"/>
      <c r="G51" s="11"/>
      <c r="H51" s="67"/>
      <c r="I51" s="12"/>
      <c r="J51" s="61">
        <v>17138</v>
      </c>
      <c r="K51" s="71">
        <v>1000</v>
      </c>
      <c r="L51" s="62" t="s">
        <v>307</v>
      </c>
      <c r="M51" s="15"/>
      <c r="N51" s="73"/>
      <c r="O51" s="15"/>
    </row>
    <row r="52" spans="1:15" x14ac:dyDescent="0.25">
      <c r="A52" s="16">
        <v>17005</v>
      </c>
      <c r="B52" s="49">
        <v>400</v>
      </c>
      <c r="C52" s="17"/>
      <c r="D52" s="13">
        <v>17064</v>
      </c>
      <c r="E52" s="70">
        <v>300</v>
      </c>
      <c r="F52" s="14"/>
      <c r="G52" s="11"/>
      <c r="H52" s="67"/>
      <c r="I52" s="12"/>
      <c r="J52" s="61"/>
      <c r="K52" s="71"/>
      <c r="L52" s="62" t="s">
        <v>365</v>
      </c>
      <c r="M52" s="15"/>
      <c r="N52" s="73"/>
      <c r="O52" s="15"/>
    </row>
    <row r="53" spans="1:15" x14ac:dyDescent="0.25">
      <c r="A53" s="16">
        <v>17006</v>
      </c>
      <c r="B53" s="49">
        <v>250</v>
      </c>
      <c r="C53" s="17"/>
      <c r="D53" s="13">
        <v>17065</v>
      </c>
      <c r="E53" s="70">
        <v>400</v>
      </c>
      <c r="F53" s="14"/>
      <c r="G53" s="11"/>
      <c r="H53" s="67"/>
      <c r="I53" s="12"/>
      <c r="J53" s="61">
        <v>17139</v>
      </c>
      <c r="K53" s="71">
        <v>400</v>
      </c>
      <c r="L53" s="62" t="s">
        <v>288</v>
      </c>
      <c r="M53" s="15"/>
      <c r="N53" s="73"/>
      <c r="O53" s="15"/>
    </row>
    <row r="54" spans="1:15" x14ac:dyDescent="0.25">
      <c r="A54" s="16">
        <v>17007</v>
      </c>
      <c r="B54" s="49">
        <v>800</v>
      </c>
      <c r="C54" s="17" t="s">
        <v>307</v>
      </c>
      <c r="D54" s="13">
        <v>17066</v>
      </c>
      <c r="E54" s="70">
        <v>800</v>
      </c>
      <c r="F54" s="14" t="s">
        <v>307</v>
      </c>
      <c r="G54" s="11"/>
      <c r="H54" s="67"/>
      <c r="I54" s="12"/>
      <c r="J54" s="61"/>
      <c r="K54" s="71"/>
      <c r="L54" s="62"/>
      <c r="M54" s="15"/>
      <c r="N54" s="73"/>
      <c r="O54" s="15"/>
    </row>
    <row r="55" spans="1:15" x14ac:dyDescent="0.25">
      <c r="A55" s="16"/>
      <c r="B55" s="49"/>
      <c r="C55" s="17" t="s">
        <v>20</v>
      </c>
      <c r="D55" s="13"/>
      <c r="E55" s="70"/>
      <c r="F55" s="14" t="s">
        <v>20</v>
      </c>
      <c r="G55" s="11"/>
      <c r="H55" s="67"/>
      <c r="I55" s="12"/>
      <c r="J55" s="61"/>
      <c r="K55" s="71"/>
      <c r="L55" s="62"/>
      <c r="M55" s="15"/>
      <c r="N55" s="73"/>
      <c r="O55" s="15"/>
    </row>
    <row r="56" spans="1:15" x14ac:dyDescent="0.25">
      <c r="A56" s="16">
        <v>17008</v>
      </c>
      <c r="B56" s="49">
        <v>400</v>
      </c>
      <c r="C56" s="17" t="s">
        <v>307</v>
      </c>
      <c r="D56" s="13">
        <v>17067</v>
      </c>
      <c r="E56" s="70">
        <v>2400</v>
      </c>
      <c r="F56" s="14" t="s">
        <v>349</v>
      </c>
      <c r="G56" s="11"/>
      <c r="H56" s="67"/>
      <c r="I56" s="12"/>
      <c r="J56" s="61"/>
      <c r="K56" s="71"/>
      <c r="L56" s="62"/>
      <c r="M56" s="15"/>
      <c r="N56" s="73"/>
      <c r="O56" s="15"/>
    </row>
    <row r="57" spans="1:15" x14ac:dyDescent="0.25">
      <c r="A57" s="16"/>
      <c r="B57" s="49"/>
      <c r="C57" s="17" t="s">
        <v>15</v>
      </c>
      <c r="D57" s="13"/>
      <c r="E57" s="70"/>
      <c r="F57" s="14" t="s">
        <v>23</v>
      </c>
      <c r="G57" s="11"/>
      <c r="H57" s="67"/>
      <c r="I57" s="12"/>
      <c r="J57" s="61"/>
      <c r="K57" s="71"/>
      <c r="L57" s="62"/>
      <c r="M57" s="15"/>
      <c r="N57" s="73"/>
      <c r="O57" s="15"/>
    </row>
    <row r="58" spans="1:15" x14ac:dyDescent="0.25">
      <c r="A58" s="16">
        <v>17009</v>
      </c>
      <c r="B58" s="49">
        <v>400</v>
      </c>
      <c r="C58" s="17" t="s">
        <v>288</v>
      </c>
      <c r="D58" s="13">
        <v>17068</v>
      </c>
      <c r="E58" s="70">
        <v>400</v>
      </c>
      <c r="F58" s="14" t="s">
        <v>288</v>
      </c>
      <c r="G58" s="11"/>
      <c r="H58" s="67"/>
      <c r="I58" s="12"/>
      <c r="J58" s="61"/>
      <c r="K58" s="71"/>
      <c r="L58" s="62"/>
      <c r="M58" s="15"/>
      <c r="N58" s="73"/>
      <c r="O58" s="15"/>
    </row>
    <row r="59" spans="1:15" x14ac:dyDescent="0.25">
      <c r="A59" s="16">
        <v>17010</v>
      </c>
      <c r="B59" s="49">
        <v>400</v>
      </c>
      <c r="C59" s="17"/>
      <c r="D59" s="13">
        <v>17069</v>
      </c>
      <c r="E59" s="70">
        <v>200</v>
      </c>
      <c r="F59" s="14" t="s">
        <v>288</v>
      </c>
      <c r="G59" s="11"/>
      <c r="H59" s="67"/>
      <c r="I59" s="12"/>
      <c r="J59" s="61"/>
      <c r="K59" s="71"/>
      <c r="L59" s="62"/>
      <c r="M59" s="15"/>
      <c r="N59" s="73"/>
      <c r="O59" s="15"/>
    </row>
    <row r="60" spans="1:15" x14ac:dyDescent="0.25">
      <c r="A60" s="16">
        <v>17011</v>
      </c>
      <c r="B60" s="49">
        <v>400</v>
      </c>
      <c r="C60" s="17"/>
      <c r="D60" s="13">
        <v>17070</v>
      </c>
      <c r="E60" s="70">
        <v>400</v>
      </c>
      <c r="F60" s="14" t="s">
        <v>351</v>
      </c>
      <c r="G60" s="11"/>
      <c r="H60" s="67"/>
      <c r="I60" s="12"/>
      <c r="J60" s="61"/>
      <c r="K60" s="71"/>
      <c r="L60" s="62"/>
      <c r="M60" s="15"/>
      <c r="N60" s="73"/>
      <c r="O60" s="15"/>
    </row>
    <row r="61" spans="1:15" x14ac:dyDescent="0.25">
      <c r="A61" s="16">
        <v>17012</v>
      </c>
      <c r="B61" s="49">
        <v>300</v>
      </c>
      <c r="C61" s="17"/>
      <c r="D61" s="13">
        <v>17071</v>
      </c>
      <c r="E61" s="70">
        <v>350</v>
      </c>
      <c r="F61" s="14" t="s">
        <v>352</v>
      </c>
      <c r="G61" s="11"/>
      <c r="H61" s="67"/>
      <c r="I61" s="12"/>
      <c r="J61" s="61"/>
      <c r="K61" s="71"/>
      <c r="L61" s="62"/>
      <c r="M61" s="15"/>
      <c r="N61" s="73"/>
      <c r="O61" s="15"/>
    </row>
    <row r="62" spans="1:15" x14ac:dyDescent="0.25">
      <c r="A62" s="16">
        <v>17013</v>
      </c>
      <c r="B62" s="49">
        <v>400</v>
      </c>
      <c r="C62" s="17"/>
      <c r="D62" s="13">
        <v>17072</v>
      </c>
      <c r="E62" s="70">
        <v>600</v>
      </c>
      <c r="F62" s="14" t="s">
        <v>208</v>
      </c>
      <c r="G62" s="11"/>
      <c r="H62" s="67"/>
      <c r="I62" s="12"/>
      <c r="J62" s="61"/>
      <c r="K62" s="71"/>
      <c r="L62" s="62"/>
      <c r="M62" s="15"/>
      <c r="N62" s="73"/>
      <c r="O62" s="15"/>
    </row>
    <row r="63" spans="1:15" x14ac:dyDescent="0.25">
      <c r="A63" s="16">
        <v>17014</v>
      </c>
      <c r="B63" s="49">
        <v>400</v>
      </c>
      <c r="C63" s="17"/>
      <c r="D63" s="13"/>
      <c r="E63" s="70"/>
      <c r="F63" s="14" t="s">
        <v>15</v>
      </c>
      <c r="G63" s="11"/>
      <c r="H63" s="67"/>
      <c r="I63" s="12"/>
      <c r="J63" s="61"/>
      <c r="K63" s="71"/>
      <c r="L63" s="62"/>
      <c r="M63" s="15"/>
      <c r="N63" s="73"/>
      <c r="O63" s="15"/>
    </row>
    <row r="64" spans="1:15" x14ac:dyDescent="0.25">
      <c r="A64" s="16">
        <v>17015</v>
      </c>
      <c r="B64" s="49">
        <v>400</v>
      </c>
      <c r="C64" s="17" t="s">
        <v>288</v>
      </c>
      <c r="D64" s="13">
        <v>17073</v>
      </c>
      <c r="E64" s="70">
        <v>800</v>
      </c>
      <c r="F64" s="14" t="s">
        <v>307</v>
      </c>
      <c r="G64" s="11"/>
      <c r="H64" s="67"/>
      <c r="I64" s="12"/>
      <c r="J64" s="61"/>
      <c r="K64" s="71"/>
      <c r="L64" s="62"/>
      <c r="M64" s="15"/>
      <c r="N64" s="73"/>
      <c r="O64" s="15"/>
    </row>
    <row r="65" spans="1:15" x14ac:dyDescent="0.25">
      <c r="A65" s="16">
        <v>17016</v>
      </c>
      <c r="B65" s="49">
        <v>200</v>
      </c>
      <c r="C65" s="17"/>
      <c r="D65" s="13"/>
      <c r="E65" s="70"/>
      <c r="F65" s="14" t="s">
        <v>20</v>
      </c>
      <c r="G65" s="11"/>
      <c r="H65" s="67"/>
      <c r="I65" s="12"/>
      <c r="J65" s="61"/>
      <c r="K65" s="71"/>
      <c r="L65" s="62"/>
      <c r="M65" s="15"/>
      <c r="N65" s="73"/>
      <c r="O65" s="15"/>
    </row>
    <row r="66" spans="1:15" x14ac:dyDescent="0.25">
      <c r="A66" s="16">
        <v>17017</v>
      </c>
      <c r="B66" s="49">
        <v>1500</v>
      </c>
      <c r="C66" s="17" t="s">
        <v>188</v>
      </c>
      <c r="D66" s="13">
        <v>17074</v>
      </c>
      <c r="E66" s="70">
        <v>900</v>
      </c>
      <c r="F66" s="14" t="s">
        <v>302</v>
      </c>
      <c r="G66" s="11"/>
      <c r="H66" s="67"/>
      <c r="I66" s="12"/>
      <c r="J66" s="61"/>
      <c r="K66" s="71"/>
      <c r="L66" s="62"/>
      <c r="M66" s="15"/>
      <c r="N66" s="73"/>
      <c r="O66" s="15"/>
    </row>
    <row r="67" spans="1:15" x14ac:dyDescent="0.25">
      <c r="A67" s="16"/>
      <c r="B67" s="49"/>
      <c r="C67" s="17" t="s">
        <v>338</v>
      </c>
      <c r="D67" s="13"/>
      <c r="E67" s="70"/>
      <c r="F67" s="14" t="s">
        <v>23</v>
      </c>
      <c r="G67" s="11"/>
      <c r="H67" s="67"/>
      <c r="I67" s="12"/>
      <c r="J67" s="61"/>
      <c r="K67" s="71"/>
      <c r="L67" s="62"/>
      <c r="M67" s="15"/>
      <c r="N67" s="73"/>
      <c r="O67" s="15"/>
    </row>
    <row r="68" spans="1:15" x14ac:dyDescent="0.25">
      <c r="A68" s="16">
        <v>17018</v>
      </c>
      <c r="B68" s="49">
        <v>400</v>
      </c>
      <c r="C68" s="17"/>
      <c r="D68" s="13">
        <v>17075</v>
      </c>
      <c r="E68" s="70">
        <v>400</v>
      </c>
      <c r="F68" s="14" t="s">
        <v>191</v>
      </c>
      <c r="G68" s="11"/>
      <c r="H68" s="67"/>
      <c r="I68" s="12"/>
      <c r="J68" s="61"/>
      <c r="K68" s="71"/>
      <c r="L68" s="62"/>
      <c r="M68" s="15"/>
      <c r="N68" s="73"/>
      <c r="O68" s="15"/>
    </row>
    <row r="69" spans="1:15" x14ac:dyDescent="0.25">
      <c r="A69" s="16">
        <v>17019</v>
      </c>
      <c r="B69" s="49">
        <v>800</v>
      </c>
      <c r="C69" s="17" t="s">
        <v>206</v>
      </c>
      <c r="D69" s="13"/>
      <c r="E69" s="70"/>
      <c r="F69" s="14" t="s">
        <v>15</v>
      </c>
      <c r="G69" s="11"/>
      <c r="H69" s="67"/>
      <c r="I69" s="12"/>
      <c r="J69" s="61"/>
      <c r="K69" s="71"/>
      <c r="L69" s="62"/>
      <c r="M69" s="15"/>
      <c r="N69" s="73"/>
      <c r="O69" s="15"/>
    </row>
    <row r="70" spans="1:15" x14ac:dyDescent="0.25">
      <c r="A70" s="16"/>
      <c r="B70" s="49"/>
      <c r="C70" s="17" t="s">
        <v>20</v>
      </c>
      <c r="D70" s="13">
        <v>17076</v>
      </c>
      <c r="E70" s="70">
        <v>800</v>
      </c>
      <c r="F70" s="14" t="s">
        <v>307</v>
      </c>
      <c r="G70" s="11"/>
      <c r="H70" s="67"/>
      <c r="I70" s="12"/>
      <c r="J70" s="61"/>
      <c r="K70" s="71"/>
      <c r="L70" s="62"/>
      <c r="M70" s="15"/>
      <c r="N70" s="73"/>
      <c r="O70" s="15"/>
    </row>
    <row r="71" spans="1:15" x14ac:dyDescent="0.25">
      <c r="A71" s="16">
        <v>17020</v>
      </c>
      <c r="B71" s="49">
        <v>1500</v>
      </c>
      <c r="C71" s="17" t="s">
        <v>339</v>
      </c>
      <c r="D71" s="13"/>
      <c r="E71" s="70"/>
      <c r="F71" s="14" t="s">
        <v>20</v>
      </c>
      <c r="G71" s="11"/>
      <c r="H71" s="67"/>
      <c r="I71" s="12"/>
      <c r="J71" s="61"/>
      <c r="K71" s="71"/>
      <c r="L71" s="62"/>
      <c r="M71" s="15"/>
      <c r="N71" s="73"/>
      <c r="O71" s="15"/>
    </row>
    <row r="72" spans="1:15" x14ac:dyDescent="0.25">
      <c r="A72" s="16"/>
      <c r="B72" s="49"/>
      <c r="C72" s="17" t="s">
        <v>340</v>
      </c>
      <c r="D72" s="13">
        <v>17077</v>
      </c>
      <c r="E72" s="70">
        <v>800</v>
      </c>
      <c r="F72" s="14" t="s">
        <v>307</v>
      </c>
      <c r="G72" s="11"/>
      <c r="H72" s="67"/>
      <c r="I72" s="12"/>
      <c r="J72" s="61"/>
      <c r="K72" s="71"/>
      <c r="L72" s="62"/>
      <c r="M72" s="15"/>
      <c r="N72" s="73"/>
      <c r="O72" s="15"/>
    </row>
    <row r="73" spans="1:15" x14ac:dyDescent="0.25">
      <c r="A73" s="16">
        <v>17021</v>
      </c>
      <c r="B73" s="49">
        <v>200</v>
      </c>
      <c r="C73" s="17" t="s">
        <v>288</v>
      </c>
      <c r="D73" s="13"/>
      <c r="E73" s="70"/>
      <c r="F73" s="14" t="s">
        <v>20</v>
      </c>
      <c r="G73" s="11"/>
      <c r="H73" s="67"/>
      <c r="I73" s="12"/>
      <c r="J73" s="61"/>
      <c r="K73" s="71"/>
      <c r="L73" s="62"/>
      <c r="M73" s="15"/>
      <c r="N73" s="73"/>
      <c r="O73" s="15"/>
    </row>
    <row r="74" spans="1:15" x14ac:dyDescent="0.25">
      <c r="A74" s="16">
        <v>17022</v>
      </c>
      <c r="B74" s="49">
        <v>600</v>
      </c>
      <c r="C74" s="17" t="s">
        <v>341</v>
      </c>
      <c r="D74" s="13">
        <v>17078</v>
      </c>
      <c r="E74" s="70">
        <v>300</v>
      </c>
      <c r="F74" s="14"/>
      <c r="G74" s="11"/>
      <c r="H74" s="67"/>
      <c r="I74" s="12"/>
      <c r="J74" s="61"/>
      <c r="K74" s="71"/>
      <c r="L74" s="62"/>
      <c r="M74" s="15"/>
      <c r="N74" s="73"/>
      <c r="O74" s="15"/>
    </row>
    <row r="75" spans="1:15" x14ac:dyDescent="0.25">
      <c r="A75" s="16">
        <v>17023</v>
      </c>
      <c r="B75" s="49">
        <v>800</v>
      </c>
      <c r="C75" s="17" t="s">
        <v>206</v>
      </c>
      <c r="D75" s="13">
        <v>17079</v>
      </c>
      <c r="E75" s="70">
        <v>800</v>
      </c>
      <c r="F75" s="14" t="s">
        <v>307</v>
      </c>
      <c r="G75" s="11"/>
      <c r="H75" s="67"/>
      <c r="I75" s="12"/>
      <c r="J75" s="61"/>
      <c r="K75" s="71"/>
      <c r="L75" s="62"/>
      <c r="M75" s="15"/>
      <c r="N75" s="73"/>
      <c r="O75" s="15"/>
    </row>
    <row r="76" spans="1:15" x14ac:dyDescent="0.25">
      <c r="A76" s="16"/>
      <c r="B76" s="49"/>
      <c r="C76" s="17" t="s">
        <v>20</v>
      </c>
      <c r="D76" s="13"/>
      <c r="E76" s="70"/>
      <c r="F76" s="14" t="s">
        <v>20</v>
      </c>
      <c r="G76" s="11"/>
      <c r="H76" s="67"/>
      <c r="I76" s="12"/>
      <c r="J76" s="61"/>
      <c r="K76" s="71"/>
      <c r="L76" s="62"/>
      <c r="M76" s="15"/>
      <c r="N76" s="73"/>
      <c r="O76" s="15"/>
    </row>
    <row r="77" spans="1:15" x14ac:dyDescent="0.25">
      <c r="A77" s="16">
        <v>17024</v>
      </c>
      <c r="B77" s="49">
        <v>600</v>
      </c>
      <c r="C77" s="17" t="s">
        <v>307</v>
      </c>
      <c r="D77" s="13">
        <v>17080</v>
      </c>
      <c r="E77" s="70">
        <v>1050</v>
      </c>
      <c r="F77" s="14" t="s">
        <v>315</v>
      </c>
      <c r="G77" s="11"/>
      <c r="H77" s="67"/>
      <c r="I77" s="12"/>
      <c r="J77" s="61"/>
      <c r="K77" s="71"/>
      <c r="L77" s="62"/>
      <c r="M77" s="15"/>
      <c r="N77" s="73"/>
      <c r="O77" s="15"/>
    </row>
    <row r="78" spans="1:15" x14ac:dyDescent="0.25">
      <c r="A78" s="16"/>
      <c r="B78" s="49"/>
      <c r="C78" s="17" t="s">
        <v>23</v>
      </c>
      <c r="D78" s="13"/>
      <c r="E78" s="70"/>
      <c r="F78" s="14" t="s">
        <v>43</v>
      </c>
      <c r="G78" s="11"/>
      <c r="H78" s="67"/>
      <c r="I78" s="12"/>
      <c r="J78" s="61"/>
      <c r="K78" s="71"/>
      <c r="L78" s="62"/>
      <c r="M78" s="15"/>
      <c r="N78" s="73"/>
      <c r="O78" s="15"/>
    </row>
    <row r="79" spans="1:15" x14ac:dyDescent="0.25">
      <c r="A79" s="16">
        <v>17025</v>
      </c>
      <c r="B79" s="49">
        <v>250</v>
      </c>
      <c r="C79" s="17" t="s">
        <v>342</v>
      </c>
      <c r="D79" s="13">
        <v>17081</v>
      </c>
      <c r="E79" s="70">
        <v>50</v>
      </c>
      <c r="F79" s="14" t="s">
        <v>110</v>
      </c>
      <c r="G79" s="11"/>
      <c r="H79" s="67"/>
      <c r="I79" s="12"/>
      <c r="J79" s="61"/>
      <c r="K79" s="71"/>
      <c r="L79" s="62"/>
      <c r="M79" s="15"/>
      <c r="N79" s="73"/>
      <c r="O79" s="15"/>
    </row>
    <row r="80" spans="1:15" x14ac:dyDescent="0.25">
      <c r="A80" s="16">
        <v>17026</v>
      </c>
      <c r="B80" s="49">
        <v>800</v>
      </c>
      <c r="C80" s="17" t="s">
        <v>307</v>
      </c>
      <c r="D80" s="13">
        <v>17082</v>
      </c>
      <c r="E80" s="70">
        <v>800</v>
      </c>
      <c r="F80" s="14" t="s">
        <v>191</v>
      </c>
      <c r="G80" s="11"/>
      <c r="H80" s="67"/>
      <c r="I80" s="12"/>
      <c r="J80" s="61"/>
      <c r="K80" s="71"/>
      <c r="L80" s="62"/>
      <c r="M80" s="15"/>
      <c r="N80" s="73"/>
      <c r="O80" s="15"/>
    </row>
    <row r="81" spans="1:16" x14ac:dyDescent="0.25">
      <c r="A81" s="16"/>
      <c r="B81" s="49"/>
      <c r="C81" s="17" t="s">
        <v>20</v>
      </c>
      <c r="D81" s="13"/>
      <c r="E81" s="70"/>
      <c r="F81" s="14" t="s">
        <v>20</v>
      </c>
      <c r="G81" s="11"/>
      <c r="H81" s="67"/>
      <c r="I81" s="12"/>
      <c r="J81" s="61"/>
      <c r="K81" s="71"/>
      <c r="L81" s="62"/>
      <c r="M81" s="15"/>
      <c r="N81" s="73"/>
      <c r="O81" s="15"/>
    </row>
    <row r="82" spans="1:16" x14ac:dyDescent="0.25">
      <c r="A82" s="16">
        <v>17027</v>
      </c>
      <c r="B82" s="49">
        <v>400</v>
      </c>
      <c r="C82" s="17" t="s">
        <v>230</v>
      </c>
      <c r="D82" s="13">
        <v>17083</v>
      </c>
      <c r="E82" s="70"/>
      <c r="F82" s="14" t="s">
        <v>343</v>
      </c>
      <c r="G82" s="11"/>
      <c r="H82" s="67"/>
      <c r="I82" s="12"/>
      <c r="J82" s="61"/>
      <c r="K82" s="71"/>
      <c r="L82" s="62"/>
      <c r="M82" s="15"/>
      <c r="N82" s="73"/>
      <c r="O82" s="15"/>
    </row>
    <row r="83" spans="1:16" x14ac:dyDescent="0.25">
      <c r="A83" s="16"/>
      <c r="B83" s="49"/>
      <c r="C83" s="17" t="s">
        <v>15</v>
      </c>
      <c r="D83" s="13">
        <v>17084</v>
      </c>
      <c r="E83" s="70">
        <v>200</v>
      </c>
      <c r="F83" s="14"/>
      <c r="G83" s="11"/>
      <c r="H83" s="67"/>
      <c r="I83" s="12"/>
      <c r="J83" s="61"/>
      <c r="K83" s="71"/>
      <c r="L83" s="62"/>
      <c r="M83" s="15"/>
      <c r="N83" s="73"/>
      <c r="O83" s="15"/>
    </row>
    <row r="84" spans="1:16" x14ac:dyDescent="0.25">
      <c r="A84" s="16">
        <v>17028</v>
      </c>
      <c r="B84" s="49">
        <v>200</v>
      </c>
      <c r="C84" s="17" t="s">
        <v>162</v>
      </c>
      <c r="D84" s="13">
        <v>17085</v>
      </c>
      <c r="E84" s="70">
        <v>300</v>
      </c>
      <c r="F84" s="14" t="s">
        <v>213</v>
      </c>
      <c r="G84" s="11"/>
      <c r="H84" s="67"/>
      <c r="I84" s="12"/>
      <c r="J84" s="61"/>
      <c r="K84" s="71"/>
      <c r="L84" s="62"/>
      <c r="M84" s="15"/>
      <c r="N84" s="73"/>
      <c r="O84" s="15"/>
    </row>
    <row r="85" spans="1:16" x14ac:dyDescent="0.25">
      <c r="A85" s="16">
        <v>17029</v>
      </c>
      <c r="B85" s="49">
        <v>300</v>
      </c>
      <c r="C85" s="17"/>
      <c r="D85" s="13">
        <v>17086</v>
      </c>
      <c r="E85" s="70">
        <v>450</v>
      </c>
      <c r="F85" s="14" t="s">
        <v>208</v>
      </c>
      <c r="G85" s="11"/>
      <c r="H85" s="67"/>
      <c r="I85" s="12"/>
      <c r="J85" s="61"/>
      <c r="K85" s="71"/>
      <c r="L85" s="62"/>
      <c r="M85" s="15"/>
      <c r="N85" s="73"/>
      <c r="O85" s="15"/>
    </row>
    <row r="86" spans="1:16" x14ac:dyDescent="0.25">
      <c r="A86" s="16">
        <v>17030</v>
      </c>
      <c r="B86" s="49">
        <v>300</v>
      </c>
      <c r="C86" s="17"/>
      <c r="D86" s="13"/>
      <c r="E86" s="70"/>
      <c r="F86" s="14" t="s">
        <v>36</v>
      </c>
      <c r="G86" s="11"/>
      <c r="H86" s="67"/>
      <c r="I86" s="12"/>
      <c r="J86" s="61"/>
      <c r="K86" s="71"/>
      <c r="L86" s="62"/>
      <c r="M86" s="15"/>
      <c r="N86" s="73"/>
      <c r="O86" s="15"/>
    </row>
    <row r="87" spans="1:16" x14ac:dyDescent="0.25">
      <c r="A87" s="16">
        <v>17031</v>
      </c>
      <c r="B87" s="49">
        <v>1600</v>
      </c>
      <c r="C87" s="17" t="s">
        <v>309</v>
      </c>
      <c r="D87" s="13">
        <v>17087</v>
      </c>
      <c r="E87" s="70">
        <v>600</v>
      </c>
      <c r="F87" s="14" t="s">
        <v>309</v>
      </c>
      <c r="G87" s="11"/>
      <c r="H87" s="67"/>
      <c r="I87" s="12"/>
      <c r="J87" s="61"/>
      <c r="K87" s="71"/>
      <c r="L87" s="62"/>
      <c r="M87" s="15"/>
      <c r="N87" s="73"/>
      <c r="O87" s="15"/>
    </row>
    <row r="88" spans="1:16" x14ac:dyDescent="0.25">
      <c r="A88" s="16"/>
      <c r="B88" s="49"/>
      <c r="C88" s="17" t="s">
        <v>20</v>
      </c>
      <c r="D88" s="13"/>
      <c r="E88" s="70"/>
      <c r="F88" s="14" t="s">
        <v>36</v>
      </c>
      <c r="G88" s="11"/>
      <c r="H88" s="67"/>
      <c r="I88" s="12"/>
      <c r="J88" s="61"/>
      <c r="K88" s="71"/>
      <c r="L88" s="62"/>
      <c r="M88" s="15"/>
      <c r="N88" s="73"/>
      <c r="O88" s="15"/>
    </row>
    <row r="89" spans="1:16" x14ac:dyDescent="0.25">
      <c r="A89" s="16">
        <v>17032</v>
      </c>
      <c r="B89" s="49">
        <v>300</v>
      </c>
      <c r="C89" s="17" t="s">
        <v>288</v>
      </c>
      <c r="D89" s="13">
        <v>17088</v>
      </c>
      <c r="E89" s="70">
        <v>400</v>
      </c>
      <c r="F89" s="14"/>
      <c r="G89" s="11"/>
      <c r="H89" s="67"/>
      <c r="I89" s="12"/>
      <c r="J89" s="61"/>
      <c r="K89" s="71"/>
      <c r="L89" s="62"/>
      <c r="M89" s="15"/>
      <c r="N89" s="73"/>
      <c r="O89" s="15"/>
    </row>
    <row r="90" spans="1:16" x14ac:dyDescent="0.25">
      <c r="A90" s="26"/>
      <c r="B90" s="66"/>
      <c r="C90" s="58"/>
      <c r="D90" s="26"/>
      <c r="E90" s="74"/>
      <c r="F90" s="58"/>
      <c r="G90" s="26"/>
      <c r="H90" s="74"/>
      <c r="I90" s="58"/>
      <c r="J90" s="26"/>
      <c r="K90" s="74"/>
      <c r="L90" s="58"/>
      <c r="M90" s="58"/>
      <c r="N90" s="74"/>
      <c r="O90" s="58"/>
      <c r="P90" s="58"/>
    </row>
    <row r="91" spans="1:16" x14ac:dyDescent="0.25">
      <c r="A91" s="26"/>
      <c r="B91" s="66"/>
      <c r="C91" s="58"/>
      <c r="D91" s="26"/>
      <c r="E91" s="74"/>
      <c r="F91" s="58"/>
      <c r="G91" s="26"/>
      <c r="H91" s="74"/>
      <c r="I91" s="58"/>
      <c r="J91" s="26"/>
      <c r="K91" s="74"/>
      <c r="L91" s="58"/>
      <c r="M91" s="58"/>
      <c r="N91" s="74"/>
      <c r="O91" s="58"/>
      <c r="P91" s="58"/>
    </row>
    <row r="92" spans="1:16" x14ac:dyDescent="0.25">
      <c r="A92" s="26"/>
      <c r="B92" s="66"/>
      <c r="C92" s="58"/>
      <c r="D92" s="26"/>
      <c r="E92" s="74"/>
      <c r="F92" s="58"/>
      <c r="G92" s="26"/>
      <c r="H92" s="74"/>
      <c r="I92" s="58"/>
      <c r="J92" s="26"/>
      <c r="K92" s="74"/>
      <c r="L92" s="58"/>
      <c r="M92" s="58"/>
      <c r="N92" s="74"/>
      <c r="O92" s="58"/>
      <c r="P92" s="58"/>
    </row>
    <row r="93" spans="1:16" x14ac:dyDescent="0.25">
      <c r="A93" s="26"/>
      <c r="B93" s="66"/>
      <c r="C93" s="58"/>
      <c r="D93" s="26"/>
      <c r="E93" s="74"/>
      <c r="F93" s="58"/>
      <c r="G93" s="26"/>
      <c r="H93" s="74"/>
      <c r="I93" s="58"/>
      <c r="J93" s="26"/>
      <c r="K93" s="74"/>
      <c r="L93" s="58"/>
      <c r="M93" s="58"/>
      <c r="N93" s="74"/>
      <c r="O93" s="58"/>
      <c r="P93" s="58"/>
    </row>
    <row r="94" spans="1:16" x14ac:dyDescent="0.25">
      <c r="A94" s="26"/>
      <c r="B94" s="66"/>
      <c r="C94" s="58"/>
      <c r="D94" s="26"/>
      <c r="E94" s="74"/>
      <c r="F94" s="58"/>
      <c r="G94" s="26"/>
      <c r="H94" s="74"/>
      <c r="I94" s="58"/>
      <c r="J94" s="26"/>
      <c r="K94" s="74"/>
      <c r="L94" s="58"/>
      <c r="M94" s="58"/>
      <c r="N94" s="74"/>
      <c r="O94" s="58"/>
      <c r="P94" s="58"/>
    </row>
    <row r="95" spans="1:16" x14ac:dyDescent="0.25">
      <c r="A95" s="26"/>
      <c r="B95" s="66"/>
      <c r="C95" s="58"/>
      <c r="D95" s="26"/>
      <c r="E95" s="58"/>
      <c r="F95" s="58"/>
      <c r="G95" s="26"/>
      <c r="H95" s="74"/>
      <c r="I95" s="58"/>
      <c r="J95" s="26"/>
      <c r="K95" s="74"/>
      <c r="L95" s="58"/>
      <c r="M95" s="58"/>
      <c r="N95" s="58"/>
      <c r="O95" s="58"/>
      <c r="P95" s="58"/>
    </row>
    <row r="96" spans="1:16" x14ac:dyDescent="0.25">
      <c r="A96" s="26"/>
      <c r="B96" s="66"/>
      <c r="C96" s="58"/>
      <c r="D96" s="26"/>
      <c r="E96" s="58"/>
      <c r="F96" s="58"/>
      <c r="G96" s="26"/>
      <c r="H96" s="58"/>
      <c r="I96" s="58"/>
      <c r="J96" s="26"/>
      <c r="K96" s="58"/>
      <c r="L96" s="58"/>
      <c r="M96" s="58"/>
      <c r="N96" s="58"/>
      <c r="O96" s="58"/>
    </row>
    <row r="97" spans="1:15" x14ac:dyDescent="0.25">
      <c r="A97" s="26"/>
      <c r="B97" s="66"/>
      <c r="C97" s="58"/>
      <c r="D97" s="26"/>
      <c r="E97" s="58"/>
      <c r="F97" s="58"/>
      <c r="G97" s="26"/>
      <c r="H97" s="58"/>
      <c r="I97" s="58"/>
      <c r="J97" s="26"/>
      <c r="K97" s="58"/>
      <c r="L97" s="58"/>
      <c r="M97" s="58"/>
      <c r="N97" s="58"/>
      <c r="O97" s="58"/>
    </row>
    <row r="98" spans="1:15" x14ac:dyDescent="0.25">
      <c r="A98" s="26"/>
      <c r="B98" s="66"/>
      <c r="C98" s="58"/>
      <c r="D98" s="26"/>
      <c r="E98" s="58"/>
      <c r="F98" s="58"/>
      <c r="G98" s="26"/>
      <c r="H98" s="58"/>
      <c r="I98" s="58"/>
      <c r="J98" s="26"/>
      <c r="K98" s="58"/>
      <c r="L98" s="58"/>
      <c r="M98" s="58"/>
      <c r="N98" s="58"/>
      <c r="O98" s="58"/>
    </row>
    <row r="99" spans="1:15" x14ac:dyDescent="0.25">
      <c r="A99" s="26"/>
      <c r="B99" s="66"/>
      <c r="C99" s="58"/>
      <c r="D99" s="26"/>
      <c r="E99" s="58"/>
      <c r="F99" s="58"/>
      <c r="G99" s="26"/>
      <c r="H99" s="58"/>
      <c r="I99" s="58"/>
      <c r="J99" s="26"/>
      <c r="K99" s="58"/>
      <c r="L99" s="58"/>
      <c r="M99" s="58"/>
      <c r="N99" s="58"/>
      <c r="O99" s="58"/>
    </row>
    <row r="100" spans="1:15" x14ac:dyDescent="0.25">
      <c r="A100" s="26"/>
      <c r="B100" s="66"/>
      <c r="C100" s="58"/>
      <c r="D100" s="26"/>
      <c r="E100" s="58"/>
      <c r="F100" s="58"/>
      <c r="G100" s="26"/>
      <c r="H100" s="58"/>
      <c r="I100" s="58"/>
      <c r="J100" s="26"/>
      <c r="K100" s="58"/>
      <c r="L100" s="58"/>
      <c r="M100" s="58"/>
      <c r="N100" s="58"/>
      <c r="O100" s="58"/>
    </row>
    <row r="101" spans="1:15" x14ac:dyDescent="0.25">
      <c r="A101" s="26"/>
      <c r="B101" s="66"/>
      <c r="C101" s="58"/>
      <c r="D101" s="26"/>
      <c r="E101" s="58"/>
      <c r="F101" s="58"/>
      <c r="G101" s="26"/>
      <c r="H101" s="58"/>
      <c r="I101" s="58"/>
      <c r="J101" s="26"/>
      <c r="K101" s="58"/>
      <c r="L101" s="58"/>
      <c r="M101" s="58"/>
      <c r="N101" s="58"/>
      <c r="O101" s="58"/>
    </row>
    <row r="102" spans="1:15" x14ac:dyDescent="0.25">
      <c r="A102" s="26"/>
      <c r="B102" s="66"/>
      <c r="C102" s="58"/>
      <c r="D102" s="26"/>
      <c r="E102" s="58"/>
      <c r="F102" s="58"/>
      <c r="G102" s="26"/>
      <c r="H102" s="58"/>
      <c r="I102" s="58"/>
      <c r="J102" s="26"/>
      <c r="K102" s="58"/>
      <c r="L102" s="58"/>
      <c r="M102" s="58"/>
      <c r="N102" s="58"/>
      <c r="O102" s="58"/>
    </row>
    <row r="103" spans="1:15" x14ac:dyDescent="0.25">
      <c r="A103" s="26"/>
      <c r="B103" s="66"/>
      <c r="C103" s="58"/>
      <c r="D103" s="26"/>
      <c r="E103" s="58"/>
      <c r="F103" s="58"/>
      <c r="G103" s="26"/>
      <c r="H103" s="58"/>
      <c r="I103" s="58"/>
      <c r="J103" s="26"/>
      <c r="K103" s="58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58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58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66"/>
      <c r="C106" s="58"/>
      <c r="D106" s="26"/>
      <c r="E106" s="58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66"/>
      <c r="C107" s="58"/>
      <c r="D107" s="26"/>
      <c r="E107" s="58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66"/>
      <c r="C108" s="58"/>
      <c r="D108" s="26"/>
      <c r="E108" s="58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66"/>
      <c r="C109" s="58"/>
      <c r="D109" s="26"/>
      <c r="E109" s="58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66"/>
      <c r="C110" s="58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66"/>
      <c r="C111" s="58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6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6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66"/>
      <c r="C536" s="58"/>
      <c r="G536" s="26"/>
      <c r="H536" s="58"/>
      <c r="I536" s="58"/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H5" workbookViewId="0">
      <pane ySplit="3" topLeftCell="A79" activePane="bottomLeft" state="frozen"/>
      <selection activeCell="A5" sqref="A5"/>
      <selection pane="bottomLeft" activeCell="A76" sqref="A76:P98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4.42578125" customWidth="1"/>
    <col min="4" max="4" width="7.7109375" style="6" customWidth="1"/>
    <col min="5" max="5" width="8.7109375" customWidth="1"/>
    <col min="6" max="6" width="2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2" t="s">
        <v>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4" t="s">
        <v>11</v>
      </c>
      <c r="M1" s="12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5" t="s">
        <v>8</v>
      </c>
      <c r="D3" s="12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6" t="s">
        <v>0</v>
      </c>
      <c r="B5" s="126"/>
      <c r="C5" s="126"/>
      <c r="D5" s="127" t="s">
        <v>4</v>
      </c>
      <c r="E5" s="127"/>
      <c r="F5" s="127"/>
      <c r="G5" s="128" t="s">
        <v>5</v>
      </c>
      <c r="H5" s="128"/>
      <c r="I5" s="128"/>
      <c r="J5" s="133" t="s">
        <v>6</v>
      </c>
      <c r="K5" s="133"/>
      <c r="L5" s="133"/>
      <c r="M5" s="121" t="s">
        <v>12</v>
      </c>
      <c r="N5" s="121"/>
      <c r="O5" s="121"/>
      <c r="Q5" s="130" t="s">
        <v>13</v>
      </c>
      <c r="R5" s="130"/>
    </row>
    <row r="6" spans="1:18" x14ac:dyDescent="0.25">
      <c r="A6" s="8">
        <f>SUBTOTAL(3,A8:A121)</f>
        <v>51</v>
      </c>
      <c r="B6" s="8">
        <f>SUBTOTAL(9,B8:B121)</f>
        <v>26925</v>
      </c>
      <c r="C6" s="35">
        <v>43348</v>
      </c>
      <c r="D6" s="8">
        <f>SUBTOTAL(3,D8:D120)</f>
        <v>41</v>
      </c>
      <c r="E6" s="1">
        <f>SUBTOTAL(9,E8:E126)</f>
        <v>18550</v>
      </c>
      <c r="F6" s="38">
        <v>43352</v>
      </c>
      <c r="G6" s="8">
        <f>SUBTOTAL(3,G8:G120)</f>
        <v>33</v>
      </c>
      <c r="H6" s="1">
        <f>SUBTOTAL(9,H8:H126)</f>
        <v>18300</v>
      </c>
      <c r="I6" s="39">
        <v>43359</v>
      </c>
      <c r="J6" s="8">
        <f>SUBTOTAL(3,J8:J111)</f>
        <v>39</v>
      </c>
      <c r="K6" s="1">
        <f>SUBTOTAL(9,K8:K111)</f>
        <v>18200</v>
      </c>
      <c r="L6" s="63">
        <v>43366</v>
      </c>
      <c r="M6" s="1">
        <f>SUBTOTAL(3,M8:M120)</f>
        <v>39</v>
      </c>
      <c r="N6" s="1">
        <f>SUBTOTAL(9,N8:N120)</f>
        <v>21100</v>
      </c>
      <c r="O6" s="85">
        <v>43373</v>
      </c>
      <c r="Q6" s="30">
        <f>+A6+D6+G6+J6+M6</f>
        <v>203</v>
      </c>
      <c r="R6" s="29">
        <f>+B6+E6+H6+K6+N6</f>
        <v>103075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17143</v>
      </c>
      <c r="B8" s="49">
        <v>600</v>
      </c>
      <c r="C8" s="17" t="s">
        <v>368</v>
      </c>
      <c r="D8" s="13">
        <v>17194</v>
      </c>
      <c r="E8" s="70">
        <v>200</v>
      </c>
      <c r="F8" s="14" t="s">
        <v>41</v>
      </c>
      <c r="G8" s="11">
        <v>17235</v>
      </c>
      <c r="H8" s="67">
        <v>200</v>
      </c>
      <c r="I8" s="12"/>
      <c r="J8" s="61">
        <v>17268</v>
      </c>
      <c r="K8" s="71">
        <v>1100</v>
      </c>
      <c r="L8" s="62" t="s">
        <v>388</v>
      </c>
      <c r="M8" s="75">
        <v>17307</v>
      </c>
      <c r="N8" s="73">
        <v>400</v>
      </c>
      <c r="O8" s="15" t="s">
        <v>288</v>
      </c>
      <c r="Q8" s="32"/>
      <c r="R8" s="32"/>
    </row>
    <row r="9" spans="1:18" x14ac:dyDescent="0.25">
      <c r="A9" s="16"/>
      <c r="B9" s="49"/>
      <c r="C9" s="17" t="s">
        <v>36</v>
      </c>
      <c r="D9" s="13">
        <v>17195</v>
      </c>
      <c r="E9" s="70">
        <v>300</v>
      </c>
      <c r="F9" s="14"/>
      <c r="G9" s="11">
        <v>17236</v>
      </c>
      <c r="H9" s="67">
        <v>200</v>
      </c>
      <c r="I9" s="12"/>
      <c r="J9" s="61"/>
      <c r="K9" s="71"/>
      <c r="L9" s="62" t="s">
        <v>389</v>
      </c>
      <c r="M9" s="75">
        <v>17308</v>
      </c>
      <c r="N9" s="73">
        <v>800</v>
      </c>
      <c r="O9" s="15" t="s">
        <v>307</v>
      </c>
    </row>
    <row r="10" spans="1:18" x14ac:dyDescent="0.25">
      <c r="A10" s="16"/>
      <c r="B10" s="49"/>
      <c r="C10" s="17" t="s">
        <v>369</v>
      </c>
      <c r="D10" s="13">
        <v>17196</v>
      </c>
      <c r="E10" s="70">
        <v>600</v>
      </c>
      <c r="F10" s="14" t="s">
        <v>313</v>
      </c>
      <c r="G10" s="11">
        <v>17237</v>
      </c>
      <c r="H10" s="67">
        <v>600</v>
      </c>
      <c r="I10" s="12" t="s">
        <v>328</v>
      </c>
      <c r="J10" s="61">
        <v>17269</v>
      </c>
      <c r="K10" s="71">
        <v>1200</v>
      </c>
      <c r="L10" s="62" t="s">
        <v>377</v>
      </c>
      <c r="M10" s="75"/>
      <c r="N10" s="73"/>
      <c r="O10" s="15" t="s">
        <v>20</v>
      </c>
    </row>
    <row r="11" spans="1:18" x14ac:dyDescent="0.25">
      <c r="A11" s="16">
        <v>17144</v>
      </c>
      <c r="B11" s="49">
        <v>400</v>
      </c>
      <c r="C11" s="17" t="s">
        <v>313</v>
      </c>
      <c r="D11" s="13">
        <v>17197</v>
      </c>
      <c r="E11" s="70">
        <v>300</v>
      </c>
      <c r="F11" s="14"/>
      <c r="G11" s="11"/>
      <c r="H11" s="67"/>
      <c r="I11" s="12" t="s">
        <v>23</v>
      </c>
      <c r="J11" s="61"/>
      <c r="K11" s="71"/>
      <c r="L11" s="62" t="s">
        <v>390</v>
      </c>
      <c r="M11" s="75">
        <v>17309</v>
      </c>
      <c r="N11" s="73">
        <v>150</v>
      </c>
      <c r="O11" s="15" t="s">
        <v>397</v>
      </c>
    </row>
    <row r="12" spans="1:18" x14ac:dyDescent="0.25">
      <c r="A12" s="16">
        <v>17145</v>
      </c>
      <c r="B12" s="49">
        <v>300</v>
      </c>
      <c r="C12" s="17"/>
      <c r="D12" s="13">
        <v>17198</v>
      </c>
      <c r="E12" s="70">
        <v>400</v>
      </c>
      <c r="F12" s="14" t="s">
        <v>313</v>
      </c>
      <c r="G12" s="11">
        <v>17238</v>
      </c>
      <c r="H12" s="67">
        <v>50</v>
      </c>
      <c r="I12" s="12" t="s">
        <v>110</v>
      </c>
      <c r="J12" s="61">
        <v>17270</v>
      </c>
      <c r="K12" s="71">
        <v>300</v>
      </c>
      <c r="L12" s="62"/>
      <c r="M12" s="75">
        <v>17310</v>
      </c>
      <c r="N12" s="73">
        <v>800</v>
      </c>
      <c r="O12" s="15" t="s">
        <v>307</v>
      </c>
    </row>
    <row r="13" spans="1:18" x14ac:dyDescent="0.25">
      <c r="A13" s="16">
        <v>17146</v>
      </c>
      <c r="B13" s="49">
        <v>400</v>
      </c>
      <c r="C13" s="17"/>
      <c r="D13" s="13">
        <v>17199</v>
      </c>
      <c r="E13" s="70"/>
      <c r="F13" s="14" t="s">
        <v>27</v>
      </c>
      <c r="G13" s="11">
        <v>17239</v>
      </c>
      <c r="H13" s="67">
        <v>800</v>
      </c>
      <c r="I13" s="12" t="s">
        <v>328</v>
      </c>
      <c r="J13" s="61">
        <v>17271</v>
      </c>
      <c r="K13" s="71">
        <v>600</v>
      </c>
      <c r="L13" s="62" t="s">
        <v>208</v>
      </c>
      <c r="M13" s="75"/>
      <c r="N13" s="73"/>
      <c r="O13" s="15" t="s">
        <v>20</v>
      </c>
    </row>
    <row r="14" spans="1:18" x14ac:dyDescent="0.25">
      <c r="A14" s="16">
        <v>17147</v>
      </c>
      <c r="B14" s="49">
        <v>800</v>
      </c>
      <c r="C14" s="17" t="s">
        <v>307</v>
      </c>
      <c r="D14" s="13">
        <v>17200</v>
      </c>
      <c r="E14" s="70">
        <v>200</v>
      </c>
      <c r="F14" s="14" t="s">
        <v>41</v>
      </c>
      <c r="G14" s="11"/>
      <c r="H14" s="67"/>
      <c r="I14" s="12" t="s">
        <v>20</v>
      </c>
      <c r="J14" s="61"/>
      <c r="K14" s="71"/>
      <c r="L14" s="62" t="s">
        <v>15</v>
      </c>
      <c r="M14" s="75">
        <v>17311</v>
      </c>
      <c r="N14" s="73">
        <v>400</v>
      </c>
      <c r="O14" s="31" t="s">
        <v>257</v>
      </c>
    </row>
    <row r="15" spans="1:18" x14ac:dyDescent="0.25">
      <c r="A15" s="16"/>
      <c r="B15" s="49"/>
      <c r="C15" s="17" t="s">
        <v>20</v>
      </c>
      <c r="D15" s="13">
        <v>17201</v>
      </c>
      <c r="E15" s="70">
        <v>800</v>
      </c>
      <c r="F15" s="14" t="s">
        <v>206</v>
      </c>
      <c r="G15" s="11">
        <v>17240</v>
      </c>
      <c r="H15" s="67">
        <v>400</v>
      </c>
      <c r="I15" s="12" t="s">
        <v>307</v>
      </c>
      <c r="J15" s="61">
        <v>17272</v>
      </c>
      <c r="K15" s="71">
        <v>700</v>
      </c>
      <c r="L15" s="68" t="s">
        <v>307</v>
      </c>
      <c r="M15" s="75">
        <v>17312</v>
      </c>
      <c r="N15" s="73">
        <v>600</v>
      </c>
      <c r="O15" s="15" t="s">
        <v>307</v>
      </c>
    </row>
    <row r="16" spans="1:18" x14ac:dyDescent="0.25">
      <c r="A16" s="16">
        <v>17148</v>
      </c>
      <c r="B16" s="49">
        <v>1600</v>
      </c>
      <c r="C16" s="17" t="s">
        <v>370</v>
      </c>
      <c r="D16" s="13"/>
      <c r="E16" s="70"/>
      <c r="F16" s="14" t="s">
        <v>20</v>
      </c>
      <c r="G16" s="11"/>
      <c r="H16" s="67"/>
      <c r="I16" s="12" t="s">
        <v>15</v>
      </c>
      <c r="J16" s="61"/>
      <c r="K16" s="71"/>
      <c r="L16" s="62" t="s">
        <v>43</v>
      </c>
      <c r="M16" s="75"/>
      <c r="N16" s="73"/>
      <c r="O16" s="15" t="s">
        <v>23</v>
      </c>
    </row>
    <row r="17" spans="1:15" x14ac:dyDescent="0.25">
      <c r="A17" s="16"/>
      <c r="B17" s="49"/>
      <c r="C17" s="17" t="s">
        <v>20</v>
      </c>
      <c r="D17" s="13">
        <v>17202</v>
      </c>
      <c r="E17" s="70">
        <v>800</v>
      </c>
      <c r="F17" s="14" t="s">
        <v>328</v>
      </c>
      <c r="G17" s="11">
        <v>17241</v>
      </c>
      <c r="H17" s="67">
        <v>1200</v>
      </c>
      <c r="I17" s="12" t="s">
        <v>302</v>
      </c>
      <c r="J17" s="61">
        <v>17273</v>
      </c>
      <c r="K17" s="71">
        <v>400</v>
      </c>
      <c r="L17" s="62" t="s">
        <v>288</v>
      </c>
      <c r="M17" s="75">
        <v>17313</v>
      </c>
      <c r="N17" s="73">
        <v>1000</v>
      </c>
      <c r="O17" s="15" t="s">
        <v>315</v>
      </c>
    </row>
    <row r="18" spans="1:15" x14ac:dyDescent="0.25">
      <c r="A18" s="16">
        <v>17149</v>
      </c>
      <c r="B18" s="49">
        <v>1200</v>
      </c>
      <c r="C18" s="17" t="s">
        <v>371</v>
      </c>
      <c r="D18" s="13"/>
      <c r="E18" s="70"/>
      <c r="F18" s="33" t="s">
        <v>20</v>
      </c>
      <c r="G18" s="11"/>
      <c r="H18" s="67"/>
      <c r="I18" s="12" t="s">
        <v>20</v>
      </c>
      <c r="J18" s="61">
        <v>17274</v>
      </c>
      <c r="K18" s="71">
        <v>600</v>
      </c>
      <c r="L18" s="62" t="s">
        <v>286</v>
      </c>
      <c r="M18" s="75"/>
      <c r="N18" s="73"/>
      <c r="O18" s="15" t="s">
        <v>398</v>
      </c>
    </row>
    <row r="19" spans="1:15" x14ac:dyDescent="0.25">
      <c r="A19" s="16"/>
      <c r="B19" s="49"/>
      <c r="C19" s="17" t="s">
        <v>20</v>
      </c>
      <c r="D19" s="13">
        <v>17203</v>
      </c>
      <c r="E19" s="70">
        <v>200</v>
      </c>
      <c r="F19" s="14" t="s">
        <v>41</v>
      </c>
      <c r="G19" s="11">
        <v>17242</v>
      </c>
      <c r="H19" s="67">
        <v>1000</v>
      </c>
      <c r="I19" s="12" t="s">
        <v>254</v>
      </c>
      <c r="J19" s="61"/>
      <c r="K19" s="71"/>
      <c r="L19" s="62" t="s">
        <v>15</v>
      </c>
      <c r="M19" s="75"/>
      <c r="N19" s="73"/>
      <c r="O19" s="15" t="s">
        <v>399</v>
      </c>
    </row>
    <row r="20" spans="1:15" x14ac:dyDescent="0.25">
      <c r="A20" s="16">
        <v>17150</v>
      </c>
      <c r="B20" s="49">
        <v>400</v>
      </c>
      <c r="C20" s="17"/>
      <c r="D20" s="13">
        <v>17204</v>
      </c>
      <c r="E20" s="70">
        <v>1200</v>
      </c>
      <c r="F20" s="14" t="s">
        <v>325</v>
      </c>
      <c r="G20" s="11"/>
      <c r="H20" s="67"/>
      <c r="I20" s="12" t="s">
        <v>69</v>
      </c>
      <c r="J20" s="61">
        <v>17275</v>
      </c>
      <c r="K20" s="71">
        <v>600</v>
      </c>
      <c r="L20" s="62" t="s">
        <v>328</v>
      </c>
      <c r="M20" s="75">
        <v>17314</v>
      </c>
      <c r="N20" s="73">
        <v>2400</v>
      </c>
      <c r="O20" s="15" t="s">
        <v>315</v>
      </c>
    </row>
    <row r="21" spans="1:15" x14ac:dyDescent="0.25">
      <c r="A21" s="16">
        <v>17151</v>
      </c>
      <c r="B21" s="49">
        <v>125</v>
      </c>
      <c r="C21" s="17"/>
      <c r="D21" s="13"/>
      <c r="E21" s="70"/>
      <c r="F21" s="14" t="s">
        <v>20</v>
      </c>
      <c r="G21" s="11">
        <v>17243</v>
      </c>
      <c r="H21" s="67">
        <v>1000</v>
      </c>
      <c r="I21" s="12" t="s">
        <v>355</v>
      </c>
      <c r="J21" s="61"/>
      <c r="K21" s="71"/>
      <c r="L21" s="62" t="s">
        <v>391</v>
      </c>
      <c r="M21" s="75"/>
      <c r="N21" s="73"/>
      <c r="O21" s="15" t="s">
        <v>20</v>
      </c>
    </row>
    <row r="22" spans="1:15" x14ac:dyDescent="0.25">
      <c r="A22" s="16">
        <v>17152</v>
      </c>
      <c r="B22" s="49">
        <v>800</v>
      </c>
      <c r="C22" s="17" t="s">
        <v>372</v>
      </c>
      <c r="D22" s="13">
        <v>17205</v>
      </c>
      <c r="E22" s="70">
        <v>400</v>
      </c>
      <c r="F22" s="14" t="s">
        <v>313</v>
      </c>
      <c r="G22" s="11"/>
      <c r="H22" s="67"/>
      <c r="I22" s="12" t="s">
        <v>384</v>
      </c>
      <c r="J22" s="61">
        <v>17276</v>
      </c>
      <c r="K22" s="71">
        <v>400</v>
      </c>
      <c r="L22" s="62" t="s">
        <v>206</v>
      </c>
      <c r="M22" s="75">
        <v>17315</v>
      </c>
      <c r="N22" s="73">
        <v>750</v>
      </c>
      <c r="O22" s="15" t="s">
        <v>315</v>
      </c>
    </row>
    <row r="23" spans="1:15" x14ac:dyDescent="0.25">
      <c r="A23" s="16"/>
      <c r="B23" s="49"/>
      <c r="C23" s="17" t="s">
        <v>20</v>
      </c>
      <c r="D23" s="13">
        <v>17206</v>
      </c>
      <c r="E23" s="70">
        <v>400</v>
      </c>
      <c r="F23" s="14"/>
      <c r="G23" s="11">
        <v>17244</v>
      </c>
      <c r="H23" s="67">
        <v>2100</v>
      </c>
      <c r="I23" s="12" t="s">
        <v>385</v>
      </c>
      <c r="J23" s="61"/>
      <c r="K23" s="71"/>
      <c r="L23" s="62" t="s">
        <v>15</v>
      </c>
      <c r="M23" s="75"/>
      <c r="N23" s="73"/>
      <c r="O23" s="15" t="s">
        <v>69</v>
      </c>
    </row>
    <row r="24" spans="1:15" x14ac:dyDescent="0.25">
      <c r="A24" s="16">
        <v>17153</v>
      </c>
      <c r="B24" s="49">
        <v>1200</v>
      </c>
      <c r="C24" s="17" t="s">
        <v>302</v>
      </c>
      <c r="D24" s="13">
        <v>17207</v>
      </c>
      <c r="E24" s="70">
        <v>1200</v>
      </c>
      <c r="F24" s="14" t="s">
        <v>380</v>
      </c>
      <c r="G24" s="11"/>
      <c r="H24" s="67"/>
      <c r="I24" s="12" t="s">
        <v>386</v>
      </c>
      <c r="J24" s="61">
        <v>17277</v>
      </c>
      <c r="K24" s="71">
        <v>300</v>
      </c>
      <c r="L24" s="62" t="s">
        <v>230</v>
      </c>
      <c r="M24" s="75">
        <v>17316</v>
      </c>
      <c r="N24" s="73">
        <v>400</v>
      </c>
      <c r="O24" s="15" t="s">
        <v>336</v>
      </c>
    </row>
    <row r="25" spans="1:15" x14ac:dyDescent="0.25">
      <c r="A25" s="16"/>
      <c r="B25" s="49"/>
      <c r="C25" s="17" t="s">
        <v>20</v>
      </c>
      <c r="D25" s="13"/>
      <c r="E25" s="70"/>
      <c r="F25" s="14" t="s">
        <v>20</v>
      </c>
      <c r="G25" s="11"/>
      <c r="H25" s="67"/>
      <c r="I25" s="12" t="s">
        <v>23</v>
      </c>
      <c r="J25" s="61"/>
      <c r="K25" s="71"/>
      <c r="L25" s="62" t="s">
        <v>36</v>
      </c>
      <c r="M25" s="75">
        <v>17317</v>
      </c>
      <c r="N25" s="73">
        <v>300</v>
      </c>
      <c r="O25" s="15"/>
    </row>
    <row r="26" spans="1:15" x14ac:dyDescent="0.25">
      <c r="A26" s="16">
        <v>17154</v>
      </c>
      <c r="B26" s="49">
        <v>200</v>
      </c>
      <c r="C26" s="17"/>
      <c r="D26" s="13">
        <v>17208</v>
      </c>
      <c r="E26" s="70">
        <v>350</v>
      </c>
      <c r="F26" s="14"/>
      <c r="G26" s="11">
        <v>17245</v>
      </c>
      <c r="H26" s="67">
        <v>400</v>
      </c>
      <c r="I26" s="12"/>
      <c r="J26" s="61">
        <v>17278</v>
      </c>
      <c r="K26" s="71">
        <v>200</v>
      </c>
      <c r="L26" s="62"/>
      <c r="M26" s="75">
        <v>17318</v>
      </c>
      <c r="N26" s="73">
        <v>450</v>
      </c>
      <c r="O26" s="15" t="s">
        <v>400</v>
      </c>
    </row>
    <row r="27" spans="1:15" x14ac:dyDescent="0.25">
      <c r="A27" s="16">
        <v>17155</v>
      </c>
      <c r="B27" s="49">
        <v>250</v>
      </c>
      <c r="C27" s="17"/>
      <c r="D27" s="13">
        <v>17209</v>
      </c>
      <c r="E27" s="70">
        <v>900</v>
      </c>
      <c r="F27" s="14" t="s">
        <v>325</v>
      </c>
      <c r="G27" s="11">
        <v>17246</v>
      </c>
      <c r="H27" s="67">
        <v>1200</v>
      </c>
      <c r="I27" s="12" t="s">
        <v>254</v>
      </c>
      <c r="J27" s="61">
        <v>17279</v>
      </c>
      <c r="K27" s="71">
        <v>600</v>
      </c>
      <c r="L27" s="62" t="s">
        <v>372</v>
      </c>
      <c r="M27" s="75">
        <v>17319</v>
      </c>
      <c r="N27" s="73">
        <v>400</v>
      </c>
      <c r="O27" s="31"/>
    </row>
    <row r="28" spans="1:15" x14ac:dyDescent="0.25">
      <c r="A28" s="16">
        <v>17156</v>
      </c>
      <c r="B28" s="49">
        <v>400</v>
      </c>
      <c r="C28" s="17" t="s">
        <v>313</v>
      </c>
      <c r="D28" s="13"/>
      <c r="E28" s="70"/>
      <c r="F28" s="14" t="s">
        <v>23</v>
      </c>
      <c r="G28" s="11"/>
      <c r="H28" s="67"/>
      <c r="I28" s="12" t="s">
        <v>23</v>
      </c>
      <c r="J28" s="61"/>
      <c r="K28" s="71"/>
      <c r="L28" s="62" t="s">
        <v>23</v>
      </c>
      <c r="M28" s="75">
        <v>17320</v>
      </c>
      <c r="N28" s="73">
        <v>400</v>
      </c>
      <c r="O28" s="15"/>
    </row>
    <row r="29" spans="1:15" x14ac:dyDescent="0.25">
      <c r="A29" s="16">
        <v>17157</v>
      </c>
      <c r="B29" s="49">
        <v>200</v>
      </c>
      <c r="C29" s="17"/>
      <c r="D29" s="13">
        <v>17210</v>
      </c>
      <c r="E29" s="70">
        <v>800</v>
      </c>
      <c r="F29" s="14" t="s">
        <v>372</v>
      </c>
      <c r="G29" s="11">
        <v>17247</v>
      </c>
      <c r="H29" s="67">
        <v>400</v>
      </c>
      <c r="I29" s="12"/>
      <c r="J29" s="61">
        <v>17280</v>
      </c>
      <c r="K29" s="71">
        <v>800</v>
      </c>
      <c r="L29" s="62" t="s">
        <v>328</v>
      </c>
      <c r="M29" s="75">
        <v>17321</v>
      </c>
      <c r="N29" s="73">
        <v>800</v>
      </c>
      <c r="O29" s="15" t="s">
        <v>230</v>
      </c>
    </row>
    <row r="30" spans="1:15" x14ac:dyDescent="0.25">
      <c r="A30" s="16">
        <v>17158</v>
      </c>
      <c r="B30" s="49">
        <v>200</v>
      </c>
      <c r="C30" s="17"/>
      <c r="D30" s="13"/>
      <c r="E30" s="70"/>
      <c r="F30" s="14" t="s">
        <v>20</v>
      </c>
      <c r="G30" s="11">
        <v>17248</v>
      </c>
      <c r="H30" s="67">
        <v>400</v>
      </c>
      <c r="I30" s="12" t="s">
        <v>328</v>
      </c>
      <c r="J30" s="61"/>
      <c r="K30" s="71"/>
      <c r="L30" s="62" t="s">
        <v>20</v>
      </c>
      <c r="M30" s="75"/>
      <c r="N30" s="73"/>
      <c r="O30" s="15" t="s">
        <v>20</v>
      </c>
    </row>
    <row r="31" spans="1:15" x14ac:dyDescent="0.25">
      <c r="A31" s="16">
        <v>17159</v>
      </c>
      <c r="B31" s="49">
        <v>100</v>
      </c>
      <c r="C31" s="17" t="s">
        <v>84</v>
      </c>
      <c r="D31" s="13">
        <v>17211</v>
      </c>
      <c r="E31" s="70">
        <v>400</v>
      </c>
      <c r="F31" s="14" t="s">
        <v>328</v>
      </c>
      <c r="G31" s="11"/>
      <c r="H31" s="67"/>
      <c r="I31" s="12" t="s">
        <v>15</v>
      </c>
      <c r="J31" s="61">
        <v>17281</v>
      </c>
      <c r="K31" s="71">
        <v>1000</v>
      </c>
      <c r="L31" s="62" t="s">
        <v>392</v>
      </c>
      <c r="M31" s="75">
        <v>17322</v>
      </c>
      <c r="N31" s="73">
        <v>200</v>
      </c>
      <c r="O31" s="15" t="s">
        <v>41</v>
      </c>
    </row>
    <row r="32" spans="1:15" x14ac:dyDescent="0.25">
      <c r="A32" s="16">
        <v>17160</v>
      </c>
      <c r="B32" s="49">
        <v>300</v>
      </c>
      <c r="C32" s="17"/>
      <c r="D32" s="13"/>
      <c r="E32" s="70"/>
      <c r="F32" s="14" t="s">
        <v>15</v>
      </c>
      <c r="G32" s="11">
        <v>17249</v>
      </c>
      <c r="H32" s="67">
        <v>400</v>
      </c>
      <c r="I32" s="12"/>
      <c r="J32" s="61"/>
      <c r="K32" s="71"/>
      <c r="L32" s="62" t="s">
        <v>15</v>
      </c>
      <c r="M32" s="75">
        <v>17323</v>
      </c>
      <c r="N32" s="73">
        <v>250</v>
      </c>
      <c r="O32" s="15" t="s">
        <v>401</v>
      </c>
    </row>
    <row r="33" spans="1:15" x14ac:dyDescent="0.25">
      <c r="A33" s="16">
        <v>17161</v>
      </c>
      <c r="B33" s="49">
        <v>400</v>
      </c>
      <c r="C33" s="17" t="s">
        <v>313</v>
      </c>
      <c r="D33" s="13">
        <v>17212</v>
      </c>
      <c r="E33" s="70">
        <v>700</v>
      </c>
      <c r="F33" s="14" t="s">
        <v>381</v>
      </c>
      <c r="G33" s="11">
        <v>17250</v>
      </c>
      <c r="H33" s="67">
        <v>300</v>
      </c>
      <c r="I33" s="12"/>
      <c r="J33" s="61">
        <v>17282</v>
      </c>
      <c r="K33" s="71">
        <v>400</v>
      </c>
      <c r="L33" s="62" t="s">
        <v>336</v>
      </c>
      <c r="M33" s="75"/>
      <c r="N33" s="73"/>
      <c r="O33" s="15" t="s">
        <v>280</v>
      </c>
    </row>
    <row r="34" spans="1:15" x14ac:dyDescent="0.25">
      <c r="A34" s="16">
        <v>17162</v>
      </c>
      <c r="B34" s="49">
        <v>200</v>
      </c>
      <c r="C34" s="17" t="s">
        <v>313</v>
      </c>
      <c r="D34" s="13"/>
      <c r="E34" s="70"/>
      <c r="F34" s="14" t="s">
        <v>382</v>
      </c>
      <c r="G34" s="11">
        <v>17251</v>
      </c>
      <c r="H34" s="67">
        <v>200</v>
      </c>
      <c r="I34" s="12" t="s">
        <v>307</v>
      </c>
      <c r="J34" s="61">
        <v>17283</v>
      </c>
      <c r="K34" s="71">
        <v>400</v>
      </c>
      <c r="L34" s="62" t="s">
        <v>370</v>
      </c>
      <c r="M34" s="75">
        <v>17324</v>
      </c>
      <c r="N34" s="73">
        <v>300</v>
      </c>
      <c r="O34" s="31" t="s">
        <v>336</v>
      </c>
    </row>
    <row r="35" spans="1:15" x14ac:dyDescent="0.25">
      <c r="A35" s="16">
        <v>17163</v>
      </c>
      <c r="B35" s="49">
        <v>400</v>
      </c>
      <c r="C35" s="17"/>
      <c r="D35" s="13">
        <v>17213</v>
      </c>
      <c r="E35" s="70">
        <v>400</v>
      </c>
      <c r="F35" s="14" t="s">
        <v>383</v>
      </c>
      <c r="G35" s="11"/>
      <c r="H35" s="67"/>
      <c r="I35" s="12" t="s">
        <v>57</v>
      </c>
      <c r="J35" s="61"/>
      <c r="K35" s="71"/>
      <c r="L35" s="62" t="s">
        <v>57</v>
      </c>
      <c r="M35" s="75">
        <v>17325</v>
      </c>
      <c r="N35" s="73">
        <v>450</v>
      </c>
      <c r="O35" s="15" t="s">
        <v>400</v>
      </c>
    </row>
    <row r="36" spans="1:15" x14ac:dyDescent="0.25">
      <c r="A36" s="16">
        <v>17164</v>
      </c>
      <c r="B36" s="49">
        <v>1200</v>
      </c>
      <c r="C36" s="17" t="s">
        <v>302</v>
      </c>
      <c r="D36" s="13"/>
      <c r="E36" s="70"/>
      <c r="F36" s="14" t="s">
        <v>15</v>
      </c>
      <c r="G36" s="11">
        <v>17252</v>
      </c>
      <c r="H36" s="67">
        <v>200</v>
      </c>
      <c r="I36" s="12" t="s">
        <v>307</v>
      </c>
      <c r="J36" s="61">
        <v>17284</v>
      </c>
      <c r="K36" s="71">
        <v>400</v>
      </c>
      <c r="L36" s="62" t="s">
        <v>393</v>
      </c>
      <c r="M36" s="75">
        <v>17326</v>
      </c>
      <c r="N36" s="73">
        <v>400</v>
      </c>
      <c r="O36" s="15" t="s">
        <v>402</v>
      </c>
    </row>
    <row r="37" spans="1:15" x14ac:dyDescent="0.25">
      <c r="A37" s="16"/>
      <c r="B37" s="49"/>
      <c r="C37" s="17" t="s">
        <v>20</v>
      </c>
      <c r="D37" s="13">
        <v>17214</v>
      </c>
      <c r="E37" s="70">
        <v>400</v>
      </c>
      <c r="F37" s="14"/>
      <c r="G37" s="11"/>
      <c r="H37" s="67"/>
      <c r="I37" s="12" t="s">
        <v>57</v>
      </c>
      <c r="J37" s="61">
        <v>17285</v>
      </c>
      <c r="K37" s="71">
        <v>400</v>
      </c>
      <c r="L37" s="62" t="s">
        <v>328</v>
      </c>
      <c r="M37" s="75"/>
      <c r="N37" s="73"/>
      <c r="O37" s="15" t="s">
        <v>15</v>
      </c>
    </row>
    <row r="38" spans="1:15" x14ac:dyDescent="0.25">
      <c r="A38" s="16">
        <v>17165</v>
      </c>
      <c r="B38" s="49">
        <v>400</v>
      </c>
      <c r="C38" s="17"/>
      <c r="D38" s="13">
        <v>17215</v>
      </c>
      <c r="E38" s="70">
        <v>400</v>
      </c>
      <c r="F38" s="14"/>
      <c r="G38" s="11">
        <v>17253</v>
      </c>
      <c r="H38" s="67">
        <v>400</v>
      </c>
      <c r="I38" s="12"/>
      <c r="J38" s="61"/>
      <c r="K38" s="71"/>
      <c r="L38" s="62" t="s">
        <v>15</v>
      </c>
      <c r="M38" s="75">
        <v>17327</v>
      </c>
      <c r="N38" s="73">
        <v>800</v>
      </c>
      <c r="O38" s="15" t="s">
        <v>328</v>
      </c>
    </row>
    <row r="39" spans="1:15" x14ac:dyDescent="0.25">
      <c r="A39" s="16">
        <v>17166</v>
      </c>
      <c r="B39" s="49">
        <v>300</v>
      </c>
      <c r="C39" s="17" t="s">
        <v>373</v>
      </c>
      <c r="D39" s="13">
        <v>17216</v>
      </c>
      <c r="E39" s="70">
        <v>400</v>
      </c>
      <c r="F39" s="14"/>
      <c r="G39" s="11">
        <v>17254</v>
      </c>
      <c r="H39" s="67">
        <v>400</v>
      </c>
      <c r="I39" s="12"/>
      <c r="J39" s="61">
        <v>17286</v>
      </c>
      <c r="K39" s="71">
        <v>300</v>
      </c>
      <c r="L39" s="62"/>
      <c r="M39" s="75"/>
      <c r="N39" s="73"/>
      <c r="O39" s="15" t="s">
        <v>20</v>
      </c>
    </row>
    <row r="40" spans="1:15" x14ac:dyDescent="0.25">
      <c r="A40" s="16">
        <v>17167</v>
      </c>
      <c r="B40" s="49">
        <v>300</v>
      </c>
      <c r="C40" s="17" t="s">
        <v>313</v>
      </c>
      <c r="D40" s="13">
        <v>17217</v>
      </c>
      <c r="E40" s="70">
        <v>750</v>
      </c>
      <c r="F40" s="14" t="s">
        <v>315</v>
      </c>
      <c r="G40" s="11">
        <v>17255</v>
      </c>
      <c r="H40" s="67">
        <v>400</v>
      </c>
      <c r="I40" s="12"/>
      <c r="J40" s="61">
        <v>17287</v>
      </c>
      <c r="K40" s="71">
        <v>400</v>
      </c>
      <c r="L40" s="62"/>
      <c r="M40" s="75">
        <v>17328</v>
      </c>
      <c r="N40" s="73">
        <v>500</v>
      </c>
      <c r="O40" s="15" t="s">
        <v>328</v>
      </c>
    </row>
    <row r="41" spans="1:15" x14ac:dyDescent="0.25">
      <c r="A41" s="16">
        <v>17168</v>
      </c>
      <c r="B41" s="49">
        <v>200</v>
      </c>
      <c r="C41" s="17"/>
      <c r="D41" s="13"/>
      <c r="E41" s="70"/>
      <c r="F41" s="14" t="s">
        <v>69</v>
      </c>
      <c r="G41" s="11">
        <v>17256</v>
      </c>
      <c r="H41" s="67">
        <v>600</v>
      </c>
      <c r="I41" s="12" t="s">
        <v>315</v>
      </c>
      <c r="J41" s="61">
        <v>17288</v>
      </c>
      <c r="K41" s="71">
        <v>250</v>
      </c>
      <c r="L41" s="62"/>
      <c r="M41" s="75"/>
      <c r="N41" s="73"/>
      <c r="O41" s="15" t="s">
        <v>69</v>
      </c>
    </row>
    <row r="42" spans="1:15" x14ac:dyDescent="0.25">
      <c r="A42" s="16">
        <v>17169</v>
      </c>
      <c r="B42" s="49">
        <v>200</v>
      </c>
      <c r="C42" s="17"/>
      <c r="D42" s="13">
        <v>17218</v>
      </c>
      <c r="E42" s="70">
        <v>400</v>
      </c>
      <c r="F42" s="14"/>
      <c r="G42" s="11"/>
      <c r="H42" s="67"/>
      <c r="I42" s="12" t="s">
        <v>15</v>
      </c>
      <c r="J42" s="61">
        <v>17289</v>
      </c>
      <c r="K42" s="71">
        <v>200</v>
      </c>
      <c r="L42" s="62" t="s">
        <v>41</v>
      </c>
      <c r="M42" s="75">
        <v>17329</v>
      </c>
      <c r="N42" s="73">
        <v>400</v>
      </c>
      <c r="O42" s="15" t="s">
        <v>313</v>
      </c>
    </row>
    <row r="43" spans="1:15" x14ac:dyDescent="0.25">
      <c r="A43" s="16">
        <v>17170</v>
      </c>
      <c r="B43" s="49">
        <v>400</v>
      </c>
      <c r="C43" s="17" t="s">
        <v>313</v>
      </c>
      <c r="D43" s="13">
        <v>17219</v>
      </c>
      <c r="E43" s="70">
        <v>400</v>
      </c>
      <c r="F43" s="14"/>
      <c r="G43" s="11">
        <v>17257</v>
      </c>
      <c r="H43" s="67">
        <v>250</v>
      </c>
      <c r="I43" s="12" t="s">
        <v>387</v>
      </c>
      <c r="J43" s="61">
        <v>17290</v>
      </c>
      <c r="K43" s="71">
        <v>400</v>
      </c>
      <c r="L43" s="62" t="s">
        <v>313</v>
      </c>
      <c r="M43" s="75">
        <v>17330</v>
      </c>
      <c r="N43" s="73">
        <v>800</v>
      </c>
      <c r="O43" s="15" t="s">
        <v>372</v>
      </c>
    </row>
    <row r="44" spans="1:15" x14ac:dyDescent="0.25">
      <c r="A44" s="16">
        <v>17171</v>
      </c>
      <c r="B44" s="49">
        <v>400</v>
      </c>
      <c r="C44" s="17" t="s">
        <v>313</v>
      </c>
      <c r="D44" s="13">
        <v>17220</v>
      </c>
      <c r="E44" s="70">
        <v>200</v>
      </c>
      <c r="F44" s="14" t="s">
        <v>288</v>
      </c>
      <c r="G44" s="11">
        <v>17258</v>
      </c>
      <c r="H44" s="67">
        <v>400</v>
      </c>
      <c r="I44" s="12"/>
      <c r="J44" s="61">
        <v>17291</v>
      </c>
      <c r="K44" s="71">
        <v>400</v>
      </c>
      <c r="L44" s="62"/>
      <c r="M44" s="75"/>
      <c r="N44" s="73"/>
      <c r="O44" s="15" t="s">
        <v>20</v>
      </c>
    </row>
    <row r="45" spans="1:15" x14ac:dyDescent="0.25">
      <c r="A45" s="16">
        <v>17172</v>
      </c>
      <c r="B45" s="49">
        <v>400</v>
      </c>
      <c r="C45" s="17"/>
      <c r="D45" s="13">
        <v>17221</v>
      </c>
      <c r="E45" s="70">
        <v>400</v>
      </c>
      <c r="F45" s="14"/>
      <c r="G45" s="11">
        <v>17259</v>
      </c>
      <c r="H45" s="67">
        <v>900</v>
      </c>
      <c r="I45" s="12" t="s">
        <v>315</v>
      </c>
      <c r="J45" s="61">
        <v>17292</v>
      </c>
      <c r="K45" s="71">
        <v>50</v>
      </c>
      <c r="L45" s="62" t="s">
        <v>40</v>
      </c>
      <c r="M45" s="75">
        <v>17331</v>
      </c>
      <c r="N45" s="73">
        <v>50</v>
      </c>
      <c r="O45" s="15" t="s">
        <v>403</v>
      </c>
    </row>
    <row r="46" spans="1:15" x14ac:dyDescent="0.25">
      <c r="A46" s="16">
        <v>17173</v>
      </c>
      <c r="B46" s="49">
        <v>400</v>
      </c>
      <c r="C46" s="17"/>
      <c r="D46" s="13">
        <v>17222</v>
      </c>
      <c r="E46" s="70">
        <v>300</v>
      </c>
      <c r="F46" s="14"/>
      <c r="G46" s="11"/>
      <c r="H46" s="67"/>
      <c r="I46" s="12" t="s">
        <v>23</v>
      </c>
      <c r="J46" s="61">
        <v>17293</v>
      </c>
      <c r="K46" s="71">
        <v>500</v>
      </c>
      <c r="L46" s="62" t="s">
        <v>394</v>
      </c>
      <c r="M46" s="75">
        <v>17332</v>
      </c>
      <c r="N46" s="73">
        <v>400</v>
      </c>
      <c r="O46" s="15" t="s">
        <v>336</v>
      </c>
    </row>
    <row r="47" spans="1:15" x14ac:dyDescent="0.25">
      <c r="A47" s="16">
        <v>17174</v>
      </c>
      <c r="B47" s="49">
        <v>400</v>
      </c>
      <c r="C47" s="17"/>
      <c r="D47" s="13">
        <v>17223</v>
      </c>
      <c r="E47" s="70">
        <v>400</v>
      </c>
      <c r="F47" s="14"/>
      <c r="G47" s="11">
        <v>17260</v>
      </c>
      <c r="H47" s="67">
        <v>400</v>
      </c>
      <c r="I47" s="12" t="s">
        <v>328</v>
      </c>
      <c r="J47" s="61">
        <v>17294</v>
      </c>
      <c r="K47" s="71">
        <v>400</v>
      </c>
      <c r="L47" s="62" t="s">
        <v>313</v>
      </c>
      <c r="M47" s="75">
        <v>17333</v>
      </c>
      <c r="N47" s="73">
        <v>800</v>
      </c>
      <c r="O47" s="15" t="s">
        <v>372</v>
      </c>
    </row>
    <row r="48" spans="1:15" x14ac:dyDescent="0.25">
      <c r="A48" s="16">
        <v>17175</v>
      </c>
      <c r="B48" s="49">
        <v>300</v>
      </c>
      <c r="C48" s="17"/>
      <c r="D48" s="13">
        <v>17224</v>
      </c>
      <c r="E48" s="70">
        <v>400</v>
      </c>
      <c r="F48" s="14"/>
      <c r="G48" s="11"/>
      <c r="H48" s="67"/>
      <c r="I48" s="12" t="s">
        <v>15</v>
      </c>
      <c r="J48" s="61">
        <v>17295</v>
      </c>
      <c r="K48" s="71">
        <v>200</v>
      </c>
      <c r="L48" s="62" t="s">
        <v>336</v>
      </c>
      <c r="M48" s="75"/>
      <c r="N48" s="73"/>
      <c r="O48" s="15" t="s">
        <v>20</v>
      </c>
    </row>
    <row r="49" spans="1:15" x14ac:dyDescent="0.25">
      <c r="A49" s="16">
        <v>17176</v>
      </c>
      <c r="B49" s="49">
        <v>400</v>
      </c>
      <c r="C49" s="17"/>
      <c r="D49" s="13">
        <v>17225</v>
      </c>
      <c r="E49" s="70">
        <v>400</v>
      </c>
      <c r="F49" s="14"/>
      <c r="G49" s="11">
        <v>17261</v>
      </c>
      <c r="H49" s="67">
        <v>300</v>
      </c>
      <c r="I49" s="12"/>
      <c r="J49" s="61">
        <v>17296</v>
      </c>
      <c r="K49" s="71">
        <v>1200</v>
      </c>
      <c r="L49" s="62" t="s">
        <v>395</v>
      </c>
      <c r="M49" s="75">
        <v>17334</v>
      </c>
      <c r="N49" s="73">
        <v>450</v>
      </c>
      <c r="O49" s="15" t="s">
        <v>388</v>
      </c>
    </row>
    <row r="50" spans="1:15" x14ac:dyDescent="0.25">
      <c r="A50" s="16">
        <v>17177</v>
      </c>
      <c r="B50" s="49">
        <v>1600</v>
      </c>
      <c r="C50" s="17" t="s">
        <v>335</v>
      </c>
      <c r="D50" s="13">
        <v>17226</v>
      </c>
      <c r="E50" s="70">
        <v>400</v>
      </c>
      <c r="F50" s="14"/>
      <c r="G50" s="11">
        <v>17262</v>
      </c>
      <c r="H50" s="67">
        <v>300</v>
      </c>
      <c r="I50" s="12" t="s">
        <v>250</v>
      </c>
      <c r="J50" s="61"/>
      <c r="K50" s="71"/>
      <c r="L50" s="62" t="s">
        <v>15</v>
      </c>
      <c r="M50" s="75"/>
      <c r="N50" s="73"/>
      <c r="O50" s="15" t="s">
        <v>36</v>
      </c>
    </row>
    <row r="51" spans="1:15" x14ac:dyDescent="0.25">
      <c r="A51" s="16"/>
      <c r="B51" s="49"/>
      <c r="C51" s="17" t="s">
        <v>20</v>
      </c>
      <c r="D51" s="13">
        <v>17227</v>
      </c>
      <c r="E51" s="70">
        <v>400</v>
      </c>
      <c r="F51" s="14" t="s">
        <v>313</v>
      </c>
      <c r="G51" s="11">
        <v>17263</v>
      </c>
      <c r="H51" s="67">
        <v>300</v>
      </c>
      <c r="I51" s="12" t="s">
        <v>313</v>
      </c>
      <c r="J51" s="61">
        <v>17297</v>
      </c>
      <c r="K51" s="71">
        <v>250</v>
      </c>
      <c r="L51" s="62"/>
      <c r="M51" s="75">
        <v>17335</v>
      </c>
      <c r="N51" s="73">
        <v>400</v>
      </c>
      <c r="O51" s="15" t="s">
        <v>336</v>
      </c>
    </row>
    <row r="52" spans="1:15" x14ac:dyDescent="0.25">
      <c r="A52" s="16">
        <v>17178</v>
      </c>
      <c r="B52" s="49">
        <v>400</v>
      </c>
      <c r="C52" s="17" t="s">
        <v>206</v>
      </c>
      <c r="D52" s="13">
        <v>17228</v>
      </c>
      <c r="E52" s="70">
        <v>500</v>
      </c>
      <c r="F52" s="14" t="s">
        <v>328</v>
      </c>
      <c r="G52" s="11">
        <v>17264</v>
      </c>
      <c r="H52" s="67">
        <v>1600</v>
      </c>
      <c r="I52" s="12" t="s">
        <v>177</v>
      </c>
      <c r="J52" s="61">
        <v>17298</v>
      </c>
      <c r="K52" s="71">
        <v>500</v>
      </c>
      <c r="L52" s="62" t="s">
        <v>336</v>
      </c>
      <c r="M52" s="75">
        <v>17336</v>
      </c>
      <c r="N52" s="73">
        <v>800</v>
      </c>
      <c r="O52" s="15" t="s">
        <v>372</v>
      </c>
    </row>
    <row r="53" spans="1:15" x14ac:dyDescent="0.25">
      <c r="A53" s="16"/>
      <c r="B53" s="49"/>
      <c r="C53" s="17" t="s">
        <v>15</v>
      </c>
      <c r="D53" s="13"/>
      <c r="E53" s="70"/>
      <c r="F53" s="14" t="s">
        <v>69</v>
      </c>
      <c r="G53" s="11"/>
      <c r="H53" s="67"/>
      <c r="I53" s="12" t="s">
        <v>20</v>
      </c>
      <c r="J53" s="61">
        <v>17299</v>
      </c>
      <c r="K53" s="71">
        <v>300</v>
      </c>
      <c r="L53" s="62" t="s">
        <v>307</v>
      </c>
      <c r="M53" s="75"/>
      <c r="N53" s="73"/>
      <c r="O53" s="15" t="s">
        <v>20</v>
      </c>
    </row>
    <row r="54" spans="1:15" x14ac:dyDescent="0.25">
      <c r="A54" s="16">
        <v>17179</v>
      </c>
      <c r="B54" s="49">
        <v>400</v>
      </c>
      <c r="C54" s="17" t="s">
        <v>257</v>
      </c>
      <c r="D54" s="13">
        <v>17229</v>
      </c>
      <c r="E54" s="70">
        <v>400</v>
      </c>
      <c r="F54" s="14" t="s">
        <v>372</v>
      </c>
      <c r="G54" s="11">
        <v>17265</v>
      </c>
      <c r="H54" s="67">
        <v>400</v>
      </c>
      <c r="I54" s="12"/>
      <c r="J54" s="61"/>
      <c r="K54" s="71"/>
      <c r="L54" s="62" t="s">
        <v>36</v>
      </c>
      <c r="M54" s="75">
        <v>17337</v>
      </c>
      <c r="N54" s="73">
        <v>400</v>
      </c>
      <c r="O54" s="15" t="s">
        <v>372</v>
      </c>
    </row>
    <row r="55" spans="1:15" x14ac:dyDescent="0.25">
      <c r="A55" s="16">
        <v>17180</v>
      </c>
      <c r="B55" s="49">
        <v>600</v>
      </c>
      <c r="C55" s="17" t="s">
        <v>328</v>
      </c>
      <c r="D55" s="13"/>
      <c r="E55" s="70"/>
      <c r="F55" s="14" t="s">
        <v>15</v>
      </c>
      <c r="G55" s="11">
        <v>17266</v>
      </c>
      <c r="H55" s="67">
        <v>400</v>
      </c>
      <c r="I55" s="12" t="s">
        <v>313</v>
      </c>
      <c r="J55" s="61">
        <v>17300</v>
      </c>
      <c r="K55" s="71">
        <v>300</v>
      </c>
      <c r="L55" s="62" t="s">
        <v>307</v>
      </c>
      <c r="M55" s="75"/>
      <c r="N55" s="73"/>
      <c r="O55" s="15" t="s">
        <v>15</v>
      </c>
    </row>
    <row r="56" spans="1:15" x14ac:dyDescent="0.25">
      <c r="A56" s="16"/>
      <c r="B56" s="49"/>
      <c r="C56" s="17" t="s">
        <v>23</v>
      </c>
      <c r="D56" s="13">
        <v>17230</v>
      </c>
      <c r="E56" s="70">
        <v>400</v>
      </c>
      <c r="F56" s="14" t="s">
        <v>313</v>
      </c>
      <c r="G56" s="11">
        <v>17267</v>
      </c>
      <c r="H56" s="67">
        <v>200</v>
      </c>
      <c r="I56" s="12"/>
      <c r="J56" s="61"/>
      <c r="K56" s="71"/>
      <c r="L56" s="68" t="s">
        <v>36</v>
      </c>
      <c r="M56" s="75">
        <v>17338</v>
      </c>
      <c r="N56" s="73">
        <v>400</v>
      </c>
      <c r="O56" s="15"/>
    </row>
    <row r="57" spans="1:15" x14ac:dyDescent="0.25">
      <c r="A57" s="16">
        <v>17181</v>
      </c>
      <c r="B57" s="49">
        <v>200</v>
      </c>
      <c r="C57" s="17" t="s">
        <v>313</v>
      </c>
      <c r="D57" s="13">
        <v>17231</v>
      </c>
      <c r="E57" s="70">
        <v>300</v>
      </c>
      <c r="F57" s="14"/>
      <c r="G57" s="11"/>
      <c r="H57" s="67"/>
      <c r="I57" s="12"/>
      <c r="J57" s="61">
        <v>17301</v>
      </c>
      <c r="K57" s="71">
        <v>150</v>
      </c>
      <c r="L57" s="62" t="s">
        <v>396</v>
      </c>
      <c r="M57" s="75">
        <v>17339</v>
      </c>
      <c r="N57" s="73">
        <v>800</v>
      </c>
      <c r="O57" s="15" t="s">
        <v>372</v>
      </c>
    </row>
    <row r="58" spans="1:15" x14ac:dyDescent="0.25">
      <c r="A58" s="16">
        <v>17182</v>
      </c>
      <c r="B58" s="49">
        <v>400</v>
      </c>
      <c r="C58" s="17"/>
      <c r="D58" s="13">
        <v>17232</v>
      </c>
      <c r="E58" s="70">
        <v>50</v>
      </c>
      <c r="F58" s="14" t="s">
        <v>110</v>
      </c>
      <c r="G58" s="11"/>
      <c r="H58" s="67"/>
      <c r="I58" s="12"/>
      <c r="J58" s="61">
        <v>17302</v>
      </c>
      <c r="K58" s="71">
        <v>400</v>
      </c>
      <c r="L58" s="62"/>
      <c r="M58" s="75"/>
      <c r="N58" s="73"/>
      <c r="O58" s="15" t="s">
        <v>20</v>
      </c>
    </row>
    <row r="59" spans="1:15" x14ac:dyDescent="0.25">
      <c r="A59" s="16">
        <v>17183</v>
      </c>
      <c r="B59" s="49">
        <v>200</v>
      </c>
      <c r="C59" s="17" t="s">
        <v>374</v>
      </c>
      <c r="D59" s="13">
        <v>17233</v>
      </c>
      <c r="E59" s="70">
        <v>400</v>
      </c>
      <c r="F59" s="14"/>
      <c r="G59" s="11"/>
      <c r="H59" s="67"/>
      <c r="I59" s="12"/>
      <c r="J59" s="61">
        <v>17303</v>
      </c>
      <c r="K59" s="71">
        <v>400</v>
      </c>
      <c r="L59" s="62" t="s">
        <v>288</v>
      </c>
      <c r="M59" s="75">
        <v>17340</v>
      </c>
      <c r="N59" s="73">
        <v>400</v>
      </c>
      <c r="O59" s="15" t="s">
        <v>313</v>
      </c>
    </row>
    <row r="60" spans="1:15" x14ac:dyDescent="0.25">
      <c r="A60" s="16">
        <v>17184</v>
      </c>
      <c r="B60" s="49">
        <v>400</v>
      </c>
      <c r="C60" s="17"/>
      <c r="D60" s="13">
        <v>17234</v>
      </c>
      <c r="E60" s="70">
        <v>300</v>
      </c>
      <c r="F60" s="14"/>
      <c r="G60" s="11"/>
      <c r="H60" s="67"/>
      <c r="I60" s="12"/>
      <c r="J60" s="61">
        <v>17304</v>
      </c>
      <c r="K60" s="71">
        <v>400</v>
      </c>
      <c r="L60" s="62"/>
      <c r="M60" s="75">
        <v>17341</v>
      </c>
      <c r="N60" s="73">
        <v>400</v>
      </c>
      <c r="O60" s="15"/>
    </row>
    <row r="61" spans="1:15" x14ac:dyDescent="0.25">
      <c r="A61" s="16">
        <v>17185</v>
      </c>
      <c r="B61" s="49">
        <v>450</v>
      </c>
      <c r="C61" s="17" t="s">
        <v>375</v>
      </c>
      <c r="D61" s="13"/>
      <c r="E61" s="70"/>
      <c r="F61" s="14"/>
      <c r="G61" s="11"/>
      <c r="H61" s="67"/>
      <c r="I61" s="12"/>
      <c r="J61" s="61">
        <v>17305</v>
      </c>
      <c r="K61" s="71">
        <v>400</v>
      </c>
      <c r="L61" s="62" t="s">
        <v>313</v>
      </c>
      <c r="M61" s="75">
        <v>17342</v>
      </c>
      <c r="N61" s="73">
        <v>200</v>
      </c>
      <c r="O61" s="15" t="s">
        <v>41</v>
      </c>
    </row>
    <row r="62" spans="1:15" x14ac:dyDescent="0.25">
      <c r="A62" s="16">
        <v>17186</v>
      </c>
      <c r="B62" s="49">
        <v>200</v>
      </c>
      <c r="C62" s="17" t="s">
        <v>376</v>
      </c>
      <c r="D62" s="13"/>
      <c r="E62" s="70"/>
      <c r="F62" s="14"/>
      <c r="G62" s="11"/>
      <c r="H62" s="67"/>
      <c r="I62" s="12"/>
      <c r="J62" s="61">
        <v>17306</v>
      </c>
      <c r="K62" s="71">
        <v>400</v>
      </c>
      <c r="L62" s="62" t="s">
        <v>307</v>
      </c>
      <c r="M62" s="75">
        <v>17343</v>
      </c>
      <c r="N62" s="73">
        <v>800</v>
      </c>
      <c r="O62" s="15" t="s">
        <v>404</v>
      </c>
    </row>
    <row r="63" spans="1:15" x14ac:dyDescent="0.25">
      <c r="A63" s="16">
        <v>17187</v>
      </c>
      <c r="B63" s="49">
        <v>1800</v>
      </c>
      <c r="C63" s="17" t="s">
        <v>377</v>
      </c>
      <c r="D63" s="13"/>
      <c r="E63" s="70"/>
      <c r="F63" s="14"/>
      <c r="G63" s="11"/>
      <c r="H63" s="67"/>
      <c r="I63" s="12"/>
      <c r="J63" s="61"/>
      <c r="K63" s="71"/>
      <c r="L63" s="62" t="s">
        <v>15</v>
      </c>
      <c r="M63" s="75"/>
      <c r="N63" s="73"/>
      <c r="O63" s="15" t="s">
        <v>20</v>
      </c>
    </row>
    <row r="64" spans="1:15" x14ac:dyDescent="0.25">
      <c r="A64" s="16"/>
      <c r="B64" s="49"/>
      <c r="C64" s="17" t="s">
        <v>340</v>
      </c>
      <c r="D64" s="13"/>
      <c r="E64" s="70"/>
      <c r="F64" s="14"/>
      <c r="G64" s="11"/>
      <c r="H64" s="67"/>
      <c r="I64" s="12"/>
      <c r="J64" s="61"/>
      <c r="K64" s="71"/>
      <c r="L64" s="62"/>
      <c r="M64" s="75">
        <v>17344</v>
      </c>
      <c r="N64" s="73">
        <v>400</v>
      </c>
      <c r="O64" s="15"/>
    </row>
    <row r="65" spans="1:16" x14ac:dyDescent="0.25">
      <c r="A65" s="16">
        <v>17188</v>
      </c>
      <c r="B65" s="49">
        <v>800</v>
      </c>
      <c r="C65" s="17" t="s">
        <v>328</v>
      </c>
      <c r="D65" s="13"/>
      <c r="E65" s="70"/>
      <c r="F65" s="14"/>
      <c r="G65" s="11"/>
      <c r="H65" s="67"/>
      <c r="I65" s="12"/>
      <c r="J65" s="61"/>
      <c r="K65" s="71"/>
      <c r="L65" s="62"/>
      <c r="M65" s="75">
        <v>17345</v>
      </c>
      <c r="N65" s="73">
        <v>250</v>
      </c>
      <c r="O65" s="15" t="s">
        <v>405</v>
      </c>
    </row>
    <row r="66" spans="1:16" x14ac:dyDescent="0.25">
      <c r="A66" s="16"/>
      <c r="B66" s="49"/>
      <c r="C66" s="17" t="s">
        <v>20</v>
      </c>
      <c r="D66" s="13"/>
      <c r="E66" s="70"/>
      <c r="F66" s="14"/>
      <c r="G66" s="11"/>
      <c r="H66" s="67"/>
      <c r="I66" s="12"/>
      <c r="J66" s="61"/>
      <c r="K66" s="71"/>
      <c r="L66" s="62"/>
      <c r="M66" s="75"/>
      <c r="N66" s="73"/>
      <c r="O66" s="15" t="s">
        <v>406</v>
      </c>
    </row>
    <row r="67" spans="1:16" x14ac:dyDescent="0.25">
      <c r="A67" s="16">
        <v>17189</v>
      </c>
      <c r="B67" s="49">
        <v>400</v>
      </c>
      <c r="C67" s="17" t="s">
        <v>378</v>
      </c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6" x14ac:dyDescent="0.25">
      <c r="A68" s="16">
        <v>17190</v>
      </c>
      <c r="B68" s="49">
        <v>1200</v>
      </c>
      <c r="C68" s="17" t="s">
        <v>379</v>
      </c>
      <c r="D68" s="13"/>
      <c r="E68" s="70"/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6" x14ac:dyDescent="0.25">
      <c r="A69" s="16"/>
      <c r="B69" s="49"/>
      <c r="C69" s="17" t="s">
        <v>20</v>
      </c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6" x14ac:dyDescent="0.25">
      <c r="A70" s="16">
        <v>17191</v>
      </c>
      <c r="B70" s="49">
        <v>1200</v>
      </c>
      <c r="C70" s="17" t="s">
        <v>254</v>
      </c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6" x14ac:dyDescent="0.25">
      <c r="A71" s="16"/>
      <c r="B71" s="49"/>
      <c r="C71" s="17" t="s">
        <v>23</v>
      </c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6" x14ac:dyDescent="0.25">
      <c r="A72" s="16">
        <v>17192</v>
      </c>
      <c r="B72" s="49">
        <v>400</v>
      </c>
      <c r="C72" s="17" t="s">
        <v>206</v>
      </c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6" x14ac:dyDescent="0.25">
      <c r="A73" s="16"/>
      <c r="B73" s="49"/>
      <c r="C73" s="17" t="s">
        <v>15</v>
      </c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6" x14ac:dyDescent="0.25">
      <c r="A74" s="16">
        <v>17193</v>
      </c>
      <c r="B74" s="49">
        <v>500</v>
      </c>
      <c r="C74" s="17" t="s">
        <v>307</v>
      </c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6" x14ac:dyDescent="0.25">
      <c r="A75" s="16"/>
      <c r="B75" s="49"/>
      <c r="C75" s="17" t="s">
        <v>69</v>
      </c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6" x14ac:dyDescent="0.25">
      <c r="A76" s="26"/>
      <c r="B76" s="66"/>
      <c r="C76" s="58"/>
      <c r="D76" s="26"/>
      <c r="E76" s="74"/>
      <c r="F76" s="58"/>
      <c r="G76" s="26"/>
      <c r="H76" s="74"/>
      <c r="I76" s="58"/>
      <c r="J76" s="26"/>
      <c r="K76" s="74"/>
      <c r="L76" s="58"/>
      <c r="M76" s="26"/>
      <c r="N76" s="74"/>
      <c r="O76" s="58"/>
      <c r="P76" s="58"/>
    </row>
    <row r="77" spans="1:16" x14ac:dyDescent="0.25">
      <c r="A77" s="26"/>
      <c r="B77" s="66"/>
      <c r="C77" s="58"/>
      <c r="D77" s="26"/>
      <c r="E77" s="74"/>
      <c r="F77" s="58"/>
      <c r="G77" s="26"/>
      <c r="H77" s="74"/>
      <c r="I77" s="58"/>
      <c r="J77" s="26"/>
      <c r="K77" s="74"/>
      <c r="L77" s="58"/>
      <c r="M77" s="26"/>
      <c r="N77" s="74"/>
      <c r="O77" s="58"/>
      <c r="P77" s="58"/>
    </row>
    <row r="78" spans="1:16" x14ac:dyDescent="0.25">
      <c r="A78" s="26"/>
      <c r="B78" s="66"/>
      <c r="C78" s="58"/>
      <c r="D78" s="26"/>
      <c r="E78" s="74"/>
      <c r="F78" s="58"/>
      <c r="G78" s="26"/>
      <c r="H78" s="74"/>
      <c r="I78" s="58"/>
      <c r="J78" s="26"/>
      <c r="K78" s="74"/>
      <c r="L78" s="58"/>
      <c r="M78" s="26"/>
      <c r="N78" s="74"/>
      <c r="O78" s="58"/>
      <c r="P78" s="58"/>
    </row>
    <row r="79" spans="1:16" x14ac:dyDescent="0.25">
      <c r="A79" s="26"/>
      <c r="B79" s="66"/>
      <c r="C79" s="58"/>
      <c r="D79" s="26"/>
      <c r="E79" s="74"/>
      <c r="F79" s="58"/>
      <c r="G79" s="26"/>
      <c r="H79" s="74"/>
      <c r="I79" s="58"/>
      <c r="J79" s="26"/>
      <c r="K79" s="74"/>
      <c r="L79" s="58"/>
      <c r="M79" s="26"/>
      <c r="N79" s="74"/>
      <c r="O79" s="58"/>
      <c r="P79" s="58"/>
    </row>
    <row r="80" spans="1:16" x14ac:dyDescent="0.25">
      <c r="A80" s="26"/>
      <c r="B80" s="66"/>
      <c r="C80" s="58"/>
      <c r="D80" s="26"/>
      <c r="E80" s="74"/>
      <c r="F80" s="58"/>
      <c r="G80" s="26"/>
      <c r="H80" s="74"/>
      <c r="I80" s="58"/>
      <c r="J80" s="26"/>
      <c r="K80" s="74"/>
      <c r="L80" s="58"/>
      <c r="M80" s="26"/>
      <c r="N80" s="74"/>
      <c r="O80" s="58"/>
      <c r="P80" s="58"/>
    </row>
    <row r="81" spans="1:16" x14ac:dyDescent="0.25">
      <c r="A81" s="26"/>
      <c r="B81" s="66"/>
      <c r="C81" s="58"/>
      <c r="D81" s="26"/>
      <c r="E81" s="74"/>
      <c r="F81" s="58"/>
      <c r="G81" s="26"/>
      <c r="H81" s="74"/>
      <c r="I81" s="58"/>
      <c r="J81" s="26"/>
      <c r="K81" s="74"/>
      <c r="L81" s="58"/>
      <c r="M81" s="26"/>
      <c r="N81" s="74"/>
      <c r="O81" s="58"/>
      <c r="P81" s="58"/>
    </row>
    <row r="82" spans="1:16" x14ac:dyDescent="0.25">
      <c r="A82" s="26"/>
      <c r="B82" s="66"/>
      <c r="C82" s="58"/>
      <c r="D82" s="26"/>
      <c r="E82" s="74"/>
      <c r="F82" s="58"/>
      <c r="G82" s="26"/>
      <c r="H82" s="74"/>
      <c r="I82" s="58"/>
      <c r="J82" s="26"/>
      <c r="K82" s="74"/>
      <c r="L82" s="58"/>
      <c r="M82" s="26"/>
      <c r="N82" s="74"/>
      <c r="O82" s="58"/>
      <c r="P82" s="58"/>
    </row>
    <row r="83" spans="1:16" x14ac:dyDescent="0.25">
      <c r="A83" s="26"/>
      <c r="B83" s="66"/>
      <c r="C83" s="58"/>
      <c r="D83" s="26"/>
      <c r="E83" s="74"/>
      <c r="F83" s="58"/>
      <c r="G83" s="26"/>
      <c r="H83" s="74"/>
      <c r="I83" s="58"/>
      <c r="J83" s="26"/>
      <c r="K83" s="74"/>
      <c r="L83" s="58"/>
      <c r="M83" s="26"/>
      <c r="N83" s="74"/>
      <c r="O83" s="58"/>
      <c r="P83" s="58"/>
    </row>
    <row r="84" spans="1:16" x14ac:dyDescent="0.25">
      <c r="A84" s="26"/>
      <c r="B84" s="66"/>
      <c r="C84" s="58"/>
      <c r="D84" s="26"/>
      <c r="E84" s="74"/>
      <c r="F84" s="58"/>
      <c r="G84" s="26"/>
      <c r="H84" s="74"/>
      <c r="I84" s="58"/>
      <c r="J84" s="26"/>
      <c r="K84" s="74"/>
      <c r="L84" s="58"/>
      <c r="M84" s="26"/>
      <c r="N84" s="74"/>
      <c r="O84" s="58"/>
      <c r="P84" s="58"/>
    </row>
    <row r="85" spans="1:16" x14ac:dyDescent="0.25">
      <c r="A85" s="26"/>
      <c r="B85" s="66"/>
      <c r="C85" s="58"/>
      <c r="D85" s="26"/>
      <c r="E85" s="74"/>
      <c r="F85" s="58"/>
      <c r="G85" s="26"/>
      <c r="H85" s="74"/>
      <c r="I85" s="58"/>
      <c r="J85" s="26"/>
      <c r="K85" s="74"/>
      <c r="L85" s="58"/>
      <c r="M85" s="26"/>
      <c r="N85" s="74"/>
      <c r="O85" s="58"/>
      <c r="P85" s="58"/>
    </row>
    <row r="86" spans="1:16" x14ac:dyDescent="0.25">
      <c r="A86" s="26"/>
      <c r="B86" s="66"/>
      <c r="C86" s="58"/>
      <c r="D86" s="26"/>
      <c r="E86" s="74"/>
      <c r="F86" s="58"/>
      <c r="G86" s="26"/>
      <c r="H86" s="74"/>
      <c r="I86" s="58"/>
      <c r="J86" s="26"/>
      <c r="K86" s="74"/>
      <c r="L86" s="58"/>
      <c r="M86" s="26"/>
      <c r="N86" s="74"/>
      <c r="O86" s="58"/>
      <c r="P86" s="58"/>
    </row>
    <row r="87" spans="1:16" x14ac:dyDescent="0.25">
      <c r="A87" s="26"/>
      <c r="B87" s="66"/>
      <c r="C87" s="58"/>
      <c r="D87" s="26"/>
      <c r="E87" s="74"/>
      <c r="F87" s="58"/>
      <c r="G87" s="26"/>
      <c r="H87" s="74"/>
      <c r="I87" s="58"/>
      <c r="J87" s="26"/>
      <c r="K87" s="74"/>
      <c r="L87" s="58"/>
      <c r="M87" s="26"/>
      <c r="N87" s="74"/>
      <c r="O87" s="58"/>
      <c r="P87" s="58"/>
    </row>
    <row r="88" spans="1:16" x14ac:dyDescent="0.25">
      <c r="A88" s="26"/>
      <c r="B88" s="66"/>
      <c r="C88" s="58"/>
      <c r="D88" s="26"/>
      <c r="E88" s="74"/>
      <c r="F88" s="58"/>
      <c r="G88" s="26"/>
      <c r="H88" s="74"/>
      <c r="I88" s="58"/>
      <c r="J88" s="26"/>
      <c r="K88" s="74"/>
      <c r="L88" s="58"/>
      <c r="M88" s="26"/>
      <c r="N88" s="74"/>
      <c r="O88" s="58"/>
      <c r="P88" s="58"/>
    </row>
    <row r="89" spans="1:16" x14ac:dyDescent="0.25">
      <c r="A89" s="26"/>
      <c r="B89" s="66"/>
      <c r="C89" s="58"/>
      <c r="D89" s="26"/>
      <c r="E89" s="74"/>
      <c r="F89" s="58"/>
      <c r="G89" s="26"/>
      <c r="H89" s="74"/>
      <c r="I89" s="58"/>
      <c r="J89" s="26"/>
      <c r="K89" s="74"/>
      <c r="L89" s="58"/>
      <c r="M89" s="26"/>
      <c r="N89" s="74"/>
      <c r="O89" s="58"/>
      <c r="P89" s="58"/>
    </row>
    <row r="90" spans="1:16" x14ac:dyDescent="0.25">
      <c r="A90" s="26"/>
      <c r="B90" s="66"/>
      <c r="C90" s="58"/>
      <c r="D90" s="26"/>
      <c r="E90" s="74"/>
      <c r="F90" s="58"/>
      <c r="G90" s="26"/>
      <c r="H90" s="74"/>
      <c r="I90" s="58"/>
      <c r="J90" s="26"/>
      <c r="K90" s="74"/>
      <c r="L90" s="58"/>
      <c r="M90" s="26"/>
      <c r="N90" s="74"/>
      <c r="O90" s="58"/>
      <c r="P90" s="58"/>
    </row>
    <row r="91" spans="1:16" x14ac:dyDescent="0.25">
      <c r="A91" s="26"/>
      <c r="B91" s="66"/>
      <c r="C91" s="58"/>
      <c r="D91" s="26"/>
      <c r="E91" s="74"/>
      <c r="F91" s="58"/>
      <c r="G91" s="26"/>
      <c r="H91" s="74"/>
      <c r="I91" s="58"/>
      <c r="J91" s="26"/>
      <c r="K91" s="74"/>
      <c r="L91" s="58"/>
      <c r="M91" s="26"/>
      <c r="N91" s="74"/>
      <c r="O91" s="58"/>
      <c r="P91" s="58"/>
    </row>
    <row r="92" spans="1:16" x14ac:dyDescent="0.25">
      <c r="A92" s="26"/>
      <c r="B92" s="66"/>
      <c r="C92" s="58"/>
      <c r="D92" s="26"/>
      <c r="E92" s="74"/>
      <c r="F92" s="58"/>
      <c r="G92" s="26"/>
      <c r="H92" s="74"/>
      <c r="I92" s="58"/>
      <c r="J92" s="26"/>
      <c r="K92" s="74"/>
      <c r="L92" s="58"/>
      <c r="M92" s="26"/>
      <c r="N92" s="74"/>
      <c r="O92" s="58"/>
      <c r="P92" s="58"/>
    </row>
    <row r="93" spans="1:16" x14ac:dyDescent="0.25">
      <c r="A93" s="26"/>
      <c r="B93" s="66"/>
      <c r="C93" s="58"/>
      <c r="D93" s="26"/>
      <c r="E93" s="74"/>
      <c r="F93" s="58"/>
      <c r="G93" s="26"/>
      <c r="H93" s="74"/>
      <c r="I93" s="58"/>
      <c r="J93" s="26"/>
      <c r="K93" s="74"/>
      <c r="L93" s="58"/>
      <c r="M93" s="26"/>
      <c r="N93" s="74"/>
      <c r="O93" s="58"/>
      <c r="P93" s="58"/>
    </row>
    <row r="94" spans="1:16" x14ac:dyDescent="0.25">
      <c r="A94" s="26"/>
      <c r="B94" s="66"/>
      <c r="C94" s="58"/>
      <c r="D94" s="26"/>
      <c r="E94" s="74"/>
      <c r="F94" s="58"/>
      <c r="G94" s="26"/>
      <c r="H94" s="74"/>
      <c r="I94" s="58"/>
      <c r="J94" s="26"/>
      <c r="K94" s="74"/>
      <c r="L94" s="58"/>
      <c r="M94" s="26"/>
      <c r="N94" s="74"/>
      <c r="O94" s="58"/>
      <c r="P94" s="58"/>
    </row>
    <row r="95" spans="1:16" x14ac:dyDescent="0.25">
      <c r="A95" s="26"/>
      <c r="B95" s="66"/>
      <c r="C95" s="58"/>
      <c r="D95" s="26"/>
      <c r="E95" s="74"/>
      <c r="F95" s="58"/>
      <c r="G95" s="26"/>
      <c r="H95" s="74"/>
      <c r="I95" s="58"/>
      <c r="J95" s="26"/>
      <c r="K95" s="74"/>
      <c r="L95" s="58"/>
      <c r="M95" s="26"/>
      <c r="N95" s="74"/>
      <c r="O95" s="58"/>
      <c r="P95" s="58"/>
    </row>
    <row r="96" spans="1:16" x14ac:dyDescent="0.25">
      <c r="A96" s="26"/>
      <c r="B96" s="66"/>
      <c r="C96" s="58"/>
      <c r="D96" s="26"/>
      <c r="E96" s="74"/>
      <c r="F96" s="58"/>
      <c r="G96" s="26"/>
      <c r="H96" s="74"/>
      <c r="I96" s="58"/>
      <c r="J96" s="26"/>
      <c r="K96" s="74"/>
      <c r="L96" s="58"/>
      <c r="M96" s="26"/>
      <c r="N96" s="74"/>
      <c r="O96" s="58"/>
      <c r="P96" s="58"/>
    </row>
    <row r="97" spans="1:16" x14ac:dyDescent="0.25">
      <c r="A97" s="26"/>
      <c r="B97" s="66"/>
      <c r="C97" s="58"/>
      <c r="D97" s="26"/>
      <c r="E97" s="74"/>
      <c r="F97" s="58"/>
      <c r="G97" s="26"/>
      <c r="H97" s="74"/>
      <c r="I97" s="58"/>
      <c r="J97" s="26"/>
      <c r="K97" s="74"/>
      <c r="L97" s="58"/>
      <c r="M97" s="26"/>
      <c r="N97" s="74"/>
      <c r="O97" s="58"/>
      <c r="P97" s="58"/>
    </row>
    <row r="98" spans="1:16" x14ac:dyDescent="0.25">
      <c r="A98" s="26"/>
      <c r="B98" s="66"/>
      <c r="C98" s="58"/>
      <c r="D98" s="26"/>
      <c r="E98" s="74"/>
      <c r="F98" s="58"/>
      <c r="G98" s="26"/>
      <c r="H98" s="74"/>
      <c r="I98" s="58"/>
      <c r="J98" s="26"/>
      <c r="K98" s="74"/>
      <c r="L98" s="58"/>
      <c r="M98" s="26"/>
      <c r="N98" s="74"/>
      <c r="O98" s="58"/>
      <c r="P98" s="58"/>
    </row>
    <row r="99" spans="1:16" x14ac:dyDescent="0.25">
      <c r="A99" s="16"/>
      <c r="B99" s="49"/>
      <c r="C99" s="17"/>
      <c r="D99" s="26"/>
      <c r="E99" s="74"/>
      <c r="F99" s="58"/>
      <c r="G99" s="26"/>
      <c r="H99" s="74"/>
      <c r="I99" s="58"/>
      <c r="J99" s="26"/>
      <c r="K99" s="74"/>
      <c r="L99" s="58"/>
      <c r="M99" s="26"/>
      <c r="N99" s="74"/>
      <c r="O99" s="58"/>
      <c r="P99" s="58"/>
    </row>
    <row r="100" spans="1:16" x14ac:dyDescent="0.25">
      <c r="A100" s="16"/>
      <c r="B100" s="49"/>
      <c r="C100" s="17"/>
      <c r="D100" s="26"/>
      <c r="E100" s="74"/>
      <c r="F100" s="58"/>
      <c r="G100" s="26"/>
      <c r="H100" s="74"/>
      <c r="I100" s="58"/>
      <c r="J100" s="26"/>
      <c r="K100" s="74"/>
      <c r="L100" s="58"/>
      <c r="M100" s="26"/>
      <c r="N100" s="74"/>
      <c r="O100" s="58"/>
      <c r="P100" s="58"/>
    </row>
    <row r="101" spans="1:16" x14ac:dyDescent="0.25">
      <c r="A101" s="16"/>
      <c r="B101" s="49"/>
      <c r="C101" s="17"/>
      <c r="D101" s="26"/>
      <c r="E101" s="74"/>
      <c r="F101" s="58"/>
      <c r="G101" s="26"/>
      <c r="H101" s="74"/>
      <c r="I101" s="58"/>
      <c r="J101" s="26"/>
      <c r="K101" s="74"/>
      <c r="L101" s="58"/>
      <c r="M101" s="26"/>
      <c r="N101" s="74"/>
      <c r="O101" s="58"/>
      <c r="P101" s="58"/>
    </row>
    <row r="102" spans="1:16" x14ac:dyDescent="0.25">
      <c r="A102" s="16"/>
      <c r="B102" s="49"/>
      <c r="C102" s="17"/>
      <c r="D102" s="26"/>
      <c r="E102" s="74"/>
      <c r="F102" s="58"/>
      <c r="G102" s="26"/>
      <c r="H102" s="74"/>
      <c r="I102" s="58"/>
      <c r="J102" s="26"/>
      <c r="K102" s="74"/>
      <c r="L102" s="58"/>
      <c r="M102" s="26"/>
      <c r="N102" s="74"/>
      <c r="O102" s="58"/>
      <c r="P102" s="58"/>
    </row>
    <row r="103" spans="1:16" x14ac:dyDescent="0.25">
      <c r="A103" s="16"/>
      <c r="B103" s="49"/>
      <c r="C103" s="17"/>
      <c r="D103" s="26"/>
      <c r="E103" s="74"/>
      <c r="F103" s="58"/>
      <c r="G103" s="26"/>
      <c r="H103" s="74"/>
      <c r="I103" s="58"/>
      <c r="J103" s="26"/>
      <c r="K103" s="74"/>
      <c r="L103" s="58"/>
      <c r="M103" s="26"/>
      <c r="N103" s="74"/>
      <c r="O103" s="58"/>
      <c r="P103" s="58"/>
    </row>
    <row r="104" spans="1:16" x14ac:dyDescent="0.25">
      <c r="A104" s="16"/>
      <c r="B104" s="49"/>
      <c r="C104" s="17"/>
      <c r="D104" s="26"/>
      <c r="E104" s="74"/>
      <c r="F104" s="58"/>
      <c r="G104" s="26"/>
      <c r="H104" s="74"/>
      <c r="I104" s="58"/>
      <c r="J104" s="26"/>
      <c r="K104" s="74"/>
      <c r="L104" s="58"/>
      <c r="M104" s="26"/>
      <c r="N104" s="74"/>
      <c r="O104" s="58"/>
      <c r="P104" s="58"/>
    </row>
    <row r="105" spans="1:16" x14ac:dyDescent="0.25">
      <c r="A105" s="16"/>
      <c r="B105" s="49"/>
      <c r="C105" s="17"/>
      <c r="D105" s="26"/>
      <c r="E105" s="74"/>
      <c r="F105" s="58"/>
      <c r="G105" s="26"/>
      <c r="H105" s="74"/>
      <c r="I105" s="58"/>
      <c r="J105" s="26"/>
      <c r="K105" s="74"/>
      <c r="L105" s="58"/>
      <c r="M105" s="26"/>
      <c r="N105" s="74"/>
      <c r="O105" s="58"/>
      <c r="P105" s="58"/>
    </row>
    <row r="106" spans="1:16" x14ac:dyDescent="0.25">
      <c r="A106" s="16"/>
      <c r="B106" s="49"/>
      <c r="C106" s="17"/>
      <c r="D106" s="26"/>
      <c r="E106" s="74"/>
      <c r="F106" s="58"/>
      <c r="G106" s="26"/>
      <c r="H106" s="74"/>
      <c r="I106" s="58"/>
      <c r="J106" s="26"/>
      <c r="K106" s="74"/>
      <c r="L106" s="58"/>
      <c r="M106" s="26"/>
      <c r="N106" s="74"/>
      <c r="O106" s="58"/>
      <c r="P106" s="58"/>
    </row>
    <row r="107" spans="1:16" x14ac:dyDescent="0.25">
      <c r="A107" s="16"/>
      <c r="B107" s="49"/>
      <c r="C107" s="17"/>
      <c r="D107" s="26"/>
      <c r="E107" s="74"/>
      <c r="F107" s="58"/>
      <c r="G107" s="26"/>
      <c r="H107" s="74"/>
      <c r="I107" s="58"/>
      <c r="J107" s="26"/>
      <c r="K107" s="74"/>
      <c r="L107" s="58"/>
      <c r="M107" s="26"/>
      <c r="N107" s="74"/>
      <c r="O107" s="58"/>
      <c r="P107" s="58"/>
    </row>
    <row r="108" spans="1:16" x14ac:dyDescent="0.25">
      <c r="A108" s="16"/>
      <c r="B108" s="49"/>
      <c r="C108" s="17"/>
      <c r="D108" s="26"/>
      <c r="E108" s="74"/>
      <c r="F108" s="58"/>
      <c r="G108" s="26"/>
      <c r="H108" s="74"/>
      <c r="I108" s="58"/>
      <c r="J108" s="26"/>
      <c r="K108" s="74"/>
      <c r="L108" s="58"/>
      <c r="M108" s="26"/>
      <c r="N108" s="74"/>
      <c r="O108" s="58"/>
      <c r="P108" s="58"/>
    </row>
    <row r="109" spans="1:16" x14ac:dyDescent="0.25">
      <c r="A109" s="16"/>
      <c r="B109" s="49"/>
      <c r="C109" s="17"/>
      <c r="D109" s="26"/>
      <c r="E109" s="74"/>
      <c r="F109" s="58"/>
      <c r="G109" s="26"/>
      <c r="H109" s="74"/>
      <c r="I109" s="58"/>
      <c r="J109" s="26"/>
      <c r="K109" s="74"/>
      <c r="L109" s="58"/>
      <c r="M109" s="26"/>
      <c r="N109" s="74"/>
      <c r="O109" s="58"/>
      <c r="P109" s="58"/>
    </row>
    <row r="110" spans="1:16" x14ac:dyDescent="0.25">
      <c r="A110" s="16"/>
      <c r="B110" s="49"/>
      <c r="C110" s="17"/>
      <c r="D110" s="26"/>
      <c r="E110" s="74"/>
      <c r="F110" s="58"/>
      <c r="G110" s="26"/>
      <c r="H110" s="74"/>
      <c r="I110" s="58"/>
      <c r="J110" s="26"/>
      <c r="K110" s="74"/>
      <c r="L110" s="58"/>
      <c r="M110" s="26"/>
      <c r="N110" s="74"/>
      <c r="O110" s="58"/>
      <c r="P110" s="58"/>
    </row>
    <row r="111" spans="1:16" x14ac:dyDescent="0.25">
      <c r="A111" s="16"/>
      <c r="B111" s="49"/>
      <c r="C111" s="17"/>
      <c r="D111" s="26"/>
      <c r="E111" s="74"/>
      <c r="F111" s="58"/>
      <c r="G111" s="26"/>
      <c r="H111" s="74"/>
      <c r="I111" s="58"/>
      <c r="J111" s="26"/>
      <c r="K111" s="74"/>
      <c r="L111" s="58"/>
      <c r="M111" s="26"/>
      <c r="N111" s="74"/>
      <c r="O111" s="58"/>
      <c r="P111" s="58"/>
    </row>
    <row r="112" spans="1:16" x14ac:dyDescent="0.25">
      <c r="A112" s="16"/>
      <c r="B112" s="49"/>
      <c r="C112" s="17"/>
      <c r="D112" s="26"/>
      <c r="E112" s="74"/>
      <c r="F112" s="58"/>
      <c r="G112" s="26"/>
      <c r="H112" s="74"/>
      <c r="I112" s="58"/>
      <c r="J112" s="26"/>
      <c r="K112" s="74"/>
      <c r="L112" s="58"/>
      <c r="M112" s="26"/>
      <c r="N112" s="74"/>
      <c r="O112" s="58"/>
      <c r="P112" s="58"/>
    </row>
    <row r="113" spans="1:16" x14ac:dyDescent="0.25">
      <c r="A113" s="16"/>
      <c r="B113" s="49"/>
      <c r="C113" s="17"/>
      <c r="D113" s="26"/>
      <c r="E113" s="74"/>
      <c r="F113" s="58"/>
      <c r="G113" s="26"/>
      <c r="H113" s="74"/>
      <c r="I113" s="58"/>
      <c r="J113" s="26"/>
      <c r="K113" s="74"/>
      <c r="L113" s="58"/>
      <c r="M113" s="26"/>
      <c r="N113" s="74"/>
      <c r="O113" s="58"/>
      <c r="P113" s="58"/>
    </row>
    <row r="114" spans="1:16" x14ac:dyDescent="0.25">
      <c r="A114" s="16"/>
      <c r="B114" s="49"/>
      <c r="C114" s="17"/>
      <c r="D114" s="26"/>
      <c r="E114" s="74"/>
      <c r="F114" s="58"/>
      <c r="G114" s="26"/>
      <c r="H114" s="74"/>
      <c r="I114" s="58"/>
      <c r="J114" s="26"/>
      <c r="K114" s="74"/>
      <c r="L114" s="58"/>
      <c r="M114" s="26"/>
      <c r="N114" s="74"/>
      <c r="O114" s="58"/>
      <c r="P114" s="58"/>
    </row>
    <row r="115" spans="1:16" x14ac:dyDescent="0.25">
      <c r="A115" s="16"/>
      <c r="B115" s="49"/>
      <c r="C115" s="17"/>
      <c r="D115" s="26"/>
      <c r="E115" s="74"/>
      <c r="F115" s="58"/>
      <c r="G115" s="26"/>
      <c r="H115" s="74"/>
      <c r="I115" s="58"/>
      <c r="J115" s="26"/>
      <c r="K115" s="74"/>
      <c r="L115" s="58"/>
      <c r="M115" s="26"/>
      <c r="N115" s="74"/>
      <c r="O115" s="58"/>
      <c r="P115" s="58"/>
    </row>
    <row r="116" spans="1:16" x14ac:dyDescent="0.25">
      <c r="A116" s="16"/>
      <c r="B116" s="49"/>
      <c r="C116" s="17"/>
      <c r="D116" s="26"/>
      <c r="E116" s="74"/>
      <c r="F116" s="58"/>
      <c r="G116" s="26"/>
      <c r="H116" s="74"/>
      <c r="I116" s="58"/>
      <c r="J116" s="26"/>
      <c r="K116" s="74"/>
      <c r="L116" s="58"/>
      <c r="M116" s="26"/>
      <c r="N116" s="74"/>
      <c r="O116" s="58"/>
      <c r="P116" s="58"/>
    </row>
    <row r="117" spans="1:16" x14ac:dyDescent="0.25">
      <c r="A117" s="16"/>
      <c r="B117" s="49"/>
      <c r="C117" s="17"/>
      <c r="D117" s="26"/>
      <c r="E117" s="74"/>
      <c r="F117" s="58"/>
      <c r="G117" s="26"/>
      <c r="H117" s="74"/>
      <c r="I117" s="58"/>
      <c r="J117" s="26"/>
      <c r="K117" s="74"/>
      <c r="L117" s="58"/>
      <c r="M117" s="26"/>
      <c r="N117" s="74"/>
      <c r="O117" s="58"/>
      <c r="P117" s="58"/>
    </row>
    <row r="118" spans="1:16" x14ac:dyDescent="0.25">
      <c r="A118" s="16"/>
      <c r="B118" s="49"/>
      <c r="C118" s="17"/>
      <c r="D118" s="26"/>
      <c r="E118" s="74"/>
      <c r="F118" s="58"/>
      <c r="G118" s="26"/>
      <c r="H118" s="74"/>
      <c r="I118" s="58"/>
      <c r="J118" s="26"/>
      <c r="K118" s="74"/>
      <c r="L118" s="58"/>
      <c r="M118" s="26"/>
      <c r="N118" s="74"/>
      <c r="O118" s="58"/>
      <c r="P118" s="58"/>
    </row>
    <row r="119" spans="1:16" x14ac:dyDescent="0.25">
      <c r="A119" s="16"/>
      <c r="B119" s="49"/>
      <c r="C119" s="17"/>
      <c r="D119" s="26"/>
      <c r="E119" s="74"/>
      <c r="F119" s="58"/>
      <c r="G119" s="26"/>
      <c r="H119" s="74"/>
      <c r="I119" s="58"/>
      <c r="J119" s="26"/>
      <c r="K119" s="74"/>
      <c r="L119" s="58"/>
      <c r="M119" s="26"/>
      <c r="N119" s="74"/>
      <c r="O119" s="58"/>
      <c r="P119" s="58"/>
    </row>
    <row r="120" spans="1:16" x14ac:dyDescent="0.25">
      <c r="A120" s="16"/>
      <c r="B120" s="49"/>
      <c r="C120" s="17"/>
      <c r="D120" s="26"/>
      <c r="E120" s="74"/>
      <c r="F120" s="58"/>
      <c r="G120" s="26"/>
      <c r="H120" s="74"/>
      <c r="I120" s="58"/>
      <c r="J120" s="26"/>
      <c r="K120" s="74"/>
      <c r="L120" s="58"/>
      <c r="M120" s="26"/>
      <c r="N120" s="74"/>
      <c r="O120" s="58"/>
      <c r="P120" s="58"/>
    </row>
    <row r="121" spans="1:16" x14ac:dyDescent="0.25">
      <c r="A121" s="16"/>
      <c r="B121" s="49"/>
      <c r="C121" s="17"/>
      <c r="D121" s="26"/>
      <c r="E121" s="74"/>
      <c r="F121" s="58"/>
      <c r="G121" s="26"/>
      <c r="H121" s="74"/>
      <c r="I121" s="58"/>
      <c r="J121" s="26"/>
      <c r="K121" s="74"/>
      <c r="L121" s="58"/>
      <c r="M121" s="26"/>
      <c r="N121" s="74"/>
      <c r="O121" s="58"/>
      <c r="P121" s="58"/>
    </row>
    <row r="122" spans="1:16" x14ac:dyDescent="0.25">
      <c r="A122" s="16"/>
      <c r="B122" s="49"/>
      <c r="C122" s="17"/>
      <c r="D122" s="26"/>
      <c r="E122" s="74"/>
      <c r="F122" s="58"/>
      <c r="G122" s="26"/>
      <c r="H122" s="74"/>
      <c r="I122" s="58"/>
      <c r="J122" s="26"/>
      <c r="K122" s="74"/>
      <c r="L122" s="58"/>
      <c r="M122" s="26"/>
      <c r="N122" s="74"/>
      <c r="O122" s="58"/>
      <c r="P122" s="58"/>
    </row>
    <row r="123" spans="1:16" x14ac:dyDescent="0.25">
      <c r="A123" s="16"/>
      <c r="B123" s="49"/>
      <c r="C123" s="17"/>
      <c r="D123" s="26"/>
      <c r="E123" s="74"/>
      <c r="F123" s="58"/>
      <c r="G123" s="26"/>
      <c r="H123" s="74"/>
      <c r="I123" s="58"/>
      <c r="J123" s="26"/>
      <c r="K123" s="74"/>
      <c r="L123" s="58"/>
      <c r="M123" s="26"/>
      <c r="N123" s="74"/>
      <c r="O123" s="58"/>
      <c r="P123" s="58"/>
    </row>
    <row r="124" spans="1:16" x14ac:dyDescent="0.25">
      <c r="A124" s="16"/>
      <c r="B124" s="49"/>
      <c r="C124" s="17"/>
      <c r="D124" s="26"/>
      <c r="E124" s="74"/>
      <c r="F124" s="58"/>
      <c r="G124" s="26"/>
      <c r="H124" s="74"/>
      <c r="I124" s="58"/>
      <c r="J124" s="26"/>
      <c r="K124" s="74"/>
      <c r="L124" s="58"/>
      <c r="M124" s="26"/>
      <c r="N124" s="74"/>
      <c r="O124" s="58"/>
      <c r="P124" s="58"/>
    </row>
    <row r="125" spans="1:16" x14ac:dyDescent="0.25">
      <c r="A125" s="16"/>
      <c r="B125" s="49"/>
      <c r="C125" s="17"/>
      <c r="D125" s="26"/>
      <c r="E125" s="74"/>
      <c r="F125" s="58"/>
      <c r="G125" s="26"/>
      <c r="H125" s="74"/>
      <c r="I125" s="58"/>
      <c r="J125" s="26"/>
      <c r="K125" s="74"/>
      <c r="L125" s="58"/>
      <c r="M125" s="26"/>
      <c r="N125" s="74"/>
      <c r="O125" s="58"/>
      <c r="P125" s="58"/>
    </row>
    <row r="126" spans="1:16" x14ac:dyDescent="0.25">
      <c r="A126" s="16"/>
      <c r="B126" s="49"/>
      <c r="C126" s="17"/>
      <c r="D126" s="26"/>
      <c r="E126" s="74"/>
      <c r="F126" s="58"/>
      <c r="G126" s="26"/>
      <c r="H126" s="74"/>
      <c r="I126" s="58"/>
      <c r="J126" s="26"/>
      <c r="K126" s="74"/>
      <c r="L126" s="58"/>
      <c r="M126" s="26"/>
      <c r="N126" s="74"/>
      <c r="O126" s="58"/>
      <c r="P126" s="58"/>
    </row>
    <row r="127" spans="1:16" x14ac:dyDescent="0.25">
      <c r="A127" s="16"/>
      <c r="B127" s="49"/>
      <c r="C127" s="17"/>
      <c r="D127" s="26"/>
      <c r="E127" s="74"/>
      <c r="F127" s="58"/>
      <c r="G127" s="26"/>
      <c r="H127" s="74"/>
      <c r="I127" s="58"/>
      <c r="J127" s="26"/>
      <c r="K127" s="74"/>
      <c r="L127" s="58"/>
      <c r="M127" s="26"/>
      <c r="N127" s="74"/>
      <c r="O127" s="58"/>
      <c r="P127" s="58"/>
    </row>
    <row r="128" spans="1:16" x14ac:dyDescent="0.25">
      <c r="A128" s="16"/>
      <c r="B128" s="49"/>
      <c r="C128" s="17"/>
      <c r="D128" s="26"/>
      <c r="E128" s="74"/>
      <c r="F128" s="58"/>
      <c r="G128" s="26"/>
      <c r="H128" s="74"/>
      <c r="I128" s="58"/>
      <c r="J128" s="26"/>
      <c r="K128" s="74"/>
      <c r="L128" s="58"/>
      <c r="M128" s="26"/>
      <c r="N128" s="74"/>
      <c r="O128" s="58"/>
      <c r="P128" s="58"/>
    </row>
    <row r="129" spans="1:16" x14ac:dyDescent="0.25">
      <c r="A129" s="16"/>
      <c r="B129" s="49"/>
      <c r="C129" s="17"/>
      <c r="D129" s="26"/>
      <c r="E129" s="74"/>
      <c r="F129" s="58"/>
      <c r="G129" s="26"/>
      <c r="H129" s="74"/>
      <c r="I129" s="58"/>
      <c r="J129" s="26"/>
      <c r="K129" s="74"/>
      <c r="L129" s="58"/>
      <c r="M129" s="26"/>
      <c r="N129" s="74"/>
      <c r="O129" s="58"/>
      <c r="P129" s="58"/>
    </row>
    <row r="130" spans="1:16" x14ac:dyDescent="0.25">
      <c r="A130" s="16"/>
      <c r="B130" s="49"/>
      <c r="C130" s="17"/>
      <c r="D130" s="26"/>
      <c r="E130" s="74"/>
      <c r="F130" s="58"/>
      <c r="G130" s="26"/>
      <c r="H130" s="74"/>
      <c r="I130" s="58"/>
      <c r="J130" s="26"/>
      <c r="K130" s="74"/>
      <c r="L130" s="58"/>
      <c r="M130" s="26"/>
      <c r="N130" s="74"/>
      <c r="O130" s="58"/>
      <c r="P130" s="58"/>
    </row>
    <row r="131" spans="1:16" x14ac:dyDescent="0.25">
      <c r="A131" s="16"/>
      <c r="B131" s="49"/>
      <c r="C131" s="17"/>
      <c r="D131" s="26"/>
      <c r="E131" s="74"/>
      <c r="F131" s="58"/>
      <c r="G131" s="26"/>
      <c r="H131" s="74"/>
      <c r="I131" s="58"/>
      <c r="J131" s="26"/>
      <c r="K131" s="74"/>
      <c r="L131" s="58"/>
      <c r="M131" s="26"/>
      <c r="N131" s="74"/>
      <c r="O131" s="58"/>
      <c r="P131" s="58"/>
    </row>
    <row r="132" spans="1:16" x14ac:dyDescent="0.25">
      <c r="A132" s="16"/>
      <c r="B132" s="49"/>
      <c r="C132" s="17"/>
      <c r="D132" s="26"/>
      <c r="E132" s="74"/>
      <c r="F132" s="58"/>
      <c r="G132" s="26"/>
      <c r="H132" s="74"/>
      <c r="I132" s="58"/>
      <c r="J132" s="26"/>
      <c r="K132" s="74"/>
      <c r="L132" s="58"/>
      <c r="M132" s="26"/>
      <c r="N132" s="74"/>
      <c r="O132" s="58"/>
      <c r="P132" s="58"/>
    </row>
    <row r="133" spans="1:16" x14ac:dyDescent="0.25">
      <c r="A133" s="16"/>
      <c r="B133" s="49"/>
      <c r="C133" s="17"/>
      <c r="D133" s="26"/>
      <c r="E133" s="74"/>
      <c r="F133" s="58"/>
      <c r="G133" s="26"/>
      <c r="H133" s="74"/>
      <c r="I133" s="58"/>
      <c r="J133" s="26"/>
      <c r="K133" s="74"/>
      <c r="L133" s="58"/>
      <c r="M133" s="26"/>
      <c r="N133" s="74"/>
      <c r="O133" s="58"/>
      <c r="P133" s="58"/>
    </row>
    <row r="134" spans="1:16" x14ac:dyDescent="0.25">
      <c r="A134" s="16"/>
      <c r="B134" s="49"/>
      <c r="C134" s="17"/>
      <c r="D134" s="26"/>
      <c r="E134" s="74"/>
      <c r="F134" s="58"/>
      <c r="G134" s="26"/>
      <c r="H134" s="74"/>
      <c r="I134" s="58"/>
      <c r="J134" s="26"/>
      <c r="K134" s="74"/>
      <c r="L134" s="58"/>
      <c r="M134" s="26"/>
      <c r="N134" s="74"/>
      <c r="O134" s="58"/>
      <c r="P134" s="58"/>
    </row>
    <row r="135" spans="1:16" x14ac:dyDescent="0.25">
      <c r="A135" s="16"/>
      <c r="B135" s="49"/>
      <c r="C135" s="17"/>
      <c r="D135" s="26"/>
      <c r="E135" s="74"/>
      <c r="F135" s="58"/>
      <c r="G135" s="26"/>
      <c r="H135" s="74"/>
      <c r="I135" s="58"/>
      <c r="J135" s="26"/>
      <c r="K135" s="74"/>
      <c r="L135" s="58"/>
      <c r="M135" s="26"/>
      <c r="N135" s="74"/>
      <c r="O135" s="58"/>
      <c r="P135" s="58"/>
    </row>
    <row r="136" spans="1:16" x14ac:dyDescent="0.25">
      <c r="A136" s="16"/>
      <c r="B136" s="49"/>
      <c r="C136" s="17"/>
      <c r="D136" s="26"/>
      <c r="E136" s="74"/>
      <c r="F136" s="58"/>
      <c r="G136" s="26"/>
      <c r="H136" s="74"/>
      <c r="I136" s="58"/>
      <c r="J136" s="26"/>
      <c r="K136" s="74"/>
      <c r="L136" s="58"/>
      <c r="M136" s="26"/>
      <c r="N136" s="74"/>
      <c r="O136" s="58"/>
      <c r="P136" s="58"/>
    </row>
    <row r="137" spans="1:16" x14ac:dyDescent="0.25">
      <c r="A137" s="16"/>
      <c r="B137" s="49"/>
      <c r="C137" s="17"/>
      <c r="D137" s="26"/>
      <c r="E137" s="74"/>
      <c r="F137" s="58"/>
      <c r="G137" s="26"/>
      <c r="H137" s="74"/>
      <c r="I137" s="58"/>
      <c r="J137" s="26"/>
      <c r="K137" s="74"/>
      <c r="L137" s="58"/>
      <c r="M137" s="26"/>
      <c r="N137" s="74"/>
      <c r="O137" s="58"/>
      <c r="P137" s="58"/>
    </row>
    <row r="138" spans="1:16" x14ac:dyDescent="0.25">
      <c r="A138" s="16"/>
      <c r="B138" s="49"/>
      <c r="C138" s="17"/>
      <c r="D138" s="26"/>
      <c r="E138" s="74"/>
      <c r="F138" s="58"/>
      <c r="G138" s="26"/>
      <c r="H138" s="74"/>
      <c r="I138" s="58"/>
      <c r="J138" s="26"/>
      <c r="K138" s="74"/>
      <c r="L138" s="58"/>
      <c r="M138" s="26"/>
      <c r="N138" s="74"/>
      <c r="O138" s="58"/>
      <c r="P138" s="58"/>
    </row>
    <row r="139" spans="1:16" x14ac:dyDescent="0.25">
      <c r="A139" s="16"/>
      <c r="B139" s="49"/>
      <c r="C139" s="17"/>
      <c r="D139" s="26"/>
      <c r="E139" s="74"/>
      <c r="F139" s="58"/>
      <c r="G139" s="26"/>
      <c r="H139" s="74"/>
      <c r="I139" s="58"/>
      <c r="J139" s="26"/>
      <c r="K139" s="74"/>
      <c r="L139" s="58"/>
      <c r="M139" s="26"/>
      <c r="N139" s="74"/>
      <c r="O139" s="58"/>
      <c r="P139" s="58"/>
    </row>
    <row r="140" spans="1:16" x14ac:dyDescent="0.25">
      <c r="A140" s="16"/>
      <c r="B140" s="49"/>
      <c r="C140" s="17"/>
      <c r="D140" s="26"/>
      <c r="E140" s="74"/>
      <c r="F140" s="58"/>
      <c r="G140" s="26"/>
      <c r="H140" s="74"/>
      <c r="I140" s="58"/>
      <c r="J140" s="26"/>
      <c r="K140" s="74"/>
      <c r="L140" s="58"/>
      <c r="M140" s="26"/>
      <c r="N140" s="74"/>
      <c r="O140" s="58"/>
      <c r="P140" s="58"/>
    </row>
    <row r="141" spans="1:16" x14ac:dyDescent="0.25">
      <c r="A141" s="16"/>
      <c r="B141" s="49"/>
      <c r="C141" s="17"/>
      <c r="D141" s="26"/>
      <c r="E141" s="74"/>
      <c r="F141" s="58"/>
      <c r="G141" s="26"/>
      <c r="H141" s="74"/>
      <c r="I141" s="58"/>
      <c r="J141" s="26"/>
      <c r="K141" s="74"/>
      <c r="L141" s="58"/>
      <c r="M141" s="26"/>
      <c r="N141" s="74"/>
      <c r="O141" s="58"/>
      <c r="P141" s="58"/>
    </row>
    <row r="142" spans="1:16" x14ac:dyDescent="0.25">
      <c r="A142" s="16"/>
      <c r="B142" s="49"/>
      <c r="C142" s="17"/>
      <c r="D142" s="26"/>
      <c r="E142" s="74"/>
      <c r="F142" s="58"/>
      <c r="G142" s="26"/>
      <c r="H142" s="74"/>
      <c r="I142" s="58"/>
      <c r="J142" s="26"/>
      <c r="K142" s="74"/>
      <c r="L142" s="58"/>
      <c r="M142" s="26"/>
      <c r="N142" s="74"/>
      <c r="O142" s="58"/>
      <c r="P142" s="58"/>
    </row>
    <row r="143" spans="1:16" x14ac:dyDescent="0.25">
      <c r="A143" s="16"/>
      <c r="B143" s="49"/>
      <c r="C143" s="17"/>
      <c r="D143" s="26"/>
      <c r="E143" s="74"/>
      <c r="F143" s="58"/>
      <c r="G143" s="26"/>
      <c r="H143" s="74"/>
      <c r="I143" s="58"/>
      <c r="J143" s="26"/>
      <c r="K143" s="74"/>
      <c r="L143" s="58"/>
      <c r="M143" s="26"/>
      <c r="N143" s="74"/>
      <c r="O143" s="58"/>
      <c r="P143" s="58"/>
    </row>
    <row r="144" spans="1:16" x14ac:dyDescent="0.25">
      <c r="A144" s="16"/>
      <c r="B144" s="49"/>
      <c r="C144" s="17"/>
      <c r="D144" s="26"/>
      <c r="E144" s="74"/>
      <c r="F144" s="58"/>
      <c r="G144" s="26"/>
      <c r="H144" s="74"/>
      <c r="I144" s="58"/>
      <c r="J144" s="26"/>
      <c r="K144" s="74"/>
      <c r="L144" s="58"/>
      <c r="M144" s="26"/>
      <c r="N144" s="74"/>
      <c r="O144" s="58"/>
      <c r="P144" s="58"/>
    </row>
    <row r="145" spans="1:16" x14ac:dyDescent="0.25">
      <c r="A145" s="16"/>
      <c r="B145" s="49"/>
      <c r="C145" s="17"/>
      <c r="D145" s="26"/>
      <c r="E145" s="74"/>
      <c r="F145" s="58"/>
      <c r="G145" s="26"/>
      <c r="H145" s="74"/>
      <c r="I145" s="58"/>
      <c r="J145" s="26"/>
      <c r="K145" s="74"/>
      <c r="L145" s="58"/>
      <c r="M145" s="26"/>
      <c r="N145" s="74"/>
      <c r="O145" s="58"/>
      <c r="P145" s="58"/>
    </row>
    <row r="146" spans="1:16" x14ac:dyDescent="0.25">
      <c r="A146" s="16"/>
      <c r="B146" s="49"/>
      <c r="C146" s="17"/>
      <c r="D146" s="26"/>
      <c r="E146" s="74"/>
      <c r="F146" s="58"/>
      <c r="G146" s="26"/>
      <c r="H146" s="74"/>
      <c r="I146" s="58"/>
      <c r="J146" s="26"/>
      <c r="K146" s="74"/>
      <c r="L146" s="58"/>
      <c r="M146" s="26"/>
      <c r="N146" s="74"/>
      <c r="O146" s="58"/>
      <c r="P146" s="58"/>
    </row>
    <row r="147" spans="1:16" x14ac:dyDescent="0.25">
      <c r="A147" s="16"/>
      <c r="B147" s="49"/>
      <c r="C147" s="17"/>
      <c r="D147" s="26"/>
      <c r="E147" s="74"/>
      <c r="F147" s="58"/>
      <c r="G147" s="26"/>
      <c r="H147" s="74"/>
      <c r="I147" s="58"/>
      <c r="J147" s="26"/>
      <c r="K147" s="74"/>
      <c r="L147" s="58"/>
      <c r="M147" s="26"/>
      <c r="N147" s="74"/>
      <c r="O147" s="58"/>
      <c r="P147" s="58"/>
    </row>
    <row r="148" spans="1:16" x14ac:dyDescent="0.25">
      <c r="A148" s="16"/>
      <c r="B148" s="49"/>
      <c r="C148" s="17"/>
      <c r="D148" s="26"/>
      <c r="E148" s="74"/>
      <c r="F148" s="58"/>
      <c r="G148" s="26"/>
      <c r="H148" s="74"/>
      <c r="I148" s="58"/>
      <c r="J148" s="26"/>
      <c r="K148" s="74"/>
      <c r="L148" s="58"/>
      <c r="M148" s="26"/>
      <c r="N148" s="74"/>
      <c r="O148" s="58"/>
      <c r="P148" s="58"/>
    </row>
    <row r="149" spans="1:16" x14ac:dyDescent="0.25">
      <c r="A149" s="16"/>
      <c r="B149" s="49"/>
      <c r="C149" s="17"/>
      <c r="D149" s="26"/>
      <c r="E149" s="74"/>
      <c r="F149" s="58"/>
      <c r="G149" s="26"/>
      <c r="H149" s="74"/>
      <c r="I149" s="58"/>
      <c r="J149" s="26"/>
      <c r="K149" s="74"/>
      <c r="L149" s="58"/>
      <c r="M149" s="26"/>
      <c r="N149" s="74"/>
      <c r="O149" s="58"/>
      <c r="P149" s="58"/>
    </row>
    <row r="150" spans="1:16" x14ac:dyDescent="0.25">
      <c r="A150" s="16"/>
      <c r="B150" s="49"/>
      <c r="C150" s="17"/>
      <c r="D150" s="26"/>
      <c r="E150" s="74"/>
      <c r="F150" s="58"/>
      <c r="G150" s="26"/>
      <c r="H150" s="74"/>
      <c r="I150" s="58"/>
      <c r="J150" s="26"/>
      <c r="K150" s="74"/>
      <c r="L150" s="58"/>
      <c r="M150" s="26"/>
      <c r="N150" s="74"/>
      <c r="O150" s="58"/>
      <c r="P150" s="58"/>
    </row>
    <row r="151" spans="1:16" x14ac:dyDescent="0.25">
      <c r="A151" s="16"/>
      <c r="B151" s="49"/>
      <c r="C151" s="17"/>
      <c r="D151" s="26"/>
      <c r="E151" s="74"/>
      <c r="F151" s="58"/>
      <c r="G151" s="26"/>
      <c r="H151" s="74"/>
      <c r="I151" s="58"/>
      <c r="J151" s="26"/>
      <c r="K151" s="74"/>
      <c r="L151" s="58"/>
      <c r="M151" s="26"/>
      <c r="N151" s="74"/>
      <c r="O151" s="58"/>
      <c r="P151" s="58"/>
    </row>
    <row r="152" spans="1:16" x14ac:dyDescent="0.25">
      <c r="A152" s="16"/>
      <c r="B152" s="49"/>
      <c r="C152" s="17"/>
      <c r="D152" s="26"/>
      <c r="E152" s="74"/>
      <c r="F152" s="58"/>
      <c r="G152" s="26"/>
      <c r="H152" s="74"/>
      <c r="I152" s="58"/>
      <c r="J152" s="26"/>
      <c r="K152" s="74"/>
      <c r="L152" s="58"/>
      <c r="M152" s="26"/>
      <c r="N152" s="74"/>
      <c r="O152" s="58"/>
      <c r="P152" s="58"/>
    </row>
    <row r="153" spans="1:16" x14ac:dyDescent="0.25">
      <c r="A153" s="16"/>
      <c r="B153" s="49"/>
      <c r="C153" s="17"/>
      <c r="D153" s="26"/>
      <c r="E153" s="74"/>
      <c r="F153" s="58"/>
      <c r="G153" s="26"/>
      <c r="H153" s="74"/>
      <c r="I153" s="58"/>
      <c r="J153" s="26"/>
      <c r="K153" s="74"/>
      <c r="L153" s="58"/>
      <c r="M153" s="26"/>
      <c r="N153" s="74"/>
      <c r="O153" s="58"/>
      <c r="P153" s="58"/>
    </row>
    <row r="154" spans="1:16" x14ac:dyDescent="0.25">
      <c r="A154" s="16"/>
      <c r="B154" s="49"/>
      <c r="C154" s="17"/>
      <c r="D154" s="26"/>
      <c r="E154" s="74"/>
      <c r="F154" s="58"/>
      <c r="G154" s="26"/>
      <c r="H154" s="74"/>
      <c r="I154" s="58"/>
      <c r="J154" s="26"/>
      <c r="K154" s="74"/>
      <c r="L154" s="58"/>
      <c r="M154" s="26"/>
      <c r="N154" s="74"/>
      <c r="O154" s="58"/>
      <c r="P154" s="58"/>
    </row>
    <row r="155" spans="1:16" x14ac:dyDescent="0.25">
      <c r="A155" s="16"/>
      <c r="B155" s="49"/>
      <c r="C155" s="17"/>
      <c r="D155" s="26"/>
      <c r="E155" s="74"/>
      <c r="F155" s="58"/>
      <c r="G155" s="26"/>
      <c r="H155" s="74"/>
      <c r="I155" s="58"/>
      <c r="J155" s="26"/>
      <c r="K155" s="74"/>
      <c r="L155" s="58"/>
      <c r="M155" s="26"/>
      <c r="N155" s="74"/>
      <c r="O155" s="58"/>
      <c r="P155" s="58"/>
    </row>
    <row r="156" spans="1:16" x14ac:dyDescent="0.25">
      <c r="A156" s="16"/>
      <c r="B156" s="49"/>
      <c r="C156" s="17"/>
      <c r="D156" s="26"/>
      <c r="E156" s="74"/>
      <c r="F156" s="58"/>
      <c r="G156" s="26"/>
      <c r="H156" s="74"/>
      <c r="I156" s="58"/>
      <c r="J156" s="26"/>
      <c r="K156" s="74"/>
      <c r="L156" s="58"/>
      <c r="M156" s="26"/>
      <c r="N156" s="74"/>
      <c r="O156" s="58"/>
      <c r="P156" s="58"/>
    </row>
    <row r="157" spans="1:16" x14ac:dyDescent="0.25">
      <c r="A157" s="16"/>
      <c r="B157" s="49"/>
      <c r="C157" s="17"/>
      <c r="D157" s="26"/>
      <c r="E157" s="74"/>
      <c r="F157" s="58"/>
      <c r="G157" s="26"/>
      <c r="H157" s="74"/>
      <c r="I157" s="58"/>
      <c r="J157" s="26"/>
      <c r="K157" s="74"/>
      <c r="L157" s="58"/>
      <c r="M157" s="26"/>
      <c r="N157" s="74"/>
      <c r="O157" s="58"/>
      <c r="P157" s="58"/>
    </row>
    <row r="158" spans="1:16" x14ac:dyDescent="0.25">
      <c r="A158" s="16"/>
      <c r="B158" s="49"/>
      <c r="C158" s="17"/>
      <c r="D158" s="26"/>
      <c r="E158" s="74"/>
      <c r="F158" s="58"/>
      <c r="G158" s="26"/>
      <c r="H158" s="74"/>
      <c r="I158" s="58"/>
      <c r="J158" s="26"/>
      <c r="K158" s="74"/>
      <c r="L158" s="58"/>
      <c r="M158" s="26"/>
      <c r="N158" s="74"/>
      <c r="O158" s="58"/>
      <c r="P158" s="58"/>
    </row>
    <row r="159" spans="1:16" x14ac:dyDescent="0.25">
      <c r="A159" s="16"/>
      <c r="B159" s="49"/>
      <c r="C159" s="17"/>
      <c r="D159" s="26"/>
      <c r="E159" s="74"/>
      <c r="F159" s="58"/>
      <c r="G159" s="26"/>
      <c r="H159" s="74"/>
      <c r="I159" s="58"/>
      <c r="J159" s="26"/>
      <c r="K159" s="74"/>
      <c r="L159" s="58"/>
      <c r="M159" s="26"/>
      <c r="N159" s="74"/>
      <c r="O159" s="58"/>
      <c r="P159" s="58"/>
    </row>
    <row r="160" spans="1:16" x14ac:dyDescent="0.25">
      <c r="A160" s="16"/>
      <c r="B160" s="49"/>
      <c r="C160" s="17"/>
      <c r="D160" s="26"/>
      <c r="E160" s="74"/>
      <c r="F160" s="58"/>
      <c r="G160" s="26"/>
      <c r="H160" s="74"/>
      <c r="I160" s="58"/>
      <c r="J160" s="26"/>
      <c r="K160" s="74"/>
      <c r="L160" s="58"/>
      <c r="M160" s="26"/>
      <c r="N160" s="74"/>
      <c r="O160" s="58"/>
      <c r="P160" s="58"/>
    </row>
    <row r="161" spans="1:16" x14ac:dyDescent="0.25">
      <c r="A161" s="16"/>
      <c r="B161" s="49"/>
      <c r="C161" s="17"/>
      <c r="D161" s="26"/>
      <c r="E161" s="74"/>
      <c r="F161" s="58"/>
      <c r="G161" s="26"/>
      <c r="H161" s="74"/>
      <c r="I161" s="58"/>
      <c r="J161" s="26"/>
      <c r="K161" s="74"/>
      <c r="L161" s="58"/>
      <c r="M161" s="26"/>
      <c r="N161" s="74"/>
      <c r="O161" s="58"/>
      <c r="P161" s="58"/>
    </row>
    <row r="162" spans="1:16" x14ac:dyDescent="0.25">
      <c r="A162" s="16"/>
      <c r="B162" s="49"/>
      <c r="C162" s="17"/>
      <c r="D162" s="26"/>
      <c r="E162" s="74"/>
      <c r="F162" s="58"/>
      <c r="G162" s="26"/>
      <c r="H162" s="74"/>
      <c r="I162" s="58"/>
      <c r="J162" s="26"/>
      <c r="K162" s="74"/>
      <c r="L162" s="58"/>
      <c r="M162" s="26"/>
      <c r="N162" s="74"/>
      <c r="O162" s="58"/>
      <c r="P162" s="58"/>
    </row>
    <row r="163" spans="1:16" x14ac:dyDescent="0.25">
      <c r="A163" s="16"/>
      <c r="B163" s="49"/>
      <c r="C163" s="17"/>
      <c r="D163" s="26"/>
      <c r="E163" s="74"/>
      <c r="F163" s="58"/>
      <c r="G163" s="26"/>
      <c r="H163" s="74"/>
      <c r="I163" s="58"/>
      <c r="J163" s="26"/>
      <c r="K163" s="74"/>
      <c r="L163" s="58"/>
      <c r="M163" s="26"/>
      <c r="N163" s="74"/>
      <c r="O163" s="58"/>
      <c r="P163" s="58"/>
    </row>
    <row r="164" spans="1:16" x14ac:dyDescent="0.25">
      <c r="A164" s="16"/>
      <c r="B164" s="49"/>
      <c r="C164" s="17"/>
      <c r="D164" s="26"/>
      <c r="E164" s="74"/>
      <c r="F164" s="58"/>
      <c r="G164" s="26"/>
      <c r="H164" s="74"/>
      <c r="I164" s="58"/>
      <c r="J164" s="26"/>
      <c r="K164" s="74"/>
      <c r="L164" s="58"/>
      <c r="M164" s="26"/>
      <c r="N164" s="74"/>
      <c r="O164" s="58"/>
      <c r="P164" s="58"/>
    </row>
    <row r="165" spans="1:16" x14ac:dyDescent="0.25">
      <c r="A165" s="16"/>
      <c r="B165" s="49"/>
      <c r="C165" s="17"/>
      <c r="D165" s="26"/>
      <c r="E165" s="74"/>
      <c r="F165" s="58"/>
      <c r="G165" s="26"/>
      <c r="H165" s="74"/>
      <c r="I165" s="58"/>
      <c r="J165" s="26"/>
      <c r="K165" s="74"/>
      <c r="L165" s="58"/>
      <c r="M165" s="26"/>
      <c r="N165" s="74"/>
      <c r="O165" s="58"/>
      <c r="P165" s="58"/>
    </row>
    <row r="166" spans="1:16" x14ac:dyDescent="0.25">
      <c r="A166" s="16"/>
      <c r="B166" s="49"/>
      <c r="C166" s="17"/>
      <c r="D166" s="26"/>
      <c r="E166" s="74"/>
      <c r="F166" s="58"/>
      <c r="G166" s="26"/>
      <c r="H166" s="74"/>
      <c r="I166" s="58"/>
      <c r="J166" s="26"/>
      <c r="K166" s="74"/>
      <c r="L166" s="58"/>
      <c r="M166" s="26"/>
      <c r="N166" s="74"/>
      <c r="O166" s="58"/>
      <c r="P166" s="58"/>
    </row>
    <row r="167" spans="1:16" x14ac:dyDescent="0.25">
      <c r="A167" s="16"/>
      <c r="B167" s="49"/>
      <c r="C167" s="17"/>
      <c r="D167" s="26"/>
      <c r="E167" s="74"/>
      <c r="F167" s="58"/>
      <c r="G167" s="26"/>
      <c r="H167" s="74"/>
      <c r="I167" s="58"/>
      <c r="J167" s="26"/>
      <c r="K167" s="74"/>
      <c r="L167" s="58"/>
      <c r="M167" s="26"/>
      <c r="N167" s="74"/>
      <c r="O167" s="58"/>
      <c r="P167" s="58"/>
    </row>
    <row r="168" spans="1:16" x14ac:dyDescent="0.25">
      <c r="A168" s="16"/>
      <c r="B168" s="49"/>
      <c r="C168" s="17"/>
      <c r="D168" s="26"/>
      <c r="E168" s="74"/>
      <c r="F168" s="58"/>
      <c r="G168" s="26"/>
      <c r="H168" s="74"/>
      <c r="I168" s="58"/>
      <c r="J168" s="26"/>
      <c r="K168" s="74"/>
      <c r="L168" s="58"/>
      <c r="M168" s="26"/>
      <c r="N168" s="74"/>
      <c r="O168" s="58"/>
      <c r="P168" s="58"/>
    </row>
    <row r="169" spans="1:16" x14ac:dyDescent="0.25">
      <c r="A169" s="16"/>
      <c r="B169" s="49"/>
      <c r="C169" s="17"/>
      <c r="D169" s="26"/>
      <c r="E169" s="74"/>
      <c r="F169" s="58"/>
      <c r="G169" s="26"/>
      <c r="H169" s="74"/>
      <c r="I169" s="58"/>
      <c r="J169" s="26"/>
      <c r="K169" s="74"/>
      <c r="L169" s="58"/>
      <c r="M169" s="26"/>
      <c r="N169" s="74"/>
      <c r="O169" s="58"/>
      <c r="P169" s="58"/>
    </row>
    <row r="170" spans="1:16" x14ac:dyDescent="0.25">
      <c r="A170" s="16"/>
      <c r="B170" s="49"/>
      <c r="C170" s="17"/>
      <c r="D170" s="26"/>
      <c r="E170" s="74"/>
      <c r="F170" s="58"/>
      <c r="G170" s="26"/>
      <c r="H170" s="74"/>
      <c r="I170" s="58"/>
      <c r="J170" s="26"/>
      <c r="K170" s="74"/>
      <c r="L170" s="58"/>
      <c r="M170" s="26"/>
      <c r="N170" s="74"/>
      <c r="O170" s="58"/>
      <c r="P170" s="58"/>
    </row>
    <row r="171" spans="1:16" x14ac:dyDescent="0.25">
      <c r="A171" s="16"/>
      <c r="B171" s="49"/>
      <c r="C171" s="17"/>
      <c r="D171" s="26"/>
      <c r="E171" s="74"/>
      <c r="F171" s="58"/>
      <c r="G171" s="26"/>
      <c r="H171" s="74"/>
      <c r="I171" s="58"/>
      <c r="J171" s="26"/>
      <c r="K171" s="74"/>
      <c r="L171" s="58"/>
      <c r="M171" s="26"/>
      <c r="N171" s="74"/>
      <c r="O171" s="58"/>
      <c r="P171" s="58"/>
    </row>
    <row r="172" spans="1:16" x14ac:dyDescent="0.25">
      <c r="A172" s="16"/>
      <c r="B172" s="49"/>
      <c r="C172" s="17"/>
      <c r="D172" s="26"/>
      <c r="E172" s="74"/>
      <c r="F172" s="58"/>
      <c r="G172" s="26"/>
      <c r="H172" s="74"/>
      <c r="I172" s="58"/>
      <c r="J172" s="26"/>
      <c r="K172" s="74"/>
      <c r="L172" s="58"/>
      <c r="M172" s="26"/>
      <c r="N172" s="74"/>
      <c r="O172" s="58"/>
      <c r="P172" s="58"/>
    </row>
    <row r="173" spans="1:16" x14ac:dyDescent="0.25">
      <c r="A173" s="16"/>
      <c r="B173" s="49"/>
      <c r="C173" s="17"/>
      <c r="D173" s="26"/>
      <c r="E173" s="74"/>
      <c r="F173" s="58"/>
      <c r="G173" s="26"/>
      <c r="H173" s="74"/>
      <c r="I173" s="58"/>
      <c r="J173" s="26"/>
      <c r="K173" s="74"/>
      <c r="L173" s="58"/>
      <c r="M173" s="26"/>
      <c r="N173" s="74"/>
      <c r="O173" s="58"/>
      <c r="P173" s="58"/>
    </row>
    <row r="174" spans="1:16" x14ac:dyDescent="0.25">
      <c r="A174" s="16"/>
      <c r="B174" s="49"/>
      <c r="C174" s="17"/>
      <c r="D174" s="26"/>
      <c r="E174" s="74"/>
      <c r="F174" s="58"/>
      <c r="G174" s="26"/>
      <c r="H174" s="74"/>
      <c r="I174" s="58"/>
      <c r="J174" s="26"/>
      <c r="K174" s="74"/>
      <c r="L174" s="58"/>
      <c r="M174" s="26"/>
      <c r="N174" s="74"/>
      <c r="O174" s="58"/>
      <c r="P174" s="58"/>
    </row>
    <row r="175" spans="1:16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74"/>
      <c r="L175" s="58"/>
      <c r="M175" s="58"/>
      <c r="N175" s="58"/>
      <c r="O175" s="58"/>
      <c r="P175" s="58"/>
    </row>
    <row r="176" spans="1:16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  <c r="P176" s="58"/>
    </row>
    <row r="177" spans="1:16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  <c r="P177" s="58"/>
    </row>
    <row r="178" spans="1:16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6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6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6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6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6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6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6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6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6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6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6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6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6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6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A5" workbookViewId="0">
      <pane ySplit="3" topLeftCell="A66" activePane="bottomLeft" state="frozen"/>
      <selection activeCell="A5" sqref="A5"/>
      <selection pane="bottomLeft" activeCell="A66" sqref="A66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9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6.85546875" customWidth="1"/>
    <col min="13" max="13" width="7.85546875" style="6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2" t="s">
        <v>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4" t="s">
        <v>11</v>
      </c>
      <c r="M1" s="12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5" t="s">
        <v>8</v>
      </c>
      <c r="D3" s="12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6" t="s">
        <v>0</v>
      </c>
      <c r="B5" s="126"/>
      <c r="C5" s="126"/>
      <c r="D5" s="127" t="s">
        <v>4</v>
      </c>
      <c r="E5" s="127"/>
      <c r="F5" s="127"/>
      <c r="G5" s="128" t="s">
        <v>5</v>
      </c>
      <c r="H5" s="128"/>
      <c r="I5" s="128"/>
      <c r="J5" s="133" t="s">
        <v>6</v>
      </c>
      <c r="K5" s="133"/>
      <c r="L5" s="133"/>
      <c r="M5" s="121" t="s">
        <v>12</v>
      </c>
      <c r="N5" s="121"/>
      <c r="O5" s="121"/>
      <c r="Q5" s="130" t="s">
        <v>13</v>
      </c>
      <c r="R5" s="130"/>
    </row>
    <row r="6" spans="1:18" x14ac:dyDescent="0.25">
      <c r="A6" s="8">
        <f>SUBTOTAL(3,A8:A121)</f>
        <v>53</v>
      </c>
      <c r="B6" s="8">
        <f>SUBTOTAL(9,B8:B121)</f>
        <v>21875</v>
      </c>
      <c r="C6" s="35">
        <v>43380</v>
      </c>
      <c r="D6" s="8">
        <f>SUBTOTAL(3,D8:D90)</f>
        <v>53</v>
      </c>
      <c r="E6" s="1">
        <f>SUBTOTAL(9,E8:E90)</f>
        <v>38250</v>
      </c>
      <c r="F6" s="38">
        <v>43387</v>
      </c>
      <c r="G6" s="8">
        <f>SUBTOTAL(3,G8:G120)</f>
        <v>15</v>
      </c>
      <c r="H6" s="1">
        <f>SUBTOTAL(9,H8:H120)</f>
        <v>9700</v>
      </c>
      <c r="I6" s="39">
        <v>43394</v>
      </c>
      <c r="J6" s="8">
        <f>SUBTOTAL(3,J8:J111)</f>
        <v>32</v>
      </c>
      <c r="K6" s="1">
        <f>SUBTOTAL(9,K8:K111)</f>
        <v>16140</v>
      </c>
      <c r="L6" s="63">
        <v>43401</v>
      </c>
      <c r="M6" s="8">
        <f>SUBTOTAL(3,M8:M120)</f>
        <v>16</v>
      </c>
      <c r="N6" s="1">
        <f>SUBTOTAL(9,N8:N120)</f>
        <v>11340</v>
      </c>
      <c r="O6" s="85"/>
      <c r="Q6" s="30">
        <f>+A6+D6+G6+J6+M6</f>
        <v>169</v>
      </c>
      <c r="R6" s="29">
        <f>+B6+E6+H6+K6+N6</f>
        <v>97305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102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17346</v>
      </c>
      <c r="B8" s="49">
        <v>300</v>
      </c>
      <c r="C8" s="17"/>
      <c r="D8" s="13">
        <v>17399</v>
      </c>
      <c r="E8" s="70">
        <v>50</v>
      </c>
      <c r="F8" s="14" t="s">
        <v>220</v>
      </c>
      <c r="G8" s="11">
        <v>17452</v>
      </c>
      <c r="H8" s="12">
        <v>100</v>
      </c>
      <c r="I8" s="12"/>
      <c r="J8" s="61">
        <v>17467</v>
      </c>
      <c r="K8" s="71">
        <v>110</v>
      </c>
      <c r="L8" s="62" t="s">
        <v>432</v>
      </c>
      <c r="M8" s="75">
        <v>17499</v>
      </c>
      <c r="N8" s="73">
        <v>400</v>
      </c>
      <c r="O8" s="15" t="s">
        <v>307</v>
      </c>
      <c r="Q8" s="32"/>
      <c r="R8" s="32"/>
    </row>
    <row r="9" spans="1:18" x14ac:dyDescent="0.25">
      <c r="A9" s="16">
        <v>17347</v>
      </c>
      <c r="B9" s="49">
        <v>1200</v>
      </c>
      <c r="C9" s="17" t="s">
        <v>407</v>
      </c>
      <c r="D9" s="13">
        <v>17400</v>
      </c>
      <c r="E9" s="70">
        <v>800</v>
      </c>
      <c r="F9" s="14" t="s">
        <v>328</v>
      </c>
      <c r="G9" s="11">
        <v>17453</v>
      </c>
      <c r="H9" s="67">
        <v>200</v>
      </c>
      <c r="I9" s="12" t="s">
        <v>41</v>
      </c>
      <c r="J9" s="61"/>
      <c r="K9" s="71"/>
      <c r="L9" s="62" t="s">
        <v>433</v>
      </c>
      <c r="M9" s="75"/>
      <c r="N9" s="73"/>
      <c r="O9" s="15" t="s">
        <v>15</v>
      </c>
    </row>
    <row r="10" spans="1:18" x14ac:dyDescent="0.25">
      <c r="A10" s="16"/>
      <c r="B10" s="49"/>
      <c r="C10" s="17" t="s">
        <v>20</v>
      </c>
      <c r="D10" s="13"/>
      <c r="E10" s="70"/>
      <c r="F10" s="14" t="s">
        <v>20</v>
      </c>
      <c r="G10" s="11">
        <v>17454</v>
      </c>
      <c r="H10" s="67">
        <v>2400</v>
      </c>
      <c r="I10" s="12" t="s">
        <v>188</v>
      </c>
      <c r="J10" s="61">
        <v>17468</v>
      </c>
      <c r="K10" s="71">
        <v>400</v>
      </c>
      <c r="L10" s="62"/>
      <c r="M10" s="75">
        <v>17500</v>
      </c>
      <c r="N10" s="73">
        <v>200</v>
      </c>
      <c r="O10" s="15" t="s">
        <v>446</v>
      </c>
    </row>
    <row r="11" spans="1:18" x14ac:dyDescent="0.25">
      <c r="A11" s="16">
        <v>17348</v>
      </c>
      <c r="B11" s="49">
        <v>600</v>
      </c>
      <c r="C11" s="17" t="s">
        <v>315</v>
      </c>
      <c r="D11" s="13">
        <v>17401</v>
      </c>
      <c r="E11" s="70">
        <v>400</v>
      </c>
      <c r="F11" s="14"/>
      <c r="G11" s="11"/>
      <c r="H11" s="67"/>
      <c r="I11" s="12" t="s">
        <v>428</v>
      </c>
      <c r="J11" s="61">
        <v>17469</v>
      </c>
      <c r="K11" s="71">
        <v>60</v>
      </c>
      <c r="L11" s="62" t="s">
        <v>434</v>
      </c>
      <c r="M11" s="75">
        <v>17501</v>
      </c>
      <c r="N11" s="73"/>
      <c r="O11" s="15" t="s">
        <v>27</v>
      </c>
    </row>
    <row r="12" spans="1:18" x14ac:dyDescent="0.25">
      <c r="A12" s="16"/>
      <c r="B12" s="49"/>
      <c r="C12" s="17" t="s">
        <v>15</v>
      </c>
      <c r="D12" s="13">
        <v>17402</v>
      </c>
      <c r="E12" s="70">
        <v>600</v>
      </c>
      <c r="F12" s="14" t="s">
        <v>302</v>
      </c>
      <c r="G12" s="11"/>
      <c r="H12" s="67"/>
      <c r="I12" s="118" t="s">
        <v>310</v>
      </c>
      <c r="J12" s="61">
        <v>17470</v>
      </c>
      <c r="K12" s="71">
        <v>300</v>
      </c>
      <c r="L12" s="62"/>
      <c r="M12" s="75">
        <v>17502</v>
      </c>
      <c r="N12" s="73">
        <v>900</v>
      </c>
      <c r="O12" s="15" t="s">
        <v>372</v>
      </c>
    </row>
    <row r="13" spans="1:18" x14ac:dyDescent="0.25">
      <c r="A13" s="16">
        <v>17349</v>
      </c>
      <c r="B13" s="49">
        <v>1200</v>
      </c>
      <c r="C13" s="17" t="s">
        <v>335</v>
      </c>
      <c r="D13" s="13"/>
      <c r="E13" s="70"/>
      <c r="F13" s="14" t="s">
        <v>15</v>
      </c>
      <c r="G13" s="11">
        <v>17455</v>
      </c>
      <c r="H13" s="67">
        <v>400</v>
      </c>
      <c r="I13" s="12" t="s">
        <v>330</v>
      </c>
      <c r="J13" s="61">
        <v>17471</v>
      </c>
      <c r="K13" s="71">
        <v>800</v>
      </c>
      <c r="L13" s="62" t="s">
        <v>418</v>
      </c>
      <c r="M13" s="75"/>
      <c r="N13" s="73"/>
      <c r="O13" s="15" t="s">
        <v>447</v>
      </c>
    </row>
    <row r="14" spans="1:18" x14ac:dyDescent="0.25">
      <c r="A14" s="16"/>
      <c r="B14" s="49"/>
      <c r="C14" s="118" t="s">
        <v>496</v>
      </c>
      <c r="D14" s="13">
        <v>17403</v>
      </c>
      <c r="E14" s="70">
        <v>300</v>
      </c>
      <c r="F14" s="14" t="s">
        <v>416</v>
      </c>
      <c r="G14" s="11">
        <v>17456</v>
      </c>
      <c r="H14" s="67">
        <v>1200</v>
      </c>
      <c r="I14" s="12" t="s">
        <v>388</v>
      </c>
      <c r="J14" s="61"/>
      <c r="K14" s="71"/>
      <c r="L14" s="93" t="s">
        <v>15</v>
      </c>
      <c r="M14" s="75">
        <v>17503</v>
      </c>
      <c r="N14" s="73">
        <v>400</v>
      </c>
      <c r="O14" s="31" t="s">
        <v>424</v>
      </c>
    </row>
    <row r="15" spans="1:18" x14ac:dyDescent="0.25">
      <c r="A15" s="16">
        <v>17350</v>
      </c>
      <c r="B15" s="49">
        <v>300</v>
      </c>
      <c r="C15" s="17"/>
      <c r="D15" s="13"/>
      <c r="E15" s="70"/>
      <c r="F15" s="14" t="s">
        <v>36</v>
      </c>
      <c r="G15" s="11"/>
      <c r="H15" s="67"/>
      <c r="I15" s="12" t="s">
        <v>20</v>
      </c>
      <c r="J15" s="61">
        <v>17472</v>
      </c>
      <c r="K15" s="71">
        <v>1600</v>
      </c>
      <c r="L15" s="93" t="s">
        <v>418</v>
      </c>
      <c r="M15" s="75">
        <v>17504</v>
      </c>
      <c r="N15" s="73">
        <v>600</v>
      </c>
      <c r="O15" s="15" t="s">
        <v>328</v>
      </c>
    </row>
    <row r="16" spans="1:18" x14ac:dyDescent="0.25">
      <c r="A16" s="16">
        <v>17351</v>
      </c>
      <c r="B16" s="49">
        <v>2000</v>
      </c>
      <c r="C16" s="17" t="s">
        <v>408</v>
      </c>
      <c r="D16" s="13">
        <v>17404</v>
      </c>
      <c r="E16" s="70">
        <v>200</v>
      </c>
      <c r="F16" s="14" t="s">
        <v>417</v>
      </c>
      <c r="G16" s="11">
        <v>17457</v>
      </c>
      <c r="H16" s="67">
        <v>400</v>
      </c>
      <c r="I16" s="12"/>
      <c r="J16" s="61"/>
      <c r="K16" s="71"/>
      <c r="L16" s="62" t="s">
        <v>20</v>
      </c>
      <c r="M16" s="75"/>
      <c r="N16" s="73"/>
      <c r="O16" s="15" t="s">
        <v>23</v>
      </c>
    </row>
    <row r="17" spans="1:15" x14ac:dyDescent="0.25">
      <c r="A17" s="16"/>
      <c r="B17" s="49"/>
      <c r="C17" s="17" t="s">
        <v>409</v>
      </c>
      <c r="D17" s="13">
        <v>17405</v>
      </c>
      <c r="E17" s="70">
        <v>1600</v>
      </c>
      <c r="F17" s="14" t="s">
        <v>370</v>
      </c>
      <c r="G17" s="11">
        <v>17458</v>
      </c>
      <c r="H17" s="67">
        <v>1200</v>
      </c>
      <c r="I17" s="12" t="s">
        <v>429</v>
      </c>
      <c r="J17" s="61">
        <v>17473</v>
      </c>
      <c r="K17" s="71">
        <v>1400</v>
      </c>
      <c r="L17" s="62" t="s">
        <v>435</v>
      </c>
      <c r="M17" s="75">
        <v>17505</v>
      </c>
      <c r="N17" s="73">
        <v>500</v>
      </c>
      <c r="O17" s="15" t="s">
        <v>402</v>
      </c>
    </row>
    <row r="18" spans="1:15" x14ac:dyDescent="0.25">
      <c r="A18" s="16">
        <v>17352</v>
      </c>
      <c r="B18" s="49">
        <v>600</v>
      </c>
      <c r="C18" s="17" t="s">
        <v>330</v>
      </c>
      <c r="D18" s="13"/>
      <c r="E18" s="70"/>
      <c r="F18" s="14" t="s">
        <v>20</v>
      </c>
      <c r="G18" s="11"/>
      <c r="H18" s="67"/>
      <c r="I18" s="12" t="s">
        <v>430</v>
      </c>
      <c r="J18" s="61"/>
      <c r="K18" s="71"/>
      <c r="L18" s="62" t="s">
        <v>436</v>
      </c>
      <c r="M18" s="75"/>
      <c r="N18" s="73"/>
      <c r="O18" s="15" t="s">
        <v>69</v>
      </c>
    </row>
    <row r="19" spans="1:15" x14ac:dyDescent="0.25">
      <c r="A19" s="16">
        <v>17353</v>
      </c>
      <c r="B19" s="49">
        <v>200</v>
      </c>
      <c r="C19" s="17"/>
      <c r="D19" s="13">
        <v>17406</v>
      </c>
      <c r="E19" s="70">
        <v>400</v>
      </c>
      <c r="F19" s="14" t="s">
        <v>330</v>
      </c>
      <c r="G19" s="11"/>
      <c r="H19" s="67"/>
      <c r="I19" s="12" t="s">
        <v>431</v>
      </c>
      <c r="J19" s="61">
        <v>17474</v>
      </c>
      <c r="K19" s="71">
        <v>400</v>
      </c>
      <c r="L19" s="62" t="s">
        <v>437</v>
      </c>
      <c r="M19" s="75">
        <v>17506</v>
      </c>
      <c r="N19" s="73">
        <v>600</v>
      </c>
      <c r="O19" s="15" t="s">
        <v>402</v>
      </c>
    </row>
    <row r="20" spans="1:15" x14ac:dyDescent="0.25">
      <c r="A20" s="16">
        <v>17354</v>
      </c>
      <c r="B20" s="49">
        <v>300</v>
      </c>
      <c r="C20" s="17" t="s">
        <v>410</v>
      </c>
      <c r="D20" s="13">
        <v>17407</v>
      </c>
      <c r="E20" s="70">
        <v>800</v>
      </c>
      <c r="F20" s="14" t="s">
        <v>418</v>
      </c>
      <c r="G20" s="11">
        <v>17459</v>
      </c>
      <c r="H20" s="67">
        <v>400</v>
      </c>
      <c r="I20" s="12"/>
      <c r="J20" s="61">
        <v>17475</v>
      </c>
      <c r="K20" s="71">
        <v>400</v>
      </c>
      <c r="L20" s="62"/>
      <c r="M20" s="75"/>
      <c r="N20" s="73"/>
      <c r="O20" s="15" t="s">
        <v>23</v>
      </c>
    </row>
    <row r="21" spans="1:15" x14ac:dyDescent="0.25">
      <c r="A21" s="16"/>
      <c r="B21" s="49"/>
      <c r="C21" s="89" t="s">
        <v>23</v>
      </c>
      <c r="D21" s="13"/>
      <c r="E21" s="70"/>
      <c r="F21" s="14" t="s">
        <v>15</v>
      </c>
      <c r="G21" s="11">
        <v>17460</v>
      </c>
      <c r="H21" s="67">
        <v>400</v>
      </c>
      <c r="I21" s="12"/>
      <c r="J21" s="61">
        <v>17476</v>
      </c>
      <c r="K21" s="71">
        <v>600</v>
      </c>
      <c r="L21" s="62" t="s">
        <v>388</v>
      </c>
      <c r="M21" s="75">
        <v>17507</v>
      </c>
      <c r="N21" s="73">
        <v>1200</v>
      </c>
      <c r="O21" s="15" t="s">
        <v>325</v>
      </c>
    </row>
    <row r="22" spans="1:15" x14ac:dyDescent="0.25">
      <c r="A22" s="16">
        <v>17355</v>
      </c>
      <c r="B22" s="49">
        <v>300</v>
      </c>
      <c r="C22" s="17" t="s">
        <v>372</v>
      </c>
      <c r="D22" s="13">
        <v>17408</v>
      </c>
      <c r="E22" s="70">
        <v>100</v>
      </c>
      <c r="F22" s="14" t="s">
        <v>84</v>
      </c>
      <c r="G22" s="11">
        <v>17461</v>
      </c>
      <c r="H22" s="67">
        <v>400</v>
      </c>
      <c r="I22" s="12"/>
      <c r="J22" s="61"/>
      <c r="K22" s="71"/>
      <c r="L22" s="62" t="s">
        <v>15</v>
      </c>
      <c r="M22" s="75"/>
      <c r="N22" s="73"/>
      <c r="O22" s="15" t="s">
        <v>448</v>
      </c>
    </row>
    <row r="23" spans="1:15" x14ac:dyDescent="0.25">
      <c r="A23" s="16"/>
      <c r="B23" s="49"/>
      <c r="C23" s="17" t="s">
        <v>36</v>
      </c>
      <c r="D23" s="13">
        <v>17409</v>
      </c>
      <c r="E23" s="70">
        <v>300</v>
      </c>
      <c r="F23" s="14"/>
      <c r="G23" s="11">
        <v>17462</v>
      </c>
      <c r="H23" s="67">
        <v>400</v>
      </c>
      <c r="I23" s="12" t="s">
        <v>313</v>
      </c>
      <c r="J23" s="61">
        <v>17477</v>
      </c>
      <c r="K23" s="71">
        <v>250</v>
      </c>
      <c r="L23" s="62" t="s">
        <v>438</v>
      </c>
      <c r="M23" s="75">
        <v>17508</v>
      </c>
      <c r="N23" s="73">
        <v>40</v>
      </c>
      <c r="O23" s="15" t="s">
        <v>449</v>
      </c>
    </row>
    <row r="24" spans="1:15" x14ac:dyDescent="0.25">
      <c r="A24" s="16">
        <v>17356</v>
      </c>
      <c r="B24" s="49">
        <v>200</v>
      </c>
      <c r="C24" s="17" t="s">
        <v>411</v>
      </c>
      <c r="D24" s="13">
        <v>17410</v>
      </c>
      <c r="E24" s="70">
        <v>11200</v>
      </c>
      <c r="F24" s="14" t="s">
        <v>419</v>
      </c>
      <c r="G24" s="11">
        <v>17463</v>
      </c>
      <c r="H24" s="67">
        <v>400</v>
      </c>
      <c r="I24" s="12"/>
      <c r="J24" s="61">
        <v>17478</v>
      </c>
      <c r="K24" s="71">
        <v>400</v>
      </c>
      <c r="L24" s="62"/>
      <c r="M24" s="75">
        <v>17509</v>
      </c>
      <c r="N24" s="73">
        <v>1200</v>
      </c>
      <c r="O24" s="15" t="s">
        <v>325</v>
      </c>
    </row>
    <row r="25" spans="1:15" x14ac:dyDescent="0.25">
      <c r="A25" s="16">
        <v>17357</v>
      </c>
      <c r="B25" s="49">
        <v>300</v>
      </c>
      <c r="C25" s="118" t="s">
        <v>85</v>
      </c>
      <c r="D25" s="13"/>
      <c r="E25" s="70"/>
      <c r="F25" s="14" t="s">
        <v>420</v>
      </c>
      <c r="G25" s="11">
        <v>17464</v>
      </c>
      <c r="H25" s="67">
        <v>1200</v>
      </c>
      <c r="I25" s="12" t="s">
        <v>325</v>
      </c>
      <c r="J25" s="61">
        <v>17479</v>
      </c>
      <c r="K25" s="71">
        <v>600</v>
      </c>
      <c r="L25" s="62" t="s">
        <v>325</v>
      </c>
      <c r="M25" s="75"/>
      <c r="N25" s="73"/>
      <c r="O25" s="15" t="s">
        <v>20</v>
      </c>
    </row>
    <row r="26" spans="1:15" x14ac:dyDescent="0.25">
      <c r="A26" s="16">
        <v>17358</v>
      </c>
      <c r="B26" s="49">
        <v>400</v>
      </c>
      <c r="C26" s="17" t="s">
        <v>330</v>
      </c>
      <c r="D26" s="13">
        <v>17411</v>
      </c>
      <c r="E26" s="70">
        <v>200</v>
      </c>
      <c r="F26" s="14" t="s">
        <v>41</v>
      </c>
      <c r="G26" s="11"/>
      <c r="H26" s="67"/>
      <c r="I26" s="12" t="s">
        <v>20</v>
      </c>
      <c r="J26" s="61"/>
      <c r="K26" s="71"/>
      <c r="L26" s="62" t="s">
        <v>15</v>
      </c>
      <c r="M26" s="75">
        <v>17510</v>
      </c>
      <c r="N26" s="73">
        <v>400</v>
      </c>
      <c r="O26" s="15" t="s">
        <v>328</v>
      </c>
    </row>
    <row r="27" spans="1:15" x14ac:dyDescent="0.25">
      <c r="A27" s="16">
        <v>17359</v>
      </c>
      <c r="B27" s="49">
        <v>400</v>
      </c>
      <c r="C27" s="17"/>
      <c r="D27" s="13">
        <v>17412</v>
      </c>
      <c r="E27" s="70">
        <v>400</v>
      </c>
      <c r="F27" s="14" t="s">
        <v>402</v>
      </c>
      <c r="G27" s="11">
        <v>17465</v>
      </c>
      <c r="H27" s="67">
        <v>200</v>
      </c>
      <c r="I27" s="12" t="s">
        <v>41</v>
      </c>
      <c r="J27" s="61">
        <v>17480</v>
      </c>
      <c r="K27" s="71">
        <v>80</v>
      </c>
      <c r="L27" s="62" t="s">
        <v>439</v>
      </c>
      <c r="M27" s="75"/>
      <c r="N27" s="73"/>
      <c r="O27" s="31" t="s">
        <v>15</v>
      </c>
    </row>
    <row r="28" spans="1:15" x14ac:dyDescent="0.25">
      <c r="A28" s="16">
        <v>17360</v>
      </c>
      <c r="B28" s="49">
        <v>125</v>
      </c>
      <c r="C28" s="17"/>
      <c r="D28" s="13"/>
      <c r="E28" s="70"/>
      <c r="F28" s="14" t="s">
        <v>15</v>
      </c>
      <c r="G28" s="11">
        <v>17466</v>
      </c>
      <c r="H28" s="67">
        <v>400</v>
      </c>
      <c r="I28" s="12"/>
      <c r="J28" s="61">
        <v>17481</v>
      </c>
      <c r="K28" s="71">
        <v>600</v>
      </c>
      <c r="L28" s="62" t="s">
        <v>307</v>
      </c>
      <c r="M28" s="75">
        <v>17511</v>
      </c>
      <c r="N28" s="73">
        <v>500</v>
      </c>
      <c r="O28" s="15" t="s">
        <v>402</v>
      </c>
    </row>
    <row r="29" spans="1:15" x14ac:dyDescent="0.25">
      <c r="A29" s="16">
        <v>17361</v>
      </c>
      <c r="B29" s="49">
        <v>400</v>
      </c>
      <c r="C29" s="17"/>
      <c r="D29" s="13">
        <v>17413</v>
      </c>
      <c r="E29" s="70">
        <v>200</v>
      </c>
      <c r="F29" s="14"/>
      <c r="G29" s="11"/>
      <c r="H29" s="67"/>
      <c r="I29" s="12"/>
      <c r="J29" s="61"/>
      <c r="K29" s="71"/>
      <c r="L29" s="62" t="s">
        <v>23</v>
      </c>
      <c r="M29" s="75"/>
      <c r="N29" s="73"/>
      <c r="O29" s="15" t="s">
        <v>69</v>
      </c>
    </row>
    <row r="30" spans="1:15" x14ac:dyDescent="0.25">
      <c r="A30" s="16">
        <v>17362</v>
      </c>
      <c r="B30" s="49">
        <v>400</v>
      </c>
      <c r="C30" s="17" t="s">
        <v>328</v>
      </c>
      <c r="D30" s="13">
        <v>17414</v>
      </c>
      <c r="E30" s="70">
        <v>300</v>
      </c>
      <c r="F30" s="14"/>
      <c r="G30" s="11"/>
      <c r="H30" s="67"/>
      <c r="I30" s="12"/>
      <c r="J30" s="61">
        <v>17482</v>
      </c>
      <c r="K30" s="71">
        <v>600</v>
      </c>
      <c r="L30" s="62" t="s">
        <v>402</v>
      </c>
      <c r="M30" s="75">
        <v>17512</v>
      </c>
      <c r="N30" s="73">
        <v>1000</v>
      </c>
      <c r="O30" s="15" t="s">
        <v>35</v>
      </c>
    </row>
    <row r="31" spans="1:15" x14ac:dyDescent="0.25">
      <c r="A31" s="16"/>
      <c r="B31" s="49"/>
      <c r="C31" s="17" t="s">
        <v>15</v>
      </c>
      <c r="D31" s="13">
        <v>17415</v>
      </c>
      <c r="E31" s="70">
        <v>200</v>
      </c>
      <c r="F31" s="14"/>
      <c r="G31" s="11"/>
      <c r="H31" s="67"/>
      <c r="I31" s="12"/>
      <c r="J31" s="61"/>
      <c r="K31" s="71"/>
      <c r="L31" s="62" t="s">
        <v>23</v>
      </c>
      <c r="M31" s="75"/>
      <c r="N31" s="73"/>
      <c r="O31" s="15" t="s">
        <v>450</v>
      </c>
    </row>
    <row r="32" spans="1:15" x14ac:dyDescent="0.25">
      <c r="A32" s="16">
        <v>17363</v>
      </c>
      <c r="B32" s="49"/>
      <c r="C32" s="17" t="s">
        <v>27</v>
      </c>
      <c r="D32" s="13">
        <v>17416</v>
      </c>
      <c r="E32" s="70">
        <v>400</v>
      </c>
      <c r="F32" s="14"/>
      <c r="G32" s="11"/>
      <c r="H32" s="67"/>
      <c r="I32" s="12"/>
      <c r="J32" s="61">
        <v>17483</v>
      </c>
      <c r="K32" s="71">
        <v>800</v>
      </c>
      <c r="L32" s="62" t="s">
        <v>372</v>
      </c>
      <c r="M32" s="75"/>
      <c r="N32" s="73"/>
      <c r="O32" s="15" t="s">
        <v>451</v>
      </c>
    </row>
    <row r="33" spans="1:15" x14ac:dyDescent="0.25">
      <c r="A33" s="16">
        <v>17364</v>
      </c>
      <c r="B33" s="49">
        <v>200</v>
      </c>
      <c r="C33" s="17"/>
      <c r="D33" s="13">
        <v>17417</v>
      </c>
      <c r="E33" s="70">
        <v>400</v>
      </c>
      <c r="F33" s="14" t="s">
        <v>328</v>
      </c>
      <c r="G33" s="11"/>
      <c r="H33" s="67"/>
      <c r="I33" s="12"/>
      <c r="J33" s="61"/>
      <c r="K33" s="71"/>
      <c r="L33" s="62" t="s">
        <v>20</v>
      </c>
      <c r="M33" s="75">
        <v>17513</v>
      </c>
      <c r="N33" s="73">
        <v>2600</v>
      </c>
      <c r="O33" s="15" t="s">
        <v>452</v>
      </c>
    </row>
    <row r="34" spans="1:15" x14ac:dyDescent="0.25">
      <c r="A34" s="16">
        <v>17365</v>
      </c>
      <c r="B34" s="49">
        <v>400</v>
      </c>
      <c r="C34" s="17"/>
      <c r="D34" s="13"/>
      <c r="E34" s="70"/>
      <c r="F34" s="14" t="s">
        <v>15</v>
      </c>
      <c r="G34" s="11"/>
      <c r="H34" s="67"/>
      <c r="I34" s="12"/>
      <c r="J34" s="61">
        <v>17484</v>
      </c>
      <c r="K34" s="71">
        <v>20</v>
      </c>
      <c r="L34" s="62" t="s">
        <v>440</v>
      </c>
      <c r="M34" s="75"/>
      <c r="N34" s="73"/>
      <c r="O34" s="31" t="s">
        <v>453</v>
      </c>
    </row>
    <row r="35" spans="1:15" x14ac:dyDescent="0.25">
      <c r="A35" s="16">
        <v>17366</v>
      </c>
      <c r="B35" s="49">
        <v>400</v>
      </c>
      <c r="C35" s="17"/>
      <c r="D35" s="13">
        <v>17418</v>
      </c>
      <c r="E35" s="70">
        <v>350</v>
      </c>
      <c r="F35" s="14"/>
      <c r="G35" s="11"/>
      <c r="H35" s="67"/>
      <c r="I35" s="12"/>
      <c r="J35" s="61">
        <v>17485</v>
      </c>
      <c r="K35" s="71">
        <v>1400</v>
      </c>
      <c r="L35" s="62" t="s">
        <v>370</v>
      </c>
      <c r="M35" s="75"/>
      <c r="N35" s="73"/>
      <c r="O35" s="114">
        <v>43405</v>
      </c>
    </row>
    <row r="36" spans="1:15" x14ac:dyDescent="0.25">
      <c r="A36" s="16">
        <v>17367</v>
      </c>
      <c r="B36" s="49">
        <v>400</v>
      </c>
      <c r="C36" s="17" t="s">
        <v>412</v>
      </c>
      <c r="D36" s="13">
        <v>17419</v>
      </c>
      <c r="E36" s="70">
        <v>400</v>
      </c>
      <c r="F36" s="14" t="s">
        <v>402</v>
      </c>
      <c r="G36" s="11"/>
      <c r="H36" s="67"/>
      <c r="I36" s="12"/>
      <c r="J36" s="61"/>
      <c r="K36" s="71"/>
      <c r="L36" s="62" t="s">
        <v>43</v>
      </c>
      <c r="M36" s="75">
        <v>17514</v>
      </c>
      <c r="N36" s="73">
        <v>800</v>
      </c>
      <c r="O36" s="15" t="s">
        <v>372</v>
      </c>
    </row>
    <row r="37" spans="1:15" x14ac:dyDescent="0.25">
      <c r="A37" s="16">
        <v>17368</v>
      </c>
      <c r="B37" s="49">
        <v>200</v>
      </c>
      <c r="C37" s="17"/>
      <c r="D37" s="13"/>
      <c r="E37" s="70"/>
      <c r="F37" s="14" t="s">
        <v>15</v>
      </c>
      <c r="G37" s="11"/>
      <c r="H37" s="67"/>
      <c r="I37" s="12"/>
      <c r="J37" s="61">
        <v>17486</v>
      </c>
      <c r="K37" s="71">
        <v>1200</v>
      </c>
      <c r="L37" s="62" t="s">
        <v>407</v>
      </c>
      <c r="M37" s="75"/>
      <c r="N37" s="73"/>
      <c r="O37" s="15" t="s">
        <v>20</v>
      </c>
    </row>
    <row r="38" spans="1:15" x14ac:dyDescent="0.25">
      <c r="A38" s="16">
        <v>17369</v>
      </c>
      <c r="B38" s="49">
        <v>400</v>
      </c>
      <c r="C38" s="17"/>
      <c r="D38" s="13">
        <v>17420</v>
      </c>
      <c r="E38" s="70">
        <v>400</v>
      </c>
      <c r="F38" s="14"/>
      <c r="G38" s="11"/>
      <c r="H38" s="67"/>
      <c r="I38" s="12"/>
      <c r="J38" s="61"/>
      <c r="K38" s="71"/>
      <c r="L38" s="62" t="s">
        <v>20</v>
      </c>
      <c r="M38" s="75"/>
      <c r="N38" s="73"/>
      <c r="O38" s="15"/>
    </row>
    <row r="39" spans="1:15" x14ac:dyDescent="0.25">
      <c r="A39" s="16">
        <v>17370</v>
      </c>
      <c r="B39" s="49">
        <v>400</v>
      </c>
      <c r="C39" s="17" t="s">
        <v>330</v>
      </c>
      <c r="D39" s="13">
        <v>17421</v>
      </c>
      <c r="E39" s="70">
        <v>1200</v>
      </c>
      <c r="F39" s="14" t="s">
        <v>407</v>
      </c>
      <c r="G39" s="11"/>
      <c r="H39" s="67"/>
      <c r="I39" s="12"/>
      <c r="J39" s="61"/>
      <c r="K39" s="71"/>
      <c r="L39" s="62" t="s">
        <v>441</v>
      </c>
      <c r="M39" s="75"/>
      <c r="N39" s="73"/>
      <c r="O39" s="15"/>
    </row>
    <row r="40" spans="1:15" x14ac:dyDescent="0.25">
      <c r="A40" s="16">
        <v>17371</v>
      </c>
      <c r="B40" s="49">
        <v>400</v>
      </c>
      <c r="C40" s="17" t="s">
        <v>330</v>
      </c>
      <c r="D40" s="13"/>
      <c r="E40" s="70"/>
      <c r="F40" s="14" t="s">
        <v>20</v>
      </c>
      <c r="G40" s="11"/>
      <c r="H40" s="67"/>
      <c r="I40" s="12"/>
      <c r="J40" s="61">
        <v>17487</v>
      </c>
      <c r="K40" s="71">
        <v>20</v>
      </c>
      <c r="L40" s="62" t="s">
        <v>440</v>
      </c>
      <c r="M40" s="75"/>
      <c r="N40" s="73"/>
      <c r="O40" s="15"/>
    </row>
    <row r="41" spans="1:15" x14ac:dyDescent="0.25">
      <c r="A41" s="16">
        <v>17372</v>
      </c>
      <c r="B41" s="49">
        <v>200</v>
      </c>
      <c r="C41" s="17" t="s">
        <v>413</v>
      </c>
      <c r="D41" s="13">
        <v>17422</v>
      </c>
      <c r="E41" s="70">
        <v>400</v>
      </c>
      <c r="F41" s="14"/>
      <c r="G41" s="11"/>
      <c r="H41" s="67"/>
      <c r="I41" s="12"/>
      <c r="J41" s="61">
        <v>17488</v>
      </c>
      <c r="K41" s="71">
        <v>400</v>
      </c>
      <c r="L41" s="62"/>
      <c r="M41" s="75"/>
      <c r="N41" s="73"/>
      <c r="O41" s="15"/>
    </row>
    <row r="42" spans="1:15" x14ac:dyDescent="0.25">
      <c r="A42" s="16">
        <v>17373</v>
      </c>
      <c r="B42" s="49">
        <v>400</v>
      </c>
      <c r="C42" s="17"/>
      <c r="D42" s="13">
        <v>17423</v>
      </c>
      <c r="E42" s="70">
        <v>300</v>
      </c>
      <c r="F42" s="14"/>
      <c r="G42" s="11"/>
      <c r="H42" s="67"/>
      <c r="I42" s="12"/>
      <c r="J42" s="61">
        <v>17489</v>
      </c>
      <c r="K42" s="71">
        <v>800</v>
      </c>
      <c r="L42" s="62" t="s">
        <v>402</v>
      </c>
      <c r="M42" s="75"/>
      <c r="N42" s="73"/>
      <c r="O42" s="15"/>
    </row>
    <row r="43" spans="1:15" x14ac:dyDescent="0.25">
      <c r="A43" s="16">
        <v>17374</v>
      </c>
      <c r="B43" s="49">
        <v>400</v>
      </c>
      <c r="C43" s="17"/>
      <c r="D43" s="13">
        <v>17424</v>
      </c>
      <c r="E43" s="70">
        <v>1200</v>
      </c>
      <c r="F43" s="14" t="s">
        <v>408</v>
      </c>
      <c r="G43" s="11"/>
      <c r="H43" s="67"/>
      <c r="I43" s="12"/>
      <c r="J43" s="61"/>
      <c r="K43" s="71"/>
      <c r="L43" s="62" t="s">
        <v>20</v>
      </c>
      <c r="M43" s="75"/>
      <c r="N43" s="73"/>
      <c r="O43" s="15"/>
    </row>
    <row r="44" spans="1:15" x14ac:dyDescent="0.25">
      <c r="A44" s="16">
        <v>17375</v>
      </c>
      <c r="B44" s="49">
        <v>400</v>
      </c>
      <c r="C44" s="17"/>
      <c r="D44" s="13"/>
      <c r="E44" s="70"/>
      <c r="F44" s="14" t="s">
        <v>421</v>
      </c>
      <c r="G44" s="11"/>
      <c r="H44" s="67"/>
      <c r="I44" s="12"/>
      <c r="J44" s="61">
        <v>17490</v>
      </c>
      <c r="K44" s="71">
        <v>60</v>
      </c>
      <c r="L44" s="62" t="s">
        <v>434</v>
      </c>
      <c r="M44" s="75"/>
      <c r="N44" s="73"/>
      <c r="O44" s="15"/>
    </row>
    <row r="45" spans="1:15" x14ac:dyDescent="0.25">
      <c r="A45" s="16">
        <v>17376</v>
      </c>
      <c r="B45" s="49">
        <v>1200</v>
      </c>
      <c r="C45" s="17" t="s">
        <v>414</v>
      </c>
      <c r="D45" s="13"/>
      <c r="E45" s="70"/>
      <c r="F45" s="14" t="s">
        <v>36</v>
      </c>
      <c r="G45" s="11"/>
      <c r="H45" s="67"/>
      <c r="I45" s="12"/>
      <c r="J45" s="61">
        <v>17491</v>
      </c>
      <c r="K45" s="71">
        <v>50</v>
      </c>
      <c r="L45" s="62" t="s">
        <v>110</v>
      </c>
      <c r="M45" s="75"/>
      <c r="N45" s="73"/>
      <c r="O45" s="15"/>
    </row>
    <row r="46" spans="1:15" x14ac:dyDescent="0.25">
      <c r="A46" s="16"/>
      <c r="B46" s="49"/>
      <c r="C46" s="17" t="s">
        <v>20</v>
      </c>
      <c r="D46" s="13">
        <v>17425</v>
      </c>
      <c r="E46" s="70">
        <v>200</v>
      </c>
      <c r="F46" s="14"/>
      <c r="G46" s="11"/>
      <c r="H46" s="67"/>
      <c r="I46" s="12"/>
      <c r="J46" s="61">
        <v>17492</v>
      </c>
      <c r="K46" s="71">
        <v>800</v>
      </c>
      <c r="L46" s="62" t="s">
        <v>372</v>
      </c>
      <c r="M46" s="75"/>
      <c r="N46" s="73"/>
      <c r="O46" s="15"/>
    </row>
    <row r="47" spans="1:15" x14ac:dyDescent="0.25">
      <c r="A47" s="16">
        <v>17377</v>
      </c>
      <c r="B47" s="49">
        <v>400</v>
      </c>
      <c r="C47" s="17"/>
      <c r="D47" s="13">
        <v>17426</v>
      </c>
      <c r="E47" s="70">
        <v>350</v>
      </c>
      <c r="F47" s="14" t="s">
        <v>422</v>
      </c>
      <c r="G47" s="11"/>
      <c r="H47" s="67"/>
      <c r="I47" s="12"/>
      <c r="J47" s="61"/>
      <c r="K47" s="71"/>
      <c r="L47" s="62" t="s">
        <v>20</v>
      </c>
      <c r="M47" s="75"/>
      <c r="N47" s="73"/>
      <c r="O47" s="15"/>
    </row>
    <row r="48" spans="1:15" x14ac:dyDescent="0.25">
      <c r="A48" s="16">
        <v>17378</v>
      </c>
      <c r="B48" s="49">
        <v>400</v>
      </c>
      <c r="C48" s="17"/>
      <c r="D48" s="13">
        <v>17427</v>
      </c>
      <c r="E48" s="70">
        <v>800</v>
      </c>
      <c r="F48" s="14" t="s">
        <v>372</v>
      </c>
      <c r="G48" s="11"/>
      <c r="H48" s="67"/>
      <c r="I48" s="12"/>
      <c r="J48" s="61">
        <v>17493</v>
      </c>
      <c r="K48" s="71">
        <v>20</v>
      </c>
      <c r="L48" s="62" t="s">
        <v>440</v>
      </c>
      <c r="M48" s="75"/>
      <c r="N48" s="73"/>
      <c r="O48" s="15"/>
    </row>
    <row r="49" spans="1:15" x14ac:dyDescent="0.25">
      <c r="A49" s="16">
        <v>17379</v>
      </c>
      <c r="B49" s="49">
        <v>250</v>
      </c>
      <c r="C49" s="17"/>
      <c r="D49" s="13"/>
      <c r="E49" s="70"/>
      <c r="F49" s="14" t="s">
        <v>20</v>
      </c>
      <c r="G49" s="11"/>
      <c r="H49" s="67"/>
      <c r="I49" s="12"/>
      <c r="J49" s="61">
        <v>17494</v>
      </c>
      <c r="K49" s="71">
        <v>700</v>
      </c>
      <c r="L49" s="62" t="s">
        <v>372</v>
      </c>
      <c r="M49" s="75"/>
      <c r="N49" s="73"/>
      <c r="O49" s="15"/>
    </row>
    <row r="50" spans="1:15" x14ac:dyDescent="0.25">
      <c r="A50" s="16">
        <v>17380</v>
      </c>
      <c r="B50" s="49">
        <v>800</v>
      </c>
      <c r="C50" s="17" t="s">
        <v>410</v>
      </c>
      <c r="D50" s="13">
        <v>17428</v>
      </c>
      <c r="E50" s="70">
        <v>400</v>
      </c>
      <c r="F50" s="14"/>
      <c r="G50" s="11"/>
      <c r="H50" s="67"/>
      <c r="I50" s="12"/>
      <c r="J50" s="61"/>
      <c r="K50" s="71"/>
      <c r="L50" s="62" t="s">
        <v>43</v>
      </c>
      <c r="M50" s="75"/>
      <c r="N50" s="73"/>
      <c r="O50" s="15"/>
    </row>
    <row r="51" spans="1:15" x14ac:dyDescent="0.25">
      <c r="A51" s="16"/>
      <c r="B51" s="49"/>
      <c r="C51" s="17" t="s">
        <v>20</v>
      </c>
      <c r="D51" s="13">
        <v>17429</v>
      </c>
      <c r="E51" s="70">
        <v>300</v>
      </c>
      <c r="F51" s="14"/>
      <c r="G51" s="11"/>
      <c r="H51" s="67"/>
      <c r="I51" s="12"/>
      <c r="J51" s="61">
        <v>17495</v>
      </c>
      <c r="K51" s="71">
        <v>40</v>
      </c>
      <c r="L51" s="62" t="s">
        <v>442</v>
      </c>
      <c r="M51" s="75"/>
      <c r="N51" s="73"/>
      <c r="O51" s="15"/>
    </row>
    <row r="52" spans="1:15" x14ac:dyDescent="0.25">
      <c r="A52" s="16">
        <v>17381</v>
      </c>
      <c r="B52" s="49">
        <v>200</v>
      </c>
      <c r="C52" s="17"/>
      <c r="D52" s="13">
        <v>17430</v>
      </c>
      <c r="E52" s="70">
        <v>200</v>
      </c>
      <c r="F52" s="14" t="s">
        <v>423</v>
      </c>
      <c r="G52" s="11"/>
      <c r="H52" s="67"/>
      <c r="I52" s="12"/>
      <c r="J52" s="61">
        <v>17496</v>
      </c>
      <c r="K52" s="71">
        <v>250</v>
      </c>
      <c r="L52" s="62" t="s">
        <v>443</v>
      </c>
      <c r="M52" s="75"/>
      <c r="N52" s="73"/>
      <c r="O52" s="15"/>
    </row>
    <row r="53" spans="1:15" x14ac:dyDescent="0.25">
      <c r="A53" s="16">
        <v>17382</v>
      </c>
      <c r="B53" s="49">
        <v>400</v>
      </c>
      <c r="C53" s="17"/>
      <c r="D53" s="13">
        <v>17431</v>
      </c>
      <c r="E53" s="70">
        <v>800</v>
      </c>
      <c r="F53" s="14" t="s">
        <v>328</v>
      </c>
      <c r="G53" s="11"/>
      <c r="H53" s="67"/>
      <c r="I53" s="12"/>
      <c r="J53" s="61">
        <v>17497</v>
      </c>
      <c r="K53" s="71">
        <v>20</v>
      </c>
      <c r="L53" s="62" t="s">
        <v>444</v>
      </c>
      <c r="M53" s="75"/>
      <c r="N53" s="73"/>
      <c r="O53" s="15"/>
    </row>
    <row r="54" spans="1:15" x14ac:dyDescent="0.25">
      <c r="A54" s="16">
        <v>17383</v>
      </c>
      <c r="B54" s="49">
        <v>400</v>
      </c>
      <c r="C54" s="17"/>
      <c r="D54" s="13"/>
      <c r="E54" s="70"/>
      <c r="F54" s="14" t="s">
        <v>20</v>
      </c>
      <c r="G54" s="11"/>
      <c r="H54" s="67"/>
      <c r="I54" s="12"/>
      <c r="J54" s="61">
        <v>17498</v>
      </c>
      <c r="K54" s="71">
        <v>960</v>
      </c>
      <c r="L54" s="62" t="s">
        <v>325</v>
      </c>
      <c r="M54" s="75"/>
      <c r="N54" s="73"/>
      <c r="O54" s="15"/>
    </row>
    <row r="55" spans="1:15" x14ac:dyDescent="0.25">
      <c r="A55" s="16">
        <v>17384</v>
      </c>
      <c r="B55" s="49">
        <v>400</v>
      </c>
      <c r="C55" s="17" t="s">
        <v>330</v>
      </c>
      <c r="D55" s="13">
        <v>17432</v>
      </c>
      <c r="E55" s="70">
        <v>800</v>
      </c>
      <c r="F55" s="14" t="s">
        <v>328</v>
      </c>
      <c r="G55" s="11"/>
      <c r="H55" s="67"/>
      <c r="I55" s="12"/>
      <c r="J55" s="61"/>
      <c r="K55" s="71"/>
      <c r="L55" s="62" t="s">
        <v>445</v>
      </c>
      <c r="M55" s="75"/>
      <c r="N55" s="73"/>
      <c r="O55" s="15"/>
    </row>
    <row r="56" spans="1:15" x14ac:dyDescent="0.25">
      <c r="A56" s="16">
        <v>17385</v>
      </c>
      <c r="B56" s="49">
        <v>400</v>
      </c>
      <c r="C56" s="17" t="s">
        <v>330</v>
      </c>
      <c r="D56" s="13"/>
      <c r="E56" s="70"/>
      <c r="F56" s="14" t="s">
        <v>20</v>
      </c>
      <c r="G56" s="11"/>
      <c r="H56" s="67"/>
      <c r="I56" s="12"/>
      <c r="J56" s="61"/>
      <c r="K56" s="71"/>
      <c r="L56" s="62"/>
      <c r="M56" s="75"/>
      <c r="N56" s="73"/>
      <c r="O56" s="15"/>
    </row>
    <row r="57" spans="1:15" x14ac:dyDescent="0.25">
      <c r="A57" s="16">
        <v>17386</v>
      </c>
      <c r="B57" s="49">
        <v>250</v>
      </c>
      <c r="C57" s="17"/>
      <c r="D57" s="13">
        <v>17433</v>
      </c>
      <c r="E57" s="70">
        <v>400</v>
      </c>
      <c r="F57" s="14"/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>
        <v>17387</v>
      </c>
      <c r="B58" s="49">
        <v>200</v>
      </c>
      <c r="C58" s="17" t="s">
        <v>330</v>
      </c>
      <c r="D58" s="13">
        <v>17434</v>
      </c>
      <c r="E58" s="70">
        <v>350</v>
      </c>
      <c r="F58" s="14" t="s">
        <v>422</v>
      </c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>
        <v>17388</v>
      </c>
      <c r="B59" s="49">
        <v>400</v>
      </c>
      <c r="C59" s="17"/>
      <c r="D59" s="13">
        <v>17435</v>
      </c>
      <c r="E59" s="70">
        <v>1600</v>
      </c>
      <c r="F59" s="14" t="s">
        <v>418</v>
      </c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>
        <v>17389</v>
      </c>
      <c r="B60" s="49">
        <v>50</v>
      </c>
      <c r="C60" s="17" t="s">
        <v>110</v>
      </c>
      <c r="D60" s="13"/>
      <c r="E60" s="70"/>
      <c r="F60" s="14" t="s">
        <v>20</v>
      </c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>
        <v>17390</v>
      </c>
      <c r="B61" s="49">
        <v>200</v>
      </c>
      <c r="C61" s="17" t="s">
        <v>415</v>
      </c>
      <c r="D61" s="13">
        <v>17436</v>
      </c>
      <c r="E61" s="70">
        <v>400</v>
      </c>
      <c r="F61" s="14" t="s">
        <v>330</v>
      </c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>
        <v>17391</v>
      </c>
      <c r="B62" s="49">
        <v>400</v>
      </c>
      <c r="C62" s="17"/>
      <c r="D62" s="13">
        <v>17437</v>
      </c>
      <c r="E62" s="70">
        <v>200</v>
      </c>
      <c r="F62" s="14" t="s">
        <v>424</v>
      </c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>
        <v>17392</v>
      </c>
      <c r="B63" s="49">
        <v>200</v>
      </c>
      <c r="C63" s="17"/>
      <c r="D63" s="13">
        <v>17438</v>
      </c>
      <c r="E63" s="70">
        <v>400</v>
      </c>
      <c r="F63" s="14" t="s">
        <v>372</v>
      </c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17393</v>
      </c>
      <c r="B64" s="49">
        <v>200</v>
      </c>
      <c r="C64" s="17" t="s">
        <v>41</v>
      </c>
      <c r="D64" s="13"/>
      <c r="E64" s="70"/>
      <c r="F64" s="14" t="s">
        <v>15</v>
      </c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>
        <v>17394</v>
      </c>
      <c r="B65" s="49">
        <v>400</v>
      </c>
      <c r="C65" s="17"/>
      <c r="D65" s="13">
        <v>17439</v>
      </c>
      <c r="E65" s="70">
        <v>950</v>
      </c>
      <c r="F65" s="14" t="s">
        <v>425</v>
      </c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>
        <v>17395</v>
      </c>
      <c r="B66" s="49">
        <v>400</v>
      </c>
      <c r="C66" s="17"/>
      <c r="D66" s="13"/>
      <c r="E66" s="70"/>
      <c r="F66" s="14" t="s">
        <v>199</v>
      </c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17396</v>
      </c>
      <c r="B67" s="49">
        <v>300</v>
      </c>
      <c r="C67" s="17" t="s">
        <v>330</v>
      </c>
      <c r="D67" s="13">
        <v>17440</v>
      </c>
      <c r="E67" s="70">
        <v>400</v>
      </c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>
        <v>17397</v>
      </c>
      <c r="B68" s="49">
        <v>200</v>
      </c>
      <c r="C68" s="17"/>
      <c r="D68" s="13">
        <v>17441</v>
      </c>
      <c r="E68" s="70">
        <v>400</v>
      </c>
      <c r="F68" s="14" t="s">
        <v>330</v>
      </c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17398</v>
      </c>
      <c r="B69" s="49">
        <v>400</v>
      </c>
      <c r="C69" s="17"/>
      <c r="D69" s="13">
        <v>17442</v>
      </c>
      <c r="E69" s="70">
        <v>1200</v>
      </c>
      <c r="F69" s="14" t="s">
        <v>315</v>
      </c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/>
      <c r="D70" s="13"/>
      <c r="E70" s="70"/>
      <c r="F70" s="14" t="s">
        <v>20</v>
      </c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/>
      <c r="D71" s="13">
        <v>17443</v>
      </c>
      <c r="E71" s="70">
        <v>100</v>
      </c>
      <c r="F71" s="14" t="s">
        <v>84</v>
      </c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/>
      <c r="D72" s="13">
        <v>17444</v>
      </c>
      <c r="E72" s="70">
        <v>400</v>
      </c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7"/>
      <c r="D73" s="13">
        <v>17445</v>
      </c>
      <c r="E73" s="70">
        <v>2000</v>
      </c>
      <c r="F73" s="14" t="s">
        <v>166</v>
      </c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/>
      <c r="B74" s="49"/>
      <c r="C74" s="17"/>
      <c r="D74" s="13"/>
      <c r="E74" s="70"/>
      <c r="F74" s="14" t="s">
        <v>426</v>
      </c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/>
      <c r="D75" s="13">
        <v>17446</v>
      </c>
      <c r="E75" s="70">
        <v>300</v>
      </c>
      <c r="F75" s="14" t="s">
        <v>427</v>
      </c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/>
      <c r="D76" s="13">
        <v>17447</v>
      </c>
      <c r="E76" s="70">
        <v>400</v>
      </c>
      <c r="F76" s="14" t="s">
        <v>372</v>
      </c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49"/>
      <c r="C77" s="17"/>
      <c r="D77" s="13"/>
      <c r="E77" s="70"/>
      <c r="F77" s="14" t="s">
        <v>15</v>
      </c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/>
      <c r="D78" s="13">
        <v>17448</v>
      </c>
      <c r="E78" s="70">
        <v>400</v>
      </c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/>
      <c r="D79" s="13">
        <v>17449</v>
      </c>
      <c r="E79" s="70">
        <v>300</v>
      </c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>
        <v>17450</v>
      </c>
      <c r="E80" s="70">
        <v>300</v>
      </c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6" x14ac:dyDescent="0.25">
      <c r="A81" s="16"/>
      <c r="B81" s="49"/>
      <c r="C81" s="17"/>
      <c r="D81" s="13">
        <v>17451</v>
      </c>
      <c r="E81" s="70">
        <v>800</v>
      </c>
      <c r="F81" s="14" t="s">
        <v>372</v>
      </c>
      <c r="G81" s="11"/>
      <c r="H81" s="67"/>
      <c r="I81" s="12"/>
      <c r="J81" s="61"/>
      <c r="K81" s="71"/>
      <c r="L81" s="62"/>
      <c r="M81" s="75"/>
      <c r="N81" s="73"/>
      <c r="O81" s="15"/>
    </row>
    <row r="82" spans="1:16" x14ac:dyDescent="0.25">
      <c r="A82" s="16"/>
      <c r="B82" s="49"/>
      <c r="C82" s="17"/>
      <c r="D82" s="13"/>
      <c r="E82" s="70"/>
      <c r="F82" s="14" t="s">
        <v>20</v>
      </c>
      <c r="G82" s="11"/>
      <c r="H82" s="67"/>
      <c r="I82" s="12"/>
      <c r="J82" s="61"/>
      <c r="K82" s="71"/>
      <c r="L82" s="62"/>
      <c r="M82" s="75"/>
      <c r="N82" s="73"/>
      <c r="O82" s="15"/>
    </row>
    <row r="83" spans="1:16" x14ac:dyDescent="0.25">
      <c r="A83" s="26"/>
      <c r="B83" s="66"/>
      <c r="C83" s="58"/>
      <c r="D83" s="26"/>
      <c r="E83" s="74"/>
      <c r="F83" s="58"/>
      <c r="G83" s="26"/>
      <c r="H83" s="74"/>
      <c r="I83" s="58"/>
      <c r="J83" s="26"/>
      <c r="K83" s="74"/>
      <c r="L83" s="58"/>
      <c r="M83" s="26"/>
      <c r="N83" s="74"/>
      <c r="O83" s="58"/>
      <c r="P83" s="58"/>
    </row>
    <row r="84" spans="1:16" x14ac:dyDescent="0.25">
      <c r="A84" s="26"/>
      <c r="B84" s="66"/>
      <c r="C84" s="58"/>
      <c r="D84" s="26"/>
      <c r="E84" s="74"/>
      <c r="F84" s="58"/>
      <c r="G84" s="26"/>
      <c r="H84" s="74"/>
      <c r="I84" s="58"/>
      <c r="J84" s="26"/>
      <c r="K84" s="74"/>
      <c r="L84" s="58"/>
      <c r="M84" s="26"/>
      <c r="N84" s="74"/>
      <c r="O84" s="58"/>
      <c r="P84" s="58"/>
    </row>
    <row r="85" spans="1:16" x14ac:dyDescent="0.25">
      <c r="A85" s="26"/>
      <c r="B85" s="66"/>
      <c r="C85" s="58"/>
      <c r="D85" s="26"/>
      <c r="E85" s="74"/>
      <c r="F85" s="58"/>
      <c r="G85" s="26"/>
      <c r="H85" s="74"/>
      <c r="I85" s="58"/>
      <c r="J85" s="26"/>
      <c r="K85" s="74"/>
      <c r="L85" s="58"/>
      <c r="M85" s="26"/>
      <c r="N85" s="74"/>
      <c r="O85" s="58"/>
      <c r="P85" s="58"/>
    </row>
    <row r="86" spans="1:16" x14ac:dyDescent="0.25">
      <c r="A86" s="26"/>
      <c r="B86" s="66"/>
      <c r="C86" s="58"/>
      <c r="D86" s="26"/>
      <c r="E86" s="74"/>
      <c r="F86" s="58"/>
      <c r="G86" s="26"/>
      <c r="H86" s="74"/>
      <c r="I86" s="58"/>
      <c r="J86" s="26"/>
      <c r="K86" s="74"/>
      <c r="L86" s="58"/>
      <c r="M86" s="26"/>
      <c r="N86" s="74"/>
      <c r="O86" s="58"/>
      <c r="P86" s="58"/>
    </row>
    <row r="87" spans="1:16" x14ac:dyDescent="0.25">
      <c r="A87" s="26"/>
      <c r="B87" s="66"/>
      <c r="C87" s="58"/>
      <c r="D87" s="26"/>
      <c r="E87" s="74"/>
      <c r="F87" s="58"/>
      <c r="G87" s="26"/>
      <c r="H87" s="74"/>
      <c r="I87" s="58"/>
      <c r="J87" s="26"/>
      <c r="K87" s="74"/>
      <c r="L87" s="58"/>
      <c r="M87" s="26"/>
      <c r="N87" s="74"/>
      <c r="O87" s="58"/>
      <c r="P87" s="58"/>
    </row>
    <row r="88" spans="1:16" x14ac:dyDescent="0.25">
      <c r="A88" s="26"/>
      <c r="B88" s="66"/>
      <c r="C88" s="58"/>
      <c r="D88" s="26"/>
      <c r="E88" s="74"/>
      <c r="F88" s="58"/>
      <c r="G88" s="26"/>
      <c r="H88" s="74"/>
      <c r="I88" s="58"/>
      <c r="J88" s="26"/>
      <c r="K88" s="74"/>
      <c r="L88" s="58"/>
      <c r="M88" s="26"/>
      <c r="N88" s="74"/>
      <c r="O88" s="58"/>
      <c r="P88" s="58"/>
    </row>
    <row r="89" spans="1:16" x14ac:dyDescent="0.25">
      <c r="A89" s="26"/>
      <c r="B89" s="66"/>
      <c r="C89" s="58"/>
      <c r="D89" s="26"/>
      <c r="E89" s="74"/>
      <c r="F89" s="58"/>
      <c r="G89" s="26"/>
      <c r="H89" s="74"/>
      <c r="I89" s="58"/>
      <c r="J89" s="26"/>
      <c r="K89" s="74"/>
      <c r="L89" s="58"/>
      <c r="M89" s="26"/>
      <c r="N89" s="74"/>
      <c r="O89" s="58"/>
      <c r="P89" s="58"/>
    </row>
    <row r="90" spans="1:16" x14ac:dyDescent="0.25">
      <c r="A90" s="26"/>
      <c r="B90" s="66"/>
      <c r="C90" s="58"/>
      <c r="D90" s="26"/>
      <c r="E90" s="74"/>
      <c r="F90" s="58"/>
      <c r="G90" s="26"/>
      <c r="H90" s="74"/>
      <c r="I90" s="58"/>
      <c r="J90" s="26"/>
      <c r="K90" s="74"/>
      <c r="L90" s="58"/>
      <c r="M90" s="26"/>
      <c r="N90" s="74"/>
      <c r="O90" s="58"/>
      <c r="P90" s="58"/>
    </row>
    <row r="91" spans="1:16" x14ac:dyDescent="0.25">
      <c r="A91" s="26"/>
      <c r="B91" s="66"/>
      <c r="C91" s="58"/>
      <c r="D91" s="26"/>
      <c r="E91" s="74"/>
      <c r="F91" s="58"/>
      <c r="G91" s="26"/>
      <c r="H91" s="74"/>
      <c r="I91" s="58"/>
      <c r="J91" s="26"/>
      <c r="K91" s="74"/>
      <c r="L91" s="58"/>
      <c r="M91" s="26"/>
      <c r="N91" s="74"/>
      <c r="O91" s="58"/>
      <c r="P91" s="58"/>
    </row>
    <row r="92" spans="1:16" x14ac:dyDescent="0.25">
      <c r="A92" s="26"/>
      <c r="B92" s="66"/>
      <c r="C92" s="58"/>
      <c r="D92" s="26"/>
      <c r="E92" s="74"/>
      <c r="F92" s="58"/>
      <c r="G92" s="26"/>
      <c r="H92" s="74"/>
      <c r="I92" s="58"/>
      <c r="J92" s="26"/>
      <c r="K92" s="74"/>
      <c r="L92" s="58"/>
      <c r="M92" s="26"/>
      <c r="N92" s="74"/>
      <c r="O92" s="58"/>
      <c r="P92" s="58"/>
    </row>
    <row r="93" spans="1:16" x14ac:dyDescent="0.25">
      <c r="A93" s="26"/>
      <c r="B93" s="66"/>
      <c r="C93" s="58"/>
      <c r="D93" s="26"/>
      <c r="E93" s="74"/>
      <c r="F93" s="58"/>
      <c r="G93" s="26"/>
      <c r="H93" s="74"/>
      <c r="I93" s="58"/>
      <c r="J93" s="26"/>
      <c r="K93" s="74"/>
      <c r="L93" s="58"/>
      <c r="M93" s="26"/>
      <c r="N93" s="74"/>
      <c r="O93" s="58"/>
      <c r="P93" s="58"/>
    </row>
    <row r="94" spans="1:16" x14ac:dyDescent="0.25">
      <c r="A94" s="26"/>
      <c r="B94" s="66"/>
      <c r="C94" s="58"/>
      <c r="D94" s="26"/>
      <c r="E94" s="74"/>
      <c r="F94" s="58"/>
      <c r="G94" s="26"/>
      <c r="H94" s="74"/>
      <c r="I94" s="58"/>
      <c r="J94" s="26"/>
      <c r="K94" s="74"/>
      <c r="L94" s="58"/>
      <c r="M94" s="26"/>
      <c r="N94" s="74"/>
      <c r="O94" s="58"/>
      <c r="P94" s="58"/>
    </row>
    <row r="95" spans="1:16" x14ac:dyDescent="0.25">
      <c r="A95" s="26"/>
      <c r="B95" s="66"/>
      <c r="C95" s="58"/>
      <c r="D95" s="26"/>
      <c r="E95" s="74"/>
      <c r="F95" s="58"/>
      <c r="G95" s="26"/>
      <c r="H95" s="74"/>
      <c r="I95" s="58"/>
      <c r="J95" s="26"/>
      <c r="K95" s="74"/>
      <c r="L95" s="58"/>
      <c r="M95" s="26"/>
      <c r="N95" s="74"/>
      <c r="O95" s="58"/>
      <c r="P95" s="58"/>
    </row>
    <row r="96" spans="1:16" x14ac:dyDescent="0.25">
      <c r="A96" s="26"/>
      <c r="B96" s="66"/>
      <c r="C96" s="58"/>
      <c r="D96" s="26"/>
      <c r="E96" s="74"/>
      <c r="F96" s="58"/>
      <c r="G96" s="26"/>
      <c r="H96" s="74"/>
      <c r="I96" s="58"/>
      <c r="J96" s="26"/>
      <c r="K96" s="74"/>
      <c r="L96" s="58"/>
      <c r="M96" s="26"/>
      <c r="N96" s="74"/>
      <c r="O96" s="58"/>
      <c r="P96" s="58"/>
    </row>
    <row r="97" spans="1:16" x14ac:dyDescent="0.25">
      <c r="A97" s="26"/>
      <c r="B97" s="66"/>
      <c r="C97" s="58"/>
      <c r="D97" s="26"/>
      <c r="E97" s="74"/>
      <c r="F97" s="58"/>
      <c r="G97" s="26"/>
      <c r="H97" s="74"/>
      <c r="I97" s="58"/>
      <c r="J97" s="26"/>
      <c r="K97" s="74"/>
      <c r="L97" s="58"/>
      <c r="M97" s="26"/>
      <c r="N97" s="74"/>
      <c r="O97" s="58"/>
      <c r="P97" s="58"/>
    </row>
    <row r="98" spans="1:16" x14ac:dyDescent="0.25">
      <c r="A98" s="26"/>
      <c r="B98" s="66"/>
      <c r="C98" s="58"/>
      <c r="D98" s="26"/>
      <c r="E98" s="74"/>
      <c r="F98" s="58"/>
      <c r="G98" s="26"/>
      <c r="H98" s="74"/>
      <c r="I98" s="58"/>
      <c r="J98" s="26"/>
      <c r="K98" s="74"/>
      <c r="L98" s="58"/>
      <c r="M98" s="26"/>
      <c r="N98" s="74"/>
      <c r="O98" s="58"/>
      <c r="P98" s="58"/>
    </row>
    <row r="99" spans="1:16" x14ac:dyDescent="0.25">
      <c r="A99" s="26"/>
      <c r="B99" s="66"/>
      <c r="C99" s="58"/>
      <c r="D99" s="26"/>
      <c r="E99" s="74"/>
      <c r="F99" s="58"/>
      <c r="G99" s="26"/>
      <c r="H99" s="74"/>
      <c r="I99" s="58"/>
      <c r="J99" s="26"/>
      <c r="K99" s="74"/>
      <c r="L99" s="58"/>
      <c r="M99" s="26"/>
      <c r="N99" s="74"/>
      <c r="O99" s="58"/>
      <c r="P99" s="58"/>
    </row>
    <row r="100" spans="1:16" x14ac:dyDescent="0.25">
      <c r="A100" s="26"/>
      <c r="B100" s="66"/>
      <c r="C100" s="58"/>
      <c r="D100" s="26"/>
      <c r="E100" s="74"/>
      <c r="F100" s="58"/>
      <c r="G100" s="26"/>
      <c r="H100" s="74"/>
      <c r="I100" s="58"/>
      <c r="J100" s="26"/>
      <c r="K100" s="74"/>
      <c r="L100" s="58"/>
      <c r="M100" s="26"/>
      <c r="N100" s="74"/>
      <c r="O100" s="58"/>
      <c r="P100" s="58"/>
    </row>
    <row r="101" spans="1:16" x14ac:dyDescent="0.25">
      <c r="A101" s="26"/>
      <c r="B101" s="66"/>
      <c r="C101" s="58"/>
      <c r="D101" s="26"/>
      <c r="E101" s="74"/>
      <c r="F101" s="58"/>
      <c r="G101" s="26"/>
      <c r="H101" s="74"/>
      <c r="I101" s="58"/>
      <c r="J101" s="26"/>
      <c r="K101" s="74"/>
      <c r="L101" s="58"/>
      <c r="M101" s="26"/>
      <c r="N101" s="74"/>
      <c r="O101" s="58"/>
      <c r="P101" s="58"/>
    </row>
    <row r="102" spans="1:16" x14ac:dyDescent="0.25">
      <c r="A102" s="26"/>
      <c r="B102" s="66"/>
      <c r="C102" s="58"/>
      <c r="D102" s="26"/>
      <c r="E102" s="74"/>
      <c r="F102" s="58"/>
      <c r="G102" s="26"/>
      <c r="H102" s="74"/>
      <c r="I102" s="58"/>
      <c r="J102" s="26"/>
      <c r="K102" s="74"/>
      <c r="L102" s="58"/>
      <c r="M102" s="26"/>
      <c r="N102" s="74"/>
      <c r="O102" s="58"/>
      <c r="P102" s="58"/>
    </row>
    <row r="103" spans="1:16" x14ac:dyDescent="0.25">
      <c r="A103" s="26"/>
      <c r="B103" s="66"/>
      <c r="C103" s="58"/>
      <c r="D103" s="26"/>
      <c r="E103" s="74"/>
      <c r="F103" s="58"/>
      <c r="G103" s="26"/>
      <c r="H103" s="74"/>
      <c r="I103" s="58"/>
      <c r="J103" s="26"/>
      <c r="K103" s="74"/>
      <c r="L103" s="58"/>
      <c r="M103" s="26"/>
      <c r="N103" s="74"/>
      <c r="O103" s="58"/>
      <c r="P103" s="58"/>
    </row>
    <row r="104" spans="1:16" x14ac:dyDescent="0.25">
      <c r="A104" s="26"/>
      <c r="B104" s="66"/>
      <c r="C104" s="58"/>
      <c r="D104" s="26"/>
      <c r="E104" s="74"/>
      <c r="F104" s="58"/>
      <c r="G104" s="26"/>
      <c r="H104" s="74"/>
      <c r="I104" s="58"/>
      <c r="J104" s="26"/>
      <c r="K104" s="74"/>
      <c r="L104" s="58"/>
      <c r="M104" s="26"/>
      <c r="N104" s="74"/>
      <c r="O104" s="58"/>
      <c r="P104" s="58"/>
    </row>
    <row r="105" spans="1:16" x14ac:dyDescent="0.25">
      <c r="A105" s="26"/>
      <c r="B105" s="66"/>
      <c r="C105" s="58"/>
      <c r="D105" s="26"/>
      <c r="E105" s="74"/>
      <c r="F105" s="58"/>
      <c r="G105" s="26"/>
      <c r="H105" s="74"/>
      <c r="I105" s="58"/>
      <c r="J105" s="26"/>
      <c r="K105" s="74"/>
      <c r="L105" s="58"/>
      <c r="M105" s="26"/>
      <c r="N105" s="74"/>
      <c r="O105" s="58"/>
      <c r="P105" s="58"/>
    </row>
    <row r="106" spans="1:16" x14ac:dyDescent="0.25">
      <c r="A106" s="26"/>
      <c r="B106" s="66"/>
      <c r="C106" s="58"/>
      <c r="D106" s="26"/>
      <c r="E106" s="74"/>
      <c r="F106" s="58"/>
      <c r="G106" s="26"/>
      <c r="H106" s="74"/>
      <c r="I106" s="58"/>
      <c r="J106" s="26"/>
      <c r="K106" s="74"/>
      <c r="L106" s="58"/>
      <c r="M106" s="26"/>
      <c r="N106" s="74"/>
      <c r="O106" s="58"/>
      <c r="P106" s="58"/>
    </row>
    <row r="107" spans="1:16" x14ac:dyDescent="0.25">
      <c r="A107" s="26"/>
      <c r="B107" s="66"/>
      <c r="C107" s="58"/>
      <c r="D107" s="26"/>
      <c r="E107" s="74"/>
      <c r="F107" s="58"/>
      <c r="G107" s="26"/>
      <c r="H107" s="74"/>
      <c r="I107" s="58"/>
      <c r="J107" s="26"/>
      <c r="K107" s="74"/>
      <c r="L107" s="58"/>
      <c r="M107" s="26"/>
      <c r="N107" s="74"/>
      <c r="O107" s="58"/>
      <c r="P107" s="58"/>
    </row>
    <row r="108" spans="1:16" x14ac:dyDescent="0.25">
      <c r="A108" s="26"/>
      <c r="B108" s="66"/>
      <c r="C108" s="58"/>
      <c r="D108" s="26"/>
      <c r="E108" s="74"/>
      <c r="F108" s="58"/>
      <c r="G108" s="26"/>
      <c r="H108" s="74"/>
      <c r="I108" s="58"/>
      <c r="J108" s="26"/>
      <c r="K108" s="74"/>
      <c r="L108" s="58"/>
      <c r="M108" s="26"/>
      <c r="N108" s="74"/>
      <c r="O108" s="58"/>
      <c r="P108" s="58"/>
    </row>
    <row r="109" spans="1:16" x14ac:dyDescent="0.25">
      <c r="A109" s="26"/>
      <c r="B109" s="66"/>
      <c r="C109" s="58"/>
      <c r="D109" s="26"/>
      <c r="E109" s="74"/>
      <c r="F109" s="58"/>
      <c r="G109" s="26"/>
      <c r="H109" s="74"/>
      <c r="I109" s="58"/>
      <c r="J109" s="26"/>
      <c r="K109" s="74"/>
      <c r="L109" s="58"/>
      <c r="M109" s="26"/>
      <c r="N109" s="74"/>
      <c r="O109" s="58"/>
      <c r="P109" s="58"/>
    </row>
    <row r="110" spans="1:16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26"/>
      <c r="N110" s="74"/>
      <c r="O110" s="58"/>
      <c r="P110" s="58"/>
    </row>
    <row r="111" spans="1:16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26"/>
      <c r="N111" s="74"/>
      <c r="O111" s="58"/>
      <c r="P111" s="58"/>
    </row>
    <row r="112" spans="1:16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26"/>
      <c r="N112" s="74"/>
      <c r="O112" s="58"/>
      <c r="P112" s="58"/>
    </row>
    <row r="113" spans="1:16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26"/>
      <c r="N113" s="74"/>
      <c r="O113" s="58"/>
      <c r="P113" s="58"/>
    </row>
    <row r="114" spans="1:16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26"/>
      <c r="N114" s="74"/>
      <c r="O114" s="58"/>
      <c r="P114" s="58"/>
    </row>
    <row r="115" spans="1:16" x14ac:dyDescent="0.25">
      <c r="A115" s="26"/>
      <c r="B115" s="66"/>
      <c r="C115" s="58"/>
      <c r="D115" s="26"/>
      <c r="E115" s="58"/>
      <c r="F115" s="58"/>
      <c r="G115" s="26"/>
      <c r="H115" s="58"/>
      <c r="I115" s="58"/>
      <c r="J115" s="26"/>
      <c r="K115" s="74"/>
      <c r="L115" s="58"/>
      <c r="M115" s="26"/>
      <c r="N115" s="58"/>
      <c r="O115" s="58"/>
      <c r="P115" s="58"/>
    </row>
    <row r="116" spans="1:16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26"/>
      <c r="N116" s="58"/>
      <c r="O116" s="58"/>
      <c r="P116" s="58"/>
    </row>
    <row r="117" spans="1:16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26"/>
      <c r="N117" s="58"/>
      <c r="O117" s="58"/>
      <c r="P117" s="58"/>
    </row>
    <row r="118" spans="1:16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26"/>
      <c r="N118" s="58"/>
      <c r="O118" s="58"/>
      <c r="P118" s="58"/>
    </row>
    <row r="119" spans="1:16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26"/>
      <c r="N119" s="58"/>
      <c r="O119" s="58"/>
      <c r="P119" s="58"/>
    </row>
    <row r="120" spans="1:16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26"/>
      <c r="N120" s="58"/>
      <c r="O120" s="58"/>
      <c r="P120" s="58"/>
    </row>
    <row r="121" spans="1:16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26"/>
      <c r="N121" s="58"/>
      <c r="O121" s="58"/>
      <c r="P121" s="58"/>
    </row>
    <row r="122" spans="1:16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26"/>
      <c r="N122" s="58"/>
      <c r="O122" s="58"/>
      <c r="P122" s="58"/>
    </row>
    <row r="123" spans="1:16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26"/>
      <c r="N123" s="58"/>
      <c r="O123" s="58"/>
      <c r="P123" s="58"/>
    </row>
    <row r="124" spans="1:16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26"/>
      <c r="N124" s="58"/>
      <c r="O124" s="58"/>
      <c r="P124" s="58"/>
    </row>
    <row r="125" spans="1:16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26"/>
      <c r="N125" s="58"/>
      <c r="O125" s="58"/>
      <c r="P125" s="58"/>
    </row>
    <row r="126" spans="1:16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26"/>
      <c r="N126" s="58"/>
      <c r="O126" s="58"/>
      <c r="P126" s="58"/>
    </row>
    <row r="127" spans="1:16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26"/>
      <c r="N127" s="58"/>
      <c r="O127" s="58"/>
      <c r="P127" s="58"/>
    </row>
    <row r="128" spans="1:16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26"/>
      <c r="N128" s="58"/>
      <c r="O128" s="58"/>
      <c r="P128" s="58"/>
    </row>
    <row r="129" spans="1:16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26"/>
      <c r="N129" s="58"/>
      <c r="O129" s="58"/>
      <c r="P129" s="58"/>
    </row>
    <row r="130" spans="1:16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26"/>
      <c r="N130" s="58"/>
      <c r="O130" s="58"/>
      <c r="P130" s="58"/>
    </row>
    <row r="131" spans="1:16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26"/>
      <c r="N131" s="58"/>
      <c r="O131" s="58"/>
    </row>
    <row r="132" spans="1:16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26"/>
      <c r="N132" s="58"/>
      <c r="O132" s="58"/>
    </row>
    <row r="133" spans="1:16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26"/>
      <c r="N133" s="58"/>
      <c r="O133" s="58"/>
    </row>
    <row r="134" spans="1:16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26"/>
      <c r="N134" s="58"/>
      <c r="O134" s="58"/>
    </row>
    <row r="135" spans="1:16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26"/>
      <c r="N135" s="58"/>
      <c r="O135" s="58"/>
    </row>
    <row r="136" spans="1:16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26"/>
      <c r="N136" s="58"/>
      <c r="O136" s="58"/>
    </row>
    <row r="137" spans="1:16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26"/>
      <c r="N137" s="58"/>
      <c r="O137" s="58"/>
    </row>
    <row r="138" spans="1:16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26"/>
      <c r="N138" s="58"/>
      <c r="O138" s="58"/>
    </row>
    <row r="139" spans="1:16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26"/>
      <c r="N139" s="58"/>
      <c r="O139" s="58"/>
    </row>
    <row r="140" spans="1:16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26"/>
      <c r="N140" s="58"/>
      <c r="O140" s="58"/>
    </row>
    <row r="141" spans="1:16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26"/>
      <c r="N141" s="58"/>
      <c r="O141" s="58"/>
    </row>
    <row r="142" spans="1:16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26"/>
      <c r="N142" s="58"/>
      <c r="O142" s="58"/>
    </row>
    <row r="143" spans="1:16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26"/>
      <c r="N143" s="58"/>
      <c r="O143" s="58"/>
    </row>
    <row r="144" spans="1:16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26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26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26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26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26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26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26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26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26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26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26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26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26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26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26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26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26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26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26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26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26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26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26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26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26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26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26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26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26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26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26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26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26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26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26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26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26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26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26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26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26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26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26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26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26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26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26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26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26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26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26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26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26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26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26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26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26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26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26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26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26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26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26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26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26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26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26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26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26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26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26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26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26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26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26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26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26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26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26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26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26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26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26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26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26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26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26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26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26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26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26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26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26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26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26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26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26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26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26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26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26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26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26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26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26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26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26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26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26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26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26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26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26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26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26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26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26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26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26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26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26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26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26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26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26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26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26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26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26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26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26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26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26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26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26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26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26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26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26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26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26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26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26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26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26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26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26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26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26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26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26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26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26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26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26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26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26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26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26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26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26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26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26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26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26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26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26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26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26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26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26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26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26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26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26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26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26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26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26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26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26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26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26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26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26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26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26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26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26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26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26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26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26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26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26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26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26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26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26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26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26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26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26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26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26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26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26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26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26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26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26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26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26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26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26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26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26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26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26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26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26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26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26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26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26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26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26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26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26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26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26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26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26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26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26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26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26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26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26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26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26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26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26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26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26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26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26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26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26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26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26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26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26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26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26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26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26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26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26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26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26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26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26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26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26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26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26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26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26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26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26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26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26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26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26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26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26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26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26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26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26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26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26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26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26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26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26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26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26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26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26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26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26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26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26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26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26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26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26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26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26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26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26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26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26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26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26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26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26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26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26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26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26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26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26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26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26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26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26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26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26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26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26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26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26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26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26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26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26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26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26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26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26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26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26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26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26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26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26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26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26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26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26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26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26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26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26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26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26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26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26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26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26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26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26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26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26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26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26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26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26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26"/>
      <c r="N505" s="58"/>
      <c r="O505" s="58"/>
    </row>
    <row r="506" spans="1:15" x14ac:dyDescent="0.25">
      <c r="A506" s="26"/>
      <c r="B506" s="66"/>
      <c r="C506" s="58"/>
      <c r="G506" s="26"/>
      <c r="H506" s="58"/>
      <c r="I506" s="58"/>
      <c r="J506" s="26"/>
      <c r="K506" s="58"/>
      <c r="L506" s="58"/>
      <c r="M506" s="26"/>
      <c r="N506" s="58"/>
      <c r="O506" s="58"/>
    </row>
    <row r="507" spans="1:15" x14ac:dyDescent="0.25">
      <c r="A507" s="26"/>
      <c r="B507" s="66"/>
      <c r="C507" s="58"/>
      <c r="G507" s="26"/>
      <c r="H507" s="58"/>
      <c r="I507" s="58"/>
      <c r="J507" s="26"/>
      <c r="K507" s="58"/>
      <c r="L507" s="58"/>
      <c r="M507" s="26"/>
      <c r="N507" s="58"/>
      <c r="O507" s="58"/>
    </row>
    <row r="508" spans="1:15" x14ac:dyDescent="0.25">
      <c r="A508" s="26"/>
      <c r="B508" s="66"/>
      <c r="C508" s="58"/>
      <c r="G508" s="26"/>
      <c r="H508" s="58"/>
      <c r="I508" s="58"/>
      <c r="J508" s="26"/>
      <c r="K508" s="58"/>
      <c r="L508" s="58"/>
      <c r="M508" s="26"/>
      <c r="N508" s="58"/>
      <c r="O508" s="58"/>
    </row>
    <row r="509" spans="1:15" x14ac:dyDescent="0.25">
      <c r="A509" s="26"/>
      <c r="B509" s="66"/>
      <c r="C509" s="58"/>
      <c r="G509" s="26"/>
      <c r="H509" s="58"/>
      <c r="I509" s="58"/>
      <c r="J509" s="26"/>
      <c r="K509" s="58"/>
      <c r="L509" s="58"/>
      <c r="M509" s="26"/>
      <c r="N509" s="58"/>
      <c r="O509" s="58"/>
    </row>
    <row r="510" spans="1:15" x14ac:dyDescent="0.25">
      <c r="A510" s="26"/>
      <c r="B510" s="66"/>
      <c r="C510" s="58"/>
      <c r="G510" s="26"/>
      <c r="H510" s="58"/>
      <c r="I510" s="58"/>
      <c r="J510" s="26"/>
      <c r="K510" s="58"/>
      <c r="L510" s="58"/>
      <c r="M510" s="26"/>
      <c r="N510" s="58"/>
      <c r="O510" s="58"/>
    </row>
    <row r="511" spans="1:15" x14ac:dyDescent="0.25">
      <c r="A511" s="26"/>
      <c r="B511" s="66"/>
      <c r="C511" s="58"/>
      <c r="G511" s="26"/>
      <c r="H511" s="58"/>
      <c r="I511" s="58"/>
      <c r="J511" s="26"/>
      <c r="K511" s="58"/>
      <c r="L511" s="58"/>
      <c r="M511" s="26"/>
      <c r="N511" s="58"/>
      <c r="O511" s="58"/>
    </row>
    <row r="512" spans="1:15" x14ac:dyDescent="0.25">
      <c r="A512" s="26"/>
      <c r="B512" s="66"/>
      <c r="C512" s="58"/>
      <c r="G512" s="26"/>
      <c r="H512" s="58"/>
      <c r="I512" s="58"/>
      <c r="J512" s="26"/>
      <c r="K512" s="58"/>
      <c r="L512" s="58"/>
      <c r="M512" s="26"/>
      <c r="N512" s="58"/>
      <c r="O512" s="58"/>
    </row>
    <row r="513" spans="1:15" x14ac:dyDescent="0.25">
      <c r="A513" s="26"/>
      <c r="B513" s="66"/>
      <c r="C513" s="58"/>
      <c r="G513" s="26"/>
      <c r="H513" s="58"/>
      <c r="I513" s="58"/>
      <c r="J513" s="26"/>
      <c r="K513" s="58"/>
      <c r="L513" s="58"/>
      <c r="M513" s="26"/>
      <c r="N513" s="58"/>
      <c r="O513" s="58"/>
    </row>
    <row r="514" spans="1:15" x14ac:dyDescent="0.25">
      <c r="A514" s="26"/>
      <c r="B514" s="66"/>
      <c r="C514" s="58"/>
      <c r="G514" s="26"/>
      <c r="H514" s="58"/>
      <c r="I514" s="58"/>
      <c r="J514" s="26"/>
      <c r="K514" s="58"/>
      <c r="L514" s="58"/>
      <c r="M514" s="26"/>
      <c r="N514" s="58"/>
      <c r="O514" s="58"/>
    </row>
    <row r="515" spans="1:15" x14ac:dyDescent="0.25">
      <c r="A515" s="26"/>
      <c r="B515" s="66"/>
      <c r="C515" s="58"/>
      <c r="G515" s="26"/>
      <c r="H515" s="58"/>
      <c r="I515" s="58"/>
      <c r="J515" s="26"/>
      <c r="K515" s="58"/>
      <c r="L515" s="58"/>
      <c r="M515" s="26"/>
      <c r="N515" s="58"/>
      <c r="O515" s="58"/>
    </row>
    <row r="516" spans="1:15" x14ac:dyDescent="0.25">
      <c r="A516" s="26"/>
      <c r="B516" s="66"/>
      <c r="C516" s="58"/>
      <c r="G516" s="26"/>
      <c r="H516" s="58"/>
      <c r="I516" s="58"/>
      <c r="J516" s="26"/>
      <c r="K516" s="58"/>
      <c r="L516" s="58"/>
      <c r="M516" s="26"/>
      <c r="N516" s="58"/>
      <c r="O516" s="58"/>
    </row>
    <row r="517" spans="1:15" x14ac:dyDescent="0.25">
      <c r="A517" s="26"/>
      <c r="B517" s="66"/>
      <c r="C517" s="58"/>
      <c r="G517" s="26"/>
      <c r="H517" s="58"/>
      <c r="I517" s="58"/>
      <c r="J517" s="26"/>
      <c r="K517" s="58"/>
      <c r="L517" s="58"/>
      <c r="M517" s="26"/>
      <c r="N517" s="58"/>
      <c r="O517" s="58"/>
    </row>
    <row r="518" spans="1:15" x14ac:dyDescent="0.25">
      <c r="A518" s="26"/>
      <c r="B518" s="66"/>
      <c r="C518" s="58"/>
      <c r="G518" s="26"/>
      <c r="H518" s="58"/>
      <c r="I518" s="58"/>
      <c r="J518" s="26"/>
      <c r="K518" s="58"/>
      <c r="L518" s="58"/>
      <c r="M518" s="26"/>
      <c r="N518" s="58"/>
      <c r="O518" s="58"/>
    </row>
    <row r="519" spans="1:15" x14ac:dyDescent="0.25">
      <c r="A519" s="26"/>
      <c r="B519" s="66"/>
      <c r="C519" s="58"/>
      <c r="G519" s="26"/>
      <c r="H519" s="58"/>
      <c r="I519" s="58"/>
      <c r="J519" s="26"/>
      <c r="K519" s="58"/>
      <c r="L519" s="58"/>
      <c r="M519" s="26"/>
      <c r="N519" s="58"/>
      <c r="O519" s="58"/>
    </row>
    <row r="520" spans="1:15" x14ac:dyDescent="0.25">
      <c r="A520" s="26"/>
      <c r="B520" s="66"/>
      <c r="C520" s="58"/>
      <c r="G520" s="26"/>
      <c r="H520" s="58"/>
      <c r="I520" s="58"/>
      <c r="J520" s="26"/>
      <c r="K520" s="58"/>
      <c r="L520" s="58"/>
      <c r="M520" s="26"/>
      <c r="N520" s="58"/>
      <c r="O520" s="58"/>
    </row>
    <row r="521" spans="1:15" x14ac:dyDescent="0.25">
      <c r="A521" s="26"/>
      <c r="B521" s="66"/>
      <c r="C521" s="58"/>
      <c r="G521" s="26"/>
      <c r="H521" s="58"/>
      <c r="I521" s="58"/>
      <c r="J521" s="26"/>
      <c r="K521" s="58"/>
      <c r="L521" s="58"/>
      <c r="M521" s="26"/>
      <c r="N521" s="58"/>
      <c r="O521" s="58"/>
    </row>
    <row r="522" spans="1:15" x14ac:dyDescent="0.25">
      <c r="A522" s="26"/>
      <c r="B522" s="66"/>
      <c r="C522" s="58"/>
      <c r="G522" s="26"/>
      <c r="H522" s="58"/>
      <c r="I522" s="58"/>
      <c r="J522" s="26"/>
      <c r="K522" s="58"/>
      <c r="L522" s="58"/>
      <c r="M522" s="26"/>
      <c r="N522" s="58"/>
      <c r="O522" s="58"/>
    </row>
    <row r="523" spans="1:15" x14ac:dyDescent="0.25">
      <c r="A523" s="26"/>
      <c r="B523" s="66"/>
      <c r="C523" s="58"/>
      <c r="G523" s="26"/>
      <c r="H523" s="58"/>
      <c r="I523" s="58"/>
      <c r="J523" s="26"/>
      <c r="K523" s="58"/>
      <c r="L523" s="58"/>
      <c r="M523" s="26"/>
      <c r="N523" s="58"/>
      <c r="O523" s="58"/>
    </row>
    <row r="524" spans="1:15" x14ac:dyDescent="0.25">
      <c r="A524" s="26"/>
      <c r="B524" s="66"/>
      <c r="C524" s="58"/>
      <c r="G524" s="26"/>
      <c r="H524" s="58"/>
      <c r="I524" s="58"/>
      <c r="J524" s="26"/>
      <c r="K524" s="58"/>
      <c r="L524" s="58"/>
      <c r="M524" s="26"/>
      <c r="N524" s="58"/>
      <c r="O524" s="58"/>
    </row>
    <row r="525" spans="1:15" x14ac:dyDescent="0.25">
      <c r="A525" s="26"/>
      <c r="B525" s="66"/>
      <c r="C525" s="58"/>
      <c r="G525" s="26"/>
      <c r="H525" s="58"/>
      <c r="I525" s="58"/>
      <c r="J525" s="26"/>
      <c r="K525" s="58"/>
      <c r="L525" s="58"/>
      <c r="M525" s="26"/>
      <c r="N525" s="58"/>
      <c r="O525" s="58"/>
    </row>
    <row r="526" spans="1:15" x14ac:dyDescent="0.25">
      <c r="A526" s="26"/>
      <c r="B526" s="66"/>
      <c r="C526" s="58"/>
      <c r="G526" s="26"/>
      <c r="H526" s="58"/>
      <c r="I526" s="58"/>
      <c r="J526" s="26"/>
      <c r="K526" s="58"/>
      <c r="L526" s="58"/>
      <c r="M526" s="26"/>
      <c r="N526" s="58"/>
      <c r="O526" s="58"/>
    </row>
    <row r="527" spans="1:15" x14ac:dyDescent="0.25">
      <c r="A527" s="26"/>
      <c r="B527" s="66"/>
      <c r="C527" s="58"/>
      <c r="G527" s="26"/>
      <c r="H527" s="58"/>
      <c r="I527" s="58"/>
      <c r="J527" s="26"/>
      <c r="K527" s="58"/>
      <c r="L527" s="58"/>
      <c r="M527" s="26"/>
      <c r="N527" s="58"/>
      <c r="O527" s="58"/>
    </row>
    <row r="528" spans="1:15" x14ac:dyDescent="0.25">
      <c r="A528" s="26"/>
      <c r="B528" s="66"/>
      <c r="C528" s="58"/>
      <c r="G528" s="26"/>
      <c r="H528" s="58"/>
      <c r="I528" s="58"/>
      <c r="J528" s="26"/>
      <c r="K528" s="58"/>
      <c r="L528" s="58"/>
      <c r="M528" s="26"/>
      <c r="N528" s="58"/>
      <c r="O528" s="58"/>
    </row>
    <row r="529" spans="1:15" x14ac:dyDescent="0.25">
      <c r="A529" s="26"/>
      <c r="B529" s="66"/>
      <c r="C529" s="58"/>
      <c r="G529" s="26"/>
      <c r="H529" s="58"/>
      <c r="I529" s="58"/>
      <c r="J529" s="26"/>
      <c r="K529" s="58"/>
      <c r="L529" s="58"/>
      <c r="M529" s="26"/>
      <c r="N529" s="58"/>
      <c r="O529" s="58"/>
    </row>
    <row r="530" spans="1:15" x14ac:dyDescent="0.25">
      <c r="A530" s="26"/>
      <c r="B530" s="66"/>
      <c r="C530" s="58"/>
      <c r="G530" s="26"/>
      <c r="H530" s="58"/>
      <c r="I530" s="58"/>
      <c r="J530" s="26"/>
      <c r="K530" s="58"/>
      <c r="L530" s="58"/>
      <c r="M530" s="26"/>
      <c r="N530" s="58"/>
      <c r="O530" s="58"/>
    </row>
    <row r="531" spans="1:15" x14ac:dyDescent="0.25">
      <c r="A531" s="26"/>
      <c r="B531" s="66"/>
      <c r="C531" s="58"/>
      <c r="G531" s="26"/>
      <c r="H531" s="58"/>
      <c r="I531" s="58"/>
      <c r="J531" s="26"/>
      <c r="K531" s="58"/>
      <c r="L531" s="58"/>
      <c r="M531" s="26"/>
      <c r="N531" s="58"/>
      <c r="O531" s="58"/>
    </row>
    <row r="532" spans="1:15" x14ac:dyDescent="0.25">
      <c r="A532" s="26"/>
      <c r="B532" s="66"/>
      <c r="C532" s="58"/>
      <c r="G532" s="26"/>
      <c r="H532" s="58"/>
      <c r="I532" s="58"/>
      <c r="J532" s="26"/>
      <c r="K532" s="58"/>
      <c r="L532" s="58"/>
      <c r="M532" s="26"/>
      <c r="N532" s="58"/>
      <c r="O532" s="58"/>
    </row>
    <row r="533" spans="1:15" x14ac:dyDescent="0.25">
      <c r="A533" s="26"/>
      <c r="B533" s="66"/>
      <c r="C533" s="58"/>
      <c r="G533" s="26"/>
      <c r="H533" s="58"/>
      <c r="I533" s="58"/>
      <c r="J533" s="26"/>
      <c r="K533" s="58"/>
      <c r="L533" s="58"/>
      <c r="M533" s="26"/>
      <c r="N533" s="58"/>
      <c r="O533" s="58"/>
    </row>
    <row r="534" spans="1:15" x14ac:dyDescent="0.25">
      <c r="A534" s="26"/>
      <c r="B534" s="66"/>
      <c r="C534" s="58"/>
      <c r="G534" s="26"/>
      <c r="H534" s="58"/>
      <c r="I534" s="58"/>
      <c r="J534" s="26"/>
      <c r="K534" s="58"/>
      <c r="L534" s="58"/>
      <c r="M534" s="26"/>
      <c r="N534" s="58"/>
      <c r="O534" s="58"/>
    </row>
    <row r="535" spans="1:15" x14ac:dyDescent="0.25">
      <c r="A535" s="26"/>
      <c r="B535" s="66"/>
      <c r="C535" s="58"/>
      <c r="G535" s="26"/>
      <c r="H535" s="58"/>
      <c r="I535" s="58"/>
      <c r="J535" s="26"/>
      <c r="K535" s="58"/>
      <c r="L535" s="58"/>
      <c r="M535" s="26"/>
      <c r="N535" s="58"/>
      <c r="O535" s="58"/>
    </row>
    <row r="536" spans="1:15" x14ac:dyDescent="0.25"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2"/>
  <sheetViews>
    <sheetView topLeftCell="D1" zoomScaleNormal="100" workbookViewId="0">
      <pane ySplit="4" topLeftCell="A49" activePane="bottomLeft" state="frozen"/>
      <selection pane="bottomLeft" activeCell="I49" sqref="I49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6.570312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5.5703125" customWidth="1"/>
    <col min="10" max="10" width="7.7109375" style="6" customWidth="1"/>
    <col min="11" max="11" width="8.7109375" customWidth="1"/>
    <col min="12" max="12" width="23.7109375" customWidth="1"/>
    <col min="13" max="13" width="7.855468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2" t="s">
        <v>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4" t="s">
        <v>11</v>
      </c>
      <c r="M1" s="124"/>
      <c r="N1" s="5">
        <v>2014</v>
      </c>
      <c r="O1" s="4"/>
    </row>
    <row r="2" spans="1:18" x14ac:dyDescent="0.25">
      <c r="A2" s="126" t="s">
        <v>0</v>
      </c>
      <c r="B2" s="126"/>
      <c r="C2" s="126"/>
      <c r="D2" s="127"/>
      <c r="E2" s="127"/>
      <c r="F2" s="127"/>
      <c r="G2" s="128" t="s">
        <v>5</v>
      </c>
      <c r="H2" s="128"/>
      <c r="I2" s="128"/>
      <c r="J2" s="133" t="s">
        <v>6</v>
      </c>
      <c r="K2" s="133"/>
      <c r="L2" s="133"/>
      <c r="M2" s="121" t="s">
        <v>12</v>
      </c>
      <c r="N2" s="121"/>
      <c r="O2" s="121"/>
      <c r="Q2" s="130" t="s">
        <v>13</v>
      </c>
      <c r="R2" s="130"/>
    </row>
    <row r="3" spans="1:18" x14ac:dyDescent="0.25">
      <c r="A3" s="8">
        <f>SUBTOTAL(3,A5:A120)</f>
        <v>89</v>
      </c>
      <c r="B3" s="8">
        <f>SUBTOTAL(9,B5:B120)</f>
        <v>39775</v>
      </c>
      <c r="C3" s="35">
        <v>43408</v>
      </c>
      <c r="D3" s="8">
        <f>SUBTOTAL(3,D5:D117)</f>
        <v>77</v>
      </c>
      <c r="E3" s="1">
        <f>SUBTOTAL(9,E5:E117)</f>
        <v>36070</v>
      </c>
      <c r="F3" s="38">
        <v>43415</v>
      </c>
      <c r="G3" s="8">
        <f>SUBTOTAL(3,G5:G117)</f>
        <v>70</v>
      </c>
      <c r="H3" s="1">
        <f>SUBTOTAL(9,H5:H117)</f>
        <v>44870</v>
      </c>
      <c r="I3" s="39">
        <v>43422</v>
      </c>
      <c r="J3" s="8">
        <f>SUBTOTAL(3,J5:J107)</f>
        <v>57</v>
      </c>
      <c r="K3" s="1">
        <f>SUBTOTAL(9,K5:K107)</f>
        <v>40650</v>
      </c>
      <c r="L3" s="63">
        <v>43429</v>
      </c>
      <c r="M3" s="1">
        <f>SUBTOTAL(3,M5:M117)</f>
        <v>12</v>
      </c>
      <c r="N3" s="1">
        <f>SUBTOTAL(9,N5:N117)</f>
        <v>4020</v>
      </c>
      <c r="O3" s="85">
        <v>43434</v>
      </c>
      <c r="Q3" s="30">
        <f>+A3+D3+G3+J3+M3</f>
        <v>305</v>
      </c>
      <c r="R3" s="29">
        <f>+B3+E3+H3+K3+N3</f>
        <v>165385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>
        <v>17515</v>
      </c>
      <c r="B5" s="49">
        <v>1600</v>
      </c>
      <c r="C5" s="17" t="s">
        <v>454</v>
      </c>
      <c r="D5" s="13">
        <v>17604</v>
      </c>
      <c r="E5" s="70">
        <v>400</v>
      </c>
      <c r="F5" s="14" t="s">
        <v>336</v>
      </c>
      <c r="G5" s="11">
        <v>17681</v>
      </c>
      <c r="H5" s="67">
        <v>200</v>
      </c>
      <c r="I5" s="12" t="s">
        <v>41</v>
      </c>
      <c r="J5" s="61">
        <v>17751</v>
      </c>
      <c r="K5" s="71"/>
      <c r="L5" s="62" t="s">
        <v>27</v>
      </c>
      <c r="M5" s="75">
        <v>17808</v>
      </c>
      <c r="N5" s="73">
        <v>250</v>
      </c>
      <c r="O5" s="15" t="s">
        <v>543</v>
      </c>
      <c r="Q5" s="32"/>
      <c r="R5" s="32"/>
    </row>
    <row r="6" spans="1:18" x14ac:dyDescent="0.25">
      <c r="A6" s="16"/>
      <c r="B6" s="49"/>
      <c r="C6" s="17" t="s">
        <v>20</v>
      </c>
      <c r="D6" s="13">
        <v>17605</v>
      </c>
      <c r="E6" s="70">
        <v>400</v>
      </c>
      <c r="F6" s="14"/>
      <c r="G6" s="11">
        <v>17682</v>
      </c>
      <c r="H6" s="67">
        <v>250</v>
      </c>
      <c r="I6" s="12" t="s">
        <v>525</v>
      </c>
      <c r="J6" s="61">
        <v>17752</v>
      </c>
      <c r="K6" s="71">
        <v>200</v>
      </c>
      <c r="L6" s="62" t="s">
        <v>532</v>
      </c>
      <c r="M6" s="75">
        <v>17809</v>
      </c>
      <c r="N6" s="73">
        <v>250</v>
      </c>
      <c r="O6" s="15" t="s">
        <v>543</v>
      </c>
    </row>
    <row r="7" spans="1:18" x14ac:dyDescent="0.25">
      <c r="A7" s="16">
        <v>17516</v>
      </c>
      <c r="B7" s="49">
        <v>400</v>
      </c>
      <c r="C7" s="17"/>
      <c r="D7" s="13">
        <v>17606</v>
      </c>
      <c r="E7" s="70">
        <v>600</v>
      </c>
      <c r="F7" s="14" t="s">
        <v>336</v>
      </c>
      <c r="G7" s="11">
        <v>17683</v>
      </c>
      <c r="H7" s="67">
        <v>40</v>
      </c>
      <c r="I7" s="12" t="s">
        <v>499</v>
      </c>
      <c r="J7" s="61">
        <v>17753</v>
      </c>
      <c r="K7" s="71">
        <v>550</v>
      </c>
      <c r="L7" s="62" t="s">
        <v>533</v>
      </c>
      <c r="M7" s="75">
        <v>17810</v>
      </c>
      <c r="N7" s="73">
        <v>250</v>
      </c>
      <c r="O7" s="15" t="s">
        <v>543</v>
      </c>
    </row>
    <row r="8" spans="1:18" x14ac:dyDescent="0.25">
      <c r="A8" s="16">
        <v>17517</v>
      </c>
      <c r="B8" s="49">
        <v>1200</v>
      </c>
      <c r="C8" s="17" t="s">
        <v>455</v>
      </c>
      <c r="D8" s="13">
        <v>17607</v>
      </c>
      <c r="E8" s="70">
        <v>300</v>
      </c>
      <c r="F8" s="14" t="s">
        <v>85</v>
      </c>
      <c r="G8" s="11">
        <v>17684</v>
      </c>
      <c r="H8" s="67">
        <v>400</v>
      </c>
      <c r="I8" s="12" t="s">
        <v>330</v>
      </c>
      <c r="J8" s="61">
        <v>17754</v>
      </c>
      <c r="K8" s="71">
        <v>4650</v>
      </c>
      <c r="L8" s="62" t="s">
        <v>527</v>
      </c>
      <c r="M8" s="75">
        <v>17811</v>
      </c>
      <c r="N8" s="73">
        <v>250</v>
      </c>
      <c r="O8" s="15"/>
    </row>
    <row r="9" spans="1:18" x14ac:dyDescent="0.25">
      <c r="A9" s="16"/>
      <c r="B9" s="49"/>
      <c r="C9" s="17" t="s">
        <v>20</v>
      </c>
      <c r="D9" s="13">
        <v>17608</v>
      </c>
      <c r="E9" s="70"/>
      <c r="F9" s="14" t="s">
        <v>27</v>
      </c>
      <c r="G9" s="11">
        <v>17685</v>
      </c>
      <c r="H9" s="67">
        <v>160</v>
      </c>
      <c r="I9" s="12" t="s">
        <v>494</v>
      </c>
      <c r="J9" s="61"/>
      <c r="K9" s="71"/>
      <c r="L9" s="62" t="s">
        <v>534</v>
      </c>
      <c r="M9" s="75">
        <v>17812</v>
      </c>
      <c r="N9" s="73">
        <v>400</v>
      </c>
      <c r="O9" s="15" t="s">
        <v>551</v>
      </c>
    </row>
    <row r="10" spans="1:18" x14ac:dyDescent="0.25">
      <c r="A10" s="16">
        <v>17518</v>
      </c>
      <c r="B10" s="49">
        <v>800</v>
      </c>
      <c r="C10" s="17" t="s">
        <v>456</v>
      </c>
      <c r="D10" s="13">
        <v>17609</v>
      </c>
      <c r="E10" s="70">
        <v>1500</v>
      </c>
      <c r="F10" s="14" t="s">
        <v>497</v>
      </c>
      <c r="G10" s="11">
        <v>17686</v>
      </c>
      <c r="H10" s="67">
        <v>350</v>
      </c>
      <c r="I10" s="12" t="s">
        <v>526</v>
      </c>
      <c r="J10" s="61">
        <v>17755</v>
      </c>
      <c r="K10" s="71">
        <v>450</v>
      </c>
      <c r="L10" s="62" t="s">
        <v>533</v>
      </c>
      <c r="M10" s="75"/>
      <c r="N10" s="73"/>
      <c r="O10" s="15" t="s">
        <v>23</v>
      </c>
    </row>
    <row r="11" spans="1:18" x14ac:dyDescent="0.25">
      <c r="A11" s="16"/>
      <c r="B11" s="49"/>
      <c r="C11" s="17" t="s">
        <v>20</v>
      </c>
      <c r="D11" s="13"/>
      <c r="E11" s="70"/>
      <c r="F11" s="14" t="s">
        <v>498</v>
      </c>
      <c r="G11" s="11"/>
      <c r="H11" s="67"/>
      <c r="I11" s="119">
        <v>150</v>
      </c>
      <c r="J11" s="61">
        <v>17756</v>
      </c>
      <c r="K11" s="71">
        <v>1050</v>
      </c>
      <c r="L11" s="62" t="s">
        <v>535</v>
      </c>
      <c r="M11" s="75">
        <v>17813</v>
      </c>
      <c r="N11" s="73">
        <v>400</v>
      </c>
      <c r="O11" s="31" t="s">
        <v>528</v>
      </c>
    </row>
    <row r="12" spans="1:18" x14ac:dyDescent="0.25">
      <c r="A12" s="16">
        <v>17519</v>
      </c>
      <c r="B12" s="49">
        <v>2000</v>
      </c>
      <c r="C12" s="17" t="s">
        <v>457</v>
      </c>
      <c r="D12" s="13">
        <v>17610</v>
      </c>
      <c r="E12" s="70">
        <v>800</v>
      </c>
      <c r="F12" s="103" t="s">
        <v>372</v>
      </c>
      <c r="G12" s="11">
        <v>17687</v>
      </c>
      <c r="H12" s="67">
        <v>800</v>
      </c>
      <c r="I12" s="12" t="s">
        <v>307</v>
      </c>
      <c r="J12" s="61"/>
      <c r="K12" s="71"/>
      <c r="L12" s="62" t="s">
        <v>536</v>
      </c>
      <c r="M12" s="75"/>
      <c r="N12" s="73"/>
      <c r="O12" s="15" t="s">
        <v>15</v>
      </c>
    </row>
    <row r="13" spans="1:18" x14ac:dyDescent="0.25">
      <c r="A13" s="16"/>
      <c r="B13" s="49"/>
      <c r="C13" s="17" t="s">
        <v>20</v>
      </c>
      <c r="D13" s="13"/>
      <c r="E13" s="70"/>
      <c r="F13" s="14" t="s">
        <v>20</v>
      </c>
      <c r="G13" s="11"/>
      <c r="H13" s="67"/>
      <c r="I13" s="12" t="s">
        <v>20</v>
      </c>
      <c r="J13" s="61">
        <v>17757</v>
      </c>
      <c r="K13" s="71">
        <v>800</v>
      </c>
      <c r="L13" s="62" t="s">
        <v>402</v>
      </c>
      <c r="M13" s="75">
        <v>17814</v>
      </c>
      <c r="N13" s="73">
        <v>150</v>
      </c>
      <c r="O13" s="15" t="s">
        <v>543</v>
      </c>
    </row>
    <row r="14" spans="1:18" x14ac:dyDescent="0.25">
      <c r="A14" s="16">
        <v>17520</v>
      </c>
      <c r="B14" s="49">
        <v>400</v>
      </c>
      <c r="C14" s="17"/>
      <c r="D14" s="13">
        <v>17611</v>
      </c>
      <c r="E14" s="70">
        <v>100</v>
      </c>
      <c r="F14" s="14" t="s">
        <v>437</v>
      </c>
      <c r="G14" s="11">
        <v>17688</v>
      </c>
      <c r="H14" s="67">
        <v>250</v>
      </c>
      <c r="I14" s="12" t="s">
        <v>525</v>
      </c>
      <c r="J14" s="61"/>
      <c r="K14" s="71"/>
      <c r="L14" s="62" t="s">
        <v>448</v>
      </c>
      <c r="M14" s="75">
        <v>17815</v>
      </c>
      <c r="N14" s="73">
        <v>250</v>
      </c>
      <c r="O14" s="15" t="s">
        <v>543</v>
      </c>
    </row>
    <row r="15" spans="1:18" x14ac:dyDescent="0.25">
      <c r="A15" s="16">
        <v>17521</v>
      </c>
      <c r="B15" s="49">
        <v>400</v>
      </c>
      <c r="C15" s="17"/>
      <c r="D15" s="13">
        <v>17612</v>
      </c>
      <c r="E15" s="70">
        <v>600</v>
      </c>
      <c r="F15" s="33" t="s">
        <v>325</v>
      </c>
      <c r="G15" s="11">
        <v>17689</v>
      </c>
      <c r="H15" s="67">
        <v>250</v>
      </c>
      <c r="I15" s="12" t="s">
        <v>525</v>
      </c>
      <c r="J15" s="61">
        <v>17758</v>
      </c>
      <c r="K15" s="71">
        <v>400</v>
      </c>
      <c r="L15" s="62" t="s">
        <v>514</v>
      </c>
      <c r="M15" s="75">
        <v>17816</v>
      </c>
      <c r="N15" s="73">
        <v>1070</v>
      </c>
      <c r="O15" s="15" t="s">
        <v>548</v>
      </c>
    </row>
    <row r="16" spans="1:18" x14ac:dyDescent="0.25">
      <c r="A16" s="16">
        <v>17522</v>
      </c>
      <c r="B16" s="49">
        <v>40</v>
      </c>
      <c r="C16" s="17" t="s">
        <v>458</v>
      </c>
      <c r="D16" s="13"/>
      <c r="E16" s="70"/>
      <c r="F16" s="14" t="s">
        <v>15</v>
      </c>
      <c r="G16" s="11">
        <v>17690</v>
      </c>
      <c r="H16" s="67">
        <v>1220</v>
      </c>
      <c r="I16" s="12" t="s">
        <v>388</v>
      </c>
      <c r="J16" s="61">
        <v>17759</v>
      </c>
      <c r="K16" s="71">
        <v>4650</v>
      </c>
      <c r="L16" s="62" t="s">
        <v>527</v>
      </c>
      <c r="M16" s="75"/>
      <c r="N16" s="73"/>
      <c r="O16" s="15" t="s">
        <v>549</v>
      </c>
    </row>
    <row r="17" spans="1:15" x14ac:dyDescent="0.25">
      <c r="A17" s="16">
        <v>17523</v>
      </c>
      <c r="B17" s="49">
        <v>350</v>
      </c>
      <c r="C17" s="17"/>
      <c r="D17" s="13">
        <v>17613</v>
      </c>
      <c r="E17" s="70">
        <v>300</v>
      </c>
      <c r="F17" s="14"/>
      <c r="G17" s="11"/>
      <c r="H17" s="67"/>
      <c r="I17" s="12" t="s">
        <v>486</v>
      </c>
      <c r="J17" s="61"/>
      <c r="K17" s="71"/>
      <c r="L17" s="68" t="s">
        <v>534</v>
      </c>
      <c r="M17" s="75"/>
      <c r="N17" s="73"/>
      <c r="O17" s="15" t="s">
        <v>550</v>
      </c>
    </row>
    <row r="18" spans="1:15" x14ac:dyDescent="0.25">
      <c r="A18" s="16">
        <v>17524</v>
      </c>
      <c r="B18" s="49">
        <v>800</v>
      </c>
      <c r="C18" s="17" t="s">
        <v>459</v>
      </c>
      <c r="D18" s="13">
        <v>17614</v>
      </c>
      <c r="E18" s="70">
        <v>40</v>
      </c>
      <c r="F18" s="14" t="s">
        <v>499</v>
      </c>
      <c r="G18" s="11">
        <v>17691</v>
      </c>
      <c r="H18" s="67">
        <v>250</v>
      </c>
      <c r="I18" s="12" t="s">
        <v>525</v>
      </c>
      <c r="J18" s="61">
        <v>17760</v>
      </c>
      <c r="K18" s="71">
        <v>450</v>
      </c>
      <c r="L18" s="62" t="s">
        <v>537</v>
      </c>
      <c r="M18" s="75">
        <v>17817</v>
      </c>
      <c r="N18" s="73">
        <v>250</v>
      </c>
      <c r="O18" s="15" t="s">
        <v>543</v>
      </c>
    </row>
    <row r="19" spans="1:15" x14ac:dyDescent="0.25">
      <c r="A19" s="16"/>
      <c r="B19" s="49"/>
      <c r="C19" s="17" t="s">
        <v>20</v>
      </c>
      <c r="D19" s="13">
        <v>17615</v>
      </c>
      <c r="E19" s="70">
        <v>40</v>
      </c>
      <c r="F19" s="14" t="s">
        <v>499</v>
      </c>
      <c r="G19" s="11">
        <v>17692</v>
      </c>
      <c r="H19" s="67">
        <v>250</v>
      </c>
      <c r="I19" s="12" t="s">
        <v>525</v>
      </c>
      <c r="J19" s="61">
        <v>17761</v>
      </c>
      <c r="K19" s="71">
        <v>250</v>
      </c>
      <c r="L19" s="62" t="s">
        <v>538</v>
      </c>
      <c r="M19" s="75">
        <v>17818</v>
      </c>
      <c r="N19" s="73">
        <v>250</v>
      </c>
      <c r="O19" s="15" t="s">
        <v>543</v>
      </c>
    </row>
    <row r="20" spans="1:15" x14ac:dyDescent="0.25">
      <c r="A20" s="16">
        <v>17525</v>
      </c>
      <c r="B20" s="49">
        <v>300</v>
      </c>
      <c r="C20" s="17" t="s">
        <v>460</v>
      </c>
      <c r="D20" s="13">
        <v>17616</v>
      </c>
      <c r="E20" s="70">
        <v>820</v>
      </c>
      <c r="F20" s="14" t="s">
        <v>328</v>
      </c>
      <c r="G20" s="11">
        <v>17693</v>
      </c>
      <c r="H20" s="67">
        <v>840</v>
      </c>
      <c r="I20" s="12" t="s">
        <v>388</v>
      </c>
      <c r="J20" s="61">
        <v>17762</v>
      </c>
      <c r="K20" s="71">
        <v>250</v>
      </c>
      <c r="L20" s="62" t="s">
        <v>538</v>
      </c>
      <c r="M20" s="75">
        <v>17819</v>
      </c>
      <c r="N20" s="73">
        <v>250</v>
      </c>
      <c r="O20" s="15" t="s">
        <v>543</v>
      </c>
    </row>
    <row r="21" spans="1:15" x14ac:dyDescent="0.25">
      <c r="A21" s="16">
        <v>17526</v>
      </c>
      <c r="B21" s="49">
        <v>370</v>
      </c>
      <c r="C21" s="17" t="s">
        <v>461</v>
      </c>
      <c r="D21" s="13"/>
      <c r="E21" s="70"/>
      <c r="F21" s="14" t="s">
        <v>486</v>
      </c>
      <c r="G21" s="11"/>
      <c r="H21" s="67"/>
      <c r="I21" s="12" t="s">
        <v>500</v>
      </c>
      <c r="J21" s="61">
        <v>17763</v>
      </c>
      <c r="K21" s="71">
        <v>250</v>
      </c>
      <c r="L21" s="62" t="s">
        <v>538</v>
      </c>
      <c r="M21" s="75"/>
      <c r="N21" s="73"/>
      <c r="O21" s="15"/>
    </row>
    <row r="22" spans="1:15" x14ac:dyDescent="0.25">
      <c r="A22" s="16"/>
      <c r="B22" s="49"/>
      <c r="C22" s="17" t="s">
        <v>462</v>
      </c>
      <c r="D22" s="13">
        <v>17617</v>
      </c>
      <c r="E22" s="70">
        <v>400</v>
      </c>
      <c r="F22" s="14" t="s">
        <v>402</v>
      </c>
      <c r="G22" s="11">
        <v>17694</v>
      </c>
      <c r="H22" s="120">
        <v>200</v>
      </c>
      <c r="I22" s="12" t="s">
        <v>525</v>
      </c>
      <c r="J22" s="61">
        <v>17764</v>
      </c>
      <c r="K22" s="71">
        <v>250</v>
      </c>
      <c r="L22" s="62" t="s">
        <v>538</v>
      </c>
      <c r="M22" s="75"/>
      <c r="N22" s="73"/>
      <c r="O22" s="15"/>
    </row>
    <row r="23" spans="1:15" x14ac:dyDescent="0.25">
      <c r="A23" s="16">
        <v>17527</v>
      </c>
      <c r="B23" s="49">
        <v>125</v>
      </c>
      <c r="C23" s="17"/>
      <c r="D23" s="13"/>
      <c r="E23" s="70"/>
      <c r="F23" s="14" t="s">
        <v>15</v>
      </c>
      <c r="G23" s="11">
        <v>17695</v>
      </c>
      <c r="H23" s="67">
        <v>600</v>
      </c>
      <c r="I23" s="12" t="s">
        <v>388</v>
      </c>
      <c r="J23" s="61">
        <v>17765</v>
      </c>
      <c r="K23" s="71">
        <v>250</v>
      </c>
      <c r="L23" s="62" t="s">
        <v>538</v>
      </c>
      <c r="M23" s="75"/>
      <c r="N23" s="73"/>
      <c r="O23" s="15"/>
    </row>
    <row r="24" spans="1:15" x14ac:dyDescent="0.25">
      <c r="A24" s="16">
        <v>17528</v>
      </c>
      <c r="B24" s="49">
        <v>200</v>
      </c>
      <c r="C24" s="17"/>
      <c r="D24" s="13">
        <v>17618</v>
      </c>
      <c r="E24" s="70">
        <v>400</v>
      </c>
      <c r="F24" s="14" t="s">
        <v>459</v>
      </c>
      <c r="G24" s="11"/>
      <c r="H24" s="67"/>
      <c r="I24" s="12" t="s">
        <v>15</v>
      </c>
      <c r="J24" s="61">
        <v>17766</v>
      </c>
      <c r="K24" s="71">
        <v>250</v>
      </c>
      <c r="L24" s="62" t="s">
        <v>538</v>
      </c>
      <c r="M24" s="75"/>
      <c r="N24" s="73"/>
      <c r="O24" s="31"/>
    </row>
    <row r="25" spans="1:15" x14ac:dyDescent="0.25">
      <c r="A25" s="16">
        <v>17529</v>
      </c>
      <c r="B25" s="49">
        <v>400</v>
      </c>
      <c r="C25" s="17"/>
      <c r="D25" s="13"/>
      <c r="E25" s="70"/>
      <c r="F25" s="14" t="s">
        <v>15</v>
      </c>
      <c r="G25" s="11">
        <v>17696</v>
      </c>
      <c r="H25" s="67">
        <v>40</v>
      </c>
      <c r="I25" s="12" t="s">
        <v>499</v>
      </c>
      <c r="J25" s="61">
        <v>17767</v>
      </c>
      <c r="K25" s="71">
        <v>250</v>
      </c>
      <c r="L25" s="62" t="s">
        <v>538</v>
      </c>
      <c r="M25" s="75"/>
      <c r="N25" s="73"/>
      <c r="O25" s="15"/>
    </row>
    <row r="26" spans="1:15" x14ac:dyDescent="0.25">
      <c r="A26" s="16">
        <v>17530</v>
      </c>
      <c r="B26" s="49">
        <v>420</v>
      </c>
      <c r="C26" s="17" t="s">
        <v>463</v>
      </c>
      <c r="D26" s="13">
        <v>17619</v>
      </c>
      <c r="E26" s="70">
        <v>2400</v>
      </c>
      <c r="F26" s="14" t="s">
        <v>501</v>
      </c>
      <c r="G26" s="11">
        <v>17697</v>
      </c>
      <c r="H26" s="67">
        <v>400</v>
      </c>
      <c r="I26" s="12"/>
      <c r="J26" s="61">
        <v>17768</v>
      </c>
      <c r="K26" s="71">
        <v>700</v>
      </c>
      <c r="L26" s="62" t="s">
        <v>520</v>
      </c>
      <c r="M26" s="75"/>
      <c r="N26" s="73"/>
      <c r="O26" s="15"/>
    </row>
    <row r="27" spans="1:15" x14ac:dyDescent="0.25">
      <c r="A27" s="16">
        <v>17531</v>
      </c>
      <c r="B27" s="49">
        <v>400</v>
      </c>
      <c r="C27" s="17" t="s">
        <v>460</v>
      </c>
      <c r="D27" s="13"/>
      <c r="E27" s="70"/>
      <c r="F27" s="14" t="s">
        <v>502</v>
      </c>
      <c r="G27" s="11">
        <v>17698</v>
      </c>
      <c r="H27" s="67">
        <v>250</v>
      </c>
      <c r="I27" s="12" t="s">
        <v>525</v>
      </c>
      <c r="J27" s="61"/>
      <c r="K27" s="71"/>
      <c r="L27" s="62" t="s">
        <v>43</v>
      </c>
      <c r="M27" s="75"/>
      <c r="N27" s="73"/>
      <c r="O27" s="15"/>
    </row>
    <row r="28" spans="1:15" x14ac:dyDescent="0.25">
      <c r="A28" s="16">
        <v>17532</v>
      </c>
      <c r="B28" s="49">
        <v>40</v>
      </c>
      <c r="C28" s="17" t="s">
        <v>458</v>
      </c>
      <c r="D28" s="13">
        <v>17620</v>
      </c>
      <c r="E28" s="70">
        <v>100</v>
      </c>
      <c r="F28" s="14" t="s">
        <v>503</v>
      </c>
      <c r="G28" s="11">
        <v>17699</v>
      </c>
      <c r="H28" s="67">
        <v>250</v>
      </c>
      <c r="I28" s="12" t="s">
        <v>525</v>
      </c>
      <c r="J28" s="61">
        <v>17769</v>
      </c>
      <c r="K28" s="71">
        <v>550</v>
      </c>
      <c r="L28" s="62" t="s">
        <v>514</v>
      </c>
      <c r="M28" s="75"/>
      <c r="N28" s="73"/>
      <c r="O28" s="15"/>
    </row>
    <row r="29" spans="1:15" x14ac:dyDescent="0.25">
      <c r="A29" s="16">
        <v>17533</v>
      </c>
      <c r="B29" s="49">
        <v>1400</v>
      </c>
      <c r="C29" s="17" t="s">
        <v>464</v>
      </c>
      <c r="D29" s="13">
        <v>17621</v>
      </c>
      <c r="E29" s="70">
        <v>1800</v>
      </c>
      <c r="F29" s="14" t="s">
        <v>504</v>
      </c>
      <c r="G29" s="11">
        <v>17700</v>
      </c>
      <c r="H29" s="67">
        <v>250</v>
      </c>
      <c r="I29" s="12" t="s">
        <v>525</v>
      </c>
      <c r="J29" s="61"/>
      <c r="K29" s="71"/>
      <c r="L29" s="62" t="s">
        <v>539</v>
      </c>
      <c r="M29" s="75"/>
      <c r="N29" s="73"/>
      <c r="O29" s="15"/>
    </row>
    <row r="30" spans="1:15" x14ac:dyDescent="0.25">
      <c r="A30" s="16"/>
      <c r="B30" s="49"/>
      <c r="C30" s="17" t="s">
        <v>15</v>
      </c>
      <c r="D30" s="13"/>
      <c r="E30" s="70"/>
      <c r="F30" s="14" t="s">
        <v>505</v>
      </c>
      <c r="G30" s="11">
        <v>17701</v>
      </c>
      <c r="H30" s="67">
        <v>300</v>
      </c>
      <c r="I30" s="12" t="s">
        <v>250</v>
      </c>
      <c r="J30" s="61">
        <v>17770</v>
      </c>
      <c r="K30" s="71">
        <v>1450</v>
      </c>
      <c r="L30" s="62" t="s">
        <v>388</v>
      </c>
      <c r="M30" s="75"/>
      <c r="N30" s="73"/>
      <c r="O30" s="15"/>
    </row>
    <row r="31" spans="1:15" x14ac:dyDescent="0.25">
      <c r="A31" s="16">
        <v>17534</v>
      </c>
      <c r="B31" s="49">
        <v>200</v>
      </c>
      <c r="C31" s="17"/>
      <c r="D31" s="13"/>
      <c r="E31" s="70"/>
      <c r="F31" s="14" t="s">
        <v>506</v>
      </c>
      <c r="G31" s="11">
        <v>17702</v>
      </c>
      <c r="H31" s="67">
        <v>3000</v>
      </c>
      <c r="I31" s="12" t="s">
        <v>527</v>
      </c>
      <c r="J31" s="61"/>
      <c r="K31" s="71"/>
      <c r="L31" s="62" t="s">
        <v>534</v>
      </c>
      <c r="M31" s="75"/>
      <c r="N31" s="73"/>
      <c r="O31" s="31"/>
    </row>
    <row r="32" spans="1:15" x14ac:dyDescent="0.25">
      <c r="A32" s="16">
        <v>17535</v>
      </c>
      <c r="B32" s="49">
        <v>620</v>
      </c>
      <c r="C32" s="17" t="s">
        <v>465</v>
      </c>
      <c r="D32" s="13">
        <v>17622</v>
      </c>
      <c r="E32" s="70">
        <v>200</v>
      </c>
      <c r="F32" s="14" t="s">
        <v>41</v>
      </c>
      <c r="G32" s="11">
        <v>17703</v>
      </c>
      <c r="H32" s="67">
        <v>800</v>
      </c>
      <c r="I32" s="12" t="s">
        <v>402</v>
      </c>
      <c r="J32" s="61">
        <v>17771</v>
      </c>
      <c r="K32" s="71">
        <v>600</v>
      </c>
      <c r="L32" s="62" t="s">
        <v>407</v>
      </c>
      <c r="M32" s="75"/>
      <c r="N32" s="73"/>
      <c r="O32" s="15"/>
    </row>
    <row r="33" spans="1:15" x14ac:dyDescent="0.25">
      <c r="A33" s="16"/>
      <c r="B33" s="49"/>
      <c r="C33" s="17" t="s">
        <v>466</v>
      </c>
      <c r="D33" s="13">
        <v>17623</v>
      </c>
      <c r="E33" s="70">
        <v>200</v>
      </c>
      <c r="F33" s="14" t="s">
        <v>41</v>
      </c>
      <c r="G33" s="11"/>
      <c r="H33" s="67"/>
      <c r="I33" s="12" t="s">
        <v>20</v>
      </c>
      <c r="J33" s="61"/>
      <c r="K33" s="71"/>
      <c r="L33" s="62" t="s">
        <v>15</v>
      </c>
      <c r="M33" s="75"/>
      <c r="N33" s="73"/>
      <c r="O33" s="15"/>
    </row>
    <row r="34" spans="1:15" x14ac:dyDescent="0.25">
      <c r="A34" s="16">
        <v>17536</v>
      </c>
      <c r="B34" s="49">
        <v>60</v>
      </c>
      <c r="C34" s="17" t="s">
        <v>467</v>
      </c>
      <c r="D34" s="13">
        <v>17624</v>
      </c>
      <c r="E34" s="70">
        <v>400</v>
      </c>
      <c r="F34" s="14"/>
      <c r="G34" s="11">
        <v>17704</v>
      </c>
      <c r="H34" s="67">
        <v>250</v>
      </c>
      <c r="I34" s="12" t="s">
        <v>525</v>
      </c>
      <c r="J34" s="61">
        <v>17772</v>
      </c>
      <c r="K34" s="71">
        <v>250</v>
      </c>
      <c r="L34" s="62" t="s">
        <v>538</v>
      </c>
      <c r="M34" s="75"/>
      <c r="N34" s="73"/>
      <c r="O34" s="15"/>
    </row>
    <row r="35" spans="1:15" x14ac:dyDescent="0.25">
      <c r="A35" s="16">
        <v>17537</v>
      </c>
      <c r="B35" s="49">
        <v>860</v>
      </c>
      <c r="C35" s="17" t="s">
        <v>468</v>
      </c>
      <c r="D35" s="13">
        <v>17625</v>
      </c>
      <c r="E35" s="70">
        <v>400</v>
      </c>
      <c r="F35" s="14"/>
      <c r="G35" s="11">
        <v>17705</v>
      </c>
      <c r="H35" s="67">
        <v>800</v>
      </c>
      <c r="I35" s="12" t="s">
        <v>370</v>
      </c>
      <c r="J35" s="61">
        <v>17773</v>
      </c>
      <c r="K35" s="71">
        <v>1050</v>
      </c>
      <c r="L35" s="62" t="s">
        <v>540</v>
      </c>
      <c r="M35" s="75"/>
      <c r="N35" s="73"/>
      <c r="O35" s="15"/>
    </row>
    <row r="36" spans="1:15" x14ac:dyDescent="0.25">
      <c r="A36" s="16"/>
      <c r="B36" s="49"/>
      <c r="C36" s="17" t="s">
        <v>469</v>
      </c>
      <c r="D36" s="13">
        <v>17626</v>
      </c>
      <c r="E36" s="70">
        <v>400</v>
      </c>
      <c r="F36" s="14" t="s">
        <v>402</v>
      </c>
      <c r="G36" s="11"/>
      <c r="H36" s="67"/>
      <c r="I36" s="12" t="s">
        <v>15</v>
      </c>
      <c r="J36" s="61"/>
      <c r="K36" s="71"/>
      <c r="L36" s="62" t="s">
        <v>534</v>
      </c>
      <c r="M36" s="75"/>
      <c r="N36" s="73"/>
      <c r="O36" s="15"/>
    </row>
    <row r="37" spans="1:15" x14ac:dyDescent="0.25">
      <c r="A37" s="16">
        <v>17538</v>
      </c>
      <c r="B37" s="49">
        <v>400</v>
      </c>
      <c r="C37" s="17"/>
      <c r="D37" s="13"/>
      <c r="E37" s="70"/>
      <c r="F37" s="14" t="s">
        <v>15</v>
      </c>
      <c r="G37" s="11">
        <v>17706</v>
      </c>
      <c r="H37" s="67">
        <v>250</v>
      </c>
      <c r="I37" s="12" t="s">
        <v>525</v>
      </c>
      <c r="J37" s="61">
        <v>17774</v>
      </c>
      <c r="K37" s="71"/>
      <c r="L37" s="62" t="s">
        <v>27</v>
      </c>
      <c r="M37" s="75"/>
      <c r="N37" s="73"/>
      <c r="O37" s="15"/>
    </row>
    <row r="38" spans="1:15" x14ac:dyDescent="0.25">
      <c r="A38" s="16">
        <v>17539</v>
      </c>
      <c r="B38" s="49"/>
      <c r="C38" s="17" t="s">
        <v>343</v>
      </c>
      <c r="D38" s="13">
        <v>17627</v>
      </c>
      <c r="E38" s="70">
        <v>600</v>
      </c>
      <c r="F38" s="14" t="s">
        <v>507</v>
      </c>
      <c r="G38" s="11">
        <v>17707</v>
      </c>
      <c r="H38" s="67">
        <v>250</v>
      </c>
      <c r="I38" s="12" t="s">
        <v>525</v>
      </c>
      <c r="J38" s="61">
        <v>17775</v>
      </c>
      <c r="K38" s="71">
        <v>250</v>
      </c>
      <c r="L38" s="62" t="s">
        <v>538</v>
      </c>
      <c r="M38" s="75"/>
      <c r="N38" s="73"/>
      <c r="O38" s="15"/>
    </row>
    <row r="39" spans="1:15" x14ac:dyDescent="0.25">
      <c r="A39" s="16">
        <v>17540</v>
      </c>
      <c r="B39" s="49">
        <v>400</v>
      </c>
      <c r="C39" s="17"/>
      <c r="D39" s="13"/>
      <c r="E39" s="70"/>
      <c r="F39" s="14" t="s">
        <v>15</v>
      </c>
      <c r="G39" s="11">
        <v>17708</v>
      </c>
      <c r="H39" s="67">
        <v>250</v>
      </c>
      <c r="I39" s="12" t="s">
        <v>525</v>
      </c>
      <c r="J39" s="61">
        <v>17776</v>
      </c>
      <c r="K39" s="71">
        <v>3850</v>
      </c>
      <c r="L39" s="62" t="s">
        <v>527</v>
      </c>
      <c r="M39" s="75"/>
      <c r="N39" s="73"/>
      <c r="O39" s="15"/>
    </row>
    <row r="40" spans="1:15" x14ac:dyDescent="0.25">
      <c r="A40" s="16">
        <v>17541</v>
      </c>
      <c r="B40" s="49">
        <v>420</v>
      </c>
      <c r="C40" s="17" t="s">
        <v>470</v>
      </c>
      <c r="D40" s="13">
        <v>17628</v>
      </c>
      <c r="E40" s="70">
        <v>800</v>
      </c>
      <c r="F40" s="14" t="s">
        <v>328</v>
      </c>
      <c r="G40" s="11">
        <v>17709</v>
      </c>
      <c r="H40" s="67">
        <v>750</v>
      </c>
      <c r="I40" s="12" t="s">
        <v>388</v>
      </c>
      <c r="J40" s="61"/>
      <c r="K40" s="71"/>
      <c r="L40" s="62" t="s">
        <v>541</v>
      </c>
      <c r="M40" s="75"/>
      <c r="N40" s="73"/>
      <c r="O40" s="15"/>
    </row>
    <row r="41" spans="1:15" x14ac:dyDescent="0.25">
      <c r="A41" s="16">
        <v>17542</v>
      </c>
      <c r="B41" s="49">
        <v>500</v>
      </c>
      <c r="C41" s="17" t="s">
        <v>471</v>
      </c>
      <c r="D41" s="13"/>
      <c r="E41" s="70"/>
      <c r="F41" s="14" t="s">
        <v>20</v>
      </c>
      <c r="G41" s="11"/>
      <c r="H41" s="67"/>
      <c r="I41" s="12" t="s">
        <v>69</v>
      </c>
      <c r="J41" s="61">
        <v>17777</v>
      </c>
      <c r="K41" s="71">
        <v>250</v>
      </c>
      <c r="L41" s="62" t="s">
        <v>538</v>
      </c>
      <c r="M41" s="75"/>
      <c r="N41" s="73"/>
      <c r="O41" s="15"/>
    </row>
    <row r="42" spans="1:15" x14ac:dyDescent="0.25">
      <c r="A42" s="16">
        <v>17543</v>
      </c>
      <c r="B42" s="49">
        <v>770</v>
      </c>
      <c r="C42" s="17" t="s">
        <v>455</v>
      </c>
      <c r="D42" s="13">
        <v>17629</v>
      </c>
      <c r="E42" s="70">
        <v>400</v>
      </c>
      <c r="F42" s="14" t="s">
        <v>336</v>
      </c>
      <c r="G42" s="11">
        <v>17710</v>
      </c>
      <c r="H42" s="67">
        <v>50</v>
      </c>
      <c r="I42" s="12" t="s">
        <v>110</v>
      </c>
      <c r="J42" s="61">
        <v>17778</v>
      </c>
      <c r="K42" s="71">
        <v>250</v>
      </c>
      <c r="L42" s="62" t="s">
        <v>538</v>
      </c>
      <c r="M42" s="75"/>
      <c r="N42" s="73"/>
      <c r="O42" s="15"/>
    </row>
    <row r="43" spans="1:15" x14ac:dyDescent="0.25">
      <c r="A43" s="16"/>
      <c r="B43" s="49"/>
      <c r="C43" s="17" t="s">
        <v>472</v>
      </c>
      <c r="D43" s="13">
        <v>17630</v>
      </c>
      <c r="E43" s="70">
        <v>850</v>
      </c>
      <c r="F43" s="14" t="s">
        <v>372</v>
      </c>
      <c r="G43" s="11">
        <v>17711</v>
      </c>
      <c r="H43" s="67">
        <v>250</v>
      </c>
      <c r="I43" s="12" t="s">
        <v>525</v>
      </c>
      <c r="J43" s="61">
        <v>17779</v>
      </c>
      <c r="K43" s="71">
        <v>200</v>
      </c>
      <c r="L43" s="62" t="s">
        <v>372</v>
      </c>
      <c r="M43" s="75"/>
      <c r="N43" s="73"/>
      <c r="O43" s="15"/>
    </row>
    <row r="44" spans="1:15" x14ac:dyDescent="0.25">
      <c r="A44" s="16">
        <v>17544</v>
      </c>
      <c r="B44" s="49">
        <v>400</v>
      </c>
      <c r="C44" s="17"/>
      <c r="D44" s="13"/>
      <c r="E44" s="70"/>
      <c r="F44" s="14" t="s">
        <v>508</v>
      </c>
      <c r="G44" s="11">
        <v>17712</v>
      </c>
      <c r="H44" s="67">
        <v>200</v>
      </c>
      <c r="I44" s="12"/>
      <c r="J44" s="61"/>
      <c r="K44" s="71"/>
      <c r="L44" s="62" t="s">
        <v>57</v>
      </c>
      <c r="M44" s="75"/>
      <c r="N44" s="73"/>
      <c r="O44" s="15"/>
    </row>
    <row r="45" spans="1:15" x14ac:dyDescent="0.25">
      <c r="A45" s="16">
        <v>17545</v>
      </c>
      <c r="B45" s="49">
        <v>1200</v>
      </c>
      <c r="C45" s="17" t="s">
        <v>465</v>
      </c>
      <c r="D45" s="13">
        <v>17631</v>
      </c>
      <c r="E45" s="70">
        <v>400</v>
      </c>
      <c r="F45" s="14"/>
      <c r="G45" s="11">
        <v>17713</v>
      </c>
      <c r="H45" s="67">
        <v>250</v>
      </c>
      <c r="I45" s="12" t="s">
        <v>525</v>
      </c>
      <c r="J45" s="61">
        <v>17780</v>
      </c>
      <c r="K45" s="71">
        <v>200</v>
      </c>
      <c r="L45" s="62" t="s">
        <v>372</v>
      </c>
      <c r="M45" s="75"/>
      <c r="N45" s="73"/>
      <c r="O45" s="15"/>
    </row>
    <row r="46" spans="1:15" x14ac:dyDescent="0.25">
      <c r="A46" s="16"/>
      <c r="B46" s="49"/>
      <c r="C46" s="17" t="s">
        <v>20</v>
      </c>
      <c r="D46" s="13">
        <v>17632</v>
      </c>
      <c r="E46" s="70">
        <v>400</v>
      </c>
      <c r="F46" s="14"/>
      <c r="G46" s="11">
        <v>17714</v>
      </c>
      <c r="H46" s="67">
        <v>4400</v>
      </c>
      <c r="I46" s="12" t="s">
        <v>527</v>
      </c>
      <c r="J46" s="61"/>
      <c r="K46" s="71"/>
      <c r="L46" s="62" t="s">
        <v>57</v>
      </c>
      <c r="M46" s="75"/>
      <c r="N46" s="73"/>
      <c r="O46" s="15"/>
    </row>
    <row r="47" spans="1:15" x14ac:dyDescent="0.25">
      <c r="A47" s="16">
        <v>17546</v>
      </c>
      <c r="B47" s="49">
        <v>200</v>
      </c>
      <c r="C47" s="17"/>
      <c r="D47" s="13">
        <v>17633</v>
      </c>
      <c r="E47" s="70">
        <v>400</v>
      </c>
      <c r="F47" s="14" t="s">
        <v>328</v>
      </c>
      <c r="G47" s="11">
        <v>17715</v>
      </c>
      <c r="H47" s="67">
        <v>200</v>
      </c>
      <c r="I47" s="12" t="s">
        <v>41</v>
      </c>
      <c r="J47" s="61">
        <v>17781</v>
      </c>
      <c r="K47" s="71">
        <v>650</v>
      </c>
      <c r="L47" s="62" t="s">
        <v>533</v>
      </c>
      <c r="M47" s="75"/>
      <c r="N47" s="73"/>
      <c r="O47" s="15"/>
    </row>
    <row r="48" spans="1:15" x14ac:dyDescent="0.25">
      <c r="A48" s="16">
        <v>17547</v>
      </c>
      <c r="B48" s="49">
        <v>40</v>
      </c>
      <c r="C48" s="17" t="s">
        <v>458</v>
      </c>
      <c r="D48" s="13"/>
      <c r="E48" s="70"/>
      <c r="F48" s="14" t="s">
        <v>15</v>
      </c>
      <c r="G48" s="11">
        <v>17716</v>
      </c>
      <c r="H48" s="67">
        <v>250</v>
      </c>
      <c r="I48" s="12" t="s">
        <v>525</v>
      </c>
      <c r="J48" s="61">
        <v>17782</v>
      </c>
      <c r="K48" s="71">
        <v>2000</v>
      </c>
      <c r="L48" s="62" t="s">
        <v>542</v>
      </c>
      <c r="M48" s="75"/>
      <c r="N48" s="73"/>
      <c r="O48" s="15"/>
    </row>
    <row r="49" spans="1:15" x14ac:dyDescent="0.25">
      <c r="A49" s="16">
        <v>17548</v>
      </c>
      <c r="B49" s="49">
        <v>60</v>
      </c>
      <c r="C49" s="17" t="s">
        <v>467</v>
      </c>
      <c r="D49" s="13">
        <v>17634</v>
      </c>
      <c r="E49" s="70">
        <v>300</v>
      </c>
      <c r="F49" s="14"/>
      <c r="G49" s="11">
        <v>17717</v>
      </c>
      <c r="H49" s="67">
        <v>250</v>
      </c>
      <c r="I49" s="12" t="s">
        <v>525</v>
      </c>
      <c r="J49" s="61"/>
      <c r="K49" s="71"/>
      <c r="L49" s="62" t="s">
        <v>428</v>
      </c>
      <c r="M49" s="75"/>
      <c r="N49" s="73"/>
      <c r="O49" s="15"/>
    </row>
    <row r="50" spans="1:15" x14ac:dyDescent="0.25">
      <c r="A50" s="16">
        <v>17549</v>
      </c>
      <c r="B50" s="49">
        <v>420</v>
      </c>
      <c r="C50" s="17" t="s">
        <v>470</v>
      </c>
      <c r="D50" s="13">
        <v>17635</v>
      </c>
      <c r="E50" s="70">
        <v>300</v>
      </c>
      <c r="F50" s="14"/>
      <c r="G50" s="11">
        <v>17718</v>
      </c>
      <c r="H50" s="67">
        <v>250</v>
      </c>
      <c r="I50" s="12" t="s">
        <v>525</v>
      </c>
      <c r="J50" s="61">
        <v>17783</v>
      </c>
      <c r="K50" s="71"/>
      <c r="L50" s="68" t="s">
        <v>27</v>
      </c>
      <c r="M50" s="75"/>
      <c r="N50" s="73"/>
      <c r="O50" s="15"/>
    </row>
    <row r="51" spans="1:15" x14ac:dyDescent="0.25">
      <c r="A51" s="16">
        <v>17550</v>
      </c>
      <c r="B51" s="49">
        <v>450</v>
      </c>
      <c r="C51" s="17" t="s">
        <v>473</v>
      </c>
      <c r="D51" s="13">
        <v>17636</v>
      </c>
      <c r="E51" s="70">
        <v>200</v>
      </c>
      <c r="F51" s="14" t="s">
        <v>509</v>
      </c>
      <c r="G51" s="11">
        <v>17719</v>
      </c>
      <c r="H51" s="67">
        <v>300</v>
      </c>
      <c r="I51" s="12"/>
      <c r="J51" s="61">
        <v>17784</v>
      </c>
      <c r="K51" s="71">
        <v>250</v>
      </c>
      <c r="L51" s="62" t="s">
        <v>543</v>
      </c>
      <c r="M51" s="75"/>
      <c r="N51" s="73"/>
      <c r="O51" s="15"/>
    </row>
    <row r="52" spans="1:15" x14ac:dyDescent="0.25">
      <c r="A52" s="16"/>
      <c r="B52" s="49"/>
      <c r="C52" s="17" t="s">
        <v>36</v>
      </c>
      <c r="D52" s="13">
        <v>17637</v>
      </c>
      <c r="E52" s="70">
        <v>400</v>
      </c>
      <c r="F52" s="14"/>
      <c r="G52" s="11">
        <v>17720</v>
      </c>
      <c r="H52" s="67">
        <v>4400</v>
      </c>
      <c r="I52" s="12" t="s">
        <v>527</v>
      </c>
      <c r="J52" s="61">
        <v>17785</v>
      </c>
      <c r="K52" s="71">
        <v>400</v>
      </c>
      <c r="L52" s="62"/>
      <c r="M52" s="75"/>
      <c r="N52" s="73"/>
      <c r="O52" s="15"/>
    </row>
    <row r="53" spans="1:15" x14ac:dyDescent="0.25">
      <c r="A53" s="16">
        <v>17551</v>
      </c>
      <c r="B53" s="49">
        <v>800</v>
      </c>
      <c r="C53" s="17" t="s">
        <v>474</v>
      </c>
      <c r="D53" s="13">
        <v>17638</v>
      </c>
      <c r="E53" s="70">
        <v>500</v>
      </c>
      <c r="F53" s="14" t="s">
        <v>510</v>
      </c>
      <c r="G53" s="11">
        <v>17721</v>
      </c>
      <c r="H53" s="67">
        <v>400</v>
      </c>
      <c r="I53" s="12"/>
      <c r="J53" s="61">
        <v>17786</v>
      </c>
      <c r="K53" s="71">
        <v>650</v>
      </c>
      <c r="L53" s="62" t="s">
        <v>514</v>
      </c>
      <c r="M53" s="75"/>
      <c r="N53" s="73"/>
      <c r="O53" s="15"/>
    </row>
    <row r="54" spans="1:15" x14ac:dyDescent="0.25">
      <c r="A54" s="16"/>
      <c r="B54" s="49"/>
      <c r="C54" s="17" t="s">
        <v>20</v>
      </c>
      <c r="D54" s="13">
        <v>17639</v>
      </c>
      <c r="E54" s="70">
        <v>400</v>
      </c>
      <c r="F54" s="14" t="s">
        <v>402</v>
      </c>
      <c r="G54" s="11">
        <v>17722</v>
      </c>
      <c r="H54" s="67">
        <v>400</v>
      </c>
      <c r="I54" s="12"/>
      <c r="J54" s="61"/>
      <c r="K54" s="71"/>
      <c r="L54" s="62" t="s">
        <v>544</v>
      </c>
      <c r="M54" s="75"/>
      <c r="N54" s="73"/>
      <c r="O54" s="15"/>
    </row>
    <row r="55" spans="1:15" x14ac:dyDescent="0.25">
      <c r="A55" s="16">
        <v>17552</v>
      </c>
      <c r="B55" s="49">
        <v>670</v>
      </c>
      <c r="C55" s="17" t="s">
        <v>475</v>
      </c>
      <c r="D55" s="13"/>
      <c r="E55" s="70"/>
      <c r="F55" s="14" t="s">
        <v>15</v>
      </c>
      <c r="G55" s="11">
        <v>17723</v>
      </c>
      <c r="H55" s="67">
        <v>4400</v>
      </c>
      <c r="I55" s="12" t="s">
        <v>527</v>
      </c>
      <c r="J55" s="61">
        <v>17787</v>
      </c>
      <c r="K55" s="71">
        <v>800</v>
      </c>
      <c r="L55" s="62" t="s">
        <v>402</v>
      </c>
      <c r="M55" s="75"/>
      <c r="N55" s="73"/>
      <c r="O55" s="15"/>
    </row>
    <row r="56" spans="1:15" x14ac:dyDescent="0.25">
      <c r="A56" s="16"/>
      <c r="B56" s="49"/>
      <c r="C56" s="17" t="s">
        <v>476</v>
      </c>
      <c r="D56" s="13">
        <v>17640</v>
      </c>
      <c r="E56" s="70">
        <v>400</v>
      </c>
      <c r="F56" s="14"/>
      <c r="G56" s="11">
        <v>17724</v>
      </c>
      <c r="H56" s="67">
        <v>250</v>
      </c>
      <c r="I56" s="12" t="s">
        <v>525</v>
      </c>
      <c r="J56" s="61"/>
      <c r="K56" s="71"/>
      <c r="L56" s="62" t="s">
        <v>20</v>
      </c>
      <c r="M56" s="75"/>
      <c r="N56" s="73"/>
      <c r="O56" s="15"/>
    </row>
    <row r="57" spans="1:15" x14ac:dyDescent="0.25">
      <c r="A57" s="16">
        <v>17553</v>
      </c>
      <c r="B57" s="49">
        <v>400</v>
      </c>
      <c r="C57" s="17"/>
      <c r="D57" s="13">
        <v>17641</v>
      </c>
      <c r="E57" s="70">
        <v>600</v>
      </c>
      <c r="F57" s="14" t="s">
        <v>407</v>
      </c>
      <c r="G57" s="11">
        <v>17725</v>
      </c>
      <c r="H57" s="67">
        <v>250</v>
      </c>
      <c r="I57" s="12" t="s">
        <v>525</v>
      </c>
      <c r="J57" s="61">
        <v>17788</v>
      </c>
      <c r="K57" s="71">
        <v>200</v>
      </c>
      <c r="L57" s="62" t="s">
        <v>538</v>
      </c>
      <c r="M57" s="75"/>
      <c r="N57" s="73"/>
      <c r="O57" s="15"/>
    </row>
    <row r="58" spans="1:15" x14ac:dyDescent="0.25">
      <c r="A58" s="16">
        <v>17554</v>
      </c>
      <c r="B58" s="49">
        <v>400</v>
      </c>
      <c r="C58" s="17" t="s">
        <v>477</v>
      </c>
      <c r="D58" s="13"/>
      <c r="E58" s="70"/>
      <c r="F58" s="14" t="s">
        <v>15</v>
      </c>
      <c r="G58" s="11">
        <v>17726</v>
      </c>
      <c r="H58" s="67">
        <v>600</v>
      </c>
      <c r="I58" s="12" t="s">
        <v>402</v>
      </c>
      <c r="J58" s="61">
        <v>17789</v>
      </c>
      <c r="K58" s="71">
        <v>800</v>
      </c>
      <c r="L58" s="62" t="s">
        <v>372</v>
      </c>
      <c r="M58" s="75"/>
      <c r="N58" s="73"/>
      <c r="O58" s="15"/>
    </row>
    <row r="59" spans="1:15" x14ac:dyDescent="0.25">
      <c r="A59" s="16">
        <v>17555</v>
      </c>
      <c r="B59" s="49">
        <v>900</v>
      </c>
      <c r="C59" s="17" t="s">
        <v>473</v>
      </c>
      <c r="D59" s="13">
        <v>17642</v>
      </c>
      <c r="E59" s="70">
        <v>50</v>
      </c>
      <c r="F59" s="14" t="s">
        <v>511</v>
      </c>
      <c r="G59" s="11"/>
      <c r="H59" s="67"/>
      <c r="I59" s="12" t="s">
        <v>23</v>
      </c>
      <c r="J59" s="61"/>
      <c r="K59" s="71"/>
      <c r="L59" s="62" t="s">
        <v>20</v>
      </c>
      <c r="M59" s="75"/>
      <c r="N59" s="73"/>
      <c r="O59" s="15"/>
    </row>
    <row r="60" spans="1:15" x14ac:dyDescent="0.25">
      <c r="A60" s="16"/>
      <c r="B60" s="49"/>
      <c r="C60" s="17" t="s">
        <v>23</v>
      </c>
      <c r="D60" s="13">
        <v>17643</v>
      </c>
      <c r="E60" s="70">
        <v>250</v>
      </c>
      <c r="F60" s="14" t="s">
        <v>512</v>
      </c>
      <c r="G60" s="11">
        <v>17727</v>
      </c>
      <c r="H60" s="67">
        <v>250</v>
      </c>
      <c r="I60" s="12" t="s">
        <v>525</v>
      </c>
      <c r="J60" s="61">
        <v>17790</v>
      </c>
      <c r="K60" s="71">
        <v>800</v>
      </c>
      <c r="L60" s="62" t="s">
        <v>402</v>
      </c>
      <c r="M60" s="75"/>
      <c r="N60" s="73"/>
      <c r="O60" s="15"/>
    </row>
    <row r="61" spans="1:15" x14ac:dyDescent="0.25">
      <c r="A61" s="16">
        <v>17556</v>
      </c>
      <c r="B61" s="49">
        <v>20</v>
      </c>
      <c r="C61" s="17" t="s">
        <v>478</v>
      </c>
      <c r="D61" s="13"/>
      <c r="E61" s="70"/>
      <c r="F61" s="14" t="s">
        <v>513</v>
      </c>
      <c r="G61" s="11">
        <v>17728</v>
      </c>
      <c r="H61" s="67">
        <v>900</v>
      </c>
      <c r="I61" s="12" t="s">
        <v>407</v>
      </c>
      <c r="J61" s="61"/>
      <c r="K61" s="71"/>
      <c r="L61" s="62" t="s">
        <v>20</v>
      </c>
      <c r="M61" s="75"/>
      <c r="N61" s="73"/>
      <c r="O61" s="15"/>
    </row>
    <row r="62" spans="1:15" x14ac:dyDescent="0.25">
      <c r="A62" s="16">
        <v>17557</v>
      </c>
      <c r="B62" s="49">
        <v>420</v>
      </c>
      <c r="C62" s="17" t="s">
        <v>470</v>
      </c>
      <c r="D62" s="13">
        <v>17644</v>
      </c>
      <c r="E62" s="70">
        <v>400</v>
      </c>
      <c r="F62" s="14" t="s">
        <v>514</v>
      </c>
      <c r="G62" s="11"/>
      <c r="H62" s="67"/>
      <c r="I62" s="12" t="s">
        <v>23</v>
      </c>
      <c r="J62" s="61">
        <v>17791</v>
      </c>
      <c r="K62" s="71">
        <v>250</v>
      </c>
      <c r="L62" s="62" t="s">
        <v>538</v>
      </c>
      <c r="M62" s="75"/>
      <c r="N62" s="73"/>
      <c r="O62" s="15"/>
    </row>
    <row r="63" spans="1:15" x14ac:dyDescent="0.25">
      <c r="A63" s="16">
        <v>17558</v>
      </c>
      <c r="B63" s="49">
        <v>400</v>
      </c>
      <c r="C63" s="17"/>
      <c r="D63" s="13">
        <v>17645</v>
      </c>
      <c r="E63" s="70">
        <v>400</v>
      </c>
      <c r="F63" s="14"/>
      <c r="G63" s="11">
        <v>17729</v>
      </c>
      <c r="H63" s="67">
        <v>300</v>
      </c>
      <c r="I63" s="12"/>
      <c r="J63" s="61">
        <v>17792</v>
      </c>
      <c r="K63" s="71"/>
      <c r="L63" s="62" t="s">
        <v>27</v>
      </c>
      <c r="M63" s="75"/>
      <c r="N63" s="73"/>
      <c r="O63" s="15"/>
    </row>
    <row r="64" spans="1:15" x14ac:dyDescent="0.25">
      <c r="A64" s="16">
        <v>17559</v>
      </c>
      <c r="B64" s="49">
        <v>60</v>
      </c>
      <c r="C64" s="17" t="s">
        <v>467</v>
      </c>
      <c r="D64" s="13">
        <v>17646</v>
      </c>
      <c r="E64" s="70">
        <v>800</v>
      </c>
      <c r="F64" s="14" t="s">
        <v>372</v>
      </c>
      <c r="G64" s="11">
        <v>17730</v>
      </c>
      <c r="H64" s="67">
        <v>300</v>
      </c>
      <c r="I64" s="12" t="s">
        <v>336</v>
      </c>
      <c r="J64" s="61">
        <v>17793</v>
      </c>
      <c r="K64" s="71">
        <v>400</v>
      </c>
      <c r="L64" s="62"/>
      <c r="M64" s="75"/>
      <c r="N64" s="73"/>
      <c r="O64" s="15"/>
    </row>
    <row r="65" spans="1:15" x14ac:dyDescent="0.25">
      <c r="A65" s="16">
        <v>17560</v>
      </c>
      <c r="B65" s="49">
        <v>400</v>
      </c>
      <c r="C65" s="17"/>
      <c r="D65" s="13"/>
      <c r="E65" s="70"/>
      <c r="F65" s="14" t="s">
        <v>20</v>
      </c>
      <c r="G65" s="11">
        <v>17731</v>
      </c>
      <c r="H65" s="67">
        <v>250</v>
      </c>
      <c r="I65" s="12" t="s">
        <v>525</v>
      </c>
      <c r="J65" s="61">
        <v>17794</v>
      </c>
      <c r="K65" s="71">
        <v>4650</v>
      </c>
      <c r="L65" s="62" t="s">
        <v>527</v>
      </c>
      <c r="M65" s="75"/>
      <c r="N65" s="73"/>
      <c r="O65" s="15"/>
    </row>
    <row r="66" spans="1:15" x14ac:dyDescent="0.25">
      <c r="A66" s="16">
        <v>17561</v>
      </c>
      <c r="B66" s="49">
        <v>300</v>
      </c>
      <c r="C66" s="17"/>
      <c r="D66" s="13">
        <v>17647</v>
      </c>
      <c r="E66" s="70">
        <v>400</v>
      </c>
      <c r="F66" s="14"/>
      <c r="G66" s="11">
        <v>17732</v>
      </c>
      <c r="H66" s="67">
        <v>250</v>
      </c>
      <c r="I66" s="12" t="s">
        <v>525</v>
      </c>
      <c r="J66" s="61"/>
      <c r="K66" s="71"/>
      <c r="L66" s="62" t="s">
        <v>534</v>
      </c>
      <c r="M66" s="75"/>
      <c r="N66" s="73"/>
      <c r="O66" s="15"/>
    </row>
    <row r="67" spans="1:15" x14ac:dyDescent="0.25">
      <c r="A67" s="16">
        <v>17562</v>
      </c>
      <c r="B67" s="49">
        <v>100</v>
      </c>
      <c r="C67" s="17" t="s">
        <v>479</v>
      </c>
      <c r="D67" s="13">
        <v>17648</v>
      </c>
      <c r="E67" s="70">
        <v>500</v>
      </c>
      <c r="F67" s="14" t="s">
        <v>515</v>
      </c>
      <c r="G67" s="11">
        <v>17733</v>
      </c>
      <c r="H67" s="67">
        <v>800</v>
      </c>
      <c r="I67" s="12" t="s">
        <v>372</v>
      </c>
      <c r="J67" s="61">
        <v>17795</v>
      </c>
      <c r="K67" s="71">
        <v>200</v>
      </c>
      <c r="L67" s="62" t="s">
        <v>538</v>
      </c>
      <c r="M67" s="75"/>
      <c r="N67" s="73"/>
      <c r="O67" s="15"/>
    </row>
    <row r="68" spans="1:15" x14ac:dyDescent="0.25">
      <c r="A68" s="16">
        <v>17563</v>
      </c>
      <c r="B68" s="49">
        <v>460</v>
      </c>
      <c r="C68" s="17" t="s">
        <v>460</v>
      </c>
      <c r="D68" s="13">
        <v>17649</v>
      </c>
      <c r="E68" s="70">
        <v>400</v>
      </c>
      <c r="F68" s="14"/>
      <c r="G68" s="11"/>
      <c r="H68" s="67"/>
      <c r="I68" s="12" t="s">
        <v>20</v>
      </c>
      <c r="J68" s="61">
        <v>17796</v>
      </c>
      <c r="K68" s="71">
        <v>50</v>
      </c>
      <c r="L68" s="62" t="s">
        <v>545</v>
      </c>
      <c r="M68" s="75"/>
      <c r="N68" s="73"/>
      <c r="O68" s="15"/>
    </row>
    <row r="69" spans="1:15" x14ac:dyDescent="0.25">
      <c r="A69" s="16"/>
      <c r="B69" s="49"/>
      <c r="C69" s="17" t="s">
        <v>480</v>
      </c>
      <c r="D69" s="13">
        <v>17650</v>
      </c>
      <c r="E69" s="70">
        <v>500</v>
      </c>
      <c r="F69" s="14"/>
      <c r="G69" s="11">
        <v>17734</v>
      </c>
      <c r="H69" s="67">
        <v>250</v>
      </c>
      <c r="I69" s="12" t="s">
        <v>525</v>
      </c>
      <c r="J69" s="61">
        <v>17797</v>
      </c>
      <c r="K69" s="71">
        <v>400</v>
      </c>
      <c r="L69" s="62"/>
      <c r="M69" s="75"/>
      <c r="N69" s="73"/>
      <c r="O69" s="15"/>
    </row>
    <row r="70" spans="1:15" x14ac:dyDescent="0.25">
      <c r="A70" s="16">
        <v>17564</v>
      </c>
      <c r="B70" s="49">
        <v>400</v>
      </c>
      <c r="C70" s="17" t="s">
        <v>468</v>
      </c>
      <c r="D70" s="13">
        <v>17651</v>
      </c>
      <c r="E70" s="70">
        <v>400</v>
      </c>
      <c r="F70" s="14" t="s">
        <v>402</v>
      </c>
      <c r="G70" s="11">
        <v>17735</v>
      </c>
      <c r="H70" s="67">
        <v>1050</v>
      </c>
      <c r="I70" s="12" t="s">
        <v>388</v>
      </c>
      <c r="J70" s="61">
        <v>17798</v>
      </c>
      <c r="K70" s="71">
        <v>250</v>
      </c>
      <c r="L70" s="62" t="s">
        <v>538</v>
      </c>
      <c r="M70" s="75"/>
      <c r="N70" s="73"/>
      <c r="O70" s="15"/>
    </row>
    <row r="71" spans="1:15" x14ac:dyDescent="0.25">
      <c r="A71" s="16"/>
      <c r="B71" s="49"/>
      <c r="C71" s="17" t="s">
        <v>15</v>
      </c>
      <c r="D71" s="13"/>
      <c r="E71" s="70"/>
      <c r="F71" s="14" t="s">
        <v>15</v>
      </c>
      <c r="G71" s="11"/>
      <c r="H71" s="67"/>
      <c r="I71" s="12" t="s">
        <v>43</v>
      </c>
      <c r="J71" s="61">
        <v>17799</v>
      </c>
      <c r="K71" s="71">
        <v>400</v>
      </c>
      <c r="L71" s="62"/>
      <c r="M71" s="75"/>
      <c r="N71" s="73"/>
      <c r="O71" s="15"/>
    </row>
    <row r="72" spans="1:15" x14ac:dyDescent="0.25">
      <c r="A72" s="16">
        <v>17565</v>
      </c>
      <c r="B72" s="49">
        <v>400</v>
      </c>
      <c r="C72" s="17"/>
      <c r="D72" s="13">
        <v>17652</v>
      </c>
      <c r="E72" s="70">
        <v>600</v>
      </c>
      <c r="F72" s="14" t="s">
        <v>516</v>
      </c>
      <c r="G72" s="11">
        <v>17736</v>
      </c>
      <c r="H72" s="67">
        <v>250</v>
      </c>
      <c r="I72" s="12" t="s">
        <v>525</v>
      </c>
      <c r="J72" s="61">
        <v>17800</v>
      </c>
      <c r="K72" s="71">
        <v>250</v>
      </c>
      <c r="L72" s="62" t="s">
        <v>538</v>
      </c>
      <c r="M72" s="75"/>
      <c r="N72" s="73"/>
      <c r="O72" s="15"/>
    </row>
    <row r="73" spans="1:15" x14ac:dyDescent="0.25">
      <c r="A73" s="16">
        <v>17566</v>
      </c>
      <c r="B73" s="49">
        <v>60</v>
      </c>
      <c r="C73" s="17" t="s">
        <v>458</v>
      </c>
      <c r="D73" s="13"/>
      <c r="E73" s="70"/>
      <c r="F73" s="14" t="s">
        <v>391</v>
      </c>
      <c r="G73" s="11">
        <v>17737</v>
      </c>
      <c r="H73" s="67">
        <v>600</v>
      </c>
      <c r="I73" s="12" t="s">
        <v>528</v>
      </c>
      <c r="J73" s="61">
        <v>17801</v>
      </c>
      <c r="K73" s="71">
        <v>250</v>
      </c>
      <c r="L73" s="62" t="s">
        <v>538</v>
      </c>
      <c r="M73" s="75"/>
      <c r="N73" s="73"/>
      <c r="O73" s="15"/>
    </row>
    <row r="74" spans="1:15" x14ac:dyDescent="0.25">
      <c r="A74" s="16">
        <v>17567</v>
      </c>
      <c r="B74" s="49">
        <v>250</v>
      </c>
      <c r="C74" s="17"/>
      <c r="D74" s="13">
        <v>17653</v>
      </c>
      <c r="E74" s="70">
        <v>400</v>
      </c>
      <c r="F74" s="14"/>
      <c r="G74" s="11"/>
      <c r="H74" s="67"/>
      <c r="I74" s="12" t="s">
        <v>23</v>
      </c>
      <c r="J74" s="61">
        <v>17802</v>
      </c>
      <c r="K74" s="71">
        <v>600</v>
      </c>
      <c r="L74" s="62" t="s">
        <v>372</v>
      </c>
      <c r="M74" s="75"/>
      <c r="N74" s="73"/>
      <c r="O74" s="15"/>
    </row>
    <row r="75" spans="1:15" x14ac:dyDescent="0.25">
      <c r="A75" s="16">
        <v>17568</v>
      </c>
      <c r="B75" s="49">
        <v>60</v>
      </c>
      <c r="C75" s="17" t="s">
        <v>467</v>
      </c>
      <c r="D75" s="13">
        <v>17654</v>
      </c>
      <c r="E75" s="70">
        <v>400</v>
      </c>
      <c r="F75" s="14" t="s">
        <v>336</v>
      </c>
      <c r="G75" s="11">
        <v>17738</v>
      </c>
      <c r="H75" s="67">
        <v>400</v>
      </c>
      <c r="I75" s="12" t="s">
        <v>336</v>
      </c>
      <c r="J75" s="61"/>
      <c r="K75" s="71"/>
      <c r="L75" s="62" t="s">
        <v>546</v>
      </c>
      <c r="M75" s="75"/>
      <c r="N75" s="73"/>
      <c r="O75" s="15"/>
    </row>
    <row r="76" spans="1:15" x14ac:dyDescent="0.25">
      <c r="A76" s="16">
        <v>17569</v>
      </c>
      <c r="B76" s="49">
        <v>40</v>
      </c>
      <c r="C76" s="17" t="s">
        <v>458</v>
      </c>
      <c r="D76" s="13">
        <v>17655</v>
      </c>
      <c r="E76" s="70">
        <v>400</v>
      </c>
      <c r="F76" s="14"/>
      <c r="G76" s="11">
        <v>17739</v>
      </c>
      <c r="H76" s="67">
        <v>250</v>
      </c>
      <c r="I76" s="12" t="s">
        <v>525</v>
      </c>
      <c r="J76" s="61">
        <v>17803</v>
      </c>
      <c r="K76" s="71">
        <v>600</v>
      </c>
      <c r="L76" s="62" t="s">
        <v>372</v>
      </c>
      <c r="M76" s="75"/>
      <c r="N76" s="73"/>
      <c r="O76" s="15"/>
    </row>
    <row r="77" spans="1:15" x14ac:dyDescent="0.25">
      <c r="A77" s="16">
        <v>17570</v>
      </c>
      <c r="B77" s="49">
        <v>40</v>
      </c>
      <c r="C77" s="17" t="s">
        <v>458</v>
      </c>
      <c r="D77" s="13">
        <v>17656</v>
      </c>
      <c r="E77" s="70">
        <v>400</v>
      </c>
      <c r="F77" s="14" t="s">
        <v>328</v>
      </c>
      <c r="G77" s="11">
        <v>17740</v>
      </c>
      <c r="H77" s="67">
        <v>250</v>
      </c>
      <c r="I77" s="12" t="s">
        <v>525</v>
      </c>
      <c r="J77" s="61"/>
      <c r="K77" s="71"/>
      <c r="L77" s="62" t="s">
        <v>23</v>
      </c>
      <c r="M77" s="75"/>
      <c r="N77" s="73"/>
      <c r="O77" s="15"/>
    </row>
    <row r="78" spans="1:15" x14ac:dyDescent="0.25">
      <c r="A78" s="16">
        <v>17571</v>
      </c>
      <c r="B78" s="49">
        <v>1200</v>
      </c>
      <c r="C78" s="17" t="s">
        <v>454</v>
      </c>
      <c r="D78" s="13"/>
      <c r="E78" s="70"/>
      <c r="F78" s="14" t="s">
        <v>15</v>
      </c>
      <c r="G78" s="11">
        <v>17741</v>
      </c>
      <c r="H78" s="67">
        <v>200</v>
      </c>
      <c r="I78" s="12" t="s">
        <v>336</v>
      </c>
      <c r="J78" s="61">
        <v>17804</v>
      </c>
      <c r="K78" s="71">
        <v>250</v>
      </c>
      <c r="L78" s="62" t="s">
        <v>538</v>
      </c>
      <c r="M78" s="75"/>
      <c r="N78" s="73"/>
      <c r="O78" s="15"/>
    </row>
    <row r="79" spans="1:15" x14ac:dyDescent="0.25">
      <c r="A79" s="16"/>
      <c r="B79" s="49"/>
      <c r="C79" s="17" t="s">
        <v>23</v>
      </c>
      <c r="D79" s="13">
        <v>17657</v>
      </c>
      <c r="E79" s="70">
        <v>400</v>
      </c>
      <c r="F79" s="14" t="s">
        <v>517</v>
      </c>
      <c r="G79" s="11">
        <v>17742</v>
      </c>
      <c r="H79" s="67">
        <v>50</v>
      </c>
      <c r="I79" s="12" t="s">
        <v>110</v>
      </c>
      <c r="J79" s="61">
        <v>17805</v>
      </c>
      <c r="K79" s="71">
        <v>450</v>
      </c>
      <c r="L79" s="62" t="s">
        <v>547</v>
      </c>
      <c r="M79" s="75"/>
      <c r="N79" s="73"/>
      <c r="O79" s="15"/>
    </row>
    <row r="80" spans="1:15" x14ac:dyDescent="0.25">
      <c r="A80" s="16">
        <v>17572</v>
      </c>
      <c r="B80" s="49">
        <v>480</v>
      </c>
      <c r="C80" s="17" t="s">
        <v>481</v>
      </c>
      <c r="D80" s="13"/>
      <c r="E80" s="70"/>
      <c r="F80" s="14" t="s">
        <v>15</v>
      </c>
      <c r="G80" s="11">
        <v>17743</v>
      </c>
      <c r="H80" s="67">
        <v>1800</v>
      </c>
      <c r="I80" s="12" t="s">
        <v>392</v>
      </c>
      <c r="J80" s="61">
        <v>17806</v>
      </c>
      <c r="K80" s="71">
        <v>250</v>
      </c>
      <c r="L80" s="62" t="s">
        <v>538</v>
      </c>
      <c r="M80" s="75"/>
      <c r="N80" s="73"/>
      <c r="O80" s="15"/>
    </row>
    <row r="81" spans="1:15" x14ac:dyDescent="0.25">
      <c r="A81" s="16"/>
      <c r="B81" s="49"/>
      <c r="C81" s="17" t="s">
        <v>482</v>
      </c>
      <c r="D81" s="13">
        <v>17658</v>
      </c>
      <c r="E81" s="70">
        <v>1600</v>
      </c>
      <c r="F81" s="14" t="s">
        <v>370</v>
      </c>
      <c r="G81" s="11"/>
      <c r="H81" s="67"/>
      <c r="I81" s="12" t="s">
        <v>529</v>
      </c>
      <c r="J81" s="61">
        <v>17807</v>
      </c>
      <c r="K81" s="71">
        <v>300</v>
      </c>
      <c r="L81" s="62"/>
      <c r="M81" s="75"/>
      <c r="N81" s="73"/>
      <c r="O81" s="15"/>
    </row>
    <row r="82" spans="1:15" x14ac:dyDescent="0.25">
      <c r="A82" s="16">
        <v>17573</v>
      </c>
      <c r="B82" s="49">
        <v>400</v>
      </c>
      <c r="C82" s="17"/>
      <c r="D82" s="13"/>
      <c r="E82" s="70"/>
      <c r="F82" s="14" t="s">
        <v>20</v>
      </c>
      <c r="G82" s="11">
        <v>17744</v>
      </c>
      <c r="H82" s="67">
        <v>250</v>
      </c>
      <c r="I82" s="12" t="s">
        <v>525</v>
      </c>
      <c r="J82" s="61"/>
      <c r="K82" s="71"/>
      <c r="L82" s="62"/>
      <c r="M82" s="75"/>
      <c r="N82" s="73"/>
      <c r="O82" s="15"/>
    </row>
    <row r="83" spans="1:15" x14ac:dyDescent="0.25">
      <c r="A83" s="16">
        <v>17574</v>
      </c>
      <c r="B83" s="49">
        <v>20</v>
      </c>
      <c r="C83" s="17" t="s">
        <v>478</v>
      </c>
      <c r="D83" s="13">
        <v>17659</v>
      </c>
      <c r="E83" s="70">
        <v>200</v>
      </c>
      <c r="F83" s="14" t="s">
        <v>514</v>
      </c>
      <c r="G83" s="11">
        <v>17745</v>
      </c>
      <c r="H83" s="67">
        <v>200</v>
      </c>
      <c r="I83" s="12" t="s">
        <v>514</v>
      </c>
      <c r="J83" s="61"/>
      <c r="K83" s="71"/>
      <c r="L83" s="62"/>
      <c r="M83" s="75"/>
      <c r="N83" s="73"/>
      <c r="O83" s="15"/>
    </row>
    <row r="84" spans="1:15" x14ac:dyDescent="0.25">
      <c r="A84" s="16">
        <v>17575</v>
      </c>
      <c r="B84" s="49">
        <v>860</v>
      </c>
      <c r="C84" s="17" t="s">
        <v>456</v>
      </c>
      <c r="D84" s="13">
        <v>17660</v>
      </c>
      <c r="E84" s="70">
        <v>1200</v>
      </c>
      <c r="F84" s="14" t="s">
        <v>388</v>
      </c>
      <c r="G84" s="11">
        <v>17746</v>
      </c>
      <c r="H84" s="120">
        <v>200</v>
      </c>
      <c r="I84" s="12" t="s">
        <v>525</v>
      </c>
      <c r="J84" s="61"/>
      <c r="K84" s="71"/>
      <c r="L84" s="62"/>
      <c r="M84" s="75"/>
      <c r="N84" s="73"/>
      <c r="O84" s="15"/>
    </row>
    <row r="85" spans="1:15" x14ac:dyDescent="0.25">
      <c r="A85" s="16"/>
      <c r="B85" s="49"/>
      <c r="C85" s="17" t="s">
        <v>483</v>
      </c>
      <c r="D85" s="13"/>
      <c r="E85" s="70"/>
      <c r="F85" s="14" t="s">
        <v>20</v>
      </c>
      <c r="G85" s="11">
        <v>17747</v>
      </c>
      <c r="H85" s="67">
        <v>120</v>
      </c>
      <c r="I85" s="12" t="s">
        <v>530</v>
      </c>
      <c r="J85" s="61"/>
      <c r="K85" s="71"/>
      <c r="L85" s="62"/>
      <c r="M85" s="75"/>
      <c r="N85" s="73"/>
      <c r="O85" s="15"/>
    </row>
    <row r="86" spans="1:15" x14ac:dyDescent="0.25">
      <c r="A86" s="16">
        <v>17576</v>
      </c>
      <c r="B86" s="49">
        <v>300</v>
      </c>
      <c r="C86" s="17"/>
      <c r="D86" s="13">
        <v>17661</v>
      </c>
      <c r="E86" s="70">
        <v>800</v>
      </c>
      <c r="F86" s="14" t="s">
        <v>518</v>
      </c>
      <c r="G86" s="11">
        <v>17748</v>
      </c>
      <c r="H86" s="67">
        <v>300</v>
      </c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17577</v>
      </c>
      <c r="B87" s="49">
        <v>600</v>
      </c>
      <c r="C87" s="17" t="s">
        <v>468</v>
      </c>
      <c r="D87" s="13"/>
      <c r="E87" s="70"/>
      <c r="F87" s="14" t="s">
        <v>20</v>
      </c>
      <c r="G87" s="11">
        <v>17749</v>
      </c>
      <c r="H87" s="67">
        <v>4400</v>
      </c>
      <c r="I87" s="12" t="s">
        <v>527</v>
      </c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 t="s">
        <v>23</v>
      </c>
      <c r="D88" s="13">
        <v>17662</v>
      </c>
      <c r="E88" s="70">
        <v>1200</v>
      </c>
      <c r="F88" s="14" t="s">
        <v>388</v>
      </c>
      <c r="G88" s="11">
        <v>17750</v>
      </c>
      <c r="H88" s="67">
        <v>250</v>
      </c>
      <c r="I88" s="12" t="s">
        <v>531</v>
      </c>
      <c r="J88" s="61"/>
      <c r="K88" s="71"/>
      <c r="L88" s="62"/>
      <c r="M88" s="75"/>
      <c r="N88" s="73"/>
      <c r="O88" s="15"/>
    </row>
    <row r="89" spans="1:15" x14ac:dyDescent="0.25">
      <c r="A89" s="16">
        <v>17578</v>
      </c>
      <c r="B89" s="49">
        <v>120</v>
      </c>
      <c r="C89" s="17" t="s">
        <v>484</v>
      </c>
      <c r="D89" s="13"/>
      <c r="E89" s="70"/>
      <c r="F89" s="14" t="s">
        <v>20</v>
      </c>
      <c r="G89" s="26"/>
      <c r="H89" s="74"/>
      <c r="I89" s="58"/>
      <c r="J89" s="26"/>
      <c r="K89" s="74"/>
      <c r="L89" s="58"/>
      <c r="M89" s="26"/>
      <c r="N89" s="74"/>
      <c r="O89" s="58"/>
    </row>
    <row r="90" spans="1:15" x14ac:dyDescent="0.25">
      <c r="A90" s="16">
        <v>17579</v>
      </c>
      <c r="B90" s="49">
        <v>300</v>
      </c>
      <c r="C90" s="17"/>
      <c r="D90" s="13">
        <v>17663</v>
      </c>
      <c r="E90" s="70">
        <v>20</v>
      </c>
      <c r="F90" s="14" t="s">
        <v>458</v>
      </c>
      <c r="G90" s="26"/>
      <c r="H90" s="74"/>
      <c r="I90" s="58"/>
      <c r="J90" s="26"/>
      <c r="K90" s="74"/>
      <c r="L90" s="58"/>
      <c r="M90" s="26"/>
      <c r="N90" s="74"/>
      <c r="O90" s="58"/>
    </row>
    <row r="91" spans="1:15" x14ac:dyDescent="0.25">
      <c r="A91" s="16">
        <v>17580</v>
      </c>
      <c r="B91" s="49">
        <v>2060</v>
      </c>
      <c r="C91" s="17" t="s">
        <v>485</v>
      </c>
      <c r="D91" s="13">
        <v>17664</v>
      </c>
      <c r="E91" s="70">
        <v>40</v>
      </c>
      <c r="F91" s="14" t="s">
        <v>499</v>
      </c>
      <c r="G91" s="26"/>
      <c r="H91" s="74"/>
      <c r="I91" s="58"/>
      <c r="J91" s="26"/>
      <c r="K91" s="74"/>
      <c r="L91" s="58"/>
      <c r="M91" s="26"/>
      <c r="N91" s="74"/>
      <c r="O91" s="58"/>
    </row>
    <row r="92" spans="1:15" x14ac:dyDescent="0.25">
      <c r="A92" s="16"/>
      <c r="B92" s="49"/>
      <c r="C92" s="17" t="s">
        <v>483</v>
      </c>
      <c r="D92" s="13">
        <v>17665</v>
      </c>
      <c r="E92" s="70">
        <v>250</v>
      </c>
      <c r="F92" s="14" t="s">
        <v>519</v>
      </c>
      <c r="G92" s="26"/>
      <c r="H92" s="74"/>
      <c r="I92" s="58"/>
      <c r="J92" s="26"/>
      <c r="K92" s="74"/>
      <c r="L92" s="58"/>
      <c r="M92" s="58"/>
      <c r="N92" s="58"/>
      <c r="O92" s="58"/>
    </row>
    <row r="93" spans="1:15" x14ac:dyDescent="0.25">
      <c r="A93" s="16">
        <v>17581</v>
      </c>
      <c r="B93" s="49">
        <v>300</v>
      </c>
      <c r="C93" s="17"/>
      <c r="D93" s="13">
        <v>17666</v>
      </c>
      <c r="E93" s="70">
        <v>200</v>
      </c>
      <c r="F93" s="14"/>
      <c r="G93" s="26"/>
      <c r="H93" s="74"/>
      <c r="I93" s="58"/>
      <c r="J93" s="26"/>
      <c r="K93" s="74"/>
      <c r="L93" s="58"/>
      <c r="M93" s="58"/>
      <c r="N93" s="58"/>
      <c r="O93" s="58"/>
    </row>
    <row r="94" spans="1:15" x14ac:dyDescent="0.25">
      <c r="A94" s="16">
        <v>17582</v>
      </c>
      <c r="B94" s="49">
        <v>60</v>
      </c>
      <c r="C94" s="17" t="s">
        <v>467</v>
      </c>
      <c r="D94" s="13">
        <v>17667</v>
      </c>
      <c r="E94" s="70">
        <v>250</v>
      </c>
      <c r="F94" s="14" t="s">
        <v>519</v>
      </c>
      <c r="G94" s="26"/>
      <c r="H94" s="74"/>
      <c r="I94" s="58"/>
      <c r="J94" s="26"/>
      <c r="K94" s="74"/>
      <c r="L94" s="58"/>
      <c r="M94" s="58"/>
      <c r="N94" s="58"/>
      <c r="O94" s="58"/>
    </row>
    <row r="95" spans="1:15" x14ac:dyDescent="0.25">
      <c r="A95" s="16">
        <v>17583</v>
      </c>
      <c r="B95" s="49">
        <v>1220</v>
      </c>
      <c r="C95" s="17" t="s">
        <v>473</v>
      </c>
      <c r="D95" s="13">
        <v>17668</v>
      </c>
      <c r="E95" s="70">
        <v>200</v>
      </c>
      <c r="F95" s="14"/>
      <c r="G95" s="26"/>
      <c r="H95" s="74"/>
      <c r="I95" s="58"/>
      <c r="J95" s="26"/>
      <c r="K95" s="74"/>
      <c r="L95" s="58"/>
      <c r="M95" s="58"/>
      <c r="N95" s="58"/>
      <c r="O95" s="58"/>
    </row>
    <row r="96" spans="1:15" x14ac:dyDescent="0.25">
      <c r="A96" s="16"/>
      <c r="B96" s="49"/>
      <c r="C96" s="17" t="s">
        <v>486</v>
      </c>
      <c r="D96" s="13">
        <v>17669</v>
      </c>
      <c r="E96" s="70">
        <v>250</v>
      </c>
      <c r="F96" s="14" t="s">
        <v>519</v>
      </c>
      <c r="G96" s="26"/>
      <c r="H96" s="74"/>
      <c r="I96" s="58"/>
      <c r="J96" s="26"/>
      <c r="K96" s="74"/>
      <c r="L96" s="58"/>
      <c r="M96" s="58"/>
      <c r="N96" s="58"/>
      <c r="O96" s="58"/>
    </row>
    <row r="97" spans="1:15" x14ac:dyDescent="0.25">
      <c r="A97" s="16">
        <v>17584</v>
      </c>
      <c r="B97" s="49"/>
      <c r="C97" s="17" t="s">
        <v>343</v>
      </c>
      <c r="D97" s="13">
        <v>17670</v>
      </c>
      <c r="E97" s="70">
        <v>250</v>
      </c>
      <c r="F97" s="14" t="s">
        <v>519</v>
      </c>
      <c r="G97" s="26"/>
      <c r="H97" s="74"/>
      <c r="I97" s="58"/>
      <c r="J97" s="26"/>
      <c r="K97" s="74"/>
      <c r="L97" s="58"/>
      <c r="M97" s="58"/>
      <c r="N97" s="58"/>
      <c r="O97" s="58"/>
    </row>
    <row r="98" spans="1:15" x14ac:dyDescent="0.25">
      <c r="A98" s="16">
        <v>17585</v>
      </c>
      <c r="B98" s="49">
        <v>400</v>
      </c>
      <c r="C98" s="17"/>
      <c r="D98" s="13">
        <v>17671</v>
      </c>
      <c r="E98" s="70">
        <v>500</v>
      </c>
      <c r="F98" s="14" t="s">
        <v>372</v>
      </c>
      <c r="G98" s="26"/>
      <c r="H98" s="74"/>
      <c r="I98" s="58"/>
      <c r="J98" s="26"/>
      <c r="K98" s="74"/>
      <c r="L98" s="58"/>
      <c r="M98" s="58"/>
      <c r="N98" s="58"/>
      <c r="O98" s="58"/>
    </row>
    <row r="99" spans="1:15" x14ac:dyDescent="0.25">
      <c r="A99" s="16">
        <v>17586</v>
      </c>
      <c r="B99" s="49"/>
      <c r="C99" s="17" t="s">
        <v>343</v>
      </c>
      <c r="D99" s="13"/>
      <c r="E99" s="70"/>
      <c r="F99" s="14" t="s">
        <v>69</v>
      </c>
      <c r="G99" s="26"/>
      <c r="H99" s="74"/>
      <c r="I99" s="58"/>
      <c r="J99" s="26"/>
      <c r="K99" s="74"/>
      <c r="L99" s="58"/>
      <c r="M99" s="58"/>
      <c r="N99" s="58"/>
      <c r="O99" s="58"/>
    </row>
    <row r="100" spans="1:15" x14ac:dyDescent="0.25">
      <c r="A100" s="16">
        <v>17587</v>
      </c>
      <c r="B100" s="49">
        <v>340</v>
      </c>
      <c r="C100" s="17" t="s">
        <v>487</v>
      </c>
      <c r="D100" s="13">
        <v>17672</v>
      </c>
      <c r="E100" s="70">
        <v>300</v>
      </c>
      <c r="F100" s="14" t="s">
        <v>330</v>
      </c>
      <c r="G100" s="26"/>
      <c r="H100" s="74"/>
      <c r="I100" s="58"/>
      <c r="J100" s="26"/>
      <c r="K100" s="74"/>
      <c r="L100" s="58"/>
      <c r="M100" s="58"/>
      <c r="N100" s="58"/>
      <c r="O100" s="58"/>
    </row>
    <row r="101" spans="1:15" x14ac:dyDescent="0.25">
      <c r="A101" s="16">
        <v>17588</v>
      </c>
      <c r="B101" s="49">
        <v>470</v>
      </c>
      <c r="C101" s="17" t="s">
        <v>488</v>
      </c>
      <c r="D101" s="13">
        <v>17673</v>
      </c>
      <c r="E101" s="70">
        <v>250</v>
      </c>
      <c r="F101" s="14" t="s">
        <v>519</v>
      </c>
      <c r="G101" s="26"/>
      <c r="H101" s="74"/>
      <c r="I101" s="58"/>
      <c r="J101" s="26"/>
      <c r="K101" s="74"/>
      <c r="L101" s="58"/>
      <c r="M101" s="58"/>
      <c r="N101" s="58"/>
      <c r="O101" s="58"/>
    </row>
    <row r="102" spans="1:15" x14ac:dyDescent="0.25">
      <c r="A102" s="16"/>
      <c r="B102" s="49"/>
      <c r="C102" s="17" t="s">
        <v>476</v>
      </c>
      <c r="D102" s="13">
        <v>17374</v>
      </c>
      <c r="E102" s="70">
        <v>400</v>
      </c>
      <c r="F102" s="14" t="s">
        <v>520</v>
      </c>
      <c r="G102" s="26"/>
      <c r="H102" s="74"/>
      <c r="I102" s="58"/>
      <c r="J102" s="26"/>
      <c r="K102" s="74"/>
      <c r="L102" s="58"/>
      <c r="M102" s="58"/>
      <c r="N102" s="58"/>
      <c r="O102" s="58"/>
    </row>
    <row r="103" spans="1:15" x14ac:dyDescent="0.25">
      <c r="A103" s="16">
        <v>17589</v>
      </c>
      <c r="B103" s="49">
        <v>600</v>
      </c>
      <c r="C103" s="17" t="s">
        <v>468</v>
      </c>
      <c r="D103" s="13"/>
      <c r="E103" s="70"/>
      <c r="F103" s="14" t="s">
        <v>15</v>
      </c>
      <c r="G103" s="26"/>
      <c r="H103" s="74"/>
      <c r="I103" s="58"/>
      <c r="J103" s="26"/>
      <c r="K103" s="58"/>
      <c r="L103" s="58"/>
      <c r="M103" s="58"/>
      <c r="N103" s="58"/>
      <c r="O103" s="58"/>
    </row>
    <row r="104" spans="1:15" x14ac:dyDescent="0.25">
      <c r="A104" s="16"/>
      <c r="B104" s="49"/>
      <c r="C104" s="17" t="s">
        <v>23</v>
      </c>
      <c r="D104" s="13">
        <v>17675</v>
      </c>
      <c r="E104" s="70">
        <v>420</v>
      </c>
      <c r="F104" s="14" t="s">
        <v>521</v>
      </c>
      <c r="G104" s="26"/>
      <c r="H104" s="74"/>
      <c r="I104" s="58"/>
      <c r="J104" s="26"/>
      <c r="K104" s="58"/>
      <c r="L104" s="58"/>
      <c r="M104" s="58"/>
      <c r="N104" s="58"/>
      <c r="O104" s="58"/>
    </row>
    <row r="105" spans="1:15" x14ac:dyDescent="0.25">
      <c r="A105" s="16">
        <v>17590</v>
      </c>
      <c r="B105" s="49">
        <v>220</v>
      </c>
      <c r="C105" s="17" t="s">
        <v>470</v>
      </c>
      <c r="D105" s="13">
        <v>17676</v>
      </c>
      <c r="E105" s="70">
        <v>300</v>
      </c>
      <c r="F105" s="14" t="s">
        <v>336</v>
      </c>
      <c r="G105" s="26"/>
      <c r="H105" s="74"/>
      <c r="I105" s="58"/>
      <c r="J105" s="26"/>
      <c r="K105" s="58"/>
      <c r="L105" s="58"/>
      <c r="M105" s="58"/>
      <c r="N105" s="58"/>
      <c r="O105" s="58"/>
    </row>
    <row r="106" spans="1:15" x14ac:dyDescent="0.25">
      <c r="A106" s="16">
        <v>17591</v>
      </c>
      <c r="B106" s="49">
        <v>120</v>
      </c>
      <c r="C106" s="17" t="s">
        <v>484</v>
      </c>
      <c r="D106" s="13">
        <v>17677</v>
      </c>
      <c r="E106" s="70">
        <v>290</v>
      </c>
      <c r="F106" s="14" t="s">
        <v>522</v>
      </c>
      <c r="G106" s="26"/>
      <c r="H106" s="74"/>
      <c r="I106" s="58"/>
      <c r="J106" s="26"/>
      <c r="K106" s="58"/>
      <c r="L106" s="58"/>
      <c r="M106" s="58"/>
      <c r="N106" s="58"/>
      <c r="O106" s="58"/>
    </row>
    <row r="107" spans="1:15" x14ac:dyDescent="0.25">
      <c r="A107" s="16">
        <v>17592</v>
      </c>
      <c r="B107" s="49">
        <v>20</v>
      </c>
      <c r="C107" s="17" t="s">
        <v>478</v>
      </c>
      <c r="D107" s="13">
        <v>17678</v>
      </c>
      <c r="E107" s="70">
        <v>250</v>
      </c>
      <c r="F107" s="14" t="s">
        <v>523</v>
      </c>
      <c r="G107" s="26"/>
      <c r="H107" s="74"/>
      <c r="I107" s="58"/>
      <c r="J107" s="26"/>
      <c r="K107" s="58"/>
      <c r="L107" s="58"/>
      <c r="M107" s="58"/>
      <c r="N107" s="58"/>
      <c r="O107" s="58"/>
    </row>
    <row r="108" spans="1:15" x14ac:dyDescent="0.25">
      <c r="A108" s="16">
        <v>17593</v>
      </c>
      <c r="B108" s="49">
        <v>440</v>
      </c>
      <c r="C108" s="17" t="s">
        <v>487</v>
      </c>
      <c r="D108" s="13">
        <v>17679</v>
      </c>
      <c r="E108" s="70">
        <v>400</v>
      </c>
      <c r="F108" s="14" t="s">
        <v>336</v>
      </c>
      <c r="G108" s="26"/>
      <c r="H108" s="74"/>
      <c r="I108" s="58"/>
      <c r="J108" s="26"/>
      <c r="K108" s="58"/>
      <c r="L108" s="58"/>
      <c r="M108" s="58"/>
      <c r="N108" s="58"/>
      <c r="O108" s="58"/>
    </row>
    <row r="109" spans="1:15" x14ac:dyDescent="0.25">
      <c r="A109" s="16">
        <v>17594</v>
      </c>
      <c r="B109" s="49">
        <v>40</v>
      </c>
      <c r="C109" s="17" t="s">
        <v>458</v>
      </c>
      <c r="D109" s="13">
        <v>17680</v>
      </c>
      <c r="E109" s="70">
        <v>250</v>
      </c>
      <c r="F109" s="14" t="s">
        <v>524</v>
      </c>
      <c r="G109" s="26"/>
      <c r="H109" s="74"/>
      <c r="I109" s="58"/>
      <c r="J109" s="26"/>
      <c r="K109" s="58"/>
      <c r="L109" s="58"/>
      <c r="M109" s="58"/>
      <c r="N109" s="58"/>
      <c r="O109" s="58"/>
    </row>
    <row r="110" spans="1:15" x14ac:dyDescent="0.25">
      <c r="A110" s="16">
        <v>17595</v>
      </c>
      <c r="B110" s="49">
        <v>1560</v>
      </c>
      <c r="C110" s="17" t="s">
        <v>457</v>
      </c>
      <c r="D110" s="26"/>
      <c r="E110" s="74"/>
      <c r="F110" s="58"/>
      <c r="G110" s="26"/>
      <c r="H110" s="74"/>
      <c r="I110" s="58"/>
      <c r="J110" s="26"/>
      <c r="K110" s="58"/>
      <c r="L110" s="58"/>
      <c r="M110" s="58"/>
      <c r="N110" s="58"/>
      <c r="O110" s="58"/>
    </row>
    <row r="111" spans="1:15" x14ac:dyDescent="0.25">
      <c r="A111" s="16"/>
      <c r="B111" s="49"/>
      <c r="C111" s="17" t="s">
        <v>489</v>
      </c>
      <c r="D111" s="26"/>
      <c r="E111" s="74"/>
      <c r="F111" s="58"/>
      <c r="G111" s="26"/>
      <c r="H111" s="74"/>
      <c r="I111" s="58"/>
      <c r="J111" s="26"/>
      <c r="K111" s="58"/>
      <c r="L111" s="58"/>
      <c r="M111" s="58"/>
      <c r="N111" s="58"/>
      <c r="O111" s="58"/>
    </row>
    <row r="112" spans="1:15" x14ac:dyDescent="0.25">
      <c r="A112" s="16">
        <v>17596</v>
      </c>
      <c r="B112" s="49">
        <v>70</v>
      </c>
      <c r="C112" s="17" t="s">
        <v>490</v>
      </c>
      <c r="D112" s="26"/>
      <c r="E112" s="74"/>
      <c r="F112" s="58"/>
      <c r="G112" s="26"/>
      <c r="H112" s="74"/>
      <c r="I112" s="58"/>
      <c r="J112" s="26"/>
      <c r="K112" s="58"/>
      <c r="L112" s="58"/>
      <c r="M112" s="58"/>
      <c r="N112" s="58"/>
      <c r="O112" s="58"/>
    </row>
    <row r="113" spans="1:15" x14ac:dyDescent="0.25">
      <c r="A113" s="16">
        <v>17597</v>
      </c>
      <c r="B113" s="49">
        <v>440</v>
      </c>
      <c r="C113" s="17" t="s">
        <v>491</v>
      </c>
      <c r="D113" s="26"/>
      <c r="E113" s="74"/>
      <c r="F113" s="58"/>
      <c r="G113" s="26"/>
      <c r="H113" s="74"/>
      <c r="I113" s="58"/>
      <c r="J113" s="26"/>
      <c r="K113" s="58"/>
      <c r="L113" s="58"/>
      <c r="M113" s="58"/>
      <c r="N113" s="58"/>
      <c r="O113" s="58"/>
    </row>
    <row r="114" spans="1:15" x14ac:dyDescent="0.25">
      <c r="A114" s="16">
        <v>17598</v>
      </c>
      <c r="B114" s="49">
        <v>600</v>
      </c>
      <c r="C114" s="17" t="s">
        <v>492</v>
      </c>
      <c r="D114" s="26"/>
      <c r="E114" s="74"/>
      <c r="F114" s="58"/>
      <c r="G114" s="26"/>
      <c r="H114" s="74"/>
      <c r="I114" s="58"/>
      <c r="J114" s="26"/>
      <c r="K114" s="58"/>
      <c r="L114" s="58"/>
      <c r="M114" s="58"/>
      <c r="N114" s="58"/>
      <c r="O114" s="58"/>
    </row>
    <row r="115" spans="1:15" x14ac:dyDescent="0.25">
      <c r="A115" s="16"/>
      <c r="B115" s="49"/>
      <c r="C115" s="17" t="s">
        <v>493</v>
      </c>
      <c r="D115" s="26"/>
      <c r="E115" s="74"/>
      <c r="F115" s="58"/>
      <c r="G115" s="26"/>
      <c r="H115" s="74"/>
      <c r="I115" s="58"/>
      <c r="J115" s="26"/>
      <c r="K115" s="58"/>
      <c r="L115" s="58"/>
      <c r="M115" s="58"/>
      <c r="N115" s="58"/>
      <c r="O115" s="58"/>
    </row>
    <row r="116" spans="1:15" x14ac:dyDescent="0.25">
      <c r="A116" s="16">
        <v>17599</v>
      </c>
      <c r="B116" s="49">
        <v>70</v>
      </c>
      <c r="C116" s="17" t="s">
        <v>490</v>
      </c>
      <c r="D116" s="26"/>
      <c r="E116" s="74"/>
      <c r="F116" s="58"/>
      <c r="G116" s="26"/>
      <c r="H116" s="74"/>
      <c r="I116" s="58"/>
      <c r="J116" s="26"/>
      <c r="K116" s="58"/>
      <c r="L116" s="58"/>
      <c r="M116" s="58"/>
      <c r="N116" s="58"/>
      <c r="O116" s="58"/>
    </row>
    <row r="117" spans="1:15" x14ac:dyDescent="0.25">
      <c r="A117" s="16">
        <v>17600</v>
      </c>
      <c r="B117" s="49">
        <v>160</v>
      </c>
      <c r="C117" s="17" t="s">
        <v>494</v>
      </c>
      <c r="D117" s="26"/>
      <c r="E117" s="74"/>
      <c r="F117" s="58"/>
      <c r="G117" s="26"/>
      <c r="H117" s="74"/>
      <c r="I117" s="58"/>
      <c r="J117" s="26"/>
      <c r="K117" s="58"/>
      <c r="L117" s="58"/>
      <c r="M117" s="58"/>
      <c r="N117" s="58"/>
      <c r="O117" s="58"/>
    </row>
    <row r="118" spans="1:15" x14ac:dyDescent="0.25">
      <c r="A118" s="16">
        <v>17601</v>
      </c>
      <c r="B118" s="49">
        <v>480</v>
      </c>
      <c r="C118" s="17" t="s">
        <v>495</v>
      </c>
      <c r="D118" s="26"/>
      <c r="E118" s="74"/>
      <c r="F118" s="58"/>
      <c r="G118" s="26"/>
      <c r="H118" s="74"/>
      <c r="I118" s="58"/>
      <c r="J118" s="26"/>
      <c r="K118" s="58"/>
      <c r="L118" s="58"/>
      <c r="M118" s="58"/>
      <c r="N118" s="58"/>
      <c r="O118" s="58"/>
    </row>
    <row r="119" spans="1:15" x14ac:dyDescent="0.25">
      <c r="A119" s="16">
        <v>17602</v>
      </c>
      <c r="B119" s="49">
        <v>300</v>
      </c>
      <c r="C119" s="17"/>
      <c r="D119" s="26"/>
      <c r="E119" s="58"/>
      <c r="F119" s="58"/>
      <c r="G119" s="26"/>
      <c r="H119" s="74"/>
      <c r="I119" s="58"/>
      <c r="J119" s="26"/>
      <c r="K119" s="58"/>
      <c r="L119" s="58"/>
      <c r="M119" s="58"/>
      <c r="N119" s="58"/>
      <c r="O119" s="58"/>
    </row>
    <row r="120" spans="1:15" x14ac:dyDescent="0.25">
      <c r="A120" s="16">
        <v>17603</v>
      </c>
      <c r="B120" s="49">
        <v>300</v>
      </c>
      <c r="C120" s="17" t="s">
        <v>460</v>
      </c>
      <c r="D120" s="26"/>
      <c r="E120" s="58"/>
      <c r="F120" s="58"/>
      <c r="G120" s="26"/>
      <c r="H120" s="74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74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74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abSelected="1" topLeftCell="A5" workbookViewId="0">
      <pane ySplit="3" topLeftCell="A19" activePane="bottomLeft" state="frozen"/>
      <selection activeCell="A5" sqref="A5"/>
      <selection pane="bottomLeft" activeCell="B19" sqref="B19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9.2851562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22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4" t="s">
        <v>11</v>
      </c>
      <c r="M1" s="12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25" t="s">
        <v>8</v>
      </c>
      <c r="D3" s="12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26" t="s">
        <v>0</v>
      </c>
      <c r="B5" s="126"/>
      <c r="C5" s="126"/>
      <c r="D5" s="127" t="s">
        <v>4</v>
      </c>
      <c r="E5" s="127"/>
      <c r="F5" s="127"/>
      <c r="G5" s="128" t="s">
        <v>5</v>
      </c>
      <c r="H5" s="128"/>
      <c r="I5" s="128"/>
      <c r="J5" s="133" t="s">
        <v>6</v>
      </c>
      <c r="K5" s="133"/>
      <c r="L5" s="133"/>
      <c r="M5" s="121" t="s">
        <v>12</v>
      </c>
      <c r="N5" s="121"/>
      <c r="O5" s="121"/>
      <c r="Q5" s="130" t="s">
        <v>13</v>
      </c>
      <c r="R5" s="130"/>
    </row>
    <row r="6" spans="1:18" x14ac:dyDescent="0.25">
      <c r="A6" s="8">
        <f>SUBTOTAL(3,A8:A121)</f>
        <v>49</v>
      </c>
      <c r="B6" s="8">
        <f>SUBTOTAL(9,B8:B121)</f>
        <v>29160</v>
      </c>
      <c r="C6" s="35">
        <v>43436</v>
      </c>
      <c r="D6" s="8">
        <f>SUBTOTAL(3,D8:D120)</f>
        <v>75</v>
      </c>
      <c r="E6" s="1">
        <f>SUBTOTAL(9,E8:E120)</f>
        <v>45565</v>
      </c>
      <c r="F6" s="38">
        <v>43443</v>
      </c>
      <c r="G6" s="8">
        <f>SUBTOTAL(3,G8:G121)</f>
        <v>54</v>
      </c>
      <c r="H6" s="1">
        <f>SUBTOTAL(9,H8:H121)</f>
        <v>29190</v>
      </c>
      <c r="I6" s="39">
        <v>43450</v>
      </c>
      <c r="J6" s="8">
        <f>SUBTOTAL(3,J8:J110)</f>
        <v>43</v>
      </c>
      <c r="K6" s="1">
        <f>SUBTOTAL(9,K8:K110)</f>
        <v>46390</v>
      </c>
      <c r="L6" s="63">
        <v>43457</v>
      </c>
      <c r="M6" s="1">
        <f>SUBTOTAL(3,M8:M120)</f>
        <v>31</v>
      </c>
      <c r="N6" s="1">
        <f>SUBTOTAL(9,N8:N120)</f>
        <v>27470</v>
      </c>
      <c r="O6" s="85">
        <v>43464</v>
      </c>
      <c r="Q6" s="30">
        <f>+A6+D6+G6+J6+M6</f>
        <v>252</v>
      </c>
      <c r="R6" s="29">
        <f>+B6+E6+H6+K6+N6</f>
        <v>177775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17821</v>
      </c>
      <c r="B8" s="49">
        <v>400</v>
      </c>
      <c r="C8" s="17"/>
      <c r="D8" s="13">
        <v>17969</v>
      </c>
      <c r="E8" s="104">
        <v>600</v>
      </c>
      <c r="F8" s="14" t="s">
        <v>571</v>
      </c>
      <c r="G8" s="11">
        <v>17944</v>
      </c>
      <c r="H8" s="67">
        <v>250</v>
      </c>
      <c r="I8" s="12" t="s">
        <v>575</v>
      </c>
      <c r="J8" s="61">
        <v>17998</v>
      </c>
      <c r="K8" s="71">
        <v>600</v>
      </c>
      <c r="L8" s="62"/>
      <c r="M8" s="75">
        <v>18041</v>
      </c>
      <c r="N8" s="73">
        <v>4650</v>
      </c>
      <c r="O8" s="15" t="s">
        <v>617</v>
      </c>
      <c r="Q8" s="32"/>
      <c r="R8" s="32"/>
    </row>
    <row r="9" spans="1:18" x14ac:dyDescent="0.25">
      <c r="A9" s="16">
        <v>17822</v>
      </c>
      <c r="B9" s="49">
        <v>1600</v>
      </c>
      <c r="C9" s="17" t="s">
        <v>552</v>
      </c>
      <c r="D9" s="13">
        <v>17970</v>
      </c>
      <c r="E9" s="104">
        <v>300</v>
      </c>
      <c r="F9" s="14" t="s">
        <v>528</v>
      </c>
      <c r="G9" s="11">
        <v>17945</v>
      </c>
      <c r="H9" s="67">
        <v>950</v>
      </c>
      <c r="I9" s="12" t="s">
        <v>595</v>
      </c>
      <c r="J9" s="61">
        <v>17999</v>
      </c>
      <c r="K9" s="71">
        <v>300</v>
      </c>
      <c r="L9" s="62"/>
      <c r="M9" s="75"/>
      <c r="N9" s="73"/>
      <c r="O9" s="15" t="s">
        <v>618</v>
      </c>
    </row>
    <row r="10" spans="1:18" x14ac:dyDescent="0.25">
      <c r="A10" s="16"/>
      <c r="B10" s="49"/>
      <c r="C10" s="17" t="s">
        <v>553</v>
      </c>
      <c r="D10" s="13"/>
      <c r="E10" s="104"/>
      <c r="F10" s="14" t="s">
        <v>36</v>
      </c>
      <c r="G10" s="11"/>
      <c r="H10" s="67"/>
      <c r="I10" s="12" t="s">
        <v>596</v>
      </c>
      <c r="J10" s="61">
        <v>18000</v>
      </c>
      <c r="K10" s="71">
        <v>800</v>
      </c>
      <c r="L10" s="62" t="s">
        <v>528</v>
      </c>
      <c r="M10" s="75"/>
      <c r="N10" s="73"/>
      <c r="O10" s="15" t="s">
        <v>619</v>
      </c>
    </row>
    <row r="11" spans="1:18" x14ac:dyDescent="0.25">
      <c r="A11" s="16">
        <v>17822</v>
      </c>
      <c r="B11" s="49">
        <v>250</v>
      </c>
      <c r="C11" s="17" t="s">
        <v>543</v>
      </c>
      <c r="D11" s="13">
        <v>17971</v>
      </c>
      <c r="E11" s="104">
        <v>300</v>
      </c>
      <c r="F11" s="14" t="s">
        <v>372</v>
      </c>
      <c r="G11" s="11">
        <v>17946</v>
      </c>
      <c r="H11" s="67">
        <v>250</v>
      </c>
      <c r="I11" s="12" t="s">
        <v>575</v>
      </c>
      <c r="J11" s="61"/>
      <c r="K11" s="62"/>
      <c r="L11" s="62" t="s">
        <v>20</v>
      </c>
      <c r="M11" s="75">
        <v>18042</v>
      </c>
      <c r="N11" s="73">
        <v>300</v>
      </c>
      <c r="O11" s="15"/>
    </row>
    <row r="12" spans="1:18" x14ac:dyDescent="0.25">
      <c r="A12" s="16">
        <v>17823</v>
      </c>
      <c r="B12" s="49">
        <v>550</v>
      </c>
      <c r="C12" s="17" t="s">
        <v>554</v>
      </c>
      <c r="D12" s="13"/>
      <c r="E12" s="104"/>
      <c r="F12" s="14" t="s">
        <v>36</v>
      </c>
      <c r="G12" s="11">
        <v>17947</v>
      </c>
      <c r="H12" s="67">
        <v>200</v>
      </c>
      <c r="I12" s="12" t="s">
        <v>597</v>
      </c>
      <c r="J12" s="61">
        <v>18001</v>
      </c>
      <c r="K12" s="71">
        <v>600</v>
      </c>
      <c r="L12" s="62" t="s">
        <v>372</v>
      </c>
      <c r="M12" s="75">
        <v>18043</v>
      </c>
      <c r="N12" s="73">
        <v>400</v>
      </c>
      <c r="O12" s="15" t="s">
        <v>528</v>
      </c>
    </row>
    <row r="13" spans="1:18" x14ac:dyDescent="0.25">
      <c r="A13" s="16"/>
      <c r="B13" s="49"/>
      <c r="C13" s="107">
        <v>250</v>
      </c>
      <c r="D13" s="13">
        <v>17972</v>
      </c>
      <c r="E13" s="104">
        <v>550</v>
      </c>
      <c r="F13" s="14" t="s">
        <v>572</v>
      </c>
      <c r="G13" s="11">
        <v>17948</v>
      </c>
      <c r="H13" s="67">
        <v>300</v>
      </c>
      <c r="I13" s="12"/>
      <c r="J13" s="61"/>
      <c r="K13" s="71"/>
      <c r="L13" s="62" t="s">
        <v>23</v>
      </c>
      <c r="M13" s="75"/>
      <c r="N13" s="73"/>
      <c r="O13" s="15" t="s">
        <v>15</v>
      </c>
    </row>
    <row r="14" spans="1:18" x14ac:dyDescent="0.25">
      <c r="A14" s="16">
        <v>17824</v>
      </c>
      <c r="B14" s="49">
        <v>1050</v>
      </c>
      <c r="C14" s="17" t="s">
        <v>535</v>
      </c>
      <c r="D14" s="13">
        <v>17973</v>
      </c>
      <c r="E14" s="104">
        <v>300</v>
      </c>
      <c r="F14" s="14" t="s">
        <v>573</v>
      </c>
      <c r="G14" s="11">
        <v>17949</v>
      </c>
      <c r="H14" s="67">
        <v>200</v>
      </c>
      <c r="I14" s="12" t="s">
        <v>598</v>
      </c>
      <c r="J14" s="61">
        <v>18002</v>
      </c>
      <c r="K14" s="71">
        <v>450</v>
      </c>
      <c r="L14" s="62" t="s">
        <v>610</v>
      </c>
      <c r="M14" s="75">
        <v>18044</v>
      </c>
      <c r="N14" s="73">
        <v>400</v>
      </c>
      <c r="O14" s="31"/>
    </row>
    <row r="15" spans="1:18" x14ac:dyDescent="0.25">
      <c r="A15" s="16"/>
      <c r="B15" s="49"/>
      <c r="C15" s="17" t="s">
        <v>555</v>
      </c>
      <c r="D15" s="13"/>
      <c r="E15" s="104"/>
      <c r="F15" s="14" t="s">
        <v>36</v>
      </c>
      <c r="G15" s="11">
        <v>17950</v>
      </c>
      <c r="H15" s="67"/>
      <c r="I15" s="12" t="s">
        <v>27</v>
      </c>
      <c r="J15" s="61">
        <v>18003</v>
      </c>
      <c r="K15" s="71">
        <v>250</v>
      </c>
      <c r="L15" s="62"/>
      <c r="M15" s="75">
        <v>18045</v>
      </c>
      <c r="N15" s="73">
        <v>4650</v>
      </c>
      <c r="O15" s="15" t="s">
        <v>617</v>
      </c>
    </row>
    <row r="16" spans="1:18" x14ac:dyDescent="0.25">
      <c r="A16" s="16">
        <v>17825</v>
      </c>
      <c r="B16" s="49">
        <v>650</v>
      </c>
      <c r="C16" s="17" t="s">
        <v>556</v>
      </c>
      <c r="D16" s="13">
        <v>17974</v>
      </c>
      <c r="E16" s="104">
        <v>650</v>
      </c>
      <c r="F16" s="14" t="s">
        <v>574</v>
      </c>
      <c r="G16" s="11">
        <v>17951</v>
      </c>
      <c r="H16" s="67">
        <v>370</v>
      </c>
      <c r="I16" s="12" t="s">
        <v>599</v>
      </c>
      <c r="J16" s="61">
        <v>18004</v>
      </c>
      <c r="K16" s="71">
        <v>250</v>
      </c>
      <c r="L16" s="62" t="s">
        <v>543</v>
      </c>
      <c r="M16" s="75"/>
      <c r="N16" s="73"/>
      <c r="O16" s="15" t="s">
        <v>618</v>
      </c>
    </row>
    <row r="17" spans="1:15" x14ac:dyDescent="0.25">
      <c r="A17" s="16"/>
      <c r="B17" s="49"/>
      <c r="C17" s="17" t="s">
        <v>557</v>
      </c>
      <c r="D17" s="13">
        <v>17975</v>
      </c>
      <c r="E17" s="104">
        <v>100</v>
      </c>
      <c r="F17" s="14" t="s">
        <v>514</v>
      </c>
      <c r="G17" s="11">
        <v>17952</v>
      </c>
      <c r="H17" s="67">
        <v>900</v>
      </c>
      <c r="I17" s="12" t="s">
        <v>600</v>
      </c>
      <c r="J17" s="61">
        <v>18005</v>
      </c>
      <c r="K17" s="71">
        <v>550</v>
      </c>
      <c r="L17" s="62" t="s">
        <v>583</v>
      </c>
      <c r="M17" s="75"/>
      <c r="N17" s="73"/>
      <c r="O17" s="15" t="s">
        <v>619</v>
      </c>
    </row>
    <row r="18" spans="1:15" x14ac:dyDescent="0.25">
      <c r="A18" s="16">
        <v>17826</v>
      </c>
      <c r="B18" s="49">
        <v>1050</v>
      </c>
      <c r="C18" s="17" t="s">
        <v>535</v>
      </c>
      <c r="D18" s="13">
        <v>17576</v>
      </c>
      <c r="E18" s="104">
        <v>250</v>
      </c>
      <c r="F18" s="33" t="s">
        <v>575</v>
      </c>
      <c r="G18" s="11"/>
      <c r="H18" s="67"/>
      <c r="I18" s="12" t="s">
        <v>601</v>
      </c>
      <c r="J18" s="61">
        <v>18006</v>
      </c>
      <c r="K18" s="71">
        <v>650</v>
      </c>
      <c r="L18" s="62" t="s">
        <v>528</v>
      </c>
      <c r="M18" s="75">
        <v>18046</v>
      </c>
      <c r="N18" s="73"/>
      <c r="O18" s="15" t="s">
        <v>27</v>
      </c>
    </row>
    <row r="19" spans="1:15" x14ac:dyDescent="0.25">
      <c r="A19" s="16"/>
      <c r="B19" s="49"/>
      <c r="C19" s="17" t="s">
        <v>555</v>
      </c>
      <c r="D19" s="13">
        <v>17577</v>
      </c>
      <c r="E19" s="104">
        <v>400</v>
      </c>
      <c r="F19" s="14" t="s">
        <v>571</v>
      </c>
      <c r="G19" s="11">
        <v>17953</v>
      </c>
      <c r="H19" s="67">
        <v>400</v>
      </c>
      <c r="I19" s="12" t="s">
        <v>336</v>
      </c>
      <c r="J19" s="61"/>
      <c r="K19" s="71"/>
      <c r="L19" s="62" t="s">
        <v>611</v>
      </c>
      <c r="M19" s="75">
        <v>18047</v>
      </c>
      <c r="N19" s="73">
        <v>550</v>
      </c>
      <c r="O19" s="15" t="s">
        <v>620</v>
      </c>
    </row>
    <row r="20" spans="1:15" x14ac:dyDescent="0.25">
      <c r="A20" s="16">
        <v>17827</v>
      </c>
      <c r="B20" s="49">
        <v>650</v>
      </c>
      <c r="C20" s="17" t="s">
        <v>556</v>
      </c>
      <c r="D20" s="13">
        <v>17578</v>
      </c>
      <c r="E20" s="104">
        <v>4400</v>
      </c>
      <c r="F20" s="14" t="s">
        <v>527</v>
      </c>
      <c r="G20" s="11">
        <v>17954</v>
      </c>
      <c r="H20" s="67">
        <v>550</v>
      </c>
      <c r="I20" s="12" t="s">
        <v>583</v>
      </c>
      <c r="J20" s="61">
        <v>18007</v>
      </c>
      <c r="K20" s="71">
        <v>4400</v>
      </c>
      <c r="L20" s="62" t="s">
        <v>527</v>
      </c>
      <c r="M20" s="75">
        <v>18048</v>
      </c>
      <c r="N20" s="73">
        <v>400</v>
      </c>
      <c r="O20" s="15" t="s">
        <v>621</v>
      </c>
    </row>
    <row r="21" spans="1:15" x14ac:dyDescent="0.25">
      <c r="A21" s="16"/>
      <c r="B21" s="49"/>
      <c r="C21" s="17" t="s">
        <v>557</v>
      </c>
      <c r="D21" s="13"/>
      <c r="E21" s="104"/>
      <c r="F21" s="14" t="s">
        <v>576</v>
      </c>
      <c r="G21" s="11">
        <v>17955</v>
      </c>
      <c r="H21" s="67">
        <v>200</v>
      </c>
      <c r="I21" s="12" t="s">
        <v>575</v>
      </c>
      <c r="J21" s="61"/>
      <c r="K21" s="71"/>
      <c r="L21" s="62" t="s">
        <v>20</v>
      </c>
      <c r="M21" s="75">
        <v>18049</v>
      </c>
      <c r="N21" s="73">
        <v>800</v>
      </c>
      <c r="O21" s="15" t="s">
        <v>622</v>
      </c>
    </row>
    <row r="22" spans="1:15" x14ac:dyDescent="0.25">
      <c r="A22" s="16">
        <v>17828</v>
      </c>
      <c r="B22" s="49">
        <v>400</v>
      </c>
      <c r="C22" s="17"/>
      <c r="D22" s="13">
        <v>17879</v>
      </c>
      <c r="E22" s="104">
        <v>400</v>
      </c>
      <c r="F22" s="14" t="s">
        <v>372</v>
      </c>
      <c r="G22" s="11">
        <v>17956</v>
      </c>
      <c r="H22" s="67">
        <v>250</v>
      </c>
      <c r="I22" s="12" t="s">
        <v>575</v>
      </c>
      <c r="J22" s="61"/>
      <c r="K22" s="71"/>
      <c r="L22" s="62" t="s">
        <v>62</v>
      </c>
      <c r="M22" s="75"/>
      <c r="N22" s="73"/>
      <c r="O22" s="15" t="s">
        <v>20</v>
      </c>
    </row>
    <row r="23" spans="1:15" x14ac:dyDescent="0.25">
      <c r="A23" s="16">
        <v>17829</v>
      </c>
      <c r="B23" s="49">
        <v>550</v>
      </c>
      <c r="C23" s="17" t="s">
        <v>554</v>
      </c>
      <c r="D23" s="13"/>
      <c r="E23" s="104"/>
      <c r="F23" s="14" t="s">
        <v>15</v>
      </c>
      <c r="G23" s="11">
        <v>17957</v>
      </c>
      <c r="H23" s="67">
        <v>800</v>
      </c>
      <c r="I23" s="12" t="s">
        <v>402</v>
      </c>
      <c r="J23" s="61">
        <v>18008</v>
      </c>
      <c r="K23" s="71">
        <v>1650</v>
      </c>
      <c r="L23" s="62" t="s">
        <v>388</v>
      </c>
      <c r="M23" s="75">
        <v>18050</v>
      </c>
      <c r="N23" s="73">
        <v>400</v>
      </c>
      <c r="O23" s="15" t="s">
        <v>437</v>
      </c>
    </row>
    <row r="24" spans="1:15" x14ac:dyDescent="0.25">
      <c r="A24" s="16"/>
      <c r="B24" s="49"/>
      <c r="C24" s="107">
        <v>250</v>
      </c>
      <c r="D24" s="13">
        <v>17880</v>
      </c>
      <c r="E24" s="104">
        <v>400</v>
      </c>
      <c r="F24" s="14" t="s">
        <v>581</v>
      </c>
      <c r="G24" s="11"/>
      <c r="H24" s="67"/>
      <c r="I24" s="12" t="s">
        <v>20</v>
      </c>
      <c r="J24" s="61"/>
      <c r="K24" s="71"/>
      <c r="L24" s="62" t="s">
        <v>612</v>
      </c>
      <c r="M24" s="75">
        <v>18051</v>
      </c>
      <c r="N24" s="73">
        <v>600</v>
      </c>
      <c r="O24" s="15" t="s">
        <v>528</v>
      </c>
    </row>
    <row r="25" spans="1:15" x14ac:dyDescent="0.25">
      <c r="A25" s="16">
        <v>17830</v>
      </c>
      <c r="B25" s="49">
        <v>650</v>
      </c>
      <c r="C25" s="17" t="s">
        <v>556</v>
      </c>
      <c r="D25" s="13">
        <v>17881</v>
      </c>
      <c r="E25" s="104">
        <v>400</v>
      </c>
      <c r="F25" s="14"/>
      <c r="G25" s="11">
        <v>17958</v>
      </c>
      <c r="H25" s="67">
        <v>450</v>
      </c>
      <c r="I25" s="12" t="s">
        <v>594</v>
      </c>
      <c r="J25" s="61"/>
      <c r="K25" s="71"/>
      <c r="L25" s="62" t="s">
        <v>557</v>
      </c>
      <c r="M25" s="75"/>
      <c r="N25" s="73"/>
      <c r="O25" s="15" t="s">
        <v>23</v>
      </c>
    </row>
    <row r="26" spans="1:15" x14ac:dyDescent="0.25">
      <c r="A26" s="16"/>
      <c r="B26" s="49"/>
      <c r="C26" s="17" t="s">
        <v>557</v>
      </c>
      <c r="D26" s="13">
        <v>17882</v>
      </c>
      <c r="E26" s="104">
        <v>650</v>
      </c>
      <c r="F26" s="14" t="s">
        <v>577</v>
      </c>
      <c r="G26" s="11">
        <v>17959</v>
      </c>
      <c r="H26" s="67">
        <v>300</v>
      </c>
      <c r="I26" s="12"/>
      <c r="J26" s="61">
        <v>18009</v>
      </c>
      <c r="K26" s="71">
        <v>600</v>
      </c>
      <c r="L26" s="62" t="s">
        <v>402</v>
      </c>
      <c r="M26" s="75">
        <v>18052</v>
      </c>
      <c r="N26" s="73">
        <v>3300</v>
      </c>
      <c r="O26" s="15" t="s">
        <v>617</v>
      </c>
    </row>
    <row r="27" spans="1:15" x14ac:dyDescent="0.25">
      <c r="A27" s="16">
        <v>17831</v>
      </c>
      <c r="B27" s="49">
        <v>4420</v>
      </c>
      <c r="C27" s="17" t="s">
        <v>558</v>
      </c>
      <c r="D27" s="13">
        <v>17883</v>
      </c>
      <c r="E27" s="104">
        <v>250</v>
      </c>
      <c r="F27" s="14" t="s">
        <v>575</v>
      </c>
      <c r="G27" s="11">
        <v>17960</v>
      </c>
      <c r="H27" s="67">
        <v>400</v>
      </c>
      <c r="I27" s="12"/>
      <c r="J27" s="61"/>
      <c r="K27" s="71"/>
      <c r="L27" s="62" t="s">
        <v>23</v>
      </c>
      <c r="M27" s="75"/>
      <c r="N27" s="73"/>
      <c r="O27" s="31" t="s">
        <v>618</v>
      </c>
    </row>
    <row r="28" spans="1:15" x14ac:dyDescent="0.25">
      <c r="A28" s="16"/>
      <c r="B28" s="49"/>
      <c r="C28" s="17" t="s">
        <v>559</v>
      </c>
      <c r="D28" s="13">
        <v>17884</v>
      </c>
      <c r="E28" s="104">
        <v>250</v>
      </c>
      <c r="F28" s="95" t="s">
        <v>575</v>
      </c>
      <c r="G28" s="11">
        <v>17961</v>
      </c>
      <c r="H28" s="67">
        <v>250</v>
      </c>
      <c r="I28" s="12" t="s">
        <v>575</v>
      </c>
      <c r="J28" s="61">
        <v>18010</v>
      </c>
      <c r="K28" s="71">
        <v>200</v>
      </c>
      <c r="L28" s="62" t="s">
        <v>41</v>
      </c>
      <c r="M28" s="75"/>
      <c r="N28" s="73"/>
      <c r="O28" s="15" t="s">
        <v>23</v>
      </c>
    </row>
    <row r="29" spans="1:15" x14ac:dyDescent="0.25">
      <c r="A29" s="16"/>
      <c r="B29" s="49"/>
      <c r="C29" s="17" t="s">
        <v>560</v>
      </c>
      <c r="D29" s="13">
        <v>17885</v>
      </c>
      <c r="E29" s="104">
        <v>500</v>
      </c>
      <c r="F29" s="14" t="s">
        <v>575</v>
      </c>
      <c r="G29" s="11">
        <v>17962</v>
      </c>
      <c r="H29" s="67">
        <v>550</v>
      </c>
      <c r="I29" s="12" t="s">
        <v>583</v>
      </c>
      <c r="J29" s="61">
        <v>18011</v>
      </c>
      <c r="K29" s="71">
        <v>150</v>
      </c>
      <c r="L29" s="62" t="s">
        <v>571</v>
      </c>
      <c r="M29" s="75">
        <v>18053</v>
      </c>
      <c r="N29" s="73">
        <v>50</v>
      </c>
      <c r="O29" s="15" t="s">
        <v>110</v>
      </c>
    </row>
    <row r="30" spans="1:15" x14ac:dyDescent="0.25">
      <c r="A30" s="16">
        <v>17832</v>
      </c>
      <c r="B30" s="49">
        <v>50</v>
      </c>
      <c r="C30" s="17" t="s">
        <v>220</v>
      </c>
      <c r="D30" s="13">
        <v>17886</v>
      </c>
      <c r="E30" s="104">
        <v>1800</v>
      </c>
      <c r="F30" s="14" t="s">
        <v>578</v>
      </c>
      <c r="G30" s="11">
        <v>17963</v>
      </c>
      <c r="H30" s="67">
        <v>400</v>
      </c>
      <c r="I30" s="12" t="s">
        <v>437</v>
      </c>
      <c r="J30" s="61">
        <v>18012</v>
      </c>
      <c r="K30" s="71">
        <v>150</v>
      </c>
      <c r="L30" s="62" t="s">
        <v>571</v>
      </c>
      <c r="M30" s="75">
        <v>18054</v>
      </c>
      <c r="N30" s="73">
        <v>200</v>
      </c>
      <c r="O30" s="15" t="s">
        <v>41</v>
      </c>
    </row>
    <row r="31" spans="1:15" x14ac:dyDescent="0.25">
      <c r="A31" s="16">
        <v>17833</v>
      </c>
      <c r="B31" s="49">
        <v>400</v>
      </c>
      <c r="C31" s="17"/>
      <c r="D31" s="13"/>
      <c r="E31" s="104"/>
      <c r="F31" s="14" t="s">
        <v>579</v>
      </c>
      <c r="G31" s="11">
        <v>17964</v>
      </c>
      <c r="H31" s="67">
        <v>40</v>
      </c>
      <c r="I31" s="12" t="s">
        <v>602</v>
      </c>
      <c r="J31" s="61">
        <v>18013</v>
      </c>
      <c r="K31" s="71">
        <v>150</v>
      </c>
      <c r="L31" s="62" t="s">
        <v>571</v>
      </c>
      <c r="M31" s="75">
        <v>18055</v>
      </c>
      <c r="N31" s="73">
        <v>400</v>
      </c>
      <c r="O31" s="15"/>
    </row>
    <row r="32" spans="1:15" x14ac:dyDescent="0.25">
      <c r="A32" s="16">
        <v>17834</v>
      </c>
      <c r="B32" s="49">
        <v>1050</v>
      </c>
      <c r="C32" s="17" t="s">
        <v>535</v>
      </c>
      <c r="D32" s="13">
        <v>17887</v>
      </c>
      <c r="E32" s="104">
        <v>250</v>
      </c>
      <c r="F32" s="14" t="s">
        <v>575</v>
      </c>
      <c r="G32" s="11">
        <v>17965</v>
      </c>
      <c r="H32" s="67">
        <v>400</v>
      </c>
      <c r="I32" s="12"/>
      <c r="J32" s="61">
        <v>18014</v>
      </c>
      <c r="K32" s="71">
        <v>4400</v>
      </c>
      <c r="L32" s="62" t="s">
        <v>527</v>
      </c>
      <c r="M32" s="75">
        <v>18056</v>
      </c>
      <c r="N32" s="73">
        <v>250</v>
      </c>
      <c r="O32" s="15" t="s">
        <v>575</v>
      </c>
    </row>
    <row r="33" spans="1:15" x14ac:dyDescent="0.25">
      <c r="A33" s="16"/>
      <c r="B33" s="49"/>
      <c r="C33" s="17" t="s">
        <v>555</v>
      </c>
      <c r="D33" s="13">
        <v>17888</v>
      </c>
      <c r="E33" s="104">
        <v>1000</v>
      </c>
      <c r="F33" s="14" t="s">
        <v>388</v>
      </c>
      <c r="G33" s="11">
        <v>17966</v>
      </c>
      <c r="H33" s="67">
        <v>200</v>
      </c>
      <c r="I33" s="12"/>
      <c r="J33" s="61"/>
      <c r="K33" s="71"/>
      <c r="L33" s="62" t="s">
        <v>20</v>
      </c>
      <c r="M33" s="75">
        <v>18057</v>
      </c>
      <c r="N33" s="73">
        <v>250</v>
      </c>
      <c r="O33" s="15" t="s">
        <v>575</v>
      </c>
    </row>
    <row r="34" spans="1:15" x14ac:dyDescent="0.25">
      <c r="A34" s="16">
        <v>17835</v>
      </c>
      <c r="B34" s="49">
        <v>550</v>
      </c>
      <c r="C34" s="17" t="s">
        <v>561</v>
      </c>
      <c r="D34" s="13"/>
      <c r="E34" s="104"/>
      <c r="F34" s="14" t="s">
        <v>580</v>
      </c>
      <c r="G34" s="11">
        <v>17967</v>
      </c>
      <c r="H34" s="67">
        <v>400</v>
      </c>
      <c r="I34" s="12"/>
      <c r="J34" s="61"/>
      <c r="K34" s="71"/>
      <c r="L34" s="62" t="s">
        <v>62</v>
      </c>
      <c r="M34" s="75">
        <v>18058</v>
      </c>
      <c r="N34" s="73">
        <v>900</v>
      </c>
      <c r="O34" s="31" t="s">
        <v>623</v>
      </c>
    </row>
    <row r="35" spans="1:15" x14ac:dyDescent="0.25">
      <c r="A35" s="16"/>
      <c r="B35" s="49"/>
      <c r="C35" s="17" t="s">
        <v>557</v>
      </c>
      <c r="D35" s="13">
        <v>17889</v>
      </c>
      <c r="E35" s="104">
        <v>500</v>
      </c>
      <c r="F35" s="14" t="s">
        <v>575</v>
      </c>
      <c r="G35" s="11">
        <v>17968</v>
      </c>
      <c r="H35" s="67">
        <v>250</v>
      </c>
      <c r="I35" s="12" t="s">
        <v>575</v>
      </c>
      <c r="J35" s="61">
        <v>18015</v>
      </c>
      <c r="K35" s="71"/>
      <c r="L35" s="62" t="s">
        <v>27</v>
      </c>
      <c r="M35" s="75"/>
      <c r="N35" s="73"/>
      <c r="O35" s="15" t="s">
        <v>624</v>
      </c>
    </row>
    <row r="36" spans="1:15" x14ac:dyDescent="0.25">
      <c r="A36" s="16">
        <v>17836</v>
      </c>
      <c r="B36" s="49">
        <v>250</v>
      </c>
      <c r="C36" s="17"/>
      <c r="D36" s="13">
        <v>17890</v>
      </c>
      <c r="E36" s="104">
        <v>1850</v>
      </c>
      <c r="F36" s="14" t="s">
        <v>370</v>
      </c>
      <c r="G36" s="11">
        <v>17969</v>
      </c>
      <c r="H36" s="67">
        <v>250</v>
      </c>
      <c r="I36" s="12" t="s">
        <v>603</v>
      </c>
      <c r="J36" s="61">
        <v>18016</v>
      </c>
      <c r="K36" s="71">
        <v>1050</v>
      </c>
      <c r="L36" s="62" t="s">
        <v>528</v>
      </c>
      <c r="M36" s="75">
        <v>18059</v>
      </c>
      <c r="N36" s="73">
        <v>400</v>
      </c>
      <c r="O36" s="15"/>
    </row>
    <row r="37" spans="1:15" x14ac:dyDescent="0.25">
      <c r="A37" s="16">
        <v>17837</v>
      </c>
      <c r="B37" s="49">
        <v>400</v>
      </c>
      <c r="C37" s="17"/>
      <c r="D37" s="13"/>
      <c r="E37" s="104"/>
      <c r="F37" s="14" t="s">
        <v>534</v>
      </c>
      <c r="G37" s="11">
        <v>17970</v>
      </c>
      <c r="H37" s="67">
        <v>250</v>
      </c>
      <c r="I37" s="12" t="s">
        <v>575</v>
      </c>
      <c r="J37" s="61"/>
      <c r="K37" s="71"/>
      <c r="L37" s="62" t="s">
        <v>534</v>
      </c>
      <c r="M37" s="75">
        <v>18060</v>
      </c>
      <c r="N37" s="73">
        <v>400</v>
      </c>
      <c r="O37" s="15"/>
    </row>
    <row r="38" spans="1:15" x14ac:dyDescent="0.25">
      <c r="A38" s="16">
        <v>17838</v>
      </c>
      <c r="B38" s="49">
        <v>400</v>
      </c>
      <c r="C38" s="17" t="s">
        <v>336</v>
      </c>
      <c r="D38" s="13">
        <v>17891</v>
      </c>
      <c r="E38" s="104">
        <v>60</v>
      </c>
      <c r="F38" s="14" t="s">
        <v>467</v>
      </c>
      <c r="G38" s="11">
        <v>17971</v>
      </c>
      <c r="H38" s="67">
        <v>400</v>
      </c>
      <c r="I38" s="12" t="s">
        <v>336</v>
      </c>
      <c r="J38" s="61">
        <v>18017</v>
      </c>
      <c r="K38" s="71">
        <v>4690</v>
      </c>
      <c r="L38" s="62" t="s">
        <v>527</v>
      </c>
      <c r="M38" s="75">
        <v>18061</v>
      </c>
      <c r="N38" s="73">
        <v>800</v>
      </c>
      <c r="O38" s="15" t="s">
        <v>372</v>
      </c>
    </row>
    <row r="39" spans="1:15" x14ac:dyDescent="0.25">
      <c r="A39" s="16">
        <v>17839</v>
      </c>
      <c r="B39" s="49">
        <v>500</v>
      </c>
      <c r="C39" s="17" t="s">
        <v>528</v>
      </c>
      <c r="D39" s="13">
        <v>17892</v>
      </c>
      <c r="E39" s="104">
        <v>300</v>
      </c>
      <c r="F39" s="14"/>
      <c r="G39" s="11">
        <v>17972</v>
      </c>
      <c r="H39" s="67">
        <v>150</v>
      </c>
      <c r="I39" s="12" t="s">
        <v>575</v>
      </c>
      <c r="J39" s="61"/>
      <c r="K39" s="71"/>
      <c r="L39" s="62" t="s">
        <v>613</v>
      </c>
      <c r="M39" s="75"/>
      <c r="N39" s="73"/>
      <c r="O39" s="15" t="s">
        <v>20</v>
      </c>
    </row>
    <row r="40" spans="1:15" x14ac:dyDescent="0.25">
      <c r="A40" s="16"/>
      <c r="B40" s="49"/>
      <c r="C40" s="17" t="s">
        <v>69</v>
      </c>
      <c r="D40" s="13">
        <v>17893</v>
      </c>
      <c r="E40" s="104">
        <v>400</v>
      </c>
      <c r="F40" s="14"/>
      <c r="G40" s="11">
        <v>17973</v>
      </c>
      <c r="H40" s="67">
        <v>400</v>
      </c>
      <c r="I40" s="12"/>
      <c r="J40" s="61"/>
      <c r="K40" s="71"/>
      <c r="L40" s="62" t="s">
        <v>557</v>
      </c>
      <c r="M40" s="75">
        <v>18062</v>
      </c>
      <c r="N40" s="73">
        <v>400</v>
      </c>
      <c r="O40" s="15"/>
    </row>
    <row r="41" spans="1:15" x14ac:dyDescent="0.25">
      <c r="A41" s="16">
        <v>17840</v>
      </c>
      <c r="B41" s="49">
        <v>250</v>
      </c>
      <c r="C41" s="17" t="s">
        <v>543</v>
      </c>
      <c r="D41" s="13">
        <v>17894</v>
      </c>
      <c r="E41" s="104">
        <v>500</v>
      </c>
      <c r="F41" s="14" t="s">
        <v>575</v>
      </c>
      <c r="G41" s="11">
        <v>17974</v>
      </c>
      <c r="H41" s="67">
        <v>800</v>
      </c>
      <c r="I41" s="12" t="s">
        <v>604</v>
      </c>
      <c r="J41" s="61">
        <v>18018</v>
      </c>
      <c r="K41" s="71">
        <v>650</v>
      </c>
      <c r="L41" s="62" t="s">
        <v>528</v>
      </c>
      <c r="M41" s="75">
        <v>18063</v>
      </c>
      <c r="N41" s="73">
        <v>450</v>
      </c>
      <c r="O41" s="15" t="s">
        <v>437</v>
      </c>
    </row>
    <row r="42" spans="1:15" x14ac:dyDescent="0.25">
      <c r="A42" s="16">
        <v>17841</v>
      </c>
      <c r="B42" s="49">
        <v>40</v>
      </c>
      <c r="C42" s="17" t="s">
        <v>562</v>
      </c>
      <c r="D42" s="13">
        <v>17895</v>
      </c>
      <c r="E42" s="104">
        <v>1050</v>
      </c>
      <c r="F42" s="14" t="s">
        <v>535</v>
      </c>
      <c r="G42" s="11"/>
      <c r="H42" s="67"/>
      <c r="I42" s="12" t="s">
        <v>20</v>
      </c>
      <c r="J42" s="61"/>
      <c r="K42" s="71"/>
      <c r="L42" s="62" t="s">
        <v>534</v>
      </c>
      <c r="M42" s="75"/>
      <c r="N42" s="73"/>
      <c r="O42" s="15" t="s">
        <v>625</v>
      </c>
    </row>
    <row r="43" spans="1:15" x14ac:dyDescent="0.25">
      <c r="A43" s="16">
        <v>17842</v>
      </c>
      <c r="B43" s="49">
        <v>670</v>
      </c>
      <c r="C43" s="17" t="s">
        <v>556</v>
      </c>
      <c r="D43" s="13"/>
      <c r="E43" s="104"/>
      <c r="F43" s="14" t="s">
        <v>536</v>
      </c>
      <c r="G43" s="11">
        <v>17975</v>
      </c>
      <c r="H43" s="67">
        <v>4400</v>
      </c>
      <c r="I43" s="12" t="s">
        <v>527</v>
      </c>
      <c r="J43" s="61">
        <v>18019</v>
      </c>
      <c r="K43" s="71">
        <v>250</v>
      </c>
      <c r="L43" s="62" t="s">
        <v>543</v>
      </c>
      <c r="M43" s="75">
        <v>18064</v>
      </c>
      <c r="N43" s="73">
        <v>320</v>
      </c>
      <c r="O43" s="15" t="s">
        <v>626</v>
      </c>
    </row>
    <row r="44" spans="1:15" x14ac:dyDescent="0.25">
      <c r="A44" s="16"/>
      <c r="B44" s="49"/>
      <c r="C44" s="17" t="s">
        <v>563</v>
      </c>
      <c r="D44" s="13">
        <v>17896</v>
      </c>
      <c r="E44" s="104"/>
      <c r="F44" s="14" t="s">
        <v>343</v>
      </c>
      <c r="G44" s="11"/>
      <c r="H44" s="67"/>
      <c r="I44" s="12" t="s">
        <v>20</v>
      </c>
      <c r="J44" s="61">
        <v>18020</v>
      </c>
      <c r="K44" s="71">
        <v>400</v>
      </c>
      <c r="L44" s="62"/>
      <c r="M44" s="75">
        <v>18065</v>
      </c>
      <c r="N44" s="73">
        <v>600</v>
      </c>
      <c r="O44" s="15" t="s">
        <v>407</v>
      </c>
    </row>
    <row r="45" spans="1:15" x14ac:dyDescent="0.25">
      <c r="A45" s="16">
        <v>17843</v>
      </c>
      <c r="B45" s="49">
        <v>20</v>
      </c>
      <c r="C45" s="17" t="s">
        <v>562</v>
      </c>
      <c r="D45" s="13">
        <v>17897</v>
      </c>
      <c r="E45" s="104">
        <v>300</v>
      </c>
      <c r="F45" s="14"/>
      <c r="G45" s="11"/>
      <c r="H45" s="67"/>
      <c r="I45" s="12" t="s">
        <v>73</v>
      </c>
      <c r="J45" s="61">
        <v>18021</v>
      </c>
      <c r="K45" s="71">
        <v>2000</v>
      </c>
      <c r="L45" s="62" t="s">
        <v>542</v>
      </c>
      <c r="M45" s="75"/>
      <c r="N45" s="73"/>
      <c r="O45" s="15" t="s">
        <v>15</v>
      </c>
    </row>
    <row r="46" spans="1:15" x14ac:dyDescent="0.25">
      <c r="A46" s="16">
        <v>17844</v>
      </c>
      <c r="B46" s="49">
        <v>600</v>
      </c>
      <c r="C46" s="17" t="s">
        <v>556</v>
      </c>
      <c r="D46" s="13">
        <v>17898</v>
      </c>
      <c r="E46" s="104">
        <v>250</v>
      </c>
      <c r="F46" s="14" t="s">
        <v>575</v>
      </c>
      <c r="G46" s="11">
        <v>17976</v>
      </c>
      <c r="H46" s="67">
        <v>40</v>
      </c>
      <c r="I46" s="12" t="s">
        <v>602</v>
      </c>
      <c r="J46" s="61"/>
      <c r="K46" s="71"/>
      <c r="L46" s="62" t="s">
        <v>428</v>
      </c>
      <c r="M46" s="75">
        <v>18066</v>
      </c>
      <c r="N46" s="73">
        <v>250</v>
      </c>
      <c r="O46" s="15" t="s">
        <v>575</v>
      </c>
    </row>
    <row r="47" spans="1:15" x14ac:dyDescent="0.25">
      <c r="A47" s="16"/>
      <c r="B47" s="49"/>
      <c r="C47" s="17" t="s">
        <v>557</v>
      </c>
      <c r="D47" s="13">
        <v>17899</v>
      </c>
      <c r="E47" s="104">
        <v>4400</v>
      </c>
      <c r="F47" s="14" t="s">
        <v>527</v>
      </c>
      <c r="G47" s="11">
        <v>17977</v>
      </c>
      <c r="H47" s="67">
        <v>1050</v>
      </c>
      <c r="I47" s="12" t="s">
        <v>605</v>
      </c>
      <c r="J47" s="61">
        <v>18022</v>
      </c>
      <c r="K47" s="71">
        <v>800</v>
      </c>
      <c r="L47" s="62" t="s">
        <v>528</v>
      </c>
      <c r="M47" s="75">
        <v>18067</v>
      </c>
      <c r="N47" s="73">
        <v>4650</v>
      </c>
      <c r="O47" s="15" t="s">
        <v>617</v>
      </c>
    </row>
    <row r="48" spans="1:15" x14ac:dyDescent="0.25">
      <c r="A48" s="16">
        <v>17845</v>
      </c>
      <c r="B48" s="49">
        <v>400</v>
      </c>
      <c r="C48" s="17"/>
      <c r="D48" s="13"/>
      <c r="E48" s="104"/>
      <c r="F48" s="14" t="s">
        <v>576</v>
      </c>
      <c r="G48" s="11"/>
      <c r="H48" s="67"/>
      <c r="I48" s="12" t="s">
        <v>536</v>
      </c>
      <c r="J48" s="61"/>
      <c r="K48" s="71"/>
      <c r="L48" s="62" t="s">
        <v>20</v>
      </c>
      <c r="M48" s="75"/>
      <c r="N48" s="73"/>
      <c r="O48" s="15" t="s">
        <v>20</v>
      </c>
    </row>
    <row r="49" spans="1:15" x14ac:dyDescent="0.25">
      <c r="A49" s="16">
        <v>17846</v>
      </c>
      <c r="B49" s="49">
        <v>650</v>
      </c>
      <c r="C49" s="17" t="s">
        <v>556</v>
      </c>
      <c r="D49" s="13">
        <v>17900</v>
      </c>
      <c r="E49" s="104">
        <v>250</v>
      </c>
      <c r="F49" s="14"/>
      <c r="G49" s="11">
        <v>17978</v>
      </c>
      <c r="H49" s="67">
        <v>250</v>
      </c>
      <c r="I49" s="12" t="s">
        <v>575</v>
      </c>
      <c r="J49" s="61">
        <v>18023</v>
      </c>
      <c r="K49" s="71">
        <v>500</v>
      </c>
      <c r="L49" s="62" t="s">
        <v>614</v>
      </c>
      <c r="M49" s="75"/>
      <c r="N49" s="73"/>
      <c r="O49" s="15" t="s">
        <v>618</v>
      </c>
    </row>
    <row r="50" spans="1:15" x14ac:dyDescent="0.25">
      <c r="A50" s="16"/>
      <c r="B50" s="49"/>
      <c r="C50" s="17" t="s">
        <v>557</v>
      </c>
      <c r="D50" s="13">
        <v>17901</v>
      </c>
      <c r="E50" s="104">
        <v>400</v>
      </c>
      <c r="F50" s="14"/>
      <c r="G50" s="11">
        <v>17979</v>
      </c>
      <c r="H50" s="67">
        <v>250</v>
      </c>
      <c r="I50" s="12" t="s">
        <v>575</v>
      </c>
      <c r="J50" s="61"/>
      <c r="K50" s="71"/>
      <c r="L50" s="62" t="s">
        <v>615</v>
      </c>
      <c r="M50" s="75"/>
      <c r="N50" s="73"/>
      <c r="O50" s="15" t="s">
        <v>575</v>
      </c>
    </row>
    <row r="51" spans="1:15" x14ac:dyDescent="0.25">
      <c r="A51" s="16">
        <v>17847</v>
      </c>
      <c r="B51" s="49">
        <v>250</v>
      </c>
      <c r="C51" s="17" t="s">
        <v>543</v>
      </c>
      <c r="D51" s="13">
        <v>17902</v>
      </c>
      <c r="E51" s="104">
        <v>400</v>
      </c>
      <c r="F51" s="14"/>
      <c r="G51" s="11">
        <v>17980</v>
      </c>
      <c r="H51" s="67">
        <v>550</v>
      </c>
      <c r="I51" s="12" t="s">
        <v>583</v>
      </c>
      <c r="J51" s="61">
        <v>18024</v>
      </c>
      <c r="K51" s="71">
        <v>50</v>
      </c>
      <c r="L51" s="62" t="s">
        <v>110</v>
      </c>
      <c r="M51" s="75">
        <v>18068</v>
      </c>
      <c r="N51" s="73">
        <v>300</v>
      </c>
      <c r="O51" s="15" t="s">
        <v>575</v>
      </c>
    </row>
    <row r="52" spans="1:15" x14ac:dyDescent="0.25">
      <c r="A52" s="16">
        <v>17848</v>
      </c>
      <c r="B52" s="49">
        <v>400</v>
      </c>
      <c r="C52" s="17" t="s">
        <v>437</v>
      </c>
      <c r="D52" s="13">
        <v>17903</v>
      </c>
      <c r="E52" s="104">
        <v>125</v>
      </c>
      <c r="F52" s="14"/>
      <c r="G52" s="11">
        <v>17981</v>
      </c>
      <c r="H52" s="67">
        <v>4400</v>
      </c>
      <c r="I52" s="12" t="s">
        <v>527</v>
      </c>
      <c r="J52" s="61">
        <v>18025</v>
      </c>
      <c r="K52" s="71">
        <v>4400</v>
      </c>
      <c r="L52" s="62" t="s">
        <v>527</v>
      </c>
      <c r="M52" s="75">
        <v>18069</v>
      </c>
      <c r="N52" s="73"/>
      <c r="O52" s="15" t="s">
        <v>27</v>
      </c>
    </row>
    <row r="53" spans="1:15" x14ac:dyDescent="0.25">
      <c r="A53" s="16">
        <v>17849</v>
      </c>
      <c r="B53" s="49">
        <v>1250</v>
      </c>
      <c r="C53" s="17" t="s">
        <v>535</v>
      </c>
      <c r="D53" s="13">
        <v>17904</v>
      </c>
      <c r="E53" s="104">
        <v>300</v>
      </c>
      <c r="F53" s="14"/>
      <c r="G53" s="11"/>
      <c r="H53" s="67"/>
      <c r="I53" s="12" t="s">
        <v>20</v>
      </c>
      <c r="J53" s="61"/>
      <c r="K53" s="71"/>
      <c r="L53" s="62" t="s">
        <v>20</v>
      </c>
      <c r="M53" s="75">
        <v>18070</v>
      </c>
      <c r="N53" s="73"/>
      <c r="O53" s="15" t="s">
        <v>27</v>
      </c>
    </row>
    <row r="54" spans="1:15" x14ac:dyDescent="0.25">
      <c r="A54" s="16"/>
      <c r="B54" s="49"/>
      <c r="C54" s="17" t="s">
        <v>564</v>
      </c>
      <c r="D54" s="13">
        <v>17905</v>
      </c>
      <c r="E54" s="104">
        <v>600</v>
      </c>
      <c r="F54" s="14" t="s">
        <v>582</v>
      </c>
      <c r="G54" s="11"/>
      <c r="H54" s="67"/>
      <c r="I54" s="12" t="s">
        <v>73</v>
      </c>
      <c r="J54" s="61"/>
      <c r="K54" s="71"/>
      <c r="L54" s="62" t="s">
        <v>62</v>
      </c>
      <c r="M54" s="75">
        <v>18071</v>
      </c>
      <c r="N54" s="73">
        <v>400</v>
      </c>
      <c r="O54" s="15" t="s">
        <v>372</v>
      </c>
    </row>
    <row r="55" spans="1:15" x14ac:dyDescent="0.25">
      <c r="A55" s="16">
        <v>17850</v>
      </c>
      <c r="B55" s="49">
        <v>1050</v>
      </c>
      <c r="C55" s="17" t="s">
        <v>535</v>
      </c>
      <c r="D55" s="13">
        <v>17906</v>
      </c>
      <c r="E55" s="104">
        <v>200</v>
      </c>
      <c r="F55" s="14"/>
      <c r="G55" s="11">
        <v>17982</v>
      </c>
      <c r="H55" s="67">
        <v>290</v>
      </c>
      <c r="I55" s="12" t="s">
        <v>606</v>
      </c>
      <c r="J55" s="61">
        <v>18026</v>
      </c>
      <c r="K55" s="71">
        <v>200</v>
      </c>
      <c r="L55" s="62" t="s">
        <v>41</v>
      </c>
      <c r="M55" s="75"/>
      <c r="N55" s="73"/>
      <c r="O55" s="15" t="s">
        <v>15</v>
      </c>
    </row>
    <row r="56" spans="1:15" x14ac:dyDescent="0.25">
      <c r="A56" s="16"/>
      <c r="B56" s="49"/>
      <c r="C56" s="17" t="s">
        <v>555</v>
      </c>
      <c r="D56" s="13">
        <v>17907</v>
      </c>
      <c r="E56" s="104">
        <v>400</v>
      </c>
      <c r="F56" s="14"/>
      <c r="G56" s="11"/>
      <c r="H56" s="67"/>
      <c r="I56" s="12" t="s">
        <v>607</v>
      </c>
      <c r="J56" s="61">
        <v>18027</v>
      </c>
      <c r="K56" s="71">
        <v>3600</v>
      </c>
      <c r="L56" s="62" t="s">
        <v>527</v>
      </c>
      <c r="M56" s="75"/>
      <c r="N56" s="73"/>
      <c r="O56" s="15"/>
    </row>
    <row r="57" spans="1:15" x14ac:dyDescent="0.25">
      <c r="A57" s="16">
        <v>17851</v>
      </c>
      <c r="B57" s="49">
        <v>400</v>
      </c>
      <c r="C57" s="17" t="s">
        <v>330</v>
      </c>
      <c r="D57" s="13">
        <v>17908</v>
      </c>
      <c r="E57" s="104">
        <v>250</v>
      </c>
      <c r="F57" s="14" t="s">
        <v>575</v>
      </c>
      <c r="G57" s="11">
        <v>17983</v>
      </c>
      <c r="H57" s="67"/>
      <c r="I57" s="12" t="s">
        <v>27</v>
      </c>
      <c r="J57" s="61"/>
      <c r="K57" s="71"/>
      <c r="L57" s="62" t="s">
        <v>23</v>
      </c>
      <c r="M57" s="75"/>
      <c r="N57" s="73"/>
      <c r="O57" s="15"/>
    </row>
    <row r="58" spans="1:15" x14ac:dyDescent="0.25">
      <c r="A58" s="16">
        <v>17852</v>
      </c>
      <c r="B58" s="49">
        <v>100</v>
      </c>
      <c r="C58" s="17" t="s">
        <v>565</v>
      </c>
      <c r="D58" s="13">
        <v>17909</v>
      </c>
      <c r="E58" s="104">
        <v>400</v>
      </c>
      <c r="F58" s="14"/>
      <c r="G58" s="11">
        <v>17984</v>
      </c>
      <c r="H58" s="67">
        <v>1200</v>
      </c>
      <c r="I58" s="12" t="s">
        <v>388</v>
      </c>
      <c r="J58" s="61">
        <v>18028</v>
      </c>
      <c r="K58" s="71">
        <v>400</v>
      </c>
      <c r="L58" s="62"/>
      <c r="M58" s="75"/>
      <c r="N58" s="73"/>
      <c r="O58" s="15"/>
    </row>
    <row r="59" spans="1:15" x14ac:dyDescent="0.25">
      <c r="A59" s="16">
        <v>17853</v>
      </c>
      <c r="B59" s="49">
        <v>400</v>
      </c>
      <c r="C59" s="17" t="s">
        <v>437</v>
      </c>
      <c r="D59" s="13">
        <v>17910</v>
      </c>
      <c r="E59" s="104">
        <v>800</v>
      </c>
      <c r="F59" s="14" t="s">
        <v>307</v>
      </c>
      <c r="G59" s="11"/>
      <c r="H59" s="67"/>
      <c r="I59" s="12" t="s">
        <v>20</v>
      </c>
      <c r="J59" s="61">
        <v>18029</v>
      </c>
      <c r="K59" s="71">
        <v>4650</v>
      </c>
      <c r="L59" s="62" t="s">
        <v>527</v>
      </c>
      <c r="M59" s="75"/>
      <c r="N59" s="73"/>
      <c r="O59" s="15"/>
    </row>
    <row r="60" spans="1:15" x14ac:dyDescent="0.25">
      <c r="A60" s="16">
        <v>17854</v>
      </c>
      <c r="B60" s="49">
        <v>200</v>
      </c>
      <c r="C60" s="17"/>
      <c r="D60" s="13"/>
      <c r="E60" s="104"/>
      <c r="F60" s="14" t="s">
        <v>448</v>
      </c>
      <c r="G60" s="11">
        <v>17985</v>
      </c>
      <c r="H60" s="67">
        <v>250</v>
      </c>
      <c r="I60" s="12" t="s">
        <v>575</v>
      </c>
      <c r="J60" s="61"/>
      <c r="K60" s="71"/>
      <c r="L60" s="62" t="s">
        <v>20</v>
      </c>
      <c r="M60" s="75"/>
      <c r="N60" s="73"/>
      <c r="O60" s="15"/>
    </row>
    <row r="61" spans="1:15" x14ac:dyDescent="0.25">
      <c r="A61" s="16">
        <v>17855</v>
      </c>
      <c r="B61" s="49">
        <v>310</v>
      </c>
      <c r="C61" s="17" t="s">
        <v>566</v>
      </c>
      <c r="D61" s="13">
        <v>17911</v>
      </c>
      <c r="E61" s="104">
        <v>550</v>
      </c>
      <c r="F61" s="14" t="s">
        <v>583</v>
      </c>
      <c r="G61" s="11">
        <v>17986</v>
      </c>
      <c r="H61" s="67">
        <v>20</v>
      </c>
      <c r="I61" s="12" t="s">
        <v>562</v>
      </c>
      <c r="J61" s="61"/>
      <c r="K61" s="71"/>
      <c r="L61" s="62" t="s">
        <v>62</v>
      </c>
      <c r="M61" s="75"/>
      <c r="N61" s="73"/>
      <c r="O61" s="15"/>
    </row>
    <row r="62" spans="1:15" x14ac:dyDescent="0.25">
      <c r="A62" s="16">
        <v>17856</v>
      </c>
      <c r="B62" s="49">
        <v>850</v>
      </c>
      <c r="C62" s="17" t="s">
        <v>388</v>
      </c>
      <c r="D62" s="13">
        <v>17912</v>
      </c>
      <c r="E62" s="104">
        <v>500</v>
      </c>
      <c r="F62" s="14" t="s">
        <v>584</v>
      </c>
      <c r="G62" s="11">
        <v>17987</v>
      </c>
      <c r="H62" s="67">
        <v>1050</v>
      </c>
      <c r="I62" s="12" t="s">
        <v>517</v>
      </c>
      <c r="J62" s="61"/>
      <c r="K62" s="71"/>
      <c r="L62" s="62" t="s">
        <v>585</v>
      </c>
      <c r="M62" s="75"/>
      <c r="N62" s="73"/>
      <c r="O62" s="15"/>
    </row>
    <row r="63" spans="1:15" x14ac:dyDescent="0.25">
      <c r="A63" s="16"/>
      <c r="B63" s="49"/>
      <c r="C63" s="17" t="s">
        <v>567</v>
      </c>
      <c r="D63" s="13">
        <v>17913</v>
      </c>
      <c r="E63" s="104">
        <v>650</v>
      </c>
      <c r="F63" s="14" t="s">
        <v>577</v>
      </c>
      <c r="G63" s="11"/>
      <c r="H63" s="67"/>
      <c r="I63" s="12" t="s">
        <v>534</v>
      </c>
      <c r="J63" s="61">
        <v>18030</v>
      </c>
      <c r="K63" s="71">
        <v>800</v>
      </c>
      <c r="L63" s="62" t="s">
        <v>528</v>
      </c>
      <c r="M63" s="75"/>
      <c r="N63" s="73"/>
      <c r="O63" s="15"/>
    </row>
    <row r="64" spans="1:15" x14ac:dyDescent="0.25">
      <c r="A64" s="16">
        <v>17857</v>
      </c>
      <c r="B64" s="49">
        <v>650</v>
      </c>
      <c r="C64" s="17" t="s">
        <v>568</v>
      </c>
      <c r="D64" s="13">
        <v>17914</v>
      </c>
      <c r="E64" s="104">
        <v>50</v>
      </c>
      <c r="F64" s="14" t="s">
        <v>324</v>
      </c>
      <c r="G64" s="11">
        <v>17988</v>
      </c>
      <c r="H64" s="67">
        <v>400</v>
      </c>
      <c r="I64" s="12"/>
      <c r="J64" s="61"/>
      <c r="K64" s="71"/>
      <c r="L64" s="62" t="s">
        <v>20</v>
      </c>
      <c r="M64" s="75"/>
      <c r="N64" s="73"/>
      <c r="O64" s="15"/>
    </row>
    <row r="65" spans="1:15" x14ac:dyDescent="0.25">
      <c r="A65" s="16">
        <v>17858</v>
      </c>
      <c r="B65" s="49">
        <v>800</v>
      </c>
      <c r="C65" s="17" t="s">
        <v>402</v>
      </c>
      <c r="D65" s="13">
        <v>17915</v>
      </c>
      <c r="E65" s="104">
        <v>4650</v>
      </c>
      <c r="F65" s="14" t="s">
        <v>527</v>
      </c>
      <c r="G65" s="11">
        <v>17989</v>
      </c>
      <c r="H65" s="67">
        <v>80</v>
      </c>
      <c r="I65" s="12" t="s">
        <v>608</v>
      </c>
      <c r="J65" s="61">
        <v>18031</v>
      </c>
      <c r="K65" s="71">
        <v>300</v>
      </c>
      <c r="L65" s="62"/>
      <c r="M65" s="75"/>
      <c r="N65" s="73"/>
      <c r="O65" s="15"/>
    </row>
    <row r="66" spans="1:15" x14ac:dyDescent="0.25">
      <c r="A66" s="16"/>
      <c r="B66" s="49"/>
      <c r="C66" s="17" t="s">
        <v>20</v>
      </c>
      <c r="D66" s="13"/>
      <c r="E66" s="104"/>
      <c r="F66" s="14" t="s">
        <v>20</v>
      </c>
      <c r="G66" s="11">
        <v>17990</v>
      </c>
      <c r="H66" s="67">
        <v>650</v>
      </c>
      <c r="I66" s="12" t="s">
        <v>574</v>
      </c>
      <c r="J66" s="61">
        <v>18032</v>
      </c>
      <c r="K66" s="71">
        <v>1050</v>
      </c>
      <c r="L66" s="62" t="s">
        <v>528</v>
      </c>
      <c r="M66" s="75"/>
      <c r="N66" s="73"/>
      <c r="O66" s="15"/>
    </row>
    <row r="67" spans="1:15" x14ac:dyDescent="0.25">
      <c r="A67" s="16">
        <v>17859</v>
      </c>
      <c r="B67" s="49">
        <v>650</v>
      </c>
      <c r="C67" s="17" t="s">
        <v>556</v>
      </c>
      <c r="D67" s="13"/>
      <c r="E67" s="104"/>
      <c r="F67" s="14" t="s">
        <v>576</v>
      </c>
      <c r="G67" s="11">
        <v>17991</v>
      </c>
      <c r="H67" s="67">
        <v>550</v>
      </c>
      <c r="I67" s="12" t="s">
        <v>583</v>
      </c>
      <c r="J67" s="61"/>
      <c r="K67" s="71"/>
      <c r="L67" s="62" t="s">
        <v>534</v>
      </c>
      <c r="M67" s="75"/>
      <c r="N67" s="73"/>
      <c r="O67" s="15"/>
    </row>
    <row r="68" spans="1:15" x14ac:dyDescent="0.25">
      <c r="A68" s="16"/>
      <c r="B68" s="49"/>
      <c r="C68" s="17" t="s">
        <v>557</v>
      </c>
      <c r="D68" s="13"/>
      <c r="E68" s="104"/>
      <c r="F68" s="14" t="s">
        <v>585</v>
      </c>
      <c r="G68" s="11">
        <v>17992</v>
      </c>
      <c r="H68" s="67">
        <v>450</v>
      </c>
      <c r="I68" s="12" t="s">
        <v>594</v>
      </c>
      <c r="J68" s="61">
        <v>18033</v>
      </c>
      <c r="K68" s="71">
        <v>400</v>
      </c>
      <c r="L68" s="62"/>
      <c r="M68" s="75"/>
      <c r="N68" s="73"/>
      <c r="O68" s="15"/>
    </row>
    <row r="69" spans="1:15" x14ac:dyDescent="0.25">
      <c r="A69" s="16">
        <v>17860</v>
      </c>
      <c r="B69" s="49">
        <v>250</v>
      </c>
      <c r="C69" s="17" t="s">
        <v>543</v>
      </c>
      <c r="D69" s="13">
        <v>17916</v>
      </c>
      <c r="E69" s="104">
        <v>400</v>
      </c>
      <c r="F69" s="14"/>
      <c r="G69" s="11">
        <v>17993</v>
      </c>
      <c r="H69" s="67">
        <v>400</v>
      </c>
      <c r="I69" s="12"/>
      <c r="J69" s="61">
        <v>18034</v>
      </c>
      <c r="K69" s="71">
        <v>400</v>
      </c>
      <c r="L69" s="62" t="s">
        <v>528</v>
      </c>
      <c r="M69" s="75"/>
      <c r="N69" s="73"/>
      <c r="O69" s="15"/>
    </row>
    <row r="70" spans="1:15" x14ac:dyDescent="0.25">
      <c r="A70" s="16">
        <v>17861</v>
      </c>
      <c r="B70" s="49">
        <v>500</v>
      </c>
      <c r="C70" s="17" t="s">
        <v>569</v>
      </c>
      <c r="D70" s="13">
        <v>17917</v>
      </c>
      <c r="E70" s="104">
        <v>400</v>
      </c>
      <c r="F70" s="14" t="s">
        <v>586</v>
      </c>
      <c r="G70" s="11">
        <v>17994</v>
      </c>
      <c r="H70" s="67">
        <v>300</v>
      </c>
      <c r="I70" s="12"/>
      <c r="J70" s="61"/>
      <c r="K70" s="71"/>
      <c r="L70" s="62" t="s">
        <v>362</v>
      </c>
      <c r="M70" s="75"/>
      <c r="N70" s="73"/>
      <c r="O70" s="15"/>
    </row>
    <row r="71" spans="1:15" x14ac:dyDescent="0.25">
      <c r="A71" s="16">
        <v>17862</v>
      </c>
      <c r="B71" s="49">
        <v>650</v>
      </c>
      <c r="C71" s="17" t="s">
        <v>437</v>
      </c>
      <c r="D71" s="13">
        <v>17918</v>
      </c>
      <c r="E71" s="104">
        <v>400</v>
      </c>
      <c r="F71" s="14"/>
      <c r="G71" s="11">
        <v>17995</v>
      </c>
      <c r="H71" s="67">
        <v>650</v>
      </c>
      <c r="I71" s="12" t="s">
        <v>609</v>
      </c>
      <c r="J71" s="61">
        <v>18035</v>
      </c>
      <c r="K71" s="71">
        <v>400</v>
      </c>
      <c r="L71" s="62"/>
      <c r="M71" s="75"/>
      <c r="N71" s="73"/>
      <c r="O71" s="15"/>
    </row>
    <row r="72" spans="1:15" x14ac:dyDescent="0.25">
      <c r="A72" s="16"/>
      <c r="B72" s="49"/>
      <c r="C72" s="17" t="s">
        <v>570</v>
      </c>
      <c r="D72" s="13">
        <v>17919</v>
      </c>
      <c r="E72" s="104"/>
      <c r="F72" s="14" t="s">
        <v>343</v>
      </c>
      <c r="G72" s="11">
        <v>17996</v>
      </c>
      <c r="H72" s="67">
        <v>250</v>
      </c>
      <c r="I72" s="12" t="s">
        <v>575</v>
      </c>
      <c r="J72" s="61">
        <v>18036</v>
      </c>
      <c r="K72" s="71">
        <v>1200</v>
      </c>
      <c r="L72" s="62" t="s">
        <v>325</v>
      </c>
      <c r="M72" s="75"/>
      <c r="N72" s="73"/>
      <c r="O72" s="15"/>
    </row>
    <row r="73" spans="1:15" x14ac:dyDescent="0.25">
      <c r="A73" s="16">
        <v>17863</v>
      </c>
      <c r="B73" s="49">
        <v>800</v>
      </c>
      <c r="C73" s="17" t="s">
        <v>372</v>
      </c>
      <c r="D73" s="13">
        <v>17920</v>
      </c>
      <c r="E73" s="104">
        <v>650</v>
      </c>
      <c r="F73" s="14" t="s">
        <v>577</v>
      </c>
      <c r="G73" s="11">
        <v>17997</v>
      </c>
      <c r="H73" s="67">
        <v>200</v>
      </c>
      <c r="I73" s="12"/>
      <c r="J73" s="61"/>
      <c r="K73" s="71"/>
      <c r="L73" s="62" t="s">
        <v>20</v>
      </c>
      <c r="M73" s="75"/>
      <c r="N73" s="73"/>
      <c r="O73" s="15"/>
    </row>
    <row r="74" spans="1:15" x14ac:dyDescent="0.25">
      <c r="A74" s="16"/>
      <c r="B74" s="49"/>
      <c r="C74" s="17" t="s">
        <v>20</v>
      </c>
      <c r="D74" s="13">
        <v>17921</v>
      </c>
      <c r="E74" s="104">
        <v>870</v>
      </c>
      <c r="F74" s="14" t="s">
        <v>587</v>
      </c>
      <c r="G74" s="11"/>
      <c r="H74" s="67"/>
      <c r="I74" s="12"/>
      <c r="J74" s="61">
        <v>18037</v>
      </c>
      <c r="K74" s="71">
        <v>400</v>
      </c>
      <c r="L74" s="62"/>
      <c r="M74" s="75"/>
      <c r="N74" s="73"/>
      <c r="O74" s="15"/>
    </row>
    <row r="75" spans="1:15" x14ac:dyDescent="0.25">
      <c r="A75" s="16">
        <v>17864</v>
      </c>
      <c r="B75" s="49">
        <v>200</v>
      </c>
      <c r="C75" s="17" t="s">
        <v>543</v>
      </c>
      <c r="D75" s="13"/>
      <c r="E75" s="104"/>
      <c r="F75" s="14" t="s">
        <v>588</v>
      </c>
      <c r="G75" s="11"/>
      <c r="H75" s="67"/>
      <c r="I75" s="12"/>
      <c r="J75" s="61">
        <v>18038</v>
      </c>
      <c r="K75" s="71">
        <v>400</v>
      </c>
      <c r="L75" s="62" t="s">
        <v>571</v>
      </c>
      <c r="M75" s="75"/>
      <c r="N75" s="73"/>
      <c r="O75" s="15"/>
    </row>
    <row r="76" spans="1:15" x14ac:dyDescent="0.25">
      <c r="A76" s="16">
        <v>17865</v>
      </c>
      <c r="B76" s="49">
        <v>400</v>
      </c>
      <c r="C76" s="17" t="s">
        <v>437</v>
      </c>
      <c r="D76" s="13"/>
      <c r="E76" s="104"/>
      <c r="F76" s="14" t="s">
        <v>280</v>
      </c>
      <c r="G76" s="11"/>
      <c r="H76" s="67"/>
      <c r="I76" s="12"/>
      <c r="J76" s="61">
        <v>18039</v>
      </c>
      <c r="K76" s="71">
        <v>250</v>
      </c>
      <c r="L76" s="62" t="s">
        <v>543</v>
      </c>
      <c r="M76" s="75"/>
      <c r="N76" s="73"/>
      <c r="O76" s="15"/>
    </row>
    <row r="77" spans="1:15" x14ac:dyDescent="0.25">
      <c r="A77" s="16">
        <v>17866</v>
      </c>
      <c r="B77" s="49">
        <v>300</v>
      </c>
      <c r="C77" s="17"/>
      <c r="D77" s="13">
        <v>17922</v>
      </c>
      <c r="E77" s="104">
        <v>200</v>
      </c>
      <c r="F77" s="14" t="s">
        <v>586</v>
      </c>
      <c r="G77" s="11"/>
      <c r="H77" s="67"/>
      <c r="I77" s="12"/>
      <c r="J77" s="61">
        <v>18040</v>
      </c>
      <c r="K77" s="71">
        <v>1000</v>
      </c>
      <c r="L77" s="62" t="s">
        <v>355</v>
      </c>
      <c r="M77" s="75"/>
      <c r="N77" s="73"/>
      <c r="O77" s="15"/>
    </row>
    <row r="78" spans="1:15" x14ac:dyDescent="0.25">
      <c r="A78" s="16">
        <v>17867</v>
      </c>
      <c r="B78" s="49">
        <v>100</v>
      </c>
      <c r="C78" s="17" t="s">
        <v>84</v>
      </c>
      <c r="D78" s="13">
        <v>17923</v>
      </c>
      <c r="E78" s="104"/>
      <c r="F78" s="14" t="s">
        <v>343</v>
      </c>
      <c r="G78" s="11"/>
      <c r="H78" s="67"/>
      <c r="I78" s="12"/>
      <c r="J78" s="61"/>
      <c r="K78" s="71"/>
      <c r="L78" s="62" t="s">
        <v>616</v>
      </c>
      <c r="M78" s="75"/>
      <c r="N78" s="73"/>
      <c r="O78" s="15"/>
    </row>
    <row r="79" spans="1:15" x14ac:dyDescent="0.25">
      <c r="A79" s="16">
        <v>17868</v>
      </c>
      <c r="B79" s="49">
        <v>200</v>
      </c>
      <c r="C79" s="17"/>
      <c r="D79" s="13">
        <v>17924</v>
      </c>
      <c r="E79" s="104">
        <v>800</v>
      </c>
      <c r="F79" s="14" t="s">
        <v>528</v>
      </c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/>
      <c r="D80" s="13"/>
      <c r="E80" s="104"/>
      <c r="F80" s="14" t="s">
        <v>20</v>
      </c>
      <c r="G80" s="26"/>
      <c r="H80" s="74"/>
      <c r="I80" s="58"/>
      <c r="J80" s="26"/>
      <c r="K80" s="74"/>
      <c r="L80" s="58"/>
      <c r="M80" s="26"/>
      <c r="N80" s="74"/>
      <c r="O80" s="58"/>
    </row>
    <row r="81" spans="1:15" x14ac:dyDescent="0.25">
      <c r="A81" s="16"/>
      <c r="B81" s="49"/>
      <c r="C81" s="17"/>
      <c r="D81" s="13">
        <v>17925</v>
      </c>
      <c r="E81" s="104">
        <v>250</v>
      </c>
      <c r="F81" s="14" t="s">
        <v>575</v>
      </c>
      <c r="G81" s="26"/>
      <c r="H81" s="74"/>
      <c r="I81" s="58"/>
      <c r="J81" s="26"/>
      <c r="K81" s="74"/>
      <c r="L81" s="58"/>
      <c r="M81" s="26"/>
      <c r="N81" s="74"/>
      <c r="O81" s="58"/>
    </row>
    <row r="82" spans="1:15" x14ac:dyDescent="0.25">
      <c r="A82" s="16"/>
      <c r="B82" s="49"/>
      <c r="C82" s="17"/>
      <c r="D82" s="13">
        <v>17926</v>
      </c>
      <c r="E82" s="104">
        <v>200</v>
      </c>
      <c r="F82" s="14"/>
      <c r="G82" s="26"/>
      <c r="H82" s="74"/>
      <c r="I82" s="58"/>
      <c r="J82" s="26"/>
      <c r="K82" s="74"/>
      <c r="L82" s="58"/>
      <c r="M82" s="26"/>
      <c r="N82" s="74"/>
      <c r="O82" s="58"/>
    </row>
    <row r="83" spans="1:15" x14ac:dyDescent="0.25">
      <c r="A83" s="16"/>
      <c r="B83" s="49"/>
      <c r="C83" s="17"/>
      <c r="D83" s="13">
        <v>17927</v>
      </c>
      <c r="E83" s="104">
        <v>850</v>
      </c>
      <c r="F83" s="14" t="s">
        <v>587</v>
      </c>
      <c r="G83" s="26"/>
      <c r="H83" s="74"/>
      <c r="I83" s="58"/>
      <c r="J83" s="26"/>
      <c r="K83" s="74"/>
      <c r="L83" s="58"/>
      <c r="M83" s="26"/>
      <c r="N83" s="74"/>
      <c r="O83" s="58"/>
    </row>
    <row r="84" spans="1:15" x14ac:dyDescent="0.25">
      <c r="A84" s="16"/>
      <c r="B84" s="49"/>
      <c r="C84" s="17"/>
      <c r="D84" s="13"/>
      <c r="E84" s="104"/>
      <c r="F84" s="14" t="s">
        <v>536</v>
      </c>
      <c r="G84" s="26"/>
      <c r="H84" s="74"/>
      <c r="I84" s="58"/>
      <c r="J84" s="26"/>
      <c r="K84" s="74"/>
      <c r="L84" s="58"/>
      <c r="M84" s="26"/>
      <c r="N84" s="74"/>
      <c r="O84" s="58"/>
    </row>
    <row r="85" spans="1:15" x14ac:dyDescent="0.25">
      <c r="A85" s="16"/>
      <c r="B85" s="49"/>
      <c r="C85" s="17"/>
      <c r="D85" s="13">
        <v>17928</v>
      </c>
      <c r="E85" s="104">
        <v>400</v>
      </c>
      <c r="F85" s="14"/>
      <c r="G85" s="26"/>
      <c r="H85" s="74"/>
      <c r="I85" s="58"/>
      <c r="J85" s="26"/>
      <c r="K85" s="74"/>
      <c r="L85" s="58"/>
      <c r="M85" s="26"/>
      <c r="N85" s="74"/>
      <c r="O85" s="58"/>
    </row>
    <row r="86" spans="1:15" x14ac:dyDescent="0.25">
      <c r="A86" s="16"/>
      <c r="B86" s="49"/>
      <c r="C86" s="17"/>
      <c r="D86" s="13">
        <v>17929</v>
      </c>
      <c r="E86" s="104">
        <v>600</v>
      </c>
      <c r="F86" s="14" t="s">
        <v>528</v>
      </c>
      <c r="G86" s="26"/>
      <c r="H86" s="74"/>
      <c r="I86" s="58"/>
      <c r="J86" s="26"/>
      <c r="K86" s="74"/>
      <c r="L86" s="58"/>
      <c r="M86" s="26"/>
      <c r="N86" s="74"/>
      <c r="O86" s="58"/>
    </row>
    <row r="87" spans="1:15" x14ac:dyDescent="0.25">
      <c r="A87" s="16"/>
      <c r="B87" s="49"/>
      <c r="C87" s="17"/>
      <c r="D87" s="13"/>
      <c r="E87" s="104"/>
      <c r="F87" s="14" t="s">
        <v>23</v>
      </c>
      <c r="G87" s="26"/>
      <c r="H87" s="74"/>
      <c r="I87" s="58"/>
      <c r="J87" s="26"/>
      <c r="K87" s="74"/>
      <c r="L87" s="58"/>
      <c r="M87" s="26"/>
      <c r="N87" s="74"/>
      <c r="O87" s="58"/>
    </row>
    <row r="88" spans="1:15" x14ac:dyDescent="0.25">
      <c r="A88" s="16"/>
      <c r="B88" s="49"/>
      <c r="C88" s="17"/>
      <c r="D88" s="13">
        <v>17930</v>
      </c>
      <c r="E88" s="104">
        <v>400</v>
      </c>
      <c r="F88" s="14" t="s">
        <v>336</v>
      </c>
      <c r="G88" s="26"/>
      <c r="H88" s="74"/>
      <c r="I88" s="58"/>
      <c r="J88" s="26"/>
      <c r="K88" s="74"/>
      <c r="L88" s="58"/>
      <c r="M88" s="26"/>
      <c r="N88" s="74"/>
      <c r="O88" s="58"/>
    </row>
    <row r="89" spans="1:15" x14ac:dyDescent="0.25">
      <c r="A89" s="16"/>
      <c r="B89" s="49"/>
      <c r="C89" s="17"/>
      <c r="D89" s="13">
        <v>17931</v>
      </c>
      <c r="E89" s="104">
        <v>200</v>
      </c>
      <c r="F89" s="14" t="s">
        <v>571</v>
      </c>
      <c r="G89" s="26"/>
      <c r="H89" s="74"/>
      <c r="I89" s="58"/>
      <c r="J89" s="26"/>
      <c r="K89" s="74"/>
      <c r="L89" s="58"/>
      <c r="M89" s="26"/>
      <c r="N89" s="74"/>
      <c r="O89" s="58"/>
    </row>
    <row r="90" spans="1:15" x14ac:dyDescent="0.25">
      <c r="A90" s="16"/>
      <c r="B90" s="49"/>
      <c r="C90" s="17"/>
      <c r="D90" s="13">
        <v>17932</v>
      </c>
      <c r="E90" s="104">
        <v>1200</v>
      </c>
      <c r="F90" s="14" t="s">
        <v>388</v>
      </c>
      <c r="G90" s="26"/>
      <c r="H90" s="74"/>
      <c r="I90" s="58"/>
      <c r="J90" s="26"/>
      <c r="K90" s="74"/>
      <c r="L90" s="58"/>
      <c r="M90" s="26"/>
      <c r="N90" s="74"/>
      <c r="O90" s="58"/>
    </row>
    <row r="91" spans="1:15" x14ac:dyDescent="0.25">
      <c r="A91" s="16"/>
      <c r="B91" s="49"/>
      <c r="C91" s="17"/>
      <c r="D91" s="13"/>
      <c r="E91" s="104"/>
      <c r="F91" s="14" t="s">
        <v>20</v>
      </c>
      <c r="G91" s="26"/>
      <c r="H91" s="74"/>
      <c r="I91" s="58"/>
      <c r="J91" s="26"/>
      <c r="K91" s="74"/>
      <c r="L91" s="58"/>
      <c r="M91" s="26"/>
      <c r="N91" s="74"/>
      <c r="O91" s="58"/>
    </row>
    <row r="92" spans="1:15" x14ac:dyDescent="0.25">
      <c r="A92" s="16"/>
      <c r="B92" s="49"/>
      <c r="C92" s="17"/>
      <c r="D92" s="13">
        <v>17933</v>
      </c>
      <c r="E92" s="104">
        <v>250</v>
      </c>
      <c r="F92" s="14" t="s">
        <v>575</v>
      </c>
      <c r="G92" s="26"/>
      <c r="H92" s="74"/>
      <c r="I92" s="58"/>
      <c r="J92" s="26"/>
      <c r="K92" s="74"/>
      <c r="L92" s="58"/>
      <c r="M92" s="26"/>
      <c r="N92" s="74"/>
      <c r="O92" s="58"/>
    </row>
    <row r="93" spans="1:15" x14ac:dyDescent="0.25">
      <c r="A93" s="16"/>
      <c r="B93" s="49"/>
      <c r="C93" s="17"/>
      <c r="D93" s="13">
        <v>17934</v>
      </c>
      <c r="E93" s="104">
        <v>400</v>
      </c>
      <c r="F93" s="14" t="s">
        <v>336</v>
      </c>
      <c r="G93" s="26"/>
      <c r="H93" s="74"/>
      <c r="I93" s="58"/>
      <c r="J93" s="26"/>
      <c r="K93" s="74"/>
      <c r="L93" s="58"/>
      <c r="M93" s="26"/>
      <c r="N93" s="74"/>
      <c r="O93" s="58"/>
    </row>
    <row r="94" spans="1:15" x14ac:dyDescent="0.25">
      <c r="A94" s="16"/>
      <c r="B94" s="49"/>
      <c r="C94" s="17"/>
      <c r="D94" s="13">
        <v>17935</v>
      </c>
      <c r="E94" s="104">
        <v>400</v>
      </c>
      <c r="F94" s="14"/>
      <c r="G94" s="26"/>
      <c r="H94" s="74"/>
      <c r="I94" s="58"/>
      <c r="J94" s="26"/>
      <c r="K94" s="58"/>
      <c r="L94" s="58"/>
      <c r="M94" s="58"/>
      <c r="N94" s="58"/>
      <c r="O94" s="58"/>
    </row>
    <row r="95" spans="1:15" x14ac:dyDescent="0.25">
      <c r="A95" s="16"/>
      <c r="B95" s="49"/>
      <c r="C95" s="17"/>
      <c r="D95" s="13">
        <v>17936</v>
      </c>
      <c r="E95" s="104">
        <v>400</v>
      </c>
      <c r="F95" s="14"/>
      <c r="G95" s="26"/>
      <c r="H95" s="58"/>
      <c r="I95" s="58"/>
      <c r="J95" s="26"/>
      <c r="K95" s="58"/>
      <c r="L95" s="58"/>
      <c r="M95" s="58"/>
      <c r="N95" s="58"/>
      <c r="O95" s="58"/>
    </row>
    <row r="96" spans="1:15" x14ac:dyDescent="0.25">
      <c r="A96" s="16"/>
      <c r="B96" s="49"/>
      <c r="C96" s="17"/>
      <c r="D96" s="13">
        <v>17937</v>
      </c>
      <c r="E96" s="104">
        <v>500</v>
      </c>
      <c r="F96" s="14" t="s">
        <v>589</v>
      </c>
      <c r="G96" s="26"/>
      <c r="H96" s="58"/>
      <c r="I96" s="58"/>
      <c r="J96" s="26"/>
      <c r="K96" s="58"/>
      <c r="L96" s="58"/>
      <c r="M96" s="58"/>
      <c r="N96" s="58"/>
      <c r="O96" s="58"/>
    </row>
    <row r="97" spans="1:15" x14ac:dyDescent="0.25">
      <c r="A97" s="16"/>
      <c r="B97" s="49"/>
      <c r="C97" s="17"/>
      <c r="D97" s="13"/>
      <c r="E97" s="104"/>
      <c r="F97" s="14" t="s">
        <v>590</v>
      </c>
      <c r="G97" s="26"/>
      <c r="H97" s="58"/>
      <c r="I97" s="58"/>
      <c r="J97" s="26"/>
      <c r="K97" s="58"/>
      <c r="L97" s="58"/>
      <c r="M97" s="58"/>
      <c r="N97" s="58"/>
      <c r="O97" s="58"/>
    </row>
    <row r="98" spans="1:15" x14ac:dyDescent="0.25">
      <c r="A98" s="16"/>
      <c r="B98" s="49"/>
      <c r="C98" s="17"/>
      <c r="D98" s="13">
        <v>17938</v>
      </c>
      <c r="E98" s="104">
        <v>750</v>
      </c>
      <c r="F98" s="14" t="s">
        <v>591</v>
      </c>
      <c r="G98" s="26"/>
      <c r="H98" s="58"/>
      <c r="I98" s="58"/>
      <c r="J98" s="26"/>
      <c r="K98" s="58"/>
      <c r="L98" s="58"/>
      <c r="M98" s="58"/>
      <c r="N98" s="58"/>
      <c r="O98" s="58"/>
    </row>
    <row r="99" spans="1:15" x14ac:dyDescent="0.25">
      <c r="A99" s="16"/>
      <c r="B99" s="49"/>
      <c r="C99" s="17"/>
      <c r="D99" s="13">
        <v>17939</v>
      </c>
      <c r="E99" s="104">
        <v>320</v>
      </c>
      <c r="F99" s="14" t="s">
        <v>592</v>
      </c>
      <c r="G99" s="26"/>
      <c r="H99" s="58"/>
      <c r="I99" s="58"/>
      <c r="J99" s="26"/>
      <c r="K99" s="58"/>
      <c r="L99" s="58"/>
      <c r="M99" s="58"/>
      <c r="N99" s="58"/>
      <c r="O99" s="58"/>
    </row>
    <row r="100" spans="1:15" x14ac:dyDescent="0.25">
      <c r="A100" s="16"/>
      <c r="B100" s="49"/>
      <c r="C100" s="17"/>
      <c r="D100" s="13">
        <v>17940</v>
      </c>
      <c r="E100" s="104">
        <v>350</v>
      </c>
      <c r="F100" s="14" t="s">
        <v>593</v>
      </c>
      <c r="G100" s="26"/>
      <c r="H100" s="58"/>
      <c r="I100" s="58"/>
      <c r="J100" s="26"/>
      <c r="K100" s="58"/>
      <c r="L100" s="58"/>
      <c r="M100" s="58"/>
      <c r="N100" s="58"/>
      <c r="O100" s="58"/>
    </row>
    <row r="101" spans="1:15" x14ac:dyDescent="0.25">
      <c r="A101" s="16"/>
      <c r="B101" s="49"/>
      <c r="C101" s="17"/>
      <c r="D101" s="13">
        <v>17941</v>
      </c>
      <c r="E101" s="104">
        <v>450</v>
      </c>
      <c r="F101" s="14" t="s">
        <v>594</v>
      </c>
      <c r="G101" s="26"/>
      <c r="H101" s="58"/>
      <c r="I101" s="58"/>
      <c r="J101" s="26"/>
      <c r="K101" s="58"/>
      <c r="L101" s="58"/>
      <c r="M101" s="58"/>
      <c r="N101" s="58"/>
      <c r="O101" s="58"/>
    </row>
    <row r="102" spans="1:15" x14ac:dyDescent="0.25">
      <c r="A102" s="16"/>
      <c r="B102" s="49"/>
      <c r="C102" s="17"/>
      <c r="D102" s="13">
        <v>17942</v>
      </c>
      <c r="E102" s="104">
        <v>40</v>
      </c>
      <c r="F102" s="14" t="s">
        <v>499</v>
      </c>
      <c r="G102" s="26"/>
      <c r="H102" s="58"/>
      <c r="I102" s="58"/>
      <c r="J102" s="26"/>
      <c r="K102" s="58"/>
      <c r="L102" s="58"/>
      <c r="M102" s="58"/>
      <c r="N102" s="58"/>
      <c r="O102" s="58"/>
    </row>
    <row r="103" spans="1:15" x14ac:dyDescent="0.25">
      <c r="A103" s="16"/>
      <c r="B103" s="49"/>
      <c r="C103" s="17"/>
      <c r="D103" s="13">
        <v>17943</v>
      </c>
      <c r="E103" s="104"/>
      <c r="F103" s="14" t="s">
        <v>343</v>
      </c>
      <c r="G103" s="26"/>
      <c r="H103" s="58"/>
      <c r="I103" s="58"/>
      <c r="J103" s="26"/>
      <c r="K103" s="58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139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139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66"/>
      <c r="C106" s="58"/>
      <c r="D106" s="26"/>
      <c r="E106" s="139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66"/>
      <c r="C107" s="58"/>
      <c r="D107" s="26"/>
      <c r="E107" s="139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66"/>
      <c r="C108" s="58"/>
      <c r="D108" s="26"/>
      <c r="E108" s="58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66"/>
      <c r="C109" s="58"/>
      <c r="D109" s="26"/>
      <c r="E109" s="58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66"/>
      <c r="C110" s="58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66"/>
      <c r="C111" s="58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6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6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24</vt:i4>
      </vt:variant>
    </vt:vector>
  </HeadingPairs>
  <TitlesOfParts>
    <vt:vector size="36" baseType="lpstr">
      <vt:lpstr>C C Aportaciones ENE 18</vt:lpstr>
      <vt:lpstr>C C Aportaciones FEB 18</vt:lpstr>
      <vt:lpstr>C C Aportaciones MAR 18 </vt:lpstr>
      <vt:lpstr>C C Aportaciones ABR 18   </vt:lpstr>
      <vt:lpstr>C C Aportaciones MAY 18</vt:lpstr>
      <vt:lpstr>CC Aportaciones JUN 18</vt:lpstr>
      <vt:lpstr>C C Aportaciones JUL 18   </vt:lpstr>
      <vt:lpstr>C C Aportaciones AGO 18   </vt:lpstr>
      <vt:lpstr>C C Aportaciones SEP 17</vt:lpstr>
      <vt:lpstr>C C Aportaciones OCT 18 </vt:lpstr>
      <vt:lpstr>C C Aportaciones NOV 18   </vt:lpstr>
      <vt:lpstr>C C Aportaciones DIC 18  </vt:lpstr>
      <vt:lpstr>'C C Aportaciones ABR 18   '!Área_de_impresión</vt:lpstr>
      <vt:lpstr>'C C Aportaciones AGO 18   '!Área_de_impresión</vt:lpstr>
      <vt:lpstr>'C C Aportaciones DIC 18  '!Área_de_impresión</vt:lpstr>
      <vt:lpstr>'C C Aportaciones ENE 18'!Área_de_impresión</vt:lpstr>
      <vt:lpstr>'C C Aportaciones FEB 18'!Área_de_impresión</vt:lpstr>
      <vt:lpstr>'C C Aportaciones JUL 18   '!Área_de_impresión</vt:lpstr>
      <vt:lpstr>'C C Aportaciones MAR 18 '!Área_de_impresión</vt:lpstr>
      <vt:lpstr>'C C Aportaciones MAY 18'!Área_de_impresión</vt:lpstr>
      <vt:lpstr>'C C Aportaciones NOV 18   '!Área_de_impresión</vt:lpstr>
      <vt:lpstr>'C C Aportaciones OCT 18 '!Área_de_impresión</vt:lpstr>
      <vt:lpstr>'C C Aportaciones SEP 17'!Área_de_impresión</vt:lpstr>
      <vt:lpstr>'CC Aportaciones JUN 18'!Área_de_impresión</vt:lpstr>
      <vt:lpstr>'C C Aportaciones ABR 18   '!Títulos_a_imprimir</vt:lpstr>
      <vt:lpstr>'C C Aportaciones AGO 18   '!Títulos_a_imprimir</vt:lpstr>
      <vt:lpstr>'C C Aportaciones DIC 18  '!Títulos_a_imprimir</vt:lpstr>
      <vt:lpstr>'C C Aportaciones ENE 18'!Títulos_a_imprimir</vt:lpstr>
      <vt:lpstr>'C C Aportaciones FEB 18'!Títulos_a_imprimir</vt:lpstr>
      <vt:lpstr>'C C Aportaciones JUL 18   '!Títulos_a_imprimir</vt:lpstr>
      <vt:lpstr>'C C Aportaciones MAR 18 '!Títulos_a_imprimir</vt:lpstr>
      <vt:lpstr>'C C Aportaciones MAY 18'!Títulos_a_imprimir</vt:lpstr>
      <vt:lpstr>'C C Aportaciones NOV 18   '!Títulos_a_imprimir</vt:lpstr>
      <vt:lpstr>'C C Aportaciones OCT 18 '!Títulos_a_imprimir</vt:lpstr>
      <vt:lpstr>'C C Aportaciones SEP 17'!Títulos_a_imprimir</vt:lpstr>
      <vt:lpstr>'CC Aportaciones JUN 18'!Títulos_a_imprimir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GALVEZ</dc:creator>
  <cp:lastModifiedBy>Hacienda de Coyoacan</cp:lastModifiedBy>
  <cp:lastPrinted>2016-11-10T23:00:47Z</cp:lastPrinted>
  <dcterms:created xsi:type="dcterms:W3CDTF">2013-12-30T22:30:56Z</dcterms:created>
  <dcterms:modified xsi:type="dcterms:W3CDTF">2019-01-10T02:14:09Z</dcterms:modified>
</cp:coreProperties>
</file>