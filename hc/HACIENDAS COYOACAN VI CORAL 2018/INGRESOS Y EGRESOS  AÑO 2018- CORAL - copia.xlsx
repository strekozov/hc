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585" windowWidth="20730" windowHeight="9045" firstSheet="5" activeTab="11"/>
  </bookViews>
  <sheets>
    <sheet name="ENERO-18 " sheetId="15" r:id="rId1"/>
    <sheet name="FEBRERO-18 " sheetId="28" r:id="rId2"/>
    <sheet name="MARZO-18" sheetId="18" r:id="rId3"/>
    <sheet name="ABRIL-18" sheetId="21" r:id="rId4"/>
    <sheet name="MAYO-18" sheetId="26" r:id="rId5"/>
    <sheet name="JUNIO-18" sheetId="9" r:id="rId6"/>
    <sheet name="JULIO-18" sheetId="10" r:id="rId7"/>
    <sheet name="AGOSTO-18" sheetId="11" r:id="rId8"/>
    <sheet name="SEPTIEMBRE-18" sheetId="12" r:id="rId9"/>
    <sheet name="OCTUBRE-18" sheetId="13" r:id="rId10"/>
    <sheet name="NOVIEMBRE-18 " sheetId="29" r:id="rId11"/>
    <sheet name="DICIEMBRE-18" sheetId="30" r:id="rId12"/>
    <sheet name="ESTADO DE CUENTA" sheetId="16" r:id="rId13"/>
    <sheet name="Hoja1" sheetId="31" r:id="rId14"/>
  </sheets>
  <definedNames>
    <definedName name="_xlnm.Print_Area" localSheetId="3">'ABRIL-18'!$B$1:$L$192</definedName>
    <definedName name="_xlnm.Print_Area" localSheetId="7">'AGOSTO-18'!$B$1:$L$115</definedName>
    <definedName name="_xlnm.Print_Area" localSheetId="11">'DICIEMBRE-18'!$B$1:$L$128</definedName>
    <definedName name="_xlnm.Print_Area" localSheetId="0">'ENERO-18 '!$A$1:$J$145</definedName>
    <definedName name="_xlnm.Print_Area" localSheetId="12">'ESTADO DE CUENTA'!$B$1:$N$28</definedName>
    <definedName name="_xlnm.Print_Area" localSheetId="1">'FEBRERO-18 '!$B$1:$L$113</definedName>
    <definedName name="_xlnm.Print_Area" localSheetId="6">'JULIO-18'!$B$1:$L$138</definedName>
    <definedName name="_xlnm.Print_Area" localSheetId="5">'JUNIO-18'!$B$1:$L$137</definedName>
    <definedName name="_xlnm.Print_Area" localSheetId="2">'MARZO-18'!$B$1:$L$117</definedName>
    <definedName name="_xlnm.Print_Area" localSheetId="4">'MAYO-18'!$B$3:$L$114</definedName>
    <definedName name="_xlnm.Print_Area" localSheetId="10">'NOVIEMBRE-18 '!$B$1:$K$97</definedName>
    <definedName name="_xlnm.Print_Area" localSheetId="9">'OCTUBRE-18'!$B$1:$L$132</definedName>
    <definedName name="_xlnm.Print_Area" localSheetId="8">'SEPTIEMBRE-18'!$B$1:$L$121</definedName>
  </definedNames>
  <calcPr calcId="144525"/>
</workbook>
</file>

<file path=xl/calcChain.xml><?xml version="1.0" encoding="utf-8"?>
<calcChain xmlns="http://schemas.openxmlformats.org/spreadsheetml/2006/main">
  <c r="H110" i="30" l="1"/>
  <c r="D110" i="30"/>
  <c r="H55" i="30"/>
  <c r="G55" i="30"/>
  <c r="D55" i="30"/>
  <c r="H124" i="30"/>
  <c r="E124" i="30"/>
  <c r="D124" i="30"/>
  <c r="H94" i="29" l="1"/>
  <c r="G94" i="29"/>
  <c r="F94" i="29"/>
  <c r="E94" i="29"/>
  <c r="D94" i="29"/>
  <c r="J59" i="29"/>
  <c r="K59" i="29"/>
  <c r="J60" i="29"/>
  <c r="K60" i="29"/>
  <c r="J61" i="29"/>
  <c r="K61" i="29"/>
  <c r="J62" i="29"/>
  <c r="K62" i="29"/>
  <c r="J63" i="29"/>
  <c r="K63" i="29"/>
  <c r="J64" i="29"/>
  <c r="K64" i="29"/>
  <c r="J65" i="29"/>
  <c r="K65" i="29"/>
  <c r="J66" i="29"/>
  <c r="K66" i="29"/>
  <c r="J67" i="29"/>
  <c r="K67" i="29"/>
  <c r="J68" i="29"/>
  <c r="K68" i="29"/>
  <c r="J69" i="29"/>
  <c r="K69" i="29"/>
  <c r="J70" i="29"/>
  <c r="K70" i="29"/>
  <c r="J71" i="29"/>
  <c r="K71" i="29"/>
  <c r="J72" i="29"/>
  <c r="K72" i="29"/>
  <c r="J73" i="29"/>
  <c r="K73" i="29"/>
  <c r="J74" i="29"/>
  <c r="K74" i="29"/>
  <c r="J75" i="29"/>
  <c r="K75" i="29"/>
  <c r="J76" i="29"/>
  <c r="K76" i="29"/>
  <c r="J77" i="29"/>
  <c r="K77" i="29"/>
  <c r="J78" i="29"/>
  <c r="K78" i="29"/>
  <c r="J79" i="29"/>
  <c r="K79" i="29"/>
  <c r="J80" i="29"/>
  <c r="K80" i="29"/>
  <c r="J81" i="29"/>
  <c r="K81" i="29"/>
  <c r="J82" i="29"/>
  <c r="K82" i="29"/>
  <c r="J83" i="29"/>
  <c r="K83" i="29"/>
  <c r="J84" i="29"/>
  <c r="K84" i="29"/>
  <c r="J85" i="29"/>
  <c r="K85" i="29"/>
  <c r="J86" i="29"/>
  <c r="K86" i="29"/>
  <c r="J87" i="29"/>
  <c r="K87" i="29"/>
  <c r="J88" i="29"/>
  <c r="K88" i="29"/>
  <c r="J89" i="29"/>
  <c r="K89" i="29"/>
  <c r="J90" i="29"/>
  <c r="K90" i="29"/>
  <c r="J91" i="29"/>
  <c r="K91" i="29"/>
  <c r="J92" i="29"/>
  <c r="K92" i="29"/>
  <c r="J93" i="29"/>
  <c r="K93" i="29"/>
  <c r="H49" i="29"/>
  <c r="G49" i="29"/>
  <c r="E49" i="29"/>
  <c r="D49" i="29"/>
  <c r="I52" i="29"/>
  <c r="F52" i="29"/>
  <c r="K47" i="29"/>
  <c r="K48" i="29" s="1"/>
  <c r="K53" i="29" s="1"/>
  <c r="K54" i="29" s="1"/>
  <c r="K55" i="29" s="1"/>
  <c r="K56" i="29" s="1"/>
  <c r="K57" i="29" s="1"/>
  <c r="K58" i="29" s="1"/>
  <c r="F49" i="29" l="1"/>
  <c r="E147" i="13" l="1"/>
  <c r="I139" i="13" l="1"/>
  <c r="I137" i="13"/>
  <c r="I129" i="13" l="1"/>
  <c r="H129" i="13"/>
  <c r="G129" i="13"/>
  <c r="F129" i="13"/>
  <c r="E129" i="13"/>
  <c r="D129" i="13"/>
  <c r="I117" i="13"/>
  <c r="F117" i="13"/>
  <c r="H114" i="13"/>
  <c r="G114" i="13"/>
  <c r="I114" i="13" s="1"/>
  <c r="E114" i="13"/>
  <c r="D114" i="13"/>
  <c r="F114" i="13" s="1"/>
  <c r="D57" i="13"/>
  <c r="H57" i="13" l="1"/>
  <c r="I118" i="12" l="1"/>
  <c r="H118" i="12"/>
  <c r="G118" i="12"/>
  <c r="F118" i="12"/>
  <c r="E118" i="12"/>
  <c r="D118" i="12"/>
  <c r="I111" i="12"/>
  <c r="F111" i="12"/>
  <c r="H108" i="12"/>
  <c r="G108" i="12"/>
  <c r="I108" i="12" s="1"/>
  <c r="E108" i="12"/>
  <c r="D108" i="12"/>
  <c r="F108" i="12" s="1"/>
  <c r="I57" i="12"/>
  <c r="F57" i="12"/>
  <c r="H54" i="12"/>
  <c r="G54" i="12"/>
  <c r="E54" i="12"/>
  <c r="D54" i="12"/>
  <c r="F54" i="12" s="1"/>
  <c r="I54" i="12" l="1"/>
  <c r="H112" i="11" l="1"/>
  <c r="H61" i="11"/>
  <c r="D53" i="9" l="1"/>
  <c r="E53" i="9"/>
  <c r="G53" i="9"/>
  <c r="H53" i="9"/>
  <c r="F53" i="9" l="1"/>
  <c r="I53" i="9"/>
  <c r="G134" i="9"/>
  <c r="H106" i="9" l="1"/>
  <c r="H134" i="9"/>
  <c r="E134" i="9"/>
  <c r="D134" i="9"/>
  <c r="D106" i="9"/>
  <c r="F134" i="9" l="1"/>
  <c r="K110" i="9"/>
  <c r="K111" i="9" s="1"/>
  <c r="K112" i="9" s="1"/>
  <c r="K113" i="9" s="1"/>
  <c r="K114" i="9" s="1"/>
  <c r="K115" i="9" s="1"/>
  <c r="K116" i="9" s="1"/>
  <c r="K117" i="9" s="1"/>
  <c r="K118" i="9" s="1"/>
  <c r="K119" i="9" s="1"/>
  <c r="K120" i="9" s="1"/>
  <c r="K121" i="9" s="1"/>
  <c r="K122" i="9" s="1"/>
  <c r="K123" i="9" s="1"/>
  <c r="K124" i="9" s="1"/>
  <c r="K125" i="9" s="1"/>
  <c r="K126" i="9" s="1"/>
  <c r="K127" i="9" s="1"/>
  <c r="K128" i="9" s="1"/>
  <c r="K129" i="9" s="1"/>
  <c r="K130" i="9" s="1"/>
  <c r="K131" i="9" s="1"/>
  <c r="K132" i="9" s="1"/>
  <c r="K133" i="9" s="1"/>
  <c r="J110" i="9"/>
  <c r="J111" i="9" s="1"/>
  <c r="J112" i="9" s="1"/>
  <c r="J113" i="9" s="1"/>
  <c r="J114" i="9" s="1"/>
  <c r="J115" i="9" s="1"/>
  <c r="J116" i="9" s="1"/>
  <c r="J117" i="9" s="1"/>
  <c r="J118" i="9" s="1"/>
  <c r="J119" i="9" s="1"/>
  <c r="J120" i="9" s="1"/>
  <c r="J121" i="9" s="1"/>
  <c r="J122" i="9" s="1"/>
  <c r="J123" i="9" s="1"/>
  <c r="J124" i="9" s="1"/>
  <c r="J125" i="9" s="1"/>
  <c r="J126" i="9" s="1"/>
  <c r="J127" i="9" s="1"/>
  <c r="J128" i="9" s="1"/>
  <c r="J129" i="9" s="1"/>
  <c r="J130" i="9" s="1"/>
  <c r="J131" i="9" s="1"/>
  <c r="J132" i="9" s="1"/>
  <c r="J133" i="9" s="1"/>
  <c r="J57" i="9" l="1"/>
  <c r="K57" i="9"/>
  <c r="K111" i="26" l="1"/>
  <c r="D109" i="26"/>
  <c r="G109" i="26"/>
  <c r="H109" i="26"/>
  <c r="I109" i="26" s="1"/>
  <c r="H59" i="26" l="1"/>
  <c r="K107" i="21" l="1"/>
  <c r="K108" i="21"/>
  <c r="H115" i="18" l="1"/>
  <c r="H110" i="18"/>
  <c r="F115" i="18"/>
  <c r="G115" i="18"/>
  <c r="E110" i="18"/>
  <c r="E115" i="18" s="1"/>
  <c r="F110" i="18"/>
  <c r="D115" i="18"/>
  <c r="D110" i="18"/>
  <c r="G110" i="18"/>
  <c r="I110" i="18" s="1"/>
  <c r="H55" i="18"/>
  <c r="K6" i="18"/>
  <c r="K7" i="18" s="1"/>
  <c r="K8" i="18" s="1"/>
  <c r="K9" i="18" s="1"/>
  <c r="K10" i="18" s="1"/>
  <c r="K11" i="18" s="1"/>
  <c r="K12" i="18" s="1"/>
  <c r="K13" i="18" s="1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K41" i="18" s="1"/>
  <c r="K42" i="18" s="1"/>
  <c r="K43" i="18" s="1"/>
  <c r="K44" i="18" s="1"/>
  <c r="K45" i="18" s="1"/>
  <c r="K46" i="18" s="1"/>
  <c r="K47" i="18" s="1"/>
  <c r="K48" i="18" s="1"/>
  <c r="K49" i="18" s="1"/>
  <c r="K50" i="18" s="1"/>
  <c r="K51" i="18" s="1"/>
  <c r="K52" i="18" s="1"/>
  <c r="K53" i="18" s="1"/>
  <c r="K54" i="18" s="1"/>
  <c r="J6" i="18"/>
  <c r="J7" i="18" s="1"/>
  <c r="J8" i="18" s="1"/>
  <c r="J9" i="18" s="1"/>
  <c r="J10" i="18" s="1"/>
  <c r="J11" i="18" s="1"/>
  <c r="J12" i="18" s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J53" i="18" s="1"/>
  <c r="J54" i="18" s="1"/>
  <c r="K59" i="18"/>
  <c r="K60" i="18" s="1"/>
  <c r="K61" i="18" s="1"/>
  <c r="K62" i="18" s="1"/>
  <c r="K63" i="18" s="1"/>
  <c r="K64" i="18" s="1"/>
  <c r="K65" i="18" s="1"/>
  <c r="K66" i="18" s="1"/>
  <c r="K67" i="18" s="1"/>
  <c r="K68" i="18" s="1"/>
  <c r="K69" i="18" s="1"/>
  <c r="K70" i="18" s="1"/>
  <c r="K71" i="18" s="1"/>
  <c r="K72" i="18" s="1"/>
  <c r="K73" i="18" s="1"/>
  <c r="K74" i="18" s="1"/>
  <c r="K75" i="18" s="1"/>
  <c r="K76" i="18" s="1"/>
  <c r="K77" i="18" s="1"/>
  <c r="K78" i="18" s="1"/>
  <c r="K79" i="18" s="1"/>
  <c r="K80" i="18" s="1"/>
  <c r="K81" i="18" s="1"/>
  <c r="K82" i="18" s="1"/>
  <c r="K83" i="18" s="1"/>
  <c r="K84" i="18" s="1"/>
  <c r="K85" i="18" s="1"/>
  <c r="K86" i="18" s="1"/>
  <c r="K87" i="18" s="1"/>
  <c r="K88" i="18" s="1"/>
  <c r="K89" i="18" s="1"/>
  <c r="K90" i="18" s="1"/>
  <c r="K91" i="18" s="1"/>
  <c r="K92" i="18" s="1"/>
  <c r="K93" i="18" s="1"/>
  <c r="K94" i="18" s="1"/>
  <c r="K95" i="18" s="1"/>
  <c r="K96" i="18" s="1"/>
  <c r="K97" i="18" s="1"/>
  <c r="K98" i="18" s="1"/>
  <c r="K99" i="18" s="1"/>
  <c r="K100" i="18" s="1"/>
  <c r="K101" i="18" s="1"/>
  <c r="K102" i="18" s="1"/>
  <c r="K103" i="18" s="1"/>
  <c r="K104" i="18" s="1"/>
  <c r="K105" i="18" s="1"/>
  <c r="K106" i="18" s="1"/>
  <c r="K107" i="18" s="1"/>
  <c r="K108" i="18" s="1"/>
  <c r="K109" i="18" s="1"/>
  <c r="K111" i="18" s="1"/>
  <c r="K112" i="18" s="1"/>
  <c r="J59" i="18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J82" i="18" s="1"/>
  <c r="J83" i="18" s="1"/>
  <c r="J84" i="18" s="1"/>
  <c r="J85" i="18" s="1"/>
  <c r="J86" i="18" s="1"/>
  <c r="J87" i="18" s="1"/>
  <c r="J88" i="18" s="1"/>
  <c r="J89" i="18" s="1"/>
  <c r="J90" i="18" s="1"/>
  <c r="J91" i="18" s="1"/>
  <c r="J92" i="18" s="1"/>
  <c r="J93" i="18" s="1"/>
  <c r="J94" i="18" s="1"/>
  <c r="J95" i="18" s="1"/>
  <c r="J96" i="18" s="1"/>
  <c r="J97" i="18" s="1"/>
  <c r="J98" i="18" s="1"/>
  <c r="J99" i="18" s="1"/>
  <c r="J100" i="18" s="1"/>
  <c r="J101" i="18" s="1"/>
  <c r="J102" i="18" s="1"/>
  <c r="J103" i="18" s="1"/>
  <c r="J104" i="18" s="1"/>
  <c r="J105" i="18" s="1"/>
  <c r="J106" i="18" s="1"/>
  <c r="J107" i="18" s="1"/>
  <c r="J108" i="18" s="1"/>
  <c r="J109" i="18" s="1"/>
  <c r="J111" i="18" s="1"/>
  <c r="J112" i="18" s="1"/>
  <c r="J113" i="18" s="1"/>
  <c r="J114" i="18" s="1"/>
  <c r="K113" i="18" l="1"/>
  <c r="K114" i="18" l="1"/>
  <c r="J109" i="28" l="1"/>
  <c r="D55" i="28" l="1"/>
  <c r="D110" i="28"/>
  <c r="H55" i="28"/>
  <c r="G142" i="15" l="1"/>
  <c r="G109" i="15"/>
  <c r="G54" i="15"/>
  <c r="F58" i="28" l="1"/>
  <c r="I114" i="15" l="1"/>
  <c r="J114" i="15"/>
  <c r="J59" i="15"/>
  <c r="I59" i="15"/>
  <c r="J5" i="15" l="1"/>
  <c r="J6" i="15" s="1"/>
  <c r="J7" i="15" s="1"/>
  <c r="J8" i="15" s="1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I115" i="15" l="1"/>
  <c r="I116" i="15" s="1"/>
  <c r="I117" i="15" s="1"/>
  <c r="I118" i="15" s="1"/>
  <c r="I119" i="15" s="1"/>
  <c r="I120" i="15" s="1"/>
  <c r="I121" i="15" s="1"/>
  <c r="I122" i="15" s="1"/>
  <c r="I123" i="15" s="1"/>
  <c r="I124" i="15" s="1"/>
  <c r="I125" i="15" s="1"/>
  <c r="I126" i="15" s="1"/>
  <c r="I127" i="15" s="1"/>
  <c r="I128" i="15" s="1"/>
  <c r="I129" i="15" s="1"/>
  <c r="I130" i="15" s="1"/>
  <c r="I131" i="15" s="1"/>
  <c r="I132" i="15" s="1"/>
  <c r="I133" i="15" s="1"/>
  <c r="I134" i="15" s="1"/>
  <c r="I135" i="15" s="1"/>
  <c r="I136" i="15" s="1"/>
  <c r="I137" i="15" s="1"/>
  <c r="I138" i="15" s="1"/>
  <c r="I139" i="15" s="1"/>
  <c r="I140" i="15" s="1"/>
  <c r="I141" i="15" s="1"/>
  <c r="J115" i="15"/>
  <c r="J116" i="15" s="1"/>
  <c r="J117" i="15" s="1"/>
  <c r="J118" i="15" s="1"/>
  <c r="J119" i="15" s="1"/>
  <c r="J120" i="15" s="1"/>
  <c r="J121" i="15" s="1"/>
  <c r="J122" i="15" s="1"/>
  <c r="J123" i="15" s="1"/>
  <c r="J124" i="15" s="1"/>
  <c r="J125" i="15" s="1"/>
  <c r="J126" i="15" s="1"/>
  <c r="J127" i="15" s="1"/>
  <c r="J128" i="15" s="1"/>
  <c r="J129" i="15" s="1"/>
  <c r="J130" i="15" s="1"/>
  <c r="J131" i="15" s="1"/>
  <c r="J132" i="15" s="1"/>
  <c r="J133" i="15" s="1"/>
  <c r="J134" i="15" s="1"/>
  <c r="J135" i="15" s="1"/>
  <c r="J136" i="15" s="1"/>
  <c r="J137" i="15" s="1"/>
  <c r="J138" i="15" s="1"/>
  <c r="J139" i="15" s="1"/>
  <c r="J140" i="15" s="1"/>
  <c r="J141" i="15" s="1"/>
  <c r="I60" i="15"/>
  <c r="I61" i="15" s="1"/>
  <c r="I62" i="15" s="1"/>
  <c r="I63" i="15" s="1"/>
  <c r="I64" i="15" s="1"/>
  <c r="I65" i="15" s="1"/>
  <c r="I66" i="15" s="1"/>
  <c r="I67" i="15" s="1"/>
  <c r="I68" i="15" s="1"/>
  <c r="I69" i="15" s="1"/>
  <c r="I70" i="15" s="1"/>
  <c r="I71" i="15" s="1"/>
  <c r="I72" i="15" s="1"/>
  <c r="I73" i="15" s="1"/>
  <c r="I74" i="15" s="1"/>
  <c r="I75" i="15" s="1"/>
  <c r="I76" i="15" s="1"/>
  <c r="I77" i="15" s="1"/>
  <c r="I78" i="15" s="1"/>
  <c r="I79" i="15" s="1"/>
  <c r="I80" i="15" s="1"/>
  <c r="I81" i="15" s="1"/>
  <c r="I82" i="15" s="1"/>
  <c r="I83" i="15" s="1"/>
  <c r="I84" i="15" s="1"/>
  <c r="I85" i="15" s="1"/>
  <c r="I86" i="15" s="1"/>
  <c r="I87" i="15" s="1"/>
  <c r="I88" i="15" s="1"/>
  <c r="I89" i="15" s="1"/>
  <c r="I90" i="15" s="1"/>
  <c r="I91" i="15" s="1"/>
  <c r="I92" i="15" s="1"/>
  <c r="I93" i="15" s="1"/>
  <c r="I94" i="15" s="1"/>
  <c r="I95" i="15" s="1"/>
  <c r="I96" i="15" s="1"/>
  <c r="I97" i="15" s="1"/>
  <c r="I98" i="15" s="1"/>
  <c r="I99" i="15" s="1"/>
  <c r="I100" i="15" s="1"/>
  <c r="I101" i="15" s="1"/>
  <c r="I102" i="15" s="1"/>
  <c r="I103" i="15" s="1"/>
  <c r="I104" i="15" s="1"/>
  <c r="I105" i="15" s="1"/>
  <c r="I106" i="15" s="1"/>
  <c r="I107" i="15" s="1"/>
  <c r="I108" i="15" s="1"/>
  <c r="J40" i="15"/>
  <c r="J41" i="15" s="1"/>
  <c r="J42" i="15" s="1"/>
  <c r="J43" i="15" s="1"/>
  <c r="J44" i="15" s="1"/>
  <c r="J45" i="15" s="1"/>
  <c r="J46" i="15" s="1"/>
  <c r="J47" i="15" s="1"/>
  <c r="J48" i="15" s="1"/>
  <c r="J49" i="15" s="1"/>
  <c r="J50" i="15" s="1"/>
  <c r="J51" i="15" s="1"/>
  <c r="J52" i="15" s="1"/>
  <c r="J53" i="15" s="1"/>
  <c r="F142" i="15"/>
  <c r="H142" i="15" s="1"/>
  <c r="J60" i="15" l="1"/>
  <c r="J61" i="15" s="1"/>
  <c r="J62" i="15" s="1"/>
  <c r="J63" i="15" s="1"/>
  <c r="J64" i="15" s="1"/>
  <c r="J65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J82" i="15" s="1"/>
  <c r="J83" i="15" s="1"/>
  <c r="J84" i="15" s="1"/>
  <c r="J85" i="15" s="1"/>
  <c r="J86" i="15" s="1"/>
  <c r="J87" i="15" s="1"/>
  <c r="J88" i="15" s="1"/>
  <c r="J89" i="15" s="1"/>
  <c r="J90" i="15" s="1"/>
  <c r="J91" i="15" s="1"/>
  <c r="J92" i="15" s="1"/>
  <c r="J93" i="15" s="1"/>
  <c r="J94" i="15" s="1"/>
  <c r="J95" i="15" s="1"/>
  <c r="J96" i="15" s="1"/>
  <c r="J97" i="15" s="1"/>
  <c r="J98" i="15" s="1"/>
  <c r="J99" i="15" s="1"/>
  <c r="J100" i="15" s="1"/>
  <c r="J101" i="15" s="1"/>
  <c r="J102" i="15" s="1"/>
  <c r="J103" i="15" s="1"/>
  <c r="J104" i="15" s="1"/>
  <c r="J105" i="15" s="1"/>
  <c r="J106" i="15" s="1"/>
  <c r="J107" i="15" s="1"/>
  <c r="J108" i="15" s="1"/>
  <c r="C142" i="15"/>
  <c r="D142" i="15"/>
  <c r="H58" i="15"/>
  <c r="H113" i="15" l="1"/>
  <c r="C109" i="15" l="1"/>
  <c r="F56" i="9" l="1"/>
  <c r="I62" i="26"/>
  <c r="E113" i="15"/>
  <c r="E58" i="15"/>
  <c r="I5" i="15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45" i="15" s="1"/>
  <c r="I46" i="15" s="1"/>
  <c r="I47" i="15" s="1"/>
  <c r="I48" i="15" s="1"/>
  <c r="I49" i="15" s="1"/>
  <c r="I50" i="15" s="1"/>
  <c r="I51" i="15" s="1"/>
  <c r="I52" i="15" s="1"/>
  <c r="I53" i="15" s="1"/>
  <c r="K61" i="13" l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87" i="13" s="1"/>
  <c r="K88" i="13" s="1"/>
  <c r="K89" i="13" s="1"/>
  <c r="K90" i="13" s="1"/>
  <c r="K91" i="13" s="1"/>
  <c r="K92" i="13" s="1"/>
  <c r="K93" i="13" s="1"/>
  <c r="K94" i="13" s="1"/>
  <c r="K95" i="13" s="1"/>
  <c r="K96" i="13" s="1"/>
  <c r="K97" i="13" s="1"/>
  <c r="K98" i="13" s="1"/>
  <c r="K99" i="13" s="1"/>
  <c r="K100" i="13" s="1"/>
  <c r="K101" i="13" s="1"/>
  <c r="K102" i="13" s="1"/>
  <c r="K103" i="13" s="1"/>
  <c r="K104" i="13" s="1"/>
  <c r="K105" i="13" s="1"/>
  <c r="K106" i="13" s="1"/>
  <c r="K107" i="13" s="1"/>
  <c r="K108" i="13" s="1"/>
  <c r="K109" i="13" s="1"/>
  <c r="K110" i="13" s="1"/>
  <c r="K111" i="13" s="1"/>
  <c r="K112" i="13" s="1"/>
  <c r="K113" i="13" s="1"/>
  <c r="K118" i="13" s="1"/>
  <c r="K119" i="13" s="1"/>
  <c r="K120" i="13" s="1"/>
  <c r="K121" i="13" s="1"/>
  <c r="K122" i="13" s="1"/>
  <c r="K123" i="13" s="1"/>
  <c r="K124" i="13" s="1"/>
  <c r="K125" i="13" s="1"/>
  <c r="K126" i="13" s="1"/>
  <c r="K127" i="13" s="1"/>
  <c r="K128" i="13" s="1"/>
  <c r="J61" i="13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90" i="13" s="1"/>
  <c r="J91" i="13" s="1"/>
  <c r="J92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03" i="13" s="1"/>
  <c r="J104" i="13" s="1"/>
  <c r="J105" i="13" s="1"/>
  <c r="J106" i="13" s="1"/>
  <c r="J107" i="13" s="1"/>
  <c r="J108" i="13" s="1"/>
  <c r="J109" i="13" s="1"/>
  <c r="J110" i="13" s="1"/>
  <c r="J111" i="13" s="1"/>
  <c r="J112" i="13" s="1"/>
  <c r="J113" i="13" l="1"/>
  <c r="J118" i="13" s="1"/>
  <c r="J119" i="13" s="1"/>
  <c r="J120" i="13" s="1"/>
  <c r="J121" i="13" s="1"/>
  <c r="J122" i="13" s="1"/>
  <c r="J123" i="13" s="1"/>
  <c r="J124" i="13" s="1"/>
  <c r="J125" i="13" s="1"/>
  <c r="J126" i="13" s="1"/>
  <c r="J127" i="13" s="1"/>
  <c r="J128" i="13" s="1"/>
  <c r="G57" i="13"/>
  <c r="E57" i="13"/>
  <c r="F57" i="13" l="1"/>
  <c r="I57" i="13"/>
  <c r="K5" i="12"/>
  <c r="J65" i="11" l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K65" i="1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K85" i="11" s="1"/>
  <c r="K86" i="11" s="1"/>
  <c r="K87" i="11" s="1"/>
  <c r="K88" i="11" s="1"/>
  <c r="K89" i="11" s="1"/>
  <c r="K90" i="11" s="1"/>
  <c r="K91" i="11" s="1"/>
  <c r="K92" i="11" s="1"/>
  <c r="K93" i="11" s="1"/>
  <c r="K94" i="11" s="1"/>
  <c r="J98" i="11" l="1"/>
  <c r="J99" i="11" s="1"/>
  <c r="J100" i="11" s="1"/>
  <c r="J101" i="11" s="1"/>
  <c r="J102" i="11" s="1"/>
  <c r="J103" i="11" s="1"/>
  <c r="J104" i="11" s="1"/>
  <c r="J105" i="11" s="1"/>
  <c r="J106" i="11" s="1"/>
  <c r="J107" i="11" s="1"/>
  <c r="J108" i="11" s="1"/>
  <c r="J109" i="11" s="1"/>
  <c r="J110" i="11" s="1"/>
  <c r="J111" i="11" s="1"/>
  <c r="K95" i="11"/>
  <c r="K96" i="11" s="1"/>
  <c r="K97" i="11" s="1"/>
  <c r="K98" i="11" s="1"/>
  <c r="K99" i="11" s="1"/>
  <c r="K100" i="11" s="1"/>
  <c r="K101" i="11" s="1"/>
  <c r="K102" i="11" s="1"/>
  <c r="K103" i="11" s="1"/>
  <c r="K104" i="11" s="1"/>
  <c r="K105" i="11" s="1"/>
  <c r="K106" i="11" s="1"/>
  <c r="K107" i="11" s="1"/>
  <c r="K108" i="11" s="1"/>
  <c r="K109" i="11" s="1"/>
  <c r="K110" i="11" s="1"/>
  <c r="K111" i="11" s="1"/>
  <c r="L97" i="11" l="1"/>
  <c r="D61" i="11"/>
  <c r="G112" i="11"/>
  <c r="E112" i="11"/>
  <c r="D112" i="11"/>
  <c r="F112" i="11" l="1"/>
  <c r="G61" i="11"/>
  <c r="E61" i="11"/>
  <c r="I61" i="11" l="1"/>
  <c r="F61" i="11"/>
  <c r="K5" i="11"/>
  <c r="J112" i="10" l="1"/>
  <c r="J113" i="10" s="1"/>
  <c r="J114" i="10" s="1"/>
  <c r="J115" i="10" s="1"/>
  <c r="J116" i="10" s="1"/>
  <c r="J117" i="10" s="1"/>
  <c r="J118" i="10" s="1"/>
  <c r="K112" i="10"/>
  <c r="K113" i="10" s="1"/>
  <c r="K114" i="10" s="1"/>
  <c r="K115" i="10" s="1"/>
  <c r="K116" i="10" s="1"/>
  <c r="K117" i="10" s="1"/>
  <c r="K118" i="10" s="1"/>
  <c r="J119" i="10" l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K119" i="10"/>
  <c r="K120" i="10" s="1"/>
  <c r="K121" i="10" s="1"/>
  <c r="K122" i="10" s="1"/>
  <c r="K123" i="10" s="1"/>
  <c r="K124" i="10" s="1"/>
  <c r="K125" i="10" s="1"/>
  <c r="K126" i="10" s="1"/>
  <c r="K127" i="10" s="1"/>
  <c r="K128" i="10" s="1"/>
  <c r="K129" i="10" s="1"/>
  <c r="K130" i="10" s="1"/>
  <c r="F111" i="10"/>
  <c r="G54" i="10" l="1"/>
  <c r="H54" i="10"/>
  <c r="I54" i="10" l="1"/>
  <c r="F57" i="10"/>
  <c r="I109" i="9" l="1"/>
  <c r="F109" i="9"/>
  <c r="G106" i="9"/>
  <c r="E106" i="9"/>
  <c r="K58" i="9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K94" i="9" s="1"/>
  <c r="K95" i="9" s="1"/>
  <c r="K96" i="9" s="1"/>
  <c r="K97" i="9" s="1"/>
  <c r="J58" i="9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J94" i="9" s="1"/>
  <c r="J95" i="9" s="1"/>
  <c r="J96" i="9" s="1"/>
  <c r="J97" i="9" s="1"/>
  <c r="K98" i="9" l="1"/>
  <c r="J98" i="9"/>
  <c r="I106" i="9"/>
  <c r="F106" i="9"/>
  <c r="I134" i="9"/>
  <c r="J99" i="9" l="1"/>
  <c r="K99" i="9"/>
  <c r="K5" i="9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K47" i="9" s="1"/>
  <c r="K48" i="9" s="1"/>
  <c r="K49" i="9" s="1"/>
  <c r="K50" i="9" s="1"/>
  <c r="K51" i="9" s="1"/>
  <c r="K52" i="9" s="1"/>
  <c r="K100" i="9" l="1"/>
  <c r="J100" i="9"/>
  <c r="G59" i="26"/>
  <c r="E59" i="26"/>
  <c r="D59" i="26"/>
  <c r="J63" i="26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J84" i="26" s="1"/>
  <c r="J85" i="26" s="1"/>
  <c r="J86" i="26" s="1"/>
  <c r="J87" i="26" s="1"/>
  <c r="J88" i="26" s="1"/>
  <c r="J89" i="26" s="1"/>
  <c r="J90" i="26" s="1"/>
  <c r="J91" i="26" s="1"/>
  <c r="J92" i="26" s="1"/>
  <c r="J93" i="26" s="1"/>
  <c r="J94" i="26" s="1"/>
  <c r="J95" i="26" s="1"/>
  <c r="J96" i="26" s="1"/>
  <c r="J97" i="26" s="1"/>
  <c r="J98" i="26" s="1"/>
  <c r="J99" i="26" s="1"/>
  <c r="J100" i="26" s="1"/>
  <c r="J101" i="26" s="1"/>
  <c r="J102" i="26" s="1"/>
  <c r="J103" i="26" s="1"/>
  <c r="J104" i="26" s="1"/>
  <c r="J105" i="26" s="1"/>
  <c r="K63" i="26"/>
  <c r="K64" i="26" s="1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/>
  <c r="K76" i="26" s="1"/>
  <c r="K77" i="26" s="1"/>
  <c r="K78" i="26" s="1"/>
  <c r="K79" i="26" s="1"/>
  <c r="K80" i="26" s="1"/>
  <c r="K81" i="26" s="1"/>
  <c r="K82" i="26" s="1"/>
  <c r="K83" i="26" s="1"/>
  <c r="K84" i="26" s="1"/>
  <c r="K85" i="26" s="1"/>
  <c r="K86" i="26" s="1"/>
  <c r="K87" i="26" s="1"/>
  <c r="K88" i="26" s="1"/>
  <c r="K89" i="26" s="1"/>
  <c r="K90" i="26" s="1"/>
  <c r="K91" i="26" s="1"/>
  <c r="K92" i="26" s="1"/>
  <c r="K93" i="26" s="1"/>
  <c r="K94" i="26" s="1"/>
  <c r="K95" i="26" s="1"/>
  <c r="K96" i="26" s="1"/>
  <c r="K97" i="26" s="1"/>
  <c r="K98" i="26" s="1"/>
  <c r="K99" i="26" s="1"/>
  <c r="K100" i="26" s="1"/>
  <c r="K101" i="26" s="1"/>
  <c r="K102" i="26" s="1"/>
  <c r="K103" i="26" s="1"/>
  <c r="K104" i="26" s="1"/>
  <c r="K105" i="26" s="1"/>
  <c r="J101" i="9" l="1"/>
  <c r="K101" i="9"/>
  <c r="K106" i="26"/>
  <c r="K107" i="26" s="1"/>
  <c r="K108" i="26" s="1"/>
  <c r="J106" i="26"/>
  <c r="J107" i="26" s="1"/>
  <c r="J108" i="26" s="1"/>
  <c r="F59" i="26"/>
  <c r="K102" i="9" l="1"/>
  <c r="J102" i="9"/>
  <c r="E109" i="21"/>
  <c r="D109" i="21"/>
  <c r="H109" i="21"/>
  <c r="G109" i="21"/>
  <c r="K59" i="21"/>
  <c r="K60" i="21" s="1"/>
  <c r="K61" i="21" s="1"/>
  <c r="K62" i="21" s="1"/>
  <c r="K63" i="21" s="1"/>
  <c r="K64" i="21" s="1"/>
  <c r="K65" i="21" s="1"/>
  <c r="K66" i="21" s="1"/>
  <c r="K67" i="21" s="1"/>
  <c r="K68" i="21" s="1"/>
  <c r="K69" i="21" s="1"/>
  <c r="K70" i="21" s="1"/>
  <c r="K71" i="21" s="1"/>
  <c r="K72" i="21" s="1"/>
  <c r="K73" i="21" s="1"/>
  <c r="K74" i="21" s="1"/>
  <c r="K75" i="21" s="1"/>
  <c r="K76" i="21" s="1"/>
  <c r="K77" i="21" s="1"/>
  <c r="K78" i="21" s="1"/>
  <c r="K79" i="21" s="1"/>
  <c r="K80" i="21" s="1"/>
  <c r="K81" i="21" s="1"/>
  <c r="K82" i="21" s="1"/>
  <c r="K83" i="21" s="1"/>
  <c r="K84" i="21" s="1"/>
  <c r="K85" i="21" s="1"/>
  <c r="K86" i="21" s="1"/>
  <c r="K87" i="21" s="1"/>
  <c r="K88" i="21" s="1"/>
  <c r="K89" i="21" s="1"/>
  <c r="K90" i="21" s="1"/>
  <c r="K91" i="21" s="1"/>
  <c r="K92" i="21" s="1"/>
  <c r="K93" i="21" s="1"/>
  <c r="K94" i="21" s="1"/>
  <c r="K95" i="21" s="1"/>
  <c r="K96" i="21" s="1"/>
  <c r="K97" i="21" s="1"/>
  <c r="K98" i="21" s="1"/>
  <c r="K99" i="21" s="1"/>
  <c r="K100" i="21" s="1"/>
  <c r="K101" i="21" s="1"/>
  <c r="K102" i="21" s="1"/>
  <c r="K103" i="21" s="1"/>
  <c r="K104" i="21" s="1"/>
  <c r="K105" i="21" s="1"/>
  <c r="K106" i="21" s="1"/>
  <c r="J59" i="2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J77" i="21" s="1"/>
  <c r="J78" i="21" s="1"/>
  <c r="J79" i="21" s="1"/>
  <c r="J80" i="21" s="1"/>
  <c r="J81" i="21" s="1"/>
  <c r="J82" i="21" s="1"/>
  <c r="J83" i="21" s="1"/>
  <c r="J84" i="21" s="1"/>
  <c r="J85" i="21" s="1"/>
  <c r="J86" i="21" s="1"/>
  <c r="J87" i="21" s="1"/>
  <c r="J88" i="21" s="1"/>
  <c r="J89" i="21" s="1"/>
  <c r="J90" i="21" s="1"/>
  <c r="J91" i="21" s="1"/>
  <c r="J92" i="21" s="1"/>
  <c r="J93" i="21" s="1"/>
  <c r="J94" i="21" s="1"/>
  <c r="J95" i="21" s="1"/>
  <c r="J96" i="21" s="1"/>
  <c r="J97" i="21" s="1"/>
  <c r="J98" i="21" s="1"/>
  <c r="J99" i="21" s="1"/>
  <c r="J100" i="21" s="1"/>
  <c r="J101" i="21" s="1"/>
  <c r="J102" i="21" s="1"/>
  <c r="J103" i="21" s="1"/>
  <c r="J104" i="21" s="1"/>
  <c r="J105" i="21" s="1"/>
  <c r="J106" i="21" s="1"/>
  <c r="J107" i="21" s="1"/>
  <c r="J108" i="21" s="1"/>
  <c r="H55" i="21"/>
  <c r="G55" i="21"/>
  <c r="D55" i="21"/>
  <c r="E55" i="21"/>
  <c r="J103" i="9" l="1"/>
  <c r="J104" i="9" s="1"/>
  <c r="K103" i="9"/>
  <c r="I55" i="21"/>
  <c r="I109" i="21"/>
  <c r="F109" i="21"/>
  <c r="F55" i="21"/>
  <c r="K6" i="21"/>
  <c r="K7" i="21" s="1"/>
  <c r="K8" i="21" s="1"/>
  <c r="K9" i="21" s="1"/>
  <c r="K10" i="21" s="1"/>
  <c r="K11" i="21" s="1"/>
  <c r="K12" i="21" s="1"/>
  <c r="K13" i="21" s="1"/>
  <c r="K14" i="21" s="1"/>
  <c r="K15" i="21" s="1"/>
  <c r="K16" i="21" s="1"/>
  <c r="K17" i="21" s="1"/>
  <c r="K18" i="21" s="1"/>
  <c r="K19" i="21" s="1"/>
  <c r="K20" i="21" s="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K36" i="21" s="1"/>
  <c r="K37" i="21" s="1"/>
  <c r="K38" i="21" s="1"/>
  <c r="K39" i="21" s="1"/>
  <c r="K40" i="21" s="1"/>
  <c r="K41" i="21" s="1"/>
  <c r="K42" i="21" s="1"/>
  <c r="K43" i="21" s="1"/>
  <c r="K44" i="21" s="1"/>
  <c r="K45" i="21" s="1"/>
  <c r="K46" i="21" s="1"/>
  <c r="K47" i="21" s="1"/>
  <c r="K48" i="21" s="1"/>
  <c r="K49" i="21" s="1"/>
  <c r="K50" i="21" s="1"/>
  <c r="K51" i="21" s="1"/>
  <c r="K52" i="21" s="1"/>
  <c r="K53" i="21" s="1"/>
  <c r="K54" i="21" s="1"/>
  <c r="K104" i="9" l="1"/>
  <c r="K111" i="21"/>
  <c r="J105" i="9" l="1"/>
  <c r="K105" i="9"/>
  <c r="I115" i="18"/>
  <c r="G55" i="18"/>
  <c r="I55" i="18" s="1"/>
  <c r="E55" i="18"/>
  <c r="D55" i="18"/>
  <c r="F55" i="18" l="1"/>
  <c r="F58" i="18" l="1"/>
  <c r="H110" i="28" l="1"/>
  <c r="K59" i="28" l="1"/>
  <c r="J59" i="28"/>
  <c r="G55" i="28" l="1"/>
  <c r="I55" i="28" s="1"/>
  <c r="E55" i="28"/>
  <c r="F55" i="28" l="1"/>
  <c r="K5" i="28"/>
  <c r="K6" i="28" s="1"/>
  <c r="K7" i="28" s="1"/>
  <c r="K8" i="28" s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K52" i="28" s="1"/>
  <c r="K53" i="28" s="1"/>
  <c r="K54" i="28" s="1"/>
  <c r="J5" i="28"/>
  <c r="J6" i="28" s="1"/>
  <c r="J7" i="28" s="1"/>
  <c r="J8" i="28" s="1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J23" i="28" s="1"/>
  <c r="J24" i="28" s="1"/>
  <c r="J25" i="28" s="1"/>
  <c r="J26" i="28" s="1"/>
  <c r="J27" i="28" s="1"/>
  <c r="J28" i="28" s="1"/>
  <c r="J29" i="28" s="1"/>
  <c r="J30" i="28" s="1"/>
  <c r="J31" i="28" s="1"/>
  <c r="J32" i="28" s="1"/>
  <c r="J33" i="28" s="1"/>
  <c r="J34" i="28" s="1"/>
  <c r="J35" i="28" s="1"/>
  <c r="J36" i="28" s="1"/>
  <c r="J37" i="28" s="1"/>
  <c r="J38" i="28" s="1"/>
  <c r="J39" i="28" s="1"/>
  <c r="J40" i="28" s="1"/>
  <c r="J41" i="28" s="1"/>
  <c r="J42" i="28" s="1"/>
  <c r="J43" i="28" s="1"/>
  <c r="J44" i="28" s="1"/>
  <c r="J45" i="28" s="1"/>
  <c r="J46" i="28" s="1"/>
  <c r="J47" i="28" s="1"/>
  <c r="J48" i="28" s="1"/>
  <c r="J49" i="28" s="1"/>
  <c r="J50" i="28" s="1"/>
  <c r="J51" i="28" s="1"/>
  <c r="J52" i="28" s="1"/>
  <c r="J53" i="28" s="1"/>
  <c r="J54" i="28" s="1"/>
  <c r="K60" i="28" l="1"/>
  <c r="K61" i="28" s="1"/>
  <c r="K62" i="28" s="1"/>
  <c r="K63" i="28" s="1"/>
  <c r="K64" i="28" s="1"/>
  <c r="K65" i="28" s="1"/>
  <c r="K66" i="28" s="1"/>
  <c r="K67" i="28" s="1"/>
  <c r="K68" i="28" s="1"/>
  <c r="K69" i="28" s="1"/>
  <c r="K70" i="28" s="1"/>
  <c r="K71" i="28" s="1"/>
  <c r="K72" i="28" s="1"/>
  <c r="K73" i="28" s="1"/>
  <c r="K74" i="28" s="1"/>
  <c r="K75" i="28" s="1"/>
  <c r="K76" i="28" s="1"/>
  <c r="K77" i="28" s="1"/>
  <c r="K78" i="28" s="1"/>
  <c r="K79" i="28" s="1"/>
  <c r="K80" i="28" s="1"/>
  <c r="K81" i="28" s="1"/>
  <c r="K82" i="28" s="1"/>
  <c r="K83" i="28" s="1"/>
  <c r="K84" i="28" s="1"/>
  <c r="K85" i="28" s="1"/>
  <c r="K86" i="28" s="1"/>
  <c r="K87" i="28" s="1"/>
  <c r="K88" i="28" s="1"/>
  <c r="K89" i="28" s="1"/>
  <c r="K90" i="28" s="1"/>
  <c r="K91" i="28" s="1"/>
  <c r="K92" i="28" s="1"/>
  <c r="K93" i="28" s="1"/>
  <c r="K94" i="28" s="1"/>
  <c r="K95" i="28" s="1"/>
  <c r="K96" i="28" s="1"/>
  <c r="K97" i="28" s="1"/>
  <c r="K98" i="28" s="1"/>
  <c r="K99" i="28" s="1"/>
  <c r="K100" i="28" s="1"/>
  <c r="K101" i="28" s="1"/>
  <c r="K102" i="28" s="1"/>
  <c r="K103" i="28" s="1"/>
  <c r="K104" i="28" s="1"/>
  <c r="K105" i="28" s="1"/>
  <c r="K106" i="28" s="1"/>
  <c r="K107" i="28" s="1"/>
  <c r="K108" i="28" s="1"/>
  <c r="K109" i="28" s="1"/>
  <c r="J60" i="28"/>
  <c r="J61" i="28" s="1"/>
  <c r="J62" i="28" s="1"/>
  <c r="J63" i="28" s="1"/>
  <c r="J64" i="28" s="1"/>
  <c r="J65" i="28" s="1"/>
  <c r="J66" i="28" s="1"/>
  <c r="J67" i="28" s="1"/>
  <c r="J68" i="28" s="1"/>
  <c r="J69" i="28" s="1"/>
  <c r="J70" i="28" s="1"/>
  <c r="J71" i="28" s="1"/>
  <c r="J72" i="28" s="1"/>
  <c r="J73" i="28" s="1"/>
  <c r="J74" i="28" s="1"/>
  <c r="J75" i="28" s="1"/>
  <c r="J76" i="28" s="1"/>
  <c r="J77" i="28" s="1"/>
  <c r="J78" i="28" s="1"/>
  <c r="J79" i="28" s="1"/>
  <c r="J80" i="28" s="1"/>
  <c r="J81" i="28" s="1"/>
  <c r="J82" i="28" s="1"/>
  <c r="J83" i="28" s="1"/>
  <c r="J84" i="28" s="1"/>
  <c r="J85" i="28" s="1"/>
  <c r="J86" i="28" s="1"/>
  <c r="J87" i="28" s="1"/>
  <c r="J88" i="28" s="1"/>
  <c r="J89" i="28" s="1"/>
  <c r="J90" i="28" s="1"/>
  <c r="J91" i="28" s="1"/>
  <c r="J92" i="28" s="1"/>
  <c r="J93" i="28" s="1"/>
  <c r="J94" i="28" s="1"/>
  <c r="J95" i="28" s="1"/>
  <c r="J96" i="28" s="1"/>
  <c r="J97" i="28" s="1"/>
  <c r="J98" i="28" s="1"/>
  <c r="J99" i="28" s="1"/>
  <c r="J100" i="28" s="1"/>
  <c r="J101" i="28" s="1"/>
  <c r="J102" i="28" s="1"/>
  <c r="J103" i="28" s="1"/>
  <c r="J104" i="28" s="1"/>
  <c r="J105" i="28" s="1"/>
  <c r="J106" i="28" s="1"/>
  <c r="J107" i="28" s="1"/>
  <c r="J108" i="28" s="1"/>
  <c r="J145" i="15"/>
  <c r="D109" i="15" l="1"/>
  <c r="E109" i="15" s="1"/>
  <c r="F109" i="15"/>
  <c r="E142" i="15"/>
  <c r="H109" i="15" l="1"/>
  <c r="K119" i="15" l="1"/>
  <c r="F54" i="15"/>
  <c r="D54" i="15"/>
  <c r="C54" i="15"/>
  <c r="E54" i="15" l="1"/>
  <c r="H54" i="15"/>
  <c r="I113" i="30"/>
  <c r="I58" i="30"/>
  <c r="K128" i="30"/>
  <c r="G124" i="30"/>
  <c r="I124" i="30" s="1"/>
  <c r="K114" i="30"/>
  <c r="K115" i="30" s="1"/>
  <c r="K116" i="30" s="1"/>
  <c r="K117" i="30" s="1"/>
  <c r="K118" i="30" s="1"/>
  <c r="K119" i="30" s="1"/>
  <c r="K120" i="30" s="1"/>
  <c r="K121" i="30" s="1"/>
  <c r="K122" i="30" s="1"/>
  <c r="K123" i="30" s="1"/>
  <c r="J114" i="30"/>
  <c r="J115" i="30" s="1"/>
  <c r="J116" i="30" s="1"/>
  <c r="J117" i="30" s="1"/>
  <c r="J118" i="30" s="1"/>
  <c r="J119" i="30" s="1"/>
  <c r="J120" i="30" s="1"/>
  <c r="J121" i="30" s="1"/>
  <c r="J122" i="30" s="1"/>
  <c r="J123" i="30" s="1"/>
  <c r="F113" i="30"/>
  <c r="G110" i="30"/>
  <c r="E110" i="30"/>
  <c r="K59" i="30"/>
  <c r="K60" i="30" s="1"/>
  <c r="K61" i="30" s="1"/>
  <c r="K62" i="30" s="1"/>
  <c r="K63" i="30" s="1"/>
  <c r="K64" i="30" s="1"/>
  <c r="K65" i="30" s="1"/>
  <c r="K66" i="30" s="1"/>
  <c r="K67" i="30" s="1"/>
  <c r="K68" i="30" s="1"/>
  <c r="K69" i="30" s="1"/>
  <c r="K70" i="30" s="1"/>
  <c r="K71" i="30" s="1"/>
  <c r="K72" i="30" s="1"/>
  <c r="K73" i="30" s="1"/>
  <c r="K74" i="30" s="1"/>
  <c r="K75" i="30" s="1"/>
  <c r="K76" i="30" s="1"/>
  <c r="K77" i="30" s="1"/>
  <c r="K78" i="30" s="1"/>
  <c r="K79" i="30" s="1"/>
  <c r="K80" i="30" s="1"/>
  <c r="K81" i="30" s="1"/>
  <c r="K82" i="30" s="1"/>
  <c r="K83" i="30" s="1"/>
  <c r="K84" i="30" s="1"/>
  <c r="K85" i="30" s="1"/>
  <c r="K86" i="30" s="1"/>
  <c r="K87" i="30" s="1"/>
  <c r="K88" i="30" s="1"/>
  <c r="K89" i="30" s="1"/>
  <c r="K90" i="30" s="1"/>
  <c r="K91" i="30" s="1"/>
  <c r="K92" i="30" s="1"/>
  <c r="K93" i="30" s="1"/>
  <c r="K94" i="30" s="1"/>
  <c r="K95" i="30" s="1"/>
  <c r="K96" i="30" s="1"/>
  <c r="K97" i="30" s="1"/>
  <c r="K98" i="30" s="1"/>
  <c r="K99" i="30" s="1"/>
  <c r="K100" i="30" s="1"/>
  <c r="K101" i="30" s="1"/>
  <c r="K102" i="30" s="1"/>
  <c r="K103" i="30" s="1"/>
  <c r="K104" i="30" s="1"/>
  <c r="K105" i="30" s="1"/>
  <c r="K106" i="30" s="1"/>
  <c r="K107" i="30" s="1"/>
  <c r="K108" i="30" s="1"/>
  <c r="K109" i="30" s="1"/>
  <c r="J59" i="30"/>
  <c r="J60" i="30" s="1"/>
  <c r="J61" i="30" s="1"/>
  <c r="J62" i="30" s="1"/>
  <c r="J63" i="30" s="1"/>
  <c r="J64" i="30" s="1"/>
  <c r="J65" i="30" s="1"/>
  <c r="J66" i="30" s="1"/>
  <c r="J67" i="30" s="1"/>
  <c r="J68" i="30" s="1"/>
  <c r="J69" i="30" s="1"/>
  <c r="J70" i="30" s="1"/>
  <c r="J71" i="30" s="1"/>
  <c r="J72" i="30" s="1"/>
  <c r="J73" i="30" s="1"/>
  <c r="J74" i="30" s="1"/>
  <c r="J75" i="30" s="1"/>
  <c r="J76" i="30" s="1"/>
  <c r="J77" i="30" s="1"/>
  <c r="J78" i="30" s="1"/>
  <c r="J79" i="30" s="1"/>
  <c r="J80" i="30" s="1"/>
  <c r="J81" i="30" s="1"/>
  <c r="J82" i="30" s="1"/>
  <c r="J83" i="30" s="1"/>
  <c r="J84" i="30" s="1"/>
  <c r="J85" i="30" s="1"/>
  <c r="J86" i="30" s="1"/>
  <c r="J87" i="30" s="1"/>
  <c r="J88" i="30" s="1"/>
  <c r="J89" i="30" s="1"/>
  <c r="J90" i="30" s="1"/>
  <c r="J91" i="30" s="1"/>
  <c r="J92" i="30" s="1"/>
  <c r="J93" i="30" s="1"/>
  <c r="J94" i="30" s="1"/>
  <c r="J95" i="30" s="1"/>
  <c r="J96" i="30" s="1"/>
  <c r="J97" i="30" s="1"/>
  <c r="J98" i="30" s="1"/>
  <c r="J99" i="30" s="1"/>
  <c r="J100" i="30" s="1"/>
  <c r="J101" i="30" s="1"/>
  <c r="J102" i="30" s="1"/>
  <c r="J103" i="30" s="1"/>
  <c r="J104" i="30" s="1"/>
  <c r="J105" i="30" s="1"/>
  <c r="J106" i="30" s="1"/>
  <c r="J107" i="30" s="1"/>
  <c r="J108" i="30" s="1"/>
  <c r="J109" i="30" s="1"/>
  <c r="F58" i="30"/>
  <c r="E55" i="30"/>
  <c r="F55" i="30" s="1"/>
  <c r="K5" i="30"/>
  <c r="K6" i="30" s="1"/>
  <c r="K7" i="30" s="1"/>
  <c r="K8" i="30" s="1"/>
  <c r="K9" i="30" s="1"/>
  <c r="K10" i="30" s="1"/>
  <c r="K11" i="30" s="1"/>
  <c r="K12" i="30" s="1"/>
  <c r="K13" i="30" s="1"/>
  <c r="K14" i="30" s="1"/>
  <c r="K15" i="30" s="1"/>
  <c r="K16" i="30" s="1"/>
  <c r="K17" i="30" s="1"/>
  <c r="K18" i="30" s="1"/>
  <c r="K19" i="30" s="1"/>
  <c r="K20" i="30" s="1"/>
  <c r="K21" i="30" s="1"/>
  <c r="K22" i="30" s="1"/>
  <c r="K23" i="30" s="1"/>
  <c r="K24" i="30" s="1"/>
  <c r="K25" i="30" s="1"/>
  <c r="K26" i="30" s="1"/>
  <c r="K27" i="30" s="1"/>
  <c r="K28" i="30" s="1"/>
  <c r="K29" i="30" s="1"/>
  <c r="K30" i="30" s="1"/>
  <c r="K31" i="30" s="1"/>
  <c r="K32" i="30" s="1"/>
  <c r="K33" i="30" s="1"/>
  <c r="K34" i="30" s="1"/>
  <c r="K35" i="30" s="1"/>
  <c r="K36" i="30" s="1"/>
  <c r="K37" i="30" s="1"/>
  <c r="K38" i="30" s="1"/>
  <c r="K39" i="30" s="1"/>
  <c r="K40" i="30" s="1"/>
  <c r="K41" i="30" s="1"/>
  <c r="K42" i="30" s="1"/>
  <c r="K43" i="30" s="1"/>
  <c r="K44" i="30" s="1"/>
  <c r="K45" i="30" s="1"/>
  <c r="K46" i="30" s="1"/>
  <c r="K47" i="30" s="1"/>
  <c r="K48" i="30" s="1"/>
  <c r="K49" i="30" s="1"/>
  <c r="K50" i="30" s="1"/>
  <c r="K51" i="30" s="1"/>
  <c r="K52" i="30" s="1"/>
  <c r="K53" i="30" s="1"/>
  <c r="K54" i="30" s="1"/>
  <c r="J5" i="30"/>
  <c r="J6" i="30" s="1"/>
  <c r="J7" i="30" s="1"/>
  <c r="J8" i="30" s="1"/>
  <c r="J9" i="30" s="1"/>
  <c r="J10" i="30" s="1"/>
  <c r="J11" i="30" s="1"/>
  <c r="J12" i="30" s="1"/>
  <c r="J13" i="30" s="1"/>
  <c r="J14" i="30" s="1"/>
  <c r="J15" i="30" s="1"/>
  <c r="J16" i="30" s="1"/>
  <c r="J17" i="30" s="1"/>
  <c r="J18" i="30" s="1"/>
  <c r="J19" i="30" s="1"/>
  <c r="J20" i="30" s="1"/>
  <c r="J21" i="30" s="1"/>
  <c r="J22" i="30" s="1"/>
  <c r="J23" i="30" s="1"/>
  <c r="J24" i="30" s="1"/>
  <c r="J25" i="30" s="1"/>
  <c r="J26" i="30" s="1"/>
  <c r="J27" i="30" s="1"/>
  <c r="J28" i="30" s="1"/>
  <c r="J29" i="30" s="1"/>
  <c r="J30" i="30" s="1"/>
  <c r="J31" i="30" s="1"/>
  <c r="J32" i="30" s="1"/>
  <c r="J33" i="30" s="1"/>
  <c r="J34" i="30" s="1"/>
  <c r="J35" i="30" s="1"/>
  <c r="J36" i="30" s="1"/>
  <c r="J37" i="30" s="1"/>
  <c r="J38" i="30" s="1"/>
  <c r="J39" i="30" s="1"/>
  <c r="J40" i="30" s="1"/>
  <c r="J41" i="30" s="1"/>
  <c r="J42" i="30" s="1"/>
  <c r="J43" i="30" s="1"/>
  <c r="J44" i="30" s="1"/>
  <c r="J45" i="30" s="1"/>
  <c r="J46" i="30" s="1"/>
  <c r="J47" i="30" s="1"/>
  <c r="J48" i="30" s="1"/>
  <c r="J49" i="30" s="1"/>
  <c r="J50" i="30" s="1"/>
  <c r="J51" i="30" s="1"/>
  <c r="J52" i="30" s="1"/>
  <c r="J53" i="30" s="1"/>
  <c r="J54" i="30" s="1"/>
  <c r="K97" i="29"/>
  <c r="I94" i="29"/>
  <c r="K5" i="29"/>
  <c r="K6" i="29" s="1"/>
  <c r="K7" i="29" s="1"/>
  <c r="K8" i="29" s="1"/>
  <c r="K9" i="29" s="1"/>
  <c r="K10" i="29" s="1"/>
  <c r="K11" i="29" s="1"/>
  <c r="K12" i="29" s="1"/>
  <c r="K13" i="29" s="1"/>
  <c r="K14" i="29" s="1"/>
  <c r="K15" i="29" s="1"/>
  <c r="K16" i="29" s="1"/>
  <c r="K17" i="29" s="1"/>
  <c r="K18" i="29" s="1"/>
  <c r="K19" i="29" s="1"/>
  <c r="K20" i="29" s="1"/>
  <c r="K21" i="29" s="1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K42" i="29" s="1"/>
  <c r="K43" i="29" s="1"/>
  <c r="K44" i="29" s="1"/>
  <c r="K45" i="29" s="1"/>
  <c r="J5" i="29"/>
  <c r="J6" i="29" s="1"/>
  <c r="J7" i="29" s="1"/>
  <c r="J8" i="29" s="1"/>
  <c r="J9" i="29" s="1"/>
  <c r="J10" i="29" s="1"/>
  <c r="J11" i="29" s="1"/>
  <c r="J12" i="29" s="1"/>
  <c r="J13" i="29" s="1"/>
  <c r="J14" i="29" s="1"/>
  <c r="J15" i="29" s="1"/>
  <c r="J16" i="29" s="1"/>
  <c r="J17" i="29" s="1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32" i="29" s="1"/>
  <c r="J33" i="29" s="1"/>
  <c r="J34" i="29" s="1"/>
  <c r="J35" i="29" s="1"/>
  <c r="J36" i="29" s="1"/>
  <c r="J37" i="29" s="1"/>
  <c r="J38" i="29" s="1"/>
  <c r="J39" i="29" s="1"/>
  <c r="J40" i="29" s="1"/>
  <c r="J41" i="29" s="1"/>
  <c r="J42" i="29" s="1"/>
  <c r="J43" i="29" s="1"/>
  <c r="J44" i="29" s="1"/>
  <c r="J45" i="29" s="1"/>
  <c r="J46" i="29" s="1"/>
  <c r="J47" i="29" s="1"/>
  <c r="J48" i="29" s="1"/>
  <c r="J53" i="29" s="1"/>
  <c r="J54" i="29" s="1"/>
  <c r="J55" i="29" s="1"/>
  <c r="J56" i="29" s="1"/>
  <c r="J57" i="29" s="1"/>
  <c r="J58" i="29" s="1"/>
  <c r="F110" i="30" l="1"/>
  <c r="I55" i="30"/>
  <c r="I110" i="30"/>
  <c r="F124" i="30"/>
  <c r="F58" i="21" l="1"/>
  <c r="K117" i="18" l="1"/>
  <c r="I58" i="18" l="1"/>
  <c r="E110" i="28" l="1"/>
  <c r="K113" i="28" l="1"/>
  <c r="G110" i="28"/>
  <c r="I58" i="28"/>
  <c r="F110" i="28" l="1"/>
  <c r="I110" i="28"/>
  <c r="K132" i="13" l="1"/>
  <c r="I60" i="13"/>
  <c r="F60" i="13"/>
  <c r="K5" i="13"/>
  <c r="K6" i="13" s="1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J5" i="13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K121" i="12" l="1"/>
  <c r="K6" i="12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8" i="12" s="1"/>
  <c r="K59" i="12" s="1"/>
  <c r="K60" i="12" s="1"/>
  <c r="K61" i="12" s="1"/>
  <c r="K62" i="12" s="1"/>
  <c r="K63" i="12" s="1"/>
  <c r="K64" i="12" s="1"/>
  <c r="K65" i="12" s="1"/>
  <c r="K66" i="12" s="1"/>
  <c r="K67" i="12" s="1"/>
  <c r="K68" i="12" s="1"/>
  <c r="K69" i="12" s="1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K84" i="12" s="1"/>
  <c r="K85" i="12" s="1"/>
  <c r="K86" i="12" s="1"/>
  <c r="K87" i="12" s="1"/>
  <c r="K88" i="12" s="1"/>
  <c r="K89" i="12" s="1"/>
  <c r="K90" i="12" s="1"/>
  <c r="K91" i="12" s="1"/>
  <c r="K92" i="12" s="1"/>
  <c r="K93" i="12" s="1"/>
  <c r="K94" i="12" s="1"/>
  <c r="K95" i="12" s="1"/>
  <c r="K96" i="12" s="1"/>
  <c r="K97" i="12" s="1"/>
  <c r="K98" i="12" s="1"/>
  <c r="K99" i="12" s="1"/>
  <c r="K100" i="12" s="1"/>
  <c r="K101" i="12" s="1"/>
  <c r="K102" i="12" s="1"/>
  <c r="K103" i="12" s="1"/>
  <c r="K104" i="12" s="1"/>
  <c r="K105" i="12" s="1"/>
  <c r="K106" i="12" s="1"/>
  <c r="K107" i="12" s="1"/>
  <c r="K112" i="12" s="1"/>
  <c r="K113" i="12" s="1"/>
  <c r="K114" i="12" s="1"/>
  <c r="K115" i="12" s="1"/>
  <c r="K116" i="12" s="1"/>
  <c r="K117" i="12" s="1"/>
  <c r="J5" i="12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J31" i="12" s="1"/>
  <c r="J32" i="12" s="1"/>
  <c r="J33" i="12" s="1"/>
  <c r="J34" i="12" s="1"/>
  <c r="J35" i="12" s="1"/>
  <c r="J36" i="12" s="1"/>
  <c r="J37" i="12" s="1"/>
  <c r="J38" i="12" s="1"/>
  <c r="J39" i="12" s="1"/>
  <c r="J40" i="12" s="1"/>
  <c r="J41" i="12" s="1"/>
  <c r="J42" i="12" s="1"/>
  <c r="J43" i="12" s="1"/>
  <c r="J44" i="12" s="1"/>
  <c r="J45" i="12" s="1"/>
  <c r="J46" i="12" s="1"/>
  <c r="J47" i="12" s="1"/>
  <c r="J48" i="12" s="1"/>
  <c r="J49" i="12" s="1"/>
  <c r="J50" i="12" s="1"/>
  <c r="J51" i="12" s="1"/>
  <c r="J52" i="12" s="1"/>
  <c r="J53" i="12" s="1"/>
  <c r="J58" i="12" s="1"/>
  <c r="J59" i="12" s="1"/>
  <c r="J60" i="12" s="1"/>
  <c r="J61" i="12" s="1"/>
  <c r="J62" i="12" s="1"/>
  <c r="J63" i="12" s="1"/>
  <c r="J64" i="12" s="1"/>
  <c r="J65" i="12" s="1"/>
  <c r="J66" i="12" s="1"/>
  <c r="J67" i="12" s="1"/>
  <c r="J68" i="12" s="1"/>
  <c r="J69" i="12" s="1"/>
  <c r="J70" i="12" s="1"/>
  <c r="J71" i="12" s="1"/>
  <c r="J72" i="12" s="1"/>
  <c r="J73" i="12" s="1"/>
  <c r="J74" i="12" s="1"/>
  <c r="J75" i="12" s="1"/>
  <c r="J76" i="12" s="1"/>
  <c r="J77" i="12" s="1"/>
  <c r="J78" i="12" s="1"/>
  <c r="J79" i="12" s="1"/>
  <c r="J80" i="12" s="1"/>
  <c r="J81" i="12" s="1"/>
  <c r="J82" i="12" s="1"/>
  <c r="J83" i="12" s="1"/>
  <c r="J84" i="12" s="1"/>
  <c r="J85" i="12" s="1"/>
  <c r="J86" i="12" s="1"/>
  <c r="J87" i="12" s="1"/>
  <c r="J88" i="12" s="1"/>
  <c r="J89" i="12" s="1"/>
  <c r="J90" i="12" s="1"/>
  <c r="J91" i="12" s="1"/>
  <c r="J92" i="12" s="1"/>
  <c r="J93" i="12" s="1"/>
  <c r="J94" i="12" s="1"/>
  <c r="J95" i="12" s="1"/>
  <c r="J96" i="12" s="1"/>
  <c r="J97" i="12" s="1"/>
  <c r="J98" i="12" s="1"/>
  <c r="J99" i="12" s="1"/>
  <c r="J100" i="12" s="1"/>
  <c r="J101" i="12" s="1"/>
  <c r="J102" i="12" s="1"/>
  <c r="J103" i="12" s="1"/>
  <c r="J104" i="12" s="1"/>
  <c r="J105" i="12" s="1"/>
  <c r="J106" i="12" s="1"/>
  <c r="J107" i="12" s="1"/>
  <c r="J112" i="12" s="1"/>
  <c r="J113" i="12" s="1"/>
  <c r="J114" i="12" s="1"/>
  <c r="J115" i="12" s="1"/>
  <c r="J116" i="12" s="1"/>
  <c r="J117" i="12" s="1"/>
  <c r="K115" i="11" l="1"/>
  <c r="I112" i="11" l="1"/>
  <c r="H108" i="10" l="1"/>
  <c r="H131" i="10"/>
  <c r="J58" i="10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K58" i="10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I111" i="10"/>
  <c r="J5" i="10"/>
  <c r="J6" i="10" s="1"/>
  <c r="K137" i="9" l="1"/>
  <c r="K134" i="10"/>
  <c r="I64" i="11" l="1"/>
  <c r="F64" i="11"/>
  <c r="K6" i="1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K51" i="11" s="1"/>
  <c r="K52" i="11" s="1"/>
  <c r="K53" i="11" s="1"/>
  <c r="K54" i="11" s="1"/>
  <c r="K55" i="11" s="1"/>
  <c r="K56" i="11" s="1"/>
  <c r="K57" i="11" s="1"/>
  <c r="K58" i="11" s="1"/>
  <c r="K59" i="11" s="1"/>
  <c r="K60" i="11" s="1"/>
  <c r="J5" i="1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L9" i="16" l="1"/>
  <c r="M9" i="16"/>
  <c r="L10" i="16"/>
  <c r="M10" i="16"/>
  <c r="N10" i="16" s="1"/>
  <c r="L11" i="16"/>
  <c r="M11" i="16"/>
  <c r="M8" i="16"/>
  <c r="L8" i="16"/>
  <c r="N8" i="16" s="1"/>
  <c r="J8" i="16"/>
  <c r="J9" i="16" s="1"/>
  <c r="J10" i="16" s="1"/>
  <c r="J11" i="16" s="1"/>
  <c r="F6" i="16"/>
  <c r="F7" i="16" s="1"/>
  <c r="F8" i="16" s="1"/>
  <c r="N11" i="16" l="1"/>
  <c r="N9" i="16"/>
  <c r="F9" i="16"/>
  <c r="F10" i="16" l="1"/>
  <c r="F11" i="16" s="1"/>
  <c r="I57" i="10"/>
  <c r="D108" i="10" l="1"/>
  <c r="E108" i="10"/>
  <c r="G108" i="10"/>
  <c r="I108" i="10" s="1"/>
  <c r="F108" i="10" l="1"/>
  <c r="G131" i="10"/>
  <c r="E131" i="10"/>
  <c r="D131" i="10"/>
  <c r="E54" i="10"/>
  <c r="D54" i="10"/>
  <c r="K5" i="10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J7" i="10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F54" i="10" l="1"/>
  <c r="F131" i="10"/>
  <c r="I131" i="10"/>
  <c r="I56" i="9"/>
  <c r="J5" i="9" l="1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2" i="9" s="1"/>
  <c r="E62" i="26" l="1"/>
  <c r="E109" i="26" s="1"/>
  <c r="F109" i="26" s="1"/>
  <c r="F62" i="26" l="1"/>
  <c r="I59" i="26"/>
  <c r="K6" i="26" l="1"/>
  <c r="K7" i="26" s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K50" i="26" s="1"/>
  <c r="K51" i="26" s="1"/>
  <c r="K52" i="26" s="1"/>
  <c r="K53" i="26" s="1"/>
  <c r="K54" i="26" s="1"/>
  <c r="K55" i="26" s="1"/>
  <c r="K56" i="26" s="1"/>
  <c r="K57" i="26" s="1"/>
  <c r="K58" i="26" s="1"/>
  <c r="J6" i="26"/>
  <c r="J7" i="26" s="1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l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J50" i="26" s="1"/>
  <c r="J51" i="26" s="1"/>
  <c r="J52" i="26" s="1"/>
  <c r="J53" i="26" s="1"/>
  <c r="J54" i="26" s="1"/>
  <c r="J55" i="26" s="1"/>
  <c r="J56" i="26" s="1"/>
  <c r="J57" i="26" s="1"/>
  <c r="J58" i="26" s="1"/>
  <c r="J6" i="21" l="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J45" i="21" s="1"/>
  <c r="J46" i="21" s="1"/>
  <c r="J47" i="21" s="1"/>
  <c r="J48" i="21" s="1"/>
  <c r="J49" i="21" s="1"/>
  <c r="J50" i="21" s="1"/>
  <c r="J51" i="21" s="1"/>
  <c r="J52" i="21" s="1"/>
  <c r="J53" i="21" s="1"/>
  <c r="J54" i="21" s="1"/>
  <c r="L90" i="21"/>
  <c r="E19" i="16" l="1"/>
  <c r="D19" i="16"/>
  <c r="I6" i="16"/>
  <c r="I49" i="29" l="1"/>
</calcChain>
</file>

<file path=xl/sharedStrings.xml><?xml version="1.0" encoding="utf-8"?>
<sst xmlns="http://schemas.openxmlformats.org/spreadsheetml/2006/main" count="1887" uniqueCount="1032">
  <si>
    <t>TOTAL</t>
  </si>
  <si>
    <t>FECHA</t>
  </si>
  <si>
    <t>CONCEPTO</t>
  </si>
  <si>
    <t>INGRESOS</t>
  </si>
  <si>
    <t>EGRESOS</t>
  </si>
  <si>
    <t>EFECTIVO</t>
  </si>
  <si>
    <t>INGRESOS Y EGRESOS DEL MES DE ABRIL/16</t>
  </si>
  <si>
    <t>CAJA</t>
  </si>
  <si>
    <t>BANCO</t>
  </si>
  <si>
    <t>INICIO DE 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</si>
  <si>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</si>
  <si>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</si>
  <si>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</si>
  <si>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</si>
  <si>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</si>
  <si>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</si>
  <si>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</si>
  <si>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</si>
  <si>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</si>
  <si>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</si>
  <si>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</si>
  <si>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</si>
  <si>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SUMA</t>
  </si>
  <si>
    <t>EGRESO</t>
  </si>
  <si>
    <t>CHEQUE</t>
  </si>
  <si>
    <t>HOJA   1</t>
  </si>
  <si>
    <t>ING. CHEQ.</t>
  </si>
  <si>
    <t>EGRE CHEQ.</t>
  </si>
  <si>
    <t>SUMA ING</t>
  </si>
  <si>
    <t>SUMA EGRE</t>
  </si>
  <si>
    <t>DEFICIT/</t>
  </si>
  <si>
    <t>SUPERAVIT</t>
  </si>
  <si>
    <t>EN ESTE MES NO SE REFLEJA DEFICIT EN VIRTUD DE</t>
  </si>
  <si>
    <t xml:space="preserve">QUE SE TUVIERON INGRESOS EXTRAORDINARIOS </t>
  </si>
  <si>
    <t>CON LA VENTA DE TARJETONES.       DE NO HABER</t>
  </si>
  <si>
    <t>TENIDO ESTA VENTA EL DEFICIT HUBIERA SIDO DE</t>
  </si>
  <si>
    <t xml:space="preserve">                            ANALISIS COMPARATIVO ENTRE LOS INGRESOS Y LOS EGRESOS EN EL PRESENTE AÑO </t>
  </si>
  <si>
    <t>JULIO    2017</t>
  </si>
  <si>
    <t>AGOSTO    2017</t>
  </si>
  <si>
    <t>ENERO  2018</t>
  </si>
  <si>
    <t>FEBRERO    2018</t>
  </si>
  <si>
    <t>Saldo del mes de Enero/18</t>
  </si>
  <si>
    <t>INGRESOS Y EGRESOS DEL MES DE MARZO/18</t>
  </si>
  <si>
    <t>Saldo del mes de febrero/18</t>
  </si>
  <si>
    <t>INGRESOS Y EGRESOS DEL MES DE ABRIL/18</t>
  </si>
  <si>
    <t>Saldo del mes de Marzo/18</t>
  </si>
  <si>
    <t>Saldo del mes de Abril/18</t>
  </si>
  <si>
    <t>JUNIO    2018</t>
  </si>
  <si>
    <t>Saldo del mes de Mayo/18</t>
  </si>
  <si>
    <t>Saldo del mes de junio/18</t>
  </si>
  <si>
    <t>Saldo del mes de julio/18</t>
  </si>
  <si>
    <t>SEPTIEMBRE    2018</t>
  </si>
  <si>
    <t>Saldo del mes de agosto/18</t>
  </si>
  <si>
    <t>OCTUBRE    2018</t>
  </si>
  <si>
    <t>Saldo del mes de septiembre/18</t>
  </si>
  <si>
    <t>NOVIEMBRE    2018</t>
  </si>
  <si>
    <t>Saldo del mes de octubre/18</t>
  </si>
  <si>
    <t>DICIEMBRE    2018</t>
  </si>
  <si>
    <t>Saldo del mes de noviembre/18</t>
  </si>
  <si>
    <t>Saldo del mes de Diciembre/17</t>
  </si>
  <si>
    <t>Felipe Terreros, pago de 4 chumaceras y mano de obra para compostura pluma ZB</t>
  </si>
  <si>
    <t xml:space="preserve">Mercado Campesinos, compra de cena fin de año para los 2 turnos de vigilancia </t>
  </si>
  <si>
    <t>Distribuidora El Bollo Cafetales, S.A. de C.V. compra de pan para cena de vigilancia</t>
  </si>
  <si>
    <t>Patrulla 007, compensaciòn por rondines toda la semana en todo el fraccionamiento</t>
  </si>
  <si>
    <t>Antelmo Chàvez, pago por poda de pasto del parque del fraccionamiento</t>
  </si>
  <si>
    <t>Electropura, S. de R.L. de C.V. compra de 3 garrafones de agua para casetas</t>
  </si>
  <si>
    <t>Home Depot Mèxico, S. de R.L. de C.V., compra de aceite 3 tiempos para desgrosadora del fracc</t>
  </si>
  <si>
    <t>Bisquet^s Mèxico, compra de rosca para mesa directiva</t>
  </si>
  <si>
    <t>Cadena Comercial Oxxo, S.A. de C.V. compra de 1 café para mesa directiva</t>
  </si>
  <si>
    <t>Fuentes Plaza, A.C. pago de estacionamiento visita a notario firma electrònica</t>
  </si>
  <si>
    <t>Nueva Walmart de Mèxico, S.A. de C.V. compra de rosca para vigilancia dìa de reyes</t>
  </si>
  <si>
    <t>Plaza Cuemanco, pago de estacionamiento compra de rosca de reyes para vigilantes</t>
  </si>
  <si>
    <t>Gloria Mazzòn Soto, pago de honorarios por captura de datos del 01 al 05 de enero/18</t>
  </si>
  <si>
    <t>Guardìas y Custodìas Privadas Gama, S.A. de C.V. pago a/c de la 1er quincena de enero/18</t>
  </si>
  <si>
    <t>Pedro Bazzan, pago por recolecciòn de pasto podado entre semana</t>
  </si>
  <si>
    <t>Pedro Bazzan, pago por recolecciòn de basura en todo el fraccionamiento en fin de semana</t>
  </si>
  <si>
    <t>Cadena Comercial Oxxo, S.A. de C.V. compra de café y refrescos para mesa de cobranza y vigilanci</t>
  </si>
  <si>
    <t>Sistema de Còmputo, pago por video a solicitud de vecino ZB_38</t>
  </si>
  <si>
    <t>Entrega a Coral Mijangos Peralta, cobranza del 1er domingo de enero/18</t>
  </si>
  <si>
    <t>C.F.E., compensaciòn por cambio de focos a luminarias del fraccionamiento</t>
  </si>
  <si>
    <t>Sistema de Còmputo, pago de video accidente con pluma electrònica</t>
  </si>
  <si>
    <t>Roberto Aranbula, compensaciòn por apoyo para reparaciòn de pluma elecctrònica de salida ZB</t>
  </si>
  <si>
    <t>Copyflash, pago de 860 copias para informe al fraccionamiento fin de año</t>
  </si>
  <si>
    <t>Sistema de Còmputo, pago de video solicitud del vecino EZ_149</t>
  </si>
  <si>
    <t>Manuel Olivares, compensaciòn en apoyo para reparaciòn de pluma electrònica de salida ZB</t>
  </si>
  <si>
    <t>Artemio Chàvez, pago por poda pasto parque del fraccionamiento</t>
  </si>
  <si>
    <t>LarryCopias, pago de 860 copias para informe del financiero a todo el fraccionamiento</t>
  </si>
  <si>
    <t>Gloria Mazzòn Soto, pago de honorarios por captura de datos del 08 al 12 de enero/18</t>
  </si>
  <si>
    <t>Manuel Olivares, compensaciòn por barrer varios dìas pasto podado por el jardinero</t>
  </si>
  <si>
    <t>Comercializadora Caspin, S.A. de C.V., compra de pintura, brocha y aguarras fintar pluma RM</t>
  </si>
  <si>
    <t>Home Depot Mèxico, S. de R.L. de C.V., compra de candado y juego de herramientas para casetas</t>
  </si>
  <si>
    <t>Imagen Plubicitaria, pago de 6 lonas 0.80x1.90 para informaciòn al fraccionamiento</t>
  </si>
  <si>
    <t>Virginia Rendòn, pago de arreglos de adornos para kiosco en nov y dic/17</t>
  </si>
  <si>
    <t>Entrega a Coral Mijangos Peralta, cobranza del 2do domingo de enero/18</t>
  </si>
  <si>
    <t>Telefonos de Mèxico, SAB de C.V., pago del mes de diciembre/17</t>
  </si>
  <si>
    <t>Guardìas y Custodìas Privadas Gama, S.A. de C.V. pago Liq de la 1er quincena de enero/18</t>
  </si>
  <si>
    <t>Roberto Miranda, pago por barrer todo el fracc de lunes a viernes 1er quincena enero/18</t>
  </si>
  <si>
    <t xml:space="preserve">Pedro Bazzan, pago por recolecciòn de basura en todo el fracc de lunes a viernes 1er quincena </t>
  </si>
  <si>
    <t>Maria De Lourdes Osorio, pago 1er quincena por varios trabajos en el fraccionamiento</t>
  </si>
  <si>
    <t>Dolores Mijangos Peralta, pago 1er quincena del mes de enero/18</t>
  </si>
  <si>
    <t>Electropura, S. de R.L. de C.V. compra de 4 garrafones de agua para casetas</t>
  </si>
  <si>
    <t>Starbucks, compra de café personal de mesa directiva diligencia de varios trabajos fraccionami</t>
  </si>
  <si>
    <t>Estacionamiento Cuemanco, pago estacionamiento compra papelerìa</t>
  </si>
  <si>
    <t>Servicio del Hueso, S.A. de C.V. compra de gasolina para presidenta varia diligencia notaria</t>
  </si>
  <si>
    <t>Manuel Olivares, pago por pintar plumas de entrada RM</t>
  </si>
  <si>
    <t>Manuel Olivares, compensaciòn por barrer pasto podado del fraccionamiento</t>
  </si>
  <si>
    <t xml:space="preserve">Pastelerìa y Confiterìa de Mèxico, S.A. de C.V. desayuno mesa directiva asunto firma electrònica </t>
  </si>
  <si>
    <t>Ranver S.A. de C.V. pago estacionamiento SAT firma electrònica</t>
  </si>
  <si>
    <t>Notarìa 224, pago reposiciòn de acta Constitutiva expedida en el 2012</t>
  </si>
  <si>
    <t>Zaguan del Parque, desayuno mesa directiva, visita notarìa 224</t>
  </si>
  <si>
    <t>Cadena Comercial Oxxo, S.A. de C.V. compra de agua mesa directiva visita notarìa 224</t>
  </si>
  <si>
    <t>Lic Guadalupe Guerrero Guerrero, pago de copia certificada del R.F.C. de Dolores Mijangos</t>
  </si>
  <si>
    <t>Estacionamiento Don Jose, visita a notarìa para recoger copica certificada</t>
  </si>
  <si>
    <t>Starbucks Coffee, compra de cafè, mesa directiva compra de papelerìa presidencia y tesorerìa</t>
  </si>
  <si>
    <t>Office Depot de Mèxico, S.A. de C.V. compra de papelerìa para presidencia y tesoreria</t>
  </si>
  <si>
    <t>Nueva Walmart de Mèxico, S.A. de C.V. compra de material de limpieza para casetas del fracc</t>
  </si>
  <si>
    <t>Despacho Contdores Abogados Velasco, S.A., pago por copia de R.F.C. impresiòn</t>
  </si>
  <si>
    <t>Gloria Mazzòn Soto, pago de honorarios por captura de datos del 15 al 19 de enero/18</t>
  </si>
  <si>
    <t>Home Depot Mèxico S. de R.L. de C.V. compra de artìculos de mantenimiento para caseta ZB</t>
  </si>
  <si>
    <t>Pedro Bazzan, pago por recolecciòn de basura en fin de semana</t>
  </si>
  <si>
    <t>Cadena Comercial Oxxo, S.A. de C.V. compra de café y refrescos para mesa de cobranza y vigilanc</t>
  </si>
  <si>
    <t>Cadena Comercial Oxxo, S.A. de C.V. compra de café para mesa de cobranza</t>
  </si>
  <si>
    <t>Tradiciòn en Pastelerìas, S.A. de C.V. compra de café y pan para mesa de cobranza</t>
  </si>
  <si>
    <t>Entrega a Dolores Miganjos, cobranza 3er domingo de enero/18</t>
  </si>
  <si>
    <t>Tradiciòn en Pastelerìas, S.A. de C.V. compra de pan para junta de mesa directiva</t>
  </si>
  <si>
    <t>Cadena Comercial Oxxo, S.A. de C.V. compra de refrescos para junta mesa directiva</t>
  </si>
  <si>
    <t>Cadena Comercial Oxxo, S.A. de C.V. compra de agua para junta mesa directiva</t>
  </si>
  <si>
    <t>Gloria Mazzòn Soto, pago en apoyo de cobranza del 21 de enero/18</t>
  </si>
  <si>
    <t>Manuel Olivares, compensaciòn en apoyo de barrer varios dìas pasto podado</t>
  </si>
  <si>
    <t>Servicio del Hueso, S.A. de C.V. compra gasolina para desgrosadora poda pasto</t>
  </si>
  <si>
    <t>Guardìas y Custodìas Privadas Gama, S.A. de C.V. pago a/c de la 2da. Quincena de enero/18</t>
  </si>
  <si>
    <t>Martha Caballero Gònzalez, comida de mesa directiva con vigilancia</t>
  </si>
  <si>
    <t>Gloria Mazzòn Soto, pago de honorarios por los trabajos de ingresos y egresos del 22 al 26 ene</t>
  </si>
  <si>
    <t>Entrega a Dolores Miganjos, cobranza 4to domingo de enero/18</t>
  </si>
  <si>
    <t xml:space="preserve">Sistemas de Còmputo, pago de video de caseta Zinampa desapariciòn desbrozadora </t>
  </si>
  <si>
    <t>SAT Servicio de Administración Tributaría, pago retención IVA colegio Carmel ene/18 Ch. # 104</t>
  </si>
  <si>
    <t>Contador Carlos Siegrist Hernández, pago de honorarios del mes de enero/18 Ch. # 104</t>
  </si>
  <si>
    <t>Patrulla 324, compensaciòn por rondines toda la semana en fraccionamiento</t>
  </si>
  <si>
    <t>Guardìas y Custodìas Privadas Gama, S.A. de C.V. pago Liq de la 2da quincena enero/18</t>
  </si>
  <si>
    <t>Israel Galàn Quintin, compra de 50 llaves para puertas peatonales del fraccionamiento</t>
  </si>
  <si>
    <t>Pedro Bazzan, pago por recolecciòn de basuen de lunes a viernes 2da quincena enero/18</t>
  </si>
  <si>
    <t>Roberto Miranda, pago por barrer fracc de lunes a viernes 2da. Quincena enero/18</t>
  </si>
  <si>
    <t>Dolores Mijangos Peralta, pago 2da quincena del mes de enero/18</t>
  </si>
  <si>
    <t>Nueva Walmart de Mèxico, S. de R.L. de C.V. compra de botes de basura para fraccionamiento</t>
  </si>
  <si>
    <t>Estacionamiento Cuemanco, pago estacionamiento compra de botes de basura</t>
  </si>
  <si>
    <t>Entrega a Dolores Mijangos Peralta, de la ultima semana de enero/18</t>
  </si>
  <si>
    <t>Tranferencia Bancaria fam. Fuentes pago mes de enero/18</t>
  </si>
  <si>
    <t>Deposito cheque colegio Carmel pago de mantenimiento mes de enero/18</t>
  </si>
  <si>
    <t>Comisión cheque expedido</t>
  </si>
  <si>
    <t>I.V.A. por comisión cheque expedido</t>
  </si>
  <si>
    <t>Cadena Comercial Oxxo, S.A. de C.V. compra de café y refrescos para mesa de cobranza y vigilancia</t>
  </si>
  <si>
    <t>Villafaña Pèrez Judith, compra de café para mesa de cobranza domingo</t>
  </si>
  <si>
    <t>Pedro Bazzan, pago por recolecciòn de basuen en fin de semana</t>
  </si>
  <si>
    <t>Grupo Montparnasse WIA Morelos compra de pan para junta mesa directiva y comité vecinal</t>
  </si>
  <si>
    <t>Cafeterìa Cava del Duque, desayuno con comité vecinal y mesa directiva asuntos fraccionamien</t>
  </si>
  <si>
    <t>Patrulla 007, compensaciòn por rondines toda la semana</t>
  </si>
  <si>
    <t>Antelmo Chàvez, pago poda pasto del parque fraccionamiento entre semana</t>
  </si>
  <si>
    <t>Manuel Olivares, pago por compesaciòn de dos dìas por barrer pasto podado por jardinero</t>
  </si>
  <si>
    <t>Refaccionarìa de Bicicletas, compra de camara y reparaciòn de bicicleta</t>
  </si>
  <si>
    <t>Roberto Miranda pago por barrer entrada y banqueta de Estopila</t>
  </si>
  <si>
    <t>Cadena Comercial Oxxo, S.A. de C.V. compra de cafè y refrescos para mesa de cobranza doming</t>
  </si>
  <si>
    <t>Entrega a Dolores Mijangos Peralta, cobranza 1er domingo de febrero/18</t>
  </si>
  <si>
    <t>Electropura, S. de R.L. de C.V. compra de 4 garrafones de agua para casetas del fraccionamiento</t>
  </si>
  <si>
    <t>Manuel Olivares, pago por barrer pasto podado por jardinero</t>
  </si>
  <si>
    <t>Copyfaz, pago de 500 copias carta para informe al fraccionamiento</t>
  </si>
  <si>
    <t>Cadena Comercial Oxxo, S.A. de C.V. compra de refrescos para mesa directiva y vigilancia</t>
  </si>
  <si>
    <t xml:space="preserve">Grupo Protecciòn Patrimonial, pago liquidaciòn por prestar servicio de vigilancia </t>
  </si>
  <si>
    <t>Patrulla 032, compensaciòn por rondines toda la semana</t>
  </si>
  <si>
    <t xml:space="preserve">Torterìa Los Autènticos Pavitos, compra de tortas para mesa directiva y vigilancia </t>
  </si>
  <si>
    <t>Nueva Walmart de Mèxico, S. de R.L. de C.V. compra de material de limpieza</t>
  </si>
  <si>
    <t>Estacionamiento de Cuemanco, pago de estacionamiento compra de material limpieza</t>
  </si>
  <si>
    <t>Cadena Comercial Oxxo, S.A. de C.V. compra de detergenta para limpieza de casetas cambio per</t>
  </si>
  <si>
    <t>Gloria Mazzón Soto, pago en apoyo de cobranza 11 de febrero/18</t>
  </si>
  <si>
    <t>Gloria Mazzón Soto, pago de honorarios del 05 al 09 de febrero/17</t>
  </si>
  <si>
    <t>Cadena Comercial Oxxo, S.A. de C.V. compra de tiempo aire para tesorera</t>
  </si>
  <si>
    <t>Antelmo Chávez, pago por recolección de pasto podado entre seana</t>
  </si>
  <si>
    <t>Pedro Bazzan, pago por recolección de pasto podado entre fin de semana</t>
  </si>
  <si>
    <t>Pedro Bazzan, pago por recolección de basura en fin de semana a todo el fraccionamiento</t>
  </si>
  <si>
    <t>Cadena Comercial Oxxo, S.A. de C.V. compra de café para mesa de cobranza domingo</t>
  </si>
  <si>
    <t>Entrega a Dolores Mijangos Peralta, cobranza 2do. Domingo de febrero/18</t>
  </si>
  <si>
    <t>Lenix Security Alarm, pago de servicio de reparación de 2 camaras CCTV</t>
  </si>
  <si>
    <t>Lenix Security Alarm, pago de 2 pza baluns y 1 transforador para camara</t>
  </si>
  <si>
    <t>Antelmo Chávez, pago poda y recolección de pasto del parque podado entre semana</t>
  </si>
  <si>
    <t>Servicio El Hueso, S.A. de C.V. compra de gasolina para desgrosadora para poda de pasto</t>
  </si>
  <si>
    <t>RC Operadora de Cafeterías S.A. de C.V., compra de café para personal de mesa directiva</t>
  </si>
  <si>
    <t>Fuentes Plaza, A.C. pago de estacionamiento visita notario asuntos del fraccionamiento</t>
  </si>
  <si>
    <t>Cadena Comercial Oxxo, S.A. de C.V. compra de café y refrescos para mesa directiva visita notar</t>
  </si>
  <si>
    <t>Home Depot México, S. de R.L. de C.V. compra de aceite para desgrosadora para poda de pasto</t>
  </si>
  <si>
    <t>Tiendas Chedraui, S.A. de C.V. compra de cafetera B&amp;D CM110 y parrilla directa H</t>
  </si>
  <si>
    <t>Servicio El Hueso, S.A. de C.V. compra de gasolina para varias visitas al Notario asuntos fracc</t>
  </si>
  <si>
    <t>Lenix Security Alarm, pago de monitor, trasformador para DVR y cable HDMI</t>
  </si>
  <si>
    <t>Telefonos de Mèxico, S.A.B. de C.V. pago de telefono casetas del mes de enero/18</t>
  </si>
  <si>
    <t>Cadena Comercial Oxxo, S.A. de C.V. compra de refrescos para junta de mesa directiva y vigilan</t>
  </si>
  <si>
    <t>Roberto Miranda pago por barrer todo el fraccionamiento entre semana 1er quincena febrero</t>
  </si>
  <si>
    <t>Pedro Bazzan, pago por recolecciòn basura en fraccionamiento entre semana 1er quiincena</t>
  </si>
  <si>
    <t>Marìa de Lourde Osorio, pago por varios trabajos realizados en el fraccionamiento</t>
  </si>
  <si>
    <t>Grupo Alguacil Dorado en Seguridad Privada, S.A. de C.V. pago vigilancia del 07 al 15 feb/18</t>
  </si>
  <si>
    <t>Dolores Mijangos Peralta, pago primer quincena del mes de febrero/18</t>
  </si>
  <si>
    <t>Gloria Mazzòn Soto, pago de honoraros del 12 al 16 de febrero/18</t>
  </si>
  <si>
    <t>Patrulla 033, compensaciòn por rondines de toda la semana</t>
  </si>
  <si>
    <t>La Casa de Rù, pago de desayuno asuntos de notarìa del la mesa directiva asuntos del fraccion</t>
  </si>
  <si>
    <t>INKA YANI, compra de café para juntas de mesa directiva</t>
  </si>
  <si>
    <t>Entrega a Dolores Mijangos Peralta, cobranza del 3er domingo de febrero/18</t>
  </si>
  <si>
    <t>Cadena Comercial Oxxo, S.A. de C.V. compra de cafè para mesa de cobranza domingo</t>
  </si>
  <si>
    <t>Antelmo Chàvez, pago poda pasto del parque fraccionamiento entre semana y recolecciòn de el</t>
  </si>
  <si>
    <t>Leniz Security Alarm, pago de mantenimiento preventivo y corretivo a CCTV caseta Zinampa</t>
  </si>
  <si>
    <t>Restaurantes ADMX, S. de R.L. de C.V. compra de ensaladas para mesa directiva visita notario</t>
  </si>
  <si>
    <t>NEPSOL, S.A. de C.V. pago de gasolina para presidenta, varias diligencias del fraccionamiento</t>
  </si>
  <si>
    <t>SAT Servicio de Administración Tributaría, pago retención IVA colegio Carmel feb/18 Ch. # 105</t>
  </si>
  <si>
    <t>Contador Carlos Siegrist Hernández, pago de honorarios del mes de feb/18 Ch. # 105</t>
  </si>
  <si>
    <t>Home Depto México, S. de R.L. de C.V. compra de candado, paquete de papel y guantes p/casetas</t>
  </si>
  <si>
    <t>Deposito cheque colegio Carmel pago de mantenimiento mes de Febrero/18</t>
  </si>
  <si>
    <t>Lic. Jesus Torres Gómez, Notaria 224, segundo pago de acta constitutiva</t>
  </si>
  <si>
    <t>Centro de Copiado y Papelería Omega, pago de 450 copias para informe al fraccionamiento</t>
  </si>
  <si>
    <t>Antelmo Chávez, pago por poda y recolección de pasto podado en parque del fraccionamiento</t>
  </si>
  <si>
    <t>Gloria Mazzón Soto, pago de honorarios del 19 al 23 febrero/18</t>
  </si>
  <si>
    <t>Comercial City Fresko, S. de R.L. de C.V. compra de café para casetas de vigilancia fraccionamie</t>
  </si>
  <si>
    <t>Papelería Colibrí, compra de clips para caseta de Romeral</t>
  </si>
  <si>
    <t>Tradición en Pastelería, S.A. de C.V. compra de café para mesa de cobranza domingo</t>
  </si>
  <si>
    <t>Cadena Comercial Oxxo, S.A. de C.V. compra de refrescos para mesa de cobranza domingo</t>
  </si>
  <si>
    <t>Pedro Bazzan, pago de recolección de basura en fin de semana del fraccionamiento</t>
  </si>
  <si>
    <t>Pedro Bazzan, pago de recolección de pasto podado entre semana</t>
  </si>
  <si>
    <t>Gloria Mazzón Soto, pago en apoyo de cobranza domingo 25 de febrero/18</t>
  </si>
  <si>
    <t>Antelmo Chávez, pago de poda y recolección de pasto podado entre semana</t>
  </si>
  <si>
    <t>Pedro Bazzan, pago por recolección de basura entre seman 2da quincena de febrero/18</t>
  </si>
  <si>
    <t>Roberto Miranda, pago por barrer todo el fracc entre semana 2da quincena de febrero/18</t>
  </si>
  <si>
    <t>Gloria Mazzòn Soto, pago de honorarios del 29 de enero al 02 febrero/18</t>
  </si>
  <si>
    <t>I.V.A. por comisiòn cheque expedido</t>
  </si>
  <si>
    <t>Comisiòn cheque expedido</t>
  </si>
  <si>
    <t>Tranferencia Bancarìa Fam. Fuentes pago mes de febrero/18</t>
  </si>
  <si>
    <t>Grupo Alguacil Dorado en Seguridad Privada, S.A. de C.V. pago vigilancia 2da. Quincena feb/18</t>
  </si>
  <si>
    <t>Dolores Miangos Peralta, pago segunda quincena del mes de febrero</t>
  </si>
  <si>
    <t>Marìa de Lourde Osorio, pago por varios trabajos realizados en el fracionamiento</t>
  </si>
  <si>
    <t>Entrega a Dolores Mijangos Peralta, cobranza del 4to domingo de febrero</t>
  </si>
  <si>
    <t>Ditribuidora de Bicicletas Benotto, S.A. de C.V. compra de 1 camara para bicicleta del fracciona</t>
  </si>
  <si>
    <t>Tienda Boutique Bicicleta Accesorios compra refacciones para bicileta para rondines del fracc</t>
  </si>
  <si>
    <t>Patrula 032, compensaciòn por rondines toda la semana</t>
  </si>
  <si>
    <t>Antelmo Chàvez, poda de pasto y recolecciòn del mismo del parque del fraccionamiento</t>
  </si>
  <si>
    <t>Lenix Security Alarm, pago de repuesto de pluma para barrera vehicular de aluminio</t>
  </si>
  <si>
    <t>Lenix Security Alarm, pago de servicio para control de acceso vehicular (mantenimiento preven)</t>
  </si>
  <si>
    <t>Gloria Mazzòn Soto, pago de honorarios del 26 de febrero al 02 de marzo/18</t>
  </si>
  <si>
    <t>CFE, compensaciòn por cambio de focos a luinarias del fraccionamiento</t>
  </si>
  <si>
    <t>Lenix Security Alarm, pago de mantenimiento preventivo y correctivo a CCTV Romeral</t>
  </si>
  <si>
    <t>Tlapalerìa Jaime, compra de cinta de aislar y contacto para caseta Romeral</t>
  </si>
  <si>
    <t>Distribuidora el Bollo Cafetales S.A. de C.V. compra de pan para mesa de cobranza domingo</t>
  </si>
  <si>
    <t>Pedro Bazzan, pago por recolecciòn de basura en todo el fraccionamiento fin de semana</t>
  </si>
  <si>
    <t>Cadena Comercial, S.A. de C.V. compra de café para mesa de cobranza domingo</t>
  </si>
  <si>
    <t>Servicio el Hueso, S.A. de C.V. compra de gasolina para desbrozadora</t>
  </si>
  <si>
    <t>Entrega a Dolores Mijangos Portugal, cobranza primer domingo de marzo/18</t>
  </si>
  <si>
    <t>Electropura, S. de R.L. de C.V. compra de 6 garrafones para casetas del fraccionamiento</t>
  </si>
  <si>
    <t>Patrulla 007, compensaciòn por rondines toda la semana en el fraccionamiento</t>
  </si>
  <si>
    <t>Servicio El Hueso, S.A. de C.V. compra gasolina para presidencia varias diligencias fraccionami</t>
  </si>
  <si>
    <t>Gloria Mazzòn Soto, pago de honorarios del 05 al 09 de marzo/18</t>
  </si>
  <si>
    <t>Lenix Security Alarm, compra de multicontacto</t>
  </si>
  <si>
    <t>Lenix Security Alarm, compra de No-Break para camaras de caseta Romeral</t>
  </si>
  <si>
    <t>Lenix Security Alarm, para por servicio de No-Break</t>
  </si>
  <si>
    <t>Patrulla 032, compensaciòn por rondines en todoa la semana del fraccionamiento</t>
  </si>
  <si>
    <t>Sistema de Còmputo, pago por video solicitado por vecino de Landero 60</t>
  </si>
  <si>
    <t>Sistema de Còmputo, pago por video solicitado por vecino de Landero 47</t>
  </si>
  <si>
    <t>Entrega a Dolores Mijangos Portugal, cobranza segundo domingo de marzo/18</t>
  </si>
  <si>
    <t>Electropura, S. de R.L. de C.V. compra de 5 garrafones para casetas del fraccionamiento</t>
  </si>
  <si>
    <t>RFID, Soluciones Estrategicas, compra de Software de contro y botonera para caseta Zinampa</t>
  </si>
  <si>
    <t>RFID, Soluciones Estrategicas, pago de mantenimiento preventivo en  caseta Zinampa</t>
  </si>
  <si>
    <t>Lenix Security Alarm, pago de servicio a DVR, desbloqueo y recuperaciòn de contraseña Romeral</t>
  </si>
  <si>
    <t>Lenix Security Alarm, pago de servicio pago mano de obra colocaciòn DVR</t>
  </si>
  <si>
    <t>Papelerìa El Grillo II, pago de 2 enmicados</t>
  </si>
  <si>
    <t>Telefonos de Mèico S.A.B. de C.V. pago mes de febrero/18</t>
  </si>
  <si>
    <t>Pedro Bazzan, pago por recolecciòn de basura entre semana de todo el fracc 1era quincena</t>
  </si>
  <si>
    <t xml:space="preserve">Roberto Miranda, pago por barrer todo el fraccionamiento de lunes a viernes 1er quincena </t>
  </si>
  <si>
    <t>Marìa de Lourdes Osorio, pago por trabajos varios en todo el fraccionamiento 1er qincena</t>
  </si>
  <si>
    <t>Dolores Mijangos Portugal, pago de la 1er quincena de marzo/18</t>
  </si>
  <si>
    <t>Grupo Alguacil Dorado en Seguridad Privada, S.A. de C.V. pago vigilancia 1er quincena</t>
  </si>
  <si>
    <t xml:space="preserve">Distribuidora Benotto, S.A. de C.V. compra de 1 camara para bicicleta del fraccionamiento </t>
  </si>
  <si>
    <t>Felipe Terreros , pago de soldadura para palanca de plumas entrada Romeral</t>
  </si>
  <si>
    <t>Gloria Mazzòn Soto, pago de honorarios del 12 al 16 de marzo/18</t>
  </si>
  <si>
    <t>Centro de Copiado y Papeleria Omega, pago de 860 copias para informe al fraccionamiento</t>
  </si>
  <si>
    <t>Entrega a Dolores Mijagos Portugal, cobranza del tercer domingo de marzo/18</t>
  </si>
  <si>
    <t>Biciexpress, compra de refacciones para bicilceta del fraccionamiento para rondines</t>
  </si>
  <si>
    <t>Sistema de Còmputo, pago liquidaciòn por videos de Landero 60 y 47</t>
  </si>
  <si>
    <t>Sistema de Còmputo, pago de 3 videos diferentes tomas del evento robo a casa LD 47 y 60</t>
  </si>
  <si>
    <t>Cadena Comercial, S.A. de C.V. compra de café para Mesa Directiva reuniòn con vigilancia</t>
  </si>
  <si>
    <t>Paco Bicis, pago de cambio de estrella y recorte de cadena para bicicleta del fraccionamiento</t>
  </si>
  <si>
    <t>Moyo Cuemanco, compra de agua para Mesa directiva compra de papelerìa</t>
  </si>
  <si>
    <t>Lenix Security Alarm, compra de disco duro, 2 DVR p/caseta RM y EP y luz led plumas caseta ZB</t>
  </si>
  <si>
    <t>Lenix Security Alarm, pago de mano de obra para colocaciòn de disco duro DVR y luz led</t>
  </si>
  <si>
    <t>Office Depot, S.A. de C.V. compra de papelerìa para presidencia y tesorerìa</t>
  </si>
  <si>
    <t>Estacionamiento Cuemanco, pago de estacionamiento compra papelerìa</t>
  </si>
  <si>
    <t>Gloria Mazzòn Soto, pago de honorarios del 18 al 22 de arzo/18</t>
  </si>
  <si>
    <t>Centro de Copiado y Papelerìa Omega, pago de 220 copias para informe al fraccionamiento</t>
  </si>
  <si>
    <t>Cadena Comercial Oxxo, S.A. de C.V. compra de tiempo aire para presidencia</t>
  </si>
  <si>
    <t>Tradiciòn en Pastelerìa, S.A. de C.V. compra de café para mesa de cobranza domingos</t>
  </si>
  <si>
    <t>Micelanea, compra de refrescos para vigilancia del fraccionamiento</t>
  </si>
  <si>
    <t>Cadena Comercial Oxxo, S.A. de C.V. compra de refrescos para Mesa de Cobranza domingos</t>
  </si>
  <si>
    <t>Pedro Bazzan, pago de recolecciòn de basura en fin de semana del fraccionamiento</t>
  </si>
  <si>
    <t>Pedro Bazzan, pago de recolecciòn de pasto podado entre semana del parque del fraccionamien</t>
  </si>
  <si>
    <t>Entrega a Dolores Mijangos Peralta, cobraza del 4to domingo de marzo/18</t>
  </si>
  <si>
    <t>Centro de Copiado y Papelerìa Omega, pago de papelerìa para presidencia</t>
  </si>
  <si>
    <t>Tienda, compra de rollo de bolsas para pasto podado del parque del fraccionamiento</t>
  </si>
  <si>
    <t>Cadena Comercial Oxxo, S.A. de C.V. compra de refrescos para vigilancia</t>
  </si>
  <si>
    <t>Gloria Mazzòn Soto, pago de honorarios del 26 al 30 de marzo/18</t>
  </si>
  <si>
    <t>Pedro Bazzan, pago por recolecciòn de basura entre semana de todo el fracc 2 da quincena</t>
  </si>
  <si>
    <t xml:space="preserve">Roberto Miranda, pago por barrer todo el fraccionamiento de lunes a viernes  2 da quincena </t>
  </si>
  <si>
    <t>Marìa de Lourdes Osorio, pago por trabajos varios en todo el fraccionamiento 2da qincena</t>
  </si>
  <si>
    <t>Dolores Mijangos Portugal, pago de la 2da.quincena de marzo/18</t>
  </si>
  <si>
    <t>Grupo Alguacil Dorado en Seguridad Privada, S.A. de C.V. pago vigilancia 2 da quincena</t>
  </si>
  <si>
    <t>SAT Servicio de Administración Tributaría, pago retención IVA colegio Carmel mar/18 Ch. # 106</t>
  </si>
  <si>
    <t>Contador Carlos Siegrist Hernández, pago de honorarios del mes de mar/18 Ch. # 105</t>
  </si>
  <si>
    <t>Deposito cheque colegio Carmel pago de mantenimiento mes de marzo/18</t>
  </si>
  <si>
    <t>Transferencia Bancaria Fam. Fuentes UP_46 mes de marzo/18</t>
  </si>
  <si>
    <t>Transferencia Bancaria Fam. Escamilla Martines mes dic/17 y ene/18</t>
  </si>
  <si>
    <t>Transferencia Bancaria Fam.González paga mes de feb/mar/18</t>
  </si>
  <si>
    <t>Transferencia Bancaria Fam. Escamilla Martínez mes de sep/oct/nov/17</t>
  </si>
  <si>
    <t>Entrega a Dolores Migangos cobranza de la ultima semana de marzo/18</t>
  </si>
  <si>
    <t>SAT Servicio de Administración Tributaría, pago retención IVA colegio Carmel abr/18 Ch. # 107</t>
  </si>
  <si>
    <t>Contador Carlos Siegrist Hernández, pago de honorarios del mes de abr/18 Ch. # 107</t>
  </si>
  <si>
    <t>Cadena Comercial Oxxo, S.A. de C.V. compra de refrescos para personal de sotware plumas ZB</t>
  </si>
  <si>
    <t>Nueva Walmart de México, S. de R.L. de C.V. compra de sobres para tarjetas eletrónicas fraccc</t>
  </si>
  <si>
    <t>Pedro Bazzan, pago de recolección de basura en fin de semana</t>
  </si>
  <si>
    <t>Tradición en Pastelería El Globo, S.A. de C.V. compra de café para mesa de cobranza</t>
  </si>
  <si>
    <t>Víctor Pérez, pago por pintar puerta de Landero y quitar grafitis</t>
  </si>
  <si>
    <t>Patrulla 032, compensación por rondines en todo el fraccionamiento entre semana</t>
  </si>
  <si>
    <t>Alfredo Rodríguez, pago por actualización de plumas acceso Zinampa</t>
  </si>
  <si>
    <t>Entega a Dolores Mijangos Peralta, 1er domingo de abril/18</t>
  </si>
  <si>
    <t>Electropura, S. de R.L. de C.V. compra de 6 garrafones de agua para casetas del fracccionamiento</t>
  </si>
  <si>
    <t>Paco Bici, compra de refacciones para bicicleta del fraccionamiento</t>
  </si>
  <si>
    <t>Servicio El Hueso, S.A. de C.V. compra de gasolina para desbrozadora poda de jardin fracciona</t>
  </si>
  <si>
    <t>Papelería Colíbri, compra de ligas</t>
  </si>
  <si>
    <t>Comercializadora Caspin, S.A. de C.V. compra de pintura y brocha para pintar caseta ZB y RM</t>
  </si>
  <si>
    <t>Comercializadora Caspin, S.A. de C.V. compra de brocha para pintar caeta ZB y RM</t>
  </si>
  <si>
    <t>Sabine Pérez, pago de desayunos para personal delegación poda pasto de jardin fraccionamien</t>
  </si>
  <si>
    <t>RFID Soluciones Estrategicas, pago de cableado de barreras vehiculares y lectoras ZB y 30 tarje</t>
  </si>
  <si>
    <t>Cadena Comercial Oxxo, S.A. de C.V. compra de detergente para limpieza de casetas ZB y RM</t>
  </si>
  <si>
    <t>Pollo Feliz, compra de pollo para cuadrilla delegación poda pasto de jardín del fraccionamiento</t>
  </si>
  <si>
    <t>Lenix Segurity Alarm, pago de mano de obra de cableado camaras de caseta Zinampa</t>
  </si>
  <si>
    <t>Lenix Segutity Alarm, pago de cableado camaras de caseta Zinampa</t>
  </si>
  <si>
    <t>Home Depot, S. de R.L. de C.V. compra de candados para casetas del fraccionamiento</t>
  </si>
  <si>
    <t>Víctor Pérez, compensación por quitar propaganda de la rejas del fraccionamiento</t>
  </si>
  <si>
    <t>Gloria Mazzón Soto, pago de honorarios por captura de datos del 02 al 06 de abril/18</t>
  </si>
  <si>
    <t>Entega a Dolores Mijangos Peralta, 2do. domingo de abril/18</t>
  </si>
  <si>
    <t>Comercializadora Caspin, S.A. de C.V. comppra de pintura para pintar caseta ZB y RM</t>
  </si>
  <si>
    <t>Protección y Seguridad Industrial S.A. de C.V. recarca de extintor de casetas del fraccionamiento</t>
  </si>
  <si>
    <t>Distribuidora El Bollo Cafetales, S.A. de C.V. compra de pan para junta Mesa Directiva</t>
  </si>
  <si>
    <t>Office Depot de México, S. de R.L. de C.V. compra de papelería para presidencia</t>
  </si>
  <si>
    <t>Estacionamiento Cuemanco, pago estacionamiento compra de papelería</t>
  </si>
  <si>
    <t>Carnicería Xotepingo, S.A. de C.V. compra de alimentos para cuadrilla delegación poda pasto</t>
  </si>
  <si>
    <t>Cadena Comercial Oxxo, S.A. de C.V. compra de refrescos para cuadrilla delegación poda pasto</t>
  </si>
  <si>
    <t>Papelería Colíbri, compra de archivero de plastico para tesoreria</t>
  </si>
  <si>
    <t>Lenix Segurity Alarm, pago de mantenimiento previentivo y correctivo a casete ZB tarjetas Electró</t>
  </si>
  <si>
    <t>Lenix Segurity Alarm, pago de mano de obra previento y correctivo a caseta ZB</t>
  </si>
  <si>
    <t>Control de Plagas, pago fumigación del parque del fraccionamiento varias plagas</t>
  </si>
  <si>
    <t>Centro de Copiado y Papelelría Omega, pago de volantes información al fracciionamiento</t>
  </si>
  <si>
    <t>Cadena Comercial Oxxo, compra de desayunos para el peronsal cuadrilla delegación poda past</t>
  </si>
  <si>
    <t>Gloria Mazzón Soto, pago en apoyo de repartición de tarjeta electrónias a todo el fraccionamien</t>
  </si>
  <si>
    <t>Gloria Mazzón Soto, pago de honorarios por captura de datos del 09 al 13 de abril/18</t>
  </si>
  <si>
    <t>Roberto Miranda, compensación por barrer varias areas del fraccionamiento</t>
  </si>
  <si>
    <t>Lenix Segurity Alarm, pago por recuperación de contraseña caseta de Rocoveco</t>
  </si>
  <si>
    <t>Telefonos de México, SAB, S.A. de C.V. pago del mes de marzo/18</t>
  </si>
  <si>
    <t>Pedro Bazzan, pago de recolección de basura en todo el fracc de lunes a viernes 1er quincena</t>
  </si>
  <si>
    <t>Roberto Miranda, pago por barrer todo el fracc entre semana 1er quincena de abril/18</t>
  </si>
  <si>
    <t>María De Lourde Osoriio, pago varios trabjos en todo el fraccionamiento 1er quincena abril/18</t>
  </si>
  <si>
    <t>Dolores Mijangos Peralta, pago de la 1er quinena de abril/8 trabajo de precidencia del fraccc</t>
  </si>
  <si>
    <t>Grupo Alguacial Dorado en Seguridad Privada, S.A. de C.V. pago de seguridad 1er quincena fracc</t>
  </si>
  <si>
    <t>Cadena Comercial Oxxo, S.A. de C.V. compra de refrescos Mesa Directiva junta con vigilancia</t>
  </si>
  <si>
    <t>Pedro Bazzan, pago por recolección de basura en todo el fraccionamiento en fin de ssemana</t>
  </si>
  <si>
    <t>Pedro Bazzan, pago por recolección de pasto podado entre semana</t>
  </si>
  <si>
    <t>Electropura, S. de R.L. de C.V. compra de 5 garrafones de agua para casetas del fracccionamiento</t>
  </si>
  <si>
    <t>Cadena Comercial Oxxo, S.A. de C.V. recarga de telefono presidenaia</t>
  </si>
  <si>
    <t>Virginia Rendon, compensación por repartir tarjeta electrónicas del fraccionamiento</t>
  </si>
  <si>
    <t>Gloria Mazzón Soto, compensación por repartir tarjetas electrónica plumas del fraccionamiento</t>
  </si>
  <si>
    <t>Patrulla 033, compensación por rondines en todo el fraccionamiento entre semana</t>
  </si>
  <si>
    <t>Gloria Mazzón Soto, pago de honorarios por captura de datos del 16 al 20 abril/18</t>
  </si>
  <si>
    <t>Antelmo Chavez, pago poda pasto y recolección el mismo podado entre semana</t>
  </si>
  <si>
    <t>Gloria Mazzón Soto, compensación por cobranza de domingo 22 de abril/18</t>
  </si>
  <si>
    <t>Electropura, S. de R.L. de C.V. pago de 5 garrafones para casetas del fraccionamiento</t>
  </si>
  <si>
    <t>Copias y Heliográfica, pago de 1290 copias para informes al fraccionamiento</t>
  </si>
  <si>
    <t>Patrulla 035, compensación por rondines en todo el fraccionamiento entre semana</t>
  </si>
  <si>
    <t>Víctor Pérez, compensación por recoger pasto podado del fracionamiento</t>
  </si>
  <si>
    <t>Gloria Mazzón Soto, pago de honorarios por captura de datos del 23 al 27 de abril/18</t>
  </si>
  <si>
    <t>Servicio Vista Hermosa, reparación de chapa de puerta de Zinampa</t>
  </si>
  <si>
    <t>Gloria Mazzón Soto, pago en apoyo de cobranza del domingo 29 de abril/18</t>
  </si>
  <si>
    <t>Pedro Bazzan, pago por recolección de bausura en todo el fraccionamiento 2da. Quincena</t>
  </si>
  <si>
    <t>Roberto Miranda, por barrer de lunes a viernes 2da quincena de abril/18</t>
  </si>
  <si>
    <t>María De Lourde Osoriio, pago varios trabjos en todo el fraccionamiento 2da. quincena abril/18</t>
  </si>
  <si>
    <t>Dolores Mijangos Peralta, pago de la 2da. quinena de abril/8 trabajo de precidencia del fraccc</t>
  </si>
  <si>
    <t>Grupo Alguacial Dorado en Seguridad Privada, S.A. de C.V. pago de seguridad 2da quincena fracc</t>
  </si>
  <si>
    <t>Entrega a Dolores Mijangos Peralta,cobranza 3er domingo abril/18</t>
  </si>
  <si>
    <t>Entrega a Dolores Mijangos Peralta, cobranza 3er domingo de abril/18</t>
  </si>
  <si>
    <t>Entrega a Dolores Mijangos Peralta, cobranza del 4to domingo de abril/18</t>
  </si>
  <si>
    <t>Transferencia Bancaria Fam. Escamilla Martines mes feb/mar/18</t>
  </si>
  <si>
    <t>Deposito cheque colegio Carmel pago de mantenimiento mes de abr/18</t>
  </si>
  <si>
    <t>Antelmo Chávez, pago poda de pasto del parque fracc. Entre semana</t>
  </si>
  <si>
    <t>Víctor Pérez, compensación por recoger pasto podado del parque</t>
  </si>
  <si>
    <t>Lenix Security Alarm, pago por mantenimiento prentivo y correctivo a CCTV modulo 4 (Estopila)</t>
  </si>
  <si>
    <t>Lenix Security Alarm, pago mano de obra por mantenimiento modulo 4 (Estopila)</t>
  </si>
  <si>
    <t>Patrulla 032, compensación por rondines toda la semana en el fraccionamiento</t>
  </si>
  <si>
    <t>SEMAR 3994, pago de gasolina para presidencia</t>
  </si>
  <si>
    <t>Gloria Mazzón Soto, pago de honorarios por captura de datos del 30 de abril al 04 de mayo/18</t>
  </si>
  <si>
    <t>Lenix Security Alarm, compra de juego de ballon, y dos monitores para caseta de Estopila y Recov</t>
  </si>
  <si>
    <t>Lenix Security Alarm, pago de mano de obra de intalación monitores a casetas</t>
  </si>
  <si>
    <t>Lenix Security Alarm, pago material de intalación de cableado</t>
  </si>
  <si>
    <t>Lenix Security Alarm, pago de mano de obra de instalación de cableado</t>
  </si>
  <si>
    <t>Cadena Comercial Oxxo, S.A. de C.V. compra de refrescos para mesa de cobranza domingos</t>
  </si>
  <si>
    <t>Pedro Bazzan, pago por recolección de basura en fin de semana</t>
  </si>
  <si>
    <t>Entrega a Dolores Mijangos cobranza del 1er domingo de mayo/18</t>
  </si>
  <si>
    <t>Gloria Mazzón Soto, pago en apoyo de cobranza del 06 de mayo/18</t>
  </si>
  <si>
    <t>Electropura, S. de R.L. de C.V. compra de 5 garrafones de agua para casetas del fraccionamiento</t>
  </si>
  <si>
    <t>Office Depot de México, S.A. de C.V. compra de cartuchos paga impresora tesoreria y presidencia</t>
  </si>
  <si>
    <t>Estacionamiento Cuemanco, pago de estacionamiento compra de papelería</t>
  </si>
  <si>
    <t>Distribuidora el Bollo Cafetales, S.A. de C.V. compra de pan para cuadrilla delegación poda pas</t>
  </si>
  <si>
    <t>RFID Soluciones Estrategicas, compra de tarjetas UHF GEN2 para acceso vehicular plumas</t>
  </si>
  <si>
    <t>Nueva Walmart de México, S. de R.L. de C.V. compra de material de limpieza para casetas fracc</t>
  </si>
  <si>
    <t>Nueva Walmart de México, S. de R.L. de C.V. compra de papaelería para presidencia y tesorería</t>
  </si>
  <si>
    <t>Nueva Walmart de México, S. de R.L. de C.V. compra de desechables para evento día madres frac</t>
  </si>
  <si>
    <t>Nueva Walmart de México, S. de R.L. de C.V. compra de refrescos para cuadrilla poda pasto del</t>
  </si>
  <si>
    <t>Gloria Mazzón Soto, pago de honorarios por captura de datos del 07 al 11 de mayo/18</t>
  </si>
  <si>
    <t>HGQ, compra de 2 paraguas para mesa de cobranza domingos</t>
  </si>
  <si>
    <t>Entrega a Dolores Mijangos cobranza del 2do. domingo de mayo/18</t>
  </si>
  <si>
    <t>Telefonos de Mexico, S.A.B. de C.V. pago telefono abril/18</t>
  </si>
  <si>
    <t>Patrulla 033 compensación por rondines entre semana</t>
  </si>
  <si>
    <t>Nueva Walmart de México, S. de R.L. de C.V. compra de reloj y pilas para caseta del fracccionam</t>
  </si>
  <si>
    <t>Estacionamiento Cuemanco, pago de estacionamiento compra de reloj</t>
  </si>
  <si>
    <t>Fuentes Plaza, A.C. pago de estacionamiento visita a Notaría asesoría protocolización nueva</t>
  </si>
  <si>
    <t>Cadena Comercial Oxxo, S.A. de C.V. compra de refrescos mesa directiva visita a notaría</t>
  </si>
  <si>
    <t>Roberto Miranda, pago 1er quincena por barrer todo el fraccionamiento entre semana</t>
  </si>
  <si>
    <t>Pedro Bazzan, pago 1er quincena por recolección de basura en todo el fracc entre semana</t>
  </si>
  <si>
    <t>María de Lourdes Osorio, pago por varios trabajos en el fraccionamientos</t>
  </si>
  <si>
    <t>Dolores Mijangos Peralta, pago de la 1er quinena de mayo/18 trabajo de precidencia del fraccc</t>
  </si>
  <si>
    <t>Zahuan del Parque, pago desayuno mesa directiva visita a Notaria 160</t>
  </si>
  <si>
    <t>Servicio el Hueso, S.A. de C.V. pago de gasolina para presidencia varias diligencias</t>
  </si>
  <si>
    <t>Cia Operadora de Estacionamienttoss Méxicanos, S.A. de C.V. pago estacionamiento visita banco</t>
  </si>
  <si>
    <t>Gloria Mazzón Soto, pago de honorarios por captura de datos del 14 al 18 de mayo</t>
  </si>
  <si>
    <t>Víctor Pérez, compensación por pintar barda perimetral del parque y quitar graffitis</t>
  </si>
  <si>
    <t>Lenix Security Alarm, pago de soporte de antena receptora</t>
  </si>
  <si>
    <t>Lenix Security Alarm, pago mano de obra por colocar soporte de antena receptora</t>
  </si>
  <si>
    <t>Lenix Security Alarm, compra de tarjetas de control de acceso para plumas del fraccionamiento</t>
  </si>
  <si>
    <t>Sergio Escalante, compensación por pintar caseta de vigilancia de Romeral</t>
  </si>
  <si>
    <t>Cadena Comercial Oxxo, S.A. de C.V. compa de refrescos para vigilancia en domingo</t>
  </si>
  <si>
    <t>Cadena Comercial Oxxo, S.A. de C.V. compra de tiempo aire para telefono presidencia</t>
  </si>
  <si>
    <t>Entrega a Dolores Mijangos Portugal, del 3er domingo de mayo/18</t>
  </si>
  <si>
    <t>Tianguis, compra de quesadillas para mesa de cobranza domingo</t>
  </si>
  <si>
    <t>Electropura, S. de R.L. de C.V. compra de 6 garrafones de agua para casetas del fraccionamiento</t>
  </si>
  <si>
    <t>Deposito cheque colegio Carmel pago de mantenimiento mes de may/18</t>
  </si>
  <si>
    <t>SAT Servicio de Administración Tributaría, pago retención IVA colegio Carmel may/18 Ch. # 107</t>
  </si>
  <si>
    <t>Contador Carlos Siegrist Hernández, pago de honorarios del mes de may/18 Ch. # 107</t>
  </si>
  <si>
    <t>Gloria Mazzón Soto, pago de honorarios por captura de datos del 21 al 25 de mayo/18</t>
  </si>
  <si>
    <t>Entrega a Dolores Mijangos Portugal, del 4to domingo de mayo/18</t>
  </si>
  <si>
    <t>Víctor Pérez, pago por recolección de pasto podado del parque del fracc entre semana</t>
  </si>
  <si>
    <t>Servicio El Hueso, S.A. de C.V. pago de gasolina para desbrozadora del fracc poda pasto</t>
  </si>
  <si>
    <t>Home Depot México, S. de R.L. de C.V. compra de aceite para desbrozadora para poda pasto</t>
  </si>
  <si>
    <t>Tradición en Pastelería, S.A. de C.V. pago de café para junta de Mesa Directiva</t>
  </si>
  <si>
    <t>Pedro Bazzan, pago por recolección de basura entre semana 2da. Quincena de mayo/18</t>
  </si>
  <si>
    <t>Roberto Miranda, pago  qu2da.incena por barrer todo el fraccionamiento entre semana</t>
  </si>
  <si>
    <t>Dolores Mijangos Peralta, pago de la 2da. quinena de mayo/18 trabajo de precidencia del fracc</t>
  </si>
  <si>
    <t>Entrega a Dolores Mijagos Peralta en última semana de cobranza de mayo/18</t>
  </si>
  <si>
    <t>Transferencia Bancaria Fam. Fuentes UP_46 mes de mayo/18</t>
  </si>
  <si>
    <t>Transferencia Bancaria Fam. González EZ_15_A pago mes de abril/18</t>
  </si>
  <si>
    <t>Transferencia Bancaria Fam. Vega Sanchéz CL_29 pago oct/nov/dic/17 $ 400 por mes</t>
  </si>
  <si>
    <t>Israel Galan Quintin, pago de repración de cerradura puerta peatonal calle Estanzuela</t>
  </si>
  <si>
    <t>Sistema de Cómputo, pago por 5 videos para varios vecinos del fraccionamiento diferen aconteci</t>
  </si>
  <si>
    <t>Sra. Concepción Silva, compra de bicicleta HIGHSPEDD, a vecina de CL_93 para rondines fraccion</t>
  </si>
  <si>
    <t>Alenadro Osorio, pago de mano de obra por reparación de plumas electrónicas de caseta Zinamb</t>
  </si>
  <si>
    <t>Distribuidora el Bollo, S.A. de C.V. compra de pan para personal de vigilanica del fraccionamiento</t>
  </si>
  <si>
    <t>Cadena Comercial Oxxo, S.A. de C.V. compra de represcos para mesa de cobranza domingo</t>
  </si>
  <si>
    <t>Cadena Comercial Oxxo, S.A. de C.V. compra de café para mesa de cobranza doingo</t>
  </si>
  <si>
    <t>Patrulla 032 compensación por rondines entre semana en el todo el fraccionamiento</t>
  </si>
  <si>
    <t>Entrega a Dolores Mijangos, cobranza 1er domingo de juniio/18</t>
  </si>
  <si>
    <t xml:space="preserve">Todo Ciclismo, compra de refacciones para bicicletas del fraccionamiento </t>
  </si>
  <si>
    <t>Todo Ciclismo, compra de asiento para bicicleta del fraccionamiento</t>
  </si>
  <si>
    <t>Todo Ciclismo, compra de camara para bicicleta del fraccionamiento</t>
  </si>
  <si>
    <t>Todo Ciclismo, pago de servicio Bici Benoto verde</t>
  </si>
  <si>
    <t>Todo Ciclismo, pago de servicio Bici Montaña gris, servicioi de frenos</t>
  </si>
  <si>
    <t>Antelmo Chávez, pago poda de pasto del parque del fraccionamiento</t>
  </si>
  <si>
    <t>Federico Siegrist Hernández pago compra de Certificado de folios para facturar</t>
  </si>
  <si>
    <t>Víctor Pérez, compensación por recolección de pasto podado del parque del fraccionamiento</t>
  </si>
  <si>
    <t>Gloria Mazzón Soto, pago de honorarios por captura de datos del 04 al 08 de junio/18</t>
  </si>
  <si>
    <t>Gloria Mazzón Soto, pago de honorarios por captura de datos del 28 mayo al 01 junio/18</t>
  </si>
  <si>
    <t>CIA. Operadora de Estacionamientos Mexicanos, S.A. de C.V. estacionamiento visita banco AFIRME</t>
  </si>
  <si>
    <t>La Casa de Rá, pago de café para Mesa Directiva visita a Notaría asuntos del fraccionamiento</t>
  </si>
  <si>
    <t>Fuentes Plaza, A.C. pago estacionamiento visita Notaria, asuntos del fraccionamiento</t>
  </si>
  <si>
    <t>Copy Flash, pago de 223 copias para informe de baja de tarjetas electrónicas del fraccionamiento</t>
  </si>
  <si>
    <t>Víctor Pérez, compensación por repartir volantes a todo el fraccionamiento</t>
  </si>
  <si>
    <t>Pedro Bazan, recolección de basura en fin de samana del fraccionamiento</t>
  </si>
  <si>
    <t>Pedro Bazan, pago por recolección de basura en fin de semana</t>
  </si>
  <si>
    <t>Pedro Bazan, pago por recolección de pasto podado entre semana parque del fraccionamiento</t>
  </si>
  <si>
    <t>Cadena Comercial Oxxo, S.A. de C.V. compra de refrescos para mesa de cobranza y vigilancia dom</t>
  </si>
  <si>
    <t>Sistema de Compúto, pago por videos a solicitud de vecino de EZ_74</t>
  </si>
  <si>
    <t>Distribuidora El Bollo, S.A. de C.V. compra de pan para vigilancia fraccionamiento 1er turno</t>
  </si>
  <si>
    <t>Distribuidora El Bollo, S.A. de C.V. compra de pan para vigilancia fraccionamiento 2do turno</t>
  </si>
  <si>
    <t>Entrega a Dolores Mijangos, cobranza 2do. domingo de juniio/18</t>
  </si>
  <si>
    <t>Sistema de Compúto, pago de video a solicitud de vecino LD_75</t>
  </si>
  <si>
    <t>Cadena Comercial Oxxo, S.A. de C.V. compra de refrescos para vigilancia del fracciionamiento</t>
  </si>
  <si>
    <t>Cadena Comercial Oxxo, S.A. de C.V. compra de refrescos para ingeniero de camaras</t>
  </si>
  <si>
    <t>Lenix Security Alarm, pago de servico de mano de obra a plumas Zinampa</t>
  </si>
  <si>
    <t>Lenix Security Alarm, pago mantenimiento y reparación de Plumas (Zinampa)</t>
  </si>
  <si>
    <t>Lenix Security Alarm, pago de manteniminto barrera manual ZB y matenimiento motor salida</t>
  </si>
  <si>
    <t>Gloria Mazzón Soto, pago en apoyo en cobranza del 10 de junio 2018</t>
  </si>
  <si>
    <t>Patrulla 033, compensación por rondines de toda la semana</t>
  </si>
  <si>
    <t>Servicio el Hueso, S.A. de C.V. compra de gasolina para desbrozadora poda del fraccionamiento</t>
  </si>
  <si>
    <t>Víctor, Pérez, compensación por recolección de pasto podado del parque fraccionamiento</t>
  </si>
  <si>
    <t>Comercial City Fresko S. de R.L. de C.V. compra de refrescos para personal delegación poda pasto</t>
  </si>
  <si>
    <t>Telefonos de México, S.A.B. de C.V. pago telefono del mes de mayo/18</t>
  </si>
  <si>
    <t>Sistema de Compúto, por desbloqueo de tarjetas electrónicas acceso plumas Zinampa morosidad</t>
  </si>
  <si>
    <t>Subway, compra de comida para personal de Mesa Directiva asunto de llaves para el fraccionam</t>
  </si>
  <si>
    <t>Mega Gran Sur, pago de estacionamiento visita a cerrajería para llaves del fraccionamiento</t>
  </si>
  <si>
    <t>Servicio Iman, S.A. de C.V. pago de gasolina visita a cerrajería Gran Sur</t>
  </si>
  <si>
    <t>Pedro Bazzan, pago por recolección de basura en todo el fraccionameito entre semana 1er quinc</t>
  </si>
  <si>
    <t>Roberto Miranda, pago por barrer todo el fraccionnamiento entre seman 1er quincena</t>
  </si>
  <si>
    <t>Maria De Lourdes Osorio, pago por varios trabajos realizados en todo el fracciionamiento</t>
  </si>
  <si>
    <t>Dolores Mijiangos Portugal, pago de la 1er quincena de junio/18</t>
  </si>
  <si>
    <t>Gloria Mazzón Soto, pago de honorarios por captura de datos del 11 al 15 de junio/18</t>
  </si>
  <si>
    <t>Cadena Comercial Oxxo, S.A. de C.V. compra de café y azúcar, para casetas de vigilancia fraccion</t>
  </si>
  <si>
    <t>Distribuidora El Bollo, S.A. de C.V. compra de pan para vigilancia ambos turnos</t>
  </si>
  <si>
    <t>Tiendas Chedraui, S.A. de C.V. compra de material de limpieza para casetas del fraccionamiento</t>
  </si>
  <si>
    <t>Pedro Bazzan, pago por recoleccción de pasto podado del parque entre semana</t>
  </si>
  <si>
    <t>Entrega a Dolores Mijagos Portugal, cobranza del 3er domingo del mes de junio/18</t>
  </si>
  <si>
    <t>Gloria Mazzón Soto, pago en apoyo de cobranza del 17 de junio/18</t>
  </si>
  <si>
    <t>Víctor Pérez, pago por recolección de pasto podado del parque del fraccionamiento</t>
  </si>
  <si>
    <t>Huatutm, pago de 1 millar de recibos cobranza de cuotas del fraccionamioento</t>
  </si>
  <si>
    <t>Huatutm, pago de stiker, para foliar recibos de cobranza</t>
  </si>
  <si>
    <t>Cuadrilla Delegación, compra de refrescos por cabio de luminarias fundidas del fraccionamiento</t>
  </si>
  <si>
    <t>Deposito cheque colegio Carmel pago de mantenimiento mes de junio/18</t>
  </si>
  <si>
    <t>Cuadrilla Delegación, compra de carnitas y refrescos por poda de pasto del fraccionamiento</t>
  </si>
  <si>
    <t>Jercería La Bodega, compra de jaladores, franelas y jergas para casetas del fraccionamiento</t>
  </si>
  <si>
    <t>7 Eleven México, S.A. de C.V. compra de refrescos para cuadrilla delegación poda pasto parque fra</t>
  </si>
  <si>
    <t>Cuadrilla Delegación, compra de tocos de canasta para cuadrilla delegación poda pasto parque</t>
  </si>
  <si>
    <t>Comercializadora Caspin, S.A. de C.V. compra de pintura para pintar señalizacióes caseta RM</t>
  </si>
  <si>
    <t>Gloria Mazzón Soto, pago de honorarios de captura de datos  del 18 al 22 de junio/18</t>
  </si>
  <si>
    <t>Cadena Comercial Oxxo, S.A. de C.V. compra de tiempo aire para telefono celular presidenta</t>
  </si>
  <si>
    <t>El Globo tradición en Pstelerías, S.A. de C.V. compra de café para mesa de cobranza domingo</t>
  </si>
  <si>
    <t>Pedro Bazzan, pago por recolección de basura en todo el fraccionamiento fin de seman</t>
  </si>
  <si>
    <t>Pedro Bazzan, pago por recolección de pasto podado entre semana del parque fraccionamiento</t>
  </si>
  <si>
    <t>Entrega a Dolores Miganjos Peralta, cobranza del 4to domingo de junio/18</t>
  </si>
  <si>
    <t>Cuadrilla Delegación, compra de gorditas para personal delegación poda de pasto parque fracc</t>
  </si>
  <si>
    <t>Lenix Security Alarm, pago de servicio de mano de obra compostura de sensor de masa plumas</t>
  </si>
  <si>
    <t>Cuadrilla Delegación, compra de quesadillas personal Delegación poda de pasto parque fracc</t>
  </si>
  <si>
    <t>Gloria Mazzón Soto, pago de honorarios por captura de datos del 25 al 29 de junio/18</t>
  </si>
  <si>
    <t>Pedro Bazzan, pago por recolección de basura en todo el fraccionameito entre semana 2da quinc</t>
  </si>
  <si>
    <t>Roberto Miranda, pago por barrer todo el fraccionnamiento entre seman 2da quincena</t>
  </si>
  <si>
    <t>Dolores Mijiangos Portugal, pago de la 2da quincena de junio/18</t>
  </si>
  <si>
    <t>Transferencia Bancaria Lorena González EZ_15  pago el mes de mayo/18</t>
  </si>
  <si>
    <t>Transferencia Bancaria Alberto Augusto Fuentes UP_46 pago el mes de junio/18</t>
  </si>
  <si>
    <t>Transferencia Bancaria Vega Sánchez CL_29 pago ene/feb/mar/18 $ 400 por mes</t>
  </si>
  <si>
    <t>Transferencia Bancaria Lorena González EZ_15  pago el mes de junio/18</t>
  </si>
  <si>
    <t>Israel Galan Quintín, compra de 60 duplicados de llaves para puertas de acceso peatonal fracc.</t>
  </si>
  <si>
    <t>7 Eleven México, S.A. de C.V. compra de refrescos para cuadrilla delegación poda pasto parque</t>
  </si>
  <si>
    <t>Benjamín Martínez, pago en apoyo a Mesa de Cobranza por elecciones del INE</t>
  </si>
  <si>
    <t>Entrega a Dolores Mijangos Peralta, cobranza 1er domingo de julio/18</t>
  </si>
  <si>
    <t>Pedro Bazzan, pago por recolección de basura fin de seman en todo el fraccionamiento</t>
  </si>
  <si>
    <t>Distribuidora El Bollo Cafetales, S.A. de C.V. compra de pan para vigilancia del fraccionamiento</t>
  </si>
  <si>
    <t>Cadena Comercial Oxxo S.A. de C.V. compra de refrescos para personal mesa cobranza y vigilanci</t>
  </si>
  <si>
    <t>Sergio Escalante, compensación por pintar lineas y tope señalamientos caseta Romeral</t>
  </si>
  <si>
    <t>Cosme Gil Pérez, compensación por pintar lineas y tope señalamientos caseta Romeral</t>
  </si>
  <si>
    <t>René Joel Gil Pérez, compensación por pintar y tope señalamientos caseta Romeral</t>
  </si>
  <si>
    <t>Cadena Comercial Oxxo S.A. de C.V. compra de refrescos para personal de vigilancia del fracccion</t>
  </si>
  <si>
    <t>Electropura, S. de R.L. de C.V. compra de 6 garrafones de agua para casetas de vigilancia fracc</t>
  </si>
  <si>
    <t>Cuadrilla Delegación, compra de tacos de canas por poda de pasto parque del fraccionamiento</t>
  </si>
  <si>
    <t>Roberto Miranda Compensación por barrer entradas del fraccionamiento RV, EP y RM</t>
  </si>
  <si>
    <t>Antelmo Chávez, pago poda pasto caseta de vigilancia Zinampa</t>
  </si>
  <si>
    <t>Víctor Pérez, pago recolección de pasto podado del parque fraccionamiento</t>
  </si>
  <si>
    <t>Cadena Comercial Oxxo, S.A. de C.V. compra de refrescos para personal de viglancia fraccionam</t>
  </si>
  <si>
    <t>Servicio El Hueso, S.A. de C.V., compra de gasolina para desbrozadora poda pasto cuadrilla deleg</t>
  </si>
  <si>
    <t>Lenix Security Alarm, compra de 1 transformador de 12v para leds de barrera de salida ZB</t>
  </si>
  <si>
    <t>Lenix Security Alarm, pago de servioc mano de obra por instalar tranformador barrera salida ZB</t>
  </si>
  <si>
    <t>Cuadrilla Delegación, compra de quesadillas poda pasto del fraccionamiento</t>
  </si>
  <si>
    <t>Cuadrilla Delegación, compra de refrescos poda pasto del fraccionamiento</t>
  </si>
  <si>
    <t>Patrulla 029, compensación por rondines toda la semana en fraccionamiento</t>
  </si>
  <si>
    <t>Gloria Mazzón Soto, pago de honorarios por los trabajos de ingresos y egresos del 02 al 06 jul/18</t>
  </si>
  <si>
    <t>Cadena Comercial Oxxo, S.A. de C.V. compra de azucar para caseta de vigilancia</t>
  </si>
  <si>
    <t>Cadena Comercial Oxxo, S.A. de C.V. compra de café para personal de cobranza domingos</t>
  </si>
  <si>
    <t>Café Sirena, S. de R.L. de C.V. compra de café para personal de cobranza domingos</t>
  </si>
  <si>
    <t>Los Unicos y Autenticos Tamales y Atole, compra de tamales para personal de vigilancia domingo</t>
  </si>
  <si>
    <t>Entrega a Dolores Mijangos Peralta, cobranza 2do. domingo de julio/18</t>
  </si>
  <si>
    <t>Cadena Comercial Oxxo, S.A. de C.V. compra de refrescos para junta con personal de vigilancia</t>
  </si>
  <si>
    <t>Lenix Security Alarm, compra de repuesto de pluma para la barrera de salida de ZB</t>
  </si>
  <si>
    <t>Lenix Secutity Alarm, pago de mano de obra para colocar barrera de salida de ZB</t>
  </si>
  <si>
    <t>Servicio El Hueso, S.A. de C.V. gasolina para presidencia varias diligencias del fraccionamiento</t>
  </si>
  <si>
    <t>Antelmo Chávez, pago poda de pasto del parque del fraccionamiento y recolección del mismo</t>
  </si>
  <si>
    <t>Israel Galan Quintín, pago por reparación de chapa de acceso de puerta de Landero</t>
  </si>
  <si>
    <t>Home Depot México, S. de R.L. de C.V. compra de cadena eslabon doble para barrera de ZB</t>
  </si>
  <si>
    <t>Cadena Comercial Oxxo, S.A. de C.V. compra de café para casetas del fraccionamiento</t>
  </si>
  <si>
    <t>Inka Yani, compra de café para personal de mesa directiva del fraccionamiento</t>
  </si>
  <si>
    <t>Patrulla 033, compensación por rondines en toda la semana del fraccionamiento</t>
  </si>
  <si>
    <t>René Joel Gil Pérez, compensación por impermeabilizar casetas de vigilancia RM y ZB</t>
  </si>
  <si>
    <t>Gloria Mazzón Soto, pago de honorarios por los trabajos de ingresos y egresos del 09 al 13 jul/18</t>
  </si>
  <si>
    <t>Telefonos de México, S.A.B. de C.V. pago del mes de junio/18</t>
  </si>
  <si>
    <t>Sportibici, S.A. de C.V. compra de refacciones para bicicletas del fraccionamiento</t>
  </si>
  <si>
    <t>Deposito cheque colegio Carmel pago de mantenimiento mes de julio/18</t>
  </si>
  <si>
    <t>Puesto Tamales, compra de tamales para personal de mesa de cobranza domingos</t>
  </si>
  <si>
    <t>Pasteleria Tradicional El Globo, S.A. de C.V. compra de café meza de cobranza domingos</t>
  </si>
  <si>
    <t>Pedro Bazzan, pago por recolección de basura entre semana 1er quincena de julio/18</t>
  </si>
  <si>
    <t>Roberto Miranda, pago por barrer entre semana 1er quincena de julio/18</t>
  </si>
  <si>
    <t>María de Lourdes Osorio, pago por varios trabajos 1er quincena de julio/18</t>
  </si>
  <si>
    <t>Dolores Mijagos Peralta, pago 1er quincena por puesto de presidenta del fraccionamiento</t>
  </si>
  <si>
    <t>Grupo Alguacil Dorado En Seguridad Privada, S.A. de C.V. pago 1er quincena de vigilancia fraccio</t>
  </si>
  <si>
    <t>Entrega a Dolores Migangos cobranza 3er domingo de julio/18</t>
  </si>
  <si>
    <t>Roberto Miranda, compensación por barrer entradas de acceso al fracc entre semana RV, EZ y RM</t>
  </si>
  <si>
    <t>Cosme Gil Pérez, compensación por impermeabilizar casetas de vigilancia RM y ZB</t>
  </si>
  <si>
    <t>Electropura, S. de R.L. de C.V. compra de 5 garrafones de agua para casetas de vigilancia fracc</t>
  </si>
  <si>
    <t xml:space="preserve">Antelmo Chávez, pago poda de pasto del parque del fraccionamiento   </t>
  </si>
  <si>
    <t>Comercial City Fresko, S. de R.L. de C.V. compra de refrescos para junto mesa directiva</t>
  </si>
  <si>
    <t>Nueva Walmart de México S. de R.L. de C.V. compra de bolsas para pasto podado del fraccionami</t>
  </si>
  <si>
    <t>Nueva Walmart de México S. de R.L. de C.V. compra de pan para personal mesa directiva</t>
  </si>
  <si>
    <t>Nueva Walmart de México S. de R.L. de C.V. compra de café para pesonal mesa directiva</t>
  </si>
  <si>
    <t>SAT Servicio de Administración Tributaría, pago retención IVA colegio Carmel jul/18 Ch. #</t>
  </si>
  <si>
    <t xml:space="preserve">Contador Carlos Siegrist Hernández, pago de honorarios del mes de jul/18 Ch. # </t>
  </si>
  <si>
    <t>Office Depot de México, S.A. de C.V. compra de papeleria para presidencia y tesorería</t>
  </si>
  <si>
    <t>Gloria Mazzón Soto, pago de honorarios, por trabajos de ingresos y egresos del 16 al 20 jul/18</t>
  </si>
  <si>
    <t>Larry Copias, pago de 1,290 copias para informe financiero para todo el fraccionamiento</t>
  </si>
  <si>
    <t>Víctor Pérez, compensación por repartir circulares para colonos del fraccionamiento</t>
  </si>
  <si>
    <t>Entrega a Dolores Mijagos Peralta, cobranza del 4to. Domingo de julio/18</t>
  </si>
  <si>
    <t>Pedro Bazzan, pago por recolección de basura en todo el fraccionamiento en domingo</t>
  </si>
  <si>
    <t>Cadena Comercial Oxxo, S.A. de C.V. compra de café y refrescos para personal de cobranza domin</t>
  </si>
  <si>
    <t>Rubén Leonardo Villarruel, compensación por arreglo de bicicletas de vigilancia del fraccionami</t>
  </si>
  <si>
    <t>Antelmo Chávez pago por poda de pasto del parque del fraccionamiento</t>
  </si>
  <si>
    <t>Home Depot México, S. de R.L. de C.V. compra de hilo para desbrozadora del fraccionamiento</t>
  </si>
  <si>
    <t>Servicio El Hueso, S.A. de C.V. compra de gasolina para desbrozadora del fraccionamiento poda</t>
  </si>
  <si>
    <t>Cadena Comercial Oxxo, S.A de C.V. compra de detergente para casetas del fraccionamiento</t>
  </si>
  <si>
    <t>Víctor Pérez, compensación por reparti circulares a colonos del fraccionamiento</t>
  </si>
  <si>
    <t>Victor Pérez, compensación por barrer yy cortar pasto caseta Recoveco</t>
  </si>
  <si>
    <t>Victor Pérez, compensación por quitar propaganda de rejas del fraccionamiento</t>
  </si>
  <si>
    <t>Home Depot México, S. de R.L. de C.V. compra de cable de acero, casquillo y candados puertas frac</t>
  </si>
  <si>
    <t>Gloria Mazzón Soto, pago de honorarios, por trabajos de ingresos y egresos del 23 al 27 jul/18</t>
  </si>
  <si>
    <t>Cadena Comercial Oxxo, S.A. de C.V. compra de refrescos para vigilantes</t>
  </si>
  <si>
    <t>Vigilancia, compra de quesadillas para personal de vigilancia del fraccionamiento</t>
  </si>
  <si>
    <t>Cadena Comercial Oxxo, S.A. de C.V. compra de café y pan para mesa de cobranza domingo</t>
  </si>
  <si>
    <t>Cadena Comercial Oxxo, S.A. de C.V. compra de refrescos para vigilantes del fraccionamiento</t>
  </si>
  <si>
    <t>Entrega a Dolores Mijagos Peralta, cobranza del 5to. Domingo de julio/18</t>
  </si>
  <si>
    <t>Gloria Mazzón Soto, pago en apoyo de cobranza 5to domingo de julio/18</t>
  </si>
  <si>
    <t>Víctor Pérez, compensación por barrer pasto podado del parque</t>
  </si>
  <si>
    <t>Pedro Bazzan, pago por recolección de basura entre semana de la  2da. Quincena de julio</t>
  </si>
  <si>
    <t>Roberto Miranda, pago por barrer entre semana 2da. quincena de julio/18</t>
  </si>
  <si>
    <t>María de Lourdes Osorio, pago por varios trabajos 2da quincena de julio/18</t>
  </si>
  <si>
    <t>Dolores Mijagos Peralta, pago 2da. quincena por puesto de presidenta del fraccionamiento</t>
  </si>
  <si>
    <t>Grupo Alguacil Dorado En Seguridad Privada, S.A. de C.V. pago 2da quincena de vigilancia fracc</t>
  </si>
  <si>
    <t>Transferencia Bancaria Alberto Augusto Fuentes UP_46 pago el mes de juLio/18</t>
  </si>
  <si>
    <t>Electropura S. de R.L. de C.V. compra de 5 garrafones para casetas del fraccionamiento</t>
  </si>
  <si>
    <t>Lenix Security Alarm, compra de 1 No break para caseta de Zinampa</t>
  </si>
  <si>
    <t>Copyfaz Digital, pago de copias presidencia</t>
  </si>
  <si>
    <t>Copyfaz Digital, pago de mica autoderible para presidencia</t>
  </si>
  <si>
    <t>Sabine Pérez, pago de 8 aguas para trabajadores delegación revisión de banquetas</t>
  </si>
  <si>
    <t>Gloria Mazzón Soto, pago de honorarios por captura de datos del 30 julio al 03 de ago/18</t>
  </si>
  <si>
    <t>Víctor Pérez, compensación por desyerbar y barrer puerta de acceso de Estopila</t>
  </si>
  <si>
    <t>Cadena Comercial Oxxo, S.A. de C.V. compra de refrescos para personal de vigilancia</t>
  </si>
  <si>
    <t>Cadena Comercial Oxxo, S.A. de C.V. compra de refrescos para vigilancia domingo cobranza</t>
  </si>
  <si>
    <t>Pedro Bazzan, pago por recolección de  basura en fin de semana</t>
  </si>
  <si>
    <t>Pedro Bazzan, pago por recolección de pasto podado entre semana parque del fraccionamiento</t>
  </si>
  <si>
    <t>Tradicion En Pastelerías, S.A. de C.V. compra de café para mesa de cobranza domingo</t>
  </si>
  <si>
    <t>Entrega a Dolores Mijangos, cobranza del 1er domingo de agosto/18</t>
  </si>
  <si>
    <t>Electropura S. de R.L. de C.V. compra de 6 garrafones para casetas del fraccionamiento</t>
  </si>
  <si>
    <t>Comercializadora Caspin, S.A. de C.V. compra de plastilina univ para compostura lavabo caseta</t>
  </si>
  <si>
    <t>Lenix Security Alarm, pago de mano de obra en colocación de DVR en caseta Zinampa</t>
  </si>
  <si>
    <t>Lenix Security Alarm, pago de mano de obra en colocación de no break para caseta Zinampa</t>
  </si>
  <si>
    <t>Sistema de Cómputo, pago de activación de tarjetas electrónicas de vecino fraccionamiento</t>
  </si>
  <si>
    <t>Inka Yani, compra de café para junta de mesa directiva</t>
  </si>
  <si>
    <t>Cadena Comercial Oxxo, S.A. de C.V. compra de café para personal delegación luminarias</t>
  </si>
  <si>
    <t>Cadena Comercial Oxxo, S.A. de C.V. compra de materiales de limpieza para casetas del fraccion</t>
  </si>
  <si>
    <t>Cremeria Airam, compra de refrescos para junta de Mesa Directiva y Vigilancia</t>
  </si>
  <si>
    <t>SAT Servicio de Administración Tributaría, pago retención IVA colegio Carmel agosto/18 Ch. # 109</t>
  </si>
  <si>
    <t>Contador Carlos Siegrist Hernández, pago de honorarios del mes de agosto/18 Ch. # 109</t>
  </si>
  <si>
    <t>SAT Servicio de Administración Tributaría, pago retención IVA colegio Carmel jul/18 Ch. # 109</t>
  </si>
  <si>
    <t>Contador Carlos Siegrist Hernández, pago de honorarios del mes de jul/18 Ch. # 109</t>
  </si>
  <si>
    <t>Roberto Miranda, pago por barrer entradas de acceso de Estopila y Recoveco entre semana</t>
  </si>
  <si>
    <t>Cadena Comercial Oxxo, S.A. de C.V. compra de refrescos para personal delegación luminarias</t>
  </si>
  <si>
    <t>Sistema de Cómputo, pago por video solicitado para residente evento con vigilancia fraccionam</t>
  </si>
  <si>
    <t>Gloria Mazzón Soto, pago de honorarios por captura de datos del 06 al 10 de agosto/18</t>
  </si>
  <si>
    <t>Pedro Bazzan, pago por recolección de basura fin de semana de todo el fraccionamiento</t>
  </si>
  <si>
    <t>Sistemas de Cómputo, pago por video a solicitud de vecino de Estanzuela 11_A por robo a su casa</t>
  </si>
  <si>
    <t>Entrega a Dolores Mijangos, cobranza del 2do. domingo de agosto/18</t>
  </si>
  <si>
    <t>Lenix Security Alarm, pago por servicio de mano de obra en plumas de caseta Zinamapa</t>
  </si>
  <si>
    <t>Telefonos de México, S.A.B. de C.V. pago telefono casetas de vigilancia fraccionamiento julio/18</t>
  </si>
  <si>
    <t>Materiales y Tlapalería La Palma, compra de perros 3/8 colocación cable acero salida CL</t>
  </si>
  <si>
    <t>Materiales y Tlapalería La Palma, compra de perros 3/8 colocación cable acero salida UP</t>
  </si>
  <si>
    <t>Rodrigo Alvárez, compensación por colocar cable de acero en salidas de emergecia CL y UP</t>
  </si>
  <si>
    <t>Felipe Terrero pago por soldar varilla argolla para tubo de entras de emergencia CL y UP</t>
  </si>
  <si>
    <t>Pedro Bazzan, pago por recolección de basura en todo fracc de lunes a vienres 1er quincena agos</t>
  </si>
  <si>
    <t>Roberto Miranda, pago por barrer todo el fracc de lunes a vienrnes 1er quincena agosto/18</t>
  </si>
  <si>
    <t>Maria De Lourdes Osorio, pago por varios trabajos en fraccionamiento</t>
  </si>
  <si>
    <t xml:space="preserve">Dolores Mijangos Peralta, pago 1er quincena agosto/18 </t>
  </si>
  <si>
    <t>Grupo Alguacil Dorado en Seguridad Privada, S.A. de C.V. pago 1er quincena vigilancia fraccionam</t>
  </si>
  <si>
    <t>Copy Faz, pago de 200 copias para informe a fraccionameinto robo en Estanzuela</t>
  </si>
  <si>
    <t>Víctor Pérez, compensación por repartir volantes a colonos de todo el  fraccionamiento</t>
  </si>
  <si>
    <t>Servicio El Hueso, S.A. de C.V. pago de gasolina presidencia varias diligencia del fraccionamiento</t>
  </si>
  <si>
    <t>Gloria Mazzón Soto, pago de honorarios por captura de datos del 13 al 17 de agosto/18</t>
  </si>
  <si>
    <t>Distribuidora El Bollo Cafetales, S.A. de C.V. compra de pan para vigilancia 1er turno</t>
  </si>
  <si>
    <t>Distribuidora El Bollo Cafetales, S.A. de C.V. compra de pan para vigilancia 2do turno</t>
  </si>
  <si>
    <t>Nueva Walmart de México, S. de R.L. de C.V. compra de refrescos para personal de vigilancia</t>
  </si>
  <si>
    <t>Pedro Bazzan, paro por recolección de basura en fin de semana a todo el fraccionamiento</t>
  </si>
  <si>
    <t>Gloria Mazzón Soto, pago en apoyo a cobranza 19 de agosto/18</t>
  </si>
  <si>
    <t>Entrega a Dolores Mijangos Peralta, cobranza 3er domingo de agosto/18</t>
  </si>
  <si>
    <t>Cuadrilla Delegación, compra de chicharrón para almluerzo trabajadores de reparación banquet</t>
  </si>
  <si>
    <t>7 Eleven México, S.A. de C.V. compra de refrescos para personal delegación poda pasto fracciona</t>
  </si>
  <si>
    <t>Tieneas Chedraui, S.A. de C.V. compra de alimentos para peronsl delegación poda pasto fraccion</t>
  </si>
  <si>
    <t>Cuadrilla Delegación, compra de tacos de canas pesonal delegación recolección de pasto podado</t>
  </si>
  <si>
    <t>Cuadrilla Delegación, compra de tamales para personal delegación poda pasto fraccionamiento</t>
  </si>
  <si>
    <t xml:space="preserve">Pasteleria La Esperanza, S.A. de C.V. compra de bolillos para tortas personal delegación poda </t>
  </si>
  <si>
    <t>Gloria Mazzón Soto, pago de honorarios por captura de datos del 20 a 24 de agosto/18</t>
  </si>
  <si>
    <t>Materiales y Tlapapalería La Palma, compra de cinta precaución para banquetas</t>
  </si>
  <si>
    <t>Cadena Comercial Oxxo, S.A. de C.V. compra de refrescos para personal vigilancia del fracciona</t>
  </si>
  <si>
    <t>Pedro Bazzan, pago por recolección de basura en fin de semana en todo el fraccionamiento</t>
  </si>
  <si>
    <t>Entrega a Dolores Mijangos Peralta, cobranza 4to. Domingo de agosto/18</t>
  </si>
  <si>
    <t>Villafaña Pérez Jugith, compra de café para mesa de cobranza domingo</t>
  </si>
  <si>
    <t>Cuadrilla Delegación, compra de gorditas para 34 personas delegación poda pasto fraccionam</t>
  </si>
  <si>
    <t>Cadena Comercial Oxxo, S.A. de .C.V compra de refrescos para pesonal delegación poda pasto</t>
  </si>
  <si>
    <t>Carlos Chávez, pago desayunos para personal delegación poda pasto del fraccionamiento</t>
  </si>
  <si>
    <t>Nueva Walmart de México, S. de R.L. de C.V. compra de refrescos para personal delegación poda</t>
  </si>
  <si>
    <t>Deposito cheque colegio Carmel pago de mantenimiento mes de agosto/18</t>
  </si>
  <si>
    <t>Nueva Walmart de México, S.A. de C.V. compra de alimentos para personal delegación poda pasto</t>
  </si>
  <si>
    <t>Carnice´ria Xotepingo, S.A. de C.V. compra de jamon para tortas personal delegación poda pasto</t>
  </si>
  <si>
    <t>Gloria Mazzón Soto, pago de honorarios por captura de datos del 27 al 31 de agosto/18</t>
  </si>
  <si>
    <t>Pedro Bazzan, pago por recolección basura en todo el fracc de lunes a vienres 2da. Quilncena ago</t>
  </si>
  <si>
    <t>Roberto Miranda, pago por barrer basura en todo el fracc de lunes a viernes 2da quincena agosto</t>
  </si>
  <si>
    <t xml:space="preserve">Dolores Mijangos Peralta, pago 2da. quincena agosto/18 </t>
  </si>
  <si>
    <t>Grupo Alguacil Dorado en Seguridad Privada, S.A. de C.V. pago a/c 2da quincena vigilancia fracc</t>
  </si>
  <si>
    <t>Grupo Alguacil Dorado en Seguridad Privada, S.A. de C.V. pago liq. 2da quincena vigilancia fracc</t>
  </si>
  <si>
    <t>Entrega a Dolores Mijangos Peralta, cobranza ultima semana de agosto/18</t>
  </si>
  <si>
    <t>Transferencia Bancaría Fam. Vega Sanchez CL_29 abr/may/jun/ago/18</t>
  </si>
  <si>
    <t xml:space="preserve">Transferencia Bancaría Fam. González EZ_15_A  jul/ago/18 </t>
  </si>
  <si>
    <t>Distribuidora El Bollo Cafetales, S.A. de C.V. compra de pan para cuadrilla delegación poda pasto</t>
  </si>
  <si>
    <t>Cadena Comercial Oxxo, S.A. de C.V. compra de refrescos para personal delegación poda pasto</t>
  </si>
  <si>
    <t>Cuadrilla Delegación, compra de carnitas para personal delegación poda pasto</t>
  </si>
  <si>
    <t>Pedro Bazzan, pago por recolección de basura en fin de semana de todo el fraccionamiento</t>
  </si>
  <si>
    <t>Entrega a Dolores Mijangos Peralta, primer domingo de cobranza de Septiembre</t>
  </si>
  <si>
    <t>Panadería la Esperanza, S.A. de C.V. compra de bolillo para personal delegación poda pasto</t>
  </si>
  <si>
    <t>7 Eleven México, S.A. de C.V. compra de refrescos para cuadrilla delegación poda pasto fracc.</t>
  </si>
  <si>
    <t>Inka Yani, compra de pan para junta de mesa directiva</t>
  </si>
  <si>
    <t>Antelmo Chávez, compensación por poda pasto de árboles entrada Romeral</t>
  </si>
  <si>
    <t>Bomberos, compensación en apoyo de árbol caido en el parque del fraccionamiento</t>
  </si>
  <si>
    <t>Lenix Security Alarm, compra de 3 camaras Turbo HD para caseta Zinampa del fraccionamiento</t>
  </si>
  <si>
    <t>Lenix Security Alarm, pago de mano de obra en cambio y colocación de camaras en caseta Zinamp</t>
  </si>
  <si>
    <t>Antelmo Chávez, compensación por poda de pasto entrada caseta Romeral</t>
  </si>
  <si>
    <t>Lenix Security Alarm, compra de 1 espejo Concavo 40 cms. Para calle Romeral y Zinampa</t>
  </si>
  <si>
    <t>Lenix Security Alarm, pago de mano de obra de colocación de espejo concavo para RM y ZB</t>
  </si>
  <si>
    <t>Felipe Terreros, pago colocación de tubo para pluma manual de acceso en caseta Zinampa</t>
  </si>
  <si>
    <t>Distribuidora El Bollo Cafetales, S.A. de C.V. compra de pan para vigilancia ambos turnos</t>
  </si>
  <si>
    <t xml:space="preserve">Nueva Walmart de México, S. de R.L. de C.V. compra de comida para vigilancia </t>
  </si>
  <si>
    <t>Office Depot de México, S.A. de C.V. compra de papelería para presidencia y tesorería</t>
  </si>
  <si>
    <t>Materiales y Tlapalería La Palma, compra de plastico negro para cubrir bicicletas del fraccionam</t>
  </si>
  <si>
    <t>Mercado Villa Coapa, compra de adornos de fiestas patrías para kiosco del parque fraccionami</t>
  </si>
  <si>
    <t>Victor Pérez, compensación por quitar propaganda en rejas del fraccioamoiento</t>
  </si>
  <si>
    <t>Gloria Mazzón Soto, pago de honorarios por captura de datos del 03 al 07 de septiembre/18</t>
  </si>
  <si>
    <t>Servicio del Hueso, S.A. de C.V. pago de gasolina para presidencia varias diligencia fraccionamien</t>
  </si>
  <si>
    <t>Entrega a Dolores Mijangos Peralta, segundo domingo de cobranza de Septiembre/18</t>
  </si>
  <si>
    <t>Distribuidora Bicicletas Benotto, S.A. de C.V. compra de refacciones para bicicleta del fraccionam</t>
  </si>
  <si>
    <t>Copyfaz Digital, pago de copias volantes para vecinos moroso</t>
  </si>
  <si>
    <t>Cadena Comercial Oxxo, S.A. de C.V. compra de refrescos para personal delegación árbol caido</t>
  </si>
  <si>
    <t>Copyfaz Digital, compra de block de remisión</t>
  </si>
  <si>
    <t>Telefonos de México, S.A.B. de C.V. pago de telefono casetas del fraccionamiento agosto/18</t>
  </si>
  <si>
    <t>Gloria Mazzón Soto, pago de honorarios por captura de datos del 10 al 14 de septiembre/18</t>
  </si>
  <si>
    <t>Grupo Alguacil Dorado en Seguridad Privada, S.A. de C.V. pago a/c prime quincena septiembre/18</t>
  </si>
  <si>
    <t>Pedro Bazzan, pago por recolección de  basura entre semana 1er quincena de septiembre/18</t>
  </si>
  <si>
    <t>Roberto Miranda, pago por barrer todo el fraccionamiento entre semana 1er quiincena sep/18</t>
  </si>
  <si>
    <t>María de Lourdes Osorio, pago por varios trabajos en el fraccionamiento 1er quincena sep/18</t>
  </si>
  <si>
    <t>Dolores Mijangos Peralta, pago 1er quincena por trabajos de precidencia en el fraccionamiento</t>
  </si>
  <si>
    <t>Grupo Alguacil Dorado en Seguridad Privada, S.A. de C.V. pago liq. prime quincena septiembre/18</t>
  </si>
  <si>
    <t>Entrega a Dolores Mijangos Peralta, cobranza de la semana del 10 al 14 de septiembre/18</t>
  </si>
  <si>
    <t>Flor de Maíz, compra de 5 pozoles para vigilancia cena del 15 de septiembre</t>
  </si>
  <si>
    <t>Cadena Comercial Oxxo, S.A. de C.V. compra de refrescos para cena de vigilancia 15 septiembre</t>
  </si>
  <si>
    <t>Pan y Pasteles La Esperaza, S.A. de C.V. compra de tostadas para cena vigilancia 15 de sep/18</t>
  </si>
  <si>
    <t xml:space="preserve">Distribuidora El Bollo Cafetales, S.A. de C.V. compra de bolillos para vigilancia </t>
  </si>
  <si>
    <t>Tradición en Pastelerías, S.A. de C.V. compra de café para personal de mesa de cobranza domingo</t>
  </si>
  <si>
    <t>Cadena Comercial Oxxo, S.A. de C.V. compra de refrescos para vigilancia domingo de cobranza</t>
  </si>
  <si>
    <t>Cadena Comercial Oxxo, S.A. de C.V. compra de papel para personal de vigilancia del fraccionam</t>
  </si>
  <si>
    <t>Entrega a Dolores Mijangos Peralta, cobranza del 3er domingo de septiembre/18</t>
  </si>
  <si>
    <t>Gloria Mazzón Soto, pago en apoyo de cobranza del 16 de septiembre/18</t>
  </si>
  <si>
    <t>La Casa de Rá, pago de desayuno mesa directiva asuntos de notaría 160 protocolización</t>
  </si>
  <si>
    <t>Estacionamiento Don José, pago de estacionaiento visita notaria 160 asuntos protocolización</t>
  </si>
  <si>
    <t>Nueva Walmart de México, S. de R.L. de C.V. compra de adorno para día de mertos para el fracc.</t>
  </si>
  <si>
    <t>Sistema de Cómputo, pago activación de tarjetas electrónicas de vecinos morosos del fraccionam</t>
  </si>
  <si>
    <t>Deposito cheque colegio Carmel pago de mantenimiento mes de septiembre/18</t>
  </si>
  <si>
    <t>Gloria Mazzón Soto, pago de honorarios de captura del 17 al 21 de septiembre/18</t>
  </si>
  <si>
    <t>Papelería Omega, compra de papalería para presidencia</t>
  </si>
  <si>
    <t>Cadena Comercial Oxxo, S.A. de C.V. compra de rerescos para vigilancia domingo cobranza</t>
  </si>
  <si>
    <t>Entrega a Dolores Mijangos Peralta, cobranza del 4to domingo de septiembre/18</t>
  </si>
  <si>
    <t>Cadena Comercial Oxxo, S.A. de C.V. compra de refrescos para vigilancia del fraccionamiento</t>
  </si>
  <si>
    <t>Gloria Mazzón Soto, pago de honorarios por captura de datos del 24 al 28 de septiembre/18</t>
  </si>
  <si>
    <t>Entrega a Dolores Mijangos Peralta, cobranza de la semana del 24 al 28 de septiembre/18</t>
  </si>
  <si>
    <t>Grupor Alguiacil Dorado en Seguridad Privada, S.A. de C.V. pago a/c 2da quincena sep/18</t>
  </si>
  <si>
    <t>La Casa de Rá, pago de café mesa directiva asuntos de notaría 160 protocolización</t>
  </si>
  <si>
    <t>Fuentes Plaza, A.C., pago de estacionamiento visita a notaria 160 protocolización del fraccionam</t>
  </si>
  <si>
    <t>Roberto Miranda, compensación por barrer entradas de acceso Estopila y Recoveco del fracc</t>
  </si>
  <si>
    <t>Distribuidora El Bollo Cafetales, S.A. de C.V. compra de pan para mesa de cobranza domingo</t>
  </si>
  <si>
    <t>Pedro Bazzan, pago por recolección de basura de lunes a viernes de la 2da. Quincena sep/18</t>
  </si>
  <si>
    <t>Roberto Miranda, pago por barrer todo el fraccionamiento entre semana 2da. quiincena sep/18</t>
  </si>
  <si>
    <t>María de Lourdes Osorio, pago por varios trabajos en el fraccionamiento 1 quincen 2da. a sep/18</t>
  </si>
  <si>
    <t>Dolores Mijangos Peralta, pago 2da. quincena por trabajos de precidencia en el fraccionamiento</t>
  </si>
  <si>
    <t>Grupo Alguacil Dorado en Seguridad Privada, S.A. de C.V. pago a/c 2da quincena sep/18</t>
  </si>
  <si>
    <t>Grupo Alguacil Dorado en Seguridad Privada, S.A. de C.V. pago liq. 2da quincena sep/18 che 111</t>
  </si>
  <si>
    <t>Transferencia Bancaria Alberto Augusto Fuentes UP_46 pago el mes de agosto/18</t>
  </si>
  <si>
    <t>Comisión por no mantener saldo promedio minimo mensual requerido septiembre</t>
  </si>
  <si>
    <t>I.V.A. por comisión por no mantener saldo  promedio minimo mensual equerido septiembre/18</t>
  </si>
  <si>
    <t>Entrega a Dolores Mijangos Peralta, cobranza del 5to domingo de septiembre/18</t>
  </si>
  <si>
    <t>Tranfeerencia Bancaria Alberto Augusto Fuentes UP_46 pago el mes de septiembre/18</t>
  </si>
  <si>
    <t>SAT Servicio de Administración Tributaría, pago retención IVA colegio Carmel sep/18 Ch. # 235</t>
  </si>
  <si>
    <t>Contador Carlos Siegrist Hernández, pago de honorarios del mes de sep/18 Ch. # 235</t>
  </si>
  <si>
    <t>Lenix Securitu Alarm, pago de mano de obra en ccolocación de 2 camaras en Zinampa daño coche</t>
  </si>
  <si>
    <t>Lenix Security Alarm, compra de equipo DVR 2 camaras, 1 disco duro, 2 transformadores y 2 balom</t>
  </si>
  <si>
    <t>Recibió Dolores Mijangos Peralta, de la aseguradora Quálitas, por daños a camaras del fraccionam</t>
  </si>
  <si>
    <t>Entrega a Dolores Mijangos Peralta, 1er Domingo de octubre/18</t>
  </si>
  <si>
    <t>Transferencia Bancaría de Upacuaro # 46 pago el mes de octubre/18</t>
  </si>
  <si>
    <t>Transferencia Bancaria de Upacuaro #10 jun/jul/ago/sep/18 $ 300 por mes</t>
  </si>
  <si>
    <t xml:space="preserve">Cadrilla Delegación, compensación por reparación de alumbrado público dañado por choque </t>
  </si>
  <si>
    <t>Cadena Comercial Oxxo, S.A. de C.V. compra de botanas para vigilancia del fraccionamiento</t>
  </si>
  <si>
    <t>Cuerpo de Bomberos, compensación por quitar panal de avispas en carcasa de camaras en Upácuaro</t>
  </si>
  <si>
    <t>Rodrigo Hernández, compensación en apoyo a bomberos para quitar panal de avispas en camaras</t>
  </si>
  <si>
    <t>Electropura S. de R.L. de C.V. compra de 4 garrafones de agua para casetas del fraccionamiento</t>
  </si>
  <si>
    <t>Lenix Secrity Alarm, pago de mano de obra por colocación de camaras por accidente automovilistico</t>
  </si>
  <si>
    <t>Victor Pérez, compensación por podar y barrer pasto del fraccionamiento</t>
  </si>
  <si>
    <t>Sistemas de Cómputo, pago por activación de tarjetas eletrónicas a vecinos moroso</t>
  </si>
  <si>
    <t>Patrulla 033 compensación por rondines en toda la semana</t>
  </si>
  <si>
    <t>Bee Bike Club, compra de refacciones para bicicleta del fraccionamiento</t>
  </si>
  <si>
    <t>Bee Bike Club, pago de servicio completo a bicicleta del fraccionamiento</t>
  </si>
  <si>
    <t>Gloria Mazzón Soto, pago de honorarios por captura de datos del 01 al 05 de octubre/18</t>
  </si>
  <si>
    <t>Distribuidora El Bollo Cafetales, S.A. de C.V. compra de pan para vigilantes del fraccionamiento</t>
  </si>
  <si>
    <t>Comercial City Fresko S. de R.L. de C.V. compra de insecticida para panal de avispas74</t>
  </si>
  <si>
    <t>Materiales y Tlapalería La Palma, compra de malla para camaras de acceso plumas de Zinampa</t>
  </si>
  <si>
    <t>Electropura S. de R.L. de C.V. compra de 5 garrafones de agua para casetas del fraccionamiento</t>
  </si>
  <si>
    <t>Inka Yani, compra de café para mesa directiva</t>
  </si>
  <si>
    <t>Nueva Walmart de México, S de R.L. de C.V. compra de café para vigilancia</t>
  </si>
  <si>
    <t>Cadena Comercial Oxxo, S.A, de C.V. compra de materiiales de limpeza para casetas del fraccionami</t>
  </si>
  <si>
    <t>Antelmo Chávez, pago por poda de pasto en caseta de Zinampa del fraccionameinto y gasolina</t>
  </si>
  <si>
    <t>Victor Pérez, compensación por  barrer pasto podado del fraccionamiento</t>
  </si>
  <si>
    <t>Cuadrilla Delegación, compra de carnitas y chicharron para personal delegación poda parque frac</t>
  </si>
  <si>
    <t>Telefonos de México, S.A.B. de C.V. pago de telefono del mes de septiembre/18 del fraccionamiento</t>
  </si>
  <si>
    <t>Gloria Mazzón Soto, pago de honorarios por captura de datos del 08 al 12 de octubre/18</t>
  </si>
  <si>
    <t>Copyfaz, compra de 1 lapiz adhesivo Dixon</t>
  </si>
  <si>
    <t>Pedro Bazan, recolección de pasto podado entre semana</t>
  </si>
  <si>
    <t>Cadena Comercial Oxxo, S.A. de C.V. compra de refrescos para mesa de cobranza</t>
  </si>
  <si>
    <t>Entrega a Dolores Mijangos Peralta, 2do. Domingo de Octubre/18</t>
  </si>
  <si>
    <t>Cadena Comercial Oxxo, S.A. de C.V. compra de refrescos para personal de camaras</t>
  </si>
  <si>
    <t>Electropura, S. de R.L. de C.V. compra de 4 garrafones de agua para caseta de vigilancia del fraccion</t>
  </si>
  <si>
    <t>Materiales y Tlapalería La Palma, compra de contactos y sinta de aislar para caseta de Romeral</t>
  </si>
  <si>
    <t>Lenix Security Alarm, pago de mano de obra de revisión de plumas de casetas de Zinampa</t>
  </si>
  <si>
    <t>Cuadrilla Delegación, compra de tamales para desayuno personal delegación poda pasto</t>
  </si>
  <si>
    <t>Panerías La Esperanza, S.A. de C.V. compra de pan para personal delegación de poda pasto</t>
  </si>
  <si>
    <t>Pedro Bazzan, pago por recolección de basura de lunes a viernes de la 1er quincena de octubre/18</t>
  </si>
  <si>
    <t>Roberto Miranda, pago por barrer todo el fracc. De lunes a viernes del 1er quincena de octubre/18</t>
  </si>
  <si>
    <t>Maria de Lourde Osorio, pago por varios trabajos de la 1er quincena de octubre/18</t>
  </si>
  <si>
    <t>Dolores Mijangos Peralta, pago 1er.  quincena por trabajos de precidencia en el fraccionamiento</t>
  </si>
  <si>
    <t>Grupo Alguacil Dorado en Seguridad Privada, S.A. de C.V. pago A/C de la prime quincena octubre/18</t>
  </si>
  <si>
    <t>CUadrilla Delegación, compra carnitas y chicharrón personal delegación  poda pasto parque fracc</t>
  </si>
  <si>
    <t>Cuadrilla Delegación, compra de frijoles para personal delegación poda pasto parque fraccionamie</t>
  </si>
  <si>
    <t>Cuadrilla Delegación, compra de desechables para cuadrilla delegación</t>
  </si>
  <si>
    <t>Cuadrilla Delegación, compra de varios para personal delegación poda pasto del fraccionamiento</t>
  </si>
  <si>
    <t>Taquería Carnitas Chela, compra de mas chicharron para personal delegación por mas elementos</t>
  </si>
  <si>
    <t>Comercial City Fresko S. de R.L. de C.V. compra de charolas para poner comida para personal delega</t>
  </si>
  <si>
    <t>Gloria Mazzoón Soto, pago de honorarios por captura de datos del 15 al 19 de Octubre/18</t>
  </si>
  <si>
    <t>Cadena Comercial Oxxo, S.A. de .C.V. compra de tiempo aire para telefono de presidencia</t>
  </si>
  <si>
    <t>Entrega a Dolores Mijangos Peralta, 3er. Domingo de Octubre/18</t>
  </si>
  <si>
    <t>Grupo Alguacil Dorado En Seguridad Privada, S.A. de C.V. liq. 1er quincena de octubre/18</t>
  </si>
  <si>
    <t>Gloria Mazzón Soto, pago en aporyo de cobranza domingo 21 de octubre/18</t>
  </si>
  <si>
    <t>Cuadrilla Delegación compra de carnitas para personal delegación poda pasto parque fraccionamie</t>
  </si>
  <si>
    <t>Servicio El Hueso, S.A. de C.V. compra de gasolina para desbrozadora personal delegación poda pasto</t>
  </si>
  <si>
    <t>Florería, compra de arreglo floraral para sepelio Sr. Baldemar Sala Bay</t>
  </si>
  <si>
    <t>Cuadrilla Delegación, compra de gorditas para personal delegación poda pasto parque fraccionamie</t>
  </si>
  <si>
    <t>Tienda Chedraui, S.A. de C.V.  Compra de refrescos para personal delegación poda pasto</t>
  </si>
  <si>
    <t>Cuadrilla Delegación compra de tamales para personal delegación poda pasto parque fracionamien</t>
  </si>
  <si>
    <t>Gloria Mazzón Soto, pago por captura de datos del día 22 al 26 de octubre/18</t>
  </si>
  <si>
    <t>Cadena Comercial Oxxo, S.A. de C.V.  Compra de refrescos para mesa de cobranza domigos</t>
  </si>
  <si>
    <t>Entrega a Dolores Mijangos Peralta del 4to domingo del mes de octubre/18</t>
  </si>
  <si>
    <t>Papelería Omega, pago 335 copias para informe al fraccionamiento</t>
  </si>
  <si>
    <t>Rodrigo Hernández, compensación por barrer kiosco y explanada para colocación de ofrenda</t>
  </si>
  <si>
    <t>Víctor Pérez, compensación por repartir volantes aviso cierre de acceso vehicular caseta Zinampa</t>
  </si>
  <si>
    <t>Víctor Pérez, compensación por barrer pasto podado del fraccionamiento</t>
  </si>
  <si>
    <t>Papelería Omega, pago 200 copias para informe urgente al fraccionamiento pago de cuotas</t>
  </si>
  <si>
    <t>Víctor Pérez, compensación por repartir volantes informe urgente al fraccionamiento pago de cuota</t>
  </si>
  <si>
    <t>Pasteleria Bodon, S.A. de C.V. compra de dulces parra dar en el kiosco día de muertos</t>
  </si>
  <si>
    <t>Pepelería Grillos, compra de papel crepe y papel picado para ofrenda del kiosco del fraccionamiento</t>
  </si>
  <si>
    <t>Mercado Villa Coapa, compra de flor de cempasuchitl para ofrenda kiosco del fraccionamiento</t>
  </si>
  <si>
    <t>Las Teresitas del Sur, compra de desayuno para personal de mesa directiva colocación de ofrenda</t>
  </si>
  <si>
    <t>Pedro Bazzan, compensación adicional por trabajos extras en el fraccionamientto</t>
  </si>
  <si>
    <t>Dulcería Gabrielín, compra de bolsas para dulces día de muertos kiosco fraccionamiento</t>
  </si>
  <si>
    <t>Distribuidora El Bollo Cafetales, S.A. de C.V. compra de pan de muerto para ofrenda kiosco fracciona</t>
  </si>
  <si>
    <t>Mercado Villa Coapa, compra de fruta para ofrenda del kiosco del fraccionamiento</t>
  </si>
  <si>
    <t>Pedro Bazzan, pago por recolección de basura de lunes a viernes de la 2da quincena de octubre/18</t>
  </si>
  <si>
    <t>Roberto Miranda, pago por barrer todo el fracc. De lunes a viernes del 2da quincena de octubre/18</t>
  </si>
  <si>
    <t>Grupo Alguacil Dorado en Seguridad Privada, S.A. de C.V.  a/c pago 2da. Quincena octubre vigilancia</t>
  </si>
  <si>
    <t>Entrega a Dolores Mijangos Peralta de la ultima semana de octubre/18</t>
  </si>
  <si>
    <t>SAT Servicio de Administración Tributaría, pago retención IVA colegio Carmel oct/18 Ch. # 237</t>
  </si>
  <si>
    <t>Contador Carlos Siegrist Hernández, pago de honorarios del mes de oct/18 Ch. # 237</t>
  </si>
  <si>
    <t>Deposito cheque colegio Carmel pago de mantenimiento mes de octubre/18</t>
  </si>
  <si>
    <t>Transferencia Bancaria de Upacuaro #15 de julio a diciembre/18 $ 400 por mes</t>
  </si>
  <si>
    <t>Transferencia Bancaría Fam. Vega Sanchez CL_29 septiembre/18</t>
  </si>
  <si>
    <t>Dulcería Gabrielín, compra de dulces para niños del fraccionamiento día de muertos</t>
  </si>
  <si>
    <t>Grupo Alguacil Dorado En Seguridad Privada, S.A. de C.V. pago liq. 2da. Quincena Octubre/18</t>
  </si>
  <si>
    <t>Sistemas de Cómputo, pago por varios videos de aclaraciones de vecinos del fraccionamiento</t>
  </si>
  <si>
    <t>Gloria Mazzón Soto, pago de honorarios contables de 29/Oct al 02 de Nov/18</t>
  </si>
  <si>
    <t>Nueva Walmart de México, S. de R.L. de C.V. compra de café para vigilancia del fraccionamiento</t>
  </si>
  <si>
    <t>Panerías La Esperanza, S.A. de C.V. compra de bolillo para vigilancia del fraccionamiento</t>
  </si>
  <si>
    <t>Tamales San Judas, compra de tamales para Mesa de Cobranza domingo</t>
  </si>
  <si>
    <t>Cadena Comercial Oxxo, S.A. de C.V. compra, compra de refrescos para mesa y vigilancia fracc</t>
  </si>
  <si>
    <t>Pedro Bazzan, pago por recolección de pasto podado entre semana del fraccionamiento</t>
  </si>
  <si>
    <t>Entrega a Dolores Migangos Peralta, cobranza del 1er Domingo de Noviembre/18</t>
  </si>
  <si>
    <t>Electropura, S. de R.L. de C.V. compa de 4 garrafones de agua para casetas del fraccionamiento</t>
  </si>
  <si>
    <t>Papelería Omega, pago de copias y diurex para comunicado al fraccionamiento</t>
  </si>
  <si>
    <t>Transferencia Bancaria CL_117 Fam. Gómez, paga mes de Sep/Oct/18</t>
  </si>
  <si>
    <t>Transferencia Bancaria UP_46 Fam. Fuentes, paga mes de Noviembre/18</t>
  </si>
  <si>
    <t>Electro Conttroles Difacel, pago por revisión tarjeta eléctronica de barrera salida Zinampa</t>
  </si>
  <si>
    <t>Lenix Security Alarm, pago de mantenimiento barrera salida caseta Zinampa</t>
  </si>
  <si>
    <t>Lenix Security Alarm, pago de mano de obra en barrera de salida de caseta Zinampa</t>
  </si>
  <si>
    <t>Papelería Omega, compra de protector de hojas y plumón presidencia</t>
  </si>
  <si>
    <t>Víctor Pérez, compensación por barrer el perímetro del parque del fraccionamiento</t>
  </si>
  <si>
    <t>Lenix Security Alarm, compra de disco duro 1 th para caseta de Estopila</t>
  </si>
  <si>
    <t>Lenix Security Alarm, pago de mano de obra por colocar disco duro en caseta de Estopla</t>
  </si>
  <si>
    <t>Papelería Omega, pago de 420 copias y folders para junta extraordinaria del fraccionamiento</t>
  </si>
  <si>
    <t>Office Depot de México, S.A. de C.V. compra de toner brother para impresora de presidencia</t>
  </si>
  <si>
    <t>Patrulla 033, compensación por rondines toda la semana en el fraccionamiento</t>
  </si>
  <si>
    <t>Gloria Mazzón Soto, pago de honorarios contables del 05 al 09 de Noviembre/18</t>
  </si>
  <si>
    <t>Sistemas de Cómputo, pago por reconfiguración de 1,200 tarjetas eletrónicas de todo el fracc</t>
  </si>
  <si>
    <t>Office Depot de México, S.A. de C.V. pago de ploteo de documentos presentados en junta fracc</t>
  </si>
  <si>
    <t>Materiales y Tlapalería La Palma, compra de 1 clavija para caseta de Romeral</t>
  </si>
  <si>
    <t>Cadena Comercial Oxxo, S.A. de C.V. compra de materiales de limpieza para caseta del fraccion</t>
  </si>
  <si>
    <t>Tradición en Pastelerías, S.A. de C.V. compra de café y pan para mesa de cobranza domingo</t>
  </si>
  <si>
    <t>Entrega a Dolores Migangos Peralta, cobranza del 2da Domingo de Noviembre/18</t>
  </si>
  <si>
    <t>Bodega Vista Hermosa, compra de material de limpieza para casetas del fraccionamiento</t>
  </si>
  <si>
    <t>Antelmo Chávez, pago poda de pasto de la pista de corer del parque del fraccionamiento</t>
  </si>
  <si>
    <t>Víctor Pérez, compensación por repartir circular #8 acuerdos tomados con vcinos junta</t>
  </si>
  <si>
    <t>Copyfaz, pago de 410 copias para informe al fraccionamiento (junta extraordinaria)</t>
  </si>
  <si>
    <t>Telefonos de México, S.A.B. de C.V. pago del mes de Octubre/18</t>
  </si>
  <si>
    <t xml:space="preserve"> </t>
  </si>
  <si>
    <t>Telefonos de México, S.A.B. de C.V. compra de aparato telefononico caseta Romeral</t>
  </si>
  <si>
    <t>Pedro Bazzan, pago por recolección de basura en todo el fraccionamiento 1er quincena</t>
  </si>
  <si>
    <t>Roberto Miranda, pago por barrer todo el fracc entre semana 1er quincena de Noviembre/18</t>
  </si>
  <si>
    <t>Grupo Alguacil Dorado en Seguridad Privada, S.A. de C.V. pago  de la prime quincena Noviembre/18</t>
  </si>
  <si>
    <t>Maria de Lourde Osorio, pago por varios trabajos de la 1er quincena de Noviembre/18</t>
  </si>
  <si>
    <t>Gloria Mazzón Soto, pago de honorarios contables del 12 al 16 de Noviembre/18</t>
  </si>
  <si>
    <t>SAT Servicio de Administración Tributaría, pago retención IVA colegio Carmel Nov/18 Ch. # 238</t>
  </si>
  <si>
    <t>Contador Carlos Siegrist Hernández, pago de honorarios del mes de Oct/18 Ch. # 238</t>
  </si>
  <si>
    <t>Tadición en Pastelerías, S.A. de C.V. compra de café y pan para mesa de cobranza domingo</t>
  </si>
  <si>
    <t>Entrega a Dolores Mijangos Peralta, cobranza 3er domingo de Noviembre/18</t>
  </si>
  <si>
    <t>Antelmo Chávez, pago por desyerba pista de correr del parque del fraccionamiento</t>
  </si>
  <si>
    <t>Víctor Pérez, compensaciión por barrer paso podado del parque del fraccionamiento</t>
  </si>
  <si>
    <t>Distribuidora el Bollo Cafetales, S.A. de C.V. compra de pan para vigilancia del fraccionamiento</t>
  </si>
  <si>
    <t>Gloria Mazzón Soto, pago de honorarios de contabilidad del 19 al 23 de Noviembre/18</t>
  </si>
  <si>
    <t>Víctor Pérez, compensación por barrer perimetro del parque del fraccionamiento</t>
  </si>
  <si>
    <t>Transferrencia Bancaría EZ_15 Fam. Gónzalez, paga Octubre y C.P.</t>
  </si>
  <si>
    <t>Cadena Comercial Oxxo, S.A. de C.V. compra de agua y refrescos para Mesa Directiva y vigilancia</t>
  </si>
  <si>
    <t xml:space="preserve">Pedro Bazan, recolección de basura en todo el fraccionamiento </t>
  </si>
  <si>
    <t>Entrega a Dolores Mijangos Peralta, cobranza 4to. domingo de Noviembre/18</t>
  </si>
  <si>
    <t>Lenix Security Alarm, compra de 1 juego de Balums y 1 caja de cable cat 5 p/camaas</t>
  </si>
  <si>
    <t xml:space="preserve">Lenix Security Alarm, Pago de mano de obra </t>
  </si>
  <si>
    <t>Maria de Lourde Osorio, pago por varios trabajos de la 2dar quincena de octubre/18</t>
  </si>
  <si>
    <t>Grupo Alguacil Dorado en Seguridad Privada, S.A. de C.V.  pago 2da. Quincena Noviembre vigilancia</t>
  </si>
  <si>
    <t>Gloria Mazzón Soto, pago de honorarios contables del 26 al 30 de Noviembre/18</t>
  </si>
  <si>
    <t>Pedro Bazzan, pago por recolección de basura de lunes a viernes de la 2da quincena de Nov/18</t>
  </si>
  <si>
    <t>Roberto Miranda, pago por barrer todo el fracc. De lunes a viernes del 2da quincena de Nov/18</t>
  </si>
  <si>
    <t>Entrega a Dolores Mijangos Peralta, cobranza ultima semana de Noviembre/18</t>
  </si>
  <si>
    <t>Deposito cheque colegio Carmel pago de mantenimiento mes de Noviembre/18</t>
  </si>
  <si>
    <t>Transferencia Bancaria CL_147_2 Fam. Castro, paga Noviembre/18</t>
  </si>
  <si>
    <t>Alberto Córtes, pago por repración de ambas plumas de acceso caseta Romeral</t>
  </si>
  <si>
    <t>Patrulla 033, compensación por rondines en toda la semana a todo el fraccionamiento</t>
  </si>
  <si>
    <t>Nueva Walmart de México, S. de R.L. de C.V. compra de luces para adonornar fraccionaiento</t>
  </si>
  <si>
    <t>Estacionamiento Cuemanco, compra de luces para adornar fraccionamiento</t>
  </si>
  <si>
    <t>Materiales y Tlapalería La Palma, compra de cinchos, contactos y clavijas adornar fraccionam</t>
  </si>
  <si>
    <t>Cadena Comercial Oxxo, S.A. de C.V. compra de botanas para mesa de cobranza domingo</t>
  </si>
  <si>
    <t>Entrega a Dolores Mijangos, primer domingo cobranza diciembre/18</t>
  </si>
  <si>
    <t>Lenix Security Alarm, compra de barrera nueva para cambio en caseta de Zinampa</t>
  </si>
  <si>
    <t>RC Operadora de Cafeterìa, S.A. de C.V. compra de café para Mesa Direcitiva visita Notaria</t>
  </si>
  <si>
    <t>Fuenets Plaza, A.C. pago de estacionamiento visita Notarìa asunto nueva protocolizaciòn</t>
  </si>
  <si>
    <r>
      <t xml:space="preserve">Sistiemas de Computò, pago de videos para resientes de Upacuaro </t>
    </r>
    <r>
      <rPr>
        <i/>
        <sz val="11"/>
        <color theme="1"/>
        <rFont val="Calibri"/>
        <family val="2"/>
        <scheme val="minor"/>
      </rPr>
      <t>#80</t>
    </r>
  </si>
  <si>
    <t>Vìctor Pèrez, compensaciòn por repartir aviso a colonos para inccremento de cuotas</t>
  </si>
  <si>
    <t>Larry Copias, pago de 420 copias para informe a todo el fraccionamiento, incremento cuotas</t>
  </si>
  <si>
    <t>Servicio El Hueso, S.A. de C.V. compra de gasolina para desbrozadora poda pasto del parque</t>
  </si>
  <si>
    <t>Taquerìa Carnitas Chela, compra de carnitas para personal Vigilancia por adornar fraccionam</t>
  </si>
  <si>
    <t>Gloria Mazzòn Soto, pago de honorarios contables del 03 al 07 de Diciembre/18</t>
  </si>
  <si>
    <t>Cadena Comercial Oxxo, S.A. de C.V. compra de agua para Mesa de Cobranza Domingo</t>
  </si>
  <si>
    <t>Cadena Comercial Oxxo, S.A. de C.V. compra de cafè para Mesa de Cobranza Domingo</t>
  </si>
  <si>
    <t>Entrega a Dolores Mijangos, segundo Domingo cobranza diciembre/18</t>
  </si>
  <si>
    <t>Antelmo Chàvez, pago por poda de pastgo de caseta de Zinampa y recolecciòn del mismo</t>
  </si>
  <si>
    <t>Mercado San Judas Tadeo, compra de heno para adornar caseta del fraccionamiento</t>
  </si>
  <si>
    <t>Mercado San Judas Tadeo, compra de serìe y escarcha para adornar kiosco motivos navideños</t>
  </si>
  <si>
    <t>Mercado San Judas Tadeo, compra de adornos navideños para kiosco del fraccionamiento</t>
  </si>
  <si>
    <t>Carnicerìa Xotepingo, S.A. de C.V. compra de gelatinas para personal de vigilancia del fracciona</t>
  </si>
  <si>
    <t>Gloria Mazzòn Soto, pago en apoyo de cobranza del 09 de Diciembre/18</t>
  </si>
  <si>
    <t>El Bajio Acoxpa, pago e desayuno a Mesa Directiva fin de año</t>
  </si>
  <si>
    <t>Tienda Abarrotes Lupita, compra de refresos y botantas para personal de vigilancia fraccionam</t>
  </si>
  <si>
    <t>Telefonos de Mèxico, S.A.B. De C.V. pago de servicio telefononico para casetas fracciona nov/18</t>
  </si>
  <si>
    <t>Lenix Security Alarm, compra de Balum Video, para caseta de Zinampa del fraccionamiento</t>
  </si>
  <si>
    <t>Lenix Security Alarm, pago de colocaciòn de Balum Video, para caseta de Zinampa del fraccion</t>
  </si>
  <si>
    <t>Gloria Mazzòn Soto, pago de honorarios contables del 10 al 14 de Diciembre/18</t>
  </si>
  <si>
    <t>Pedro Bazzan, pago por recolecciòn basura de la 1er quincena de Diciebre/18 entre semana</t>
  </si>
  <si>
    <t>Roberto Miranda, pago por barrer todo el fraccionamiento 1er quincena de Diciembre/18 entre</t>
  </si>
  <si>
    <t>Maria De Lourdes Osorio, por varios trabajos realiados en la 1er quincena de Diciembre/18</t>
  </si>
  <si>
    <t>Dolores Mijangos Peralta, pago 2da  quincena por trabajos de precidencia en el fraccionamiento</t>
  </si>
  <si>
    <t>Dolores Mijangos Peralta, pago 1er.  quincena por trabajos de precidencia en el fraccionamien</t>
  </si>
  <si>
    <t>Grupo Alguacil Dorado en Seguridad Privada, S.A. de C.V.  pago 1er Quincena Dic/18 vigilancia</t>
  </si>
  <si>
    <t>Grupo Alguacil Dorado en Seguridad Privada, S.A. de C.V. pago compensaciòn fin de año</t>
  </si>
  <si>
    <t>SAT Servicio de Administración Tributaria, Pago de reteción de IVA Colegio C Diciembre/18</t>
  </si>
  <si>
    <t>Siegrist Contadores Publicos, Pago de honorarios profesionales y anualidad Diciembre/18</t>
  </si>
  <si>
    <t>Pedro Bazzan, Pago por recolección de basura en todo el fraccionamiento domingo</t>
  </si>
  <si>
    <t>Entrega a Dolores Mijangos 3er Domingo de cobranza Diciembre/18</t>
  </si>
  <si>
    <t>Dulcería Gabrielín, compra de refrescos vigilancia del fracccionamiento</t>
  </si>
  <si>
    <t>Electropura S. de R.L. de C.V. compra de 3 garrafones de agua para casetas del fraccionamiento</t>
  </si>
  <si>
    <t>Tienda Abarrotes Lupita, compra de 2 tarros de café para ambos turnos de vigilancia fracciona</t>
  </si>
  <si>
    <t>Deposito de cheque #8272 Colegio Carmel, pago mantenimiento del mes de Diciembre</t>
  </si>
  <si>
    <t>Antelmo Chávez, pago por poda de pasto del parque y recolección delmismo entre semana</t>
  </si>
  <si>
    <t>Materiales y Tlapalería La Palma, compra de materiales para compostura de Pluma Romeral</t>
  </si>
  <si>
    <t>Servicio El Hueso, S.A. de C.V. pago de gasolina para presidencia varias diligencia del fracciona</t>
  </si>
  <si>
    <t xml:space="preserve">Víctor Pérez, compensación por repartir infromes de cierre de puestas en días festivos </t>
  </si>
  <si>
    <t>Papelería Omega, pago de 405 copias para informe de cierre de puertas al fraccionamiento</t>
  </si>
  <si>
    <t>Estacionamiento, pago estacionamiento firma de nueva protocolización</t>
  </si>
  <si>
    <t>Guadalupe Guerrero Guerrero, pago de nueva protocolización para el fraccionamiento</t>
  </si>
  <si>
    <t>Distribuidora de Bicicletas Benotto, S.A. de C.V. compra de dos camaras para bicicletas del fracc</t>
  </si>
  <si>
    <t>La Casa Rá, compra de café para Mesa Directiva en asusntos de protocolización del fraccionam</t>
  </si>
  <si>
    <t>Estacionamiento, pago estacionamiento para recoger nueva protocolización</t>
  </si>
  <si>
    <t>Lenix Secutity Alarm, pago de mano de obra en colocación de Balum Video caseta Romeral</t>
  </si>
  <si>
    <t>Lenix Security Alarm, compra de Balum Video, para caseta de Romeral del fraccionamiento</t>
  </si>
  <si>
    <t>Víctor Pérez, compensación por barrer y recoger basura el perimetro del parque del fraccionam</t>
  </si>
  <si>
    <t>Gloria Mazzón Soto, pago de honorarios contables del 17 al 21 de Diciembre/18</t>
  </si>
  <si>
    <t>Grupo Montparnasse, compra de pasta seca para vigilancia</t>
  </si>
  <si>
    <t>Pedro Bazzan, pago por recolección de pasto podado entre semana en parque del fraccionamie</t>
  </si>
  <si>
    <t>Tradición en Pastelerías, S.A. de C.V. compra de café para Mesa de Cobranza domingo</t>
  </si>
  <si>
    <t>Entrega a Dolores Mijangos, 4to Domingo de Cobranza Diciembre/18</t>
  </si>
  <si>
    <t>Nueva Walmart de México, S. de R.L. de C.V. compra pan, pastel y cena navideña para vigilancia</t>
  </si>
  <si>
    <t>Estacionamiento Cuemanco, compra de cena navideña para vigilancia del fraccionamiento</t>
  </si>
  <si>
    <t>Cocina Las Casuelas, compra de comida para cena de vigilancia del fraccionamaiento 2 turnos</t>
  </si>
  <si>
    <t>Office Depot de México, S.A. de C.V. compra de papel bond para presidencia asuntos fracciona</t>
  </si>
  <si>
    <t>Gloria Mazzón Soto, pago en apoyo Domingo cobranza del 23 de Diciembre/18</t>
  </si>
  <si>
    <t>Electropura, S. de R.L. de C.V. compra de 3 garrafones para casetas del fraccionamiento</t>
  </si>
  <si>
    <t>Gloria Mazzón Soto, pago de honorarios contables del 24 al 28 de Diciembre/18</t>
  </si>
  <si>
    <t>Entrega a Dolores Mijangos de la ultima semana de Cobranza Domingo/18</t>
  </si>
  <si>
    <t>Pedro Bazzan, pago por recolección de basura 2da quincena Diciembre/18 entre semana</t>
  </si>
  <si>
    <t>Roberto Miranda, pago por barrer todo el fraccionamiento 2da quincena de Diciembre/18 entre</t>
  </si>
  <si>
    <t>Maria De Lourdes Osorio, por varios trabajos realiados en la 2da quincena de Diciembre/18</t>
  </si>
  <si>
    <t>Dolores Mijangos Peralta, pago 2da.  quincena por trabajos de precidencia en el fraccionamien</t>
  </si>
  <si>
    <t>Grupo Alguacil Dorado en Seguridad Privada, S.A. de C.V.  a/c 2da Quincena Dic/18 vigilancia</t>
  </si>
  <si>
    <t>Grupo Alguacil Dorado en Seguridad Privada, S.A. de C.V.  Liq. 2da Quincena Dic/18 vigilancia</t>
  </si>
  <si>
    <t>Transferencia Bancaria UP_46 Fam. Fuentes, paga mes de Diciembre/18</t>
  </si>
  <si>
    <t>Transferencia Bancaria CL_117 Fam. Gómez, paga mes de Nov/Dic/18</t>
  </si>
  <si>
    <t>Distribuidora El Bollo Cafetales, S.A. de C.V. compra de pan para Mesa de Cobranza Domingo</t>
  </si>
  <si>
    <t>Tamales, compra de tamales para Mesa ee Cobranza Domingo</t>
  </si>
  <si>
    <t>Tradición en Pastelerías, S.A. de C.V. compra de café para Mesa de Cobranza Domingo</t>
  </si>
  <si>
    <t>Distribuidora El Bollo Cafetales, S.A. de C.V. compra de pan para cena de fin de año vigilancia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</si>
</sst>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;[Red]\-&quot;$&quot;#,##0.00"/>
    <numFmt numFmtId="164" formatCode="#,##0.00;[Red]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38">
    <xf numFmtId="0" fontId="0" fillId="0" borderId="0" xfId="0"/>
    <xf numFmtId="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4" fontId="1" fillId="0" borderId="6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4" fontId="0" fillId="0" borderId="9" xfId="0" applyNumberFormat="1" applyBorder="1" applyAlignment="1">
      <alignment horizontal="right"/>
    </xf>
    <xf numFmtId="0" fontId="0" fillId="0" borderId="1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4" fontId="0" fillId="0" borderId="10" xfId="0" applyNumberFormat="1" applyBorder="1" applyAlignment="1">
      <alignment horizontal="right"/>
    </xf>
    <xf numFmtId="4" fontId="0" fillId="0" borderId="10" xfId="0" applyNumberFormat="1" applyBorder="1"/>
    <xf numFmtId="0" fontId="0" fillId="0" borderId="10" xfId="0" applyBorder="1"/>
    <xf numFmtId="0" fontId="0" fillId="0" borderId="10" xfId="0" applyFill="1" applyBorder="1"/>
    <xf numFmtId="4" fontId="0" fillId="0" borderId="12" xfId="0" applyNumberFormat="1" applyBorder="1" applyAlignment="1">
      <alignment horizontal="right"/>
    </xf>
    <xf numFmtId="4" fontId="0" fillId="0" borderId="10" xfId="0" applyNumberFormat="1" applyFont="1" applyBorder="1" applyAlignment="1">
      <alignment horizontal="right"/>
    </xf>
    <xf numFmtId="4" fontId="0" fillId="0" borderId="11" xfId="0" applyNumberFormat="1" applyBorder="1" applyAlignment="1">
      <alignment horizontal="right"/>
    </xf>
    <xf numFmtId="14" fontId="0" fillId="0" borderId="10" xfId="0" applyNumberFormat="1" applyFont="1" applyBorder="1" applyAlignment="1">
      <alignment horizontal="center"/>
    </xf>
    <xf numFmtId="4" fontId="0" fillId="0" borderId="14" xfId="0" applyNumberFormat="1" applyBorder="1"/>
    <xf numFmtId="4" fontId="1" fillId="0" borderId="14" xfId="0" applyNumberFormat="1" applyFont="1" applyBorder="1"/>
    <xf numFmtId="0" fontId="0" fillId="0" borderId="10" xfId="0" applyFont="1" applyFill="1" applyBorder="1" applyAlignment="1">
      <alignment horizontal="left"/>
    </xf>
    <xf numFmtId="14" fontId="0" fillId="0" borderId="7" xfId="0" applyNumberFormat="1" applyFont="1" applyBorder="1" applyAlignment="1">
      <alignment horizontal="center"/>
    </xf>
    <xf numFmtId="14" fontId="0" fillId="0" borderId="11" xfId="0" applyNumberFormat="1" applyFont="1" applyBorder="1" applyAlignment="1">
      <alignment horizontal="center"/>
    </xf>
    <xf numFmtId="0" fontId="0" fillId="0" borderId="12" xfId="0" applyBorder="1"/>
    <xf numFmtId="14" fontId="0" fillId="0" borderId="10" xfId="0" applyNumberFormat="1" applyFont="1" applyFill="1" applyBorder="1" applyAlignment="1">
      <alignment horizontal="center"/>
    </xf>
    <xf numFmtId="4" fontId="1" fillId="0" borderId="10" xfId="0" applyNumberFormat="1" applyFont="1" applyBorder="1"/>
    <xf numFmtId="14" fontId="0" fillId="0" borderId="13" xfId="0" applyNumberFormat="1" applyFont="1" applyBorder="1" applyAlignment="1">
      <alignment horizontal="center"/>
    </xf>
    <xf numFmtId="14" fontId="1" fillId="0" borderId="0" xfId="0" applyNumberFormat="1" applyFont="1"/>
    <xf numFmtId="0" fontId="0" fillId="0" borderId="10" xfId="0" applyFont="1" applyBorder="1"/>
    <xf numFmtId="14" fontId="0" fillId="0" borderId="1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" fontId="0" fillId="0" borderId="0" xfId="0" applyNumberFormat="1" applyBorder="1"/>
    <xf numFmtId="4" fontId="1" fillId="0" borderId="10" xfId="0" applyNumberFormat="1" applyFont="1" applyBorder="1" applyAlignment="1">
      <alignment horizontal="center"/>
    </xf>
    <xf numFmtId="15" fontId="0" fillId="0" borderId="15" xfId="0" applyNumberFormat="1" applyFill="1" applyBorder="1" applyAlignment="1">
      <alignment vertical="center"/>
    </xf>
    <xf numFmtId="15" fontId="0" fillId="0" borderId="10" xfId="0" applyNumberFormat="1" applyFill="1" applyBorder="1" applyAlignment="1">
      <alignment vertical="center"/>
    </xf>
    <xf numFmtId="15" fontId="0" fillId="0" borderId="11" xfId="0" applyNumberFormat="1" applyFill="1" applyBorder="1" applyAlignment="1">
      <alignment vertical="center"/>
    </xf>
    <xf numFmtId="14" fontId="0" fillId="0" borderId="16" xfId="0" applyNumberFormat="1" applyFill="1" applyBorder="1" applyAlignment="1">
      <alignment horizontal="center" vertical="center"/>
    </xf>
    <xf numFmtId="14" fontId="0" fillId="0" borderId="10" xfId="0" applyNumberFormat="1" applyFill="1" applyBorder="1" applyAlignment="1">
      <alignment horizontal="center" vertical="center"/>
    </xf>
    <xf numFmtId="14" fontId="0" fillId="0" borderId="17" xfId="0" applyNumberFormat="1" applyFill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4" fontId="0" fillId="0" borderId="10" xfId="0" applyNumberFormat="1" applyFont="1" applyBorder="1" applyAlignment="1">
      <alignment horizontal="center"/>
    </xf>
    <xf numFmtId="14" fontId="0" fillId="0" borderId="16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6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0" fillId="0" borderId="7" xfId="0" applyNumberFormat="1" applyFont="1" applyBorder="1" applyAlignment="1">
      <alignment horizontal="center"/>
    </xf>
    <xf numFmtId="4" fontId="0" fillId="0" borderId="19" xfId="0" applyNumberFormat="1" applyBorder="1"/>
    <xf numFmtId="17" fontId="0" fillId="0" borderId="8" xfId="0" applyNumberFormat="1" applyFont="1" applyBorder="1" applyAlignment="1">
      <alignment horizontal="center"/>
    </xf>
    <xf numFmtId="17" fontId="0" fillId="0" borderId="10" xfId="0" applyNumberForma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1" fillId="0" borderId="0" xfId="0" applyFont="1"/>
    <xf numFmtId="0" fontId="0" fillId="0" borderId="10" xfId="0" applyFill="1" applyBorder="1" applyAlignment="1">
      <alignment horizontal="center"/>
    </xf>
    <xf numFmtId="4" fontId="0" fillId="0" borderId="10" xfId="0" applyNumberFormat="1" applyFill="1" applyBorder="1" applyAlignment="1">
      <alignment horizontal="right"/>
    </xf>
    <xf numFmtId="4" fontId="4" fillId="0" borderId="10" xfId="0" applyNumberFormat="1" applyFont="1" applyBorder="1" applyAlignment="1">
      <alignment horizontal="right"/>
    </xf>
    <xf numFmtId="4" fontId="1" fillId="0" borderId="5" xfId="0" applyNumberFormat="1" applyFont="1" applyBorder="1" applyAlignment="1">
      <alignment horizontal="right"/>
    </xf>
    <xf numFmtId="4" fontId="1" fillId="0" borderId="14" xfId="0" applyNumberFormat="1" applyFont="1" applyBorder="1" applyAlignment="1">
      <alignment horizontal="right"/>
    </xf>
    <xf numFmtId="4" fontId="1" fillId="0" borderId="11" xfId="0" applyNumberFormat="1" applyFont="1" applyBorder="1" applyAlignment="1">
      <alignment horizontal="center"/>
    </xf>
    <xf numFmtId="4" fontId="0" fillId="0" borderId="20" xfId="0" applyNumberFormat="1" applyBorder="1" applyAlignment="1">
      <alignment horizontal="righ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4" fontId="0" fillId="0" borderId="11" xfId="0" applyNumberFormat="1" applyBorder="1"/>
    <xf numFmtId="0" fontId="1" fillId="0" borderId="1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4" fontId="5" fillId="0" borderId="14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0" fillId="0" borderId="11" xfId="0" applyFont="1" applyBorder="1" applyAlignment="1">
      <alignment horizontal="left"/>
    </xf>
    <xf numFmtId="0" fontId="1" fillId="0" borderId="14" xfId="0" applyFont="1" applyBorder="1" applyAlignment="1">
      <alignment horizontal="right"/>
    </xf>
    <xf numFmtId="4" fontId="1" fillId="0" borderId="14" xfId="0" applyNumberFormat="1" applyFont="1" applyBorder="1" applyAlignment="1">
      <alignment horizontal="center"/>
    </xf>
    <xf numFmtId="4" fontId="1" fillId="0" borderId="18" xfId="0" applyNumberFormat="1" applyFont="1" applyBorder="1"/>
    <xf numFmtId="17" fontId="1" fillId="0" borderId="0" xfId="0" applyNumberFormat="1" applyFont="1" applyAlignment="1">
      <alignment horizontal="center"/>
    </xf>
    <xf numFmtId="4" fontId="6" fillId="0" borderId="14" xfId="0" applyNumberFormat="1" applyFont="1" applyBorder="1" applyAlignment="1">
      <alignment horizontal="right"/>
    </xf>
    <xf numFmtId="49" fontId="3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" fontId="0" fillId="0" borderId="19" xfId="0" applyNumberFormat="1" applyBorder="1" applyAlignment="1">
      <alignment horizontal="right"/>
    </xf>
    <xf numFmtId="0" fontId="1" fillId="0" borderId="24" xfId="0" applyFont="1" applyFill="1" applyBorder="1" applyAlignment="1">
      <alignment horizontal="center"/>
    </xf>
    <xf numFmtId="4" fontId="7" fillId="0" borderId="10" xfId="0" applyNumberFormat="1" applyFont="1" applyBorder="1"/>
    <xf numFmtId="4" fontId="0" fillId="2" borderId="10" xfId="0" applyNumberFormat="1" applyFill="1" applyBorder="1"/>
    <xf numFmtId="0" fontId="1" fillId="0" borderId="25" xfId="0" applyFont="1" applyFill="1" applyBorder="1" applyAlignment="1">
      <alignment horizontal="center"/>
    </xf>
    <xf numFmtId="0" fontId="0" fillId="0" borderId="11" xfId="0" applyBorder="1"/>
    <xf numFmtId="0" fontId="0" fillId="0" borderId="0" xfId="0" applyFill="1" applyBorder="1" applyAlignment="1">
      <alignment horizontal="center"/>
    </xf>
    <xf numFmtId="0" fontId="0" fillId="3" borderId="0" xfId="0" applyFill="1"/>
    <xf numFmtId="0" fontId="0" fillId="2" borderId="14" xfId="0" applyFill="1" applyBorder="1"/>
    <xf numFmtId="0" fontId="1" fillId="0" borderId="0" xfId="0" applyFont="1" applyFill="1" applyBorder="1"/>
    <xf numFmtId="8" fontId="8" fillId="0" borderId="0" xfId="0" applyNumberFormat="1" applyFont="1" applyAlignment="1">
      <alignment horizontal="left"/>
    </xf>
    <xf numFmtId="0" fontId="9" fillId="0" borderId="0" xfId="0" applyFont="1"/>
    <xf numFmtId="0" fontId="1" fillId="0" borderId="26" xfId="0" applyFont="1" applyBorder="1" applyAlignment="1">
      <alignment horizontal="center"/>
    </xf>
    <xf numFmtId="17" fontId="1" fillId="0" borderId="23" xfId="0" applyNumberFormat="1" applyFont="1" applyBorder="1" applyAlignment="1">
      <alignment horizontal="center"/>
    </xf>
    <xf numFmtId="4" fontId="1" fillId="0" borderId="11" xfId="0" applyNumberFormat="1" applyFont="1" applyBorder="1"/>
    <xf numFmtId="4" fontId="0" fillId="0" borderId="14" xfId="0" applyNumberFormat="1" applyFont="1" applyBorder="1" applyAlignment="1">
      <alignment horizontal="right"/>
    </xf>
    <xf numFmtId="49" fontId="1" fillId="0" borderId="10" xfId="0" applyNumberFormat="1" applyFont="1" applyBorder="1" applyAlignment="1">
      <alignment horizontal="center"/>
    </xf>
    <xf numFmtId="0" fontId="0" fillId="0" borderId="21" xfId="0" applyFont="1" applyBorder="1" applyAlignment="1">
      <alignment horizontal="left"/>
    </xf>
    <xf numFmtId="4" fontId="0" fillId="3" borderId="10" xfId="0" applyNumberFormat="1" applyFont="1" applyFill="1" applyBorder="1" applyAlignment="1">
      <alignment horizontal="center"/>
    </xf>
    <xf numFmtId="15" fontId="0" fillId="0" borderId="16" xfId="0" applyNumberFormat="1" applyFill="1" applyBorder="1" applyAlignment="1">
      <alignment vertical="center"/>
    </xf>
    <xf numFmtId="4" fontId="0" fillId="0" borderId="10" xfId="0" applyNumberFormat="1" applyFont="1" applyBorder="1" applyAlignment="1"/>
    <xf numFmtId="14" fontId="0" fillId="0" borderId="25" xfId="0" applyNumberFormat="1" applyFont="1" applyBorder="1" applyAlignment="1">
      <alignment horizontal="center"/>
    </xf>
    <xf numFmtId="0" fontId="1" fillId="0" borderId="24" xfId="0" applyFont="1" applyBorder="1" applyAlignment="1">
      <alignment horizontal="right"/>
    </xf>
    <xf numFmtId="14" fontId="1" fillId="3" borderId="0" xfId="0" applyNumberFormat="1" applyFont="1" applyFill="1"/>
    <xf numFmtId="0" fontId="1" fillId="3" borderId="18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14" fontId="0" fillId="3" borderId="11" xfId="0" applyNumberFormat="1" applyFont="1" applyFill="1" applyBorder="1" applyAlignment="1">
      <alignment horizontal="center"/>
    </xf>
    <xf numFmtId="14" fontId="0" fillId="3" borderId="10" xfId="0" applyNumberFormat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14" fontId="0" fillId="3" borderId="14" xfId="0" applyNumberFormat="1" applyFont="1" applyFill="1" applyBorder="1" applyAlignment="1">
      <alignment horizontal="center"/>
    </xf>
    <xf numFmtId="4" fontId="0" fillId="3" borderId="10" xfId="0" applyNumberFormat="1" applyFill="1" applyBorder="1" applyAlignment="1">
      <alignment horizontal="right"/>
    </xf>
    <xf numFmtId="4" fontId="1" fillId="0" borderId="5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4" fontId="0" fillId="0" borderId="10" xfId="0" applyNumberFormat="1" applyFont="1" applyBorder="1" applyAlignment="1">
      <alignment horizontal="left"/>
    </xf>
    <xf numFmtId="15" fontId="0" fillId="0" borderId="3" xfId="0" applyNumberFormat="1" applyFill="1" applyBorder="1" applyAlignment="1">
      <alignment vertical="center"/>
    </xf>
    <xf numFmtId="4" fontId="1" fillId="0" borderId="0" xfId="0" applyNumberFormat="1" applyFont="1" applyBorder="1" applyAlignment="1">
      <alignment horizontal="right"/>
    </xf>
    <xf numFmtId="4" fontId="5" fillId="0" borderId="0" xfId="0" applyNumberFormat="1" applyFont="1" applyBorder="1" applyAlignment="1">
      <alignment horizontal="right"/>
    </xf>
    <xf numFmtId="4" fontId="6" fillId="0" borderId="0" xfId="0" applyNumberFormat="1" applyFont="1" applyBorder="1" applyAlignment="1">
      <alignment horizontal="right"/>
    </xf>
    <xf numFmtId="4" fontId="1" fillId="0" borderId="0" xfId="0" applyNumberFormat="1" applyFont="1" applyBorder="1"/>
    <xf numFmtId="0" fontId="0" fillId="0" borderId="27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4" fontId="0" fillId="0" borderId="0" xfId="0" applyNumberFormat="1" applyFont="1" applyBorder="1" applyAlignment="1">
      <alignment horizontal="right"/>
    </xf>
    <xf numFmtId="4" fontId="0" fillId="2" borderId="10" xfId="0" applyNumberFormat="1" applyFill="1" applyBorder="1" applyAlignment="1">
      <alignment horizontal="right"/>
    </xf>
    <xf numFmtId="14" fontId="0" fillId="0" borderId="10" xfId="0" applyNumberFormat="1" applyBorder="1"/>
    <xf numFmtId="164" fontId="0" fillId="0" borderId="0" xfId="0" applyNumberFormat="1"/>
    <xf numFmtId="4" fontId="0" fillId="0" borderId="12" xfId="0" applyNumberFormat="1" applyFill="1" applyBorder="1" applyAlignment="1">
      <alignment horizontal="right"/>
    </xf>
    <xf numFmtId="49" fontId="1" fillId="0" borderId="10" xfId="0" applyNumberFormat="1" applyFont="1" applyFill="1" applyBorder="1" applyAlignment="1">
      <alignment horizontal="center"/>
    </xf>
    <xf numFmtId="0" fontId="1" fillId="0" borderId="21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right"/>
    </xf>
    <xf numFmtId="0" fontId="0" fillId="0" borderId="0" xfId="0" applyFill="1"/>
    <xf numFmtId="0" fontId="0" fillId="0" borderId="3" xfId="0" applyFont="1" applyFill="1" applyBorder="1" applyAlignment="1">
      <alignment horizontal="left"/>
    </xf>
    <xf numFmtId="0" fontId="1" fillId="0" borderId="2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9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K145"/>
  <sheetViews>
    <sheetView zoomScale="90" zoomScaleNormal="90" workbookViewId="0">
      <pane ySplit="3" topLeftCell="A121" activePane="bottomLeft" state="frozen"/>
      <selection pane="bottomLeft" activeCell="E121" sqref="E121"/>
    </sheetView>
  </sheetViews>
  <sheetFormatPr baseColWidth="10" defaultRowHeight="15" x14ac:dyDescent="0.25"/>
  <cols>
    <col min="1" max="1" width="11.7109375" customWidth="1"/>
    <col min="2" max="2" width="90.7109375" customWidth="1"/>
    <col min="3" max="3" width="11.85546875" customWidth="1"/>
    <col min="4" max="10" width="11.7109375" customWidth="1"/>
  </cols>
  <sheetData>
    <row r="1" spans="1:10" ht="15.75" thickBot="1" x14ac:dyDescent="0.3">
      <c r="A1" s="79"/>
      <c r="B1" s="99" t="s">
        <v>39</v>
      </c>
    </row>
    <row r="2" spans="1:10" x14ac:dyDescent="0.25">
      <c r="A2" s="68" t="s">
        <v>1</v>
      </c>
      <c r="B2" s="68" t="s">
        <v>2</v>
      </c>
      <c r="C2" s="68" t="s">
        <v>3</v>
      </c>
      <c r="D2" s="68" t="s">
        <v>3</v>
      </c>
      <c r="E2" s="68" t="s">
        <v>22</v>
      </c>
      <c r="F2" s="68" t="s">
        <v>23</v>
      </c>
      <c r="G2" s="48" t="s">
        <v>23</v>
      </c>
      <c r="H2" s="48" t="s">
        <v>22</v>
      </c>
      <c r="I2" s="68" t="s">
        <v>8</v>
      </c>
      <c r="J2" s="48" t="s">
        <v>7</v>
      </c>
    </row>
    <row r="3" spans="1:10" ht="15.75" thickBot="1" x14ac:dyDescent="0.3">
      <c r="A3" s="69"/>
      <c r="B3" s="69"/>
      <c r="C3" s="69" t="s">
        <v>5</v>
      </c>
      <c r="D3" s="69" t="s">
        <v>24</v>
      </c>
      <c r="E3" s="69" t="s">
        <v>3</v>
      </c>
      <c r="F3" s="69" t="s">
        <v>24</v>
      </c>
      <c r="G3" s="70" t="s">
        <v>5</v>
      </c>
      <c r="H3" s="70" t="s">
        <v>4</v>
      </c>
      <c r="I3" s="69"/>
      <c r="J3" s="70"/>
    </row>
    <row r="4" spans="1:10" x14ac:dyDescent="0.25">
      <c r="A4" s="23">
        <v>43100</v>
      </c>
      <c r="B4" s="65" t="s">
        <v>59</v>
      </c>
      <c r="C4" s="66"/>
      <c r="D4" s="63"/>
      <c r="E4" s="63"/>
      <c r="F4" s="63"/>
      <c r="G4" s="17"/>
      <c r="H4" s="64"/>
      <c r="I4" s="12">
        <v>29759.19</v>
      </c>
      <c r="J4" s="97">
        <v>51091.87</v>
      </c>
    </row>
    <row r="5" spans="1:10" x14ac:dyDescent="0.25">
      <c r="A5" s="23">
        <v>43101</v>
      </c>
      <c r="B5" s="100" t="s">
        <v>60</v>
      </c>
      <c r="C5" s="66"/>
      <c r="D5" s="63"/>
      <c r="E5" s="63"/>
      <c r="F5" s="63"/>
      <c r="G5" s="17">
        <v>6500</v>
      </c>
      <c r="H5" s="64"/>
      <c r="I5" s="12">
        <f>+I4+D5-F5</f>
        <v>29759.19</v>
      </c>
      <c r="J5" s="12">
        <f t="shared" ref="J5:J39" si="0">+J4+C5-G5</f>
        <v>44591.87</v>
      </c>
    </row>
    <row r="6" spans="1:10" x14ac:dyDescent="0.25">
      <c r="A6" s="23">
        <v>43101</v>
      </c>
      <c r="B6" s="9" t="s">
        <v>61</v>
      </c>
      <c r="C6" s="41"/>
      <c r="D6" s="11"/>
      <c r="E6" s="11"/>
      <c r="F6" s="11"/>
      <c r="G6" s="11">
        <v>1350</v>
      </c>
      <c r="H6" s="15"/>
      <c r="I6" s="12">
        <f t="shared" ref="I6:I51" si="1">+I5+D6-F6</f>
        <v>29759.19</v>
      </c>
      <c r="J6" s="12">
        <f t="shared" si="0"/>
        <v>43241.87</v>
      </c>
    </row>
    <row r="7" spans="1:10" x14ac:dyDescent="0.25">
      <c r="A7" s="18">
        <v>43101</v>
      </c>
      <c r="B7" s="13" t="s">
        <v>62</v>
      </c>
      <c r="C7" s="41"/>
      <c r="D7" s="11"/>
      <c r="E7" s="11"/>
      <c r="F7" s="11"/>
      <c r="G7" s="11">
        <v>72</v>
      </c>
      <c r="H7" s="15"/>
      <c r="I7" s="12">
        <f t="shared" si="1"/>
        <v>29759.19</v>
      </c>
      <c r="J7" s="12">
        <f t="shared" si="0"/>
        <v>43169.87</v>
      </c>
    </row>
    <row r="8" spans="1:10" x14ac:dyDescent="0.25">
      <c r="A8" s="18">
        <v>43101</v>
      </c>
      <c r="B8" s="14" t="s">
        <v>63</v>
      </c>
      <c r="C8" s="41"/>
      <c r="D8" s="11"/>
      <c r="E8" s="11"/>
      <c r="F8" s="11"/>
      <c r="G8" s="11">
        <v>300</v>
      </c>
      <c r="H8" s="15"/>
      <c r="I8" s="12">
        <f t="shared" si="1"/>
        <v>29759.19</v>
      </c>
      <c r="J8" s="12">
        <f t="shared" si="0"/>
        <v>42869.87</v>
      </c>
    </row>
    <row r="9" spans="1:10" x14ac:dyDescent="0.25">
      <c r="A9" s="18">
        <v>43103</v>
      </c>
      <c r="B9" s="13" t="s">
        <v>64</v>
      </c>
      <c r="C9" s="41"/>
      <c r="D9" s="11"/>
      <c r="E9" s="11"/>
      <c r="F9" s="11"/>
      <c r="G9" s="11">
        <v>350</v>
      </c>
      <c r="H9" s="15"/>
      <c r="I9" s="12">
        <f t="shared" si="1"/>
        <v>29759.19</v>
      </c>
      <c r="J9" s="12">
        <f t="shared" si="0"/>
        <v>42519.87</v>
      </c>
    </row>
    <row r="10" spans="1:10" x14ac:dyDescent="0.25">
      <c r="A10" s="18">
        <v>43103</v>
      </c>
      <c r="B10" s="14" t="s">
        <v>65</v>
      </c>
      <c r="C10" s="41"/>
      <c r="D10" s="11"/>
      <c r="E10" s="11"/>
      <c r="F10" s="11"/>
      <c r="G10" s="11">
        <v>105</v>
      </c>
      <c r="H10" s="15"/>
      <c r="I10" s="12">
        <f t="shared" si="1"/>
        <v>29759.19</v>
      </c>
      <c r="J10" s="12">
        <f t="shared" si="0"/>
        <v>42414.87</v>
      </c>
    </row>
    <row r="11" spans="1:10" x14ac:dyDescent="0.25">
      <c r="A11" s="18">
        <v>43103</v>
      </c>
      <c r="B11" s="21" t="s">
        <v>66</v>
      </c>
      <c r="C11" s="41"/>
      <c r="D11" s="11"/>
      <c r="E11" s="11"/>
      <c r="F11" s="11"/>
      <c r="G11" s="11">
        <v>394.68</v>
      </c>
      <c r="H11" s="15"/>
      <c r="I11" s="12">
        <f t="shared" si="1"/>
        <v>29759.19</v>
      </c>
      <c r="J11" s="12">
        <f t="shared" si="0"/>
        <v>42020.19</v>
      </c>
    </row>
    <row r="12" spans="1:10" x14ac:dyDescent="0.25">
      <c r="A12" s="18">
        <v>43104</v>
      </c>
      <c r="B12" s="13" t="s">
        <v>67</v>
      </c>
      <c r="C12" s="41"/>
      <c r="D12" s="11"/>
      <c r="E12" s="11"/>
      <c r="F12" s="11"/>
      <c r="G12" s="11">
        <v>380</v>
      </c>
      <c r="H12" s="15"/>
      <c r="I12" s="12">
        <f t="shared" si="1"/>
        <v>29759.19</v>
      </c>
      <c r="J12" s="12">
        <f t="shared" si="0"/>
        <v>41640.19</v>
      </c>
    </row>
    <row r="13" spans="1:10" x14ac:dyDescent="0.25">
      <c r="A13" s="18">
        <v>43104</v>
      </c>
      <c r="B13" s="13" t="s">
        <v>63</v>
      </c>
      <c r="C13" s="41"/>
      <c r="D13" s="11"/>
      <c r="E13" s="11"/>
      <c r="F13" s="11"/>
      <c r="G13" s="11">
        <v>300</v>
      </c>
      <c r="H13" s="15"/>
      <c r="I13" s="12">
        <f t="shared" si="1"/>
        <v>29759.19</v>
      </c>
      <c r="J13" s="12">
        <f t="shared" si="0"/>
        <v>41340.19</v>
      </c>
    </row>
    <row r="14" spans="1:10" x14ac:dyDescent="0.25">
      <c r="A14" s="18">
        <v>43104</v>
      </c>
      <c r="B14" s="13" t="s">
        <v>68</v>
      </c>
      <c r="C14" s="41"/>
      <c r="D14" s="11"/>
      <c r="E14" s="11"/>
      <c r="F14" s="11"/>
      <c r="G14" s="11">
        <v>16.5</v>
      </c>
      <c r="H14" s="15"/>
      <c r="I14" s="12">
        <f t="shared" si="1"/>
        <v>29759.19</v>
      </c>
      <c r="J14" s="12">
        <f t="shared" si="0"/>
        <v>41323.69</v>
      </c>
    </row>
    <row r="15" spans="1:10" x14ac:dyDescent="0.25">
      <c r="A15" s="18">
        <v>43104</v>
      </c>
      <c r="B15" s="14" t="s">
        <v>68</v>
      </c>
      <c r="C15" s="41"/>
      <c r="D15" s="11"/>
      <c r="E15" s="11"/>
      <c r="F15" s="11"/>
      <c r="G15" s="11">
        <v>17</v>
      </c>
      <c r="H15" s="15"/>
      <c r="I15" s="12">
        <f t="shared" si="1"/>
        <v>29759.19</v>
      </c>
      <c r="J15" s="12">
        <f t="shared" si="0"/>
        <v>41306.69</v>
      </c>
    </row>
    <row r="16" spans="1:10" x14ac:dyDescent="0.25">
      <c r="A16" s="18">
        <v>43104</v>
      </c>
      <c r="B16" s="13" t="s">
        <v>69</v>
      </c>
      <c r="C16" s="41"/>
      <c r="D16" s="11"/>
      <c r="E16" s="11"/>
      <c r="F16" s="11"/>
      <c r="G16" s="11">
        <v>77</v>
      </c>
      <c r="H16" s="15"/>
      <c r="I16" s="12">
        <f t="shared" si="1"/>
        <v>29759.19</v>
      </c>
      <c r="J16" s="12">
        <f t="shared" si="0"/>
        <v>41229.69</v>
      </c>
    </row>
    <row r="17" spans="1:10" x14ac:dyDescent="0.25">
      <c r="A17" s="18">
        <v>43104</v>
      </c>
      <c r="B17" s="13" t="s">
        <v>64</v>
      </c>
      <c r="C17" s="41"/>
      <c r="D17" s="11"/>
      <c r="E17" s="11"/>
      <c r="F17" s="11"/>
      <c r="G17" s="11">
        <v>340</v>
      </c>
      <c r="H17" s="15"/>
      <c r="I17" s="12">
        <f t="shared" si="1"/>
        <v>29759.19</v>
      </c>
      <c r="J17" s="12">
        <f t="shared" si="0"/>
        <v>40889.69</v>
      </c>
    </row>
    <row r="18" spans="1:10" x14ac:dyDescent="0.25">
      <c r="A18" s="18">
        <v>43105</v>
      </c>
      <c r="B18" s="13" t="s">
        <v>70</v>
      </c>
      <c r="C18" s="41"/>
      <c r="D18" s="11"/>
      <c r="E18" s="11"/>
      <c r="F18" s="11"/>
      <c r="G18" s="11">
        <v>511</v>
      </c>
      <c r="H18" s="15"/>
      <c r="I18" s="12">
        <f t="shared" si="1"/>
        <v>29759.19</v>
      </c>
      <c r="J18" s="12">
        <f t="shared" si="0"/>
        <v>40378.69</v>
      </c>
    </row>
    <row r="19" spans="1:10" x14ac:dyDescent="0.25">
      <c r="A19" s="18">
        <v>43105</v>
      </c>
      <c r="B19" s="13" t="s">
        <v>71</v>
      </c>
      <c r="C19" s="41"/>
      <c r="D19" s="11"/>
      <c r="E19" s="11"/>
      <c r="F19" s="11"/>
      <c r="G19" s="11">
        <v>10</v>
      </c>
      <c r="H19" s="15"/>
      <c r="I19" s="12">
        <f t="shared" si="1"/>
        <v>29759.19</v>
      </c>
      <c r="J19" s="12">
        <f t="shared" si="0"/>
        <v>40368.69</v>
      </c>
    </row>
    <row r="20" spans="1:10" x14ac:dyDescent="0.25">
      <c r="A20" s="18">
        <v>43105</v>
      </c>
      <c r="B20" s="13" t="s">
        <v>72</v>
      </c>
      <c r="C20" s="41"/>
      <c r="D20" s="11"/>
      <c r="E20" s="11"/>
      <c r="F20" s="11"/>
      <c r="G20" s="11">
        <v>1250</v>
      </c>
      <c r="H20" s="15"/>
      <c r="I20" s="12">
        <f t="shared" si="1"/>
        <v>29759.19</v>
      </c>
      <c r="J20" s="12">
        <f t="shared" si="0"/>
        <v>39118.69</v>
      </c>
    </row>
    <row r="21" spans="1:10" x14ac:dyDescent="0.25">
      <c r="A21" s="18">
        <v>43105</v>
      </c>
      <c r="B21" s="13" t="s">
        <v>73</v>
      </c>
      <c r="C21" s="41"/>
      <c r="D21" s="11"/>
      <c r="E21" s="11"/>
      <c r="F21" s="11"/>
      <c r="G21" s="11">
        <v>5000</v>
      </c>
      <c r="H21" s="15"/>
      <c r="I21" s="12">
        <f t="shared" si="1"/>
        <v>29759.19</v>
      </c>
      <c r="J21" s="12">
        <f t="shared" si="0"/>
        <v>34118.69</v>
      </c>
    </row>
    <row r="22" spans="1:10" x14ac:dyDescent="0.25">
      <c r="A22" s="18">
        <v>43107</v>
      </c>
      <c r="B22" s="13" t="s">
        <v>74</v>
      </c>
      <c r="C22" s="41"/>
      <c r="D22" s="11"/>
      <c r="E22" s="11"/>
      <c r="F22" s="11"/>
      <c r="G22" s="11">
        <v>150</v>
      </c>
      <c r="H22" s="15"/>
      <c r="I22" s="12">
        <f t="shared" si="1"/>
        <v>29759.19</v>
      </c>
      <c r="J22" s="12">
        <f t="shared" si="0"/>
        <v>33968.69</v>
      </c>
    </row>
    <row r="23" spans="1:10" x14ac:dyDescent="0.25">
      <c r="A23" s="18">
        <v>43107</v>
      </c>
      <c r="B23" s="13" t="s">
        <v>75</v>
      </c>
      <c r="C23" s="41"/>
      <c r="D23" s="11"/>
      <c r="E23" s="11"/>
      <c r="F23" s="11"/>
      <c r="G23" s="11">
        <v>120</v>
      </c>
      <c r="H23" s="15"/>
      <c r="I23" s="12">
        <f t="shared" si="1"/>
        <v>29759.19</v>
      </c>
      <c r="J23" s="12">
        <f t="shared" si="0"/>
        <v>33848.69</v>
      </c>
    </row>
    <row r="24" spans="1:10" x14ac:dyDescent="0.25">
      <c r="A24" s="18">
        <v>43107</v>
      </c>
      <c r="B24" s="13" t="s">
        <v>76</v>
      </c>
      <c r="C24" s="41"/>
      <c r="D24" s="11"/>
      <c r="E24" s="11"/>
      <c r="F24" s="11"/>
      <c r="G24" s="11">
        <v>133</v>
      </c>
      <c r="H24" s="15"/>
      <c r="I24" s="12">
        <f t="shared" si="1"/>
        <v>29759.19</v>
      </c>
      <c r="J24" s="12">
        <f t="shared" si="0"/>
        <v>33715.69</v>
      </c>
    </row>
    <row r="25" spans="1:10" x14ac:dyDescent="0.25">
      <c r="A25" s="38">
        <v>43107</v>
      </c>
      <c r="B25" s="13" t="s">
        <v>78</v>
      </c>
      <c r="C25" s="41">
        <v>54105</v>
      </c>
      <c r="D25" s="11"/>
      <c r="E25" s="11"/>
      <c r="F25" s="11"/>
      <c r="G25" s="11"/>
      <c r="H25" s="15"/>
      <c r="I25" s="12">
        <f t="shared" si="1"/>
        <v>29759.19</v>
      </c>
      <c r="J25" s="12">
        <f t="shared" si="0"/>
        <v>87820.69</v>
      </c>
    </row>
    <row r="26" spans="1:10" x14ac:dyDescent="0.25">
      <c r="A26" s="38">
        <v>43107</v>
      </c>
      <c r="B26" s="35" t="s">
        <v>77</v>
      </c>
      <c r="C26" s="41"/>
      <c r="D26" s="11"/>
      <c r="E26" s="11"/>
      <c r="F26" s="11"/>
      <c r="G26" s="11">
        <v>350</v>
      </c>
      <c r="H26" s="15"/>
      <c r="I26" s="12">
        <f t="shared" si="1"/>
        <v>29759.19</v>
      </c>
      <c r="J26" s="12">
        <f t="shared" si="0"/>
        <v>87470.69</v>
      </c>
    </row>
    <row r="27" spans="1:10" x14ac:dyDescent="0.25">
      <c r="A27" s="38">
        <v>43108</v>
      </c>
      <c r="B27" s="35" t="s">
        <v>63</v>
      </c>
      <c r="C27" s="41"/>
      <c r="D27" s="11"/>
      <c r="E27" s="11"/>
      <c r="F27" s="11"/>
      <c r="G27" s="11">
        <v>300</v>
      </c>
      <c r="H27" s="15"/>
      <c r="I27" s="12">
        <f t="shared" si="1"/>
        <v>29759.19</v>
      </c>
      <c r="J27" s="12">
        <f t="shared" si="0"/>
        <v>87170.69</v>
      </c>
    </row>
    <row r="28" spans="1:10" x14ac:dyDescent="0.25">
      <c r="A28" s="38">
        <v>43108</v>
      </c>
      <c r="B28" s="35" t="s">
        <v>65</v>
      </c>
      <c r="C28" s="41"/>
      <c r="D28" s="11"/>
      <c r="E28" s="11"/>
      <c r="F28" s="11"/>
      <c r="G28" s="11">
        <v>105</v>
      </c>
      <c r="H28" s="15"/>
      <c r="I28" s="12">
        <f t="shared" si="1"/>
        <v>29759.19</v>
      </c>
      <c r="J28" s="12">
        <f t="shared" si="0"/>
        <v>87065.69</v>
      </c>
    </row>
    <row r="29" spans="1:10" x14ac:dyDescent="0.25">
      <c r="A29" s="38">
        <v>43109</v>
      </c>
      <c r="B29" s="35" t="s">
        <v>79</v>
      </c>
      <c r="C29" s="41"/>
      <c r="D29" s="11"/>
      <c r="E29" s="11"/>
      <c r="F29" s="11"/>
      <c r="G29" s="11">
        <v>1650</v>
      </c>
      <c r="H29" s="15"/>
      <c r="I29" s="12">
        <f t="shared" si="1"/>
        <v>29759.19</v>
      </c>
      <c r="J29" s="12">
        <f t="shared" si="0"/>
        <v>85415.69</v>
      </c>
    </row>
    <row r="30" spans="1:10" x14ac:dyDescent="0.25">
      <c r="A30" s="38">
        <v>43110</v>
      </c>
      <c r="B30" s="35" t="s">
        <v>64</v>
      </c>
      <c r="C30" s="41"/>
      <c r="D30" s="11"/>
      <c r="E30" s="11"/>
      <c r="F30" s="11"/>
      <c r="G30" s="11">
        <v>350</v>
      </c>
      <c r="H30" s="15"/>
      <c r="I30" s="12">
        <f t="shared" si="1"/>
        <v>29759.19</v>
      </c>
      <c r="J30" s="12">
        <f t="shared" si="0"/>
        <v>85065.69</v>
      </c>
    </row>
    <row r="31" spans="1:10" x14ac:dyDescent="0.25">
      <c r="A31" s="38">
        <v>43110</v>
      </c>
      <c r="B31" s="35" t="s">
        <v>80</v>
      </c>
      <c r="C31" s="41"/>
      <c r="D31" s="11"/>
      <c r="E31" s="11"/>
      <c r="F31" s="11"/>
      <c r="G31" s="11">
        <v>350</v>
      </c>
      <c r="H31" s="15"/>
      <c r="I31" s="12">
        <f t="shared" si="1"/>
        <v>29759.19</v>
      </c>
      <c r="J31" s="12">
        <f t="shared" si="0"/>
        <v>84715.69</v>
      </c>
    </row>
    <row r="32" spans="1:10" x14ac:dyDescent="0.25">
      <c r="A32" s="38">
        <v>43110</v>
      </c>
      <c r="B32" s="36" t="s">
        <v>81</v>
      </c>
      <c r="C32" s="41"/>
      <c r="D32" s="11"/>
      <c r="E32" s="11"/>
      <c r="F32" s="11"/>
      <c r="G32" s="11">
        <v>250</v>
      </c>
      <c r="H32" s="15"/>
      <c r="I32" s="12">
        <f t="shared" si="1"/>
        <v>29759.19</v>
      </c>
      <c r="J32" s="12">
        <f t="shared" si="0"/>
        <v>84465.69</v>
      </c>
    </row>
    <row r="33" spans="1:10" x14ac:dyDescent="0.25">
      <c r="A33" s="38">
        <v>43110</v>
      </c>
      <c r="B33" s="35" t="s">
        <v>82</v>
      </c>
      <c r="C33" s="41"/>
      <c r="D33" s="11"/>
      <c r="E33" s="11"/>
      <c r="F33" s="11"/>
      <c r="G33" s="11">
        <v>284</v>
      </c>
      <c r="H33" s="15"/>
      <c r="I33" s="12">
        <f t="shared" si="1"/>
        <v>29759.19</v>
      </c>
      <c r="J33" s="12">
        <f t="shared" si="0"/>
        <v>84181.69</v>
      </c>
    </row>
    <row r="34" spans="1:10" x14ac:dyDescent="0.25">
      <c r="A34" s="39">
        <v>43111</v>
      </c>
      <c r="B34" s="35" t="s">
        <v>83</v>
      </c>
      <c r="C34" s="41"/>
      <c r="D34" s="11"/>
      <c r="E34" s="11"/>
      <c r="F34" s="11"/>
      <c r="G34" s="11">
        <v>300</v>
      </c>
      <c r="H34" s="15"/>
      <c r="I34" s="12">
        <f t="shared" si="1"/>
        <v>29759.19</v>
      </c>
      <c r="J34" s="12">
        <f t="shared" si="0"/>
        <v>83881.69</v>
      </c>
    </row>
    <row r="35" spans="1:10" x14ac:dyDescent="0.25">
      <c r="A35" s="38">
        <v>43111</v>
      </c>
      <c r="B35" s="35" t="s">
        <v>84</v>
      </c>
      <c r="C35" s="41"/>
      <c r="D35" s="11"/>
      <c r="E35" s="11"/>
      <c r="F35" s="11"/>
      <c r="G35" s="11">
        <v>250</v>
      </c>
      <c r="H35" s="15"/>
      <c r="I35" s="12">
        <f t="shared" si="1"/>
        <v>29759.19</v>
      </c>
      <c r="J35" s="12">
        <f t="shared" si="0"/>
        <v>83631.69</v>
      </c>
    </row>
    <row r="36" spans="1:10" x14ac:dyDescent="0.25">
      <c r="A36" s="42">
        <v>43111</v>
      </c>
      <c r="B36" s="34" t="s">
        <v>85</v>
      </c>
      <c r="C36" s="41"/>
      <c r="D36" s="11"/>
      <c r="E36" s="11"/>
      <c r="F36" s="11"/>
      <c r="G36" s="11">
        <v>340</v>
      </c>
      <c r="H36" s="15"/>
      <c r="I36" s="12">
        <f t="shared" si="1"/>
        <v>29759.19</v>
      </c>
      <c r="J36" s="12">
        <f t="shared" si="0"/>
        <v>83291.69</v>
      </c>
    </row>
    <row r="37" spans="1:10" x14ac:dyDescent="0.25">
      <c r="A37" s="39">
        <v>43111</v>
      </c>
      <c r="B37" s="35" t="s">
        <v>86</v>
      </c>
      <c r="C37" s="41"/>
      <c r="D37" s="11"/>
      <c r="E37" s="11"/>
      <c r="F37" s="11"/>
      <c r="G37" s="11">
        <v>279.5</v>
      </c>
      <c r="H37" s="15"/>
      <c r="I37" s="12">
        <f t="shared" si="1"/>
        <v>29759.19</v>
      </c>
      <c r="J37" s="12">
        <f t="shared" si="0"/>
        <v>83012.19</v>
      </c>
    </row>
    <row r="38" spans="1:10" x14ac:dyDescent="0.25">
      <c r="A38" s="38">
        <v>43112</v>
      </c>
      <c r="B38" s="35" t="s">
        <v>87</v>
      </c>
      <c r="C38" s="41"/>
      <c r="D38" s="11"/>
      <c r="E38" s="11"/>
      <c r="F38" s="11"/>
      <c r="G38" s="11">
        <v>1250</v>
      </c>
      <c r="H38" s="15"/>
      <c r="I38" s="12">
        <f t="shared" si="1"/>
        <v>29759.19</v>
      </c>
      <c r="J38" s="12">
        <f t="shared" si="0"/>
        <v>81762.19</v>
      </c>
    </row>
    <row r="39" spans="1:10" x14ac:dyDescent="0.25">
      <c r="A39" s="37">
        <v>43112</v>
      </c>
      <c r="B39" s="35" t="s">
        <v>88</v>
      </c>
      <c r="C39" s="41"/>
      <c r="D39" s="11"/>
      <c r="E39" s="11"/>
      <c r="F39" s="11"/>
      <c r="G39" s="11">
        <v>1300</v>
      </c>
      <c r="H39" s="15"/>
      <c r="I39" s="12">
        <f t="shared" si="1"/>
        <v>29759.19</v>
      </c>
      <c r="J39" s="12">
        <f t="shared" si="0"/>
        <v>80462.19</v>
      </c>
    </row>
    <row r="40" spans="1:10" x14ac:dyDescent="0.25">
      <c r="A40" s="39">
        <v>43113</v>
      </c>
      <c r="B40" s="35" t="s">
        <v>89</v>
      </c>
      <c r="C40" s="41"/>
      <c r="D40" s="11"/>
      <c r="E40" s="11"/>
      <c r="F40" s="11"/>
      <c r="G40" s="11">
        <v>407.5</v>
      </c>
      <c r="H40" s="15"/>
      <c r="I40" s="12">
        <f t="shared" si="1"/>
        <v>29759.19</v>
      </c>
      <c r="J40" s="12">
        <f t="shared" ref="J40:J51" si="2">+J39+C40-G40</f>
        <v>80054.69</v>
      </c>
    </row>
    <row r="41" spans="1:10" x14ac:dyDescent="0.25">
      <c r="A41" s="38">
        <v>43113</v>
      </c>
      <c r="B41" s="35" t="s">
        <v>90</v>
      </c>
      <c r="C41" s="41"/>
      <c r="D41" s="11"/>
      <c r="E41" s="11"/>
      <c r="F41" s="11"/>
      <c r="G41" s="11">
        <v>618.9</v>
      </c>
      <c r="H41" s="15"/>
      <c r="I41" s="12">
        <f t="shared" si="1"/>
        <v>29759.19</v>
      </c>
      <c r="J41" s="12">
        <f t="shared" si="2"/>
        <v>79435.790000000008</v>
      </c>
    </row>
    <row r="42" spans="1:10" x14ac:dyDescent="0.25">
      <c r="A42" s="38">
        <v>43113</v>
      </c>
      <c r="B42" s="35" t="s">
        <v>63</v>
      </c>
      <c r="C42" s="41"/>
      <c r="D42" s="11"/>
      <c r="E42" s="11"/>
      <c r="F42" s="11"/>
      <c r="G42" s="11">
        <v>300</v>
      </c>
      <c r="H42" s="15"/>
      <c r="I42" s="12">
        <f t="shared" si="1"/>
        <v>29759.19</v>
      </c>
      <c r="J42" s="12">
        <f t="shared" si="2"/>
        <v>79135.790000000008</v>
      </c>
    </row>
    <row r="43" spans="1:10" x14ac:dyDescent="0.25">
      <c r="A43" s="38">
        <v>43113</v>
      </c>
      <c r="B43" s="35" t="s">
        <v>91</v>
      </c>
      <c r="C43" s="41"/>
      <c r="D43" s="11"/>
      <c r="E43" s="11"/>
      <c r="F43" s="11"/>
      <c r="G43" s="11">
        <v>840</v>
      </c>
      <c r="H43" s="15"/>
      <c r="I43" s="12">
        <f t="shared" si="1"/>
        <v>29759.19</v>
      </c>
      <c r="J43" s="12">
        <f t="shared" si="2"/>
        <v>78295.790000000008</v>
      </c>
    </row>
    <row r="44" spans="1:10" x14ac:dyDescent="0.25">
      <c r="A44" s="38">
        <v>43113</v>
      </c>
      <c r="B44" s="9" t="s">
        <v>92</v>
      </c>
      <c r="C44" s="41"/>
      <c r="D44" s="11"/>
      <c r="E44" s="11"/>
      <c r="F44" s="11"/>
      <c r="G44" s="11">
        <v>150</v>
      </c>
      <c r="H44" s="15"/>
      <c r="I44" s="12">
        <f t="shared" si="1"/>
        <v>29759.19</v>
      </c>
      <c r="J44" s="12">
        <f t="shared" si="2"/>
        <v>78145.790000000008</v>
      </c>
    </row>
    <row r="45" spans="1:10" x14ac:dyDescent="0.25">
      <c r="A45" s="38">
        <v>43114</v>
      </c>
      <c r="B45" s="35" t="s">
        <v>93</v>
      </c>
      <c r="C45" s="41">
        <v>35450</v>
      </c>
      <c r="D45" s="11"/>
      <c r="E45" s="11"/>
      <c r="F45" s="11"/>
      <c r="G45" s="11"/>
      <c r="H45" s="15"/>
      <c r="I45" s="12">
        <f t="shared" si="1"/>
        <v>29759.19</v>
      </c>
      <c r="J45" s="12">
        <f t="shared" si="2"/>
        <v>113595.79000000001</v>
      </c>
    </row>
    <row r="46" spans="1:10" x14ac:dyDescent="0.25">
      <c r="A46" s="40">
        <v>43114</v>
      </c>
      <c r="B46" s="35" t="s">
        <v>76</v>
      </c>
      <c r="C46" s="41"/>
      <c r="D46" s="41"/>
      <c r="E46" s="41"/>
      <c r="F46" s="41"/>
      <c r="G46" s="11">
        <v>137</v>
      </c>
      <c r="H46" s="15"/>
      <c r="I46" s="12">
        <f t="shared" si="1"/>
        <v>29759.19</v>
      </c>
      <c r="J46" s="12">
        <f t="shared" si="2"/>
        <v>113458.79000000001</v>
      </c>
    </row>
    <row r="47" spans="1:10" x14ac:dyDescent="0.25">
      <c r="A47" s="37">
        <v>43114</v>
      </c>
      <c r="B47" s="35" t="s">
        <v>74</v>
      </c>
      <c r="C47" s="41"/>
      <c r="D47" s="41"/>
      <c r="E47" s="41"/>
      <c r="F47" s="16"/>
      <c r="G47" s="11">
        <v>150</v>
      </c>
      <c r="H47" s="15"/>
      <c r="I47" s="12">
        <f t="shared" si="1"/>
        <v>29759.19</v>
      </c>
      <c r="J47" s="12">
        <f t="shared" si="2"/>
        <v>113308.79000000001</v>
      </c>
    </row>
    <row r="48" spans="1:10" x14ac:dyDescent="0.25">
      <c r="A48" s="39">
        <v>43114</v>
      </c>
      <c r="B48" s="35" t="s">
        <v>75</v>
      </c>
      <c r="C48" s="41"/>
      <c r="D48" s="41"/>
      <c r="E48" s="41"/>
      <c r="F48" s="41"/>
      <c r="G48" s="11">
        <v>120</v>
      </c>
      <c r="H48" s="15"/>
      <c r="I48" s="12">
        <f t="shared" si="1"/>
        <v>29759.19</v>
      </c>
      <c r="J48" s="12">
        <f t="shared" si="2"/>
        <v>113188.79000000001</v>
      </c>
    </row>
    <row r="49" spans="1:10" x14ac:dyDescent="0.25">
      <c r="A49" s="18">
        <v>43115</v>
      </c>
      <c r="B49" s="13" t="s">
        <v>94</v>
      </c>
      <c r="C49" s="11"/>
      <c r="D49" s="11"/>
      <c r="E49" s="11"/>
      <c r="F49" s="11"/>
      <c r="G49" s="11">
        <v>778</v>
      </c>
      <c r="H49" s="15"/>
      <c r="I49" s="12">
        <f t="shared" si="1"/>
        <v>29759.19</v>
      </c>
      <c r="J49" s="12">
        <f t="shared" si="2"/>
        <v>112410.79000000001</v>
      </c>
    </row>
    <row r="50" spans="1:10" x14ac:dyDescent="0.25">
      <c r="A50" s="18">
        <v>42750</v>
      </c>
      <c r="B50" s="13" t="s">
        <v>95</v>
      </c>
      <c r="C50" s="11"/>
      <c r="D50" s="11"/>
      <c r="E50" s="11"/>
      <c r="F50" s="11"/>
      <c r="G50" s="11">
        <v>25100</v>
      </c>
      <c r="H50" s="15"/>
      <c r="I50" s="12">
        <f t="shared" si="1"/>
        <v>29759.19</v>
      </c>
      <c r="J50" s="12">
        <f t="shared" si="2"/>
        <v>87310.790000000008</v>
      </c>
    </row>
    <row r="51" spans="1:10" x14ac:dyDescent="0.25">
      <c r="A51" s="38">
        <v>43115</v>
      </c>
      <c r="B51" s="36" t="s">
        <v>96</v>
      </c>
      <c r="C51" s="11"/>
      <c r="D51" s="11"/>
      <c r="E51" s="11"/>
      <c r="F51" s="11"/>
      <c r="G51" s="59">
        <v>550</v>
      </c>
      <c r="H51" s="15"/>
      <c r="I51" s="12">
        <f t="shared" si="1"/>
        <v>29759.19</v>
      </c>
      <c r="J51" s="12">
        <f t="shared" si="2"/>
        <v>86760.790000000008</v>
      </c>
    </row>
    <row r="52" spans="1:10" x14ac:dyDescent="0.25">
      <c r="A52" s="38">
        <v>43115</v>
      </c>
      <c r="B52" s="35" t="s">
        <v>97</v>
      </c>
      <c r="C52" s="11"/>
      <c r="D52" s="11"/>
      <c r="E52" s="11"/>
      <c r="F52" s="11"/>
      <c r="G52" s="11">
        <v>350</v>
      </c>
      <c r="H52" s="15"/>
      <c r="I52" s="12">
        <f>+I51+D52-F52</f>
        <v>29759.19</v>
      </c>
      <c r="J52" s="12">
        <f>+J51+C52-G52</f>
        <v>86410.790000000008</v>
      </c>
    </row>
    <row r="53" spans="1:10" ht="15.75" thickBot="1" x14ac:dyDescent="0.3">
      <c r="A53" s="38">
        <v>43115</v>
      </c>
      <c r="B53" s="35" t="s">
        <v>98</v>
      </c>
      <c r="C53" s="11"/>
      <c r="D53" s="11"/>
      <c r="E53" s="11"/>
      <c r="F53" s="11"/>
      <c r="G53" s="11">
        <v>1500</v>
      </c>
      <c r="H53" s="15"/>
      <c r="I53" s="12">
        <f t="shared" ref="I53" si="3">+I52+D53-F53</f>
        <v>29759.19</v>
      </c>
      <c r="J53" s="12">
        <f t="shared" ref="J53" si="4">+J52+C53-G53</f>
        <v>84910.790000000008</v>
      </c>
    </row>
    <row r="54" spans="1:10" ht="15.75" thickBot="1" x14ac:dyDescent="0.3">
      <c r="A54" s="5"/>
      <c r="B54" s="7" t="s">
        <v>0</v>
      </c>
      <c r="C54" s="62">
        <f>SUM(C4:C51)</f>
        <v>89555</v>
      </c>
      <c r="D54" s="62">
        <f>SUM(D4:D51)</f>
        <v>0</v>
      </c>
      <c r="E54" s="71">
        <f>SUM(C54:D54)</f>
        <v>89555</v>
      </c>
      <c r="F54" s="80">
        <f>SUM(F4:F51)</f>
        <v>0</v>
      </c>
      <c r="G54" s="62">
        <f>SUM(G4:G53)</f>
        <v>55736.08</v>
      </c>
      <c r="H54" s="71">
        <f>SUM(F54:G54)</f>
        <v>55736.08</v>
      </c>
      <c r="I54" s="20"/>
      <c r="J54" s="20"/>
    </row>
    <row r="55" spans="1:10" ht="15.75" thickBot="1" x14ac:dyDescent="0.3">
      <c r="A55" s="104"/>
      <c r="B55" s="105"/>
      <c r="C55" s="119"/>
      <c r="D55" s="119"/>
      <c r="E55" s="120"/>
      <c r="F55" s="121"/>
      <c r="G55" s="119"/>
      <c r="H55" s="120"/>
      <c r="I55" s="122"/>
      <c r="J55" s="122"/>
    </row>
    <row r="56" spans="1:10" x14ac:dyDescent="0.25">
      <c r="A56" s="68" t="s">
        <v>1</v>
      </c>
      <c r="B56" s="68" t="s">
        <v>2</v>
      </c>
      <c r="C56" s="68" t="s">
        <v>3</v>
      </c>
      <c r="D56" s="68" t="s">
        <v>3</v>
      </c>
      <c r="E56" s="123" t="s">
        <v>22</v>
      </c>
      <c r="F56" s="68" t="s">
        <v>23</v>
      </c>
      <c r="G56" s="48" t="s">
        <v>23</v>
      </c>
      <c r="H56" s="48" t="s">
        <v>22</v>
      </c>
      <c r="I56" s="68" t="s">
        <v>8</v>
      </c>
      <c r="J56" s="48" t="s">
        <v>7</v>
      </c>
    </row>
    <row r="57" spans="1:10" ht="15.75" thickBot="1" x14ac:dyDescent="0.3">
      <c r="A57" s="69"/>
      <c r="B57" s="69"/>
      <c r="C57" s="69" t="s">
        <v>5</v>
      </c>
      <c r="D57" s="69" t="s">
        <v>24</v>
      </c>
      <c r="E57" s="124" t="s">
        <v>3</v>
      </c>
      <c r="F57" s="69" t="s">
        <v>24</v>
      </c>
      <c r="G57" s="70" t="s">
        <v>5</v>
      </c>
      <c r="H57" s="70" t="s">
        <v>4</v>
      </c>
      <c r="I57" s="69"/>
      <c r="J57" s="70"/>
    </row>
    <row r="58" spans="1:10" ht="15.75" thickBot="1" x14ac:dyDescent="0.3">
      <c r="A58" s="5"/>
      <c r="B58" s="7"/>
      <c r="C58" s="62">
        <v>89555</v>
      </c>
      <c r="D58" s="61">
        <v>0</v>
      </c>
      <c r="E58" s="71">
        <f>SUM(C58:D58)</f>
        <v>89555</v>
      </c>
      <c r="F58" s="80">
        <v>0</v>
      </c>
      <c r="G58" s="62">
        <v>55736.08</v>
      </c>
      <c r="H58" s="71">
        <f>SUM(F58:G58)</f>
        <v>55736.08</v>
      </c>
      <c r="I58" s="20">
        <v>29759.19</v>
      </c>
      <c r="J58" s="12">
        <v>84910.79</v>
      </c>
    </row>
    <row r="59" spans="1:10" x14ac:dyDescent="0.25">
      <c r="A59" s="38">
        <v>43115</v>
      </c>
      <c r="B59" s="35" t="s">
        <v>99</v>
      </c>
      <c r="C59" s="11"/>
      <c r="D59" s="11"/>
      <c r="E59" s="11"/>
      <c r="F59" s="11"/>
      <c r="G59" s="11">
        <v>4000</v>
      </c>
      <c r="H59" s="15"/>
      <c r="I59" s="12">
        <f t="shared" ref="I59" si="5">+I58+D59-F59</f>
        <v>29759.19</v>
      </c>
      <c r="J59" s="12">
        <f t="shared" ref="J59" si="6">+J58+C59-G59</f>
        <v>80910.789999999994</v>
      </c>
    </row>
    <row r="60" spans="1:10" x14ac:dyDescent="0.25">
      <c r="A60" s="38">
        <v>43115</v>
      </c>
      <c r="B60" s="36" t="s">
        <v>100</v>
      </c>
      <c r="C60" s="11"/>
      <c r="D60" s="11"/>
      <c r="E60" s="11"/>
      <c r="F60" s="11"/>
      <c r="G60" s="11">
        <v>140</v>
      </c>
      <c r="H60" s="15"/>
      <c r="I60" s="12">
        <f t="shared" ref="I60:I104" si="7">+I59+D60-F60</f>
        <v>29759.19</v>
      </c>
      <c r="J60" s="12">
        <f t="shared" ref="J60:J108" si="8">+J59+C60-G60</f>
        <v>80770.789999999994</v>
      </c>
    </row>
    <row r="61" spans="1:10" x14ac:dyDescent="0.25">
      <c r="A61" s="38">
        <v>43115</v>
      </c>
      <c r="B61" s="36" t="s">
        <v>101</v>
      </c>
      <c r="C61" s="11"/>
      <c r="D61" s="11"/>
      <c r="E61" s="11"/>
      <c r="F61" s="11"/>
      <c r="G61" s="11">
        <v>116</v>
      </c>
      <c r="H61" s="15"/>
      <c r="I61" s="12">
        <f t="shared" si="7"/>
        <v>29759.19</v>
      </c>
      <c r="J61" s="12">
        <f t="shared" si="8"/>
        <v>80654.789999999994</v>
      </c>
    </row>
    <row r="62" spans="1:10" x14ac:dyDescent="0.25">
      <c r="A62" s="38">
        <v>43115</v>
      </c>
      <c r="B62" s="36" t="s">
        <v>102</v>
      </c>
      <c r="C62" s="11"/>
      <c r="D62" s="11"/>
      <c r="E62" s="11"/>
      <c r="F62" s="11"/>
      <c r="G62" s="11">
        <v>10</v>
      </c>
      <c r="H62" s="15"/>
      <c r="I62" s="12">
        <f t="shared" si="7"/>
        <v>29759.19</v>
      </c>
      <c r="J62" s="12">
        <f t="shared" si="8"/>
        <v>80644.789999999994</v>
      </c>
    </row>
    <row r="63" spans="1:10" x14ac:dyDescent="0.25">
      <c r="A63" s="38">
        <v>43115</v>
      </c>
      <c r="B63" s="36" t="s">
        <v>103</v>
      </c>
      <c r="C63" s="11"/>
      <c r="D63" s="11"/>
      <c r="E63" s="11"/>
      <c r="F63" s="11"/>
      <c r="G63" s="11">
        <v>200</v>
      </c>
      <c r="H63" s="15"/>
      <c r="I63" s="12">
        <f t="shared" si="7"/>
        <v>29759.19</v>
      </c>
      <c r="J63" s="12">
        <f t="shared" si="8"/>
        <v>80444.789999999994</v>
      </c>
    </row>
    <row r="64" spans="1:10" x14ac:dyDescent="0.25">
      <c r="A64" s="38">
        <v>43116</v>
      </c>
      <c r="B64" s="36" t="s">
        <v>104</v>
      </c>
      <c r="C64" s="11"/>
      <c r="D64" s="11"/>
      <c r="E64" s="11"/>
      <c r="F64" s="11"/>
      <c r="G64" s="11">
        <v>300</v>
      </c>
      <c r="H64" s="15"/>
      <c r="I64" s="12">
        <f t="shared" si="7"/>
        <v>29759.19</v>
      </c>
      <c r="J64" s="12">
        <f t="shared" si="8"/>
        <v>80144.789999999994</v>
      </c>
    </row>
    <row r="65" spans="1:10" x14ac:dyDescent="0.25">
      <c r="A65" s="38">
        <v>43116</v>
      </c>
      <c r="B65" s="36" t="s">
        <v>64</v>
      </c>
      <c r="C65" s="11"/>
      <c r="D65" s="11"/>
      <c r="E65" s="11"/>
      <c r="F65" s="11"/>
      <c r="G65" s="11">
        <v>340</v>
      </c>
      <c r="H65" s="15"/>
      <c r="I65" s="12">
        <f t="shared" si="7"/>
        <v>29759.19</v>
      </c>
      <c r="J65" s="12">
        <f t="shared" si="8"/>
        <v>79804.789999999994</v>
      </c>
    </row>
    <row r="66" spans="1:10" x14ac:dyDescent="0.25">
      <c r="A66" s="38">
        <v>43116</v>
      </c>
      <c r="B66" s="35" t="s">
        <v>105</v>
      </c>
      <c r="C66" s="11"/>
      <c r="D66" s="11"/>
      <c r="E66" s="11"/>
      <c r="F66" s="11"/>
      <c r="G66" s="11">
        <v>200</v>
      </c>
      <c r="H66" s="15"/>
      <c r="I66" s="12">
        <f t="shared" si="7"/>
        <v>29759.19</v>
      </c>
      <c r="J66" s="12">
        <f t="shared" si="8"/>
        <v>79604.789999999994</v>
      </c>
    </row>
    <row r="67" spans="1:10" x14ac:dyDescent="0.25">
      <c r="A67" s="38">
        <v>43117</v>
      </c>
      <c r="B67" s="35" t="s">
        <v>106</v>
      </c>
      <c r="C67" s="41"/>
      <c r="D67" s="11"/>
      <c r="E67" s="11"/>
      <c r="F67" s="11"/>
      <c r="G67" s="11">
        <v>469</v>
      </c>
      <c r="H67" s="15"/>
      <c r="I67" s="12">
        <f t="shared" si="7"/>
        <v>29759.19</v>
      </c>
      <c r="J67" s="12">
        <f t="shared" si="8"/>
        <v>79135.789999999994</v>
      </c>
    </row>
    <row r="68" spans="1:10" x14ac:dyDescent="0.25">
      <c r="A68" s="40">
        <v>43117</v>
      </c>
      <c r="B68" s="35" t="s">
        <v>107</v>
      </c>
      <c r="C68" s="41"/>
      <c r="D68" s="41"/>
      <c r="E68" s="41"/>
      <c r="F68" s="41"/>
      <c r="G68" s="11">
        <v>10</v>
      </c>
      <c r="H68" s="15"/>
      <c r="I68" s="12">
        <f t="shared" si="7"/>
        <v>29759.19</v>
      </c>
      <c r="J68" s="12">
        <f t="shared" si="8"/>
        <v>79125.789999999994</v>
      </c>
    </row>
    <row r="69" spans="1:10" x14ac:dyDescent="0.25">
      <c r="A69" s="18">
        <v>43117</v>
      </c>
      <c r="B69" s="34" t="s">
        <v>69</v>
      </c>
      <c r="C69" s="11"/>
      <c r="D69" s="11"/>
      <c r="E69" s="11"/>
      <c r="F69" s="11"/>
      <c r="G69" s="11">
        <v>63</v>
      </c>
      <c r="H69" s="15"/>
      <c r="I69" s="12">
        <f t="shared" si="7"/>
        <v>29759.19</v>
      </c>
      <c r="J69" s="12">
        <f t="shared" si="8"/>
        <v>79062.789999999994</v>
      </c>
    </row>
    <row r="70" spans="1:10" x14ac:dyDescent="0.25">
      <c r="A70" s="18">
        <v>43118</v>
      </c>
      <c r="B70" s="9" t="s">
        <v>108</v>
      </c>
      <c r="C70" s="11"/>
      <c r="D70" s="11"/>
      <c r="E70" s="11"/>
      <c r="F70" s="11"/>
      <c r="G70" s="11">
        <v>1500</v>
      </c>
      <c r="H70" s="15"/>
      <c r="I70" s="12">
        <f t="shared" si="7"/>
        <v>29759.19</v>
      </c>
      <c r="J70" s="12">
        <f t="shared" si="8"/>
        <v>77562.789999999994</v>
      </c>
    </row>
    <row r="71" spans="1:10" x14ac:dyDescent="0.25">
      <c r="A71" s="39">
        <v>43118</v>
      </c>
      <c r="B71" s="36" t="s">
        <v>109</v>
      </c>
      <c r="C71" s="41"/>
      <c r="D71" s="11"/>
      <c r="E71" s="11"/>
      <c r="F71" s="11"/>
      <c r="G71" s="11">
        <v>220</v>
      </c>
      <c r="H71" s="15"/>
      <c r="I71" s="12">
        <f t="shared" si="7"/>
        <v>29759.19</v>
      </c>
      <c r="J71" s="12">
        <f t="shared" si="8"/>
        <v>77342.789999999994</v>
      </c>
    </row>
    <row r="72" spans="1:10" x14ac:dyDescent="0.25">
      <c r="A72" s="40">
        <v>43118</v>
      </c>
      <c r="B72" s="36" t="s">
        <v>64</v>
      </c>
      <c r="C72" s="41"/>
      <c r="D72" s="11"/>
      <c r="E72" s="11"/>
      <c r="F72" s="11"/>
      <c r="G72" s="11">
        <v>350</v>
      </c>
      <c r="H72" s="15"/>
      <c r="I72" s="12">
        <f t="shared" si="7"/>
        <v>29759.19</v>
      </c>
      <c r="J72" s="12">
        <f t="shared" si="8"/>
        <v>76992.789999999994</v>
      </c>
    </row>
    <row r="73" spans="1:10" x14ac:dyDescent="0.25">
      <c r="A73" s="40">
        <v>43118</v>
      </c>
      <c r="B73" s="36" t="s">
        <v>63</v>
      </c>
      <c r="C73" s="41"/>
      <c r="D73" s="11"/>
      <c r="E73" s="11"/>
      <c r="F73" s="11"/>
      <c r="G73" s="11">
        <v>300</v>
      </c>
      <c r="H73" s="15"/>
      <c r="I73" s="12">
        <f t="shared" si="7"/>
        <v>29759.19</v>
      </c>
      <c r="J73" s="12">
        <f t="shared" si="8"/>
        <v>76692.789999999994</v>
      </c>
    </row>
    <row r="74" spans="1:10" x14ac:dyDescent="0.25">
      <c r="A74" s="40">
        <v>43118</v>
      </c>
      <c r="B74" s="36" t="s">
        <v>69</v>
      </c>
      <c r="C74" s="41"/>
      <c r="D74" s="11"/>
      <c r="E74" s="11"/>
      <c r="F74" s="11"/>
      <c r="G74" s="11">
        <v>28</v>
      </c>
      <c r="H74" s="15"/>
      <c r="I74" s="12">
        <f t="shared" si="7"/>
        <v>29759.19</v>
      </c>
      <c r="J74" s="12">
        <f t="shared" si="8"/>
        <v>76664.789999999994</v>
      </c>
    </row>
    <row r="75" spans="1:10" x14ac:dyDescent="0.25">
      <c r="A75" s="40">
        <v>43118</v>
      </c>
      <c r="B75" s="35" t="s">
        <v>110</v>
      </c>
      <c r="C75" s="41"/>
      <c r="D75" s="11"/>
      <c r="E75" s="11"/>
      <c r="F75" s="11"/>
      <c r="G75" s="11">
        <v>26</v>
      </c>
      <c r="H75" s="15"/>
      <c r="I75" s="12">
        <f t="shared" si="7"/>
        <v>29759.19</v>
      </c>
      <c r="J75" s="12">
        <f t="shared" si="8"/>
        <v>76638.789999999994</v>
      </c>
    </row>
    <row r="76" spans="1:10" x14ac:dyDescent="0.25">
      <c r="A76" s="43">
        <v>43391</v>
      </c>
      <c r="B76" s="102" t="s">
        <v>110</v>
      </c>
      <c r="C76" s="41"/>
      <c r="D76" s="11"/>
      <c r="E76" s="11"/>
      <c r="F76" s="11"/>
      <c r="G76" s="11">
        <v>17.899999999999999</v>
      </c>
      <c r="H76" s="15"/>
      <c r="I76" s="12">
        <f t="shared" si="7"/>
        <v>29759.19</v>
      </c>
      <c r="J76" s="12">
        <f t="shared" si="8"/>
        <v>76620.89</v>
      </c>
    </row>
    <row r="77" spans="1:10" x14ac:dyDescent="0.25">
      <c r="A77" s="43">
        <v>43119</v>
      </c>
      <c r="B77" s="13" t="s">
        <v>111</v>
      </c>
      <c r="C77" s="41"/>
      <c r="D77" s="11"/>
      <c r="E77" s="11"/>
      <c r="F77" s="11"/>
      <c r="G77" s="11">
        <v>386</v>
      </c>
      <c r="H77" s="15"/>
      <c r="I77" s="12">
        <f t="shared" si="7"/>
        <v>29759.19</v>
      </c>
      <c r="J77" s="12">
        <f t="shared" si="8"/>
        <v>76234.89</v>
      </c>
    </row>
    <row r="78" spans="1:10" x14ac:dyDescent="0.25">
      <c r="A78" s="43">
        <v>43119</v>
      </c>
      <c r="B78" s="13" t="s">
        <v>112</v>
      </c>
      <c r="C78" s="41"/>
      <c r="D78" s="11"/>
      <c r="E78" s="11"/>
      <c r="F78" s="11"/>
      <c r="G78" s="11">
        <v>70</v>
      </c>
      <c r="H78" s="15"/>
      <c r="I78" s="12">
        <f t="shared" si="7"/>
        <v>29759.19</v>
      </c>
      <c r="J78" s="12">
        <f t="shared" si="8"/>
        <v>76164.89</v>
      </c>
    </row>
    <row r="79" spans="1:10" x14ac:dyDescent="0.25">
      <c r="A79" s="44">
        <v>43119</v>
      </c>
      <c r="B79" s="9" t="s">
        <v>113</v>
      </c>
      <c r="C79" s="101"/>
      <c r="D79" s="11"/>
      <c r="E79" s="11"/>
      <c r="F79" s="11"/>
      <c r="G79" s="11">
        <v>116</v>
      </c>
      <c r="H79" s="15"/>
      <c r="I79" s="12">
        <f t="shared" si="7"/>
        <v>29759.19</v>
      </c>
      <c r="J79" s="12">
        <f t="shared" si="8"/>
        <v>76048.89</v>
      </c>
    </row>
    <row r="80" spans="1:10" x14ac:dyDescent="0.25">
      <c r="A80" s="44">
        <v>43119</v>
      </c>
      <c r="B80" s="13" t="s">
        <v>114</v>
      </c>
      <c r="C80" s="41"/>
      <c r="D80" s="11"/>
      <c r="E80" s="11"/>
      <c r="F80" s="11"/>
      <c r="G80" s="11">
        <v>717.5</v>
      </c>
      <c r="H80" s="15"/>
      <c r="I80" s="12">
        <f t="shared" si="7"/>
        <v>29759.19</v>
      </c>
      <c r="J80" s="12">
        <f t="shared" si="8"/>
        <v>75331.39</v>
      </c>
    </row>
    <row r="81" spans="1:10" x14ac:dyDescent="0.25">
      <c r="A81" s="44">
        <v>43119</v>
      </c>
      <c r="B81" s="13" t="s">
        <v>102</v>
      </c>
      <c r="C81" s="41"/>
      <c r="D81" s="11"/>
      <c r="E81" s="11"/>
      <c r="F81" s="11"/>
      <c r="G81" s="11">
        <v>5</v>
      </c>
      <c r="H81" s="15"/>
      <c r="I81" s="12">
        <f t="shared" si="7"/>
        <v>29759.19</v>
      </c>
      <c r="J81" s="12">
        <f t="shared" si="8"/>
        <v>75326.39</v>
      </c>
    </row>
    <row r="82" spans="1:10" x14ac:dyDescent="0.25">
      <c r="A82" s="44">
        <v>43119</v>
      </c>
      <c r="B82" s="13" t="s">
        <v>115</v>
      </c>
      <c r="C82" s="41"/>
      <c r="D82" s="11"/>
      <c r="E82" s="11"/>
      <c r="F82" s="11"/>
      <c r="G82" s="11">
        <v>187.7</v>
      </c>
      <c r="H82" s="15"/>
      <c r="I82" s="12">
        <f t="shared" si="7"/>
        <v>29759.19</v>
      </c>
      <c r="J82" s="12">
        <f t="shared" si="8"/>
        <v>75138.69</v>
      </c>
    </row>
    <row r="83" spans="1:10" x14ac:dyDescent="0.25">
      <c r="A83" s="44">
        <v>43119</v>
      </c>
      <c r="B83" s="13" t="s">
        <v>103</v>
      </c>
      <c r="C83" s="41"/>
      <c r="D83" s="11"/>
      <c r="E83" s="11"/>
      <c r="F83" s="11"/>
      <c r="G83" s="11">
        <v>342.6</v>
      </c>
      <c r="H83" s="15"/>
      <c r="I83" s="12">
        <f t="shared" si="7"/>
        <v>29759.19</v>
      </c>
      <c r="J83" s="12">
        <f t="shared" si="8"/>
        <v>74796.09</v>
      </c>
    </row>
    <row r="84" spans="1:10" x14ac:dyDescent="0.25">
      <c r="A84" s="44">
        <v>43119</v>
      </c>
      <c r="B84" s="13" t="s">
        <v>116</v>
      </c>
      <c r="C84" s="41"/>
      <c r="D84" s="41"/>
      <c r="E84" s="41"/>
      <c r="F84" s="16"/>
      <c r="G84" s="11">
        <v>50</v>
      </c>
      <c r="H84" s="15"/>
      <c r="I84" s="12">
        <f t="shared" si="7"/>
        <v>29759.19</v>
      </c>
      <c r="J84" s="12">
        <f t="shared" si="8"/>
        <v>74746.09</v>
      </c>
    </row>
    <row r="85" spans="1:10" x14ac:dyDescent="0.25">
      <c r="A85" s="44">
        <v>43119</v>
      </c>
      <c r="B85" s="13" t="s">
        <v>117</v>
      </c>
      <c r="C85" s="41"/>
      <c r="D85" s="41"/>
      <c r="E85" s="41"/>
      <c r="F85" s="16"/>
      <c r="G85" s="11">
        <v>1250</v>
      </c>
      <c r="H85" s="15"/>
      <c r="I85" s="12">
        <f t="shared" si="7"/>
        <v>29759.19</v>
      </c>
      <c r="J85" s="12">
        <f t="shared" si="8"/>
        <v>73496.09</v>
      </c>
    </row>
    <row r="86" spans="1:10" x14ac:dyDescent="0.25">
      <c r="A86" s="44">
        <v>43120</v>
      </c>
      <c r="B86" s="13" t="s">
        <v>64</v>
      </c>
      <c r="C86" s="41"/>
      <c r="D86" s="41"/>
      <c r="E86" s="41"/>
      <c r="F86" s="16"/>
      <c r="G86" s="11">
        <v>350</v>
      </c>
      <c r="H86" s="15"/>
      <c r="I86" s="12">
        <f t="shared" si="7"/>
        <v>29759.19</v>
      </c>
      <c r="J86" s="12">
        <f t="shared" si="8"/>
        <v>73146.09</v>
      </c>
    </row>
    <row r="87" spans="1:10" x14ac:dyDescent="0.25">
      <c r="A87" s="44">
        <v>43120</v>
      </c>
      <c r="B87" s="13" t="s">
        <v>118</v>
      </c>
      <c r="C87" s="41"/>
      <c r="D87" s="41"/>
      <c r="E87" s="41"/>
      <c r="F87" s="16"/>
      <c r="G87" s="11">
        <v>224.22</v>
      </c>
      <c r="H87" s="15"/>
      <c r="I87" s="12">
        <f t="shared" si="7"/>
        <v>29759.19</v>
      </c>
      <c r="J87" s="12">
        <f t="shared" si="8"/>
        <v>72921.87</v>
      </c>
    </row>
    <row r="88" spans="1:10" x14ac:dyDescent="0.25">
      <c r="A88" s="44">
        <v>43121</v>
      </c>
      <c r="B88" s="13" t="s">
        <v>74</v>
      </c>
      <c r="C88" s="41"/>
      <c r="D88" s="41"/>
      <c r="E88" s="41"/>
      <c r="F88" s="41"/>
      <c r="G88" s="11">
        <v>150</v>
      </c>
      <c r="H88" s="15"/>
      <c r="I88" s="12">
        <f t="shared" si="7"/>
        <v>29759.19</v>
      </c>
      <c r="J88" s="12">
        <f t="shared" si="8"/>
        <v>72771.87</v>
      </c>
    </row>
    <row r="89" spans="1:10" x14ac:dyDescent="0.25">
      <c r="A89" s="44">
        <v>43121</v>
      </c>
      <c r="B89" s="13" t="s">
        <v>119</v>
      </c>
      <c r="C89" s="41"/>
      <c r="D89" s="41"/>
      <c r="E89" s="41"/>
      <c r="F89" s="41"/>
      <c r="G89" s="11">
        <v>120</v>
      </c>
      <c r="H89" s="15"/>
      <c r="I89" s="12">
        <f t="shared" si="7"/>
        <v>29759.19</v>
      </c>
      <c r="J89" s="12">
        <f t="shared" si="8"/>
        <v>72651.87</v>
      </c>
    </row>
    <row r="90" spans="1:10" x14ac:dyDescent="0.25">
      <c r="A90" s="44">
        <v>43121</v>
      </c>
      <c r="B90" s="13" t="s">
        <v>120</v>
      </c>
      <c r="C90" s="41"/>
      <c r="D90" s="41"/>
      <c r="E90" s="41"/>
      <c r="F90" s="41"/>
      <c r="G90" s="11">
        <v>144.6</v>
      </c>
      <c r="H90" s="15"/>
      <c r="I90" s="12">
        <f t="shared" si="7"/>
        <v>29759.19</v>
      </c>
      <c r="J90" s="12">
        <f t="shared" si="8"/>
        <v>72507.26999999999</v>
      </c>
    </row>
    <row r="91" spans="1:10" x14ac:dyDescent="0.25">
      <c r="A91" s="44">
        <v>43121</v>
      </c>
      <c r="B91" s="13" t="s">
        <v>121</v>
      </c>
      <c r="C91" s="41"/>
      <c r="D91" s="11"/>
      <c r="E91" s="11"/>
      <c r="F91" s="11"/>
      <c r="G91" s="11">
        <v>13</v>
      </c>
      <c r="H91" s="15"/>
      <c r="I91" s="12">
        <f t="shared" si="7"/>
        <v>29759.19</v>
      </c>
      <c r="J91" s="12">
        <f t="shared" si="8"/>
        <v>72494.26999999999</v>
      </c>
    </row>
    <row r="92" spans="1:10" x14ac:dyDescent="0.25">
      <c r="A92" s="44">
        <v>43121</v>
      </c>
      <c r="B92" s="13" t="s">
        <v>122</v>
      </c>
      <c r="C92" s="41"/>
      <c r="D92" s="11"/>
      <c r="E92" s="11"/>
      <c r="F92" s="11"/>
      <c r="G92" s="11">
        <v>98</v>
      </c>
      <c r="H92" s="15"/>
      <c r="I92" s="12">
        <f t="shared" si="7"/>
        <v>29759.19</v>
      </c>
      <c r="J92" s="12">
        <f t="shared" si="8"/>
        <v>72396.26999999999</v>
      </c>
    </row>
    <row r="93" spans="1:10" x14ac:dyDescent="0.25">
      <c r="A93" s="44">
        <v>43121</v>
      </c>
      <c r="B93" s="13" t="s">
        <v>123</v>
      </c>
      <c r="C93" s="41">
        <v>35600</v>
      </c>
      <c r="D93" s="11"/>
      <c r="E93" s="11"/>
      <c r="F93" s="11"/>
      <c r="G93" s="11"/>
      <c r="H93" s="15"/>
      <c r="I93" s="12">
        <f t="shared" si="7"/>
        <v>29759.19</v>
      </c>
      <c r="J93" s="12">
        <f t="shared" si="8"/>
        <v>107996.26999999999</v>
      </c>
    </row>
    <row r="94" spans="1:10" x14ac:dyDescent="0.25">
      <c r="A94" s="44">
        <v>43121</v>
      </c>
      <c r="B94" s="13" t="s">
        <v>69</v>
      </c>
      <c r="C94" s="41"/>
      <c r="D94" s="11"/>
      <c r="E94" s="11"/>
      <c r="F94" s="11"/>
      <c r="G94" s="11">
        <v>28</v>
      </c>
      <c r="H94" s="15"/>
      <c r="I94" s="12">
        <f t="shared" si="7"/>
        <v>29759.19</v>
      </c>
      <c r="J94" s="12">
        <f t="shared" si="8"/>
        <v>107968.26999999999</v>
      </c>
    </row>
    <row r="95" spans="1:10" x14ac:dyDescent="0.25">
      <c r="A95" s="44">
        <v>43122</v>
      </c>
      <c r="B95" s="13" t="s">
        <v>100</v>
      </c>
      <c r="C95" s="41"/>
      <c r="D95" s="11"/>
      <c r="E95" s="11"/>
      <c r="F95" s="11"/>
      <c r="G95" s="11">
        <v>140</v>
      </c>
      <c r="H95" s="15"/>
      <c r="I95" s="12">
        <f t="shared" si="7"/>
        <v>29759.19</v>
      </c>
      <c r="J95" s="12">
        <f t="shared" si="8"/>
        <v>107828.26999999999</v>
      </c>
    </row>
    <row r="96" spans="1:10" x14ac:dyDescent="0.25">
      <c r="A96" s="44">
        <v>43122</v>
      </c>
      <c r="B96" s="13" t="s">
        <v>124</v>
      </c>
      <c r="C96" s="41"/>
      <c r="D96" s="11"/>
      <c r="E96" s="11"/>
      <c r="F96" s="11"/>
      <c r="G96" s="11">
        <v>156</v>
      </c>
      <c r="H96" s="15"/>
      <c r="I96" s="12">
        <f t="shared" si="7"/>
        <v>29759.19</v>
      </c>
      <c r="J96" s="12">
        <f t="shared" si="8"/>
        <v>107672.26999999999</v>
      </c>
    </row>
    <row r="97" spans="1:10" x14ac:dyDescent="0.25">
      <c r="A97" s="44">
        <v>43122</v>
      </c>
      <c r="B97" s="13" t="s">
        <v>125</v>
      </c>
      <c r="C97" s="41"/>
      <c r="D97" s="11"/>
      <c r="E97" s="11"/>
      <c r="F97" s="11"/>
      <c r="G97" s="11">
        <v>24.5</v>
      </c>
      <c r="H97" s="15"/>
      <c r="I97" s="12">
        <f t="shared" si="7"/>
        <v>29759.19</v>
      </c>
      <c r="J97" s="12">
        <f t="shared" si="8"/>
        <v>107647.76999999999</v>
      </c>
    </row>
    <row r="98" spans="1:10" x14ac:dyDescent="0.25">
      <c r="A98" s="44">
        <v>43122</v>
      </c>
      <c r="B98" s="13" t="s">
        <v>126</v>
      </c>
      <c r="C98" s="41"/>
      <c r="D98" s="11"/>
      <c r="E98" s="11"/>
      <c r="F98" s="11"/>
      <c r="G98" s="11">
        <v>44</v>
      </c>
      <c r="H98" s="15"/>
      <c r="I98" s="12">
        <f t="shared" si="7"/>
        <v>29759.19</v>
      </c>
      <c r="J98" s="12">
        <f t="shared" si="8"/>
        <v>107603.76999999999</v>
      </c>
    </row>
    <row r="99" spans="1:10" x14ac:dyDescent="0.25">
      <c r="A99" s="44">
        <v>43122</v>
      </c>
      <c r="B99" s="13" t="s">
        <v>127</v>
      </c>
      <c r="C99" s="41"/>
      <c r="D99" s="11"/>
      <c r="E99" s="11"/>
      <c r="F99" s="11"/>
      <c r="G99" s="11">
        <v>400</v>
      </c>
      <c r="H99" s="15"/>
      <c r="I99" s="12">
        <f t="shared" si="7"/>
        <v>29759.19</v>
      </c>
      <c r="J99" s="12">
        <f t="shared" si="8"/>
        <v>107203.76999999999</v>
      </c>
    </row>
    <row r="100" spans="1:10" x14ac:dyDescent="0.25">
      <c r="A100" s="27">
        <v>43124</v>
      </c>
      <c r="B100" s="13" t="s">
        <v>63</v>
      </c>
      <c r="C100" s="41"/>
      <c r="D100" s="11"/>
      <c r="E100" s="11"/>
      <c r="F100" s="11"/>
      <c r="G100" s="11">
        <v>300</v>
      </c>
      <c r="H100" s="15"/>
      <c r="I100" s="12">
        <f t="shared" si="7"/>
        <v>29759.19</v>
      </c>
      <c r="J100" s="12">
        <f t="shared" si="8"/>
        <v>106903.76999999999</v>
      </c>
    </row>
    <row r="101" spans="1:10" x14ac:dyDescent="0.25">
      <c r="A101" s="27">
        <v>43124</v>
      </c>
      <c r="B101" s="13" t="s">
        <v>64</v>
      </c>
      <c r="C101" s="41"/>
      <c r="D101" s="11"/>
      <c r="E101" s="11"/>
      <c r="F101" s="11"/>
      <c r="G101" s="11">
        <v>400</v>
      </c>
      <c r="H101" s="15"/>
      <c r="I101" s="12">
        <f t="shared" si="7"/>
        <v>29759.19</v>
      </c>
      <c r="J101" s="12">
        <f t="shared" si="8"/>
        <v>106503.76999999999</v>
      </c>
    </row>
    <row r="102" spans="1:10" x14ac:dyDescent="0.25">
      <c r="A102" s="27">
        <v>43124</v>
      </c>
      <c r="B102" s="13" t="s">
        <v>128</v>
      </c>
      <c r="C102" s="41"/>
      <c r="D102" s="11"/>
      <c r="E102" s="11"/>
      <c r="F102" s="11"/>
      <c r="G102" s="11">
        <v>400</v>
      </c>
      <c r="H102" s="15"/>
      <c r="I102" s="12">
        <f t="shared" si="7"/>
        <v>29759.19</v>
      </c>
      <c r="J102" s="12">
        <f t="shared" si="8"/>
        <v>106103.76999999999</v>
      </c>
    </row>
    <row r="103" spans="1:10" x14ac:dyDescent="0.25">
      <c r="A103" s="27">
        <v>43124</v>
      </c>
      <c r="B103" s="13" t="s">
        <v>129</v>
      </c>
      <c r="C103" s="41"/>
      <c r="D103" s="11"/>
      <c r="E103" s="11"/>
      <c r="F103" s="11"/>
      <c r="G103" s="11">
        <v>87.07</v>
      </c>
      <c r="H103" s="15"/>
      <c r="I103" s="12">
        <f t="shared" si="7"/>
        <v>29759.19</v>
      </c>
      <c r="J103" s="12">
        <f t="shared" si="8"/>
        <v>106016.69999999998</v>
      </c>
    </row>
    <row r="104" spans="1:10" x14ac:dyDescent="0.25">
      <c r="A104" s="27">
        <v>43125</v>
      </c>
      <c r="B104" s="13" t="s">
        <v>64</v>
      </c>
      <c r="C104" s="41"/>
      <c r="D104" s="11"/>
      <c r="E104" s="11"/>
      <c r="F104" s="11"/>
      <c r="G104" s="11">
        <v>350</v>
      </c>
      <c r="H104" s="15"/>
      <c r="I104" s="12">
        <f t="shared" si="7"/>
        <v>29759.19</v>
      </c>
      <c r="J104" s="12">
        <f t="shared" si="8"/>
        <v>105666.69999999998</v>
      </c>
    </row>
    <row r="105" spans="1:10" x14ac:dyDescent="0.25">
      <c r="A105" s="27">
        <v>43125</v>
      </c>
      <c r="B105" s="13" t="s">
        <v>105</v>
      </c>
      <c r="C105" s="41"/>
      <c r="D105" s="11"/>
      <c r="E105" s="11"/>
      <c r="F105" s="11"/>
      <c r="G105" s="11">
        <v>200</v>
      </c>
      <c r="H105" s="15"/>
      <c r="I105" s="12">
        <f>+I104+D105-F105</f>
        <v>29759.19</v>
      </c>
      <c r="J105" s="12">
        <f t="shared" si="8"/>
        <v>105466.69999999998</v>
      </c>
    </row>
    <row r="106" spans="1:10" x14ac:dyDescent="0.25">
      <c r="A106" s="27">
        <v>43125</v>
      </c>
      <c r="B106" s="13" t="s">
        <v>63</v>
      </c>
      <c r="C106" s="41"/>
      <c r="D106" s="11"/>
      <c r="E106" s="11"/>
      <c r="F106" s="11"/>
      <c r="G106" s="11">
        <v>300</v>
      </c>
      <c r="H106" s="15"/>
      <c r="I106" s="12">
        <f t="shared" ref="I106:I108" si="9">+I105+D106-F106</f>
        <v>29759.19</v>
      </c>
      <c r="J106" s="12">
        <f t="shared" si="8"/>
        <v>105166.69999999998</v>
      </c>
    </row>
    <row r="107" spans="1:10" x14ac:dyDescent="0.25">
      <c r="A107" s="27">
        <v>43125</v>
      </c>
      <c r="B107" s="9" t="s">
        <v>130</v>
      </c>
      <c r="C107" s="41"/>
      <c r="D107" s="11"/>
      <c r="E107" s="11"/>
      <c r="F107" s="11"/>
      <c r="G107" s="11">
        <v>20000</v>
      </c>
      <c r="H107" s="15"/>
      <c r="I107" s="12">
        <f t="shared" si="9"/>
        <v>29759.19</v>
      </c>
      <c r="J107" s="12">
        <f t="shared" si="8"/>
        <v>85166.699999999983</v>
      </c>
    </row>
    <row r="108" spans="1:10" ht="15.75" thickBot="1" x14ac:dyDescent="0.3">
      <c r="A108" s="27">
        <v>43126</v>
      </c>
      <c r="B108" s="13" t="s">
        <v>131</v>
      </c>
      <c r="C108" s="41"/>
      <c r="D108" s="11"/>
      <c r="E108" s="11"/>
      <c r="F108" s="11"/>
      <c r="G108" s="11">
        <v>415</v>
      </c>
      <c r="H108" s="15"/>
      <c r="I108" s="12">
        <f t="shared" si="9"/>
        <v>29759.19</v>
      </c>
      <c r="J108" s="12">
        <f t="shared" si="8"/>
        <v>84751.699999999983</v>
      </c>
    </row>
    <row r="109" spans="1:10" ht="15.75" thickBot="1" x14ac:dyDescent="0.3">
      <c r="A109" s="5"/>
      <c r="B109" s="7" t="s">
        <v>0</v>
      </c>
      <c r="C109" s="62">
        <f>SUM(C58:C104)</f>
        <v>125155</v>
      </c>
      <c r="D109" s="62">
        <f>SUM(D58:D104)</f>
        <v>0</v>
      </c>
      <c r="E109" s="71">
        <f>SUM(C109:D109)</f>
        <v>125155</v>
      </c>
      <c r="F109" s="80">
        <f>SUM(F58:F104)</f>
        <v>0</v>
      </c>
      <c r="G109" s="98">
        <f>SUM(G58:G108)</f>
        <v>91495.170000000013</v>
      </c>
      <c r="H109" s="71">
        <f>SUM(F109:G109)</f>
        <v>91495.170000000013</v>
      </c>
      <c r="I109" s="20">
        <v>0</v>
      </c>
      <c r="J109" s="20">
        <v>0</v>
      </c>
    </row>
    <row r="110" spans="1:10" ht="15.75" thickBot="1" x14ac:dyDescent="0.3">
      <c r="A110" s="104"/>
      <c r="B110" s="105"/>
      <c r="C110" s="119"/>
      <c r="D110" s="119"/>
      <c r="E110" s="120"/>
      <c r="F110" s="121"/>
      <c r="G110" s="125"/>
      <c r="H110" s="120"/>
      <c r="I110" s="122"/>
      <c r="J110" s="122"/>
    </row>
    <row r="111" spans="1:10" x14ac:dyDescent="0.25">
      <c r="A111" s="68" t="s">
        <v>1</v>
      </c>
      <c r="B111" s="68" t="s">
        <v>2</v>
      </c>
      <c r="C111" s="68" t="s">
        <v>3</v>
      </c>
      <c r="D111" s="68" t="s">
        <v>3</v>
      </c>
      <c r="E111" s="68" t="s">
        <v>22</v>
      </c>
      <c r="F111" s="68" t="s">
        <v>23</v>
      </c>
      <c r="G111" s="48" t="s">
        <v>23</v>
      </c>
      <c r="H111" s="48" t="s">
        <v>22</v>
      </c>
      <c r="I111" s="68" t="s">
        <v>8</v>
      </c>
      <c r="J111" s="48" t="s">
        <v>7</v>
      </c>
    </row>
    <row r="112" spans="1:10" ht="15.75" thickBot="1" x14ac:dyDescent="0.3">
      <c r="A112" s="69"/>
      <c r="B112" s="69"/>
      <c r="C112" s="69" t="s">
        <v>5</v>
      </c>
      <c r="D112" s="69" t="s">
        <v>24</v>
      </c>
      <c r="E112" s="69" t="s">
        <v>3</v>
      </c>
      <c r="F112" s="69" t="s">
        <v>24</v>
      </c>
      <c r="G112" s="70" t="s">
        <v>5</v>
      </c>
      <c r="H112" s="70" t="s">
        <v>4</v>
      </c>
      <c r="I112" s="69"/>
      <c r="J112" s="70"/>
    </row>
    <row r="113" spans="1:11" ht="15.75" thickBot="1" x14ac:dyDescent="0.3">
      <c r="A113" s="5"/>
      <c r="B113" s="7" t="s">
        <v>0</v>
      </c>
      <c r="C113" s="62">
        <v>125155</v>
      </c>
      <c r="D113" s="61">
        <v>0</v>
      </c>
      <c r="E113" s="71">
        <f>SUM(C113:D113)</f>
        <v>125155</v>
      </c>
      <c r="F113" s="80">
        <v>0</v>
      </c>
      <c r="G113" s="62">
        <v>91495.17</v>
      </c>
      <c r="H113" s="71">
        <f>SUM(F113:G113)</f>
        <v>91495.17</v>
      </c>
      <c r="I113" s="19">
        <v>29759.19</v>
      </c>
      <c r="J113" s="19">
        <v>84751.7</v>
      </c>
    </row>
    <row r="114" spans="1:11" x14ac:dyDescent="0.25">
      <c r="A114" s="27">
        <v>43126</v>
      </c>
      <c r="B114" s="13" t="s">
        <v>132</v>
      </c>
      <c r="C114" s="41"/>
      <c r="D114" s="11"/>
      <c r="E114" s="11"/>
      <c r="F114" s="11"/>
      <c r="G114" s="11">
        <v>1250</v>
      </c>
      <c r="H114" s="15"/>
      <c r="I114" s="12">
        <f>+I113+D114-F114</f>
        <v>29759.19</v>
      </c>
      <c r="J114" s="12">
        <f t="shared" ref="J114" si="10">+J113+C114-G114</f>
        <v>83501.7</v>
      </c>
    </row>
    <row r="115" spans="1:11" x14ac:dyDescent="0.25">
      <c r="A115" s="27">
        <v>43128</v>
      </c>
      <c r="B115" s="13" t="s">
        <v>133</v>
      </c>
      <c r="C115" s="41">
        <v>23000</v>
      </c>
      <c r="D115" s="11"/>
      <c r="E115" s="11"/>
      <c r="F115" s="11"/>
      <c r="G115" s="11"/>
      <c r="H115" s="15"/>
      <c r="I115" s="12">
        <f t="shared" ref="I115:I119" si="11">+I114+D115-F115</f>
        <v>29759.19</v>
      </c>
      <c r="J115" s="12">
        <f t="shared" ref="J115:J119" si="12">+J114+C115-G115</f>
        <v>106501.7</v>
      </c>
    </row>
    <row r="116" spans="1:11" x14ac:dyDescent="0.25">
      <c r="A116" s="27">
        <v>43128</v>
      </c>
      <c r="B116" s="13" t="s">
        <v>64</v>
      </c>
      <c r="C116" s="41"/>
      <c r="D116" s="11"/>
      <c r="E116" s="11"/>
      <c r="F116" s="11"/>
      <c r="G116" s="11">
        <v>340</v>
      </c>
      <c r="H116" s="15"/>
      <c r="I116" s="12">
        <f t="shared" si="11"/>
        <v>29759.19</v>
      </c>
      <c r="J116" s="12">
        <f t="shared" si="12"/>
        <v>106161.7</v>
      </c>
    </row>
    <row r="117" spans="1:11" x14ac:dyDescent="0.25">
      <c r="A117" s="27">
        <v>43128</v>
      </c>
      <c r="B117" s="13" t="s">
        <v>134</v>
      </c>
      <c r="C117" s="41"/>
      <c r="D117" s="11"/>
      <c r="E117" s="11"/>
      <c r="F117" s="11"/>
      <c r="G117" s="11">
        <v>300</v>
      </c>
      <c r="H117" s="15"/>
      <c r="I117" s="12">
        <f t="shared" si="11"/>
        <v>29759.19</v>
      </c>
      <c r="J117" s="12">
        <f t="shared" si="12"/>
        <v>105861.7</v>
      </c>
    </row>
    <row r="118" spans="1:11" x14ac:dyDescent="0.25">
      <c r="A118" s="27">
        <v>43128</v>
      </c>
      <c r="B118" s="13" t="s">
        <v>135</v>
      </c>
      <c r="C118" s="41"/>
      <c r="D118" s="11"/>
      <c r="E118" s="11"/>
      <c r="F118" s="11">
        <v>1760</v>
      </c>
      <c r="G118" s="11"/>
      <c r="H118" s="15"/>
      <c r="I118" s="12">
        <f t="shared" si="11"/>
        <v>27999.19</v>
      </c>
      <c r="J118" s="12">
        <f t="shared" si="12"/>
        <v>105861.7</v>
      </c>
    </row>
    <row r="119" spans="1:11" x14ac:dyDescent="0.25">
      <c r="A119" s="27">
        <v>43128</v>
      </c>
      <c r="B119" s="9" t="s">
        <v>136</v>
      </c>
      <c r="C119" s="41"/>
      <c r="D119" s="11"/>
      <c r="E119" s="11"/>
      <c r="F119" s="11">
        <v>1400</v>
      </c>
      <c r="G119" s="11"/>
      <c r="H119" s="15"/>
      <c r="I119" s="12">
        <f t="shared" si="11"/>
        <v>26599.19</v>
      </c>
      <c r="J119" s="12">
        <f t="shared" si="12"/>
        <v>105861.7</v>
      </c>
      <c r="K119" s="1">
        <f>SUM(I119:J119)</f>
        <v>132460.88999999998</v>
      </c>
    </row>
    <row r="120" spans="1:11" x14ac:dyDescent="0.25">
      <c r="A120" s="27">
        <v>43128</v>
      </c>
      <c r="B120" s="9" t="s">
        <v>150</v>
      </c>
      <c r="C120" s="41"/>
      <c r="D120" s="11"/>
      <c r="E120" s="11"/>
      <c r="F120" s="11"/>
      <c r="G120" s="113">
        <v>101</v>
      </c>
      <c r="H120" s="15"/>
      <c r="I120" s="12">
        <f t="shared" ref="I120:I141" si="13">+I119+D120-F120</f>
        <v>26599.19</v>
      </c>
      <c r="J120" s="12">
        <f t="shared" ref="J120:J141" si="14">+J119+C120-G120</f>
        <v>105760.7</v>
      </c>
      <c r="K120" s="1"/>
    </row>
    <row r="121" spans="1:11" x14ac:dyDescent="0.25">
      <c r="A121" s="27">
        <v>43128</v>
      </c>
      <c r="B121" s="9" t="s">
        <v>151</v>
      </c>
      <c r="C121" s="41"/>
      <c r="D121" s="11"/>
      <c r="E121" s="11"/>
      <c r="F121" s="11"/>
      <c r="G121" s="113">
        <v>60</v>
      </c>
      <c r="H121" s="15"/>
      <c r="I121" s="12">
        <f t="shared" si="13"/>
        <v>26599.19</v>
      </c>
      <c r="J121" s="12">
        <f t="shared" si="14"/>
        <v>105700.7</v>
      </c>
      <c r="K121" s="1"/>
    </row>
    <row r="122" spans="1:11" x14ac:dyDescent="0.25">
      <c r="A122" s="27">
        <v>43128</v>
      </c>
      <c r="B122" s="9" t="s">
        <v>152</v>
      </c>
      <c r="C122" s="41"/>
      <c r="D122" s="11"/>
      <c r="E122" s="11"/>
      <c r="F122" s="11"/>
      <c r="G122" s="113">
        <v>120</v>
      </c>
      <c r="H122" s="15"/>
      <c r="I122" s="12">
        <f t="shared" si="13"/>
        <v>26599.19</v>
      </c>
      <c r="J122" s="12">
        <f t="shared" si="14"/>
        <v>105580.7</v>
      </c>
      <c r="K122" s="1"/>
    </row>
    <row r="123" spans="1:11" x14ac:dyDescent="0.25">
      <c r="A123" s="27">
        <v>43128</v>
      </c>
      <c r="B123" s="9" t="s">
        <v>74</v>
      </c>
      <c r="C123" s="41"/>
      <c r="D123" s="11"/>
      <c r="E123" s="11"/>
      <c r="F123" s="11"/>
      <c r="G123" s="113">
        <v>150</v>
      </c>
      <c r="H123" s="15"/>
      <c r="I123" s="12">
        <f t="shared" si="13"/>
        <v>26599.19</v>
      </c>
      <c r="J123" s="12">
        <f t="shared" si="14"/>
        <v>105430.7</v>
      </c>
      <c r="K123" s="1"/>
    </row>
    <row r="124" spans="1:11" x14ac:dyDescent="0.25">
      <c r="A124" s="18">
        <v>43129</v>
      </c>
      <c r="B124" s="13" t="s">
        <v>100</v>
      </c>
      <c r="C124" s="41"/>
      <c r="D124" s="11"/>
      <c r="E124" s="11"/>
      <c r="F124" s="11"/>
      <c r="G124" s="11">
        <v>170</v>
      </c>
      <c r="H124" s="15"/>
      <c r="I124" s="12">
        <f t="shared" si="13"/>
        <v>26599.19</v>
      </c>
      <c r="J124" s="12">
        <f t="shared" si="14"/>
        <v>105260.7</v>
      </c>
    </row>
    <row r="125" spans="1:11" x14ac:dyDescent="0.25">
      <c r="A125" s="18">
        <v>43129</v>
      </c>
      <c r="B125" s="13" t="s">
        <v>64</v>
      </c>
      <c r="C125" s="41"/>
      <c r="D125" s="11"/>
      <c r="E125" s="11"/>
      <c r="F125" s="11"/>
      <c r="G125" s="11">
        <v>350</v>
      </c>
      <c r="H125" s="15"/>
      <c r="I125" s="12">
        <f t="shared" si="13"/>
        <v>26599.19</v>
      </c>
      <c r="J125" s="12">
        <f t="shared" si="14"/>
        <v>104910.7</v>
      </c>
    </row>
    <row r="126" spans="1:11" x14ac:dyDescent="0.25">
      <c r="A126" s="18">
        <v>43130</v>
      </c>
      <c r="B126" s="13" t="s">
        <v>128</v>
      </c>
      <c r="C126" s="41"/>
      <c r="D126" s="11"/>
      <c r="E126" s="11"/>
      <c r="F126" s="11"/>
      <c r="G126" s="11">
        <v>400</v>
      </c>
      <c r="H126" s="15"/>
      <c r="I126" s="12">
        <f t="shared" si="13"/>
        <v>26599.19</v>
      </c>
      <c r="J126" s="12">
        <f t="shared" si="14"/>
        <v>104510.7</v>
      </c>
    </row>
    <row r="127" spans="1:11" x14ac:dyDescent="0.25">
      <c r="A127" s="18">
        <v>43130</v>
      </c>
      <c r="B127" s="13" t="s">
        <v>137</v>
      </c>
      <c r="C127" s="41"/>
      <c r="D127" s="11"/>
      <c r="E127" s="11"/>
      <c r="F127" s="11"/>
      <c r="G127" s="11">
        <v>300</v>
      </c>
      <c r="H127" s="15"/>
      <c r="I127" s="12">
        <f t="shared" si="13"/>
        <v>26599.19</v>
      </c>
      <c r="J127" s="12">
        <f t="shared" si="14"/>
        <v>104210.7</v>
      </c>
    </row>
    <row r="128" spans="1:11" x14ac:dyDescent="0.25">
      <c r="A128" s="18">
        <v>43130</v>
      </c>
      <c r="B128" s="13" t="s">
        <v>138</v>
      </c>
      <c r="C128" s="41"/>
      <c r="D128" s="11"/>
      <c r="E128" s="11"/>
      <c r="F128" s="11"/>
      <c r="G128" s="11">
        <v>10100</v>
      </c>
      <c r="H128" s="15"/>
      <c r="I128" s="12">
        <f t="shared" si="13"/>
        <v>26599.19</v>
      </c>
      <c r="J128" s="12">
        <f t="shared" si="14"/>
        <v>94110.7</v>
      </c>
    </row>
    <row r="129" spans="1:10" x14ac:dyDescent="0.25">
      <c r="A129" s="18">
        <v>43130</v>
      </c>
      <c r="B129" s="13" t="s">
        <v>139</v>
      </c>
      <c r="C129" s="41"/>
      <c r="D129" s="11"/>
      <c r="E129" s="11"/>
      <c r="F129" s="11"/>
      <c r="G129" s="11">
        <v>6000</v>
      </c>
      <c r="H129" s="15"/>
      <c r="I129" s="12">
        <f t="shared" si="13"/>
        <v>26599.19</v>
      </c>
      <c r="J129" s="12">
        <f t="shared" si="14"/>
        <v>88110.7</v>
      </c>
    </row>
    <row r="130" spans="1:10" x14ac:dyDescent="0.25">
      <c r="A130" s="18">
        <v>43131</v>
      </c>
      <c r="B130" s="36" t="s">
        <v>140</v>
      </c>
      <c r="C130" s="41"/>
      <c r="D130" s="11"/>
      <c r="E130" s="11"/>
      <c r="F130" s="11"/>
      <c r="G130" s="11">
        <v>300</v>
      </c>
      <c r="H130" s="15"/>
      <c r="I130" s="12">
        <f t="shared" si="13"/>
        <v>26599.19</v>
      </c>
      <c r="J130" s="12">
        <f t="shared" si="14"/>
        <v>87810.7</v>
      </c>
    </row>
    <row r="131" spans="1:10" x14ac:dyDescent="0.25">
      <c r="A131" s="18">
        <v>43131</v>
      </c>
      <c r="B131" s="13" t="s">
        <v>141</v>
      </c>
      <c r="C131" s="41"/>
      <c r="D131" s="11"/>
      <c r="E131" s="11"/>
      <c r="F131" s="11"/>
      <c r="G131" s="11">
        <v>550</v>
      </c>
      <c r="H131" s="15"/>
      <c r="I131" s="12">
        <f t="shared" si="13"/>
        <v>26599.19</v>
      </c>
      <c r="J131" s="12">
        <f t="shared" si="14"/>
        <v>87260.7</v>
      </c>
    </row>
    <row r="132" spans="1:10" x14ac:dyDescent="0.25">
      <c r="A132" s="18">
        <v>43131</v>
      </c>
      <c r="B132" s="13" t="s">
        <v>142</v>
      </c>
      <c r="C132" s="41"/>
      <c r="D132" s="41"/>
      <c r="E132" s="41"/>
      <c r="F132" s="41"/>
      <c r="G132" s="11">
        <v>4000</v>
      </c>
      <c r="H132" s="15"/>
      <c r="I132" s="12">
        <f t="shared" si="13"/>
        <v>26599.19</v>
      </c>
      <c r="J132" s="12">
        <f t="shared" si="14"/>
        <v>83260.7</v>
      </c>
    </row>
    <row r="133" spans="1:10" x14ac:dyDescent="0.25">
      <c r="A133" s="18">
        <v>43131</v>
      </c>
      <c r="B133" s="13" t="s">
        <v>98</v>
      </c>
      <c r="C133" s="41"/>
      <c r="D133" s="41"/>
      <c r="E133" s="41"/>
      <c r="F133" s="16"/>
      <c r="G133" s="11">
        <v>1500</v>
      </c>
      <c r="H133" s="15"/>
      <c r="I133" s="12">
        <f t="shared" si="13"/>
        <v>26599.19</v>
      </c>
      <c r="J133" s="12">
        <f t="shared" si="14"/>
        <v>81760.7</v>
      </c>
    </row>
    <row r="134" spans="1:10" x14ac:dyDescent="0.25">
      <c r="A134" s="18">
        <v>43131</v>
      </c>
      <c r="B134" s="13" t="s">
        <v>143</v>
      </c>
      <c r="C134" s="41"/>
      <c r="D134" s="41"/>
      <c r="E134" s="41"/>
      <c r="F134" s="16"/>
      <c r="G134" s="11">
        <v>279</v>
      </c>
      <c r="H134" s="15"/>
      <c r="I134" s="12">
        <f t="shared" si="13"/>
        <v>26599.19</v>
      </c>
      <c r="J134" s="12">
        <f t="shared" si="14"/>
        <v>81481.7</v>
      </c>
    </row>
    <row r="135" spans="1:10" x14ac:dyDescent="0.25">
      <c r="A135" s="18">
        <v>43131</v>
      </c>
      <c r="B135" s="13" t="s">
        <v>144</v>
      </c>
      <c r="C135" s="41"/>
      <c r="D135" s="41"/>
      <c r="E135" s="41"/>
      <c r="F135" s="16"/>
      <c r="G135" s="11">
        <v>5</v>
      </c>
      <c r="H135" s="15"/>
      <c r="I135" s="12">
        <f t="shared" si="13"/>
        <v>26599.19</v>
      </c>
      <c r="J135" s="12">
        <f t="shared" si="14"/>
        <v>81476.7</v>
      </c>
    </row>
    <row r="136" spans="1:10" x14ac:dyDescent="0.25">
      <c r="A136" s="18">
        <v>43131</v>
      </c>
      <c r="B136" s="13" t="s">
        <v>145</v>
      </c>
      <c r="C136" s="41">
        <v>6700</v>
      </c>
      <c r="D136" s="41"/>
      <c r="E136" s="41"/>
      <c r="F136" s="16"/>
      <c r="G136" s="11"/>
      <c r="H136" s="15"/>
      <c r="I136" s="12">
        <f t="shared" si="13"/>
        <v>26599.19</v>
      </c>
      <c r="J136" s="12">
        <f t="shared" si="14"/>
        <v>88176.7</v>
      </c>
    </row>
    <row r="137" spans="1:10" x14ac:dyDescent="0.25">
      <c r="A137" s="18">
        <v>43103</v>
      </c>
      <c r="B137" s="34" t="s">
        <v>146</v>
      </c>
      <c r="C137" s="11"/>
      <c r="D137" s="116">
        <v>300.45999999999998</v>
      </c>
      <c r="E137" s="41"/>
      <c r="F137" s="16"/>
      <c r="G137" s="11"/>
      <c r="H137" s="15"/>
      <c r="I137" s="12">
        <f t="shared" si="13"/>
        <v>26899.649999999998</v>
      </c>
      <c r="J137" s="12">
        <f t="shared" si="14"/>
        <v>88176.7</v>
      </c>
    </row>
    <row r="138" spans="1:10" x14ac:dyDescent="0.25">
      <c r="A138" s="18">
        <v>43129</v>
      </c>
      <c r="B138" s="13" t="s">
        <v>147</v>
      </c>
      <c r="C138" s="41"/>
      <c r="D138" s="41">
        <v>12760</v>
      </c>
      <c r="E138" s="41"/>
      <c r="F138" s="16"/>
      <c r="G138" s="11"/>
      <c r="H138" s="15"/>
      <c r="I138" s="12">
        <f t="shared" si="13"/>
        <v>39659.649999999994</v>
      </c>
      <c r="J138" s="12">
        <f t="shared" si="14"/>
        <v>88176.7</v>
      </c>
    </row>
    <row r="139" spans="1:10" x14ac:dyDescent="0.25">
      <c r="A139" s="18">
        <v>43131</v>
      </c>
      <c r="B139" s="13" t="s">
        <v>148</v>
      </c>
      <c r="C139" s="11"/>
      <c r="D139" s="116"/>
      <c r="E139" s="11"/>
      <c r="F139" s="11">
        <v>18</v>
      </c>
      <c r="G139" s="11"/>
      <c r="H139" s="15"/>
      <c r="I139" s="12">
        <f t="shared" si="13"/>
        <v>39641.649999999994</v>
      </c>
      <c r="J139" s="12">
        <f t="shared" si="14"/>
        <v>88176.7</v>
      </c>
    </row>
    <row r="140" spans="1:10" x14ac:dyDescent="0.25">
      <c r="A140" s="18">
        <v>43131</v>
      </c>
      <c r="B140" s="9" t="s">
        <v>149</v>
      </c>
      <c r="C140" s="11"/>
      <c r="D140" s="116"/>
      <c r="E140" s="11"/>
      <c r="F140" s="11">
        <v>2.88</v>
      </c>
      <c r="G140" s="11"/>
      <c r="H140" s="15"/>
      <c r="I140" s="12">
        <f t="shared" si="13"/>
        <v>39638.769999999997</v>
      </c>
      <c r="J140" s="12">
        <f t="shared" si="14"/>
        <v>88176.7</v>
      </c>
    </row>
    <row r="141" spans="1:10" ht="15.75" thickBot="1" x14ac:dyDescent="0.3">
      <c r="A141" s="18"/>
      <c r="B141" s="13"/>
      <c r="C141" s="41"/>
      <c r="D141" s="41"/>
      <c r="E141" s="41"/>
      <c r="F141" s="16"/>
      <c r="G141" s="11"/>
      <c r="H141" s="15"/>
      <c r="I141" s="12">
        <f t="shared" si="13"/>
        <v>39638.769999999997</v>
      </c>
      <c r="J141" s="12">
        <f t="shared" si="14"/>
        <v>88176.7</v>
      </c>
    </row>
    <row r="142" spans="1:10" ht="15.75" thickBot="1" x14ac:dyDescent="0.3">
      <c r="A142" s="5"/>
      <c r="B142" s="7" t="s">
        <v>0</v>
      </c>
      <c r="C142" s="62">
        <f>SUM(C113:C141)</f>
        <v>154855</v>
      </c>
      <c r="D142" s="61">
        <f>SUM(D113:D141)</f>
        <v>13060.46</v>
      </c>
      <c r="E142" s="71">
        <f>SUM(C142:D142)</f>
        <v>167915.46</v>
      </c>
      <c r="F142" s="80">
        <f>SUM(F113:F141)</f>
        <v>3180.88</v>
      </c>
      <c r="G142" s="62">
        <f>SUM(G113:G141)</f>
        <v>117770.17</v>
      </c>
      <c r="H142" s="71">
        <f>SUM(F142:G142)</f>
        <v>120951.05</v>
      </c>
      <c r="I142" s="19"/>
      <c r="J142" s="19"/>
    </row>
    <row r="143" spans="1:10" ht="15.75" thickBot="1" x14ac:dyDescent="0.3"/>
    <row r="144" spans="1:10" ht="15.75" thickBot="1" x14ac:dyDescent="0.3">
      <c r="H144" s="74" t="s">
        <v>8</v>
      </c>
      <c r="I144" s="74" t="s">
        <v>7</v>
      </c>
      <c r="J144" s="95" t="s">
        <v>0</v>
      </c>
    </row>
    <row r="145" spans="8:10" ht="15.75" thickBot="1" x14ac:dyDescent="0.3">
      <c r="H145" s="77">
        <v>39638.769999999997</v>
      </c>
      <c r="I145" s="77">
        <v>88176.7</v>
      </c>
      <c r="J145" s="20">
        <f>SUM(H145:I145)</f>
        <v>127815.47</v>
      </c>
    </row>
  </sheetData>
  <printOptions verticalCentered="1"/>
  <pageMargins left="0.31496062992125984" right="0.70866141732283472" top="0" bottom="0.35433070866141736" header="0.31496062992125984" footer="0.31496062992125984"/>
  <pageSetup paperSize="9" scale="69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13"/>
  <sheetViews>
    <sheetView topLeftCell="B1" zoomScale="90" zoomScaleNormal="90" workbookViewId="0">
      <pane ySplit="3" topLeftCell="A102" activePane="bottomLeft" state="frozen"/>
      <selection pane="bottomLeft" activeCell="B106" sqref="B106:G107"/>
    </sheetView>
  </sheetViews>
  <sheetFormatPr baseColWidth="10" defaultRowHeight="15" x14ac:dyDescent="0.25"/>
  <cols>
    <col min="1" max="1" width="10.7109375" customWidth="1"/>
    <col min="2" max="2" width="11.7109375" customWidth="1"/>
    <col min="3" max="3" width="84.5703125" customWidth="1"/>
    <col min="4" max="11" width="11.7109375" customWidth="1"/>
  </cols>
  <sheetData>
    <row r="1" spans="2:11" ht="15.75" thickBot="1" x14ac:dyDescent="0.3">
      <c r="B1" s="79"/>
      <c r="C1" s="99" t="s">
        <v>40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69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43131</v>
      </c>
      <c r="C4" s="65" t="s">
        <v>41</v>
      </c>
      <c r="D4" s="66"/>
      <c r="E4" s="63"/>
      <c r="F4" s="63"/>
      <c r="G4" s="63"/>
      <c r="H4" s="17"/>
      <c r="I4" s="64"/>
      <c r="J4" s="12">
        <v>39638.769999999997</v>
      </c>
      <c r="K4" s="12">
        <v>88176.7</v>
      </c>
    </row>
    <row r="5" spans="2:11" x14ac:dyDescent="0.25">
      <c r="B5" s="23">
        <v>43132</v>
      </c>
      <c r="C5" s="100" t="s">
        <v>153</v>
      </c>
      <c r="D5" s="66"/>
      <c r="E5" s="63"/>
      <c r="F5" s="63"/>
      <c r="G5" s="63"/>
      <c r="H5" s="17">
        <v>83.8</v>
      </c>
      <c r="I5" s="64"/>
      <c r="J5" s="12">
        <f>+J4+E5-G5</f>
        <v>39638.769999999997</v>
      </c>
      <c r="K5" s="12">
        <f>+K4+D5-H5</f>
        <v>88092.9</v>
      </c>
    </row>
    <row r="6" spans="2:11" x14ac:dyDescent="0.25">
      <c r="B6" s="23">
        <v>43132</v>
      </c>
      <c r="C6" s="9" t="s">
        <v>154</v>
      </c>
      <c r="D6" s="41"/>
      <c r="E6" s="11"/>
      <c r="F6" s="11"/>
      <c r="G6" s="11"/>
      <c r="H6" s="11">
        <v>400</v>
      </c>
      <c r="I6" s="15"/>
      <c r="J6" s="12">
        <f t="shared" ref="J6:J9" si="0">+J5+E6-G6</f>
        <v>39638.769999999997</v>
      </c>
      <c r="K6" s="12">
        <f t="shared" ref="K6:K9" si="1">+K5+D6-H6</f>
        <v>87692.9</v>
      </c>
    </row>
    <row r="7" spans="2:11" x14ac:dyDescent="0.25">
      <c r="B7" s="18">
        <v>43132</v>
      </c>
      <c r="C7" s="13" t="s">
        <v>155</v>
      </c>
      <c r="D7" s="41"/>
      <c r="E7" s="11"/>
      <c r="F7" s="11"/>
      <c r="G7" s="11"/>
      <c r="H7" s="11">
        <v>300</v>
      </c>
      <c r="I7" s="15"/>
      <c r="J7" s="12">
        <f t="shared" si="0"/>
        <v>39638.769999999997</v>
      </c>
      <c r="K7" s="12">
        <f t="shared" si="1"/>
        <v>87392.9</v>
      </c>
    </row>
    <row r="8" spans="2:11" x14ac:dyDescent="0.25">
      <c r="B8" s="18">
        <v>43133</v>
      </c>
      <c r="C8" s="14" t="s">
        <v>156</v>
      </c>
      <c r="D8" s="41"/>
      <c r="E8" s="11"/>
      <c r="F8" s="11"/>
      <c r="G8" s="11"/>
      <c r="H8" s="11">
        <v>350</v>
      </c>
      <c r="I8" s="15"/>
      <c r="J8" s="12">
        <f t="shared" si="0"/>
        <v>39638.769999999997</v>
      </c>
      <c r="K8" s="12">
        <f t="shared" si="1"/>
        <v>87042.9</v>
      </c>
    </row>
    <row r="9" spans="2:11" x14ac:dyDescent="0.25">
      <c r="B9" s="18">
        <v>43133</v>
      </c>
      <c r="C9" s="13" t="s">
        <v>157</v>
      </c>
      <c r="D9" s="41"/>
      <c r="E9" s="11"/>
      <c r="F9" s="11"/>
      <c r="G9" s="11"/>
      <c r="H9" s="11">
        <v>400</v>
      </c>
      <c r="I9" s="15"/>
      <c r="J9" s="12">
        <f t="shared" si="0"/>
        <v>39638.769999999997</v>
      </c>
      <c r="K9" s="12">
        <f t="shared" si="1"/>
        <v>86642.9</v>
      </c>
    </row>
    <row r="10" spans="2:11" x14ac:dyDescent="0.25">
      <c r="B10" s="18">
        <v>43133</v>
      </c>
      <c r="C10" s="13" t="s">
        <v>226</v>
      </c>
      <c r="D10" s="41"/>
      <c r="E10" s="11"/>
      <c r="F10" s="11"/>
      <c r="G10" s="11"/>
      <c r="H10" s="11">
        <v>1250</v>
      </c>
      <c r="I10" s="15"/>
      <c r="J10" s="12">
        <f t="shared" ref="J10" si="2">+J9+E10-G10</f>
        <v>39638.769999999997</v>
      </c>
      <c r="K10" s="12">
        <f t="shared" ref="K10" si="3">+K9+D10-H10</f>
        <v>85392.9</v>
      </c>
    </row>
    <row r="11" spans="2:11" x14ac:dyDescent="0.25">
      <c r="B11" s="18">
        <v>43134</v>
      </c>
      <c r="C11" s="14" t="s">
        <v>158</v>
      </c>
      <c r="D11" s="41"/>
      <c r="E11" s="11"/>
      <c r="F11" s="11"/>
      <c r="G11" s="11"/>
      <c r="H11" s="11">
        <v>200</v>
      </c>
      <c r="I11" s="15"/>
      <c r="J11" s="12">
        <f t="shared" ref="J11:J54" si="4">+J10+E11-G11</f>
        <v>39638.769999999997</v>
      </c>
      <c r="K11" s="12">
        <f t="shared" ref="K11:K54" si="5">+K10+D11-H11</f>
        <v>85192.9</v>
      </c>
    </row>
    <row r="12" spans="2:11" x14ac:dyDescent="0.25">
      <c r="B12" s="18">
        <v>43134</v>
      </c>
      <c r="C12" s="21" t="s">
        <v>159</v>
      </c>
      <c r="D12" s="41"/>
      <c r="E12" s="11"/>
      <c r="F12" s="11"/>
      <c r="G12" s="11"/>
      <c r="H12" s="11">
        <v>60</v>
      </c>
      <c r="I12" s="15"/>
      <c r="J12" s="12">
        <f t="shared" si="4"/>
        <v>39638.769999999997</v>
      </c>
      <c r="K12" s="12">
        <f t="shared" si="5"/>
        <v>85132.9</v>
      </c>
    </row>
    <row r="13" spans="2:11" x14ac:dyDescent="0.25">
      <c r="B13" s="18">
        <v>43135</v>
      </c>
      <c r="C13" s="13" t="s">
        <v>74</v>
      </c>
      <c r="D13" s="41"/>
      <c r="E13" s="11"/>
      <c r="F13" s="11"/>
      <c r="G13" s="11"/>
      <c r="H13" s="11">
        <v>150</v>
      </c>
      <c r="I13" s="15"/>
      <c r="J13" s="12">
        <f t="shared" si="4"/>
        <v>39638.769999999997</v>
      </c>
      <c r="K13" s="12">
        <f t="shared" si="5"/>
        <v>84982.9</v>
      </c>
    </row>
    <row r="14" spans="2:11" x14ac:dyDescent="0.25">
      <c r="B14" s="18">
        <v>43135</v>
      </c>
      <c r="C14" s="13" t="s">
        <v>119</v>
      </c>
      <c r="D14" s="41"/>
      <c r="E14" s="11"/>
      <c r="F14" s="11"/>
      <c r="G14" s="11"/>
      <c r="H14" s="11">
        <v>120</v>
      </c>
      <c r="I14" s="15"/>
      <c r="J14" s="12">
        <f t="shared" si="4"/>
        <v>39638.769999999997</v>
      </c>
      <c r="K14" s="12">
        <f t="shared" si="5"/>
        <v>84862.9</v>
      </c>
    </row>
    <row r="15" spans="2:11" x14ac:dyDescent="0.25">
      <c r="B15" s="18">
        <v>43135</v>
      </c>
      <c r="C15" s="13" t="s">
        <v>160</v>
      </c>
      <c r="D15" s="41"/>
      <c r="E15" s="11"/>
      <c r="F15" s="11"/>
      <c r="G15" s="11"/>
      <c r="H15" s="11">
        <v>117.9</v>
      </c>
      <c r="I15" s="15"/>
      <c r="J15" s="12">
        <f t="shared" si="4"/>
        <v>39638.769999999997</v>
      </c>
      <c r="K15" s="12">
        <f t="shared" si="5"/>
        <v>84745</v>
      </c>
    </row>
    <row r="16" spans="2:11" x14ac:dyDescent="0.25">
      <c r="B16" s="18">
        <v>43135</v>
      </c>
      <c r="C16" s="14" t="s">
        <v>161</v>
      </c>
      <c r="D16" s="41">
        <v>19975</v>
      </c>
      <c r="E16" s="11"/>
      <c r="F16" s="11"/>
      <c r="G16" s="11"/>
      <c r="H16" s="11"/>
      <c r="I16" s="15"/>
      <c r="J16" s="12">
        <f t="shared" si="4"/>
        <v>39638.769999999997</v>
      </c>
      <c r="K16" s="12">
        <f t="shared" si="5"/>
        <v>104720</v>
      </c>
    </row>
    <row r="17" spans="2:11" x14ac:dyDescent="0.25">
      <c r="B17" s="18">
        <v>43136</v>
      </c>
      <c r="C17" s="13" t="s">
        <v>162</v>
      </c>
      <c r="D17" s="41"/>
      <c r="E17" s="11"/>
      <c r="F17" s="11"/>
      <c r="G17" s="11"/>
      <c r="H17" s="11">
        <v>140</v>
      </c>
      <c r="I17" s="15"/>
      <c r="J17" s="12">
        <f t="shared" si="4"/>
        <v>39638.769999999997</v>
      </c>
      <c r="K17" s="12">
        <f t="shared" si="5"/>
        <v>104580</v>
      </c>
    </row>
    <row r="18" spans="2:11" x14ac:dyDescent="0.25">
      <c r="B18" s="18">
        <v>43136</v>
      </c>
      <c r="C18" s="13" t="s">
        <v>155</v>
      </c>
      <c r="D18" s="41"/>
      <c r="E18" s="11"/>
      <c r="F18" s="11"/>
      <c r="G18" s="11"/>
      <c r="H18" s="11">
        <v>300</v>
      </c>
      <c r="I18" s="15"/>
      <c r="J18" s="12">
        <f t="shared" si="4"/>
        <v>39638.769999999997</v>
      </c>
      <c r="K18" s="12">
        <f t="shared" si="5"/>
        <v>104280</v>
      </c>
    </row>
    <row r="19" spans="2:11" x14ac:dyDescent="0.25">
      <c r="B19" s="18">
        <v>43136</v>
      </c>
      <c r="C19" s="13" t="s">
        <v>163</v>
      </c>
      <c r="D19" s="41"/>
      <c r="E19" s="11"/>
      <c r="F19" s="11"/>
      <c r="G19" s="11"/>
      <c r="H19" s="11">
        <v>200</v>
      </c>
      <c r="I19" s="15"/>
      <c r="J19" s="12">
        <f t="shared" si="4"/>
        <v>39638.769999999997</v>
      </c>
      <c r="K19" s="12">
        <f t="shared" si="5"/>
        <v>104080</v>
      </c>
    </row>
    <row r="20" spans="2:11" x14ac:dyDescent="0.25">
      <c r="B20" s="18">
        <v>43137</v>
      </c>
      <c r="C20" s="13" t="s">
        <v>156</v>
      </c>
      <c r="D20" s="41"/>
      <c r="E20" s="11"/>
      <c r="F20" s="11"/>
      <c r="G20" s="11"/>
      <c r="H20" s="11">
        <v>350</v>
      </c>
      <c r="I20" s="15"/>
      <c r="J20" s="12">
        <f t="shared" si="4"/>
        <v>39638.769999999997</v>
      </c>
      <c r="K20" s="12">
        <f t="shared" si="5"/>
        <v>103730</v>
      </c>
    </row>
    <row r="21" spans="2:11" x14ac:dyDescent="0.25">
      <c r="B21" s="18">
        <v>43137</v>
      </c>
      <c r="C21" s="13" t="s">
        <v>163</v>
      </c>
      <c r="D21" s="41"/>
      <c r="E21" s="11"/>
      <c r="F21" s="11"/>
      <c r="G21" s="11"/>
      <c r="H21" s="11">
        <v>400</v>
      </c>
      <c r="I21" s="15"/>
      <c r="J21" s="12">
        <f t="shared" si="4"/>
        <v>39638.769999999997</v>
      </c>
      <c r="K21" s="12">
        <f t="shared" si="5"/>
        <v>103330</v>
      </c>
    </row>
    <row r="22" spans="2:11" x14ac:dyDescent="0.25">
      <c r="B22" s="18">
        <v>43137</v>
      </c>
      <c r="C22" s="13" t="s">
        <v>164</v>
      </c>
      <c r="D22" s="41"/>
      <c r="E22" s="11"/>
      <c r="F22" s="11"/>
      <c r="G22" s="11"/>
      <c r="H22" s="11">
        <v>200</v>
      </c>
      <c r="I22" s="15"/>
      <c r="J22" s="12">
        <f t="shared" si="4"/>
        <v>39638.769999999997</v>
      </c>
      <c r="K22" s="12">
        <f t="shared" si="5"/>
        <v>103130</v>
      </c>
    </row>
    <row r="23" spans="2:11" x14ac:dyDescent="0.25">
      <c r="B23" s="18">
        <v>43138</v>
      </c>
      <c r="C23" s="13" t="s">
        <v>165</v>
      </c>
      <c r="D23" s="41"/>
      <c r="E23" s="11"/>
      <c r="F23" s="11"/>
      <c r="G23" s="11"/>
      <c r="H23" s="11">
        <v>106</v>
      </c>
      <c r="I23" s="15"/>
      <c r="J23" s="12">
        <f t="shared" si="4"/>
        <v>39638.769999999997</v>
      </c>
      <c r="K23" s="12">
        <f t="shared" si="5"/>
        <v>103024</v>
      </c>
    </row>
    <row r="24" spans="2:11" x14ac:dyDescent="0.25">
      <c r="B24" s="18">
        <v>43138</v>
      </c>
      <c r="C24" s="13" t="s">
        <v>166</v>
      </c>
      <c r="D24" s="41"/>
      <c r="E24" s="11"/>
      <c r="F24" s="11"/>
      <c r="G24" s="11"/>
      <c r="H24" s="11">
        <v>14067</v>
      </c>
      <c r="I24" s="15"/>
      <c r="J24" s="12">
        <f t="shared" si="4"/>
        <v>39638.769999999997</v>
      </c>
      <c r="K24" s="12">
        <f t="shared" si="5"/>
        <v>88957</v>
      </c>
    </row>
    <row r="25" spans="2:11" x14ac:dyDescent="0.25">
      <c r="B25" s="18">
        <v>43138</v>
      </c>
      <c r="C25" s="13" t="s">
        <v>167</v>
      </c>
      <c r="D25" s="41"/>
      <c r="E25" s="11"/>
      <c r="F25" s="11"/>
      <c r="G25" s="11"/>
      <c r="H25" s="11">
        <v>300</v>
      </c>
      <c r="I25" s="15"/>
      <c r="J25" s="12">
        <f t="shared" si="4"/>
        <v>39638.769999999997</v>
      </c>
      <c r="K25" s="12">
        <f t="shared" si="5"/>
        <v>88657</v>
      </c>
    </row>
    <row r="26" spans="2:11" x14ac:dyDescent="0.25">
      <c r="B26" s="38">
        <v>43138</v>
      </c>
      <c r="C26" s="13" t="s">
        <v>168</v>
      </c>
      <c r="D26" s="41"/>
      <c r="E26" s="11"/>
      <c r="F26" s="11"/>
      <c r="G26" s="11"/>
      <c r="H26" s="11">
        <v>280</v>
      </c>
      <c r="I26" s="15"/>
      <c r="J26" s="12">
        <f t="shared" si="4"/>
        <v>39638.769999999997</v>
      </c>
      <c r="K26" s="12">
        <f t="shared" si="5"/>
        <v>88377</v>
      </c>
    </row>
    <row r="27" spans="2:11" x14ac:dyDescent="0.25">
      <c r="B27" s="37">
        <v>43139</v>
      </c>
      <c r="C27" s="35" t="s">
        <v>156</v>
      </c>
      <c r="D27" s="41"/>
      <c r="E27" s="41"/>
      <c r="F27" s="41"/>
      <c r="G27" s="16"/>
      <c r="H27" s="11">
        <v>350</v>
      </c>
      <c r="I27" s="15"/>
      <c r="J27" s="12">
        <f t="shared" si="4"/>
        <v>39638.769999999997</v>
      </c>
      <c r="K27" s="12">
        <f t="shared" si="5"/>
        <v>88027</v>
      </c>
    </row>
    <row r="28" spans="2:11" x14ac:dyDescent="0.25">
      <c r="B28" s="39">
        <v>43140</v>
      </c>
      <c r="C28" s="35" t="s">
        <v>174</v>
      </c>
      <c r="D28" s="41"/>
      <c r="E28" s="41"/>
      <c r="F28" s="41"/>
      <c r="G28" s="41"/>
      <c r="H28" s="11">
        <v>100</v>
      </c>
      <c r="I28" s="15"/>
      <c r="J28" s="12">
        <f t="shared" si="4"/>
        <v>39638.769999999997</v>
      </c>
      <c r="K28" s="12">
        <f t="shared" si="5"/>
        <v>87927</v>
      </c>
    </row>
    <row r="29" spans="2:11" x14ac:dyDescent="0.25">
      <c r="B29" s="38">
        <v>43140</v>
      </c>
      <c r="C29" s="35" t="s">
        <v>173</v>
      </c>
      <c r="D29" s="41"/>
      <c r="E29" s="11"/>
      <c r="F29" s="11"/>
      <c r="G29" s="11"/>
      <c r="H29" s="11">
        <v>1250</v>
      </c>
      <c r="I29" s="15"/>
      <c r="J29" s="12">
        <f t="shared" si="4"/>
        <v>39638.769999999997</v>
      </c>
      <c r="K29" s="12">
        <f t="shared" si="5"/>
        <v>86677</v>
      </c>
    </row>
    <row r="30" spans="2:11" x14ac:dyDescent="0.25">
      <c r="B30" s="38">
        <v>43140</v>
      </c>
      <c r="C30" s="35" t="s">
        <v>169</v>
      </c>
      <c r="D30" s="41"/>
      <c r="E30" s="11"/>
      <c r="F30" s="11"/>
      <c r="G30" s="11"/>
      <c r="H30" s="11">
        <v>589.9</v>
      </c>
      <c r="I30" s="15"/>
      <c r="J30" s="12">
        <f t="shared" si="4"/>
        <v>39638.769999999997</v>
      </c>
      <c r="K30" s="12">
        <f t="shared" si="5"/>
        <v>86087.1</v>
      </c>
    </row>
    <row r="31" spans="2:11" x14ac:dyDescent="0.25">
      <c r="B31" s="38">
        <v>43140</v>
      </c>
      <c r="C31" s="35" t="s">
        <v>170</v>
      </c>
      <c r="D31" s="41"/>
      <c r="E31" s="11"/>
      <c r="F31" s="11"/>
      <c r="G31" s="11"/>
      <c r="H31" s="11">
        <v>5</v>
      </c>
      <c r="I31" s="15"/>
      <c r="J31" s="12">
        <f t="shared" si="4"/>
        <v>39638.769999999997</v>
      </c>
      <c r="K31" s="12">
        <f t="shared" si="5"/>
        <v>86082.1</v>
      </c>
    </row>
    <row r="32" spans="2:11" x14ac:dyDescent="0.25">
      <c r="B32" s="38">
        <v>43140</v>
      </c>
      <c r="C32" s="35" t="s">
        <v>171</v>
      </c>
      <c r="D32" s="41"/>
      <c r="E32" s="11"/>
      <c r="F32" s="11"/>
      <c r="G32" s="11"/>
      <c r="H32" s="11">
        <v>36</v>
      </c>
      <c r="I32" s="15"/>
      <c r="J32" s="12">
        <f t="shared" si="4"/>
        <v>39638.769999999997</v>
      </c>
      <c r="K32" s="12">
        <f t="shared" si="5"/>
        <v>86046.1</v>
      </c>
    </row>
    <row r="33" spans="2:11" x14ac:dyDescent="0.25">
      <c r="B33" s="38">
        <v>43142</v>
      </c>
      <c r="C33" s="35" t="s">
        <v>175</v>
      </c>
      <c r="D33" s="41"/>
      <c r="E33" s="11"/>
      <c r="F33" s="11"/>
      <c r="G33" s="11"/>
      <c r="H33" s="11">
        <v>200</v>
      </c>
      <c r="I33" s="15"/>
      <c r="J33" s="12">
        <f t="shared" si="4"/>
        <v>39638.769999999997</v>
      </c>
      <c r="K33" s="12">
        <f t="shared" si="5"/>
        <v>85846.1</v>
      </c>
    </row>
    <row r="34" spans="2:11" x14ac:dyDescent="0.25">
      <c r="B34" s="44">
        <v>43142</v>
      </c>
      <c r="C34" s="13" t="s">
        <v>172</v>
      </c>
      <c r="D34" s="41"/>
      <c r="E34" s="11"/>
      <c r="F34" s="11"/>
      <c r="G34" s="11"/>
      <c r="H34" s="11">
        <v>400</v>
      </c>
      <c r="I34" s="15"/>
      <c r="J34" s="12">
        <f t="shared" si="4"/>
        <v>39638.769999999997</v>
      </c>
      <c r="K34" s="12">
        <f t="shared" si="5"/>
        <v>85446.1</v>
      </c>
    </row>
    <row r="35" spans="2:11" x14ac:dyDescent="0.25">
      <c r="B35" s="38">
        <v>43142</v>
      </c>
      <c r="C35" s="35" t="s">
        <v>176</v>
      </c>
      <c r="D35" s="41"/>
      <c r="E35" s="11"/>
      <c r="F35" s="11"/>
      <c r="G35" s="11"/>
      <c r="H35" s="11">
        <v>150</v>
      </c>
      <c r="I35" s="15"/>
      <c r="J35" s="12">
        <f t="shared" si="4"/>
        <v>39638.769999999997</v>
      </c>
      <c r="K35" s="12">
        <f t="shared" si="5"/>
        <v>85296.1</v>
      </c>
    </row>
    <row r="36" spans="2:11" x14ac:dyDescent="0.25">
      <c r="B36" s="38">
        <v>43142</v>
      </c>
      <c r="C36" s="36" t="s">
        <v>177</v>
      </c>
      <c r="D36" s="41"/>
      <c r="E36" s="11"/>
      <c r="F36" s="11"/>
      <c r="G36" s="11"/>
      <c r="H36" s="11">
        <v>120</v>
      </c>
      <c r="I36" s="15"/>
      <c r="J36" s="12">
        <f t="shared" si="4"/>
        <v>39638.769999999997</v>
      </c>
      <c r="K36" s="12">
        <f t="shared" si="5"/>
        <v>85176.1</v>
      </c>
    </row>
    <row r="37" spans="2:11" x14ac:dyDescent="0.25">
      <c r="B37" s="37">
        <v>43142</v>
      </c>
      <c r="C37" s="35" t="s">
        <v>178</v>
      </c>
      <c r="D37" s="41"/>
      <c r="E37" s="11"/>
      <c r="F37" s="11"/>
      <c r="G37" s="11"/>
      <c r="H37" s="11">
        <v>57.5</v>
      </c>
      <c r="I37" s="15"/>
      <c r="J37" s="12">
        <f t="shared" si="4"/>
        <v>39638.769999999997</v>
      </c>
      <c r="K37" s="12">
        <f t="shared" si="5"/>
        <v>85118.6</v>
      </c>
    </row>
    <row r="38" spans="2:11" x14ac:dyDescent="0.25">
      <c r="B38" s="39">
        <v>43142</v>
      </c>
      <c r="C38" s="35" t="s">
        <v>179</v>
      </c>
      <c r="D38" s="41">
        <v>45125</v>
      </c>
      <c r="E38" s="11"/>
      <c r="F38" s="11"/>
      <c r="G38" s="11"/>
      <c r="H38" s="11"/>
      <c r="I38" s="15"/>
      <c r="J38" s="12">
        <f t="shared" si="4"/>
        <v>39638.769999999997</v>
      </c>
      <c r="K38" s="12">
        <f t="shared" si="5"/>
        <v>130243.6</v>
      </c>
    </row>
    <row r="39" spans="2:11" x14ac:dyDescent="0.25">
      <c r="B39" s="38">
        <v>43143</v>
      </c>
      <c r="C39" s="35" t="s">
        <v>180</v>
      </c>
      <c r="D39" s="41"/>
      <c r="E39" s="11"/>
      <c r="F39" s="11"/>
      <c r="G39" s="11"/>
      <c r="H39" s="11">
        <v>350</v>
      </c>
      <c r="I39" s="15"/>
      <c r="J39" s="12">
        <f t="shared" si="4"/>
        <v>39638.769999999997</v>
      </c>
      <c r="K39" s="12">
        <f t="shared" si="5"/>
        <v>129893.6</v>
      </c>
    </row>
    <row r="40" spans="2:11" x14ac:dyDescent="0.25">
      <c r="B40" s="42">
        <v>43143</v>
      </c>
      <c r="C40" s="34" t="s">
        <v>181</v>
      </c>
      <c r="D40" s="41"/>
      <c r="E40" s="11"/>
      <c r="F40" s="11"/>
      <c r="G40" s="11"/>
      <c r="H40" s="11">
        <v>650</v>
      </c>
      <c r="I40" s="15"/>
      <c r="J40" s="12">
        <f t="shared" si="4"/>
        <v>39638.769999999997</v>
      </c>
      <c r="K40" s="12">
        <f t="shared" si="5"/>
        <v>129243.6</v>
      </c>
    </row>
    <row r="41" spans="2:11" x14ac:dyDescent="0.25">
      <c r="B41" s="39">
        <v>43143</v>
      </c>
      <c r="C41" s="35" t="s">
        <v>155</v>
      </c>
      <c r="D41" s="41"/>
      <c r="E41" s="11"/>
      <c r="F41" s="11"/>
      <c r="G41" s="11"/>
      <c r="H41" s="11">
        <v>300</v>
      </c>
      <c r="I41" s="15"/>
      <c r="J41" s="12">
        <f t="shared" si="4"/>
        <v>39638.769999999997</v>
      </c>
      <c r="K41" s="12">
        <f t="shared" si="5"/>
        <v>128943.6</v>
      </c>
    </row>
    <row r="42" spans="2:11" x14ac:dyDescent="0.25">
      <c r="B42" s="38">
        <v>43143</v>
      </c>
      <c r="C42" s="35" t="s">
        <v>182</v>
      </c>
      <c r="D42" s="41"/>
      <c r="E42" s="11"/>
      <c r="F42" s="11"/>
      <c r="G42" s="11"/>
      <c r="H42" s="11">
        <v>550</v>
      </c>
      <c r="I42" s="15"/>
      <c r="J42" s="12">
        <f t="shared" si="4"/>
        <v>39638.769999999997</v>
      </c>
      <c r="K42" s="12">
        <f t="shared" si="5"/>
        <v>128393.60000000001</v>
      </c>
    </row>
    <row r="43" spans="2:11" x14ac:dyDescent="0.25">
      <c r="B43" s="37">
        <v>43143</v>
      </c>
      <c r="C43" s="35" t="s">
        <v>183</v>
      </c>
      <c r="D43" s="41"/>
      <c r="E43" s="11"/>
      <c r="F43" s="11"/>
      <c r="G43" s="11"/>
      <c r="H43" s="11">
        <v>86.8</v>
      </c>
      <c r="I43" s="15"/>
      <c r="J43" s="12">
        <f t="shared" si="4"/>
        <v>39638.769999999997</v>
      </c>
      <c r="K43" s="12">
        <f t="shared" si="5"/>
        <v>128306.8</v>
      </c>
    </row>
    <row r="44" spans="2:11" x14ac:dyDescent="0.25">
      <c r="B44" s="39">
        <v>43143</v>
      </c>
      <c r="C44" s="35" t="s">
        <v>162</v>
      </c>
      <c r="D44" s="41"/>
      <c r="E44" s="11"/>
      <c r="F44" s="11"/>
      <c r="G44" s="11"/>
      <c r="H44" s="11">
        <v>140</v>
      </c>
      <c r="I44" s="15"/>
      <c r="J44" s="12">
        <f t="shared" si="4"/>
        <v>39638.769999999997</v>
      </c>
      <c r="K44" s="12">
        <f t="shared" si="5"/>
        <v>128166.8</v>
      </c>
    </row>
    <row r="45" spans="2:11" x14ac:dyDescent="0.25">
      <c r="B45" s="38">
        <v>43144</v>
      </c>
      <c r="C45" s="35" t="s">
        <v>184</v>
      </c>
      <c r="D45" s="41"/>
      <c r="E45" s="11"/>
      <c r="F45" s="11"/>
      <c r="G45" s="11"/>
      <c r="H45" s="11">
        <v>106</v>
      </c>
      <c r="I45" s="15"/>
      <c r="J45" s="12">
        <f t="shared" si="4"/>
        <v>39638.769999999997</v>
      </c>
      <c r="K45" s="12">
        <f t="shared" si="5"/>
        <v>128060.8</v>
      </c>
    </row>
    <row r="46" spans="2:11" x14ac:dyDescent="0.25">
      <c r="B46" s="38">
        <v>43144</v>
      </c>
      <c r="C46" s="9" t="s">
        <v>185</v>
      </c>
      <c r="D46" s="41"/>
      <c r="E46" s="11"/>
      <c r="F46" s="11"/>
      <c r="G46" s="11"/>
      <c r="H46" s="11">
        <v>14</v>
      </c>
      <c r="I46" s="15"/>
      <c r="J46" s="12">
        <f t="shared" si="4"/>
        <v>39638.769999999997</v>
      </c>
      <c r="K46" s="12">
        <f t="shared" si="5"/>
        <v>128046.8</v>
      </c>
    </row>
    <row r="47" spans="2:11" x14ac:dyDescent="0.25">
      <c r="B47" s="38">
        <v>43145</v>
      </c>
      <c r="C47" s="35" t="s">
        <v>182</v>
      </c>
      <c r="D47" s="41"/>
      <c r="E47" s="11"/>
      <c r="F47" s="11"/>
      <c r="G47" s="11"/>
      <c r="H47" s="11">
        <v>520</v>
      </c>
      <c r="I47" s="15"/>
      <c r="J47" s="12">
        <f t="shared" si="4"/>
        <v>39638.769999999997</v>
      </c>
      <c r="K47" s="12">
        <f t="shared" si="5"/>
        <v>127526.8</v>
      </c>
    </row>
    <row r="48" spans="2:11" x14ac:dyDescent="0.25">
      <c r="B48" s="40">
        <v>43145</v>
      </c>
      <c r="C48" s="35" t="s">
        <v>186</v>
      </c>
      <c r="D48" s="41"/>
      <c r="E48" s="41"/>
      <c r="F48" s="41"/>
      <c r="G48" s="41"/>
      <c r="H48" s="11">
        <v>90</v>
      </c>
      <c r="I48" s="15"/>
      <c r="J48" s="12">
        <f t="shared" si="4"/>
        <v>39638.769999999997</v>
      </c>
      <c r="K48" s="12">
        <f t="shared" si="5"/>
        <v>127436.8</v>
      </c>
    </row>
    <row r="49" spans="2:11" x14ac:dyDescent="0.25">
      <c r="B49" s="40">
        <v>43145</v>
      </c>
      <c r="C49" s="35" t="s">
        <v>187</v>
      </c>
      <c r="D49" s="41"/>
      <c r="E49" s="41"/>
      <c r="F49" s="41"/>
      <c r="G49" s="16"/>
      <c r="H49" s="11">
        <v>310</v>
      </c>
      <c r="I49" s="15"/>
      <c r="J49" s="12">
        <f t="shared" si="4"/>
        <v>39638.769999999997</v>
      </c>
      <c r="K49" s="12">
        <f t="shared" si="5"/>
        <v>127126.8</v>
      </c>
    </row>
    <row r="50" spans="2:11" x14ac:dyDescent="0.25">
      <c r="B50" s="40">
        <v>43145</v>
      </c>
      <c r="C50" s="35" t="s">
        <v>188</v>
      </c>
      <c r="D50" s="41"/>
      <c r="E50" s="41"/>
      <c r="F50" s="41"/>
      <c r="G50" s="41"/>
      <c r="H50" s="11">
        <v>620</v>
      </c>
      <c r="I50" s="15"/>
      <c r="J50" s="12">
        <f t="shared" si="4"/>
        <v>39638.769999999997</v>
      </c>
      <c r="K50" s="12">
        <f t="shared" si="5"/>
        <v>126506.8</v>
      </c>
    </row>
    <row r="51" spans="2:11" x14ac:dyDescent="0.25">
      <c r="B51" s="18">
        <v>43145</v>
      </c>
      <c r="C51" s="13" t="s">
        <v>189</v>
      </c>
      <c r="D51" s="11"/>
      <c r="E51" s="11"/>
      <c r="F51" s="11"/>
      <c r="G51" s="11"/>
      <c r="H51" s="11">
        <v>199.12</v>
      </c>
      <c r="I51" s="15"/>
      <c r="J51" s="12">
        <f t="shared" si="4"/>
        <v>39638.769999999997</v>
      </c>
      <c r="K51" s="12">
        <f t="shared" si="5"/>
        <v>126307.68000000001</v>
      </c>
    </row>
    <row r="52" spans="2:11" x14ac:dyDescent="0.25">
      <c r="B52" s="18">
        <v>43145</v>
      </c>
      <c r="C52" s="13" t="s">
        <v>190</v>
      </c>
      <c r="D52" s="11"/>
      <c r="E52" s="11"/>
      <c r="F52" s="11"/>
      <c r="G52" s="11"/>
      <c r="H52" s="11">
        <v>2000</v>
      </c>
      <c r="I52" s="15"/>
      <c r="J52" s="12">
        <f t="shared" si="4"/>
        <v>39638.769999999997</v>
      </c>
      <c r="K52" s="12">
        <f t="shared" si="5"/>
        <v>124307.68000000001</v>
      </c>
    </row>
    <row r="53" spans="2:11" x14ac:dyDescent="0.25">
      <c r="B53" s="18">
        <v>43145</v>
      </c>
      <c r="C53" s="13" t="s">
        <v>191</v>
      </c>
      <c r="D53" s="11"/>
      <c r="E53" s="11"/>
      <c r="F53" s="11"/>
      <c r="G53" s="11"/>
      <c r="H53" s="11">
        <v>778</v>
      </c>
      <c r="I53" s="15"/>
      <c r="J53" s="12">
        <f t="shared" si="4"/>
        <v>39638.769999999997</v>
      </c>
      <c r="K53" s="12">
        <f t="shared" si="5"/>
        <v>123529.68000000001</v>
      </c>
    </row>
    <row r="54" spans="2:11" ht="15.75" thickBot="1" x14ac:dyDescent="0.3">
      <c r="B54" s="18">
        <v>43146</v>
      </c>
      <c r="C54" s="13" t="s">
        <v>192</v>
      </c>
      <c r="D54" s="11"/>
      <c r="E54" s="11"/>
      <c r="F54" s="11"/>
      <c r="G54" s="11"/>
      <c r="H54" s="11">
        <v>105.7</v>
      </c>
      <c r="I54" s="15"/>
      <c r="J54" s="12">
        <f t="shared" si="4"/>
        <v>39638.769999999997</v>
      </c>
      <c r="K54" s="12">
        <f t="shared" si="5"/>
        <v>123423.98000000001</v>
      </c>
    </row>
    <row r="55" spans="2:11" ht="15.75" thickBot="1" x14ac:dyDescent="0.3">
      <c r="B55" s="5"/>
      <c r="C55" s="7" t="s">
        <v>0</v>
      </c>
      <c r="D55" s="62">
        <f>SUM(D7:D54)</f>
        <v>65100</v>
      </c>
      <c r="E55" s="61">
        <f>SUM(E7:E54)</f>
        <v>0</v>
      </c>
      <c r="F55" s="71">
        <f>SUM(D55:E55)</f>
        <v>65100</v>
      </c>
      <c r="G55" s="80">
        <f>SUM(G7:G54)</f>
        <v>0</v>
      </c>
      <c r="H55" s="62">
        <f>SUM(H4:H54)</f>
        <v>29852.720000000001</v>
      </c>
      <c r="I55" s="71">
        <f>SUM(G55:H55)</f>
        <v>29852.720000000001</v>
      </c>
      <c r="J55" s="12"/>
      <c r="K55" s="12"/>
    </row>
    <row r="56" spans="2:11" x14ac:dyDescent="0.25">
      <c r="B56" s="68" t="s">
        <v>1</v>
      </c>
      <c r="C56" s="68" t="s">
        <v>2</v>
      </c>
      <c r="D56" s="68" t="s">
        <v>3</v>
      </c>
      <c r="E56" s="68" t="s">
        <v>3</v>
      </c>
      <c r="F56" s="68" t="s">
        <v>22</v>
      </c>
      <c r="G56" s="68" t="s">
        <v>23</v>
      </c>
      <c r="H56" s="48" t="s">
        <v>23</v>
      </c>
      <c r="I56" s="48" t="s">
        <v>22</v>
      </c>
      <c r="J56" s="68" t="s">
        <v>8</v>
      </c>
      <c r="K56" s="48" t="s">
        <v>7</v>
      </c>
    </row>
    <row r="57" spans="2:11" ht="15.75" thickBot="1" x14ac:dyDescent="0.3">
      <c r="B57" s="69"/>
      <c r="C57" s="69"/>
      <c r="D57" s="69" t="s">
        <v>5</v>
      </c>
      <c r="E57" s="69" t="s">
        <v>24</v>
      </c>
      <c r="F57" s="69" t="s">
        <v>3</v>
      </c>
      <c r="G57" s="69" t="s">
        <v>24</v>
      </c>
      <c r="H57" s="70" t="s">
        <v>5</v>
      </c>
      <c r="I57" s="70" t="s">
        <v>4</v>
      </c>
      <c r="J57" s="69"/>
      <c r="K57" s="70"/>
    </row>
    <row r="58" spans="2:11" ht="15.75" thickBot="1" x14ac:dyDescent="0.3">
      <c r="B58" s="5"/>
      <c r="C58" s="7"/>
      <c r="D58" s="62">
        <v>65100</v>
      </c>
      <c r="E58" s="61">
        <v>0</v>
      </c>
      <c r="F58" s="71">
        <f>SUM(D58:E58)</f>
        <v>65100</v>
      </c>
      <c r="G58" s="80">
        <v>0</v>
      </c>
      <c r="H58" s="62">
        <v>29852.720000000001</v>
      </c>
      <c r="I58" s="71">
        <f>SUM(G58:H58)</f>
        <v>29852.720000000001</v>
      </c>
      <c r="J58" s="12">
        <v>39638.769999999997</v>
      </c>
      <c r="K58" s="12">
        <v>123423.98</v>
      </c>
    </row>
    <row r="59" spans="2:11" x14ac:dyDescent="0.25">
      <c r="B59" s="18">
        <v>43146</v>
      </c>
      <c r="C59" s="13" t="s">
        <v>193</v>
      </c>
      <c r="D59" s="11"/>
      <c r="E59" s="11"/>
      <c r="F59" s="11"/>
      <c r="G59" s="11"/>
      <c r="H59" s="11">
        <v>550</v>
      </c>
      <c r="I59" s="15"/>
      <c r="J59" s="12">
        <f>+J58+E59-G59</f>
        <v>39638.769999999997</v>
      </c>
      <c r="K59" s="12">
        <f>+K58+D59-H59</f>
        <v>122873.98</v>
      </c>
    </row>
    <row r="60" spans="2:11" x14ac:dyDescent="0.25">
      <c r="B60" s="40">
        <v>43146</v>
      </c>
      <c r="C60" s="36" t="s">
        <v>194</v>
      </c>
      <c r="D60" s="41"/>
      <c r="E60" s="11"/>
      <c r="F60" s="11"/>
      <c r="G60" s="11"/>
      <c r="H60" s="11">
        <v>350</v>
      </c>
      <c r="I60" s="15"/>
      <c r="J60" s="12">
        <f t="shared" ref="J60:J108" si="6">+J59+E60-G60</f>
        <v>39638.769999999997</v>
      </c>
      <c r="K60" s="12">
        <f t="shared" ref="K60:K109" si="7">+K59+D60-H60</f>
        <v>122523.98</v>
      </c>
    </row>
    <row r="61" spans="2:11" x14ac:dyDescent="0.25">
      <c r="B61" s="40">
        <v>43146</v>
      </c>
      <c r="C61" s="36" t="s">
        <v>195</v>
      </c>
      <c r="D61" s="41"/>
      <c r="E61" s="11"/>
      <c r="F61" s="11"/>
      <c r="G61" s="11"/>
      <c r="H61" s="11">
        <v>2000</v>
      </c>
      <c r="I61" s="15"/>
      <c r="J61" s="12">
        <f t="shared" si="6"/>
        <v>39638.769999999997</v>
      </c>
      <c r="K61" s="12">
        <f t="shared" si="7"/>
        <v>120523.98</v>
      </c>
    </row>
    <row r="62" spans="2:11" x14ac:dyDescent="0.25">
      <c r="B62" s="38">
        <v>43146</v>
      </c>
      <c r="C62" s="35" t="s">
        <v>196</v>
      </c>
      <c r="D62" s="11"/>
      <c r="E62" s="11"/>
      <c r="F62" s="11"/>
      <c r="G62" s="11"/>
      <c r="H62" s="11">
        <v>24000</v>
      </c>
      <c r="I62" s="15"/>
      <c r="J62" s="12">
        <f t="shared" si="6"/>
        <v>39638.769999999997</v>
      </c>
      <c r="K62" s="12">
        <f t="shared" si="7"/>
        <v>96523.98</v>
      </c>
    </row>
    <row r="63" spans="2:11" x14ac:dyDescent="0.25">
      <c r="B63" s="38">
        <v>43146</v>
      </c>
      <c r="C63" s="35" t="s">
        <v>197</v>
      </c>
      <c r="D63" s="11"/>
      <c r="E63" s="11"/>
      <c r="F63" s="11"/>
      <c r="G63" s="11"/>
      <c r="H63" s="11">
        <v>4000</v>
      </c>
      <c r="I63" s="15"/>
      <c r="J63" s="12">
        <f t="shared" si="6"/>
        <v>39638.769999999997</v>
      </c>
      <c r="K63" s="12">
        <f t="shared" si="7"/>
        <v>92523.98</v>
      </c>
    </row>
    <row r="64" spans="2:11" x14ac:dyDescent="0.25">
      <c r="B64" s="38">
        <v>43147</v>
      </c>
      <c r="C64" s="35" t="s">
        <v>198</v>
      </c>
      <c r="D64" s="11"/>
      <c r="E64" s="11"/>
      <c r="F64" s="11"/>
      <c r="G64" s="11"/>
      <c r="H64" s="11">
        <v>1250</v>
      </c>
      <c r="I64" s="15"/>
      <c r="J64" s="12">
        <f t="shared" si="6"/>
        <v>39638.769999999997</v>
      </c>
      <c r="K64" s="12">
        <f t="shared" si="7"/>
        <v>91273.98</v>
      </c>
    </row>
    <row r="65" spans="2:11" x14ac:dyDescent="0.25">
      <c r="B65" s="38">
        <v>43147</v>
      </c>
      <c r="C65" s="36" t="s">
        <v>185</v>
      </c>
      <c r="D65" s="11"/>
      <c r="E65" s="11"/>
      <c r="F65" s="11"/>
      <c r="G65" s="11"/>
      <c r="H65" s="11">
        <v>63</v>
      </c>
      <c r="I65" s="15"/>
      <c r="J65" s="12">
        <f t="shared" si="6"/>
        <v>39638.769999999997</v>
      </c>
      <c r="K65" s="12">
        <f t="shared" si="7"/>
        <v>91210.98</v>
      </c>
    </row>
    <row r="66" spans="2:11" x14ac:dyDescent="0.25">
      <c r="B66" s="38">
        <v>43147</v>
      </c>
      <c r="C66" s="36" t="s">
        <v>199</v>
      </c>
      <c r="D66" s="11"/>
      <c r="E66" s="11"/>
      <c r="F66" s="11"/>
      <c r="G66" s="11"/>
      <c r="H66" s="11">
        <v>300</v>
      </c>
      <c r="I66" s="15"/>
      <c r="J66" s="12">
        <f t="shared" si="6"/>
        <v>39638.769999999997</v>
      </c>
      <c r="K66" s="12">
        <f t="shared" si="7"/>
        <v>90910.98</v>
      </c>
    </row>
    <row r="67" spans="2:11" x14ac:dyDescent="0.25">
      <c r="B67" s="38">
        <v>43147</v>
      </c>
      <c r="C67" s="36" t="s">
        <v>200</v>
      </c>
      <c r="D67" s="11"/>
      <c r="E67" s="11"/>
      <c r="F67" s="11"/>
      <c r="G67" s="11"/>
      <c r="H67" s="11">
        <v>220</v>
      </c>
      <c r="I67" s="15"/>
      <c r="J67" s="12">
        <f t="shared" si="6"/>
        <v>39638.769999999997</v>
      </c>
      <c r="K67" s="12">
        <f t="shared" si="7"/>
        <v>90690.98</v>
      </c>
    </row>
    <row r="68" spans="2:11" x14ac:dyDescent="0.25">
      <c r="B68" s="38">
        <v>43148</v>
      </c>
      <c r="C68" s="36" t="s">
        <v>201</v>
      </c>
      <c r="D68" s="11"/>
      <c r="E68" s="11"/>
      <c r="F68" s="11"/>
      <c r="G68" s="11"/>
      <c r="H68" s="11">
        <v>120</v>
      </c>
      <c r="I68" s="15"/>
      <c r="J68" s="12">
        <f t="shared" si="6"/>
        <v>39638.769999999997</v>
      </c>
      <c r="K68" s="12">
        <f t="shared" si="7"/>
        <v>90570.98</v>
      </c>
    </row>
    <row r="69" spans="2:11" x14ac:dyDescent="0.25">
      <c r="B69" s="38">
        <v>43149</v>
      </c>
      <c r="C69" s="36" t="s">
        <v>202</v>
      </c>
      <c r="D69" s="11">
        <v>31425</v>
      </c>
      <c r="E69" s="11"/>
      <c r="F69" s="11"/>
      <c r="G69" s="11"/>
      <c r="H69" s="11"/>
      <c r="I69" s="15"/>
      <c r="J69" s="12">
        <f t="shared" si="6"/>
        <v>39638.769999999997</v>
      </c>
      <c r="K69" s="12">
        <f t="shared" si="7"/>
        <v>121995.98</v>
      </c>
    </row>
    <row r="70" spans="2:11" x14ac:dyDescent="0.25">
      <c r="B70" s="38">
        <v>43149</v>
      </c>
      <c r="C70" s="36" t="s">
        <v>119</v>
      </c>
      <c r="D70" s="11"/>
      <c r="E70" s="11"/>
      <c r="F70" s="11"/>
      <c r="G70" s="11"/>
      <c r="H70" s="11">
        <v>120</v>
      </c>
      <c r="I70" s="15"/>
      <c r="J70" s="12">
        <f t="shared" si="6"/>
        <v>39638.769999999997</v>
      </c>
      <c r="K70" s="12">
        <f t="shared" si="7"/>
        <v>121875.98</v>
      </c>
    </row>
    <row r="71" spans="2:11" x14ac:dyDescent="0.25">
      <c r="B71" s="38">
        <v>43149</v>
      </c>
      <c r="C71" s="35" t="s">
        <v>74</v>
      </c>
      <c r="D71" s="11"/>
      <c r="E71" s="11"/>
      <c r="F71" s="11"/>
      <c r="G71" s="11"/>
      <c r="H71" s="11">
        <v>150</v>
      </c>
      <c r="I71" s="15"/>
      <c r="J71" s="12">
        <f t="shared" si="6"/>
        <v>39638.769999999997</v>
      </c>
      <c r="K71" s="12">
        <f t="shared" si="7"/>
        <v>121725.98</v>
      </c>
    </row>
    <row r="72" spans="2:11" x14ac:dyDescent="0.25">
      <c r="B72" s="37">
        <v>43149</v>
      </c>
      <c r="C72" s="36" t="s">
        <v>203</v>
      </c>
      <c r="D72" s="11"/>
      <c r="E72" s="11"/>
      <c r="F72" s="11"/>
      <c r="G72" s="11"/>
      <c r="H72" s="11">
        <v>81.5</v>
      </c>
      <c r="I72" s="15"/>
      <c r="J72" s="12">
        <f t="shared" si="6"/>
        <v>39638.769999999997</v>
      </c>
      <c r="K72" s="12">
        <f t="shared" si="7"/>
        <v>121644.48</v>
      </c>
    </row>
    <row r="73" spans="2:11" x14ac:dyDescent="0.25">
      <c r="B73" s="18">
        <v>43150</v>
      </c>
      <c r="C73" s="34" t="s">
        <v>167</v>
      </c>
      <c r="D73" s="11"/>
      <c r="E73" s="11"/>
      <c r="F73" s="11"/>
      <c r="G73" s="11"/>
      <c r="H73" s="11">
        <v>300</v>
      </c>
      <c r="I73" s="15"/>
      <c r="J73" s="12">
        <f t="shared" si="6"/>
        <v>39638.769999999997</v>
      </c>
      <c r="K73" s="12">
        <f t="shared" si="7"/>
        <v>121344.48</v>
      </c>
    </row>
    <row r="74" spans="2:11" x14ac:dyDescent="0.25">
      <c r="B74" s="18">
        <v>43150</v>
      </c>
      <c r="C74" s="9" t="s">
        <v>162</v>
      </c>
      <c r="D74" s="11"/>
      <c r="E74" s="11"/>
      <c r="F74" s="11"/>
      <c r="G74" s="11"/>
      <c r="H74" s="11">
        <v>140</v>
      </c>
      <c r="I74" s="15"/>
      <c r="J74" s="12">
        <f t="shared" si="6"/>
        <v>39638.769999999997</v>
      </c>
      <c r="K74" s="12">
        <f t="shared" si="7"/>
        <v>121204.48</v>
      </c>
    </row>
    <row r="75" spans="2:11" x14ac:dyDescent="0.25">
      <c r="B75" s="39">
        <v>43150</v>
      </c>
      <c r="C75" s="36" t="s">
        <v>204</v>
      </c>
      <c r="D75" s="41"/>
      <c r="E75" s="11"/>
      <c r="F75" s="11"/>
      <c r="G75" s="11"/>
      <c r="H75" s="11">
        <v>520</v>
      </c>
      <c r="I75" s="15"/>
      <c r="J75" s="12">
        <f t="shared" si="6"/>
        <v>39638.769999999997</v>
      </c>
      <c r="K75" s="12">
        <f t="shared" si="7"/>
        <v>120684.48</v>
      </c>
    </row>
    <row r="76" spans="2:11" x14ac:dyDescent="0.25">
      <c r="B76" s="40">
        <v>43150</v>
      </c>
      <c r="C76" s="36" t="s">
        <v>205</v>
      </c>
      <c r="D76" s="41"/>
      <c r="E76" s="11"/>
      <c r="F76" s="11"/>
      <c r="G76" s="11"/>
      <c r="H76" s="11">
        <v>3000</v>
      </c>
      <c r="I76" s="15"/>
      <c r="J76" s="12">
        <f t="shared" si="6"/>
        <v>39638.769999999997</v>
      </c>
      <c r="K76" s="12">
        <f t="shared" si="7"/>
        <v>117684.48</v>
      </c>
    </row>
    <row r="77" spans="2:11" x14ac:dyDescent="0.25">
      <c r="B77" s="40">
        <v>43150</v>
      </c>
      <c r="C77" s="13" t="s">
        <v>211</v>
      </c>
      <c r="D77" s="41"/>
      <c r="E77" s="11">
        <v>12760</v>
      </c>
      <c r="F77" s="11"/>
      <c r="G77" s="11"/>
      <c r="H77" s="11"/>
      <c r="I77" s="15"/>
      <c r="J77" s="12">
        <f t="shared" si="6"/>
        <v>52398.77</v>
      </c>
      <c r="K77" s="12">
        <f t="shared" si="7"/>
        <v>117684.48</v>
      </c>
    </row>
    <row r="78" spans="2:11" x14ac:dyDescent="0.25">
      <c r="B78" s="40">
        <v>43151</v>
      </c>
      <c r="C78" s="36" t="s">
        <v>185</v>
      </c>
      <c r="D78" s="41"/>
      <c r="E78" s="11"/>
      <c r="F78" s="11"/>
      <c r="G78" s="11"/>
      <c r="H78" s="11">
        <v>49</v>
      </c>
      <c r="I78" s="15"/>
      <c r="J78" s="12">
        <f t="shared" si="6"/>
        <v>52398.77</v>
      </c>
      <c r="K78" s="12">
        <f t="shared" si="7"/>
        <v>117635.48</v>
      </c>
    </row>
    <row r="79" spans="2:11" x14ac:dyDescent="0.25">
      <c r="B79" s="40">
        <v>43151</v>
      </c>
      <c r="C79" s="36" t="s">
        <v>206</v>
      </c>
      <c r="D79" s="41"/>
      <c r="E79" s="11"/>
      <c r="F79" s="11"/>
      <c r="G79" s="11"/>
      <c r="H79" s="11">
        <v>132</v>
      </c>
      <c r="I79" s="15"/>
      <c r="J79" s="12">
        <f t="shared" si="6"/>
        <v>52398.77</v>
      </c>
      <c r="K79" s="12">
        <f t="shared" si="7"/>
        <v>117503.48</v>
      </c>
    </row>
    <row r="80" spans="2:11" x14ac:dyDescent="0.25">
      <c r="B80" s="43">
        <v>43151</v>
      </c>
      <c r="C80" s="13" t="s">
        <v>210</v>
      </c>
      <c r="D80" s="41"/>
      <c r="E80" s="11"/>
      <c r="F80" s="11"/>
      <c r="G80" s="11"/>
      <c r="H80" s="11">
        <v>428</v>
      </c>
      <c r="I80" s="15"/>
      <c r="J80" s="12">
        <f t="shared" si="6"/>
        <v>52398.77</v>
      </c>
      <c r="K80" s="12">
        <f t="shared" si="7"/>
        <v>117075.48</v>
      </c>
    </row>
    <row r="81" spans="2:11" x14ac:dyDescent="0.25">
      <c r="B81" s="43">
        <v>43151</v>
      </c>
      <c r="C81" s="13" t="s">
        <v>207</v>
      </c>
      <c r="D81" s="41"/>
      <c r="E81" s="11"/>
      <c r="F81" s="11"/>
      <c r="G81" s="11"/>
      <c r="H81" s="11">
        <v>250</v>
      </c>
      <c r="I81" s="15"/>
      <c r="J81" s="12">
        <f t="shared" si="6"/>
        <v>52398.77</v>
      </c>
      <c r="K81" s="12">
        <f t="shared" si="7"/>
        <v>116825.48</v>
      </c>
    </row>
    <row r="82" spans="2:11" x14ac:dyDescent="0.25">
      <c r="B82" s="43">
        <v>43152</v>
      </c>
      <c r="C82" s="9" t="s">
        <v>208</v>
      </c>
      <c r="D82" s="41"/>
      <c r="E82" s="11"/>
      <c r="F82" s="11"/>
      <c r="G82" s="11">
        <v>1760</v>
      </c>
      <c r="H82" s="11"/>
      <c r="I82" s="15"/>
      <c r="J82" s="12">
        <f t="shared" si="6"/>
        <v>50638.77</v>
      </c>
      <c r="K82" s="12">
        <f t="shared" si="7"/>
        <v>116825.48</v>
      </c>
    </row>
    <row r="83" spans="2:11" x14ac:dyDescent="0.25">
      <c r="B83" s="44">
        <v>43152</v>
      </c>
      <c r="C83" s="9" t="s">
        <v>209</v>
      </c>
      <c r="D83" s="101"/>
      <c r="E83" s="11"/>
      <c r="F83" s="11"/>
      <c r="G83" s="11">
        <v>1400</v>
      </c>
      <c r="H83" s="11"/>
      <c r="I83" s="15"/>
      <c r="J83" s="12">
        <f t="shared" si="6"/>
        <v>49238.77</v>
      </c>
      <c r="K83" s="12">
        <f t="shared" si="7"/>
        <v>116825.48</v>
      </c>
    </row>
    <row r="84" spans="2:11" x14ac:dyDescent="0.25">
      <c r="B84" s="44">
        <v>43152</v>
      </c>
      <c r="C84" s="13" t="s">
        <v>212</v>
      </c>
      <c r="D84" s="41"/>
      <c r="E84" s="11"/>
      <c r="F84" s="11"/>
      <c r="G84" s="11"/>
      <c r="H84" s="11">
        <v>1500</v>
      </c>
      <c r="I84" s="15"/>
      <c r="J84" s="12">
        <f t="shared" si="6"/>
        <v>49238.77</v>
      </c>
      <c r="K84" s="12">
        <f t="shared" si="7"/>
        <v>115325.48</v>
      </c>
    </row>
    <row r="85" spans="2:11" x14ac:dyDescent="0.25">
      <c r="B85" s="44">
        <v>43152</v>
      </c>
      <c r="C85" s="13" t="s">
        <v>200</v>
      </c>
      <c r="D85" s="41"/>
      <c r="E85" s="11"/>
      <c r="F85" s="11"/>
      <c r="G85" s="11"/>
      <c r="H85" s="11">
        <v>190</v>
      </c>
      <c r="I85" s="15"/>
      <c r="J85" s="12">
        <f t="shared" si="6"/>
        <v>49238.77</v>
      </c>
      <c r="K85" s="12">
        <f t="shared" si="7"/>
        <v>115135.48</v>
      </c>
    </row>
    <row r="86" spans="2:11" x14ac:dyDescent="0.25">
      <c r="B86" s="44">
        <v>43153</v>
      </c>
      <c r="C86" s="13" t="s">
        <v>213</v>
      </c>
      <c r="D86" s="41"/>
      <c r="E86" s="11"/>
      <c r="F86" s="11"/>
      <c r="G86" s="11"/>
      <c r="H86" s="11">
        <v>168</v>
      </c>
      <c r="I86" s="15"/>
      <c r="J86" s="12">
        <f t="shared" si="6"/>
        <v>49238.77</v>
      </c>
      <c r="K86" s="12">
        <f t="shared" si="7"/>
        <v>114967.48</v>
      </c>
    </row>
    <row r="87" spans="2:11" x14ac:dyDescent="0.25">
      <c r="B87" s="44">
        <v>43153</v>
      </c>
      <c r="C87" s="13" t="s">
        <v>214</v>
      </c>
      <c r="D87" s="41"/>
      <c r="E87" s="11"/>
      <c r="F87" s="11"/>
      <c r="G87" s="11"/>
      <c r="H87" s="11">
        <v>520</v>
      </c>
      <c r="I87" s="15"/>
      <c r="J87" s="12">
        <f t="shared" si="6"/>
        <v>49238.77</v>
      </c>
      <c r="K87" s="12">
        <f t="shared" si="7"/>
        <v>114447.48</v>
      </c>
    </row>
    <row r="88" spans="2:11" x14ac:dyDescent="0.25">
      <c r="B88" s="44">
        <v>43154</v>
      </c>
      <c r="C88" s="13" t="s">
        <v>206</v>
      </c>
      <c r="D88" s="41"/>
      <c r="E88" s="41"/>
      <c r="F88" s="41"/>
      <c r="G88" s="16"/>
      <c r="H88" s="11">
        <v>132</v>
      </c>
      <c r="I88" s="15"/>
      <c r="J88" s="12">
        <f t="shared" si="6"/>
        <v>49238.77</v>
      </c>
      <c r="K88" s="12">
        <f t="shared" si="7"/>
        <v>114315.48</v>
      </c>
    </row>
    <row r="89" spans="2:11" x14ac:dyDescent="0.25">
      <c r="B89" s="44">
        <v>43154</v>
      </c>
      <c r="C89" s="13" t="s">
        <v>215</v>
      </c>
      <c r="D89" s="41"/>
      <c r="E89" s="41"/>
      <c r="F89" s="41"/>
      <c r="G89" s="16"/>
      <c r="H89" s="11">
        <v>1250</v>
      </c>
      <c r="I89" s="15"/>
      <c r="J89" s="12">
        <f t="shared" si="6"/>
        <v>49238.77</v>
      </c>
      <c r="K89" s="12">
        <f t="shared" si="7"/>
        <v>113065.48</v>
      </c>
    </row>
    <row r="90" spans="2:11" x14ac:dyDescent="0.25">
      <c r="B90" s="44">
        <v>43155</v>
      </c>
      <c r="C90" s="13" t="s">
        <v>216</v>
      </c>
      <c r="D90" s="41"/>
      <c r="E90" s="41"/>
      <c r="F90" s="41"/>
      <c r="G90" s="16"/>
      <c r="H90" s="11">
        <v>89.5</v>
      </c>
      <c r="I90" s="15"/>
      <c r="J90" s="12">
        <f t="shared" si="6"/>
        <v>49238.77</v>
      </c>
      <c r="K90" s="12">
        <f t="shared" si="7"/>
        <v>112975.98</v>
      </c>
    </row>
    <row r="91" spans="2:11" x14ac:dyDescent="0.25">
      <c r="B91" s="44">
        <v>43156</v>
      </c>
      <c r="C91" s="13" t="s">
        <v>217</v>
      </c>
      <c r="D91" s="41"/>
      <c r="E91" s="41"/>
      <c r="F91" s="41"/>
      <c r="G91" s="16"/>
      <c r="H91" s="11">
        <v>13</v>
      </c>
      <c r="I91" s="15"/>
      <c r="J91" s="12">
        <f t="shared" si="6"/>
        <v>49238.77</v>
      </c>
      <c r="K91" s="12">
        <f t="shared" si="7"/>
        <v>112962.98</v>
      </c>
    </row>
    <row r="92" spans="2:11" x14ac:dyDescent="0.25">
      <c r="B92" s="44">
        <v>43156</v>
      </c>
      <c r="C92" s="13" t="s">
        <v>218</v>
      </c>
      <c r="D92" s="41"/>
      <c r="E92" s="41"/>
      <c r="F92" s="41"/>
      <c r="G92" s="41"/>
      <c r="H92" s="11">
        <v>114</v>
      </c>
      <c r="I92" s="15"/>
      <c r="J92" s="12">
        <f t="shared" si="6"/>
        <v>49238.77</v>
      </c>
      <c r="K92" s="12">
        <f t="shared" si="7"/>
        <v>112848.98</v>
      </c>
    </row>
    <row r="93" spans="2:11" x14ac:dyDescent="0.25">
      <c r="B93" s="44">
        <v>43156</v>
      </c>
      <c r="C93" s="13" t="s">
        <v>219</v>
      </c>
      <c r="D93" s="41"/>
      <c r="E93" s="41"/>
      <c r="F93" s="41"/>
      <c r="G93" s="41"/>
      <c r="H93" s="11">
        <v>52.5</v>
      </c>
      <c r="I93" s="15"/>
      <c r="J93" s="12">
        <f t="shared" si="6"/>
        <v>49238.77</v>
      </c>
      <c r="K93" s="12">
        <f t="shared" si="7"/>
        <v>112796.48</v>
      </c>
    </row>
    <row r="94" spans="2:11" x14ac:dyDescent="0.25">
      <c r="B94" s="44">
        <v>43156</v>
      </c>
      <c r="C94" s="13" t="s">
        <v>220</v>
      </c>
      <c r="D94" s="41"/>
      <c r="E94" s="11"/>
      <c r="F94" s="11"/>
      <c r="G94" s="11"/>
      <c r="H94" s="11">
        <v>120</v>
      </c>
      <c r="I94" s="15"/>
      <c r="J94" s="12">
        <f t="shared" si="6"/>
        <v>49238.77</v>
      </c>
      <c r="K94" s="12">
        <f t="shared" si="7"/>
        <v>112676.48</v>
      </c>
    </row>
    <row r="95" spans="2:11" x14ac:dyDescent="0.25">
      <c r="B95" s="44">
        <v>43156</v>
      </c>
      <c r="C95" s="13" t="s">
        <v>221</v>
      </c>
      <c r="D95" s="41"/>
      <c r="E95" s="11"/>
      <c r="F95" s="11"/>
      <c r="G95" s="11"/>
      <c r="H95" s="11">
        <v>150</v>
      </c>
      <c r="I95" s="15"/>
      <c r="J95" s="12">
        <f t="shared" si="6"/>
        <v>49238.77</v>
      </c>
      <c r="K95" s="12">
        <f t="shared" si="7"/>
        <v>112526.48</v>
      </c>
    </row>
    <row r="96" spans="2:11" x14ac:dyDescent="0.25">
      <c r="B96" s="44">
        <v>43156</v>
      </c>
      <c r="C96" s="13" t="s">
        <v>233</v>
      </c>
      <c r="D96" s="41">
        <v>37675</v>
      </c>
      <c r="E96" s="11"/>
      <c r="F96" s="11"/>
      <c r="G96" s="11"/>
      <c r="H96" s="11"/>
      <c r="I96" s="15"/>
      <c r="J96" s="12">
        <f t="shared" si="6"/>
        <v>49238.77</v>
      </c>
      <c r="K96" s="12">
        <f t="shared" si="7"/>
        <v>150201.47999999998</v>
      </c>
    </row>
    <row r="97" spans="2:12" x14ac:dyDescent="0.25">
      <c r="B97" s="44">
        <v>43157</v>
      </c>
      <c r="C97" s="13" t="s">
        <v>222</v>
      </c>
      <c r="D97" s="41"/>
      <c r="E97" s="11"/>
      <c r="F97" s="11"/>
      <c r="G97" s="11"/>
      <c r="H97" s="11">
        <v>400</v>
      </c>
      <c r="I97" s="15"/>
      <c r="J97" s="12">
        <f t="shared" si="6"/>
        <v>49238.77</v>
      </c>
      <c r="K97" s="12">
        <f t="shared" si="7"/>
        <v>149801.47999999998</v>
      </c>
    </row>
    <row r="98" spans="2:12" x14ac:dyDescent="0.25">
      <c r="B98" s="44">
        <v>43157</v>
      </c>
      <c r="C98" s="13" t="s">
        <v>162</v>
      </c>
      <c r="D98" s="41"/>
      <c r="E98" s="11"/>
      <c r="F98" s="11"/>
      <c r="G98" s="11"/>
      <c r="H98" s="11">
        <v>170</v>
      </c>
      <c r="I98" s="15"/>
      <c r="J98" s="12">
        <f t="shared" si="6"/>
        <v>49238.77</v>
      </c>
      <c r="K98" s="12">
        <f t="shared" si="7"/>
        <v>149631.47999999998</v>
      </c>
    </row>
    <row r="99" spans="2:12" x14ac:dyDescent="0.25">
      <c r="B99" s="44">
        <v>43159</v>
      </c>
      <c r="C99" s="13" t="s">
        <v>223</v>
      </c>
      <c r="D99" s="41"/>
      <c r="E99" s="11"/>
      <c r="F99" s="11"/>
      <c r="G99" s="11"/>
      <c r="H99" s="11">
        <v>520</v>
      </c>
      <c r="I99" s="15"/>
      <c r="J99" s="12">
        <f t="shared" si="6"/>
        <v>49238.77</v>
      </c>
      <c r="K99" s="12">
        <f t="shared" si="7"/>
        <v>149111.47999999998</v>
      </c>
    </row>
    <row r="100" spans="2:12" x14ac:dyDescent="0.25">
      <c r="B100" s="44">
        <v>43159</v>
      </c>
      <c r="C100" s="13" t="s">
        <v>224</v>
      </c>
      <c r="D100" s="41"/>
      <c r="E100" s="11"/>
      <c r="F100" s="11"/>
      <c r="G100" s="11"/>
      <c r="H100" s="11">
        <v>300</v>
      </c>
      <c r="I100" s="15"/>
      <c r="J100" s="12">
        <f t="shared" si="6"/>
        <v>49238.77</v>
      </c>
      <c r="K100" s="12">
        <f t="shared" si="7"/>
        <v>148811.47999999998</v>
      </c>
    </row>
    <row r="101" spans="2:12" x14ac:dyDescent="0.25">
      <c r="B101" s="44">
        <v>43159</v>
      </c>
      <c r="C101" s="13" t="s">
        <v>225</v>
      </c>
      <c r="D101" s="41"/>
      <c r="E101" s="11"/>
      <c r="F101" s="11"/>
      <c r="G101" s="11"/>
      <c r="H101" s="11">
        <v>550</v>
      </c>
      <c r="I101" s="15"/>
      <c r="J101" s="12">
        <f t="shared" si="6"/>
        <v>49238.77</v>
      </c>
      <c r="K101" s="12">
        <f t="shared" si="7"/>
        <v>148261.47999999998</v>
      </c>
    </row>
    <row r="102" spans="2:12" x14ac:dyDescent="0.25">
      <c r="B102" s="27">
        <v>43159</v>
      </c>
      <c r="C102" s="35" t="s">
        <v>232</v>
      </c>
      <c r="D102" s="41"/>
      <c r="E102" s="11"/>
      <c r="F102" s="11"/>
      <c r="G102" s="11"/>
      <c r="H102" s="11">
        <v>2000</v>
      </c>
      <c r="I102" s="15"/>
      <c r="J102" s="12">
        <f t="shared" si="6"/>
        <v>49238.77</v>
      </c>
      <c r="K102" s="12">
        <f t="shared" si="7"/>
        <v>146261.47999999998</v>
      </c>
    </row>
    <row r="103" spans="2:12" x14ac:dyDescent="0.25">
      <c r="B103" s="27">
        <v>43159</v>
      </c>
      <c r="C103" s="34" t="s">
        <v>231</v>
      </c>
      <c r="D103" s="11"/>
      <c r="E103" s="116"/>
      <c r="F103" s="11"/>
      <c r="G103" s="11"/>
      <c r="H103" s="11">
        <v>4000</v>
      </c>
      <c r="I103" s="15"/>
      <c r="J103" s="12">
        <f t="shared" si="6"/>
        <v>49238.77</v>
      </c>
      <c r="K103" s="12">
        <f t="shared" si="7"/>
        <v>142261.47999999998</v>
      </c>
    </row>
    <row r="104" spans="2:12" x14ac:dyDescent="0.25">
      <c r="B104" s="27">
        <v>43159</v>
      </c>
      <c r="C104" s="13" t="s">
        <v>230</v>
      </c>
      <c r="D104" s="11"/>
      <c r="E104" s="116"/>
      <c r="F104" s="11"/>
      <c r="G104" s="11"/>
      <c r="H104" s="11">
        <v>40000</v>
      </c>
      <c r="I104" s="15"/>
      <c r="J104" s="12">
        <f t="shared" si="6"/>
        <v>49238.77</v>
      </c>
      <c r="K104" s="12">
        <f t="shared" si="7"/>
        <v>102261.47999999998</v>
      </c>
    </row>
    <row r="105" spans="2:12" x14ac:dyDescent="0.25">
      <c r="B105" s="27">
        <v>43138</v>
      </c>
      <c r="C105" s="9" t="s">
        <v>229</v>
      </c>
      <c r="D105" s="11"/>
      <c r="E105" s="116">
        <v>300.45999999999998</v>
      </c>
      <c r="F105" s="11"/>
      <c r="G105" s="11"/>
      <c r="H105" s="11"/>
      <c r="I105" s="15"/>
      <c r="J105" s="12">
        <f t="shared" si="6"/>
        <v>49539.229999999996</v>
      </c>
      <c r="K105" s="12">
        <f t="shared" si="7"/>
        <v>102261.47999999998</v>
      </c>
    </row>
    <row r="106" spans="2:12" x14ac:dyDescent="0.25">
      <c r="B106" s="27">
        <v>43159</v>
      </c>
      <c r="C106" s="13" t="s">
        <v>228</v>
      </c>
      <c r="D106" s="41"/>
      <c r="E106" s="11"/>
      <c r="F106" s="11"/>
      <c r="G106" s="11">
        <v>18</v>
      </c>
      <c r="H106" s="11"/>
      <c r="I106" s="15"/>
      <c r="J106" s="12">
        <f t="shared" si="6"/>
        <v>49521.229999999996</v>
      </c>
      <c r="K106" s="12">
        <f t="shared" si="7"/>
        <v>102261.47999999998</v>
      </c>
      <c r="L106" s="1"/>
    </row>
    <row r="107" spans="2:12" x14ac:dyDescent="0.25">
      <c r="B107" s="27">
        <v>43159</v>
      </c>
      <c r="C107" s="13" t="s">
        <v>227</v>
      </c>
      <c r="D107" s="41"/>
      <c r="E107" s="11"/>
      <c r="F107" s="11"/>
      <c r="G107" s="11">
        <v>2.88</v>
      </c>
      <c r="H107" s="11"/>
      <c r="I107" s="15"/>
      <c r="J107" s="12">
        <f t="shared" si="6"/>
        <v>49518.35</v>
      </c>
      <c r="K107" s="12">
        <f t="shared" si="7"/>
        <v>102261.47999999998</v>
      </c>
    </row>
    <row r="108" spans="2:12" x14ac:dyDescent="0.25">
      <c r="B108" s="27"/>
      <c r="C108" s="13"/>
      <c r="D108" s="41"/>
      <c r="E108" s="11"/>
      <c r="F108" s="11"/>
      <c r="G108" s="11"/>
      <c r="H108" s="11"/>
      <c r="I108" s="15"/>
      <c r="J108" s="12">
        <f t="shared" si="6"/>
        <v>49518.35</v>
      </c>
      <c r="K108" s="12">
        <f t="shared" si="7"/>
        <v>102261.47999999998</v>
      </c>
    </row>
    <row r="109" spans="2:12" ht="15.75" thickBot="1" x14ac:dyDescent="0.3">
      <c r="B109" s="27"/>
      <c r="C109" s="9"/>
      <c r="D109" s="41"/>
      <c r="E109" s="11"/>
      <c r="F109" s="11"/>
      <c r="G109" s="11"/>
      <c r="H109" s="11"/>
      <c r="I109" s="15"/>
      <c r="J109" s="12">
        <f>+J108+E109-G109</f>
        <v>49518.35</v>
      </c>
      <c r="K109" s="12">
        <f t="shared" si="7"/>
        <v>102261.47999999998</v>
      </c>
    </row>
    <row r="110" spans="2:12" ht="15.75" thickBot="1" x14ac:dyDescent="0.3">
      <c r="B110" s="5"/>
      <c r="C110" s="7" t="s">
        <v>0</v>
      </c>
      <c r="D110" s="62">
        <f>SUM(D56:D109)</f>
        <v>134200</v>
      </c>
      <c r="E110" s="61">
        <f>SUM(E56:E109)</f>
        <v>13060.46</v>
      </c>
      <c r="F110" s="71">
        <f>SUM(D110:E110)</f>
        <v>147260.46</v>
      </c>
      <c r="G110" s="80">
        <f>SUM(G58:G109)</f>
        <v>3180.88</v>
      </c>
      <c r="H110" s="98">
        <f>SUM(H58:H109)</f>
        <v>120115.22</v>
      </c>
      <c r="I110" s="71">
        <f>SUM(G110:H110)</f>
        <v>123296.1</v>
      </c>
      <c r="J110" s="20"/>
      <c r="K110" s="20"/>
    </row>
    <row r="111" spans="2:12" ht="15.75" thickBot="1" x14ac:dyDescent="0.3"/>
    <row r="112" spans="2:12" ht="15.75" thickBot="1" x14ac:dyDescent="0.3">
      <c r="I112" s="74" t="s">
        <v>8</v>
      </c>
      <c r="J112" s="74" t="s">
        <v>7</v>
      </c>
      <c r="K112" s="95" t="s">
        <v>0</v>
      </c>
    </row>
    <row r="113" spans="9:11" ht="15.75" thickBot="1" x14ac:dyDescent="0.3">
      <c r="I113" s="77">
        <v>49518.35</v>
      </c>
      <c r="J113" s="77">
        <v>102261.48</v>
      </c>
      <c r="K113" s="20">
        <f>SUM(I113:J113)</f>
        <v>151779.82999999999</v>
      </c>
    </row>
  </sheetData>
  <printOptions verticalCentered="1"/>
  <pageMargins left="0.31496062992125984" right="0" top="0.19685039370078741" bottom="0" header="0.31496062992125984" footer="0.31496062992125984"/>
  <pageSetup paperSize="9" scale="71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1:L117"/>
  <sheetViews>
    <sheetView zoomScale="90" zoomScaleNormal="90" workbookViewId="0">
      <pane ySplit="4" topLeftCell="A110" activePane="bottomLeft" state="frozen"/>
      <selection activeCell="B1" sqref="B1"/>
      <selection pane="bottomLeft" activeCell="H128" sqref="H128"/>
    </sheetView>
  </sheetViews>
  <sheetFormatPr baseColWidth="10" defaultRowHeight="15" x14ac:dyDescent="0.25"/>
  <cols>
    <col min="1" max="1" width="10.7109375" customWidth="1"/>
    <col min="2" max="2" width="11.7109375" customWidth="1"/>
    <col min="3" max="3" width="85" customWidth="1"/>
    <col min="4" max="11" width="11.7109375" customWidth="1"/>
  </cols>
  <sheetData>
    <row r="1" spans="2:11" ht="15.75" x14ac:dyDescent="0.25">
      <c r="B1" s="28">
        <v>42825</v>
      </c>
      <c r="J1" s="72" t="s">
        <v>25</v>
      </c>
      <c r="K1" s="46"/>
    </row>
    <row r="2" spans="2:11" ht="15.75" thickBot="1" x14ac:dyDescent="0.3">
      <c r="B2" s="135" t="s">
        <v>42</v>
      </c>
      <c r="C2" s="135"/>
      <c r="D2" s="135"/>
      <c r="E2" s="135"/>
      <c r="F2" s="135"/>
      <c r="G2" s="135"/>
      <c r="H2" s="135"/>
      <c r="I2" s="135"/>
      <c r="J2" s="135"/>
      <c r="K2" s="135"/>
    </row>
    <row r="3" spans="2:11" x14ac:dyDescent="0.25">
      <c r="B3" s="68" t="s">
        <v>1</v>
      </c>
      <c r="C3" s="68" t="s">
        <v>2</v>
      </c>
      <c r="D3" s="68" t="s">
        <v>3</v>
      </c>
      <c r="E3" s="68" t="s">
        <v>3</v>
      </c>
      <c r="F3" s="68" t="s">
        <v>22</v>
      </c>
      <c r="G3" s="68" t="s">
        <v>23</v>
      </c>
      <c r="H3" s="48" t="s">
        <v>23</v>
      </c>
      <c r="I3" s="48" t="s">
        <v>22</v>
      </c>
      <c r="J3" s="68" t="s">
        <v>8</v>
      </c>
      <c r="K3" s="48" t="s">
        <v>7</v>
      </c>
    </row>
    <row r="4" spans="2:11" ht="15.75" thickBot="1" x14ac:dyDescent="0.3">
      <c r="B4" s="69"/>
      <c r="C4" s="69"/>
      <c r="D4" s="69" t="s">
        <v>5</v>
      </c>
      <c r="E4" s="69" t="s">
        <v>24</v>
      </c>
      <c r="F4" s="69" t="s">
        <v>3</v>
      </c>
      <c r="G4" s="69" t="s">
        <v>24</v>
      </c>
      <c r="H4" s="70" t="s">
        <v>5</v>
      </c>
      <c r="I4" s="70" t="s">
        <v>4</v>
      </c>
      <c r="J4" s="69"/>
      <c r="K4" s="70"/>
    </row>
    <row r="5" spans="2:11" x14ac:dyDescent="0.25">
      <c r="B5" s="23">
        <v>43159</v>
      </c>
      <c r="C5" s="65" t="s">
        <v>43</v>
      </c>
      <c r="D5" s="66"/>
      <c r="E5" s="63"/>
      <c r="F5" s="63"/>
      <c r="G5" s="63"/>
      <c r="H5" s="17"/>
      <c r="I5" s="64"/>
      <c r="J5" s="73">
        <v>49518.35</v>
      </c>
      <c r="K5" s="67">
        <v>102261.48</v>
      </c>
    </row>
    <row r="6" spans="2:11" x14ac:dyDescent="0.25">
      <c r="B6" s="23">
        <v>43160</v>
      </c>
      <c r="C6" s="9" t="s">
        <v>234</v>
      </c>
      <c r="D6" s="10"/>
      <c r="E6" s="10"/>
      <c r="F6" s="10"/>
      <c r="G6" s="10"/>
      <c r="H6" s="11">
        <v>35</v>
      </c>
      <c r="I6" s="11"/>
      <c r="J6" s="12">
        <f>+J5+E6-G6</f>
        <v>49518.35</v>
      </c>
      <c r="K6" s="12">
        <f>+K5+D6-H6</f>
        <v>102226.48</v>
      </c>
    </row>
    <row r="7" spans="2:11" ht="15.75" x14ac:dyDescent="0.25">
      <c r="B7" s="18">
        <v>43160</v>
      </c>
      <c r="C7" s="9" t="s">
        <v>235</v>
      </c>
      <c r="D7" s="33"/>
      <c r="E7" s="33"/>
      <c r="F7" s="33"/>
      <c r="G7" s="33"/>
      <c r="H7" s="60">
        <v>430</v>
      </c>
      <c r="I7" s="60"/>
      <c r="J7" s="12">
        <f t="shared" ref="J7:J54" si="0">+J6+E7-G7</f>
        <v>49518.35</v>
      </c>
      <c r="K7" s="12">
        <f t="shared" ref="K7:K54" si="1">+K6+D7-H7</f>
        <v>101796.48</v>
      </c>
    </row>
    <row r="8" spans="2:11" x14ac:dyDescent="0.25">
      <c r="B8" s="18">
        <v>43160</v>
      </c>
      <c r="C8" s="13" t="s">
        <v>236</v>
      </c>
      <c r="D8" s="11"/>
      <c r="E8" s="11"/>
      <c r="F8" s="11"/>
      <c r="G8" s="11"/>
      <c r="H8" s="11">
        <v>300</v>
      </c>
      <c r="I8" s="11"/>
      <c r="J8" s="12">
        <f t="shared" si="0"/>
        <v>49518.35</v>
      </c>
      <c r="K8" s="12">
        <f t="shared" si="1"/>
        <v>101496.48</v>
      </c>
    </row>
    <row r="9" spans="2:11" x14ac:dyDescent="0.25">
      <c r="B9" s="18">
        <v>43160</v>
      </c>
      <c r="C9" s="13" t="s">
        <v>237</v>
      </c>
      <c r="D9" s="11"/>
      <c r="E9" s="11"/>
      <c r="F9" s="11"/>
      <c r="G9" s="11"/>
      <c r="H9" s="11">
        <v>520</v>
      </c>
      <c r="I9" s="11"/>
      <c r="J9" s="12">
        <f t="shared" si="0"/>
        <v>49518.35</v>
      </c>
      <c r="K9" s="12">
        <f t="shared" si="1"/>
        <v>100976.48</v>
      </c>
    </row>
    <row r="10" spans="2:11" x14ac:dyDescent="0.25">
      <c r="B10" s="18">
        <v>43160</v>
      </c>
      <c r="C10" s="24" t="s">
        <v>238</v>
      </c>
      <c r="D10" s="11"/>
      <c r="E10" s="11"/>
      <c r="F10" s="11"/>
      <c r="G10" s="11"/>
      <c r="H10" s="11">
        <v>1600</v>
      </c>
      <c r="I10" s="15"/>
      <c r="J10" s="12">
        <f t="shared" si="0"/>
        <v>49518.35</v>
      </c>
      <c r="K10" s="12">
        <f t="shared" si="1"/>
        <v>99376.48</v>
      </c>
    </row>
    <row r="11" spans="2:11" x14ac:dyDescent="0.25">
      <c r="B11" s="18">
        <v>43160</v>
      </c>
      <c r="C11" s="24" t="s">
        <v>239</v>
      </c>
      <c r="D11" s="11"/>
      <c r="E11" s="11"/>
      <c r="F11" s="11"/>
      <c r="G11" s="15"/>
      <c r="H11" s="11">
        <v>900</v>
      </c>
      <c r="I11" s="11"/>
      <c r="J11" s="12">
        <f t="shared" si="0"/>
        <v>49518.35</v>
      </c>
      <c r="K11" s="12">
        <f t="shared" si="1"/>
        <v>98476.479999999996</v>
      </c>
    </row>
    <row r="12" spans="2:11" x14ac:dyDescent="0.25">
      <c r="B12" s="18">
        <v>43161</v>
      </c>
      <c r="C12" s="13" t="s">
        <v>240</v>
      </c>
      <c r="D12" s="11"/>
      <c r="E12" s="11"/>
      <c r="F12" s="11"/>
      <c r="G12" s="11"/>
      <c r="H12" s="11">
        <v>1250</v>
      </c>
      <c r="I12" s="11"/>
      <c r="J12" s="12">
        <f t="shared" si="0"/>
        <v>49518.35</v>
      </c>
      <c r="K12" s="12">
        <f t="shared" si="1"/>
        <v>97226.48</v>
      </c>
    </row>
    <row r="13" spans="2:11" x14ac:dyDescent="0.25">
      <c r="B13" s="18">
        <v>43161</v>
      </c>
      <c r="C13" s="13" t="s">
        <v>241</v>
      </c>
      <c r="D13" s="11"/>
      <c r="E13" s="11"/>
      <c r="F13" s="11"/>
      <c r="G13" s="11"/>
      <c r="H13" s="11">
        <v>1650</v>
      </c>
      <c r="I13" s="11"/>
      <c r="J13" s="12">
        <f t="shared" si="0"/>
        <v>49518.35</v>
      </c>
      <c r="K13" s="12">
        <f t="shared" si="1"/>
        <v>95576.48</v>
      </c>
    </row>
    <row r="14" spans="2:11" x14ac:dyDescent="0.25">
      <c r="B14" s="18">
        <v>43161</v>
      </c>
      <c r="C14" s="24" t="s">
        <v>242</v>
      </c>
      <c r="D14" s="11"/>
      <c r="E14" s="11"/>
      <c r="F14" s="11"/>
      <c r="G14" s="11"/>
      <c r="H14" s="11">
        <v>3000</v>
      </c>
      <c r="I14" s="15"/>
      <c r="J14" s="12">
        <f t="shared" si="0"/>
        <v>49518.35</v>
      </c>
      <c r="K14" s="12">
        <f t="shared" si="1"/>
        <v>92576.48</v>
      </c>
    </row>
    <row r="15" spans="2:11" x14ac:dyDescent="0.25">
      <c r="B15" s="18">
        <v>43134</v>
      </c>
      <c r="C15" s="14" t="s">
        <v>243</v>
      </c>
      <c r="D15" s="11"/>
      <c r="E15" s="11"/>
      <c r="F15" s="11"/>
      <c r="G15" s="11"/>
      <c r="H15" s="11">
        <v>38</v>
      </c>
      <c r="I15" s="11"/>
      <c r="J15" s="12">
        <f t="shared" si="0"/>
        <v>49518.35</v>
      </c>
      <c r="K15" s="12">
        <f t="shared" si="1"/>
        <v>92538.48</v>
      </c>
    </row>
    <row r="16" spans="2:11" x14ac:dyDescent="0.25">
      <c r="B16" s="18">
        <v>43162</v>
      </c>
      <c r="C16" s="13" t="s">
        <v>234</v>
      </c>
      <c r="D16" s="11"/>
      <c r="E16" s="11"/>
      <c r="F16" s="11"/>
      <c r="G16" s="11"/>
      <c r="H16" s="11">
        <v>100</v>
      </c>
      <c r="I16" s="11"/>
      <c r="J16" s="12">
        <f t="shared" si="0"/>
        <v>49518.35</v>
      </c>
      <c r="K16" s="12">
        <f t="shared" si="1"/>
        <v>92438.48</v>
      </c>
    </row>
    <row r="17" spans="2:11" x14ac:dyDescent="0.25">
      <c r="B17" s="18">
        <v>43163</v>
      </c>
      <c r="C17" s="13" t="s">
        <v>244</v>
      </c>
      <c r="D17" s="11"/>
      <c r="E17" s="11"/>
      <c r="F17" s="11"/>
      <c r="G17" s="11"/>
      <c r="H17" s="11">
        <v>52.5</v>
      </c>
      <c r="I17" s="11"/>
      <c r="J17" s="12">
        <f t="shared" si="0"/>
        <v>49518.35</v>
      </c>
      <c r="K17" s="12">
        <f t="shared" si="1"/>
        <v>92385.98</v>
      </c>
    </row>
    <row r="18" spans="2:11" x14ac:dyDescent="0.25">
      <c r="B18" s="18">
        <v>43163</v>
      </c>
      <c r="C18" s="13" t="s">
        <v>245</v>
      </c>
      <c r="D18" s="11"/>
      <c r="E18" s="11"/>
      <c r="F18" s="11"/>
      <c r="G18" s="11"/>
      <c r="H18" s="11">
        <v>120</v>
      </c>
      <c r="I18" s="11"/>
      <c r="J18" s="12">
        <f t="shared" si="0"/>
        <v>49518.35</v>
      </c>
      <c r="K18" s="12">
        <f t="shared" si="1"/>
        <v>92265.98</v>
      </c>
    </row>
    <row r="19" spans="2:11" x14ac:dyDescent="0.25">
      <c r="B19" s="25">
        <v>43163</v>
      </c>
      <c r="C19" s="13" t="s">
        <v>74</v>
      </c>
      <c r="D19" s="11"/>
      <c r="E19" s="11"/>
      <c r="F19" s="11"/>
      <c r="G19" s="11"/>
      <c r="H19" s="11">
        <v>150</v>
      </c>
      <c r="I19" s="11"/>
      <c r="J19" s="12">
        <f t="shared" si="0"/>
        <v>49518.35</v>
      </c>
      <c r="K19" s="12">
        <f t="shared" si="1"/>
        <v>92115.98</v>
      </c>
    </row>
    <row r="20" spans="2:11" x14ac:dyDescent="0.25">
      <c r="B20" s="25">
        <v>43163</v>
      </c>
      <c r="C20" s="13" t="s">
        <v>246</v>
      </c>
      <c r="D20" s="11"/>
      <c r="E20" s="11"/>
      <c r="F20" s="11"/>
      <c r="G20" s="11"/>
      <c r="H20" s="11">
        <v>52</v>
      </c>
      <c r="I20" s="11"/>
      <c r="J20" s="12">
        <f t="shared" si="0"/>
        <v>49518.35</v>
      </c>
      <c r="K20" s="12">
        <f t="shared" si="1"/>
        <v>92063.98</v>
      </c>
    </row>
    <row r="21" spans="2:11" x14ac:dyDescent="0.25">
      <c r="B21" s="25">
        <v>43163</v>
      </c>
      <c r="C21" s="13" t="s">
        <v>247</v>
      </c>
      <c r="D21" s="11"/>
      <c r="E21" s="11"/>
      <c r="F21" s="11"/>
      <c r="G21" s="11"/>
      <c r="H21" s="11">
        <v>83.12</v>
      </c>
      <c r="I21" s="11"/>
      <c r="J21" s="12">
        <f t="shared" si="0"/>
        <v>49518.35</v>
      </c>
      <c r="K21" s="12">
        <f t="shared" si="1"/>
        <v>91980.86</v>
      </c>
    </row>
    <row r="22" spans="2:11" x14ac:dyDescent="0.25">
      <c r="B22" s="18">
        <v>43163</v>
      </c>
      <c r="C22" s="13" t="s">
        <v>248</v>
      </c>
      <c r="D22" s="11">
        <v>37975</v>
      </c>
      <c r="E22" s="11"/>
      <c r="F22" s="11"/>
      <c r="G22" s="11"/>
      <c r="H22" s="11"/>
      <c r="I22" s="11"/>
      <c r="J22" s="12">
        <f t="shared" si="0"/>
        <v>49518.35</v>
      </c>
      <c r="K22" s="12">
        <f t="shared" si="1"/>
        <v>129955.86</v>
      </c>
    </row>
    <row r="23" spans="2:11" x14ac:dyDescent="0.25">
      <c r="B23" s="18">
        <v>43164</v>
      </c>
      <c r="C23" s="13" t="s">
        <v>249</v>
      </c>
      <c r="D23" s="11"/>
      <c r="E23" s="11"/>
      <c r="F23" s="11"/>
      <c r="G23" s="11"/>
      <c r="H23" s="11">
        <v>210</v>
      </c>
      <c r="I23" s="11"/>
      <c r="J23" s="12">
        <f t="shared" si="0"/>
        <v>49518.35</v>
      </c>
      <c r="K23" s="12">
        <f t="shared" si="1"/>
        <v>129745.86</v>
      </c>
    </row>
    <row r="24" spans="2:11" x14ac:dyDescent="0.25">
      <c r="B24" s="23">
        <v>43164</v>
      </c>
      <c r="C24" s="13" t="s">
        <v>250</v>
      </c>
      <c r="D24" s="17"/>
      <c r="E24" s="17"/>
      <c r="F24" s="17"/>
      <c r="G24" s="17"/>
      <c r="H24" s="17">
        <v>300</v>
      </c>
      <c r="I24" s="17"/>
      <c r="J24" s="12">
        <f t="shared" si="0"/>
        <v>49518.35</v>
      </c>
      <c r="K24" s="12">
        <f t="shared" si="1"/>
        <v>129445.86</v>
      </c>
    </row>
    <row r="25" spans="2:11" x14ac:dyDescent="0.25">
      <c r="B25" s="23">
        <v>43164</v>
      </c>
      <c r="C25" s="13" t="s">
        <v>251</v>
      </c>
      <c r="D25" s="17"/>
      <c r="E25" s="17"/>
      <c r="F25" s="17"/>
      <c r="G25" s="17"/>
      <c r="H25" s="17">
        <v>361.8</v>
      </c>
      <c r="I25" s="17"/>
      <c r="J25" s="12">
        <f t="shared" si="0"/>
        <v>49518.35</v>
      </c>
      <c r="K25" s="12">
        <f t="shared" si="1"/>
        <v>129084.06</v>
      </c>
    </row>
    <row r="26" spans="2:11" x14ac:dyDescent="0.25">
      <c r="B26" s="18">
        <v>43164</v>
      </c>
      <c r="C26" s="13" t="s">
        <v>237</v>
      </c>
      <c r="D26" s="11"/>
      <c r="E26" s="11"/>
      <c r="F26" s="11"/>
      <c r="G26" s="11"/>
      <c r="H26" s="11">
        <v>520</v>
      </c>
      <c r="I26" s="11"/>
      <c r="J26" s="12">
        <f t="shared" si="0"/>
        <v>49518.35</v>
      </c>
      <c r="K26" s="12">
        <f t="shared" si="1"/>
        <v>128564.06</v>
      </c>
    </row>
    <row r="27" spans="2:11" x14ac:dyDescent="0.25">
      <c r="B27" s="18">
        <v>43165</v>
      </c>
      <c r="C27" s="13" t="s">
        <v>252</v>
      </c>
      <c r="D27" s="11"/>
      <c r="E27" s="11"/>
      <c r="F27" s="11"/>
      <c r="G27" s="11"/>
      <c r="H27" s="11">
        <v>1250</v>
      </c>
      <c r="I27" s="11"/>
      <c r="J27" s="12">
        <f t="shared" si="0"/>
        <v>49518.35</v>
      </c>
      <c r="K27" s="12">
        <f t="shared" si="1"/>
        <v>127314.06</v>
      </c>
    </row>
    <row r="28" spans="2:11" x14ac:dyDescent="0.25">
      <c r="B28" s="25">
        <v>43165</v>
      </c>
      <c r="C28" s="13" t="s">
        <v>253</v>
      </c>
      <c r="D28" s="11"/>
      <c r="E28" s="11"/>
      <c r="F28" s="11"/>
      <c r="G28" s="11"/>
      <c r="H28" s="11">
        <v>100</v>
      </c>
      <c r="I28" s="11"/>
      <c r="J28" s="12">
        <f t="shared" si="0"/>
        <v>49518.35</v>
      </c>
      <c r="K28" s="12">
        <f t="shared" si="1"/>
        <v>127214.06</v>
      </c>
    </row>
    <row r="29" spans="2:11" x14ac:dyDescent="0.25">
      <c r="B29" s="18">
        <v>43165</v>
      </c>
      <c r="C29" s="29" t="s">
        <v>254</v>
      </c>
      <c r="D29" s="11"/>
      <c r="E29" s="11"/>
      <c r="F29" s="11"/>
      <c r="G29" s="11"/>
      <c r="H29" s="11">
        <v>1200</v>
      </c>
      <c r="I29" s="11"/>
      <c r="J29" s="12">
        <f t="shared" si="0"/>
        <v>49518.35</v>
      </c>
      <c r="K29" s="12">
        <f t="shared" si="1"/>
        <v>126014.06</v>
      </c>
    </row>
    <row r="30" spans="2:11" x14ac:dyDescent="0.25">
      <c r="B30" s="18">
        <v>43165</v>
      </c>
      <c r="C30" s="13" t="s">
        <v>255</v>
      </c>
      <c r="D30" s="11"/>
      <c r="E30" s="11"/>
      <c r="F30" s="11"/>
      <c r="G30" s="11"/>
      <c r="H30" s="11">
        <v>300</v>
      </c>
      <c r="I30" s="11"/>
      <c r="J30" s="12">
        <f t="shared" si="0"/>
        <v>49518.35</v>
      </c>
      <c r="K30" s="12">
        <f t="shared" si="1"/>
        <v>125714.06</v>
      </c>
    </row>
    <row r="31" spans="2:11" x14ac:dyDescent="0.25">
      <c r="B31" s="18">
        <v>43167</v>
      </c>
      <c r="C31" s="13" t="s">
        <v>256</v>
      </c>
      <c r="D31" s="11"/>
      <c r="E31" s="11"/>
      <c r="F31" s="11"/>
      <c r="G31" s="11"/>
      <c r="H31" s="11">
        <v>300</v>
      </c>
      <c r="I31" s="11"/>
      <c r="J31" s="12">
        <f t="shared" si="0"/>
        <v>49518.35</v>
      </c>
      <c r="K31" s="12">
        <f t="shared" si="1"/>
        <v>125414.06</v>
      </c>
    </row>
    <row r="32" spans="2:11" x14ac:dyDescent="0.25">
      <c r="B32" s="25">
        <v>43167</v>
      </c>
      <c r="C32" s="13" t="s">
        <v>237</v>
      </c>
      <c r="D32" s="11"/>
      <c r="E32" s="11"/>
      <c r="F32" s="11"/>
      <c r="G32" s="11"/>
      <c r="H32" s="11">
        <v>520</v>
      </c>
      <c r="I32" s="11"/>
      <c r="J32" s="12">
        <f t="shared" si="0"/>
        <v>49518.35</v>
      </c>
      <c r="K32" s="12">
        <f t="shared" si="1"/>
        <v>124894.06</v>
      </c>
    </row>
    <row r="33" spans="2:11" x14ac:dyDescent="0.25">
      <c r="B33" s="18">
        <v>43169</v>
      </c>
      <c r="C33" s="13" t="s">
        <v>257</v>
      </c>
      <c r="D33" s="11"/>
      <c r="E33" s="11"/>
      <c r="F33" s="11"/>
      <c r="G33" s="11"/>
      <c r="H33" s="11">
        <v>500</v>
      </c>
      <c r="I33" s="11"/>
      <c r="J33" s="12">
        <f t="shared" si="0"/>
        <v>49518.35</v>
      </c>
      <c r="K33" s="12">
        <f t="shared" si="1"/>
        <v>124394.06</v>
      </c>
    </row>
    <row r="34" spans="2:11" x14ac:dyDescent="0.25">
      <c r="B34" s="18">
        <v>43170</v>
      </c>
      <c r="C34" s="13" t="s">
        <v>258</v>
      </c>
      <c r="D34" s="11"/>
      <c r="E34" s="11"/>
      <c r="F34" s="11"/>
      <c r="G34" s="11"/>
      <c r="H34" s="11">
        <v>300</v>
      </c>
      <c r="I34" s="11"/>
      <c r="J34" s="12">
        <f t="shared" si="0"/>
        <v>49518.35</v>
      </c>
      <c r="K34" s="12">
        <f t="shared" si="1"/>
        <v>124094.06</v>
      </c>
    </row>
    <row r="35" spans="2:11" x14ac:dyDescent="0.25">
      <c r="B35" s="18">
        <v>43170</v>
      </c>
      <c r="C35" s="29" t="s">
        <v>245</v>
      </c>
      <c r="D35" s="11"/>
      <c r="E35" s="11"/>
      <c r="F35" s="11"/>
      <c r="G35" s="11"/>
      <c r="H35" s="11">
        <v>120</v>
      </c>
      <c r="I35" s="11"/>
      <c r="J35" s="12">
        <f t="shared" si="0"/>
        <v>49518.35</v>
      </c>
      <c r="K35" s="12">
        <f t="shared" si="1"/>
        <v>123974.06</v>
      </c>
    </row>
    <row r="36" spans="2:11" x14ac:dyDescent="0.25">
      <c r="B36" s="18">
        <v>43170</v>
      </c>
      <c r="C36" s="35" t="s">
        <v>74</v>
      </c>
      <c r="D36" s="41"/>
      <c r="E36" s="41"/>
      <c r="F36" s="41"/>
      <c r="G36" s="41"/>
      <c r="H36" s="11">
        <v>150</v>
      </c>
      <c r="I36" s="11"/>
      <c r="J36" s="12">
        <f t="shared" si="0"/>
        <v>49518.35</v>
      </c>
      <c r="K36" s="12">
        <f t="shared" si="1"/>
        <v>123824.06</v>
      </c>
    </row>
    <row r="37" spans="2:11" x14ac:dyDescent="0.25">
      <c r="B37" s="18">
        <v>43170</v>
      </c>
      <c r="C37" s="34" t="s">
        <v>246</v>
      </c>
      <c r="D37" s="41"/>
      <c r="E37" s="41"/>
      <c r="F37" s="41"/>
      <c r="G37" s="41"/>
      <c r="H37" s="11">
        <v>35</v>
      </c>
      <c r="I37" s="11"/>
      <c r="J37" s="12">
        <f t="shared" si="0"/>
        <v>49518.35</v>
      </c>
      <c r="K37" s="12">
        <f t="shared" si="1"/>
        <v>123789.06</v>
      </c>
    </row>
    <row r="38" spans="2:11" x14ac:dyDescent="0.25">
      <c r="B38" s="18">
        <v>43170</v>
      </c>
      <c r="C38" s="13" t="s">
        <v>246</v>
      </c>
      <c r="D38" s="11"/>
      <c r="E38" s="11"/>
      <c r="F38" s="11"/>
      <c r="G38" s="11"/>
      <c r="H38" s="11">
        <v>75</v>
      </c>
      <c r="I38" s="11"/>
      <c r="J38" s="12">
        <f t="shared" si="0"/>
        <v>49518.35</v>
      </c>
      <c r="K38" s="12">
        <f t="shared" si="1"/>
        <v>123714.06</v>
      </c>
    </row>
    <row r="39" spans="2:11" x14ac:dyDescent="0.25">
      <c r="B39" s="18">
        <v>43170</v>
      </c>
      <c r="C39" s="13" t="s">
        <v>259</v>
      </c>
      <c r="D39" s="11">
        <v>22350</v>
      </c>
      <c r="E39" s="11"/>
      <c r="F39" s="11"/>
      <c r="G39" s="11"/>
      <c r="H39" s="11"/>
      <c r="I39" s="11"/>
      <c r="J39" s="12">
        <f t="shared" si="0"/>
        <v>49518.35</v>
      </c>
      <c r="K39" s="12">
        <f t="shared" si="1"/>
        <v>146064.06</v>
      </c>
    </row>
    <row r="40" spans="2:11" x14ac:dyDescent="0.25">
      <c r="B40" s="18">
        <v>43171</v>
      </c>
      <c r="C40" s="13" t="s">
        <v>260</v>
      </c>
      <c r="D40" s="11"/>
      <c r="E40" s="11"/>
      <c r="F40" s="11"/>
      <c r="G40" s="11"/>
      <c r="H40" s="11">
        <v>175</v>
      </c>
      <c r="I40" s="11"/>
      <c r="J40" s="12">
        <f t="shared" si="0"/>
        <v>49518.35</v>
      </c>
      <c r="K40" s="12">
        <f t="shared" si="1"/>
        <v>145889.06</v>
      </c>
    </row>
    <row r="41" spans="2:11" x14ac:dyDescent="0.25">
      <c r="B41" s="18">
        <v>43171</v>
      </c>
      <c r="C41" s="9" t="s">
        <v>237</v>
      </c>
      <c r="D41" s="11"/>
      <c r="E41" s="11"/>
      <c r="F41" s="11"/>
      <c r="G41" s="11"/>
      <c r="H41" s="11">
        <v>520</v>
      </c>
      <c r="I41" s="11"/>
      <c r="J41" s="12">
        <f t="shared" si="0"/>
        <v>49518.35</v>
      </c>
      <c r="K41" s="12">
        <f t="shared" si="1"/>
        <v>145369.06</v>
      </c>
    </row>
    <row r="42" spans="2:11" x14ac:dyDescent="0.25">
      <c r="B42" s="18">
        <v>43171</v>
      </c>
      <c r="C42" s="13" t="s">
        <v>262</v>
      </c>
      <c r="D42" s="11"/>
      <c r="E42" s="11"/>
      <c r="F42" s="11"/>
      <c r="G42" s="11"/>
      <c r="H42" s="126">
        <v>3800</v>
      </c>
      <c r="I42" s="11"/>
      <c r="J42" s="12">
        <f t="shared" si="0"/>
        <v>49518.35</v>
      </c>
      <c r="K42" s="12">
        <f t="shared" si="1"/>
        <v>141569.06</v>
      </c>
    </row>
    <row r="43" spans="2:11" x14ac:dyDescent="0.25">
      <c r="B43" s="18">
        <v>43171</v>
      </c>
      <c r="C43" s="13" t="s">
        <v>279</v>
      </c>
      <c r="D43" s="11"/>
      <c r="E43" s="11"/>
      <c r="F43" s="11"/>
      <c r="G43" s="11"/>
      <c r="H43" s="59">
        <v>900</v>
      </c>
      <c r="I43" s="11"/>
      <c r="J43" s="12">
        <f t="shared" si="0"/>
        <v>49518.35</v>
      </c>
      <c r="K43" s="12">
        <f t="shared" si="1"/>
        <v>140669.06</v>
      </c>
    </row>
    <row r="44" spans="2:11" x14ac:dyDescent="0.25">
      <c r="B44" s="18">
        <v>43172</v>
      </c>
      <c r="C44" s="35" t="s">
        <v>261</v>
      </c>
      <c r="D44" s="11"/>
      <c r="E44" s="11"/>
      <c r="F44" s="11"/>
      <c r="G44" s="11"/>
      <c r="H44" s="11">
        <v>7450</v>
      </c>
      <c r="I44" s="11"/>
      <c r="J44" s="12">
        <f t="shared" si="0"/>
        <v>49518.35</v>
      </c>
      <c r="K44" s="12">
        <f t="shared" si="1"/>
        <v>133219.06</v>
      </c>
    </row>
    <row r="45" spans="2:11" x14ac:dyDescent="0.25">
      <c r="B45" s="18">
        <v>43172</v>
      </c>
      <c r="C45" s="13" t="s">
        <v>256</v>
      </c>
      <c r="D45" s="11"/>
      <c r="E45" s="11"/>
      <c r="F45" s="11"/>
      <c r="G45" s="11"/>
      <c r="H45" s="11">
        <v>300</v>
      </c>
      <c r="I45" s="11"/>
      <c r="J45" s="12">
        <f t="shared" si="0"/>
        <v>49518.35</v>
      </c>
      <c r="K45" s="12">
        <f t="shared" si="1"/>
        <v>132919.06</v>
      </c>
    </row>
    <row r="46" spans="2:11" x14ac:dyDescent="0.25">
      <c r="B46" s="18">
        <v>43172</v>
      </c>
      <c r="C46" s="13" t="s">
        <v>263</v>
      </c>
      <c r="D46" s="11"/>
      <c r="E46" s="11"/>
      <c r="F46" s="11"/>
      <c r="G46" s="11"/>
      <c r="H46" s="11">
        <v>900</v>
      </c>
      <c r="I46" s="11"/>
      <c r="J46" s="12">
        <f t="shared" si="0"/>
        <v>49518.35</v>
      </c>
      <c r="K46" s="12">
        <f t="shared" si="1"/>
        <v>132019.06</v>
      </c>
    </row>
    <row r="47" spans="2:11" x14ac:dyDescent="0.25">
      <c r="B47" s="18">
        <v>43172</v>
      </c>
      <c r="C47" s="13" t="s">
        <v>264</v>
      </c>
      <c r="D47" s="11"/>
      <c r="E47" s="11"/>
      <c r="F47" s="11"/>
      <c r="G47" s="11"/>
      <c r="H47" s="11">
        <v>300</v>
      </c>
      <c r="I47" s="11"/>
      <c r="J47" s="12">
        <f t="shared" si="0"/>
        <v>49518.35</v>
      </c>
      <c r="K47" s="12">
        <f t="shared" si="1"/>
        <v>131719.06</v>
      </c>
    </row>
    <row r="48" spans="2:11" x14ac:dyDescent="0.25">
      <c r="B48" s="18">
        <v>43172</v>
      </c>
      <c r="C48" s="13" t="s">
        <v>265</v>
      </c>
      <c r="D48" s="11"/>
      <c r="E48" s="11"/>
      <c r="F48" s="11"/>
      <c r="G48" s="11"/>
      <c r="H48" s="11">
        <v>14</v>
      </c>
      <c r="I48" s="11"/>
      <c r="J48" s="12">
        <f t="shared" si="0"/>
        <v>49518.35</v>
      </c>
      <c r="K48" s="12">
        <f t="shared" si="1"/>
        <v>131705.06</v>
      </c>
    </row>
    <row r="49" spans="2:11" x14ac:dyDescent="0.25">
      <c r="B49" s="18">
        <v>43172</v>
      </c>
      <c r="C49" s="13" t="s">
        <v>266</v>
      </c>
      <c r="D49" s="11"/>
      <c r="E49" s="11"/>
      <c r="F49" s="11"/>
      <c r="G49" s="11"/>
      <c r="H49" s="11">
        <v>793</v>
      </c>
      <c r="I49" s="11"/>
      <c r="J49" s="12">
        <f t="shared" si="0"/>
        <v>49518.35</v>
      </c>
      <c r="K49" s="12">
        <f t="shared" si="1"/>
        <v>130912.06</v>
      </c>
    </row>
    <row r="50" spans="2:11" x14ac:dyDescent="0.25">
      <c r="B50" s="18">
        <v>43174</v>
      </c>
      <c r="C50" s="13" t="s">
        <v>267</v>
      </c>
      <c r="D50" s="11"/>
      <c r="E50" s="11"/>
      <c r="F50" s="11"/>
      <c r="G50" s="11"/>
      <c r="H50" s="11">
        <v>350</v>
      </c>
      <c r="I50" s="11"/>
      <c r="J50" s="12">
        <f t="shared" si="0"/>
        <v>49518.35</v>
      </c>
      <c r="K50" s="12">
        <f t="shared" si="1"/>
        <v>130562.06</v>
      </c>
    </row>
    <row r="51" spans="2:11" x14ac:dyDescent="0.25">
      <c r="B51" s="18">
        <v>43174</v>
      </c>
      <c r="C51" s="13" t="s">
        <v>268</v>
      </c>
      <c r="D51" s="11"/>
      <c r="E51" s="11"/>
      <c r="F51" s="11"/>
      <c r="G51" s="11"/>
      <c r="H51" s="11">
        <v>550</v>
      </c>
      <c r="I51" s="11"/>
      <c r="J51" s="12">
        <f t="shared" si="0"/>
        <v>49518.35</v>
      </c>
      <c r="K51" s="12">
        <f t="shared" si="1"/>
        <v>130012.06</v>
      </c>
    </row>
    <row r="52" spans="2:11" x14ac:dyDescent="0.25">
      <c r="B52" s="18">
        <v>43174</v>
      </c>
      <c r="C52" s="13" t="s">
        <v>269</v>
      </c>
      <c r="D52" s="11"/>
      <c r="E52" s="11"/>
      <c r="F52" s="11"/>
      <c r="G52" s="11"/>
      <c r="H52" s="11">
        <v>2000</v>
      </c>
      <c r="I52" s="11"/>
      <c r="J52" s="12">
        <f t="shared" si="0"/>
        <v>49518.35</v>
      </c>
      <c r="K52" s="12">
        <f t="shared" si="1"/>
        <v>128012.06</v>
      </c>
    </row>
    <row r="53" spans="2:11" x14ac:dyDescent="0.25">
      <c r="B53" s="18">
        <v>43174</v>
      </c>
      <c r="C53" s="13" t="s">
        <v>270</v>
      </c>
      <c r="D53" s="11"/>
      <c r="E53" s="11"/>
      <c r="F53" s="11"/>
      <c r="G53" s="11"/>
      <c r="H53" s="11">
        <v>4000</v>
      </c>
      <c r="I53" s="11"/>
      <c r="J53" s="12">
        <f t="shared" si="0"/>
        <v>49518.35</v>
      </c>
      <c r="K53" s="12">
        <f t="shared" si="1"/>
        <v>124012.06</v>
      </c>
    </row>
    <row r="54" spans="2:11" ht="15.75" thickBot="1" x14ac:dyDescent="0.3">
      <c r="B54" s="18">
        <v>43174</v>
      </c>
      <c r="C54" s="13" t="s">
        <v>271</v>
      </c>
      <c r="D54" s="11"/>
      <c r="E54" s="11"/>
      <c r="F54" s="11"/>
      <c r="G54" s="11"/>
      <c r="H54" s="11">
        <v>40000</v>
      </c>
      <c r="I54" s="11"/>
      <c r="J54" s="12">
        <f t="shared" si="0"/>
        <v>49518.35</v>
      </c>
      <c r="K54" s="12">
        <f t="shared" si="1"/>
        <v>84012.06</v>
      </c>
    </row>
    <row r="55" spans="2:11" ht="15.75" thickBot="1" x14ac:dyDescent="0.3">
      <c r="B55" s="5"/>
      <c r="C55" s="7" t="s">
        <v>0</v>
      </c>
      <c r="D55" s="62">
        <f>SUM(D5:D54)</f>
        <v>60325</v>
      </c>
      <c r="E55" s="61">
        <f>SUM(E5:E54)</f>
        <v>0</v>
      </c>
      <c r="F55" s="71">
        <f>SUM(D55:E55)</f>
        <v>60325</v>
      </c>
      <c r="G55" s="71">
        <f>SUM(G5:G54)</f>
        <v>0</v>
      </c>
      <c r="H55" s="62">
        <f>SUM(H5:H54)</f>
        <v>78574.42</v>
      </c>
      <c r="I55" s="71">
        <f>SUM(G55:H55)</f>
        <v>78574.42</v>
      </c>
      <c r="J55" s="20"/>
      <c r="K55" s="20"/>
    </row>
    <row r="56" spans="2:11" x14ac:dyDescent="0.25">
      <c r="B56" s="68" t="s">
        <v>1</v>
      </c>
      <c r="C56" s="68" t="s">
        <v>2</v>
      </c>
      <c r="D56" s="68" t="s">
        <v>3</v>
      </c>
      <c r="E56" s="68" t="s">
        <v>3</v>
      </c>
      <c r="F56" s="68" t="s">
        <v>22</v>
      </c>
      <c r="G56" s="68" t="s">
        <v>4</v>
      </c>
      <c r="H56" s="48" t="s">
        <v>23</v>
      </c>
      <c r="I56" s="48" t="s">
        <v>22</v>
      </c>
      <c r="J56" s="68" t="s">
        <v>8</v>
      </c>
      <c r="K56" s="48" t="s">
        <v>7</v>
      </c>
    </row>
    <row r="57" spans="2:11" ht="15.75" thickBot="1" x14ac:dyDescent="0.3">
      <c r="B57" s="69"/>
      <c r="C57" s="69"/>
      <c r="D57" s="69" t="s">
        <v>5</v>
      </c>
      <c r="E57" s="69" t="s">
        <v>24</v>
      </c>
      <c r="F57" s="69" t="s">
        <v>3</v>
      </c>
      <c r="G57" s="69" t="s">
        <v>24</v>
      </c>
      <c r="H57" s="70" t="s">
        <v>5</v>
      </c>
      <c r="I57" s="70" t="s">
        <v>4</v>
      </c>
      <c r="J57" s="69"/>
      <c r="K57" s="70"/>
    </row>
    <row r="58" spans="2:11" ht="15.75" thickBot="1" x14ac:dyDescent="0.3">
      <c r="B58" s="74"/>
      <c r="C58" s="7" t="s">
        <v>0</v>
      </c>
      <c r="D58" s="62">
        <v>60325</v>
      </c>
      <c r="E58" s="61">
        <v>0</v>
      </c>
      <c r="F58" s="71">
        <f>SUM(D58:E58)</f>
        <v>60325</v>
      </c>
      <c r="G58" s="71">
        <v>0</v>
      </c>
      <c r="H58" s="62">
        <v>78574.42</v>
      </c>
      <c r="I58" s="71">
        <f>SUM(G58:H58)</f>
        <v>78574.42</v>
      </c>
      <c r="J58" s="20">
        <v>49518.35</v>
      </c>
      <c r="K58" s="20">
        <v>84012.06</v>
      </c>
    </row>
    <row r="59" spans="2:11" x14ac:dyDescent="0.25">
      <c r="B59" s="18">
        <v>43174</v>
      </c>
      <c r="C59" s="13" t="s">
        <v>237</v>
      </c>
      <c r="D59" s="11"/>
      <c r="E59" s="11"/>
      <c r="F59" s="11"/>
      <c r="G59" s="11"/>
      <c r="H59" s="11">
        <v>520</v>
      </c>
      <c r="I59" s="11"/>
      <c r="J59" s="12">
        <f>+J58+E59-G59</f>
        <v>49518.35</v>
      </c>
      <c r="K59" s="12">
        <f>+K58+D59-H59</f>
        <v>83492.06</v>
      </c>
    </row>
    <row r="60" spans="2:11" x14ac:dyDescent="0.25">
      <c r="B60" s="18">
        <v>43174</v>
      </c>
      <c r="C60" s="13" t="s">
        <v>244</v>
      </c>
      <c r="D60" s="11"/>
      <c r="E60" s="11"/>
      <c r="F60" s="11"/>
      <c r="G60" s="11"/>
      <c r="H60" s="11">
        <v>151</v>
      </c>
      <c r="I60" s="11"/>
      <c r="J60" s="12">
        <f t="shared" ref="J60:J114" si="2">+J59+E60-G60</f>
        <v>49518.35</v>
      </c>
      <c r="K60" s="12">
        <f t="shared" ref="K60:K114" si="3">+K59+D60-H60</f>
        <v>83341.06</v>
      </c>
    </row>
    <row r="61" spans="2:11" x14ac:dyDescent="0.25">
      <c r="B61" s="18">
        <v>43175</v>
      </c>
      <c r="C61" s="13" t="s">
        <v>272</v>
      </c>
      <c r="D61" s="11"/>
      <c r="E61" s="11"/>
      <c r="F61" s="11"/>
      <c r="G61" s="11"/>
      <c r="H61" s="11">
        <v>70</v>
      </c>
      <c r="I61" s="11"/>
      <c r="J61" s="12">
        <f t="shared" si="2"/>
        <v>49518.35</v>
      </c>
      <c r="K61" s="12">
        <f t="shared" si="3"/>
        <v>83271.06</v>
      </c>
    </row>
    <row r="62" spans="2:11" x14ac:dyDescent="0.25">
      <c r="B62" s="18">
        <v>43175</v>
      </c>
      <c r="C62" s="13" t="s">
        <v>273</v>
      </c>
      <c r="D62" s="11"/>
      <c r="E62" s="11"/>
      <c r="F62" s="11"/>
      <c r="G62" s="11"/>
      <c r="H62" s="11">
        <v>200</v>
      </c>
      <c r="I62" s="11"/>
      <c r="J62" s="12">
        <f t="shared" si="2"/>
        <v>49518.35</v>
      </c>
      <c r="K62" s="12">
        <f t="shared" si="3"/>
        <v>83071.06</v>
      </c>
    </row>
    <row r="63" spans="2:11" x14ac:dyDescent="0.25">
      <c r="B63" s="18">
        <v>43175</v>
      </c>
      <c r="C63" s="13" t="s">
        <v>274</v>
      </c>
      <c r="D63" s="11"/>
      <c r="E63" s="11"/>
      <c r="F63" s="11"/>
      <c r="G63" s="11"/>
      <c r="H63" s="11">
        <v>1250</v>
      </c>
      <c r="I63" s="11"/>
      <c r="J63" s="12">
        <f t="shared" si="2"/>
        <v>49518.35</v>
      </c>
      <c r="K63" s="12">
        <f t="shared" si="3"/>
        <v>81821.06</v>
      </c>
    </row>
    <row r="64" spans="2:11" x14ac:dyDescent="0.25">
      <c r="B64" s="18">
        <v>43175</v>
      </c>
      <c r="C64" s="9" t="s">
        <v>305</v>
      </c>
      <c r="D64" s="41"/>
      <c r="E64" s="11"/>
      <c r="F64" s="11"/>
      <c r="G64" s="11">
        <v>1760</v>
      </c>
      <c r="H64" s="11"/>
      <c r="I64" s="11"/>
      <c r="J64" s="12">
        <f t="shared" si="2"/>
        <v>47758.35</v>
      </c>
      <c r="K64" s="12">
        <f t="shared" si="3"/>
        <v>81821.06</v>
      </c>
    </row>
    <row r="65" spans="2:11" x14ac:dyDescent="0.25">
      <c r="B65" s="18">
        <v>43175</v>
      </c>
      <c r="C65" s="9" t="s">
        <v>306</v>
      </c>
      <c r="D65" s="101"/>
      <c r="E65" s="11"/>
      <c r="F65" s="11"/>
      <c r="G65" s="11">
        <v>1400</v>
      </c>
      <c r="H65" s="11"/>
      <c r="I65" s="11"/>
      <c r="J65" s="12">
        <f t="shared" si="2"/>
        <v>46358.35</v>
      </c>
      <c r="K65" s="12">
        <f t="shared" si="3"/>
        <v>81821.06</v>
      </c>
    </row>
    <row r="66" spans="2:11" x14ac:dyDescent="0.25">
      <c r="B66" s="18">
        <v>43176</v>
      </c>
      <c r="C66" s="13" t="s">
        <v>275</v>
      </c>
      <c r="D66" s="11"/>
      <c r="E66" s="11"/>
      <c r="F66" s="11"/>
      <c r="G66" s="11"/>
      <c r="H66" s="11">
        <v>344</v>
      </c>
      <c r="I66" s="11"/>
      <c r="J66" s="12">
        <f t="shared" si="2"/>
        <v>46358.35</v>
      </c>
      <c r="K66" s="12">
        <f t="shared" si="3"/>
        <v>81477.06</v>
      </c>
    </row>
    <row r="67" spans="2:11" x14ac:dyDescent="0.25">
      <c r="B67" s="18">
        <v>43176</v>
      </c>
      <c r="C67" s="13" t="s">
        <v>280</v>
      </c>
      <c r="D67" s="11"/>
      <c r="E67" s="11"/>
      <c r="F67" s="11"/>
      <c r="G67" s="11"/>
      <c r="H67" s="11">
        <v>80</v>
      </c>
      <c r="I67" s="11"/>
      <c r="J67" s="12">
        <f t="shared" si="2"/>
        <v>46358.35</v>
      </c>
      <c r="K67" s="12">
        <f t="shared" si="3"/>
        <v>81397.06</v>
      </c>
    </row>
    <row r="68" spans="2:11" x14ac:dyDescent="0.25">
      <c r="B68" s="18">
        <v>43177</v>
      </c>
      <c r="C68" s="13" t="s">
        <v>119</v>
      </c>
      <c r="D68" s="11"/>
      <c r="E68" s="11"/>
      <c r="F68" s="11"/>
      <c r="G68" s="11"/>
      <c r="H68" s="11">
        <v>120</v>
      </c>
      <c r="I68" s="11"/>
      <c r="J68" s="12">
        <f t="shared" si="2"/>
        <v>46358.35</v>
      </c>
      <c r="K68" s="12">
        <f t="shared" si="3"/>
        <v>81277.06</v>
      </c>
    </row>
    <row r="69" spans="2:11" x14ac:dyDescent="0.25">
      <c r="B69" s="18">
        <v>43177</v>
      </c>
      <c r="C69" s="13" t="s">
        <v>74</v>
      </c>
      <c r="D69" s="11"/>
      <c r="E69" s="11"/>
      <c r="F69" s="11"/>
      <c r="G69" s="11"/>
      <c r="H69" s="11">
        <v>150</v>
      </c>
      <c r="I69" s="11"/>
      <c r="J69" s="12">
        <f t="shared" si="2"/>
        <v>46358.35</v>
      </c>
      <c r="K69" s="12">
        <f t="shared" si="3"/>
        <v>81127.06</v>
      </c>
    </row>
    <row r="70" spans="2:11" x14ac:dyDescent="0.25">
      <c r="B70" s="18">
        <v>43177</v>
      </c>
      <c r="C70" s="35" t="s">
        <v>246</v>
      </c>
      <c r="D70" s="11"/>
      <c r="E70" s="11"/>
      <c r="F70" s="11"/>
      <c r="G70" s="11"/>
      <c r="H70" s="11">
        <v>28.5</v>
      </c>
      <c r="I70" s="11"/>
      <c r="J70" s="12">
        <f t="shared" si="2"/>
        <v>46358.35</v>
      </c>
      <c r="K70" s="12">
        <f t="shared" si="3"/>
        <v>81098.559999999998</v>
      </c>
    </row>
    <row r="71" spans="2:11" x14ac:dyDescent="0.25">
      <c r="B71" s="18">
        <v>43177</v>
      </c>
      <c r="C71" s="13" t="s">
        <v>246</v>
      </c>
      <c r="D71" s="11"/>
      <c r="E71" s="11"/>
      <c r="F71" s="11"/>
      <c r="G71" s="11"/>
      <c r="H71" s="11">
        <v>43</v>
      </c>
      <c r="I71" s="11"/>
      <c r="J71" s="12">
        <f t="shared" si="2"/>
        <v>46358.35</v>
      </c>
      <c r="K71" s="12">
        <f t="shared" si="3"/>
        <v>81055.56</v>
      </c>
    </row>
    <row r="72" spans="2:11" x14ac:dyDescent="0.25">
      <c r="B72" s="18">
        <v>43177</v>
      </c>
      <c r="C72" s="13" t="s">
        <v>276</v>
      </c>
      <c r="D72" s="11">
        <v>23250</v>
      </c>
      <c r="E72" s="11"/>
      <c r="F72" s="11"/>
      <c r="G72" s="11"/>
      <c r="H72" s="11"/>
      <c r="I72" s="11"/>
      <c r="J72" s="12">
        <f t="shared" si="2"/>
        <v>46358.35</v>
      </c>
      <c r="K72" s="12">
        <f t="shared" si="3"/>
        <v>104305.56</v>
      </c>
    </row>
    <row r="73" spans="2:11" x14ac:dyDescent="0.25">
      <c r="B73" s="18">
        <v>43178</v>
      </c>
      <c r="C73" s="13" t="s">
        <v>249</v>
      </c>
      <c r="D73" s="11"/>
      <c r="E73" s="11"/>
      <c r="F73" s="11"/>
      <c r="G73" s="11"/>
      <c r="H73" s="11">
        <v>210</v>
      </c>
      <c r="I73" s="11"/>
      <c r="J73" s="12">
        <f t="shared" si="2"/>
        <v>46358.35</v>
      </c>
      <c r="K73" s="12">
        <f t="shared" si="3"/>
        <v>104095.56</v>
      </c>
    </row>
    <row r="74" spans="2:11" x14ac:dyDescent="0.25">
      <c r="B74" s="18">
        <v>43178</v>
      </c>
      <c r="C74" s="13" t="s">
        <v>277</v>
      </c>
      <c r="D74" s="11"/>
      <c r="E74" s="11"/>
      <c r="F74" s="11"/>
      <c r="G74" s="11"/>
      <c r="H74" s="11">
        <v>700</v>
      </c>
      <c r="I74" s="11"/>
      <c r="J74" s="12">
        <f t="shared" si="2"/>
        <v>46358.35</v>
      </c>
      <c r="K74" s="12">
        <f t="shared" si="3"/>
        <v>103395.56</v>
      </c>
    </row>
    <row r="75" spans="2:11" x14ac:dyDescent="0.25">
      <c r="B75" s="18">
        <v>43179</v>
      </c>
      <c r="C75" s="13" t="s">
        <v>278</v>
      </c>
      <c r="D75" s="11"/>
      <c r="E75" s="11"/>
      <c r="F75" s="11"/>
      <c r="G75" s="11"/>
      <c r="H75" s="11">
        <v>500</v>
      </c>
      <c r="I75" s="11"/>
      <c r="J75" s="12">
        <f t="shared" si="2"/>
        <v>46358.35</v>
      </c>
      <c r="K75" s="12">
        <f t="shared" si="3"/>
        <v>102895.56</v>
      </c>
    </row>
    <row r="76" spans="2:11" x14ac:dyDescent="0.25">
      <c r="B76" s="18">
        <v>43179</v>
      </c>
      <c r="C76" s="13" t="s">
        <v>281</v>
      </c>
      <c r="D76" s="11"/>
      <c r="E76" s="11"/>
      <c r="F76" s="11"/>
      <c r="G76" s="11"/>
      <c r="H76" s="11">
        <v>80</v>
      </c>
      <c r="I76" s="11"/>
      <c r="J76" s="12">
        <f t="shared" si="2"/>
        <v>46358.35</v>
      </c>
      <c r="K76" s="12">
        <f t="shared" si="3"/>
        <v>102815.56</v>
      </c>
    </row>
    <row r="77" spans="2:11" x14ac:dyDescent="0.25">
      <c r="B77" s="18">
        <v>43179</v>
      </c>
      <c r="C77" s="13" t="s">
        <v>256</v>
      </c>
      <c r="D77" s="11"/>
      <c r="E77" s="11"/>
      <c r="F77" s="11"/>
      <c r="G77" s="11"/>
      <c r="H77" s="11">
        <v>300</v>
      </c>
      <c r="I77" s="11"/>
      <c r="J77" s="12">
        <f t="shared" si="2"/>
        <v>46358.35</v>
      </c>
      <c r="K77" s="12">
        <f t="shared" si="3"/>
        <v>102515.56</v>
      </c>
    </row>
    <row r="78" spans="2:11" x14ac:dyDescent="0.25">
      <c r="B78" s="18">
        <v>43180</v>
      </c>
      <c r="C78" s="13" t="s">
        <v>282</v>
      </c>
      <c r="D78" s="11"/>
      <c r="E78" s="11"/>
      <c r="F78" s="11"/>
      <c r="G78" s="11"/>
      <c r="H78" s="11">
        <v>56</v>
      </c>
      <c r="I78" s="11"/>
      <c r="J78" s="12">
        <f t="shared" si="2"/>
        <v>46358.35</v>
      </c>
      <c r="K78" s="12">
        <f t="shared" si="3"/>
        <v>102459.56</v>
      </c>
    </row>
    <row r="79" spans="2:11" x14ac:dyDescent="0.25">
      <c r="B79" s="18">
        <v>43180</v>
      </c>
      <c r="C79" s="13" t="s">
        <v>283</v>
      </c>
      <c r="D79" s="11"/>
      <c r="E79" s="11"/>
      <c r="F79" s="11"/>
      <c r="G79" s="11"/>
      <c r="H79" s="11">
        <v>4160</v>
      </c>
      <c r="I79" s="11"/>
      <c r="J79" s="12">
        <f t="shared" si="2"/>
        <v>46358.35</v>
      </c>
      <c r="K79" s="12">
        <f t="shared" si="3"/>
        <v>98299.56</v>
      </c>
    </row>
    <row r="80" spans="2:11" x14ac:dyDescent="0.25">
      <c r="B80" s="18">
        <v>43180</v>
      </c>
      <c r="C80" s="13" t="s">
        <v>284</v>
      </c>
      <c r="D80" s="11"/>
      <c r="E80" s="11"/>
      <c r="F80" s="11"/>
      <c r="G80" s="11"/>
      <c r="H80" s="11">
        <v>300</v>
      </c>
      <c r="I80" s="11"/>
      <c r="J80" s="12">
        <f t="shared" si="2"/>
        <v>46358.35</v>
      </c>
      <c r="K80" s="12">
        <f t="shared" si="3"/>
        <v>97999.56</v>
      </c>
    </row>
    <row r="81" spans="2:11" x14ac:dyDescent="0.25">
      <c r="B81" s="18">
        <v>43180</v>
      </c>
      <c r="C81" s="13" t="s">
        <v>285</v>
      </c>
      <c r="D81" s="11"/>
      <c r="E81" s="11"/>
      <c r="F81" s="11"/>
      <c r="G81" s="11"/>
      <c r="H81" s="11">
        <v>1256.5</v>
      </c>
      <c r="I81" s="11"/>
      <c r="J81" s="12">
        <f t="shared" si="2"/>
        <v>46358.35</v>
      </c>
      <c r="K81" s="12">
        <f t="shared" si="3"/>
        <v>96743.06</v>
      </c>
    </row>
    <row r="82" spans="2:11" x14ac:dyDescent="0.25">
      <c r="B82" s="18">
        <v>43180</v>
      </c>
      <c r="C82" s="13" t="s">
        <v>286</v>
      </c>
      <c r="D82" s="11"/>
      <c r="E82" s="11"/>
      <c r="F82" s="11"/>
      <c r="G82" s="11"/>
      <c r="H82" s="11">
        <v>5</v>
      </c>
      <c r="I82" s="11"/>
      <c r="J82" s="12">
        <f t="shared" si="2"/>
        <v>46358.35</v>
      </c>
      <c r="K82" s="12">
        <f t="shared" si="3"/>
        <v>96738.06</v>
      </c>
    </row>
    <row r="83" spans="2:11" x14ac:dyDescent="0.25">
      <c r="B83" s="18">
        <v>43181</v>
      </c>
      <c r="C83" s="13" t="s">
        <v>237</v>
      </c>
      <c r="D83" s="11"/>
      <c r="E83" s="11"/>
      <c r="F83" s="11"/>
      <c r="G83" s="15"/>
      <c r="H83" s="11">
        <v>520</v>
      </c>
      <c r="I83" s="15"/>
      <c r="J83" s="12">
        <f t="shared" si="2"/>
        <v>46358.35</v>
      </c>
      <c r="K83" s="12">
        <f t="shared" si="3"/>
        <v>96218.06</v>
      </c>
    </row>
    <row r="84" spans="2:11" x14ac:dyDescent="0.25">
      <c r="B84" s="18">
        <v>43181</v>
      </c>
      <c r="C84" s="13" t="s">
        <v>287</v>
      </c>
      <c r="D84" s="11"/>
      <c r="E84" s="11"/>
      <c r="F84" s="11"/>
      <c r="G84" s="15"/>
      <c r="H84" s="11">
        <v>1250</v>
      </c>
      <c r="I84" s="15"/>
      <c r="J84" s="12">
        <f t="shared" si="2"/>
        <v>46358.35</v>
      </c>
      <c r="K84" s="12">
        <f t="shared" si="3"/>
        <v>94968.06</v>
      </c>
    </row>
    <row r="85" spans="2:11" x14ac:dyDescent="0.25">
      <c r="B85" s="18">
        <v>43182</v>
      </c>
      <c r="C85" s="13" t="s">
        <v>250</v>
      </c>
      <c r="D85" s="11"/>
      <c r="E85" s="11"/>
      <c r="F85" s="11"/>
      <c r="G85" s="11"/>
      <c r="H85" s="11">
        <v>300</v>
      </c>
      <c r="I85" s="15"/>
      <c r="J85" s="12">
        <f t="shared" si="2"/>
        <v>46358.35</v>
      </c>
      <c r="K85" s="12">
        <f t="shared" si="3"/>
        <v>94668.06</v>
      </c>
    </row>
    <row r="86" spans="2:11" x14ac:dyDescent="0.25">
      <c r="B86" s="18">
        <v>43182</v>
      </c>
      <c r="C86" s="13" t="s">
        <v>288</v>
      </c>
      <c r="D86" s="11"/>
      <c r="E86" s="11"/>
      <c r="F86" s="11"/>
      <c r="G86" s="15"/>
      <c r="H86" s="11">
        <v>128</v>
      </c>
      <c r="I86" s="15"/>
      <c r="J86" s="12">
        <f t="shared" si="2"/>
        <v>46358.35</v>
      </c>
      <c r="K86" s="12">
        <f t="shared" si="3"/>
        <v>94540.06</v>
      </c>
    </row>
    <row r="87" spans="2:11" x14ac:dyDescent="0.25">
      <c r="B87" s="18">
        <v>43182</v>
      </c>
      <c r="C87" s="13" t="s">
        <v>288</v>
      </c>
      <c r="D87" s="11"/>
      <c r="E87" s="11"/>
      <c r="F87" s="11"/>
      <c r="G87" s="15"/>
      <c r="H87" s="11">
        <v>140</v>
      </c>
      <c r="I87" s="15"/>
      <c r="J87" s="12">
        <f t="shared" si="2"/>
        <v>46358.35</v>
      </c>
      <c r="K87" s="12">
        <f t="shared" si="3"/>
        <v>94400.06</v>
      </c>
    </row>
    <row r="88" spans="2:11" x14ac:dyDescent="0.25">
      <c r="B88" s="18">
        <v>43184</v>
      </c>
      <c r="C88" s="13" t="s">
        <v>289</v>
      </c>
      <c r="D88" s="11"/>
      <c r="E88" s="11"/>
      <c r="F88" s="11"/>
      <c r="G88" s="11"/>
      <c r="H88" s="11">
        <v>100</v>
      </c>
      <c r="I88" s="15"/>
      <c r="J88" s="12">
        <f t="shared" si="2"/>
        <v>46358.35</v>
      </c>
      <c r="K88" s="12">
        <f t="shared" si="3"/>
        <v>94300.06</v>
      </c>
    </row>
    <row r="89" spans="2:11" x14ac:dyDescent="0.25">
      <c r="B89" s="23">
        <v>43184</v>
      </c>
      <c r="C89" s="13" t="s">
        <v>290</v>
      </c>
      <c r="D89" s="11"/>
      <c r="E89" s="11"/>
      <c r="F89" s="17"/>
      <c r="G89" s="64"/>
      <c r="H89" s="11">
        <v>78</v>
      </c>
      <c r="I89" s="15"/>
      <c r="J89" s="12">
        <f t="shared" si="2"/>
        <v>46358.35</v>
      </c>
      <c r="K89" s="12">
        <f t="shared" si="3"/>
        <v>94222.06</v>
      </c>
    </row>
    <row r="90" spans="2:11" x14ac:dyDescent="0.25">
      <c r="B90" s="18">
        <v>43184</v>
      </c>
      <c r="C90" s="13" t="s">
        <v>292</v>
      </c>
      <c r="D90" s="11"/>
      <c r="E90" s="11"/>
      <c r="F90" s="11"/>
      <c r="G90" s="15"/>
      <c r="H90" s="11">
        <v>56</v>
      </c>
      <c r="I90" s="15"/>
      <c r="J90" s="12">
        <f t="shared" si="2"/>
        <v>46358.35</v>
      </c>
      <c r="K90" s="12">
        <f t="shared" si="3"/>
        <v>94166.06</v>
      </c>
    </row>
    <row r="91" spans="2:11" x14ac:dyDescent="0.25">
      <c r="B91" s="18">
        <v>43184</v>
      </c>
      <c r="C91" s="13" t="s">
        <v>291</v>
      </c>
      <c r="D91" s="11"/>
      <c r="E91" s="11"/>
      <c r="F91" s="11"/>
      <c r="G91" s="15"/>
      <c r="H91" s="11">
        <v>69</v>
      </c>
      <c r="I91" s="15"/>
      <c r="J91" s="12">
        <f t="shared" si="2"/>
        <v>46358.35</v>
      </c>
      <c r="K91" s="12">
        <f t="shared" si="3"/>
        <v>94097.06</v>
      </c>
    </row>
    <row r="92" spans="2:11" x14ac:dyDescent="0.25">
      <c r="B92" s="18">
        <v>43184</v>
      </c>
      <c r="C92" s="13" t="s">
        <v>293</v>
      </c>
      <c r="D92" s="11"/>
      <c r="E92" s="11"/>
      <c r="F92" s="11"/>
      <c r="G92" s="15"/>
      <c r="H92" s="11">
        <v>120</v>
      </c>
      <c r="I92" s="15"/>
      <c r="J92" s="12">
        <f t="shared" si="2"/>
        <v>46358.35</v>
      </c>
      <c r="K92" s="12">
        <f t="shared" si="3"/>
        <v>93977.06</v>
      </c>
    </row>
    <row r="93" spans="2:11" x14ac:dyDescent="0.25">
      <c r="B93" s="18">
        <v>43184</v>
      </c>
      <c r="C93" s="13" t="s">
        <v>294</v>
      </c>
      <c r="D93" s="11"/>
      <c r="E93" s="11"/>
      <c r="F93" s="11"/>
      <c r="G93" s="15"/>
      <c r="H93" s="11">
        <v>150</v>
      </c>
      <c r="I93" s="15"/>
      <c r="J93" s="12">
        <f t="shared" si="2"/>
        <v>46358.35</v>
      </c>
      <c r="K93" s="12">
        <f t="shared" si="3"/>
        <v>93827.06</v>
      </c>
    </row>
    <row r="94" spans="2:11" x14ac:dyDescent="0.25">
      <c r="B94" s="18">
        <v>43184</v>
      </c>
      <c r="C94" s="13" t="s">
        <v>295</v>
      </c>
      <c r="D94" s="11">
        <v>19450</v>
      </c>
      <c r="E94" s="11"/>
      <c r="F94" s="11"/>
      <c r="G94" s="15"/>
      <c r="H94" s="11"/>
      <c r="I94" s="15"/>
      <c r="J94" s="12">
        <f t="shared" si="2"/>
        <v>46358.35</v>
      </c>
      <c r="K94" s="12">
        <f t="shared" si="3"/>
        <v>113277.06</v>
      </c>
    </row>
    <row r="95" spans="2:11" x14ac:dyDescent="0.25">
      <c r="B95" s="18">
        <v>43185</v>
      </c>
      <c r="C95" s="13" t="s">
        <v>249</v>
      </c>
      <c r="D95" s="11"/>
      <c r="E95" s="11"/>
      <c r="F95" s="11"/>
      <c r="G95" s="15"/>
      <c r="H95" s="11">
        <v>210</v>
      </c>
      <c r="I95" s="15"/>
      <c r="J95" s="12">
        <f t="shared" si="2"/>
        <v>46358.35</v>
      </c>
      <c r="K95" s="12">
        <f t="shared" si="3"/>
        <v>113067.06</v>
      </c>
    </row>
    <row r="96" spans="2:11" x14ac:dyDescent="0.25">
      <c r="B96" s="18">
        <v>43186</v>
      </c>
      <c r="C96" s="13" t="s">
        <v>296</v>
      </c>
      <c r="D96" s="11"/>
      <c r="E96" s="11"/>
      <c r="F96" s="11"/>
      <c r="G96" s="15"/>
      <c r="H96" s="11">
        <v>167</v>
      </c>
      <c r="I96" s="15"/>
      <c r="J96" s="12">
        <f t="shared" si="2"/>
        <v>46358.35</v>
      </c>
      <c r="K96" s="12">
        <f t="shared" si="3"/>
        <v>112900.06</v>
      </c>
    </row>
    <row r="97" spans="2:12" x14ac:dyDescent="0.25">
      <c r="B97" s="18">
        <v>43186</v>
      </c>
      <c r="C97" s="13" t="s">
        <v>297</v>
      </c>
      <c r="D97" s="11"/>
      <c r="E97" s="11"/>
      <c r="F97" s="11"/>
      <c r="G97" s="15"/>
      <c r="H97" s="11">
        <v>39</v>
      </c>
      <c r="I97" s="15"/>
      <c r="J97" s="12">
        <f t="shared" si="2"/>
        <v>46358.35</v>
      </c>
      <c r="K97" s="12">
        <f t="shared" si="3"/>
        <v>112861.06</v>
      </c>
      <c r="L97" s="1"/>
    </row>
    <row r="98" spans="2:12" x14ac:dyDescent="0.25">
      <c r="B98" s="18">
        <v>43186</v>
      </c>
      <c r="C98" s="13" t="s">
        <v>298</v>
      </c>
      <c r="D98" s="41"/>
      <c r="E98" s="41"/>
      <c r="F98" s="41"/>
      <c r="G98" s="41"/>
      <c r="H98" s="11">
        <v>40</v>
      </c>
      <c r="I98" s="11"/>
      <c r="J98" s="12">
        <f t="shared" si="2"/>
        <v>46358.35</v>
      </c>
      <c r="K98" s="12">
        <f t="shared" si="3"/>
        <v>112821.06</v>
      </c>
    </row>
    <row r="99" spans="2:12" x14ac:dyDescent="0.25">
      <c r="B99" s="18">
        <v>43189</v>
      </c>
      <c r="C99" s="13" t="s">
        <v>299</v>
      </c>
      <c r="D99" s="41"/>
      <c r="E99" s="41"/>
      <c r="F99" s="41"/>
      <c r="G99" s="41"/>
      <c r="H99" s="11">
        <v>1250</v>
      </c>
      <c r="I99" s="11"/>
      <c r="J99" s="12">
        <f t="shared" si="2"/>
        <v>46358.35</v>
      </c>
      <c r="K99" s="12">
        <f t="shared" si="3"/>
        <v>111571.06</v>
      </c>
    </row>
    <row r="100" spans="2:12" x14ac:dyDescent="0.25">
      <c r="B100" s="18">
        <v>43190</v>
      </c>
      <c r="C100" s="13" t="s">
        <v>300</v>
      </c>
      <c r="D100" s="41"/>
      <c r="E100" s="41"/>
      <c r="F100" s="41"/>
      <c r="G100" s="41"/>
      <c r="H100" s="11">
        <v>300</v>
      </c>
      <c r="I100" s="11"/>
      <c r="J100" s="12">
        <f t="shared" si="2"/>
        <v>46358.35</v>
      </c>
      <c r="K100" s="12">
        <f t="shared" si="3"/>
        <v>111271.06</v>
      </c>
    </row>
    <row r="101" spans="2:12" x14ac:dyDescent="0.25">
      <c r="B101" s="18">
        <v>43190</v>
      </c>
      <c r="C101" s="13" t="s">
        <v>301</v>
      </c>
      <c r="D101" s="11"/>
      <c r="E101" s="11"/>
      <c r="F101" s="11"/>
      <c r="G101" s="15"/>
      <c r="H101" s="11">
        <v>550</v>
      </c>
      <c r="I101" s="15"/>
      <c r="J101" s="12">
        <f t="shared" si="2"/>
        <v>46358.35</v>
      </c>
      <c r="K101" s="12">
        <f t="shared" si="3"/>
        <v>110721.06</v>
      </c>
    </row>
    <row r="102" spans="2:12" x14ac:dyDescent="0.25">
      <c r="B102" s="18">
        <v>43190</v>
      </c>
      <c r="C102" s="13" t="s">
        <v>302</v>
      </c>
      <c r="D102" s="11"/>
      <c r="E102" s="11"/>
      <c r="F102" s="11"/>
      <c r="G102" s="15"/>
      <c r="H102" s="11">
        <v>2000</v>
      </c>
      <c r="I102" s="15"/>
      <c r="J102" s="12">
        <f t="shared" si="2"/>
        <v>46358.35</v>
      </c>
      <c r="K102" s="12">
        <f t="shared" si="3"/>
        <v>108721.06</v>
      </c>
    </row>
    <row r="103" spans="2:12" x14ac:dyDescent="0.25">
      <c r="B103" s="18">
        <v>43190</v>
      </c>
      <c r="C103" s="13" t="s">
        <v>303</v>
      </c>
      <c r="D103" s="11"/>
      <c r="E103" s="11"/>
      <c r="F103" s="11"/>
      <c r="G103" s="15"/>
      <c r="H103" s="11">
        <v>4000</v>
      </c>
      <c r="I103" s="15"/>
      <c r="J103" s="12">
        <f t="shared" si="2"/>
        <v>46358.35</v>
      </c>
      <c r="K103" s="12">
        <f t="shared" si="3"/>
        <v>104721.06</v>
      </c>
    </row>
    <row r="104" spans="2:12" x14ac:dyDescent="0.25">
      <c r="B104" s="18">
        <v>43190</v>
      </c>
      <c r="C104" s="13" t="s">
        <v>304</v>
      </c>
      <c r="D104" s="11"/>
      <c r="E104" s="11"/>
      <c r="F104" s="11"/>
      <c r="G104" s="15"/>
      <c r="H104" s="11">
        <v>40000</v>
      </c>
      <c r="I104" s="15"/>
      <c r="J104" s="12">
        <f t="shared" si="2"/>
        <v>46358.35</v>
      </c>
      <c r="K104" s="12">
        <f t="shared" si="3"/>
        <v>64721.06</v>
      </c>
    </row>
    <row r="105" spans="2:12" x14ac:dyDescent="0.25">
      <c r="B105" s="18">
        <v>43165</v>
      </c>
      <c r="C105" s="13" t="s">
        <v>308</v>
      </c>
      <c r="D105" s="11"/>
      <c r="E105" s="11">
        <v>300.45999999999998</v>
      </c>
      <c r="F105" s="11"/>
      <c r="G105" s="15"/>
      <c r="H105" s="11"/>
      <c r="I105" s="15"/>
      <c r="J105" s="12">
        <f t="shared" si="2"/>
        <v>46658.81</v>
      </c>
      <c r="K105" s="12">
        <f t="shared" si="3"/>
        <v>64721.06</v>
      </c>
    </row>
    <row r="106" spans="2:12" x14ac:dyDescent="0.25">
      <c r="B106" s="18">
        <v>43169</v>
      </c>
      <c r="C106" s="13" t="s">
        <v>309</v>
      </c>
      <c r="D106" s="11"/>
      <c r="E106" s="11">
        <v>800</v>
      </c>
      <c r="F106" s="11"/>
      <c r="G106" s="15"/>
      <c r="H106" s="11"/>
      <c r="I106" s="15"/>
      <c r="J106" s="12">
        <f t="shared" si="2"/>
        <v>47458.81</v>
      </c>
      <c r="K106" s="12">
        <f t="shared" si="3"/>
        <v>64721.06</v>
      </c>
    </row>
    <row r="107" spans="2:12" x14ac:dyDescent="0.25">
      <c r="B107" s="18">
        <v>43182</v>
      </c>
      <c r="C107" s="13" t="s">
        <v>307</v>
      </c>
      <c r="D107" s="11"/>
      <c r="E107" s="11">
        <v>12760</v>
      </c>
      <c r="F107" s="11"/>
      <c r="G107" s="15"/>
      <c r="H107" s="11"/>
      <c r="I107" s="15"/>
      <c r="J107" s="12">
        <f t="shared" si="2"/>
        <v>60218.81</v>
      </c>
      <c r="K107" s="12">
        <f t="shared" si="3"/>
        <v>64721.06</v>
      </c>
    </row>
    <row r="108" spans="2:12" x14ac:dyDescent="0.25">
      <c r="B108" s="18">
        <v>43182</v>
      </c>
      <c r="C108" s="13" t="s">
        <v>310</v>
      </c>
      <c r="D108" s="11"/>
      <c r="E108" s="11">
        <v>400.15</v>
      </c>
      <c r="F108" s="11"/>
      <c r="G108" s="15"/>
      <c r="H108" s="11"/>
      <c r="I108" s="15"/>
      <c r="J108" s="12">
        <f t="shared" si="2"/>
        <v>60618.96</v>
      </c>
      <c r="K108" s="12">
        <f t="shared" si="3"/>
        <v>64721.06</v>
      </c>
    </row>
    <row r="109" spans="2:12" ht="15.75" thickBot="1" x14ac:dyDescent="0.3">
      <c r="B109" s="18">
        <v>43182</v>
      </c>
      <c r="C109" s="13" t="s">
        <v>311</v>
      </c>
      <c r="D109" s="11"/>
      <c r="E109" s="11">
        <v>1200</v>
      </c>
      <c r="F109" s="11"/>
      <c r="G109" s="15"/>
      <c r="H109" s="11"/>
      <c r="I109" s="15"/>
      <c r="J109" s="12">
        <f t="shared" si="2"/>
        <v>61818.96</v>
      </c>
      <c r="K109" s="12">
        <f t="shared" si="3"/>
        <v>64721.06</v>
      </c>
    </row>
    <row r="110" spans="2:12" ht="15.75" thickBot="1" x14ac:dyDescent="0.3">
      <c r="B110" s="5"/>
      <c r="C110" s="7" t="s">
        <v>0</v>
      </c>
      <c r="D110" s="62">
        <f>SUM(D58:D109)</f>
        <v>103025</v>
      </c>
      <c r="E110" s="61">
        <f>SUM(E58:E109)</f>
        <v>15460.609999999999</v>
      </c>
      <c r="F110" s="71">
        <f>SUM(D110:E110)</f>
        <v>118485.61</v>
      </c>
      <c r="G110" s="71">
        <f>SUM(G53:G109)</f>
        <v>3160</v>
      </c>
      <c r="H110" s="62">
        <f>SUM(H58:H109)</f>
        <v>140565.41999999998</v>
      </c>
      <c r="I110" s="71">
        <f>SUM(G110:H110)</f>
        <v>143725.41999999998</v>
      </c>
      <c r="J110" s="20"/>
      <c r="K110" s="20"/>
    </row>
    <row r="111" spans="2:12" x14ac:dyDescent="0.25">
      <c r="B111" s="27">
        <v>43190</v>
      </c>
      <c r="C111" s="13" t="s">
        <v>228</v>
      </c>
      <c r="D111" s="41"/>
      <c r="E111" s="11"/>
      <c r="F111" s="11"/>
      <c r="G111" s="11">
        <v>18</v>
      </c>
      <c r="H111" s="11"/>
      <c r="I111" s="15"/>
      <c r="J111" s="12">
        <f>+J109+E111-G111</f>
        <v>61800.959999999999</v>
      </c>
      <c r="K111" s="12">
        <f>+K109+D111-H111</f>
        <v>64721.06</v>
      </c>
    </row>
    <row r="112" spans="2:12" x14ac:dyDescent="0.25">
      <c r="B112" s="27">
        <v>43190</v>
      </c>
      <c r="C112" s="13" t="s">
        <v>227</v>
      </c>
      <c r="D112" s="41"/>
      <c r="E112" s="11"/>
      <c r="F112" s="11"/>
      <c r="G112" s="11">
        <v>2.88</v>
      </c>
      <c r="H112" s="11"/>
      <c r="I112" s="15"/>
      <c r="J112" s="12">
        <f t="shared" si="2"/>
        <v>61798.080000000002</v>
      </c>
      <c r="K112" s="12">
        <f t="shared" si="3"/>
        <v>64721.06</v>
      </c>
    </row>
    <row r="113" spans="2:11" x14ac:dyDescent="0.25">
      <c r="B113" s="18">
        <v>43190</v>
      </c>
      <c r="C113" s="13" t="s">
        <v>312</v>
      </c>
      <c r="D113" s="11">
        <v>1050</v>
      </c>
      <c r="E113" s="11"/>
      <c r="F113" s="11"/>
      <c r="G113" s="15"/>
      <c r="H113" s="11"/>
      <c r="I113" s="15"/>
      <c r="J113" s="12">
        <f t="shared" si="2"/>
        <v>61798.080000000002</v>
      </c>
      <c r="K113" s="12">
        <f t="shared" si="3"/>
        <v>65771.06</v>
      </c>
    </row>
    <row r="114" spans="2:11" ht="15.75" thickBot="1" x14ac:dyDescent="0.3">
      <c r="B114" s="18"/>
      <c r="C114" s="13"/>
      <c r="D114" s="11"/>
      <c r="E114" s="11"/>
      <c r="F114" s="11"/>
      <c r="G114" s="15"/>
      <c r="H114" s="11"/>
      <c r="I114" s="15"/>
      <c r="J114" s="12">
        <f t="shared" si="2"/>
        <v>61798.080000000002</v>
      </c>
      <c r="K114" s="12">
        <f t="shared" si="3"/>
        <v>65771.06</v>
      </c>
    </row>
    <row r="115" spans="2:11" ht="15.75" thickBot="1" x14ac:dyDescent="0.3">
      <c r="B115" s="5"/>
      <c r="C115" s="7" t="s">
        <v>0</v>
      </c>
      <c r="D115" s="62">
        <f>SUM(D110:D114)</f>
        <v>104075</v>
      </c>
      <c r="E115" s="61">
        <f>SUM(E110:E114)</f>
        <v>15460.609999999999</v>
      </c>
      <c r="F115" s="71">
        <f>SUM(D115:E115)</f>
        <v>119535.61</v>
      </c>
      <c r="G115" s="71">
        <f>SUM(G110:G114)</f>
        <v>3180.88</v>
      </c>
      <c r="H115" s="62">
        <f>SUM(H110:H114)</f>
        <v>140565.41999999998</v>
      </c>
      <c r="I115" s="71">
        <f>SUM(G115:H115)</f>
        <v>143746.29999999999</v>
      </c>
      <c r="J115" s="20"/>
      <c r="K115" s="20"/>
    </row>
    <row r="116" spans="2:11" ht="15.75" thickBot="1" x14ac:dyDescent="0.3">
      <c r="I116" s="74" t="s">
        <v>8</v>
      </c>
      <c r="J116" s="74" t="s">
        <v>7</v>
      </c>
      <c r="K116" s="95" t="s">
        <v>0</v>
      </c>
    </row>
    <row r="117" spans="2:11" ht="15.75" thickBot="1" x14ac:dyDescent="0.3">
      <c r="I117" s="26">
        <v>61798.080000000002</v>
      </c>
      <c r="J117" s="26">
        <v>65771.06</v>
      </c>
      <c r="K117" s="20">
        <f>SUM(I117:J117)</f>
        <v>127569.14</v>
      </c>
    </row>
  </sheetData>
  <mergeCells count="1">
    <mergeCell ref="B2:K2"/>
  </mergeCells>
  <printOptions horizontalCentered="1"/>
  <pageMargins left="0" right="0" top="0" bottom="0" header="0.11811023622047245" footer="0.51181102362204722"/>
  <pageSetup paperSize="9" scale="72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N197"/>
  <sheetViews>
    <sheetView zoomScale="90" zoomScaleNormal="90" workbookViewId="0">
      <pane ySplit="5" topLeftCell="A100" activePane="bottomLeft" state="frozen"/>
      <selection activeCell="C41" sqref="C41"/>
      <selection pane="bottomLeft" activeCell="C104" sqref="C104"/>
    </sheetView>
  </sheetViews>
  <sheetFormatPr baseColWidth="10" defaultRowHeight="15" x14ac:dyDescent="0.25"/>
  <cols>
    <col min="1" max="1" width="10.7109375" customWidth="1"/>
    <col min="2" max="2" width="11.7109375" style="90" customWidth="1"/>
    <col min="3" max="3" width="85" customWidth="1"/>
    <col min="4" max="11" width="11.7109375" customWidth="1"/>
  </cols>
  <sheetData>
    <row r="1" spans="2:11" ht="15.75" x14ac:dyDescent="0.25">
      <c r="B1" s="106">
        <v>43220</v>
      </c>
      <c r="J1" s="72" t="s">
        <v>25</v>
      </c>
      <c r="K1" s="46"/>
    </row>
    <row r="2" spans="2:11" ht="15.75" thickBot="1" x14ac:dyDescent="0.3">
      <c r="B2" s="136" t="s">
        <v>44</v>
      </c>
      <c r="C2" s="136"/>
      <c r="D2" s="136"/>
      <c r="E2" s="136"/>
      <c r="F2" s="136"/>
      <c r="G2" s="136"/>
      <c r="H2" s="136"/>
      <c r="I2" s="136"/>
      <c r="J2" s="136"/>
      <c r="K2" s="136"/>
    </row>
    <row r="3" spans="2:11" x14ac:dyDescent="0.25">
      <c r="B3" s="107" t="s">
        <v>1</v>
      </c>
      <c r="C3" s="68" t="s">
        <v>2</v>
      </c>
      <c r="D3" s="68" t="s">
        <v>3</v>
      </c>
      <c r="E3" s="68" t="s">
        <v>3</v>
      </c>
      <c r="F3" s="68" t="s">
        <v>22</v>
      </c>
      <c r="G3" s="68" t="s">
        <v>23</v>
      </c>
      <c r="H3" s="48" t="s">
        <v>23</v>
      </c>
      <c r="I3" s="48" t="s">
        <v>22</v>
      </c>
      <c r="J3" s="68" t="s">
        <v>8</v>
      </c>
      <c r="K3" s="48" t="s">
        <v>7</v>
      </c>
    </row>
    <row r="4" spans="2:11" ht="15.75" thickBot="1" x14ac:dyDescent="0.3">
      <c r="B4" s="108"/>
      <c r="C4" s="69"/>
      <c r="D4" s="69" t="s">
        <v>5</v>
      </c>
      <c r="E4" s="69" t="s">
        <v>24</v>
      </c>
      <c r="F4" s="69" t="s">
        <v>3</v>
      </c>
      <c r="G4" s="69" t="s">
        <v>24</v>
      </c>
      <c r="H4" s="70" t="s">
        <v>5</v>
      </c>
      <c r="I4" s="70" t="s">
        <v>4</v>
      </c>
      <c r="J4" s="69"/>
      <c r="K4" s="70"/>
    </row>
    <row r="5" spans="2:11" x14ac:dyDescent="0.25">
      <c r="B5" s="109">
        <v>43189</v>
      </c>
      <c r="C5" s="65" t="s">
        <v>45</v>
      </c>
      <c r="D5" s="66"/>
      <c r="E5" s="63"/>
      <c r="F5" s="63"/>
      <c r="G5" s="63"/>
      <c r="H5" s="17"/>
      <c r="I5" s="64"/>
      <c r="J5" s="73">
        <v>61798.080000000002</v>
      </c>
      <c r="K5" s="67">
        <v>65771.06</v>
      </c>
    </row>
    <row r="6" spans="2:11" x14ac:dyDescent="0.25">
      <c r="B6" s="109">
        <v>43191</v>
      </c>
      <c r="C6" s="9" t="s">
        <v>315</v>
      </c>
      <c r="D6" s="11"/>
      <c r="E6" s="11"/>
      <c r="F6" s="11"/>
      <c r="G6" s="11"/>
      <c r="H6" s="11">
        <v>36</v>
      </c>
      <c r="I6" s="15"/>
      <c r="J6" s="12">
        <f>+J5+E6-G6</f>
        <v>61798.080000000002</v>
      </c>
      <c r="K6" s="12">
        <f>+K5+D6-H6</f>
        <v>65735.06</v>
      </c>
    </row>
    <row r="7" spans="2:11" x14ac:dyDescent="0.25">
      <c r="B7" s="109">
        <v>43191</v>
      </c>
      <c r="C7" s="13" t="s">
        <v>315</v>
      </c>
      <c r="D7" s="11"/>
      <c r="E7" s="11"/>
      <c r="F7" s="11"/>
      <c r="G7" s="11"/>
      <c r="H7" s="11">
        <v>59.9</v>
      </c>
      <c r="I7" s="15"/>
      <c r="J7" s="12">
        <f t="shared" ref="J7:J52" si="0">+J6+E7-G7</f>
        <v>61798.080000000002</v>
      </c>
      <c r="K7" s="12">
        <f t="shared" ref="K7:K51" si="1">+K6+D7-H7</f>
        <v>65675.16</v>
      </c>
    </row>
    <row r="8" spans="2:11" x14ac:dyDescent="0.25">
      <c r="B8" s="110">
        <v>43191</v>
      </c>
      <c r="C8" s="9" t="s">
        <v>316</v>
      </c>
      <c r="D8" s="11"/>
      <c r="E8" s="11"/>
      <c r="F8" s="11"/>
      <c r="G8" s="11"/>
      <c r="H8" s="113">
        <v>43</v>
      </c>
      <c r="I8" s="15"/>
      <c r="J8" s="12">
        <f t="shared" si="0"/>
        <v>61798.080000000002</v>
      </c>
      <c r="K8" s="12">
        <f t="shared" si="1"/>
        <v>65632.160000000003</v>
      </c>
    </row>
    <row r="9" spans="2:11" x14ac:dyDescent="0.25">
      <c r="B9" s="110">
        <v>43191</v>
      </c>
      <c r="C9" s="9" t="s">
        <v>317</v>
      </c>
      <c r="D9" s="11"/>
      <c r="E9" s="11"/>
      <c r="F9" s="11"/>
      <c r="G9" s="11"/>
      <c r="H9" s="11">
        <v>120</v>
      </c>
      <c r="I9" s="15"/>
      <c r="J9" s="12">
        <f t="shared" si="0"/>
        <v>61798.080000000002</v>
      </c>
      <c r="K9" s="12">
        <f t="shared" si="1"/>
        <v>65512.160000000003</v>
      </c>
    </row>
    <row r="10" spans="2:11" x14ac:dyDescent="0.25">
      <c r="B10" s="110">
        <v>43191</v>
      </c>
      <c r="C10" s="9" t="s">
        <v>318</v>
      </c>
      <c r="D10" s="11"/>
      <c r="E10" s="11"/>
      <c r="F10" s="11"/>
      <c r="G10" s="11"/>
      <c r="H10" s="113">
        <v>76</v>
      </c>
      <c r="I10" s="15"/>
      <c r="J10" s="12">
        <f t="shared" si="0"/>
        <v>61798.080000000002</v>
      </c>
      <c r="K10" s="12">
        <f t="shared" si="1"/>
        <v>65436.160000000003</v>
      </c>
    </row>
    <row r="11" spans="2:11" x14ac:dyDescent="0.25">
      <c r="B11" s="110">
        <v>43191</v>
      </c>
      <c r="C11" s="9" t="s">
        <v>319</v>
      </c>
      <c r="D11" s="11"/>
      <c r="E11" s="11"/>
      <c r="F11" s="11"/>
      <c r="G11" s="11"/>
      <c r="H11" s="11">
        <v>100</v>
      </c>
      <c r="I11" s="15"/>
      <c r="J11" s="12">
        <f t="shared" si="0"/>
        <v>61798.080000000002</v>
      </c>
      <c r="K11" s="12">
        <f t="shared" si="1"/>
        <v>65336.160000000003</v>
      </c>
    </row>
    <row r="12" spans="2:11" x14ac:dyDescent="0.25">
      <c r="B12" s="110">
        <v>43191</v>
      </c>
      <c r="C12" s="9" t="s">
        <v>320</v>
      </c>
      <c r="D12" s="11"/>
      <c r="E12" s="11"/>
      <c r="F12" s="11"/>
      <c r="G12" s="11"/>
      <c r="H12" s="11">
        <v>300</v>
      </c>
      <c r="I12" s="15"/>
      <c r="J12" s="12">
        <f t="shared" si="0"/>
        <v>61798.080000000002</v>
      </c>
      <c r="K12" s="12">
        <f t="shared" si="1"/>
        <v>65036.160000000003</v>
      </c>
    </row>
    <row r="13" spans="2:11" x14ac:dyDescent="0.25">
      <c r="B13" s="110">
        <v>43191</v>
      </c>
      <c r="C13" s="9" t="s">
        <v>321</v>
      </c>
      <c r="D13" s="11"/>
      <c r="E13" s="11"/>
      <c r="F13" s="11"/>
      <c r="G13" s="11"/>
      <c r="H13" s="113">
        <v>100</v>
      </c>
      <c r="I13" s="15"/>
      <c r="J13" s="12">
        <f t="shared" si="0"/>
        <v>61798.080000000002</v>
      </c>
      <c r="K13" s="12">
        <f t="shared" si="1"/>
        <v>64936.160000000003</v>
      </c>
    </row>
    <row r="14" spans="2:11" x14ac:dyDescent="0.25">
      <c r="B14" s="110">
        <v>43191</v>
      </c>
      <c r="C14" s="9" t="s">
        <v>322</v>
      </c>
      <c r="D14" s="11">
        <v>26525</v>
      </c>
      <c r="E14" s="11"/>
      <c r="F14" s="11"/>
      <c r="G14" s="11"/>
      <c r="H14" s="11"/>
      <c r="I14" s="15"/>
      <c r="J14" s="12">
        <f t="shared" si="0"/>
        <v>61798.080000000002</v>
      </c>
      <c r="K14" s="12">
        <f t="shared" si="1"/>
        <v>91461.16</v>
      </c>
    </row>
    <row r="15" spans="2:11" x14ac:dyDescent="0.25">
      <c r="B15" s="110">
        <v>43192</v>
      </c>
      <c r="C15" s="9" t="s">
        <v>323</v>
      </c>
      <c r="D15" s="11"/>
      <c r="E15" s="11"/>
      <c r="F15" s="11"/>
      <c r="G15" s="11"/>
      <c r="H15" s="113">
        <v>210</v>
      </c>
      <c r="I15" s="15"/>
      <c r="J15" s="12">
        <f t="shared" si="0"/>
        <v>61798.080000000002</v>
      </c>
      <c r="K15" s="12">
        <f t="shared" si="1"/>
        <v>91251.16</v>
      </c>
    </row>
    <row r="16" spans="2:11" x14ac:dyDescent="0.25">
      <c r="B16" s="110">
        <v>43192</v>
      </c>
      <c r="C16" s="9" t="s">
        <v>324</v>
      </c>
      <c r="D16" s="11"/>
      <c r="E16" s="11"/>
      <c r="F16" s="11"/>
      <c r="G16" s="11"/>
      <c r="H16" s="11">
        <v>25</v>
      </c>
      <c r="I16" s="15"/>
      <c r="J16" s="12">
        <f t="shared" si="0"/>
        <v>61798.080000000002</v>
      </c>
      <c r="K16" s="12">
        <f t="shared" si="1"/>
        <v>91226.16</v>
      </c>
    </row>
    <row r="17" spans="2:11" x14ac:dyDescent="0.25">
      <c r="B17" s="110">
        <v>43192</v>
      </c>
      <c r="C17" s="9" t="s">
        <v>325</v>
      </c>
      <c r="D17" s="11"/>
      <c r="E17" s="11"/>
      <c r="F17" s="11"/>
      <c r="G17" s="11"/>
      <c r="H17" s="11">
        <v>290.7</v>
      </c>
      <c r="I17" s="15"/>
      <c r="J17" s="12">
        <f t="shared" si="0"/>
        <v>61798.080000000002</v>
      </c>
      <c r="K17" s="12">
        <f t="shared" si="1"/>
        <v>90935.46</v>
      </c>
    </row>
    <row r="18" spans="2:11" x14ac:dyDescent="0.25">
      <c r="B18" s="110">
        <v>43135</v>
      </c>
      <c r="C18" s="9" t="s">
        <v>316</v>
      </c>
      <c r="D18" s="11"/>
      <c r="E18" s="11"/>
      <c r="F18" s="11"/>
      <c r="G18" s="11"/>
      <c r="H18" s="11">
        <v>107.5</v>
      </c>
      <c r="I18" s="15"/>
      <c r="J18" s="12">
        <f t="shared" si="0"/>
        <v>61798.080000000002</v>
      </c>
      <c r="K18" s="12">
        <f t="shared" si="1"/>
        <v>90827.96</v>
      </c>
    </row>
    <row r="19" spans="2:11" x14ac:dyDescent="0.25">
      <c r="B19" s="110">
        <v>43193</v>
      </c>
      <c r="C19" s="9" t="s">
        <v>326</v>
      </c>
      <c r="D19" s="11"/>
      <c r="E19" s="11"/>
      <c r="F19" s="11"/>
      <c r="G19" s="11"/>
      <c r="H19" s="11">
        <v>23</v>
      </c>
      <c r="I19" s="15"/>
      <c r="J19" s="12">
        <f t="shared" si="0"/>
        <v>61798.080000000002</v>
      </c>
      <c r="K19" s="12">
        <f t="shared" si="1"/>
        <v>90804.96</v>
      </c>
    </row>
    <row r="20" spans="2:11" x14ac:dyDescent="0.25">
      <c r="B20" s="110">
        <v>43193</v>
      </c>
      <c r="C20" s="9" t="s">
        <v>327</v>
      </c>
      <c r="D20" s="11"/>
      <c r="E20" s="11"/>
      <c r="F20" s="11"/>
      <c r="G20" s="11"/>
      <c r="H20" s="11">
        <v>525.20000000000005</v>
      </c>
      <c r="I20" s="15"/>
      <c r="J20" s="12">
        <f t="shared" si="0"/>
        <v>61798.080000000002</v>
      </c>
      <c r="K20" s="12">
        <f t="shared" si="1"/>
        <v>90279.760000000009</v>
      </c>
    </row>
    <row r="21" spans="2:11" x14ac:dyDescent="0.25">
      <c r="B21" s="110">
        <v>43193</v>
      </c>
      <c r="C21" s="9" t="s">
        <v>328</v>
      </c>
      <c r="D21" s="11"/>
      <c r="E21" s="11"/>
      <c r="F21" s="11"/>
      <c r="G21" s="11"/>
      <c r="H21" s="11">
        <v>56.7</v>
      </c>
      <c r="I21" s="15"/>
      <c r="J21" s="12">
        <f t="shared" si="0"/>
        <v>61798.080000000002</v>
      </c>
      <c r="K21" s="12">
        <f t="shared" si="1"/>
        <v>90223.060000000012</v>
      </c>
    </row>
    <row r="22" spans="2:11" x14ac:dyDescent="0.25">
      <c r="B22" s="110">
        <v>43193</v>
      </c>
      <c r="C22" s="9" t="s">
        <v>329</v>
      </c>
      <c r="D22" s="11"/>
      <c r="E22" s="11"/>
      <c r="F22" s="11"/>
      <c r="G22" s="11"/>
      <c r="H22" s="113">
        <v>150</v>
      </c>
      <c r="I22" s="15"/>
      <c r="J22" s="12">
        <f t="shared" si="0"/>
        <v>61798.080000000002</v>
      </c>
      <c r="K22" s="12">
        <f t="shared" si="1"/>
        <v>90073.060000000012</v>
      </c>
    </row>
    <row r="23" spans="2:11" x14ac:dyDescent="0.25">
      <c r="B23" s="110">
        <v>43194</v>
      </c>
      <c r="C23" s="9" t="s">
        <v>330</v>
      </c>
      <c r="D23" s="11"/>
      <c r="E23" s="11"/>
      <c r="F23" s="11"/>
      <c r="G23" s="11"/>
      <c r="H23" s="113">
        <v>15962.5</v>
      </c>
      <c r="I23" s="15"/>
      <c r="J23" s="12">
        <f t="shared" si="0"/>
        <v>61798.080000000002</v>
      </c>
      <c r="K23" s="12">
        <f t="shared" si="1"/>
        <v>74110.560000000012</v>
      </c>
    </row>
    <row r="24" spans="2:11" x14ac:dyDescent="0.25">
      <c r="B24" s="110">
        <v>43194</v>
      </c>
      <c r="C24" s="9" t="s">
        <v>331</v>
      </c>
      <c r="D24" s="11"/>
      <c r="E24" s="11"/>
      <c r="F24" s="11"/>
      <c r="G24" s="11"/>
      <c r="H24" s="113">
        <v>53.8</v>
      </c>
      <c r="I24" s="15"/>
      <c r="J24" s="12">
        <f t="shared" si="0"/>
        <v>61798.080000000002</v>
      </c>
      <c r="K24" s="12">
        <f t="shared" si="1"/>
        <v>74056.760000000009</v>
      </c>
    </row>
    <row r="25" spans="2:11" x14ac:dyDescent="0.25">
      <c r="B25" s="110">
        <v>43194</v>
      </c>
      <c r="C25" s="9" t="s">
        <v>332</v>
      </c>
      <c r="D25" s="11"/>
      <c r="E25" s="11"/>
      <c r="F25" s="11"/>
      <c r="G25" s="11"/>
      <c r="H25" s="11">
        <v>200</v>
      </c>
      <c r="I25" s="15"/>
      <c r="J25" s="12">
        <f t="shared" si="0"/>
        <v>61798.080000000002</v>
      </c>
      <c r="K25" s="12">
        <f t="shared" si="1"/>
        <v>73856.760000000009</v>
      </c>
    </row>
    <row r="26" spans="2:11" x14ac:dyDescent="0.25">
      <c r="B26" s="110">
        <v>43195</v>
      </c>
      <c r="C26" s="9" t="s">
        <v>334</v>
      </c>
      <c r="D26" s="11"/>
      <c r="E26" s="11"/>
      <c r="F26" s="11"/>
      <c r="G26" s="11"/>
      <c r="H26" s="11">
        <v>200</v>
      </c>
      <c r="I26" s="15"/>
      <c r="J26" s="12">
        <f t="shared" si="0"/>
        <v>61798.080000000002</v>
      </c>
      <c r="K26" s="12">
        <f t="shared" si="1"/>
        <v>73656.760000000009</v>
      </c>
    </row>
    <row r="27" spans="2:11" x14ac:dyDescent="0.25">
      <c r="B27" s="110">
        <v>43195</v>
      </c>
      <c r="C27" s="9" t="s">
        <v>333</v>
      </c>
      <c r="D27" s="11"/>
      <c r="E27" s="11"/>
      <c r="F27" s="11"/>
      <c r="G27" s="11"/>
      <c r="H27" s="11">
        <v>300</v>
      </c>
      <c r="I27" s="15"/>
      <c r="J27" s="12">
        <f t="shared" si="0"/>
        <v>61798.080000000002</v>
      </c>
      <c r="K27" s="12">
        <f t="shared" si="1"/>
        <v>73356.760000000009</v>
      </c>
    </row>
    <row r="28" spans="2:11" x14ac:dyDescent="0.25">
      <c r="B28" s="110">
        <v>43195</v>
      </c>
      <c r="C28" s="9" t="s">
        <v>335</v>
      </c>
      <c r="D28" s="11"/>
      <c r="E28" s="11"/>
      <c r="F28" s="11"/>
      <c r="G28" s="11"/>
      <c r="H28" s="11">
        <v>1043.03</v>
      </c>
      <c r="I28" s="15"/>
      <c r="J28" s="12">
        <f t="shared" si="0"/>
        <v>61798.080000000002</v>
      </c>
      <c r="K28" s="12">
        <f t="shared" si="1"/>
        <v>72313.73000000001</v>
      </c>
    </row>
    <row r="29" spans="2:11" x14ac:dyDescent="0.25">
      <c r="B29" s="110">
        <v>43195</v>
      </c>
      <c r="C29" s="9" t="s">
        <v>336</v>
      </c>
      <c r="D29" s="11"/>
      <c r="E29" s="11"/>
      <c r="F29" s="11"/>
      <c r="G29" s="11"/>
      <c r="H29" s="11">
        <v>150</v>
      </c>
      <c r="I29" s="15"/>
      <c r="J29" s="12">
        <f t="shared" si="0"/>
        <v>61798.080000000002</v>
      </c>
      <c r="K29" s="12">
        <f t="shared" si="1"/>
        <v>72163.73000000001</v>
      </c>
    </row>
    <row r="30" spans="2:11" x14ac:dyDescent="0.25">
      <c r="B30" s="110">
        <v>43195</v>
      </c>
      <c r="C30" s="9" t="s">
        <v>320</v>
      </c>
      <c r="D30" s="11"/>
      <c r="E30" s="11"/>
      <c r="F30" s="11"/>
      <c r="G30" s="11"/>
      <c r="H30" s="113">
        <v>300</v>
      </c>
      <c r="I30" s="15"/>
      <c r="J30" s="12">
        <f t="shared" si="0"/>
        <v>61798.080000000002</v>
      </c>
      <c r="K30" s="12">
        <f t="shared" si="1"/>
        <v>71863.73000000001</v>
      </c>
    </row>
    <row r="31" spans="2:11" x14ac:dyDescent="0.25">
      <c r="B31" s="110">
        <v>43196</v>
      </c>
      <c r="C31" s="9" t="s">
        <v>337</v>
      </c>
      <c r="D31" s="11"/>
      <c r="E31" s="11"/>
      <c r="F31" s="11"/>
      <c r="G31" s="11"/>
      <c r="H31" s="11">
        <v>1250</v>
      </c>
      <c r="I31" s="15"/>
      <c r="J31" s="12">
        <f t="shared" si="0"/>
        <v>61798.080000000002</v>
      </c>
      <c r="K31" s="12">
        <f t="shared" si="1"/>
        <v>70613.73000000001</v>
      </c>
    </row>
    <row r="32" spans="2:11" x14ac:dyDescent="0.25">
      <c r="B32" s="110">
        <v>43196</v>
      </c>
      <c r="C32" s="9" t="s">
        <v>324</v>
      </c>
      <c r="D32" s="11"/>
      <c r="E32" s="11"/>
      <c r="F32" s="11"/>
      <c r="G32" s="11"/>
      <c r="H32" s="11">
        <v>100</v>
      </c>
      <c r="I32" s="15"/>
      <c r="J32" s="12">
        <f t="shared" si="0"/>
        <v>61798.080000000002</v>
      </c>
      <c r="K32" s="12">
        <f t="shared" si="1"/>
        <v>70513.73000000001</v>
      </c>
    </row>
    <row r="33" spans="2:11" x14ac:dyDescent="0.25">
      <c r="B33" s="110">
        <v>43198</v>
      </c>
      <c r="C33" s="9" t="s">
        <v>338</v>
      </c>
      <c r="D33" s="11">
        <v>39450</v>
      </c>
      <c r="E33" s="11"/>
      <c r="F33" s="11"/>
      <c r="G33" s="11"/>
      <c r="H33" s="11"/>
      <c r="I33" s="15"/>
      <c r="J33" s="12">
        <f t="shared" si="0"/>
        <v>61798.080000000002</v>
      </c>
      <c r="K33" s="12">
        <f t="shared" si="1"/>
        <v>109963.73000000001</v>
      </c>
    </row>
    <row r="34" spans="2:11" x14ac:dyDescent="0.25">
      <c r="B34" s="110">
        <v>43198</v>
      </c>
      <c r="C34" s="9" t="s">
        <v>317</v>
      </c>
      <c r="D34" s="11"/>
      <c r="E34" s="11"/>
      <c r="F34" s="11"/>
      <c r="G34" s="11"/>
      <c r="H34" s="11">
        <v>120</v>
      </c>
      <c r="I34" s="15"/>
      <c r="J34" s="12">
        <f t="shared" si="0"/>
        <v>61798.080000000002</v>
      </c>
      <c r="K34" s="12">
        <f t="shared" si="1"/>
        <v>109843.73000000001</v>
      </c>
    </row>
    <row r="35" spans="2:11" x14ac:dyDescent="0.25">
      <c r="B35" s="110">
        <v>43198</v>
      </c>
      <c r="C35" s="9" t="s">
        <v>221</v>
      </c>
      <c r="D35" s="11"/>
      <c r="E35" s="11"/>
      <c r="F35" s="11"/>
      <c r="G35" s="11"/>
      <c r="H35" s="11">
        <v>150</v>
      </c>
      <c r="I35" s="15"/>
      <c r="J35" s="12">
        <f t="shared" si="0"/>
        <v>61798.080000000002</v>
      </c>
      <c r="K35" s="12">
        <f t="shared" si="1"/>
        <v>109693.73000000001</v>
      </c>
    </row>
    <row r="36" spans="2:11" x14ac:dyDescent="0.25">
      <c r="B36" s="110">
        <v>43198</v>
      </c>
      <c r="C36" s="9" t="s">
        <v>339</v>
      </c>
      <c r="D36" s="11"/>
      <c r="E36" s="11"/>
      <c r="F36" s="11"/>
      <c r="G36" s="11"/>
      <c r="H36" s="11">
        <v>54.5</v>
      </c>
      <c r="I36" s="15"/>
      <c r="J36" s="12">
        <f t="shared" si="0"/>
        <v>61798.080000000002</v>
      </c>
      <c r="K36" s="12">
        <f t="shared" si="1"/>
        <v>109639.23000000001</v>
      </c>
    </row>
    <row r="37" spans="2:11" x14ac:dyDescent="0.25">
      <c r="B37" s="110">
        <v>43198</v>
      </c>
      <c r="C37" s="9" t="s">
        <v>178</v>
      </c>
      <c r="D37" s="11"/>
      <c r="E37" s="11"/>
      <c r="F37" s="11"/>
      <c r="G37" s="11"/>
      <c r="H37" s="11">
        <v>129</v>
      </c>
      <c r="I37" s="15"/>
      <c r="J37" s="12">
        <f t="shared" si="0"/>
        <v>61798.080000000002</v>
      </c>
      <c r="K37" s="12">
        <f t="shared" si="1"/>
        <v>109510.23000000001</v>
      </c>
    </row>
    <row r="38" spans="2:11" x14ac:dyDescent="0.25">
      <c r="B38" s="110">
        <v>43198</v>
      </c>
      <c r="C38" s="9" t="s">
        <v>340</v>
      </c>
      <c r="D38" s="11"/>
      <c r="E38" s="11"/>
      <c r="F38" s="11"/>
      <c r="G38" s="11"/>
      <c r="H38" s="113">
        <v>760</v>
      </c>
      <c r="I38" s="15"/>
      <c r="J38" s="12">
        <f t="shared" si="0"/>
        <v>61798.080000000002</v>
      </c>
      <c r="K38" s="12">
        <f t="shared" si="1"/>
        <v>108750.23000000001</v>
      </c>
    </row>
    <row r="39" spans="2:11" x14ac:dyDescent="0.25">
      <c r="B39" s="110">
        <v>43199</v>
      </c>
      <c r="C39" s="9" t="s">
        <v>329</v>
      </c>
      <c r="D39" s="11"/>
      <c r="E39" s="11"/>
      <c r="F39" s="11"/>
      <c r="G39" s="11"/>
      <c r="H39" s="11">
        <v>200</v>
      </c>
      <c r="I39" s="15"/>
      <c r="J39" s="12">
        <f t="shared" si="0"/>
        <v>61798.080000000002</v>
      </c>
      <c r="K39" s="12">
        <f t="shared" si="1"/>
        <v>108550.23000000001</v>
      </c>
    </row>
    <row r="40" spans="2:11" x14ac:dyDescent="0.25">
      <c r="B40" s="110">
        <v>43199</v>
      </c>
      <c r="C40" s="9" t="s">
        <v>341</v>
      </c>
      <c r="D40" s="11"/>
      <c r="E40" s="11"/>
      <c r="F40" s="11"/>
      <c r="G40" s="11"/>
      <c r="H40" s="11">
        <v>24</v>
      </c>
      <c r="I40" s="15"/>
      <c r="J40" s="12">
        <f t="shared" si="0"/>
        <v>61798.080000000002</v>
      </c>
      <c r="K40" s="12">
        <f t="shared" si="1"/>
        <v>108526.23000000001</v>
      </c>
    </row>
    <row r="41" spans="2:11" x14ac:dyDescent="0.25">
      <c r="B41" s="110">
        <v>43199</v>
      </c>
      <c r="C41" s="35" t="s">
        <v>323</v>
      </c>
      <c r="D41" s="11"/>
      <c r="E41" s="11"/>
      <c r="F41" s="11"/>
      <c r="G41" s="11"/>
      <c r="H41" s="113">
        <v>210</v>
      </c>
      <c r="I41" s="15"/>
      <c r="J41" s="12">
        <f t="shared" si="0"/>
        <v>61798.080000000002</v>
      </c>
      <c r="K41" s="12">
        <f t="shared" si="1"/>
        <v>108316.23000000001</v>
      </c>
    </row>
    <row r="42" spans="2:11" x14ac:dyDescent="0.25">
      <c r="B42" s="110">
        <v>43199</v>
      </c>
      <c r="C42" s="9" t="s">
        <v>342</v>
      </c>
      <c r="D42" s="11"/>
      <c r="E42" s="11"/>
      <c r="F42" s="11"/>
      <c r="G42" s="11"/>
      <c r="H42" s="113">
        <v>260</v>
      </c>
      <c r="I42" s="15"/>
      <c r="J42" s="12">
        <f t="shared" si="0"/>
        <v>61798.080000000002</v>
      </c>
      <c r="K42" s="12">
        <f t="shared" si="1"/>
        <v>108056.23000000001</v>
      </c>
    </row>
    <row r="43" spans="2:11" x14ac:dyDescent="0.25">
      <c r="B43" s="110">
        <v>43199</v>
      </c>
      <c r="C43" s="9" t="s">
        <v>343</v>
      </c>
      <c r="D43" s="11"/>
      <c r="E43" s="11"/>
      <c r="F43" s="11"/>
      <c r="G43" s="11"/>
      <c r="H43" s="113">
        <v>5</v>
      </c>
      <c r="I43" s="15"/>
      <c r="J43" s="12">
        <f t="shared" si="0"/>
        <v>61798.080000000002</v>
      </c>
      <c r="K43" s="12">
        <f t="shared" si="1"/>
        <v>108051.23000000001</v>
      </c>
    </row>
    <row r="44" spans="2:11" x14ac:dyDescent="0.25">
      <c r="B44" s="110">
        <v>43199</v>
      </c>
      <c r="C44" s="9" t="s">
        <v>344</v>
      </c>
      <c r="D44" s="11"/>
      <c r="E44" s="11"/>
      <c r="F44" s="11"/>
      <c r="G44" s="11"/>
      <c r="H44" s="113">
        <v>69.5</v>
      </c>
      <c r="I44" s="15"/>
      <c r="J44" s="12">
        <f t="shared" si="0"/>
        <v>61798.080000000002</v>
      </c>
      <c r="K44" s="12">
        <f t="shared" si="1"/>
        <v>107981.73000000001</v>
      </c>
    </row>
    <row r="45" spans="2:11" x14ac:dyDescent="0.25">
      <c r="B45" s="110">
        <v>43199</v>
      </c>
      <c r="C45" s="9" t="s">
        <v>345</v>
      </c>
      <c r="D45" s="11"/>
      <c r="E45" s="11"/>
      <c r="F45" s="11"/>
      <c r="G45" s="11"/>
      <c r="H45" s="113">
        <v>26.5</v>
      </c>
      <c r="I45" s="15"/>
      <c r="J45" s="12">
        <f t="shared" si="0"/>
        <v>61798.080000000002</v>
      </c>
      <c r="K45" s="12">
        <f t="shared" si="1"/>
        <v>107955.23000000001</v>
      </c>
    </row>
    <row r="46" spans="2:11" x14ac:dyDescent="0.25">
      <c r="B46" s="110">
        <v>43199</v>
      </c>
      <c r="C46" s="9" t="s">
        <v>346</v>
      </c>
      <c r="D46" s="11"/>
      <c r="E46" s="11"/>
      <c r="F46" s="11"/>
      <c r="G46" s="11"/>
      <c r="H46" s="113">
        <v>50</v>
      </c>
      <c r="I46" s="15"/>
      <c r="J46" s="12">
        <f t="shared" si="0"/>
        <v>61798.080000000002</v>
      </c>
      <c r="K46" s="12">
        <f t="shared" si="1"/>
        <v>107905.23000000001</v>
      </c>
    </row>
    <row r="47" spans="2:11" x14ac:dyDescent="0.25">
      <c r="B47" s="110">
        <v>43200</v>
      </c>
      <c r="C47" s="9" t="s">
        <v>347</v>
      </c>
      <c r="D47" s="11"/>
      <c r="E47" s="11"/>
      <c r="F47" s="11"/>
      <c r="G47" s="11"/>
      <c r="H47" s="113">
        <v>3100</v>
      </c>
      <c r="I47" s="15"/>
      <c r="J47" s="12">
        <f t="shared" si="0"/>
        <v>61798.080000000002</v>
      </c>
      <c r="K47" s="12">
        <f t="shared" si="1"/>
        <v>104805.23000000001</v>
      </c>
    </row>
    <row r="48" spans="2:11" x14ac:dyDescent="0.25">
      <c r="B48" s="110">
        <v>43200</v>
      </c>
      <c r="C48" s="9" t="s">
        <v>348</v>
      </c>
      <c r="D48" s="11"/>
      <c r="E48" s="11"/>
      <c r="F48" s="11"/>
      <c r="G48" s="11"/>
      <c r="H48" s="113">
        <v>300</v>
      </c>
      <c r="I48" s="15"/>
      <c r="J48" s="12">
        <f t="shared" si="0"/>
        <v>61798.080000000002</v>
      </c>
      <c r="K48" s="12">
        <f t="shared" si="1"/>
        <v>104505.23000000001</v>
      </c>
    </row>
    <row r="49" spans="2:11" x14ac:dyDescent="0.25">
      <c r="B49" s="110">
        <v>43200</v>
      </c>
      <c r="C49" s="9" t="s">
        <v>349</v>
      </c>
      <c r="D49" s="11"/>
      <c r="E49" s="11"/>
      <c r="F49" s="11"/>
      <c r="G49" s="11"/>
      <c r="H49" s="113">
        <v>4250</v>
      </c>
      <c r="I49" s="15"/>
      <c r="J49" s="12">
        <f t="shared" si="0"/>
        <v>61798.080000000002</v>
      </c>
      <c r="K49" s="12">
        <f t="shared" si="1"/>
        <v>100255.23000000001</v>
      </c>
    </row>
    <row r="50" spans="2:11" x14ac:dyDescent="0.25">
      <c r="B50" s="110">
        <v>43201</v>
      </c>
      <c r="C50" s="9" t="s">
        <v>350</v>
      </c>
      <c r="D50" s="11"/>
      <c r="E50" s="11"/>
      <c r="F50" s="11"/>
      <c r="G50" s="11"/>
      <c r="H50" s="113">
        <v>180</v>
      </c>
      <c r="I50" s="15"/>
      <c r="J50" s="12">
        <f t="shared" si="0"/>
        <v>61798.080000000002</v>
      </c>
      <c r="K50" s="12">
        <f t="shared" si="1"/>
        <v>100075.23000000001</v>
      </c>
    </row>
    <row r="51" spans="2:11" x14ac:dyDescent="0.25">
      <c r="B51" s="110">
        <v>43202</v>
      </c>
      <c r="C51" s="9" t="s">
        <v>313</v>
      </c>
      <c r="D51" s="41"/>
      <c r="E51" s="11"/>
      <c r="F51" s="11"/>
      <c r="G51" s="11">
        <v>1760</v>
      </c>
      <c r="H51" s="113"/>
      <c r="I51" s="15"/>
      <c r="J51" s="12">
        <f t="shared" si="0"/>
        <v>60038.080000000002</v>
      </c>
      <c r="K51" s="12">
        <f t="shared" si="1"/>
        <v>100075.23000000001</v>
      </c>
    </row>
    <row r="52" spans="2:11" x14ac:dyDescent="0.25">
      <c r="B52" s="110">
        <v>43202</v>
      </c>
      <c r="C52" s="9" t="s">
        <v>314</v>
      </c>
      <c r="D52" s="101"/>
      <c r="E52" s="11"/>
      <c r="F52" s="11"/>
      <c r="G52" s="11">
        <v>1400</v>
      </c>
      <c r="H52" s="11"/>
      <c r="I52" s="15"/>
      <c r="J52" s="12">
        <f t="shared" si="0"/>
        <v>58638.080000000002</v>
      </c>
      <c r="K52" s="12">
        <f>+K51+D52-H52</f>
        <v>100075.23000000001</v>
      </c>
    </row>
    <row r="53" spans="2:11" x14ac:dyDescent="0.25">
      <c r="B53" s="110">
        <v>43202</v>
      </c>
      <c r="C53" s="9" t="s">
        <v>351</v>
      </c>
      <c r="D53" s="11"/>
      <c r="E53" s="11"/>
      <c r="F53" s="11"/>
      <c r="G53" s="11"/>
      <c r="H53" s="11">
        <v>120</v>
      </c>
      <c r="I53" s="15"/>
      <c r="J53" s="12">
        <f>+J52+E53-G53</f>
        <v>58638.080000000002</v>
      </c>
      <c r="K53" s="12">
        <f>+K52+D53-H53</f>
        <v>99955.23000000001</v>
      </c>
    </row>
    <row r="54" spans="2:11" ht="15.75" thickBot="1" x14ac:dyDescent="0.3">
      <c r="B54" s="109">
        <v>43202</v>
      </c>
      <c r="C54" s="75" t="s">
        <v>352</v>
      </c>
      <c r="D54" s="17"/>
      <c r="E54" s="17"/>
      <c r="F54" s="17"/>
      <c r="G54" s="17"/>
      <c r="H54" s="17">
        <v>400</v>
      </c>
      <c r="I54" s="64"/>
      <c r="J54" s="12">
        <f>+J53+E54-G54</f>
        <v>58638.080000000002</v>
      </c>
      <c r="K54" s="12">
        <f>+K53+D54-H54</f>
        <v>99555.23000000001</v>
      </c>
    </row>
    <row r="55" spans="2:11" ht="15.75" thickBot="1" x14ac:dyDescent="0.3">
      <c r="B55" s="111"/>
      <c r="C55" s="7" t="s">
        <v>0</v>
      </c>
      <c r="D55" s="77">
        <f>SUM(D5:D54)</f>
        <v>65975</v>
      </c>
      <c r="E55" s="114">
        <f>SUM(E5:E54)</f>
        <v>0</v>
      </c>
      <c r="F55" s="71">
        <f>SUM(D55:E55)</f>
        <v>65975</v>
      </c>
      <c r="G55" s="115">
        <f>SUM(G5:G54)</f>
        <v>3160</v>
      </c>
      <c r="H55" s="62">
        <f>SUM(H5:H54)</f>
        <v>32190.829999999998</v>
      </c>
      <c r="I55" s="71">
        <f>SUM(G55:H55)</f>
        <v>35350.83</v>
      </c>
      <c r="J55" s="20"/>
      <c r="K55" s="20"/>
    </row>
    <row r="56" spans="2:11" x14ac:dyDescent="0.25">
      <c r="B56" s="107" t="s">
        <v>1</v>
      </c>
      <c r="C56" s="68" t="s">
        <v>2</v>
      </c>
      <c r="D56" s="68" t="s">
        <v>3</v>
      </c>
      <c r="E56" s="68" t="s">
        <v>3</v>
      </c>
      <c r="F56" s="68" t="s">
        <v>22</v>
      </c>
      <c r="G56" s="68" t="s">
        <v>23</v>
      </c>
      <c r="H56" s="48" t="s">
        <v>23</v>
      </c>
      <c r="I56" s="48" t="s">
        <v>22</v>
      </c>
      <c r="J56" s="68" t="s">
        <v>8</v>
      </c>
      <c r="K56" s="48" t="s">
        <v>7</v>
      </c>
    </row>
    <row r="57" spans="2:11" ht="15.75" thickBot="1" x14ac:dyDescent="0.3">
      <c r="B57" s="108"/>
      <c r="C57" s="69"/>
      <c r="D57" s="69" t="s">
        <v>5</v>
      </c>
      <c r="E57" s="69" t="s">
        <v>24</v>
      </c>
      <c r="F57" s="69" t="s">
        <v>3</v>
      </c>
      <c r="G57" s="69" t="s">
        <v>24</v>
      </c>
      <c r="H57" s="70" t="s">
        <v>5</v>
      </c>
      <c r="I57" s="70" t="s">
        <v>4</v>
      </c>
      <c r="J57" s="69"/>
      <c r="K57" s="70"/>
    </row>
    <row r="58" spans="2:11" ht="15.75" thickBot="1" x14ac:dyDescent="0.3">
      <c r="B58" s="112"/>
      <c r="C58" s="76" t="s">
        <v>0</v>
      </c>
      <c r="D58" s="77">
        <v>65975</v>
      </c>
      <c r="E58" s="77">
        <v>0</v>
      </c>
      <c r="F58" s="77">
        <f>SUM(D58:E58)</f>
        <v>65975</v>
      </c>
      <c r="G58" s="77">
        <v>3160</v>
      </c>
      <c r="H58" s="62">
        <v>32190.83</v>
      </c>
      <c r="I58" s="62">
        <v>35350.83</v>
      </c>
      <c r="J58" s="62">
        <v>58638.080000000002</v>
      </c>
      <c r="K58" s="20">
        <v>99555.23</v>
      </c>
    </row>
    <row r="59" spans="2:11" x14ac:dyDescent="0.25">
      <c r="B59" s="110">
        <v>43203</v>
      </c>
      <c r="C59" s="9" t="s">
        <v>353</v>
      </c>
      <c r="D59" s="11"/>
      <c r="E59" s="11"/>
      <c r="F59" s="11"/>
      <c r="G59" s="11"/>
      <c r="H59" s="11">
        <v>1250</v>
      </c>
      <c r="I59" s="15"/>
      <c r="J59" s="12">
        <f>+J58+E59-G59</f>
        <v>58638.080000000002</v>
      </c>
      <c r="K59" s="12">
        <f>+K58+D59-H59</f>
        <v>98305.23</v>
      </c>
    </row>
    <row r="60" spans="2:11" x14ac:dyDescent="0.25">
      <c r="B60" s="110">
        <v>43203</v>
      </c>
      <c r="C60" s="9" t="s">
        <v>354</v>
      </c>
      <c r="D60" s="11"/>
      <c r="E60" s="11"/>
      <c r="F60" s="11"/>
      <c r="G60" s="11"/>
      <c r="H60" s="11">
        <v>100</v>
      </c>
      <c r="I60" s="15"/>
      <c r="J60" s="12">
        <f t="shared" ref="J60:J81" si="2">+J59+E60-G60</f>
        <v>58638.080000000002</v>
      </c>
      <c r="K60" s="12">
        <f t="shared" ref="K60:K81" si="3">+K59+D60-H60</f>
        <v>98205.23</v>
      </c>
    </row>
    <row r="61" spans="2:11" x14ac:dyDescent="0.25">
      <c r="B61" s="110">
        <v>43203</v>
      </c>
      <c r="C61" s="9" t="s">
        <v>355</v>
      </c>
      <c r="D61" s="11"/>
      <c r="E61" s="11"/>
      <c r="F61" s="11"/>
      <c r="G61" s="11"/>
      <c r="H61" s="11">
        <v>900</v>
      </c>
      <c r="I61" s="15"/>
      <c r="J61" s="12">
        <f t="shared" si="2"/>
        <v>58638.080000000002</v>
      </c>
      <c r="K61" s="12">
        <f t="shared" si="3"/>
        <v>97305.23</v>
      </c>
    </row>
    <row r="62" spans="2:11" x14ac:dyDescent="0.25">
      <c r="B62" s="110">
        <v>43203</v>
      </c>
      <c r="C62" s="13" t="s">
        <v>356</v>
      </c>
      <c r="D62" s="41"/>
      <c r="E62" s="41"/>
      <c r="F62" s="41"/>
      <c r="G62" s="41"/>
      <c r="H62" s="11">
        <v>813</v>
      </c>
      <c r="I62" s="15"/>
      <c r="J62" s="12">
        <f t="shared" si="2"/>
        <v>58638.080000000002</v>
      </c>
      <c r="K62" s="12">
        <f t="shared" si="3"/>
        <v>96492.23</v>
      </c>
    </row>
    <row r="63" spans="2:11" x14ac:dyDescent="0.25">
      <c r="B63" s="110">
        <v>43204</v>
      </c>
      <c r="C63" s="13" t="s">
        <v>320</v>
      </c>
      <c r="D63" s="41"/>
      <c r="E63" s="41"/>
      <c r="F63" s="41"/>
      <c r="G63" s="16"/>
      <c r="H63" s="11">
        <v>300</v>
      </c>
      <c r="I63" s="15"/>
      <c r="J63" s="12">
        <f t="shared" si="2"/>
        <v>58638.080000000002</v>
      </c>
      <c r="K63" s="12">
        <f t="shared" si="3"/>
        <v>96192.23</v>
      </c>
    </row>
    <row r="64" spans="2:11" x14ac:dyDescent="0.25">
      <c r="B64" s="110">
        <v>43205</v>
      </c>
      <c r="C64" s="13" t="s">
        <v>357</v>
      </c>
      <c r="D64" s="41"/>
      <c r="E64" s="41"/>
      <c r="F64" s="41"/>
      <c r="G64" s="103"/>
      <c r="H64" s="11">
        <v>350</v>
      </c>
      <c r="I64" s="15"/>
      <c r="J64" s="12">
        <f t="shared" si="2"/>
        <v>58638.080000000002</v>
      </c>
      <c r="K64" s="12">
        <f t="shared" si="3"/>
        <v>95842.23</v>
      </c>
    </row>
    <row r="65" spans="2:11" x14ac:dyDescent="0.25">
      <c r="B65" s="110">
        <v>43205</v>
      </c>
      <c r="C65" s="9" t="s">
        <v>358</v>
      </c>
      <c r="D65" s="11"/>
      <c r="E65" s="11"/>
      <c r="F65" s="11"/>
      <c r="G65" s="11"/>
      <c r="H65" s="113">
        <v>550</v>
      </c>
      <c r="I65" s="15"/>
      <c r="J65" s="12">
        <f t="shared" si="2"/>
        <v>58638.080000000002</v>
      </c>
      <c r="K65" s="12">
        <f t="shared" si="3"/>
        <v>95292.23</v>
      </c>
    </row>
    <row r="66" spans="2:11" x14ac:dyDescent="0.25">
      <c r="B66" s="110">
        <v>43205</v>
      </c>
      <c r="C66" s="9" t="s">
        <v>359</v>
      </c>
      <c r="D66" s="11"/>
      <c r="E66" s="11"/>
      <c r="F66" s="11"/>
      <c r="G66" s="11"/>
      <c r="H66" s="11">
        <v>2000</v>
      </c>
      <c r="I66" s="15"/>
      <c r="J66" s="12">
        <f t="shared" si="2"/>
        <v>58638.080000000002</v>
      </c>
      <c r="K66" s="12">
        <f t="shared" si="3"/>
        <v>93292.23</v>
      </c>
    </row>
    <row r="67" spans="2:11" x14ac:dyDescent="0.25">
      <c r="B67" s="110">
        <v>43205</v>
      </c>
      <c r="C67" s="9" t="s">
        <v>360</v>
      </c>
      <c r="D67" s="11"/>
      <c r="E67" s="11"/>
      <c r="F67" s="11"/>
      <c r="G67" s="11"/>
      <c r="H67" s="11">
        <v>4000</v>
      </c>
      <c r="I67" s="15"/>
      <c r="J67" s="12">
        <f t="shared" si="2"/>
        <v>58638.080000000002</v>
      </c>
      <c r="K67" s="12">
        <f t="shared" si="3"/>
        <v>89292.23</v>
      </c>
    </row>
    <row r="68" spans="2:11" x14ac:dyDescent="0.25">
      <c r="B68" s="110">
        <v>43205</v>
      </c>
      <c r="C68" s="9" t="s">
        <v>361</v>
      </c>
      <c r="D68" s="11"/>
      <c r="E68" s="11"/>
      <c r="F68" s="11"/>
      <c r="G68" s="11"/>
      <c r="H68" s="113">
        <v>40000</v>
      </c>
      <c r="I68" s="15"/>
      <c r="J68" s="12">
        <f t="shared" si="2"/>
        <v>58638.080000000002</v>
      </c>
      <c r="K68" s="12">
        <f t="shared" si="3"/>
        <v>49292.229999999996</v>
      </c>
    </row>
    <row r="69" spans="2:11" x14ac:dyDescent="0.25">
      <c r="B69" s="110">
        <v>43205</v>
      </c>
      <c r="C69" s="9" t="s">
        <v>362</v>
      </c>
      <c r="D69" s="11"/>
      <c r="E69" s="11"/>
      <c r="F69" s="11"/>
      <c r="G69" s="11"/>
      <c r="H69" s="11">
        <v>61</v>
      </c>
      <c r="I69" s="15"/>
      <c r="J69" s="12">
        <f t="shared" si="2"/>
        <v>58638.080000000002</v>
      </c>
      <c r="K69" s="12">
        <f t="shared" si="3"/>
        <v>49231.229999999996</v>
      </c>
    </row>
    <row r="70" spans="2:11" x14ac:dyDescent="0.25">
      <c r="B70" s="110">
        <v>43205</v>
      </c>
      <c r="C70" s="9" t="s">
        <v>363</v>
      </c>
      <c r="D70" s="11"/>
      <c r="E70" s="11"/>
      <c r="F70" s="11"/>
      <c r="G70" s="11"/>
      <c r="H70" s="11">
        <v>120</v>
      </c>
      <c r="I70" s="15"/>
      <c r="J70" s="12">
        <f t="shared" si="2"/>
        <v>58638.080000000002</v>
      </c>
      <c r="K70" s="12">
        <f t="shared" si="3"/>
        <v>49111.229999999996</v>
      </c>
    </row>
    <row r="71" spans="2:11" x14ac:dyDescent="0.25">
      <c r="B71" s="110">
        <v>43205</v>
      </c>
      <c r="C71" s="9" t="s">
        <v>364</v>
      </c>
      <c r="D71" s="11"/>
      <c r="E71" s="11"/>
      <c r="F71" s="11"/>
      <c r="G71" s="11"/>
      <c r="H71" s="11">
        <v>150</v>
      </c>
      <c r="I71" s="15"/>
      <c r="J71" s="12">
        <f t="shared" si="2"/>
        <v>58638.080000000002</v>
      </c>
      <c r="K71" s="12">
        <f t="shared" si="3"/>
        <v>48961.229999999996</v>
      </c>
    </row>
    <row r="72" spans="2:11" x14ac:dyDescent="0.25">
      <c r="B72" s="110">
        <v>43205</v>
      </c>
      <c r="C72" s="9" t="s">
        <v>386</v>
      </c>
      <c r="D72" s="11">
        <v>21350</v>
      </c>
      <c r="E72" s="11"/>
      <c r="F72" s="11"/>
      <c r="G72" s="11"/>
      <c r="H72" s="11"/>
      <c r="I72" s="15"/>
      <c r="J72" s="12">
        <f t="shared" si="2"/>
        <v>58638.080000000002</v>
      </c>
      <c r="K72" s="12">
        <f t="shared" si="3"/>
        <v>70311.23</v>
      </c>
    </row>
    <row r="73" spans="2:11" x14ac:dyDescent="0.25">
      <c r="B73" s="110">
        <v>43206</v>
      </c>
      <c r="C73" s="9" t="s">
        <v>365</v>
      </c>
      <c r="D73" s="11"/>
      <c r="E73" s="11"/>
      <c r="F73" s="11"/>
      <c r="G73" s="11"/>
      <c r="H73" s="11">
        <v>175</v>
      </c>
      <c r="I73" s="15"/>
      <c r="J73" s="12">
        <f t="shared" si="2"/>
        <v>58638.080000000002</v>
      </c>
      <c r="K73" s="12">
        <f t="shared" si="3"/>
        <v>70136.23</v>
      </c>
    </row>
    <row r="74" spans="2:11" x14ac:dyDescent="0.25">
      <c r="B74" s="110">
        <v>43208</v>
      </c>
      <c r="C74" s="9" t="s">
        <v>366</v>
      </c>
      <c r="D74" s="11"/>
      <c r="E74" s="11"/>
      <c r="F74" s="11"/>
      <c r="G74" s="11"/>
      <c r="H74" s="11">
        <v>300</v>
      </c>
      <c r="I74" s="15"/>
      <c r="J74" s="12">
        <f t="shared" si="2"/>
        <v>58638.080000000002</v>
      </c>
      <c r="K74" s="12">
        <f t="shared" si="3"/>
        <v>69836.23</v>
      </c>
    </row>
    <row r="75" spans="2:11" x14ac:dyDescent="0.25">
      <c r="B75" s="110">
        <v>43208</v>
      </c>
      <c r="C75" s="35" t="s">
        <v>367</v>
      </c>
      <c r="D75" s="41"/>
      <c r="E75" s="41"/>
      <c r="F75" s="41"/>
      <c r="G75" s="16"/>
      <c r="H75" s="11">
        <v>300</v>
      </c>
      <c r="I75" s="15"/>
      <c r="J75" s="12">
        <f t="shared" si="2"/>
        <v>58638.080000000002</v>
      </c>
      <c r="K75" s="12">
        <f t="shared" si="3"/>
        <v>69536.23</v>
      </c>
    </row>
    <row r="76" spans="2:11" x14ac:dyDescent="0.25">
      <c r="B76" s="110">
        <v>43209</v>
      </c>
      <c r="C76" s="34" t="s">
        <v>368</v>
      </c>
      <c r="D76" s="41"/>
      <c r="E76" s="41"/>
      <c r="F76" s="41"/>
      <c r="G76" s="16"/>
      <c r="H76" s="11">
        <v>400</v>
      </c>
      <c r="I76" s="15"/>
      <c r="J76" s="12">
        <f t="shared" si="2"/>
        <v>58638.080000000002</v>
      </c>
      <c r="K76" s="12">
        <f t="shared" si="3"/>
        <v>69136.23</v>
      </c>
    </row>
    <row r="77" spans="2:11" x14ac:dyDescent="0.25">
      <c r="B77" s="110">
        <v>43209</v>
      </c>
      <c r="C77" s="29" t="s">
        <v>369</v>
      </c>
      <c r="D77" s="11"/>
      <c r="E77" s="116"/>
      <c r="F77" s="11"/>
      <c r="G77" s="11"/>
      <c r="H77" s="11">
        <v>300</v>
      </c>
      <c r="I77" s="15"/>
      <c r="J77" s="12">
        <f t="shared" si="2"/>
        <v>58638.080000000002</v>
      </c>
      <c r="K77" s="12">
        <f t="shared" si="3"/>
        <v>68836.23</v>
      </c>
    </row>
    <row r="78" spans="2:11" x14ac:dyDescent="0.25">
      <c r="B78" s="110">
        <v>43210</v>
      </c>
      <c r="C78" s="9" t="s">
        <v>370</v>
      </c>
      <c r="D78" s="11"/>
      <c r="E78" s="11"/>
      <c r="F78" s="11"/>
      <c r="G78" s="11"/>
      <c r="H78" s="11">
        <v>1250</v>
      </c>
      <c r="I78" s="15"/>
      <c r="J78" s="12">
        <f t="shared" si="2"/>
        <v>58638.080000000002</v>
      </c>
      <c r="K78" s="12">
        <f t="shared" si="3"/>
        <v>67586.23</v>
      </c>
    </row>
    <row r="79" spans="2:11" x14ac:dyDescent="0.25">
      <c r="B79" s="110">
        <v>43212</v>
      </c>
      <c r="C79" s="35" t="s">
        <v>178</v>
      </c>
      <c r="D79" s="11"/>
      <c r="E79" s="11"/>
      <c r="F79" s="11"/>
      <c r="G79" s="11"/>
      <c r="H79" s="11">
        <v>46.5</v>
      </c>
      <c r="I79" s="15"/>
      <c r="J79" s="12">
        <f t="shared" si="2"/>
        <v>58638.080000000002</v>
      </c>
      <c r="K79" s="12">
        <f t="shared" si="3"/>
        <v>67539.73</v>
      </c>
    </row>
    <row r="80" spans="2:11" x14ac:dyDescent="0.25">
      <c r="B80" s="110">
        <v>43212</v>
      </c>
      <c r="C80" s="9" t="s">
        <v>178</v>
      </c>
      <c r="D80" s="11"/>
      <c r="E80" s="11"/>
      <c r="F80" s="11"/>
      <c r="G80" s="11"/>
      <c r="H80" s="11">
        <v>56.5</v>
      </c>
      <c r="I80" s="15"/>
      <c r="J80" s="12">
        <f t="shared" si="2"/>
        <v>58638.080000000002</v>
      </c>
      <c r="K80" s="12">
        <f t="shared" si="3"/>
        <v>67483.23</v>
      </c>
    </row>
    <row r="81" spans="2:12" x14ac:dyDescent="0.25">
      <c r="B81" s="110">
        <v>43212</v>
      </c>
      <c r="C81" s="9" t="s">
        <v>363</v>
      </c>
      <c r="D81" s="11"/>
      <c r="E81" s="11"/>
      <c r="F81" s="11"/>
      <c r="G81" s="11"/>
      <c r="H81" s="11">
        <v>120</v>
      </c>
      <c r="I81" s="15"/>
      <c r="J81" s="12">
        <f t="shared" si="2"/>
        <v>58638.080000000002</v>
      </c>
      <c r="K81" s="12">
        <f t="shared" si="3"/>
        <v>67363.23</v>
      </c>
    </row>
    <row r="82" spans="2:12" x14ac:dyDescent="0.25">
      <c r="B82" s="109">
        <v>43212</v>
      </c>
      <c r="C82" s="75" t="s">
        <v>385</v>
      </c>
      <c r="D82" s="11">
        <v>21650</v>
      </c>
      <c r="E82" s="11"/>
      <c r="F82" s="11"/>
      <c r="G82" s="11"/>
      <c r="H82" s="11"/>
      <c r="I82" s="15"/>
      <c r="J82" s="12">
        <f t="shared" ref="J82:J106" si="4">+J81+E82-G82</f>
        <v>58638.080000000002</v>
      </c>
      <c r="K82" s="12">
        <f t="shared" ref="K82:K106" si="5">+K81+D82-H82</f>
        <v>89013.23</v>
      </c>
    </row>
    <row r="83" spans="2:12" x14ac:dyDescent="0.25">
      <c r="B83" s="110">
        <v>43213</v>
      </c>
      <c r="C83" s="9" t="s">
        <v>371</v>
      </c>
      <c r="D83" s="116"/>
      <c r="E83" s="11"/>
      <c r="F83" s="11"/>
      <c r="G83" s="11"/>
      <c r="H83" s="11">
        <v>520</v>
      </c>
      <c r="I83" s="15"/>
      <c r="J83" s="12">
        <f t="shared" si="4"/>
        <v>58638.080000000002</v>
      </c>
      <c r="K83" s="12">
        <f t="shared" si="5"/>
        <v>88493.23</v>
      </c>
    </row>
    <row r="84" spans="2:12" x14ac:dyDescent="0.25">
      <c r="B84" s="110">
        <v>43213</v>
      </c>
      <c r="C84" s="9" t="s">
        <v>372</v>
      </c>
      <c r="D84" s="116"/>
      <c r="E84" s="11"/>
      <c r="F84" s="11"/>
      <c r="G84" s="11"/>
      <c r="H84" s="11">
        <v>400</v>
      </c>
      <c r="I84" s="15"/>
      <c r="J84" s="12">
        <f t="shared" si="4"/>
        <v>58638.080000000002</v>
      </c>
      <c r="K84" s="12">
        <f t="shared" si="5"/>
        <v>88093.23</v>
      </c>
    </row>
    <row r="85" spans="2:12" x14ac:dyDescent="0.25">
      <c r="B85" s="110">
        <v>43213</v>
      </c>
      <c r="C85" s="9" t="s">
        <v>373</v>
      </c>
      <c r="D85" s="11"/>
      <c r="E85" s="11"/>
      <c r="F85" s="11"/>
      <c r="G85" s="11"/>
      <c r="H85" s="11">
        <v>175</v>
      </c>
      <c r="I85" s="15"/>
      <c r="J85" s="12">
        <f t="shared" si="4"/>
        <v>58638.080000000002</v>
      </c>
      <c r="K85" s="12">
        <f t="shared" si="5"/>
        <v>87918.23</v>
      </c>
    </row>
    <row r="86" spans="2:12" x14ac:dyDescent="0.25">
      <c r="B86" s="110">
        <v>43214</v>
      </c>
      <c r="C86" s="9" t="s">
        <v>374</v>
      </c>
      <c r="D86" s="11"/>
      <c r="E86" s="11"/>
      <c r="F86" s="11"/>
      <c r="G86" s="11"/>
      <c r="H86" s="11">
        <v>516</v>
      </c>
      <c r="I86" s="15"/>
      <c r="J86" s="12">
        <f t="shared" si="4"/>
        <v>58638.080000000002</v>
      </c>
      <c r="K86" s="12">
        <f t="shared" si="5"/>
        <v>87402.23</v>
      </c>
    </row>
    <row r="87" spans="2:12" x14ac:dyDescent="0.25">
      <c r="B87" s="110">
        <v>43215</v>
      </c>
      <c r="C87" s="9" t="s">
        <v>375</v>
      </c>
      <c r="D87" s="11"/>
      <c r="E87" s="11"/>
      <c r="F87" s="11"/>
      <c r="G87" s="11"/>
      <c r="H87" s="11">
        <v>300</v>
      </c>
      <c r="I87" s="15"/>
      <c r="J87" s="12">
        <f t="shared" si="4"/>
        <v>58638.080000000002</v>
      </c>
      <c r="K87" s="12">
        <f t="shared" si="5"/>
        <v>87102.23</v>
      </c>
    </row>
    <row r="88" spans="2:12" x14ac:dyDescent="0.25">
      <c r="B88" s="110">
        <v>43216</v>
      </c>
      <c r="C88" s="9" t="s">
        <v>376</v>
      </c>
      <c r="D88" s="11"/>
      <c r="E88" s="11"/>
      <c r="F88" s="11"/>
      <c r="G88" s="11"/>
      <c r="H88" s="11">
        <v>100</v>
      </c>
      <c r="I88" s="15"/>
      <c r="J88" s="12">
        <f t="shared" si="4"/>
        <v>58638.080000000002</v>
      </c>
      <c r="K88" s="12">
        <f t="shared" si="5"/>
        <v>87002.23</v>
      </c>
    </row>
    <row r="89" spans="2:12" x14ac:dyDescent="0.25">
      <c r="B89" s="110">
        <v>43216</v>
      </c>
      <c r="C89" s="9" t="s">
        <v>325</v>
      </c>
      <c r="D89" s="11"/>
      <c r="E89" s="11"/>
      <c r="F89" s="11"/>
      <c r="G89" s="11"/>
      <c r="H89" s="11">
        <v>90.06</v>
      </c>
      <c r="I89" s="15"/>
      <c r="J89" s="12">
        <f t="shared" si="4"/>
        <v>58638.080000000002</v>
      </c>
      <c r="K89" s="12">
        <f t="shared" si="5"/>
        <v>86912.17</v>
      </c>
    </row>
    <row r="90" spans="2:12" x14ac:dyDescent="0.25">
      <c r="B90" s="110">
        <v>43217</v>
      </c>
      <c r="C90" s="9" t="s">
        <v>377</v>
      </c>
      <c r="D90" s="11"/>
      <c r="E90" s="11"/>
      <c r="F90" s="11"/>
      <c r="G90" s="11"/>
      <c r="H90" s="11">
        <v>1250</v>
      </c>
      <c r="I90" s="15"/>
      <c r="J90" s="12">
        <f t="shared" si="4"/>
        <v>58638.080000000002</v>
      </c>
      <c r="K90" s="12">
        <f t="shared" si="5"/>
        <v>85662.17</v>
      </c>
      <c r="L90" s="1">
        <f>SUM(H2:H41)</f>
        <v>23429.829999999998</v>
      </c>
    </row>
    <row r="91" spans="2:12" x14ac:dyDescent="0.25">
      <c r="B91" s="110">
        <v>43219</v>
      </c>
      <c r="C91" s="9" t="s">
        <v>387</v>
      </c>
      <c r="D91" s="11">
        <v>20450</v>
      </c>
      <c r="E91" s="11"/>
      <c r="F91" s="11"/>
      <c r="G91" s="11"/>
      <c r="H91" s="11"/>
      <c r="I91" s="15"/>
      <c r="J91" s="12">
        <f t="shared" si="4"/>
        <v>58638.080000000002</v>
      </c>
      <c r="K91" s="12">
        <f t="shared" si="5"/>
        <v>106112.17</v>
      </c>
    </row>
    <row r="92" spans="2:12" x14ac:dyDescent="0.25">
      <c r="B92" s="110">
        <v>43219</v>
      </c>
      <c r="C92" s="9" t="s">
        <v>363</v>
      </c>
      <c r="D92" s="11"/>
      <c r="E92" s="11"/>
      <c r="F92" s="11"/>
      <c r="G92" s="11"/>
      <c r="H92" s="11">
        <v>120</v>
      </c>
      <c r="I92" s="15"/>
      <c r="J92" s="12">
        <f t="shared" si="4"/>
        <v>58638.080000000002</v>
      </c>
      <c r="K92" s="12">
        <f t="shared" si="5"/>
        <v>105992.17</v>
      </c>
    </row>
    <row r="93" spans="2:12" x14ac:dyDescent="0.25">
      <c r="B93" s="110">
        <v>43219</v>
      </c>
      <c r="C93" s="9" t="s">
        <v>364</v>
      </c>
      <c r="D93" s="11"/>
      <c r="E93" s="11"/>
      <c r="F93" s="11"/>
      <c r="G93" s="11"/>
      <c r="H93" s="11">
        <v>150</v>
      </c>
      <c r="I93" s="15"/>
      <c r="J93" s="12">
        <f t="shared" si="4"/>
        <v>58638.080000000002</v>
      </c>
      <c r="K93" s="12">
        <f t="shared" si="5"/>
        <v>105842.17</v>
      </c>
    </row>
    <row r="94" spans="2:12" x14ac:dyDescent="0.25">
      <c r="B94" s="110">
        <v>43219</v>
      </c>
      <c r="C94" s="9" t="s">
        <v>178</v>
      </c>
      <c r="D94" s="11"/>
      <c r="E94" s="11"/>
      <c r="F94" s="11"/>
      <c r="G94" s="11"/>
      <c r="H94" s="11">
        <v>45</v>
      </c>
      <c r="I94" s="15"/>
      <c r="J94" s="12">
        <f t="shared" si="4"/>
        <v>58638.080000000002</v>
      </c>
      <c r="K94" s="12">
        <f t="shared" si="5"/>
        <v>105797.17</v>
      </c>
    </row>
    <row r="95" spans="2:12" x14ac:dyDescent="0.25">
      <c r="B95" s="110">
        <v>43219</v>
      </c>
      <c r="C95" s="9" t="s">
        <v>341</v>
      </c>
      <c r="D95" s="11"/>
      <c r="E95" s="11"/>
      <c r="F95" s="11"/>
      <c r="G95" s="11"/>
      <c r="H95" s="11">
        <v>34.5</v>
      </c>
      <c r="I95" s="15"/>
      <c r="J95" s="12">
        <f t="shared" si="4"/>
        <v>58638.080000000002</v>
      </c>
      <c r="K95" s="12">
        <f t="shared" si="5"/>
        <v>105762.67</v>
      </c>
    </row>
    <row r="96" spans="2:12" x14ac:dyDescent="0.25">
      <c r="B96" s="110">
        <v>43219</v>
      </c>
      <c r="C96" s="9" t="s">
        <v>378</v>
      </c>
      <c r="D96" s="11"/>
      <c r="E96" s="11"/>
      <c r="F96" s="11"/>
      <c r="G96" s="11"/>
      <c r="H96" s="11">
        <v>450</v>
      </c>
      <c r="I96" s="15"/>
      <c r="J96" s="12">
        <f t="shared" si="4"/>
        <v>58638.080000000002</v>
      </c>
      <c r="K96" s="12">
        <f t="shared" si="5"/>
        <v>105312.67</v>
      </c>
    </row>
    <row r="97" spans="2:11" x14ac:dyDescent="0.25">
      <c r="B97" s="110">
        <v>43220</v>
      </c>
      <c r="C97" s="9" t="s">
        <v>379</v>
      </c>
      <c r="D97" s="11"/>
      <c r="E97" s="11"/>
      <c r="F97" s="11"/>
      <c r="G97" s="11"/>
      <c r="H97" s="11">
        <v>400</v>
      </c>
      <c r="I97" s="15"/>
      <c r="J97" s="12">
        <f t="shared" si="4"/>
        <v>58638.080000000002</v>
      </c>
      <c r="K97" s="12">
        <f t="shared" si="5"/>
        <v>104912.67</v>
      </c>
    </row>
    <row r="98" spans="2:11" x14ac:dyDescent="0.25">
      <c r="B98" s="110">
        <v>43220</v>
      </c>
      <c r="C98" s="9" t="s">
        <v>323</v>
      </c>
      <c r="D98" s="11"/>
      <c r="E98" s="11"/>
      <c r="F98" s="11"/>
      <c r="G98" s="11"/>
      <c r="H98" s="11">
        <v>210</v>
      </c>
      <c r="I98" s="15"/>
      <c r="J98" s="12">
        <f t="shared" si="4"/>
        <v>58638.080000000002</v>
      </c>
      <c r="K98" s="12">
        <f t="shared" si="5"/>
        <v>104702.67</v>
      </c>
    </row>
    <row r="99" spans="2:11" x14ac:dyDescent="0.25">
      <c r="B99" s="110">
        <v>43220</v>
      </c>
      <c r="C99" s="9" t="s">
        <v>380</v>
      </c>
      <c r="D99" s="11"/>
      <c r="E99" s="11"/>
      <c r="F99" s="11"/>
      <c r="G99" s="11"/>
      <c r="H99" s="11">
        <v>300</v>
      </c>
      <c r="I99" s="15"/>
      <c r="J99" s="12">
        <f t="shared" si="4"/>
        <v>58638.080000000002</v>
      </c>
      <c r="K99" s="12">
        <f t="shared" si="5"/>
        <v>104402.67</v>
      </c>
    </row>
    <row r="100" spans="2:11" x14ac:dyDescent="0.25">
      <c r="B100" s="110">
        <v>43220</v>
      </c>
      <c r="C100" s="9" t="s">
        <v>381</v>
      </c>
      <c r="D100" s="11"/>
      <c r="E100" s="11"/>
      <c r="F100" s="11"/>
      <c r="G100" s="11"/>
      <c r="H100" s="11">
        <v>550</v>
      </c>
      <c r="I100" s="15"/>
      <c r="J100" s="12">
        <f t="shared" si="4"/>
        <v>58638.080000000002</v>
      </c>
      <c r="K100" s="12">
        <f t="shared" si="5"/>
        <v>103852.67</v>
      </c>
    </row>
    <row r="101" spans="2:11" x14ac:dyDescent="0.25">
      <c r="B101" s="110">
        <v>43220</v>
      </c>
      <c r="C101" s="35" t="s">
        <v>382</v>
      </c>
      <c r="D101" s="11"/>
      <c r="E101" s="11"/>
      <c r="F101" s="11"/>
      <c r="G101" s="11"/>
      <c r="H101" s="11">
        <v>2000</v>
      </c>
      <c r="I101" s="15"/>
      <c r="J101" s="12">
        <f t="shared" si="4"/>
        <v>58638.080000000002</v>
      </c>
      <c r="K101" s="12">
        <f t="shared" si="5"/>
        <v>101852.67</v>
      </c>
    </row>
    <row r="102" spans="2:11" x14ac:dyDescent="0.25">
      <c r="B102" s="110">
        <v>43220</v>
      </c>
      <c r="C102" s="9" t="s">
        <v>383</v>
      </c>
      <c r="D102" s="11"/>
      <c r="E102" s="11"/>
      <c r="F102" s="11"/>
      <c r="G102" s="11"/>
      <c r="H102" s="11">
        <v>4000</v>
      </c>
      <c r="I102" s="15"/>
      <c r="J102" s="12">
        <f t="shared" si="4"/>
        <v>58638.080000000002</v>
      </c>
      <c r="K102" s="12">
        <f t="shared" si="5"/>
        <v>97852.67</v>
      </c>
    </row>
    <row r="103" spans="2:11" x14ac:dyDescent="0.25">
      <c r="B103" s="110">
        <v>43220</v>
      </c>
      <c r="C103" s="9" t="s">
        <v>384</v>
      </c>
      <c r="D103" s="11"/>
      <c r="E103" s="11"/>
      <c r="F103" s="11"/>
      <c r="G103" s="11"/>
      <c r="H103" s="11">
        <v>40000</v>
      </c>
      <c r="I103" s="15"/>
      <c r="J103" s="12">
        <f t="shared" si="4"/>
        <v>58638.080000000002</v>
      </c>
      <c r="K103" s="12">
        <f t="shared" si="5"/>
        <v>57852.67</v>
      </c>
    </row>
    <row r="104" spans="2:11" x14ac:dyDescent="0.25">
      <c r="B104" s="110">
        <v>43193</v>
      </c>
      <c r="C104" s="13" t="s">
        <v>308</v>
      </c>
      <c r="D104" s="11"/>
      <c r="E104" s="11">
        <v>300.45999999999998</v>
      </c>
      <c r="F104" s="11"/>
      <c r="G104" s="11"/>
      <c r="H104" s="11"/>
      <c r="I104" s="15"/>
      <c r="J104" s="12">
        <f t="shared" si="4"/>
        <v>58938.54</v>
      </c>
      <c r="K104" s="12">
        <f t="shared" si="5"/>
        <v>57852.67</v>
      </c>
    </row>
    <row r="105" spans="2:11" x14ac:dyDescent="0.25">
      <c r="B105" s="110">
        <v>43197</v>
      </c>
      <c r="C105" s="13" t="s">
        <v>388</v>
      </c>
      <c r="D105" s="11"/>
      <c r="E105" s="11">
        <v>800</v>
      </c>
      <c r="F105" s="11"/>
      <c r="G105" s="11"/>
      <c r="H105" s="11"/>
      <c r="I105" s="15"/>
      <c r="J105" s="12">
        <f t="shared" si="4"/>
        <v>59738.54</v>
      </c>
      <c r="K105" s="12">
        <f t="shared" si="5"/>
        <v>57852.67</v>
      </c>
    </row>
    <row r="106" spans="2:11" x14ac:dyDescent="0.25">
      <c r="B106" s="110">
        <v>43210</v>
      </c>
      <c r="C106" s="13" t="s">
        <v>389</v>
      </c>
      <c r="D106" s="11"/>
      <c r="E106" s="11">
        <v>12760</v>
      </c>
      <c r="F106" s="11"/>
      <c r="G106" s="11"/>
      <c r="H106" s="11"/>
      <c r="I106" s="15"/>
      <c r="J106" s="12">
        <f t="shared" si="4"/>
        <v>72498.540000000008</v>
      </c>
      <c r="K106" s="12">
        <f t="shared" si="5"/>
        <v>57852.67</v>
      </c>
    </row>
    <row r="107" spans="2:11" x14ac:dyDescent="0.25">
      <c r="B107" s="110">
        <v>43220</v>
      </c>
      <c r="C107" s="13" t="s">
        <v>228</v>
      </c>
      <c r="D107" s="11"/>
      <c r="E107" s="11"/>
      <c r="F107" s="11"/>
      <c r="G107" s="11">
        <v>18</v>
      </c>
      <c r="H107" s="11"/>
      <c r="I107" s="15"/>
      <c r="J107" s="12">
        <f t="shared" ref="J107:J108" si="6">+J106+E107-G107</f>
        <v>72480.540000000008</v>
      </c>
      <c r="K107" s="12">
        <f t="shared" ref="K107:K108" si="7">+K106+D107-H107</f>
        <v>57852.67</v>
      </c>
    </row>
    <row r="108" spans="2:11" ht="15.75" thickBot="1" x14ac:dyDescent="0.3">
      <c r="B108" s="110">
        <v>43220</v>
      </c>
      <c r="C108" s="13" t="s">
        <v>227</v>
      </c>
      <c r="D108" s="11"/>
      <c r="E108" s="11"/>
      <c r="F108" s="11"/>
      <c r="G108" s="11">
        <v>2.88</v>
      </c>
      <c r="H108" s="11"/>
      <c r="I108" s="15"/>
      <c r="J108" s="12">
        <f t="shared" si="6"/>
        <v>72477.66</v>
      </c>
      <c r="K108" s="12">
        <f t="shared" si="7"/>
        <v>57852.67</v>
      </c>
    </row>
    <row r="109" spans="2:11" ht="15.75" thickBot="1" x14ac:dyDescent="0.3">
      <c r="B109" s="111"/>
      <c r="C109" s="7" t="s">
        <v>0</v>
      </c>
      <c r="D109" s="77">
        <f>SUM(D58:D108)</f>
        <v>129425</v>
      </c>
      <c r="E109" s="114">
        <f>SUM(E58:E108)</f>
        <v>13860.46</v>
      </c>
      <c r="F109" s="115">
        <f>SUM(D109:E109)</f>
        <v>143285.46</v>
      </c>
      <c r="G109" s="115">
        <f>SUM(G58:G108)</f>
        <v>3180.88</v>
      </c>
      <c r="H109" s="62">
        <f>SUM(H58:H108)</f>
        <v>137343.39000000001</v>
      </c>
      <c r="I109" s="71">
        <f>SUM(G109:H109)</f>
        <v>140524.27000000002</v>
      </c>
      <c r="J109" s="20"/>
      <c r="K109" s="20"/>
    </row>
    <row r="110" spans="2:11" ht="15.75" thickBot="1" x14ac:dyDescent="0.3">
      <c r="I110" s="74" t="s">
        <v>8</v>
      </c>
      <c r="J110" s="74" t="s">
        <v>7</v>
      </c>
      <c r="K110" s="95" t="s">
        <v>0</v>
      </c>
    </row>
    <row r="111" spans="2:11" ht="15.75" thickBot="1" x14ac:dyDescent="0.3">
      <c r="I111" s="26">
        <v>72477.66</v>
      </c>
      <c r="J111" s="26">
        <v>57852.67</v>
      </c>
      <c r="K111" s="20">
        <f>SUM(I111:J111)</f>
        <v>130330.33</v>
      </c>
    </row>
    <row r="197" spans="14:14" x14ac:dyDescent="0.25">
      <c r="N197" s="1"/>
    </row>
  </sheetData>
  <mergeCells count="1">
    <mergeCell ref="B2:K2"/>
  </mergeCells>
  <printOptions horizontalCentered="1"/>
  <pageMargins left="0" right="0" top="0" bottom="0" header="0.11811023622047245" footer="0.51181102362204722"/>
  <pageSetup paperSize="9" scale="72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B1:L164"/>
  <sheetViews>
    <sheetView topLeftCell="A3" zoomScale="90" zoomScaleNormal="90" workbookViewId="0">
      <pane ySplit="2" topLeftCell="A97" activePane="bottomLeft" state="frozen"/>
      <selection activeCell="A3" sqref="A3"/>
      <selection pane="bottomLeft" activeCell="C106" sqref="C106:C107"/>
    </sheetView>
  </sheetViews>
  <sheetFormatPr baseColWidth="10" defaultRowHeight="15" x14ac:dyDescent="0.25"/>
  <cols>
    <col min="1" max="1" width="10.7109375" customWidth="1"/>
    <col min="2" max="2" width="11.7109375" customWidth="1"/>
    <col min="3" max="3" width="85.140625" customWidth="1"/>
    <col min="4" max="11" width="10.7109375" customWidth="1"/>
  </cols>
  <sheetData>
    <row r="1" spans="2:11" ht="15.75" x14ac:dyDescent="0.25">
      <c r="B1" s="28">
        <v>42520</v>
      </c>
      <c r="J1" s="72"/>
      <c r="K1" s="46"/>
    </row>
    <row r="2" spans="2:11" ht="15.75" thickBot="1" x14ac:dyDescent="0.3">
      <c r="B2" s="136" t="s">
        <v>6</v>
      </c>
      <c r="C2" s="136"/>
      <c r="D2" s="136"/>
      <c r="E2" s="136"/>
      <c r="F2" s="136"/>
      <c r="G2" s="136"/>
      <c r="H2" s="136"/>
      <c r="I2" s="136"/>
      <c r="J2" s="136"/>
      <c r="K2" s="136"/>
    </row>
    <row r="3" spans="2:11" x14ac:dyDescent="0.25">
      <c r="B3" s="68" t="s">
        <v>1</v>
      </c>
      <c r="C3" s="68" t="s">
        <v>2</v>
      </c>
      <c r="D3" s="68" t="s">
        <v>3</v>
      </c>
      <c r="E3" s="68" t="s">
        <v>3</v>
      </c>
      <c r="F3" s="68" t="s">
        <v>22</v>
      </c>
      <c r="G3" s="68" t="s">
        <v>23</v>
      </c>
      <c r="H3" s="48" t="s">
        <v>23</v>
      </c>
      <c r="I3" s="48" t="s">
        <v>22</v>
      </c>
      <c r="J3" s="68" t="s">
        <v>8</v>
      </c>
      <c r="K3" s="48" t="s">
        <v>7</v>
      </c>
    </row>
    <row r="4" spans="2:11" ht="15.75" thickBot="1" x14ac:dyDescent="0.3">
      <c r="B4" s="69"/>
      <c r="C4" s="69"/>
      <c r="D4" s="69" t="s">
        <v>5</v>
      </c>
      <c r="E4" s="69" t="s">
        <v>24</v>
      </c>
      <c r="F4" s="69" t="s">
        <v>3</v>
      </c>
      <c r="G4" s="69" t="s">
        <v>24</v>
      </c>
      <c r="H4" s="70" t="s">
        <v>5</v>
      </c>
      <c r="I4" s="70" t="s">
        <v>4</v>
      </c>
      <c r="J4" s="69"/>
      <c r="K4" s="70"/>
    </row>
    <row r="5" spans="2:11" x14ac:dyDescent="0.25">
      <c r="B5" s="23">
        <v>43220</v>
      </c>
      <c r="C5" s="65" t="s">
        <v>46</v>
      </c>
      <c r="D5" s="66"/>
      <c r="E5" s="63"/>
      <c r="F5" s="63"/>
      <c r="G5" s="63"/>
      <c r="H5" s="17"/>
      <c r="I5" s="64"/>
      <c r="J5" s="26">
        <v>72477.66</v>
      </c>
      <c r="K5" s="26">
        <v>57852.67</v>
      </c>
    </row>
    <row r="6" spans="2:11" x14ac:dyDescent="0.25">
      <c r="B6" s="23">
        <v>43221</v>
      </c>
      <c r="C6" s="9" t="s">
        <v>369</v>
      </c>
      <c r="D6" s="11"/>
      <c r="E6" s="11"/>
      <c r="F6" s="11"/>
      <c r="G6" s="11"/>
      <c r="H6" s="11">
        <v>300</v>
      </c>
      <c r="I6" s="15"/>
      <c r="J6" s="12">
        <f>+J5+E6-G6</f>
        <v>72477.66</v>
      </c>
      <c r="K6" s="12">
        <f>+K5+D6-H6</f>
        <v>57552.67</v>
      </c>
    </row>
    <row r="7" spans="2:11" x14ac:dyDescent="0.25">
      <c r="B7" s="23">
        <v>43222</v>
      </c>
      <c r="C7" s="13" t="s">
        <v>390</v>
      </c>
      <c r="D7" s="11"/>
      <c r="E7" s="11"/>
      <c r="F7" s="11"/>
      <c r="G7" s="11"/>
      <c r="H7" s="11">
        <v>350</v>
      </c>
      <c r="I7" s="15"/>
      <c r="J7" s="12">
        <f t="shared" ref="J7:J44" si="0">+J6+E7-G7</f>
        <v>72477.66</v>
      </c>
      <c r="K7" s="12">
        <f t="shared" ref="K7:K44" si="1">+K6+D7-H7</f>
        <v>57202.67</v>
      </c>
    </row>
    <row r="8" spans="2:11" x14ac:dyDescent="0.25">
      <c r="B8" s="18">
        <v>43222</v>
      </c>
      <c r="C8" s="9" t="s">
        <v>391</v>
      </c>
      <c r="D8" s="11"/>
      <c r="E8" s="11"/>
      <c r="F8" s="11"/>
      <c r="G8" s="11"/>
      <c r="H8" s="59">
        <v>150</v>
      </c>
      <c r="I8" s="15"/>
      <c r="J8" s="12">
        <f t="shared" si="0"/>
        <v>72477.66</v>
      </c>
      <c r="K8" s="12">
        <f t="shared" si="1"/>
        <v>57052.67</v>
      </c>
    </row>
    <row r="9" spans="2:11" x14ac:dyDescent="0.25">
      <c r="B9" s="18">
        <v>43223</v>
      </c>
      <c r="C9" s="13" t="s">
        <v>392</v>
      </c>
      <c r="D9" s="11"/>
      <c r="E9" s="11"/>
      <c r="F9" s="11"/>
      <c r="G9" s="11"/>
      <c r="H9" s="11">
        <v>3000</v>
      </c>
      <c r="I9" s="15"/>
      <c r="J9" s="12">
        <f t="shared" si="0"/>
        <v>72477.66</v>
      </c>
      <c r="K9" s="12">
        <f t="shared" si="1"/>
        <v>54052.67</v>
      </c>
    </row>
    <row r="10" spans="2:11" x14ac:dyDescent="0.25">
      <c r="B10" s="18">
        <v>43223</v>
      </c>
      <c r="C10" s="9" t="s">
        <v>393</v>
      </c>
      <c r="D10" s="11"/>
      <c r="E10" s="11"/>
      <c r="F10" s="11"/>
      <c r="G10" s="11"/>
      <c r="H10" s="59">
        <v>300</v>
      </c>
      <c r="I10" s="15"/>
      <c r="J10" s="12">
        <f t="shared" si="0"/>
        <v>72477.66</v>
      </c>
      <c r="K10" s="12">
        <f t="shared" si="1"/>
        <v>53752.67</v>
      </c>
    </row>
    <row r="11" spans="2:11" x14ac:dyDescent="0.25">
      <c r="B11" s="18">
        <v>43224</v>
      </c>
      <c r="C11" s="9" t="s">
        <v>394</v>
      </c>
      <c r="D11" s="11"/>
      <c r="E11" s="11"/>
      <c r="F11" s="11"/>
      <c r="G11" s="11"/>
      <c r="H11" s="11">
        <v>300</v>
      </c>
      <c r="I11" s="15"/>
      <c r="J11" s="12">
        <f t="shared" si="0"/>
        <v>72477.66</v>
      </c>
      <c r="K11" s="12">
        <f t="shared" si="1"/>
        <v>53452.67</v>
      </c>
    </row>
    <row r="12" spans="2:11" x14ac:dyDescent="0.25">
      <c r="B12" s="18">
        <v>43224</v>
      </c>
      <c r="C12" s="9" t="s">
        <v>390</v>
      </c>
      <c r="D12" s="11"/>
      <c r="E12" s="11"/>
      <c r="F12" s="11"/>
      <c r="G12" s="11"/>
      <c r="H12" s="11">
        <v>520</v>
      </c>
      <c r="I12" s="15"/>
      <c r="J12" s="12">
        <f t="shared" si="0"/>
        <v>72477.66</v>
      </c>
      <c r="K12" s="12">
        <f t="shared" si="1"/>
        <v>52932.67</v>
      </c>
    </row>
    <row r="13" spans="2:11" x14ac:dyDescent="0.25">
      <c r="B13" s="18">
        <v>43224</v>
      </c>
      <c r="C13" s="9" t="s">
        <v>395</v>
      </c>
      <c r="D13" s="11"/>
      <c r="E13" s="11"/>
      <c r="F13" s="11"/>
      <c r="G13" s="11"/>
      <c r="H13" s="59">
        <v>250</v>
      </c>
      <c r="I13" s="15"/>
      <c r="J13" s="12">
        <f t="shared" si="0"/>
        <v>72477.66</v>
      </c>
      <c r="K13" s="12">
        <f t="shared" si="1"/>
        <v>52682.67</v>
      </c>
    </row>
    <row r="14" spans="2:11" x14ac:dyDescent="0.25">
      <c r="B14" s="18">
        <v>43224</v>
      </c>
      <c r="C14" s="9" t="s">
        <v>396</v>
      </c>
      <c r="D14" s="11"/>
      <c r="E14" s="11"/>
      <c r="F14" s="11"/>
      <c r="G14" s="11"/>
      <c r="H14" s="11">
        <v>1250</v>
      </c>
      <c r="I14" s="15"/>
      <c r="J14" s="12">
        <f t="shared" si="0"/>
        <v>72477.66</v>
      </c>
      <c r="K14" s="12">
        <f t="shared" si="1"/>
        <v>51432.67</v>
      </c>
    </row>
    <row r="15" spans="2:11" x14ac:dyDescent="0.25">
      <c r="B15" s="18">
        <v>43224</v>
      </c>
      <c r="C15" s="9" t="s">
        <v>397</v>
      </c>
      <c r="D15" s="11"/>
      <c r="E15" s="11"/>
      <c r="F15" s="11"/>
      <c r="G15" s="11"/>
      <c r="H15" s="59">
        <v>2550</v>
      </c>
      <c r="I15" s="15"/>
      <c r="J15" s="12">
        <f t="shared" si="0"/>
        <v>72477.66</v>
      </c>
      <c r="K15" s="12">
        <f t="shared" si="1"/>
        <v>48882.67</v>
      </c>
    </row>
    <row r="16" spans="2:11" x14ac:dyDescent="0.25">
      <c r="B16" s="18">
        <v>43224</v>
      </c>
      <c r="C16" s="9" t="s">
        <v>398</v>
      </c>
      <c r="D16" s="11"/>
      <c r="E16" s="11"/>
      <c r="F16" s="11"/>
      <c r="G16" s="11"/>
      <c r="H16" s="11">
        <v>300</v>
      </c>
      <c r="I16" s="15"/>
      <c r="J16" s="12">
        <f t="shared" si="0"/>
        <v>72477.66</v>
      </c>
      <c r="K16" s="12">
        <f t="shared" si="1"/>
        <v>48582.67</v>
      </c>
    </row>
    <row r="17" spans="2:11" x14ac:dyDescent="0.25">
      <c r="B17" s="18">
        <v>43225</v>
      </c>
      <c r="C17" s="9" t="s">
        <v>399</v>
      </c>
      <c r="D17" s="11"/>
      <c r="E17" s="11"/>
      <c r="F17" s="11"/>
      <c r="G17" s="11"/>
      <c r="H17" s="11">
        <v>200</v>
      </c>
      <c r="I17" s="15"/>
      <c r="J17" s="12">
        <f t="shared" si="0"/>
        <v>72477.66</v>
      </c>
      <c r="K17" s="12">
        <f t="shared" si="1"/>
        <v>48382.67</v>
      </c>
    </row>
    <row r="18" spans="2:11" x14ac:dyDescent="0.25">
      <c r="B18" s="18">
        <v>43225</v>
      </c>
      <c r="C18" s="9" t="s">
        <v>400</v>
      </c>
      <c r="D18" s="11"/>
      <c r="E18" s="11"/>
      <c r="F18" s="11"/>
      <c r="G18" s="11"/>
      <c r="H18" s="11">
        <v>300</v>
      </c>
      <c r="I18" s="15"/>
      <c r="J18" s="12">
        <f t="shared" si="0"/>
        <v>72477.66</v>
      </c>
      <c r="K18" s="12">
        <f t="shared" si="1"/>
        <v>48082.67</v>
      </c>
    </row>
    <row r="19" spans="2:11" x14ac:dyDescent="0.25">
      <c r="B19" s="18">
        <v>43226</v>
      </c>
      <c r="C19" s="9" t="s">
        <v>394</v>
      </c>
      <c r="D19" s="11"/>
      <c r="E19" s="11"/>
      <c r="F19" s="11"/>
      <c r="G19" s="11"/>
      <c r="H19" s="11">
        <v>300</v>
      </c>
      <c r="I19" s="15"/>
      <c r="J19" s="12">
        <f t="shared" si="0"/>
        <v>72477.66</v>
      </c>
      <c r="K19" s="12">
        <f t="shared" si="1"/>
        <v>47782.67</v>
      </c>
    </row>
    <row r="20" spans="2:11" x14ac:dyDescent="0.25">
      <c r="B20" s="18">
        <v>43226</v>
      </c>
      <c r="C20" s="9" t="s">
        <v>401</v>
      </c>
      <c r="D20" s="11"/>
      <c r="E20" s="11"/>
      <c r="F20" s="11"/>
      <c r="G20" s="11"/>
      <c r="H20" s="11">
        <v>86.5</v>
      </c>
      <c r="I20" s="15"/>
      <c r="J20" s="12">
        <f t="shared" si="0"/>
        <v>72477.66</v>
      </c>
      <c r="K20" s="12">
        <f t="shared" si="1"/>
        <v>47696.17</v>
      </c>
    </row>
    <row r="21" spans="2:11" x14ac:dyDescent="0.25">
      <c r="B21" s="18">
        <v>43226</v>
      </c>
      <c r="C21" s="9" t="s">
        <v>401</v>
      </c>
      <c r="D21" s="11"/>
      <c r="E21" s="11"/>
      <c r="F21" s="11"/>
      <c r="G21" s="11"/>
      <c r="H21" s="11">
        <v>41</v>
      </c>
      <c r="I21" s="15"/>
      <c r="J21" s="12">
        <f t="shared" si="0"/>
        <v>72477.66</v>
      </c>
      <c r="K21" s="12">
        <f t="shared" si="1"/>
        <v>47655.17</v>
      </c>
    </row>
    <row r="22" spans="2:11" x14ac:dyDescent="0.25">
      <c r="B22" s="18">
        <v>43226</v>
      </c>
      <c r="C22" s="9" t="s">
        <v>402</v>
      </c>
      <c r="D22" s="11"/>
      <c r="E22" s="11"/>
      <c r="F22" s="11"/>
      <c r="G22" s="11"/>
      <c r="H22" s="59">
        <v>120</v>
      </c>
      <c r="I22" s="15"/>
      <c r="J22" s="12">
        <f t="shared" si="0"/>
        <v>72477.66</v>
      </c>
      <c r="K22" s="12">
        <f t="shared" si="1"/>
        <v>47535.17</v>
      </c>
    </row>
    <row r="23" spans="2:11" x14ac:dyDescent="0.25">
      <c r="B23" s="18">
        <v>43226</v>
      </c>
      <c r="C23" s="9" t="s">
        <v>364</v>
      </c>
      <c r="D23" s="11"/>
      <c r="E23" s="11"/>
      <c r="F23" s="11"/>
      <c r="G23" s="11"/>
      <c r="H23" s="59">
        <v>150</v>
      </c>
      <c r="I23" s="15"/>
      <c r="J23" s="12">
        <f t="shared" si="0"/>
        <v>72477.66</v>
      </c>
      <c r="K23" s="12">
        <f t="shared" si="1"/>
        <v>47385.17</v>
      </c>
    </row>
    <row r="24" spans="2:11" x14ac:dyDescent="0.25">
      <c r="B24" s="18">
        <v>43226</v>
      </c>
      <c r="C24" s="9" t="s">
        <v>403</v>
      </c>
      <c r="D24" s="11">
        <v>16925</v>
      </c>
      <c r="E24" s="11"/>
      <c r="F24" s="11"/>
      <c r="G24" s="11"/>
      <c r="H24" s="11"/>
      <c r="I24" s="15"/>
      <c r="J24" s="12">
        <f t="shared" si="0"/>
        <v>72477.66</v>
      </c>
      <c r="K24" s="12">
        <f t="shared" si="1"/>
        <v>64310.17</v>
      </c>
    </row>
    <row r="25" spans="2:11" x14ac:dyDescent="0.25">
      <c r="B25" s="18">
        <v>43227</v>
      </c>
      <c r="C25" s="9" t="s">
        <v>404</v>
      </c>
      <c r="D25" s="11"/>
      <c r="E25" s="11"/>
      <c r="F25" s="11"/>
      <c r="G25" s="11"/>
      <c r="H25" s="11">
        <v>400</v>
      </c>
      <c r="I25" s="15"/>
      <c r="J25" s="12">
        <f t="shared" si="0"/>
        <v>72477.66</v>
      </c>
      <c r="K25" s="12">
        <f t="shared" si="1"/>
        <v>63910.17</v>
      </c>
    </row>
    <row r="26" spans="2:11" x14ac:dyDescent="0.25">
      <c r="B26" s="18">
        <v>43227</v>
      </c>
      <c r="C26" s="9" t="s">
        <v>405</v>
      </c>
      <c r="D26" s="11"/>
      <c r="E26" s="11"/>
      <c r="F26" s="11"/>
      <c r="G26" s="11"/>
      <c r="H26" s="11">
        <v>175</v>
      </c>
      <c r="I26" s="15"/>
      <c r="J26" s="12">
        <f t="shared" si="0"/>
        <v>72477.66</v>
      </c>
      <c r="K26" s="12">
        <f t="shared" si="1"/>
        <v>63735.17</v>
      </c>
    </row>
    <row r="27" spans="2:11" x14ac:dyDescent="0.25">
      <c r="B27" s="18">
        <v>43228</v>
      </c>
      <c r="C27" s="9" t="s">
        <v>406</v>
      </c>
      <c r="D27" s="11"/>
      <c r="E27" s="11"/>
      <c r="F27" s="11"/>
      <c r="G27" s="11"/>
      <c r="H27" s="11">
        <v>1085.4000000000001</v>
      </c>
      <c r="I27" s="15"/>
      <c r="J27" s="12">
        <f t="shared" si="0"/>
        <v>72477.66</v>
      </c>
      <c r="K27" s="12">
        <f t="shared" si="1"/>
        <v>62649.77</v>
      </c>
    </row>
    <row r="28" spans="2:11" x14ac:dyDescent="0.25">
      <c r="B28" s="18">
        <v>43228</v>
      </c>
      <c r="C28" s="9" t="s">
        <v>407</v>
      </c>
      <c r="D28" s="11"/>
      <c r="E28" s="11"/>
      <c r="F28" s="11"/>
      <c r="G28" s="11"/>
      <c r="H28" s="11">
        <v>5</v>
      </c>
      <c r="I28" s="15"/>
      <c r="J28" s="12">
        <f t="shared" si="0"/>
        <v>72477.66</v>
      </c>
      <c r="K28" s="12">
        <f t="shared" si="1"/>
        <v>62644.77</v>
      </c>
    </row>
    <row r="29" spans="2:11" x14ac:dyDescent="0.25">
      <c r="B29" s="18">
        <v>43229</v>
      </c>
      <c r="C29" s="9" t="s">
        <v>344</v>
      </c>
      <c r="D29" s="11"/>
      <c r="E29" s="11"/>
      <c r="F29" s="11"/>
      <c r="G29" s="11"/>
      <c r="H29" s="11">
        <v>211.55</v>
      </c>
      <c r="I29" s="15"/>
      <c r="J29" s="12">
        <f t="shared" si="0"/>
        <v>72477.66</v>
      </c>
      <c r="K29" s="12">
        <f t="shared" si="1"/>
        <v>62433.219999999994</v>
      </c>
    </row>
    <row r="30" spans="2:11" x14ac:dyDescent="0.25">
      <c r="B30" s="18">
        <v>43229</v>
      </c>
      <c r="C30" s="9" t="s">
        <v>408</v>
      </c>
      <c r="D30" s="11"/>
      <c r="E30" s="11"/>
      <c r="F30" s="11"/>
      <c r="G30" s="11"/>
      <c r="H30" s="59">
        <v>114</v>
      </c>
      <c r="I30" s="15"/>
      <c r="J30" s="12">
        <f t="shared" si="0"/>
        <v>72477.66</v>
      </c>
      <c r="K30" s="12">
        <f t="shared" si="1"/>
        <v>62319.219999999994</v>
      </c>
    </row>
    <row r="31" spans="2:11" x14ac:dyDescent="0.25">
      <c r="B31" s="18">
        <v>43229</v>
      </c>
      <c r="C31" s="9" t="s">
        <v>409</v>
      </c>
      <c r="D31" s="11"/>
      <c r="E31" s="11"/>
      <c r="F31" s="11"/>
      <c r="G31" s="11"/>
      <c r="H31" s="11">
        <v>3118.5</v>
      </c>
      <c r="I31" s="15"/>
      <c r="J31" s="12">
        <f t="shared" si="0"/>
        <v>72477.66</v>
      </c>
      <c r="K31" s="12">
        <f t="shared" si="1"/>
        <v>59200.719999999994</v>
      </c>
    </row>
    <row r="32" spans="2:11" x14ac:dyDescent="0.25">
      <c r="B32" s="18">
        <v>43230</v>
      </c>
      <c r="C32" s="9" t="s">
        <v>410</v>
      </c>
      <c r="D32" s="11"/>
      <c r="E32" s="11"/>
      <c r="F32" s="11"/>
      <c r="G32" s="11"/>
      <c r="H32" s="11">
        <v>470.69</v>
      </c>
      <c r="I32" s="15"/>
      <c r="J32" s="12">
        <f t="shared" si="0"/>
        <v>72477.66</v>
      </c>
      <c r="K32" s="12">
        <f t="shared" si="1"/>
        <v>58730.029999999992</v>
      </c>
    </row>
    <row r="33" spans="2:11" x14ac:dyDescent="0.25">
      <c r="B33" s="18">
        <v>43230</v>
      </c>
      <c r="C33" s="9" t="s">
        <v>411</v>
      </c>
      <c r="D33" s="11"/>
      <c r="E33" s="11"/>
      <c r="F33" s="11"/>
      <c r="G33" s="11"/>
      <c r="H33" s="11">
        <v>296.01</v>
      </c>
      <c r="I33" s="15"/>
      <c r="J33" s="12">
        <f t="shared" si="0"/>
        <v>72477.66</v>
      </c>
      <c r="K33" s="12">
        <f t="shared" si="1"/>
        <v>58434.01999999999</v>
      </c>
    </row>
    <row r="34" spans="2:11" x14ac:dyDescent="0.25">
      <c r="B34" s="18">
        <v>43230</v>
      </c>
      <c r="C34" s="9" t="s">
        <v>412</v>
      </c>
      <c r="D34" s="11"/>
      <c r="E34" s="11"/>
      <c r="F34" s="11"/>
      <c r="G34" s="11"/>
      <c r="H34" s="11">
        <v>474.5</v>
      </c>
      <c r="I34" s="15"/>
      <c r="J34" s="12">
        <f t="shared" si="0"/>
        <v>72477.66</v>
      </c>
      <c r="K34" s="12">
        <f t="shared" si="1"/>
        <v>57959.51999999999</v>
      </c>
    </row>
    <row r="35" spans="2:11" x14ac:dyDescent="0.25">
      <c r="B35" s="18">
        <v>43230</v>
      </c>
      <c r="C35" s="9" t="s">
        <v>413</v>
      </c>
      <c r="D35" s="11"/>
      <c r="E35" s="11"/>
      <c r="F35" s="11"/>
      <c r="G35" s="11"/>
      <c r="H35" s="11">
        <v>367</v>
      </c>
      <c r="I35" s="15"/>
      <c r="J35" s="12">
        <f t="shared" si="0"/>
        <v>72477.66</v>
      </c>
      <c r="K35" s="12">
        <f t="shared" si="1"/>
        <v>57592.51999999999</v>
      </c>
    </row>
    <row r="36" spans="2:11" x14ac:dyDescent="0.25">
      <c r="B36" s="18">
        <v>43231</v>
      </c>
      <c r="C36" s="9" t="s">
        <v>414</v>
      </c>
      <c r="D36" s="11"/>
      <c r="E36" s="11"/>
      <c r="F36" s="11"/>
      <c r="G36" s="11"/>
      <c r="H36" s="11">
        <v>1250</v>
      </c>
      <c r="I36" s="15"/>
      <c r="J36" s="12">
        <f t="shared" si="0"/>
        <v>72477.66</v>
      </c>
      <c r="K36" s="12">
        <f t="shared" si="1"/>
        <v>56342.51999999999</v>
      </c>
    </row>
    <row r="37" spans="2:11" x14ac:dyDescent="0.25">
      <c r="B37" s="18">
        <v>43231</v>
      </c>
      <c r="C37" s="9" t="s">
        <v>394</v>
      </c>
      <c r="D37" s="11"/>
      <c r="E37" s="11"/>
      <c r="F37" s="11"/>
      <c r="G37" s="11"/>
      <c r="H37" s="11">
        <v>300</v>
      </c>
      <c r="I37" s="15"/>
      <c r="J37" s="12">
        <f t="shared" si="0"/>
        <v>72477.66</v>
      </c>
      <c r="K37" s="12">
        <f t="shared" si="1"/>
        <v>56042.51999999999</v>
      </c>
    </row>
    <row r="38" spans="2:11" x14ac:dyDescent="0.25">
      <c r="B38" s="18">
        <v>43232</v>
      </c>
      <c r="C38" s="35" t="s">
        <v>415</v>
      </c>
      <c r="D38" s="11"/>
      <c r="E38" s="11"/>
      <c r="F38" s="11"/>
      <c r="G38" s="11"/>
      <c r="H38" s="11">
        <v>1360</v>
      </c>
      <c r="I38" s="15"/>
      <c r="J38" s="12">
        <f t="shared" si="0"/>
        <v>72477.66</v>
      </c>
      <c r="K38" s="12">
        <f t="shared" si="1"/>
        <v>54682.51999999999</v>
      </c>
    </row>
    <row r="39" spans="2:11" x14ac:dyDescent="0.25">
      <c r="B39" s="18">
        <v>43233</v>
      </c>
      <c r="C39" s="9" t="s">
        <v>416</v>
      </c>
      <c r="D39" s="11">
        <v>20350</v>
      </c>
      <c r="E39" s="11"/>
      <c r="F39" s="11"/>
      <c r="G39" s="11"/>
      <c r="H39" s="11"/>
      <c r="I39" s="15"/>
      <c r="J39" s="12">
        <f t="shared" si="0"/>
        <v>72477.66</v>
      </c>
      <c r="K39" s="12">
        <f t="shared" si="1"/>
        <v>75032.51999999999</v>
      </c>
    </row>
    <row r="40" spans="2:11" x14ac:dyDescent="0.25">
      <c r="B40" s="18">
        <v>43233</v>
      </c>
      <c r="C40" s="9" t="s">
        <v>402</v>
      </c>
      <c r="D40" s="11"/>
      <c r="E40" s="11"/>
      <c r="F40" s="11"/>
      <c r="G40" s="11"/>
      <c r="H40" s="59">
        <v>120</v>
      </c>
      <c r="I40" s="15"/>
      <c r="J40" s="12">
        <f t="shared" si="0"/>
        <v>72477.66</v>
      </c>
      <c r="K40" s="12">
        <f t="shared" si="1"/>
        <v>74912.51999999999</v>
      </c>
    </row>
    <row r="41" spans="2:11" x14ac:dyDescent="0.25">
      <c r="B41" s="18">
        <v>43233</v>
      </c>
      <c r="C41" s="9" t="s">
        <v>364</v>
      </c>
      <c r="D41" s="11"/>
      <c r="E41" s="11"/>
      <c r="F41" s="11"/>
      <c r="G41" s="11"/>
      <c r="H41" s="59">
        <v>150</v>
      </c>
      <c r="I41" s="15"/>
      <c r="J41" s="12">
        <f t="shared" si="0"/>
        <v>72477.66</v>
      </c>
      <c r="K41" s="12">
        <f t="shared" si="1"/>
        <v>74762.51999999999</v>
      </c>
    </row>
    <row r="42" spans="2:11" x14ac:dyDescent="0.25">
      <c r="B42" s="18">
        <v>43233</v>
      </c>
      <c r="C42" s="9" t="s">
        <v>401</v>
      </c>
      <c r="D42" s="11"/>
      <c r="E42" s="11"/>
      <c r="F42" s="11"/>
      <c r="G42" s="11"/>
      <c r="H42" s="59">
        <v>51</v>
      </c>
      <c r="I42" s="15"/>
      <c r="J42" s="12">
        <f t="shared" si="0"/>
        <v>72477.66</v>
      </c>
      <c r="K42" s="12">
        <f t="shared" si="1"/>
        <v>74711.51999999999</v>
      </c>
    </row>
    <row r="43" spans="2:11" x14ac:dyDescent="0.25">
      <c r="B43" s="18">
        <v>43233</v>
      </c>
      <c r="C43" s="9" t="s">
        <v>401</v>
      </c>
      <c r="D43" s="11"/>
      <c r="E43" s="11"/>
      <c r="F43" s="11"/>
      <c r="G43" s="11"/>
      <c r="H43" s="59">
        <v>20</v>
      </c>
      <c r="I43" s="15"/>
      <c r="J43" s="12">
        <f t="shared" si="0"/>
        <v>72477.66</v>
      </c>
      <c r="K43" s="12">
        <f t="shared" si="1"/>
        <v>74691.51999999999</v>
      </c>
    </row>
    <row r="44" spans="2:11" x14ac:dyDescent="0.25">
      <c r="B44" s="18">
        <v>43233</v>
      </c>
      <c r="C44" s="9" t="s">
        <v>218</v>
      </c>
      <c r="D44" s="11"/>
      <c r="E44" s="11"/>
      <c r="F44" s="11"/>
      <c r="G44" s="11"/>
      <c r="H44" s="59">
        <v>114</v>
      </c>
      <c r="I44" s="15"/>
      <c r="J44" s="12">
        <f t="shared" si="0"/>
        <v>72477.66</v>
      </c>
      <c r="K44" s="12">
        <f t="shared" si="1"/>
        <v>74577.51999999999</v>
      </c>
    </row>
    <row r="45" spans="2:11" x14ac:dyDescent="0.25">
      <c r="B45" s="18">
        <v>43234</v>
      </c>
      <c r="C45" s="9" t="s">
        <v>417</v>
      </c>
      <c r="D45" s="11"/>
      <c r="E45" s="11"/>
      <c r="F45" s="11"/>
      <c r="G45" s="11"/>
      <c r="H45" s="59">
        <v>804</v>
      </c>
      <c r="I45" s="15"/>
      <c r="J45" s="12">
        <f t="shared" ref="J45:J51" si="2">+J44+E45-G45</f>
        <v>72477.66</v>
      </c>
      <c r="K45" s="12">
        <f t="shared" ref="K45:K51" si="3">+K44+D45-H45</f>
        <v>73773.51999999999</v>
      </c>
    </row>
    <row r="46" spans="2:11" x14ac:dyDescent="0.25">
      <c r="B46" s="18">
        <v>43234</v>
      </c>
      <c r="C46" s="9" t="s">
        <v>405</v>
      </c>
      <c r="D46" s="11"/>
      <c r="E46" s="11"/>
      <c r="F46" s="11"/>
      <c r="G46" s="11"/>
      <c r="H46" s="59">
        <v>175</v>
      </c>
      <c r="I46" s="15"/>
      <c r="J46" s="12">
        <f t="shared" si="2"/>
        <v>72477.66</v>
      </c>
      <c r="K46" s="12">
        <f t="shared" si="3"/>
        <v>73598.51999999999</v>
      </c>
    </row>
    <row r="47" spans="2:11" x14ac:dyDescent="0.25">
      <c r="B47" s="18">
        <v>43234</v>
      </c>
      <c r="C47" s="13" t="s">
        <v>418</v>
      </c>
      <c r="D47" s="11"/>
      <c r="E47" s="11"/>
      <c r="F47" s="11"/>
      <c r="G47" s="11"/>
      <c r="H47" s="11">
        <v>300</v>
      </c>
      <c r="I47" s="15"/>
      <c r="J47" s="12">
        <f t="shared" si="2"/>
        <v>72477.66</v>
      </c>
      <c r="K47" s="12">
        <f t="shared" si="3"/>
        <v>73298.51999999999</v>
      </c>
    </row>
    <row r="48" spans="2:11" x14ac:dyDescent="0.25">
      <c r="B48" s="18">
        <v>43235</v>
      </c>
      <c r="C48" s="13" t="s">
        <v>419</v>
      </c>
      <c r="D48" s="11"/>
      <c r="E48" s="11"/>
      <c r="F48" s="11"/>
      <c r="G48" s="11"/>
      <c r="H48" s="11">
        <v>192</v>
      </c>
      <c r="I48" s="15"/>
      <c r="J48" s="12">
        <f t="shared" si="2"/>
        <v>72477.66</v>
      </c>
      <c r="K48" s="12">
        <f t="shared" si="3"/>
        <v>73106.51999999999</v>
      </c>
    </row>
    <row r="49" spans="2:11" x14ac:dyDescent="0.25">
      <c r="B49" s="18">
        <v>43235</v>
      </c>
      <c r="C49" s="13" t="s">
        <v>420</v>
      </c>
      <c r="D49" s="11"/>
      <c r="E49" s="11"/>
      <c r="F49" s="11"/>
      <c r="G49" s="11"/>
      <c r="H49" s="11">
        <v>5</v>
      </c>
      <c r="I49" s="15"/>
      <c r="J49" s="12">
        <f t="shared" si="2"/>
        <v>72477.66</v>
      </c>
      <c r="K49" s="12">
        <f t="shared" si="3"/>
        <v>73101.51999999999</v>
      </c>
    </row>
    <row r="50" spans="2:11" x14ac:dyDescent="0.25">
      <c r="B50" s="18">
        <v>43235</v>
      </c>
      <c r="C50" s="9" t="s">
        <v>421</v>
      </c>
      <c r="D50" s="11"/>
      <c r="E50" s="11"/>
      <c r="F50" s="11"/>
      <c r="G50" s="11"/>
      <c r="H50" s="11">
        <v>28</v>
      </c>
      <c r="I50" s="15"/>
      <c r="J50" s="12">
        <f t="shared" si="2"/>
        <v>72477.66</v>
      </c>
      <c r="K50" s="12">
        <f t="shared" si="3"/>
        <v>73073.51999999999</v>
      </c>
    </row>
    <row r="51" spans="2:11" x14ac:dyDescent="0.25">
      <c r="B51" s="18">
        <v>43235</v>
      </c>
      <c r="C51" s="9" t="s">
        <v>422</v>
      </c>
      <c r="D51" s="11"/>
      <c r="E51" s="11"/>
      <c r="F51" s="11"/>
      <c r="G51" s="11"/>
      <c r="H51" s="11">
        <v>20</v>
      </c>
      <c r="I51" s="15"/>
      <c r="J51" s="12">
        <f t="shared" si="2"/>
        <v>72477.66</v>
      </c>
      <c r="K51" s="12">
        <f t="shared" si="3"/>
        <v>73053.51999999999</v>
      </c>
    </row>
    <row r="52" spans="2:11" x14ac:dyDescent="0.25">
      <c r="B52" s="18">
        <v>43235</v>
      </c>
      <c r="C52" s="13" t="s">
        <v>424</v>
      </c>
      <c r="D52" s="11"/>
      <c r="E52" s="11"/>
      <c r="F52" s="11"/>
      <c r="G52" s="11"/>
      <c r="H52" s="11">
        <v>350</v>
      </c>
      <c r="I52" s="15"/>
      <c r="J52" s="12">
        <f t="shared" ref="J52:J57" si="4">+J51+E52-G52</f>
        <v>72477.66</v>
      </c>
      <c r="K52" s="12">
        <f t="shared" ref="K52:K58" si="5">+K51+D52-H52</f>
        <v>72703.51999999999</v>
      </c>
    </row>
    <row r="53" spans="2:11" x14ac:dyDescent="0.25">
      <c r="B53" s="18">
        <v>43235</v>
      </c>
      <c r="C53" s="35" t="s">
        <v>423</v>
      </c>
      <c r="D53" s="11"/>
      <c r="E53" s="11"/>
      <c r="F53" s="11"/>
      <c r="G53" s="11"/>
      <c r="H53" s="11">
        <v>550</v>
      </c>
      <c r="I53" s="15"/>
      <c r="J53" s="12">
        <f t="shared" si="4"/>
        <v>72477.66</v>
      </c>
      <c r="K53" s="12">
        <f t="shared" si="5"/>
        <v>72153.51999999999</v>
      </c>
    </row>
    <row r="54" spans="2:11" x14ac:dyDescent="0.25">
      <c r="B54" s="18">
        <v>43235</v>
      </c>
      <c r="C54" s="34" t="s">
        <v>425</v>
      </c>
      <c r="D54" s="11"/>
      <c r="E54" s="11"/>
      <c r="F54" s="11"/>
      <c r="G54" s="11"/>
      <c r="H54" s="11">
        <v>2000</v>
      </c>
      <c r="I54" s="15"/>
      <c r="J54" s="12">
        <f t="shared" si="4"/>
        <v>72477.66</v>
      </c>
      <c r="K54" s="12">
        <f t="shared" si="5"/>
        <v>70153.51999999999</v>
      </c>
    </row>
    <row r="55" spans="2:11" x14ac:dyDescent="0.25">
      <c r="B55" s="18">
        <v>43235</v>
      </c>
      <c r="C55" s="9" t="s">
        <v>426</v>
      </c>
      <c r="D55" s="11"/>
      <c r="E55" s="11"/>
      <c r="F55" s="11"/>
      <c r="G55" s="11"/>
      <c r="H55" s="11">
        <v>4000</v>
      </c>
      <c r="I55" s="15"/>
      <c r="J55" s="12">
        <f t="shared" si="4"/>
        <v>72477.66</v>
      </c>
      <c r="K55" s="12">
        <f t="shared" si="5"/>
        <v>66153.51999999999</v>
      </c>
    </row>
    <row r="56" spans="2:11" x14ac:dyDescent="0.25">
      <c r="B56" s="18">
        <v>43235</v>
      </c>
      <c r="C56" s="9" t="s">
        <v>361</v>
      </c>
      <c r="D56" s="11"/>
      <c r="E56" s="11"/>
      <c r="F56" s="11"/>
      <c r="G56" s="11"/>
      <c r="H56" s="11">
        <v>40000</v>
      </c>
      <c r="I56" s="15"/>
      <c r="J56" s="12">
        <f t="shared" si="4"/>
        <v>72477.66</v>
      </c>
      <c r="K56" s="12">
        <f t="shared" si="5"/>
        <v>26153.51999999999</v>
      </c>
    </row>
    <row r="57" spans="2:11" x14ac:dyDescent="0.25">
      <c r="B57" s="18">
        <v>43236</v>
      </c>
      <c r="C57" s="9" t="s">
        <v>427</v>
      </c>
      <c r="D57" s="11"/>
      <c r="E57" s="11"/>
      <c r="F57" s="11"/>
      <c r="G57" s="11"/>
      <c r="H57" s="11">
        <v>314</v>
      </c>
      <c r="I57" s="15"/>
      <c r="J57" s="12">
        <f t="shared" si="4"/>
        <v>72477.66</v>
      </c>
      <c r="K57" s="12">
        <f t="shared" si="5"/>
        <v>25839.51999999999</v>
      </c>
    </row>
    <row r="58" spans="2:11" ht="15.75" thickBot="1" x14ac:dyDescent="0.3">
      <c r="B58" s="18">
        <v>43236</v>
      </c>
      <c r="C58" s="9" t="s">
        <v>428</v>
      </c>
      <c r="D58" s="11"/>
      <c r="E58" s="11"/>
      <c r="F58" s="11"/>
      <c r="G58" s="11"/>
      <c r="H58" s="11">
        <v>200</v>
      </c>
      <c r="I58" s="15"/>
      <c r="J58" s="12">
        <f>+J57+E58-G58</f>
        <v>72477.66</v>
      </c>
      <c r="K58" s="12">
        <f t="shared" si="5"/>
        <v>25639.51999999999</v>
      </c>
    </row>
    <row r="59" spans="2:11" ht="15.75" thickBot="1" x14ac:dyDescent="0.3">
      <c r="B59" s="5"/>
      <c r="C59" s="7" t="s">
        <v>0</v>
      </c>
      <c r="D59" s="62">
        <f>SUM(D5:D58)</f>
        <v>37275</v>
      </c>
      <c r="E59" s="61">
        <f>SUM(E5:E58)</f>
        <v>0</v>
      </c>
      <c r="F59" s="71">
        <f>SUM(D59:E59)</f>
        <v>37275</v>
      </c>
      <c r="G59" s="71">
        <f>SUM(G5:G58)</f>
        <v>0</v>
      </c>
      <c r="H59" s="62">
        <f>SUM(H5:H58)</f>
        <v>69488.149999999994</v>
      </c>
      <c r="I59" s="71">
        <f>SUM(G59:H59)</f>
        <v>69488.149999999994</v>
      </c>
      <c r="J59" s="20"/>
      <c r="K59" s="20"/>
    </row>
    <row r="60" spans="2:11" x14ac:dyDescent="0.25">
      <c r="B60" s="68" t="s">
        <v>1</v>
      </c>
      <c r="C60" s="68" t="s">
        <v>2</v>
      </c>
      <c r="D60" s="68" t="s">
        <v>3</v>
      </c>
      <c r="E60" s="68" t="s">
        <v>3</v>
      </c>
      <c r="F60" s="68" t="s">
        <v>22</v>
      </c>
      <c r="G60" s="68" t="s">
        <v>23</v>
      </c>
      <c r="H60" s="48" t="s">
        <v>23</v>
      </c>
      <c r="I60" s="48" t="s">
        <v>22</v>
      </c>
      <c r="J60" s="68" t="s">
        <v>8</v>
      </c>
      <c r="K60" s="48" t="s">
        <v>7</v>
      </c>
    </row>
    <row r="61" spans="2:11" ht="15.75" thickBot="1" x14ac:dyDescent="0.3">
      <c r="B61" s="69"/>
      <c r="C61" s="69"/>
      <c r="D61" s="69" t="s">
        <v>5</v>
      </c>
      <c r="E61" s="69" t="s">
        <v>24</v>
      </c>
      <c r="F61" s="69" t="s">
        <v>3</v>
      </c>
      <c r="G61" s="69" t="s">
        <v>24</v>
      </c>
      <c r="H61" s="70" t="s">
        <v>5</v>
      </c>
      <c r="I61" s="70" t="s">
        <v>4</v>
      </c>
      <c r="J61" s="69"/>
      <c r="K61" s="70"/>
    </row>
    <row r="62" spans="2:11" ht="15.75" thickBot="1" x14ac:dyDescent="0.3">
      <c r="B62" s="5"/>
      <c r="C62" s="7" t="s">
        <v>0</v>
      </c>
      <c r="D62" s="62">
        <v>37275</v>
      </c>
      <c r="E62" s="61">
        <f>SUM(E17:E61)</f>
        <v>0</v>
      </c>
      <c r="F62" s="71">
        <f>SUM(D62:E62)</f>
        <v>37275</v>
      </c>
      <c r="G62" s="71">
        <v>0</v>
      </c>
      <c r="H62" s="62">
        <v>69488.149999999994</v>
      </c>
      <c r="I62" s="71">
        <f>SUM(H62)</f>
        <v>69488.149999999994</v>
      </c>
      <c r="J62" s="20">
        <v>72477.66</v>
      </c>
      <c r="K62" s="20">
        <v>25639.52</v>
      </c>
    </row>
    <row r="63" spans="2:11" x14ac:dyDescent="0.25">
      <c r="B63" s="18">
        <v>43236</v>
      </c>
      <c r="C63" s="9" t="s">
        <v>429</v>
      </c>
      <c r="D63" s="11"/>
      <c r="E63" s="11"/>
      <c r="F63" s="11"/>
      <c r="G63" s="11"/>
      <c r="H63" s="11">
        <v>20</v>
      </c>
      <c r="I63" s="15"/>
      <c r="J63" s="12">
        <f>+J62+E63-G63</f>
        <v>72477.66</v>
      </c>
      <c r="K63" s="12">
        <f t="shared" ref="K63" si="6">+K62+D63-H63</f>
        <v>25619.52</v>
      </c>
    </row>
    <row r="64" spans="2:11" x14ac:dyDescent="0.25">
      <c r="B64" s="18">
        <v>43238</v>
      </c>
      <c r="C64" s="13" t="s">
        <v>430</v>
      </c>
      <c r="D64" s="41"/>
      <c r="E64" s="41"/>
      <c r="F64" s="41"/>
      <c r="G64" s="103"/>
      <c r="H64" s="11">
        <v>1250</v>
      </c>
      <c r="I64" s="15"/>
      <c r="J64" s="12">
        <f t="shared" ref="J64:J68" si="7">+J63+E64-G64</f>
        <v>72477.66</v>
      </c>
      <c r="K64" s="12">
        <f t="shared" ref="K64:K68" si="8">+K63+D64-H64</f>
        <v>24369.52</v>
      </c>
    </row>
    <row r="65" spans="2:11" x14ac:dyDescent="0.25">
      <c r="B65" s="18">
        <v>43238</v>
      </c>
      <c r="C65" s="9" t="s">
        <v>390</v>
      </c>
      <c r="D65" s="11"/>
      <c r="E65" s="11"/>
      <c r="F65" s="11"/>
      <c r="G65" s="11"/>
      <c r="H65" s="11">
        <v>150</v>
      </c>
      <c r="I65" s="15"/>
      <c r="J65" s="12">
        <f t="shared" si="7"/>
        <v>72477.66</v>
      </c>
      <c r="K65" s="12">
        <f t="shared" si="8"/>
        <v>24219.52</v>
      </c>
    </row>
    <row r="66" spans="2:11" x14ac:dyDescent="0.25">
      <c r="B66" s="18">
        <v>43238</v>
      </c>
      <c r="C66" s="9" t="s">
        <v>431</v>
      </c>
      <c r="D66" s="11"/>
      <c r="E66" s="11"/>
      <c r="F66" s="11"/>
      <c r="G66" s="11"/>
      <c r="H66" s="11">
        <v>150</v>
      </c>
      <c r="I66" s="15"/>
      <c r="J66" s="12">
        <f t="shared" si="7"/>
        <v>72477.66</v>
      </c>
      <c r="K66" s="12">
        <f t="shared" si="8"/>
        <v>24069.52</v>
      </c>
    </row>
    <row r="67" spans="2:11" x14ac:dyDescent="0.25">
      <c r="B67" s="18">
        <v>43238</v>
      </c>
      <c r="C67" s="9" t="s">
        <v>432</v>
      </c>
      <c r="D67" s="11"/>
      <c r="E67" s="11"/>
      <c r="F67" s="11"/>
      <c r="G67" s="11"/>
      <c r="H67" s="11">
        <v>700</v>
      </c>
      <c r="I67" s="15"/>
      <c r="J67" s="12">
        <f t="shared" si="7"/>
        <v>72477.66</v>
      </c>
      <c r="K67" s="12">
        <f t="shared" si="8"/>
        <v>23369.52</v>
      </c>
    </row>
    <row r="68" spans="2:11" x14ac:dyDescent="0.25">
      <c r="B68" s="18">
        <v>43238</v>
      </c>
      <c r="C68" s="9" t="s">
        <v>433</v>
      </c>
      <c r="D68" s="11"/>
      <c r="E68" s="11"/>
      <c r="F68" s="11"/>
      <c r="G68" s="11"/>
      <c r="H68" s="11">
        <v>300</v>
      </c>
      <c r="I68" s="15"/>
      <c r="J68" s="12">
        <f t="shared" si="7"/>
        <v>72477.66</v>
      </c>
      <c r="K68" s="12">
        <f t="shared" si="8"/>
        <v>23069.52</v>
      </c>
    </row>
    <row r="69" spans="2:11" x14ac:dyDescent="0.25">
      <c r="B69" s="18">
        <v>43238</v>
      </c>
      <c r="C69" s="9" t="s">
        <v>434</v>
      </c>
      <c r="D69" s="11"/>
      <c r="E69" s="11"/>
      <c r="F69" s="11"/>
      <c r="G69" s="11">
        <v>8000</v>
      </c>
      <c r="H69" s="11"/>
      <c r="I69" s="15"/>
      <c r="J69" s="12">
        <f t="shared" ref="J69:J77" si="9">+J68+E69-G69</f>
        <v>64477.66</v>
      </c>
      <c r="K69" s="12">
        <f t="shared" ref="K69:K77" si="10">+K68+D69-H69</f>
        <v>23069.52</v>
      </c>
    </row>
    <row r="70" spans="2:11" x14ac:dyDescent="0.25">
      <c r="B70" s="18">
        <v>43239</v>
      </c>
      <c r="C70" s="9" t="s">
        <v>369</v>
      </c>
      <c r="D70" s="11"/>
      <c r="E70" s="11"/>
      <c r="F70" s="11"/>
      <c r="G70" s="11"/>
      <c r="H70" s="11">
        <v>300</v>
      </c>
      <c r="I70" s="15"/>
      <c r="J70" s="12">
        <f t="shared" si="9"/>
        <v>64477.66</v>
      </c>
      <c r="K70" s="12">
        <f t="shared" si="10"/>
        <v>22769.52</v>
      </c>
    </row>
    <row r="71" spans="2:11" x14ac:dyDescent="0.25">
      <c r="B71" s="18">
        <v>43239</v>
      </c>
      <c r="C71" s="9" t="s">
        <v>435</v>
      </c>
      <c r="D71" s="11"/>
      <c r="E71" s="11"/>
      <c r="F71" s="11"/>
      <c r="G71" s="11"/>
      <c r="H71" s="11">
        <v>250</v>
      </c>
      <c r="I71" s="15"/>
      <c r="J71" s="12">
        <f t="shared" si="9"/>
        <v>64477.66</v>
      </c>
      <c r="K71" s="12">
        <f t="shared" si="10"/>
        <v>22519.52</v>
      </c>
    </row>
    <row r="72" spans="2:11" x14ac:dyDescent="0.25">
      <c r="B72" s="18">
        <v>43240</v>
      </c>
      <c r="C72" s="9" t="s">
        <v>436</v>
      </c>
      <c r="D72" s="11"/>
      <c r="E72" s="11"/>
      <c r="F72" s="11"/>
      <c r="G72" s="11"/>
      <c r="H72" s="11">
        <v>150</v>
      </c>
      <c r="I72" s="15"/>
      <c r="J72" s="12">
        <f t="shared" si="9"/>
        <v>64477.66</v>
      </c>
      <c r="K72" s="12">
        <f t="shared" si="10"/>
        <v>22369.52</v>
      </c>
    </row>
    <row r="73" spans="2:11" x14ac:dyDescent="0.25">
      <c r="B73" s="18">
        <v>43240</v>
      </c>
      <c r="C73" s="9" t="s">
        <v>402</v>
      </c>
      <c r="D73" s="11"/>
      <c r="E73" s="11"/>
      <c r="F73" s="11"/>
      <c r="G73" s="11"/>
      <c r="H73" s="11">
        <v>120</v>
      </c>
      <c r="I73" s="15"/>
      <c r="J73" s="12">
        <f t="shared" si="9"/>
        <v>64477.66</v>
      </c>
      <c r="K73" s="12">
        <f t="shared" si="10"/>
        <v>22249.52</v>
      </c>
    </row>
    <row r="74" spans="2:11" x14ac:dyDescent="0.25">
      <c r="B74" s="18">
        <v>43240</v>
      </c>
      <c r="C74" s="9" t="s">
        <v>437</v>
      </c>
      <c r="D74" s="11"/>
      <c r="E74" s="11"/>
      <c r="F74" s="11"/>
      <c r="G74" s="11"/>
      <c r="H74" s="11">
        <v>200</v>
      </c>
      <c r="I74" s="15"/>
      <c r="J74" s="12">
        <f t="shared" si="9"/>
        <v>64477.66</v>
      </c>
      <c r="K74" s="12">
        <f t="shared" si="10"/>
        <v>22049.52</v>
      </c>
    </row>
    <row r="75" spans="2:11" x14ac:dyDescent="0.25">
      <c r="B75" s="18">
        <v>43240</v>
      </c>
      <c r="C75" s="9" t="s">
        <v>438</v>
      </c>
      <c r="D75" s="11">
        <v>10600</v>
      </c>
      <c r="E75" s="11"/>
      <c r="F75" s="11"/>
      <c r="G75" s="11"/>
      <c r="H75" s="11"/>
      <c r="I75" s="15"/>
      <c r="J75" s="12">
        <f t="shared" si="9"/>
        <v>64477.66</v>
      </c>
      <c r="K75" s="12">
        <f>+K74+D75-H75</f>
        <v>32649.52</v>
      </c>
    </row>
    <row r="76" spans="2:11" x14ac:dyDescent="0.25">
      <c r="B76" s="18">
        <v>43240</v>
      </c>
      <c r="C76" s="9" t="s">
        <v>439</v>
      </c>
      <c r="D76" s="11"/>
      <c r="E76" s="11"/>
      <c r="F76" s="11"/>
      <c r="G76" s="11"/>
      <c r="H76" s="11">
        <v>74</v>
      </c>
      <c r="I76" s="15"/>
      <c r="J76" s="12">
        <f t="shared" si="9"/>
        <v>64477.66</v>
      </c>
      <c r="K76" s="12">
        <f>+K75+D76-H76</f>
        <v>32575.52</v>
      </c>
    </row>
    <row r="77" spans="2:11" x14ac:dyDescent="0.25">
      <c r="B77" s="18">
        <v>43241</v>
      </c>
      <c r="C77" s="9" t="s">
        <v>440</v>
      </c>
      <c r="D77" s="11"/>
      <c r="E77" s="11"/>
      <c r="F77" s="11"/>
      <c r="G77" s="11"/>
      <c r="H77" s="11">
        <v>210</v>
      </c>
      <c r="I77" s="15"/>
      <c r="J77" s="12">
        <f t="shared" si="9"/>
        <v>64477.66</v>
      </c>
      <c r="K77" s="12">
        <f t="shared" si="10"/>
        <v>32365.52</v>
      </c>
    </row>
    <row r="78" spans="2:11" x14ac:dyDescent="0.25">
      <c r="B78" s="18">
        <v>43241</v>
      </c>
      <c r="C78" s="9" t="s">
        <v>442</v>
      </c>
      <c r="D78" s="41"/>
      <c r="E78" s="11"/>
      <c r="F78" s="11"/>
      <c r="G78" s="11">
        <v>1760</v>
      </c>
      <c r="H78" s="11"/>
      <c r="I78" s="15"/>
      <c r="J78" s="12">
        <f t="shared" ref="J78:J85" si="11">+J77+E78-G78</f>
        <v>62717.66</v>
      </c>
      <c r="K78" s="12">
        <f t="shared" ref="K78:K85" si="12">+K77+D78-H78</f>
        <v>32365.52</v>
      </c>
    </row>
    <row r="79" spans="2:11" x14ac:dyDescent="0.25">
      <c r="B79" s="18">
        <v>43241</v>
      </c>
      <c r="C79" s="9" t="s">
        <v>443</v>
      </c>
      <c r="D79" s="101"/>
      <c r="E79" s="11"/>
      <c r="F79" s="11"/>
      <c r="G79" s="11">
        <v>1400</v>
      </c>
      <c r="H79" s="11"/>
      <c r="I79" s="15"/>
      <c r="J79" s="12">
        <f t="shared" si="11"/>
        <v>61317.66</v>
      </c>
      <c r="K79" s="12">
        <f t="shared" si="12"/>
        <v>32365.52</v>
      </c>
    </row>
    <row r="80" spans="2:11" x14ac:dyDescent="0.25">
      <c r="B80" s="18">
        <v>43182</v>
      </c>
      <c r="C80" s="13" t="s">
        <v>441</v>
      </c>
      <c r="D80" s="11"/>
      <c r="E80" s="11">
        <v>12760</v>
      </c>
      <c r="F80" s="11"/>
      <c r="G80" s="11"/>
      <c r="H80" s="11"/>
      <c r="I80" s="15"/>
      <c r="J80" s="12">
        <f t="shared" si="11"/>
        <v>74077.66</v>
      </c>
      <c r="K80" s="12">
        <f t="shared" si="12"/>
        <v>32365.52</v>
      </c>
    </row>
    <row r="81" spans="2:12" x14ac:dyDescent="0.25">
      <c r="B81" s="18">
        <v>43245</v>
      </c>
      <c r="C81" s="9" t="s">
        <v>444</v>
      </c>
      <c r="D81" s="11"/>
      <c r="E81" s="11"/>
      <c r="F81" s="11"/>
      <c r="G81" s="11"/>
      <c r="H81" s="11">
        <v>1250</v>
      </c>
      <c r="I81" s="15"/>
      <c r="J81" s="12">
        <f t="shared" si="11"/>
        <v>74077.66</v>
      </c>
      <c r="K81" s="12">
        <f t="shared" si="12"/>
        <v>31115.52</v>
      </c>
    </row>
    <row r="82" spans="2:12" x14ac:dyDescent="0.25">
      <c r="B82" s="18">
        <v>43246</v>
      </c>
      <c r="C82" s="9" t="s">
        <v>401</v>
      </c>
      <c r="D82" s="11"/>
      <c r="E82" s="11"/>
      <c r="F82" s="11"/>
      <c r="G82" s="11"/>
      <c r="H82" s="11">
        <v>87</v>
      </c>
      <c r="I82" s="15"/>
      <c r="J82" s="12">
        <f t="shared" si="11"/>
        <v>74077.66</v>
      </c>
      <c r="K82" s="12">
        <f t="shared" si="12"/>
        <v>31028.52</v>
      </c>
    </row>
    <row r="83" spans="2:12" x14ac:dyDescent="0.25">
      <c r="B83" s="18">
        <v>43246</v>
      </c>
      <c r="C83" s="9" t="s">
        <v>369</v>
      </c>
      <c r="D83" s="11"/>
      <c r="E83" s="11"/>
      <c r="F83" s="11"/>
      <c r="G83" s="11"/>
      <c r="H83" s="11">
        <v>300</v>
      </c>
      <c r="I83" s="15"/>
      <c r="J83" s="12">
        <f t="shared" si="11"/>
        <v>74077.66</v>
      </c>
      <c r="K83" s="12">
        <f t="shared" si="12"/>
        <v>30728.52</v>
      </c>
    </row>
    <row r="84" spans="2:12" x14ac:dyDescent="0.25">
      <c r="B84" s="18">
        <v>43247</v>
      </c>
      <c r="C84" s="9" t="s">
        <v>402</v>
      </c>
      <c r="D84" s="11"/>
      <c r="E84" s="11"/>
      <c r="F84" s="11"/>
      <c r="G84" s="11"/>
      <c r="H84" s="11">
        <v>120</v>
      </c>
      <c r="I84" s="15"/>
      <c r="J84" s="12">
        <f t="shared" si="11"/>
        <v>74077.66</v>
      </c>
      <c r="K84" s="12">
        <f t="shared" si="12"/>
        <v>30608.52</v>
      </c>
    </row>
    <row r="85" spans="2:12" x14ac:dyDescent="0.25">
      <c r="B85" s="18">
        <v>43247</v>
      </c>
      <c r="C85" s="9" t="s">
        <v>364</v>
      </c>
      <c r="D85" s="11"/>
      <c r="E85" s="11"/>
      <c r="F85" s="11"/>
      <c r="G85" s="11"/>
      <c r="H85" s="11">
        <v>150</v>
      </c>
      <c r="I85" s="15"/>
      <c r="J85" s="12">
        <f t="shared" si="11"/>
        <v>74077.66</v>
      </c>
      <c r="K85" s="12">
        <f t="shared" si="12"/>
        <v>30458.52</v>
      </c>
    </row>
    <row r="86" spans="2:12" x14ac:dyDescent="0.25">
      <c r="B86" s="18">
        <v>43247</v>
      </c>
      <c r="C86" s="9" t="s">
        <v>445</v>
      </c>
      <c r="D86" s="11">
        <v>13200</v>
      </c>
      <c r="E86" s="11"/>
      <c r="F86" s="11"/>
      <c r="G86" s="11"/>
      <c r="H86" s="11"/>
      <c r="I86" s="15"/>
      <c r="J86" s="12">
        <f t="shared" ref="J86:J105" si="13">+J85+E86-G86</f>
        <v>74077.66</v>
      </c>
      <c r="K86" s="12">
        <f t="shared" ref="K86:K105" si="14">+K85+D86-H86</f>
        <v>43658.520000000004</v>
      </c>
    </row>
    <row r="87" spans="2:12" x14ac:dyDescent="0.25">
      <c r="B87" s="18">
        <v>43248</v>
      </c>
      <c r="C87" s="9" t="s">
        <v>390</v>
      </c>
      <c r="D87" s="11"/>
      <c r="E87" s="11"/>
      <c r="F87" s="11"/>
      <c r="G87" s="11"/>
      <c r="H87" s="11">
        <v>350</v>
      </c>
      <c r="I87" s="15"/>
      <c r="J87" s="12">
        <f t="shared" si="13"/>
        <v>74077.66</v>
      </c>
      <c r="K87" s="12">
        <f t="shared" si="14"/>
        <v>43308.520000000004</v>
      </c>
    </row>
    <row r="88" spans="2:12" x14ac:dyDescent="0.25">
      <c r="B88" s="18">
        <v>43248</v>
      </c>
      <c r="C88" s="9" t="s">
        <v>401</v>
      </c>
      <c r="D88" s="11"/>
      <c r="E88" s="11"/>
      <c r="F88" s="11"/>
      <c r="G88" s="11"/>
      <c r="H88" s="11">
        <v>126.2</v>
      </c>
      <c r="I88" s="15"/>
      <c r="J88" s="12">
        <f t="shared" si="13"/>
        <v>74077.66</v>
      </c>
      <c r="K88" s="12">
        <f t="shared" si="14"/>
        <v>43182.320000000007</v>
      </c>
    </row>
    <row r="89" spans="2:12" x14ac:dyDescent="0.25">
      <c r="B89" s="18">
        <v>43248</v>
      </c>
      <c r="C89" s="9" t="s">
        <v>446</v>
      </c>
      <c r="D89" s="11"/>
      <c r="E89" s="11"/>
      <c r="F89" s="11"/>
      <c r="G89" s="11"/>
      <c r="H89" s="11">
        <v>150</v>
      </c>
      <c r="I89" s="15"/>
      <c r="J89" s="12">
        <f t="shared" si="13"/>
        <v>74077.66</v>
      </c>
      <c r="K89" s="12">
        <f t="shared" si="14"/>
        <v>43032.320000000007</v>
      </c>
    </row>
    <row r="90" spans="2:12" x14ac:dyDescent="0.25">
      <c r="B90" s="18">
        <v>43248</v>
      </c>
      <c r="C90" s="9" t="s">
        <v>440</v>
      </c>
      <c r="D90" s="11"/>
      <c r="E90" s="11"/>
      <c r="F90" s="11"/>
      <c r="G90" s="11"/>
      <c r="H90" s="11">
        <v>210</v>
      </c>
      <c r="I90" s="15"/>
      <c r="J90" s="12">
        <f t="shared" si="13"/>
        <v>74077.66</v>
      </c>
      <c r="K90" s="12">
        <f t="shared" si="14"/>
        <v>42822.320000000007</v>
      </c>
    </row>
    <row r="91" spans="2:12" x14ac:dyDescent="0.25">
      <c r="B91" s="18">
        <v>43248</v>
      </c>
      <c r="C91" s="9" t="s">
        <v>447</v>
      </c>
      <c r="D91" s="11"/>
      <c r="E91" s="11"/>
      <c r="F91" s="11"/>
      <c r="G91" s="11"/>
      <c r="H91" s="11">
        <v>95.01</v>
      </c>
      <c r="I91" s="15"/>
      <c r="J91" s="12">
        <f t="shared" si="13"/>
        <v>74077.66</v>
      </c>
      <c r="K91" s="12">
        <f t="shared" si="14"/>
        <v>42727.310000000005</v>
      </c>
      <c r="L91" s="1"/>
    </row>
    <row r="92" spans="2:12" x14ac:dyDescent="0.25">
      <c r="B92" s="18">
        <v>43248</v>
      </c>
      <c r="C92" s="9" t="s">
        <v>428</v>
      </c>
      <c r="D92" s="11"/>
      <c r="E92" s="11"/>
      <c r="F92" s="11"/>
      <c r="G92" s="11"/>
      <c r="H92" s="11">
        <v>300.01</v>
      </c>
      <c r="I92" s="15"/>
      <c r="J92" s="12">
        <f t="shared" si="13"/>
        <v>74077.66</v>
      </c>
      <c r="K92" s="12">
        <f t="shared" si="14"/>
        <v>42427.3</v>
      </c>
    </row>
    <row r="93" spans="2:12" x14ac:dyDescent="0.25">
      <c r="B93" s="18">
        <v>43248</v>
      </c>
      <c r="C93" s="9" t="s">
        <v>448</v>
      </c>
      <c r="D93" s="11"/>
      <c r="E93" s="11"/>
      <c r="F93" s="11"/>
      <c r="G93" s="11"/>
      <c r="H93" s="11">
        <v>217.9</v>
      </c>
      <c r="I93" s="15"/>
      <c r="J93" s="12">
        <f t="shared" si="13"/>
        <v>74077.66</v>
      </c>
      <c r="K93" s="12">
        <f t="shared" si="14"/>
        <v>42209.4</v>
      </c>
    </row>
    <row r="94" spans="2:12" x14ac:dyDescent="0.25">
      <c r="B94" s="18">
        <v>43248</v>
      </c>
      <c r="C94" s="9" t="s">
        <v>449</v>
      </c>
      <c r="D94" s="11"/>
      <c r="E94" s="11"/>
      <c r="F94" s="11"/>
      <c r="G94" s="11"/>
      <c r="H94" s="11">
        <v>459</v>
      </c>
      <c r="I94" s="15"/>
      <c r="J94" s="12">
        <f t="shared" si="13"/>
        <v>74077.66</v>
      </c>
      <c r="K94" s="12">
        <f t="shared" si="14"/>
        <v>41750.400000000001</v>
      </c>
    </row>
    <row r="95" spans="2:12" x14ac:dyDescent="0.25">
      <c r="B95" s="18">
        <v>43250</v>
      </c>
      <c r="C95" s="9" t="s">
        <v>298</v>
      </c>
      <c r="D95" s="11"/>
      <c r="E95" s="11"/>
      <c r="F95" s="11"/>
      <c r="G95" s="11"/>
      <c r="H95" s="11">
        <v>26.5</v>
      </c>
      <c r="I95" s="15"/>
      <c r="J95" s="12">
        <f t="shared" si="13"/>
        <v>74077.66</v>
      </c>
      <c r="K95" s="12">
        <f t="shared" si="14"/>
        <v>41723.9</v>
      </c>
    </row>
    <row r="96" spans="2:12" x14ac:dyDescent="0.25">
      <c r="B96" s="18">
        <v>43250</v>
      </c>
      <c r="C96" s="9" t="s">
        <v>298</v>
      </c>
      <c r="D96" s="11"/>
      <c r="E96" s="11"/>
      <c r="F96" s="11"/>
      <c r="G96" s="11"/>
      <c r="H96" s="11">
        <v>40</v>
      </c>
      <c r="I96" s="15"/>
      <c r="J96" s="12">
        <f t="shared" si="13"/>
        <v>74077.66</v>
      </c>
      <c r="K96" s="12">
        <f t="shared" si="14"/>
        <v>41683.9</v>
      </c>
    </row>
    <row r="97" spans="2:11" x14ac:dyDescent="0.25">
      <c r="B97" s="18">
        <v>43251</v>
      </c>
      <c r="C97" s="9" t="s">
        <v>450</v>
      </c>
      <c r="D97" s="11"/>
      <c r="E97" s="11"/>
      <c r="F97" s="11"/>
      <c r="G97" s="11"/>
      <c r="H97" s="11">
        <v>300</v>
      </c>
      <c r="I97" s="15"/>
      <c r="J97" s="12">
        <f t="shared" si="13"/>
        <v>74077.66</v>
      </c>
      <c r="K97" s="12">
        <f t="shared" si="14"/>
        <v>41383.9</v>
      </c>
    </row>
    <row r="98" spans="2:11" x14ac:dyDescent="0.25">
      <c r="B98" s="18">
        <v>43251</v>
      </c>
      <c r="C98" s="9" t="s">
        <v>451</v>
      </c>
      <c r="D98" s="11"/>
      <c r="E98" s="11"/>
      <c r="F98" s="11"/>
      <c r="G98" s="11"/>
      <c r="H98" s="11">
        <v>550</v>
      </c>
      <c r="I98" s="15"/>
      <c r="J98" s="12">
        <f t="shared" si="13"/>
        <v>74077.66</v>
      </c>
      <c r="K98" s="12">
        <f t="shared" si="14"/>
        <v>40833.9</v>
      </c>
    </row>
    <row r="99" spans="2:11" x14ac:dyDescent="0.25">
      <c r="B99" s="18">
        <v>43251</v>
      </c>
      <c r="C99" s="9" t="s">
        <v>425</v>
      </c>
      <c r="D99" s="11"/>
      <c r="E99" s="11"/>
      <c r="F99" s="11"/>
      <c r="G99" s="11"/>
      <c r="H99" s="11">
        <v>2000</v>
      </c>
      <c r="I99" s="15"/>
      <c r="J99" s="12">
        <f t="shared" si="13"/>
        <v>74077.66</v>
      </c>
      <c r="K99" s="12">
        <f t="shared" si="14"/>
        <v>38833.9</v>
      </c>
    </row>
    <row r="100" spans="2:11" x14ac:dyDescent="0.25">
      <c r="B100" s="18">
        <v>43251</v>
      </c>
      <c r="C100" s="9" t="s">
        <v>452</v>
      </c>
      <c r="D100" s="11"/>
      <c r="E100" s="11"/>
      <c r="F100" s="11"/>
      <c r="G100" s="11"/>
      <c r="H100" s="11">
        <v>4000</v>
      </c>
      <c r="I100" s="15"/>
      <c r="J100" s="12">
        <f t="shared" si="13"/>
        <v>74077.66</v>
      </c>
      <c r="K100" s="12">
        <f t="shared" si="14"/>
        <v>34833.9</v>
      </c>
    </row>
    <row r="101" spans="2:11" x14ac:dyDescent="0.25">
      <c r="B101" s="18">
        <v>43251</v>
      </c>
      <c r="C101" s="9" t="s">
        <v>384</v>
      </c>
      <c r="D101" s="11"/>
      <c r="E101" s="11"/>
      <c r="F101" s="11"/>
      <c r="G101" s="11">
        <v>40000</v>
      </c>
      <c r="H101" s="11"/>
      <c r="I101" s="15"/>
      <c r="J101" s="12">
        <f t="shared" si="13"/>
        <v>34077.660000000003</v>
      </c>
      <c r="K101" s="12">
        <f t="shared" si="14"/>
        <v>34833.9</v>
      </c>
    </row>
    <row r="102" spans="2:11" x14ac:dyDescent="0.25">
      <c r="B102" s="18">
        <v>43251</v>
      </c>
      <c r="C102" s="9" t="s">
        <v>453</v>
      </c>
      <c r="D102" s="11">
        <v>8100</v>
      </c>
      <c r="E102" s="11"/>
      <c r="F102" s="11"/>
      <c r="G102" s="11"/>
      <c r="H102" s="11"/>
      <c r="I102" s="15"/>
      <c r="J102" s="12">
        <f t="shared" si="13"/>
        <v>34077.660000000003</v>
      </c>
      <c r="K102" s="12">
        <f t="shared" si="14"/>
        <v>42933.9</v>
      </c>
    </row>
    <row r="103" spans="2:11" x14ac:dyDescent="0.25">
      <c r="B103" s="18">
        <v>43223</v>
      </c>
      <c r="C103" s="13" t="s">
        <v>454</v>
      </c>
      <c r="D103" s="11"/>
      <c r="E103" s="11">
        <v>300.45999999999998</v>
      </c>
      <c r="F103" s="11"/>
      <c r="G103" s="11"/>
      <c r="H103" s="11"/>
      <c r="I103" s="15"/>
      <c r="J103" s="12">
        <f t="shared" si="13"/>
        <v>34378.120000000003</v>
      </c>
      <c r="K103" s="12">
        <f t="shared" si="14"/>
        <v>42933.9</v>
      </c>
    </row>
    <row r="104" spans="2:11" x14ac:dyDescent="0.25">
      <c r="B104" s="18">
        <v>43227</v>
      </c>
      <c r="C104" s="9" t="s">
        <v>455</v>
      </c>
      <c r="D104" s="11"/>
      <c r="E104" s="11">
        <v>200.15</v>
      </c>
      <c r="F104" s="11"/>
      <c r="G104" s="11"/>
      <c r="H104" s="11"/>
      <c r="I104" s="15"/>
      <c r="J104" s="12">
        <f t="shared" si="13"/>
        <v>34578.270000000004</v>
      </c>
      <c r="K104" s="12">
        <f t="shared" si="14"/>
        <v>42933.9</v>
      </c>
    </row>
    <row r="105" spans="2:11" x14ac:dyDescent="0.25">
      <c r="B105" s="18">
        <v>43238</v>
      </c>
      <c r="C105" s="9" t="s">
        <v>456</v>
      </c>
      <c r="D105" s="11"/>
      <c r="E105" s="11">
        <v>1200.29</v>
      </c>
      <c r="F105" s="11"/>
      <c r="G105" s="11"/>
      <c r="H105" s="11"/>
      <c r="I105" s="15"/>
      <c r="J105" s="12">
        <f t="shared" si="13"/>
        <v>35778.560000000005</v>
      </c>
      <c r="K105" s="12">
        <f t="shared" si="14"/>
        <v>42933.9</v>
      </c>
    </row>
    <row r="106" spans="2:11" x14ac:dyDescent="0.25">
      <c r="B106" s="18">
        <v>43343</v>
      </c>
      <c r="C106" s="13" t="s">
        <v>228</v>
      </c>
      <c r="D106" s="11"/>
      <c r="E106" s="11"/>
      <c r="F106" s="11"/>
      <c r="G106" s="11">
        <v>54</v>
      </c>
      <c r="H106" s="11"/>
      <c r="I106" s="15"/>
      <c r="J106" s="12">
        <f t="shared" ref="J106:J108" si="15">+J105+E106-G106</f>
        <v>35724.560000000005</v>
      </c>
      <c r="K106" s="12">
        <f t="shared" ref="K106:K108" si="16">+K105+D106-H106</f>
        <v>42933.9</v>
      </c>
    </row>
    <row r="107" spans="2:11" x14ac:dyDescent="0.25">
      <c r="B107" s="18">
        <v>43251</v>
      </c>
      <c r="C107" s="13" t="s">
        <v>227</v>
      </c>
      <c r="D107" s="11"/>
      <c r="E107" s="11"/>
      <c r="F107" s="11"/>
      <c r="G107" s="11">
        <v>8.64</v>
      </c>
      <c r="H107" s="11"/>
      <c r="I107" s="15"/>
      <c r="J107" s="12">
        <f t="shared" si="15"/>
        <v>35715.920000000006</v>
      </c>
      <c r="K107" s="12">
        <f t="shared" si="16"/>
        <v>42933.9</v>
      </c>
    </row>
    <row r="108" spans="2:11" ht="15.75" thickBot="1" x14ac:dyDescent="0.3">
      <c r="B108" s="18"/>
      <c r="C108" s="9"/>
      <c r="D108" s="11"/>
      <c r="E108" s="11"/>
      <c r="F108" s="11"/>
      <c r="G108" s="11"/>
      <c r="H108" s="11"/>
      <c r="I108" s="15"/>
      <c r="J108" s="12">
        <f t="shared" si="15"/>
        <v>35715.920000000006</v>
      </c>
      <c r="K108" s="12">
        <f t="shared" si="16"/>
        <v>42933.9</v>
      </c>
    </row>
    <row r="109" spans="2:11" ht="15.75" thickBot="1" x14ac:dyDescent="0.3">
      <c r="B109" s="5"/>
      <c r="C109" s="7" t="s">
        <v>0</v>
      </c>
      <c r="D109" s="62">
        <f>SUM(D62:D108)</f>
        <v>69175</v>
      </c>
      <c r="E109" s="61">
        <f>SUM(E62:E108)</f>
        <v>14460.899999999998</v>
      </c>
      <c r="F109" s="71">
        <f>SUM(D109:E109)</f>
        <v>83635.899999999994</v>
      </c>
      <c r="G109" s="71">
        <f>SUM(G62:G108)</f>
        <v>51222.64</v>
      </c>
      <c r="H109" s="62">
        <f>SUM(H62:H108)</f>
        <v>84093.769999999975</v>
      </c>
      <c r="I109" s="71">
        <f>SUM(G109:H109)</f>
        <v>135316.40999999997</v>
      </c>
      <c r="J109" s="20"/>
      <c r="K109" s="20"/>
    </row>
    <row r="110" spans="2:11" ht="15.75" thickBot="1" x14ac:dyDescent="0.3">
      <c r="D110" s="1"/>
      <c r="E110" s="1"/>
      <c r="F110" s="1"/>
      <c r="G110" s="1"/>
      <c r="I110" s="74" t="s">
        <v>8</v>
      </c>
      <c r="J110" s="74" t="s">
        <v>7</v>
      </c>
      <c r="K110" s="95" t="s">
        <v>0</v>
      </c>
    </row>
    <row r="111" spans="2:11" ht="15.75" thickBot="1" x14ac:dyDescent="0.3">
      <c r="D111" s="1"/>
      <c r="E111" s="1"/>
      <c r="F111" s="1"/>
      <c r="G111" s="1"/>
      <c r="I111" s="26">
        <v>35715.919999999998</v>
      </c>
      <c r="J111" s="26">
        <v>42933.9</v>
      </c>
      <c r="K111" s="20">
        <f>SUM(I111:J111)</f>
        <v>78649.820000000007</v>
      </c>
    </row>
    <row r="112" spans="2:11" x14ac:dyDescent="0.25">
      <c r="D112" s="1"/>
      <c r="E112" s="1"/>
      <c r="F112" s="1"/>
      <c r="G112" s="1"/>
      <c r="J112" s="1"/>
    </row>
    <row r="113" spans="4:10" x14ac:dyDescent="0.25">
      <c r="D113" s="1"/>
      <c r="E113" s="1"/>
      <c r="F113" s="1"/>
      <c r="G113" s="1"/>
      <c r="J113" s="1"/>
    </row>
    <row r="114" spans="4:10" x14ac:dyDescent="0.25">
      <c r="D114" s="1"/>
      <c r="E114" s="1"/>
      <c r="F114" s="1"/>
      <c r="G114" s="1"/>
      <c r="J114" s="1"/>
    </row>
    <row r="115" spans="4:10" x14ac:dyDescent="0.25">
      <c r="D115" s="1"/>
      <c r="E115" s="1"/>
      <c r="F115" s="1"/>
      <c r="G115" s="1"/>
      <c r="J115" s="1"/>
    </row>
    <row r="116" spans="4:10" x14ac:dyDescent="0.25">
      <c r="D116" s="1"/>
      <c r="E116" s="1"/>
      <c r="F116" s="1"/>
      <c r="G116" s="1"/>
      <c r="J116" s="1"/>
    </row>
    <row r="117" spans="4:10" x14ac:dyDescent="0.25">
      <c r="D117" s="1"/>
      <c r="E117" s="1"/>
      <c r="F117" s="1"/>
      <c r="G117" s="1"/>
      <c r="J117" s="1"/>
    </row>
    <row r="118" spans="4:10" x14ac:dyDescent="0.25">
      <c r="D118" s="1"/>
      <c r="E118" s="1"/>
      <c r="F118" s="1"/>
      <c r="G118" s="1"/>
      <c r="J118" s="1"/>
    </row>
    <row r="119" spans="4:10" x14ac:dyDescent="0.25">
      <c r="D119" s="1"/>
      <c r="E119" s="1"/>
      <c r="F119" s="1"/>
      <c r="G119" s="1"/>
      <c r="J119" s="1"/>
    </row>
    <row r="120" spans="4:10" x14ac:dyDescent="0.25">
      <c r="D120" s="1"/>
      <c r="E120" s="1"/>
      <c r="F120" s="1"/>
      <c r="G120" s="1"/>
      <c r="J120" s="1"/>
    </row>
    <row r="121" spans="4:10" x14ac:dyDescent="0.25">
      <c r="D121" s="1"/>
      <c r="E121" s="1"/>
      <c r="F121" s="1"/>
      <c r="G121" s="1"/>
      <c r="J121" s="1"/>
    </row>
    <row r="122" spans="4:10" x14ac:dyDescent="0.25">
      <c r="D122" s="1"/>
      <c r="E122" s="1"/>
      <c r="F122" s="1"/>
      <c r="G122" s="1"/>
      <c r="J122" s="1"/>
    </row>
    <row r="123" spans="4:10" x14ac:dyDescent="0.25">
      <c r="D123" s="1"/>
      <c r="E123" s="1"/>
      <c r="F123" s="1"/>
      <c r="G123" s="1"/>
      <c r="J123" s="1"/>
    </row>
    <row r="124" spans="4:10" x14ac:dyDescent="0.25">
      <c r="D124" s="1"/>
      <c r="E124" s="1"/>
      <c r="F124" s="1"/>
      <c r="G124" s="1"/>
      <c r="J124" s="1"/>
    </row>
    <row r="125" spans="4:10" x14ac:dyDescent="0.25">
      <c r="D125" s="1"/>
      <c r="E125" s="1"/>
      <c r="F125" s="1"/>
      <c r="G125" s="1"/>
      <c r="J125" s="1"/>
    </row>
    <row r="126" spans="4:10" x14ac:dyDescent="0.25">
      <c r="D126" s="1"/>
      <c r="E126" s="1"/>
      <c r="F126" s="1"/>
      <c r="G126" s="1"/>
      <c r="J126" s="1"/>
    </row>
    <row r="127" spans="4:10" x14ac:dyDescent="0.25">
      <c r="D127" s="1"/>
      <c r="E127" s="1"/>
      <c r="F127" s="1"/>
      <c r="G127" s="1"/>
      <c r="J127" s="1"/>
    </row>
    <row r="128" spans="4:10" x14ac:dyDescent="0.25">
      <c r="D128" s="1"/>
      <c r="E128" s="1"/>
      <c r="F128" s="1"/>
      <c r="G128" s="1"/>
      <c r="J128" s="1"/>
    </row>
    <row r="129" spans="4:10" x14ac:dyDescent="0.25">
      <c r="D129" s="1"/>
      <c r="E129" s="1"/>
      <c r="F129" s="1"/>
      <c r="G129" s="1"/>
      <c r="J129" s="1"/>
    </row>
    <row r="130" spans="4:10" x14ac:dyDescent="0.25">
      <c r="D130" s="1"/>
      <c r="E130" s="1"/>
      <c r="F130" s="1"/>
      <c r="G130" s="1"/>
      <c r="J130" s="1"/>
    </row>
    <row r="131" spans="4:10" x14ac:dyDescent="0.25">
      <c r="D131" s="1"/>
      <c r="E131" s="1"/>
      <c r="F131" s="1"/>
      <c r="G131" s="1"/>
      <c r="J131" s="1"/>
    </row>
    <row r="132" spans="4:10" x14ac:dyDescent="0.25">
      <c r="D132" s="1"/>
      <c r="E132" s="1"/>
      <c r="F132" s="1"/>
      <c r="G132" s="1"/>
      <c r="J132" s="1"/>
    </row>
    <row r="133" spans="4:10" x14ac:dyDescent="0.25">
      <c r="D133" s="1"/>
      <c r="E133" s="1"/>
      <c r="F133" s="1"/>
      <c r="G133" s="1"/>
      <c r="J133" s="1"/>
    </row>
    <row r="134" spans="4:10" x14ac:dyDescent="0.25">
      <c r="D134" s="1"/>
      <c r="E134" s="1"/>
      <c r="F134" s="1"/>
      <c r="G134" s="1"/>
      <c r="J134" s="1"/>
    </row>
    <row r="135" spans="4:10" x14ac:dyDescent="0.25">
      <c r="D135" s="1"/>
      <c r="E135" s="1"/>
      <c r="F135" s="1"/>
      <c r="G135" s="1"/>
      <c r="J135" s="1"/>
    </row>
    <row r="136" spans="4:10" x14ac:dyDescent="0.25">
      <c r="D136" s="1"/>
      <c r="E136" s="1"/>
      <c r="F136" s="1"/>
      <c r="G136" s="1"/>
      <c r="J136" s="1"/>
    </row>
    <row r="137" spans="4:10" x14ac:dyDescent="0.25">
      <c r="D137" s="1"/>
      <c r="E137" s="1"/>
      <c r="F137" s="1"/>
      <c r="G137" s="1"/>
      <c r="J137" s="1"/>
    </row>
    <row r="138" spans="4:10" x14ac:dyDescent="0.25">
      <c r="D138" s="1"/>
      <c r="E138" s="1"/>
      <c r="F138" s="1"/>
      <c r="G138" s="1"/>
      <c r="J138" s="1"/>
    </row>
    <row r="139" spans="4:10" x14ac:dyDescent="0.25">
      <c r="D139" s="1"/>
      <c r="E139" s="1"/>
      <c r="F139" s="1"/>
      <c r="G139" s="1"/>
      <c r="J139" s="1"/>
    </row>
    <row r="140" spans="4:10" x14ac:dyDescent="0.25">
      <c r="D140" s="1"/>
      <c r="E140" s="1"/>
      <c r="F140" s="1"/>
      <c r="G140" s="1"/>
      <c r="J140" s="1"/>
    </row>
    <row r="141" spans="4:10" x14ac:dyDescent="0.25">
      <c r="D141" s="1"/>
      <c r="E141" s="1"/>
      <c r="F141" s="1"/>
      <c r="G141" s="1"/>
      <c r="J141" s="1"/>
    </row>
    <row r="142" spans="4:10" x14ac:dyDescent="0.25">
      <c r="D142" s="1"/>
      <c r="E142" s="1"/>
      <c r="F142" s="1"/>
      <c r="G142" s="1"/>
      <c r="J142" s="1"/>
    </row>
    <row r="143" spans="4:10" x14ac:dyDescent="0.25">
      <c r="D143" s="1"/>
      <c r="E143" s="1"/>
      <c r="F143" s="1"/>
      <c r="G143" s="1"/>
      <c r="J143" s="1"/>
    </row>
    <row r="144" spans="4:10" x14ac:dyDescent="0.25">
      <c r="D144" s="1"/>
      <c r="E144" s="1"/>
      <c r="F144" s="1"/>
      <c r="G144" s="1"/>
      <c r="J144" s="1"/>
    </row>
    <row r="145" spans="4:10" x14ac:dyDescent="0.25">
      <c r="D145" s="1"/>
      <c r="E145" s="1"/>
      <c r="F145" s="1"/>
      <c r="G145" s="1"/>
      <c r="J145" s="1"/>
    </row>
    <row r="146" spans="4:10" x14ac:dyDescent="0.25">
      <c r="D146" s="1"/>
      <c r="E146" s="1"/>
      <c r="F146" s="1"/>
      <c r="G146" s="1"/>
      <c r="J146" s="1"/>
    </row>
    <row r="147" spans="4:10" x14ac:dyDescent="0.25">
      <c r="D147" s="1"/>
      <c r="E147" s="1"/>
      <c r="F147" s="1"/>
      <c r="G147" s="1"/>
      <c r="J147" s="1"/>
    </row>
    <row r="148" spans="4:10" x14ac:dyDescent="0.25">
      <c r="D148" s="1"/>
      <c r="E148" s="1"/>
      <c r="F148" s="1"/>
      <c r="G148" s="1"/>
      <c r="J148" s="1"/>
    </row>
    <row r="149" spans="4:10" x14ac:dyDescent="0.25">
      <c r="D149" s="1"/>
      <c r="E149" s="1"/>
      <c r="F149" s="1"/>
      <c r="G149" s="1"/>
      <c r="J149" s="1"/>
    </row>
    <row r="150" spans="4:10" x14ac:dyDescent="0.25">
      <c r="D150" s="1"/>
      <c r="E150" s="1"/>
      <c r="F150" s="1"/>
      <c r="G150" s="1"/>
      <c r="J150" s="1"/>
    </row>
    <row r="151" spans="4:10" x14ac:dyDescent="0.25">
      <c r="D151" s="1"/>
      <c r="E151" s="1"/>
      <c r="F151" s="1"/>
      <c r="G151" s="1"/>
      <c r="J151" s="1"/>
    </row>
    <row r="152" spans="4:10" x14ac:dyDescent="0.25">
      <c r="D152" s="1"/>
      <c r="E152" s="1"/>
      <c r="F152" s="1"/>
      <c r="G152" s="1"/>
      <c r="J152" s="1"/>
    </row>
    <row r="153" spans="4:10" x14ac:dyDescent="0.25">
      <c r="D153" s="1"/>
      <c r="E153" s="1"/>
      <c r="F153" s="1"/>
      <c r="G153" s="1"/>
      <c r="J153" s="1"/>
    </row>
    <row r="154" spans="4:10" x14ac:dyDescent="0.25">
      <c r="D154" s="1"/>
      <c r="E154" s="1"/>
      <c r="F154" s="1"/>
      <c r="G154" s="1"/>
      <c r="J154" s="1"/>
    </row>
    <row r="155" spans="4:10" x14ac:dyDescent="0.25">
      <c r="D155" s="1"/>
      <c r="E155" s="1"/>
      <c r="F155" s="1"/>
      <c r="G155" s="1"/>
      <c r="J155" s="1"/>
    </row>
    <row r="156" spans="4:10" x14ac:dyDescent="0.25">
      <c r="D156" s="1"/>
      <c r="E156" s="1"/>
      <c r="F156" s="1"/>
      <c r="G156" s="1"/>
      <c r="J156" s="1"/>
    </row>
    <row r="157" spans="4:10" x14ac:dyDescent="0.25">
      <c r="D157" s="1"/>
      <c r="E157" s="1"/>
      <c r="F157" s="1"/>
      <c r="G157" s="1"/>
      <c r="J157" s="1"/>
    </row>
    <row r="158" spans="4:10" x14ac:dyDescent="0.25">
      <c r="D158" s="1"/>
      <c r="E158" s="1"/>
      <c r="F158" s="1"/>
      <c r="G158" s="1"/>
      <c r="J158" s="1"/>
    </row>
    <row r="159" spans="4:10" x14ac:dyDescent="0.25">
      <c r="D159" s="1"/>
      <c r="E159" s="1"/>
      <c r="F159" s="1"/>
      <c r="G159" s="1"/>
      <c r="J159" s="1"/>
    </row>
    <row r="160" spans="4:10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  <row r="163" spans="4:10" x14ac:dyDescent="0.25">
      <c r="D163" s="1"/>
      <c r="E163" s="1"/>
      <c r="F163" s="1"/>
      <c r="G163" s="1"/>
      <c r="J163" s="1"/>
    </row>
    <row r="164" spans="4:10" x14ac:dyDescent="0.25">
      <c r="D164" s="1"/>
      <c r="E164" s="1"/>
      <c r="F164" s="1"/>
      <c r="G164" s="1"/>
      <c r="J164" s="1"/>
    </row>
  </sheetData>
  <mergeCells count="1">
    <mergeCell ref="B2:K2"/>
  </mergeCells>
  <printOptions horizontalCentered="1"/>
  <pageMargins left="0.59055118110236227" right="0.43307086614173229" top="0" bottom="0" header="0.31496062992125984" footer="0.31496062992125984"/>
  <pageSetup paperSize="9" scale="70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B1:K137"/>
  <sheetViews>
    <sheetView zoomScale="90" zoomScaleNormal="90" workbookViewId="0">
      <pane ySplit="3" topLeftCell="A64" activePane="bottomLeft" state="frozen"/>
      <selection pane="bottomLeft" activeCell="C86" sqref="C86"/>
    </sheetView>
  </sheetViews>
  <sheetFormatPr baseColWidth="10" defaultRowHeight="15" x14ac:dyDescent="0.25"/>
  <cols>
    <col min="1" max="1" width="10.85546875" customWidth="1"/>
    <col min="2" max="2" width="11.7109375" customWidth="1"/>
    <col min="3" max="3" width="86" customWidth="1"/>
    <col min="4" max="5" width="10.85546875" customWidth="1"/>
    <col min="6" max="6" width="10.7109375" customWidth="1"/>
    <col min="7" max="7" width="10.85546875" customWidth="1"/>
    <col min="8" max="10" width="10.7109375" customWidth="1"/>
    <col min="11" max="11" width="10.85546875" customWidth="1"/>
  </cols>
  <sheetData>
    <row r="1" spans="2:11" ht="16.5" thickBot="1" x14ac:dyDescent="0.3">
      <c r="B1" s="79"/>
      <c r="C1" s="81" t="s">
        <v>47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96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43251</v>
      </c>
      <c r="C4" s="65" t="s">
        <v>48</v>
      </c>
      <c r="D4" s="66"/>
      <c r="E4" s="63"/>
      <c r="F4" s="63"/>
      <c r="G4" s="63"/>
      <c r="H4" s="17"/>
      <c r="I4" s="64"/>
      <c r="J4" s="73">
        <v>35715.919999999998</v>
      </c>
      <c r="K4" s="67">
        <v>42933.9</v>
      </c>
    </row>
    <row r="5" spans="2:11" x14ac:dyDescent="0.25">
      <c r="B5" s="23">
        <v>43252</v>
      </c>
      <c r="C5" s="9" t="s">
        <v>457</v>
      </c>
      <c r="D5" s="11"/>
      <c r="E5" s="11"/>
      <c r="F5" s="11"/>
      <c r="G5" s="11"/>
      <c r="H5" s="11">
        <v>300</v>
      </c>
      <c r="I5" s="15"/>
      <c r="J5" s="12">
        <f>+J4+E5-G5</f>
        <v>35715.919999999998</v>
      </c>
      <c r="K5" s="12">
        <f>+K4+D5-H5</f>
        <v>42633.9</v>
      </c>
    </row>
    <row r="6" spans="2:11" x14ac:dyDescent="0.25">
      <c r="B6" s="23">
        <v>43252</v>
      </c>
      <c r="C6" s="13" t="s">
        <v>475</v>
      </c>
      <c r="D6" s="11"/>
      <c r="E6" s="11"/>
      <c r="F6" s="11"/>
      <c r="G6" s="11"/>
      <c r="H6" s="11">
        <v>1250</v>
      </c>
      <c r="I6" s="15"/>
      <c r="J6" s="12">
        <f t="shared" ref="J6:J35" si="0">+J5+E6-G6</f>
        <v>35715.919999999998</v>
      </c>
      <c r="K6" s="12">
        <f t="shared" ref="K6:K35" si="1">+K5+D6-H6</f>
        <v>41383.9</v>
      </c>
    </row>
    <row r="7" spans="2:11" x14ac:dyDescent="0.25">
      <c r="B7" s="18">
        <v>43252</v>
      </c>
      <c r="C7" s="9" t="s">
        <v>458</v>
      </c>
      <c r="D7" s="11"/>
      <c r="E7" s="11"/>
      <c r="F7" s="11"/>
      <c r="G7" s="11"/>
      <c r="H7" s="59">
        <v>1600</v>
      </c>
      <c r="I7" s="15"/>
      <c r="J7" s="12">
        <f t="shared" si="0"/>
        <v>35715.919999999998</v>
      </c>
      <c r="K7" s="12">
        <f t="shared" si="1"/>
        <v>39783.9</v>
      </c>
    </row>
    <row r="8" spans="2:11" x14ac:dyDescent="0.25">
      <c r="B8" s="18">
        <v>43252</v>
      </c>
      <c r="C8" s="13" t="s">
        <v>459</v>
      </c>
      <c r="D8" s="11"/>
      <c r="E8" s="11"/>
      <c r="F8" s="11"/>
      <c r="G8" s="11"/>
      <c r="H8" s="11">
        <v>1200</v>
      </c>
      <c r="I8" s="15"/>
      <c r="J8" s="12">
        <f t="shared" si="0"/>
        <v>35715.919999999998</v>
      </c>
      <c r="K8" s="12">
        <f t="shared" si="1"/>
        <v>38583.9</v>
      </c>
    </row>
    <row r="9" spans="2:11" x14ac:dyDescent="0.25">
      <c r="B9" s="18">
        <v>43253</v>
      </c>
      <c r="C9" s="9" t="s">
        <v>460</v>
      </c>
      <c r="D9" s="11"/>
      <c r="E9" s="11"/>
      <c r="F9" s="11"/>
      <c r="G9" s="11"/>
      <c r="H9" s="59">
        <v>400</v>
      </c>
      <c r="I9" s="15"/>
      <c r="J9" s="12">
        <f t="shared" si="0"/>
        <v>35715.919999999998</v>
      </c>
      <c r="K9" s="12">
        <f t="shared" si="1"/>
        <v>38183.9</v>
      </c>
    </row>
    <row r="10" spans="2:11" x14ac:dyDescent="0.25">
      <c r="B10" s="18">
        <v>43254</v>
      </c>
      <c r="C10" s="9" t="s">
        <v>461</v>
      </c>
      <c r="D10" s="11"/>
      <c r="E10" s="11"/>
      <c r="F10" s="11"/>
      <c r="G10" s="11"/>
      <c r="H10" s="11">
        <v>43.5</v>
      </c>
      <c r="I10" s="15"/>
      <c r="J10" s="12">
        <f t="shared" si="0"/>
        <v>35715.919999999998</v>
      </c>
      <c r="K10" s="12">
        <f t="shared" si="1"/>
        <v>38140.400000000001</v>
      </c>
    </row>
    <row r="11" spans="2:11" x14ac:dyDescent="0.25">
      <c r="B11" s="18">
        <v>43254</v>
      </c>
      <c r="C11" s="9" t="s">
        <v>461</v>
      </c>
      <c r="D11" s="11"/>
      <c r="E11" s="11"/>
      <c r="F11" s="11"/>
      <c r="G11" s="11"/>
      <c r="H11" s="11">
        <v>23.5</v>
      </c>
      <c r="I11" s="15"/>
      <c r="J11" s="12">
        <f t="shared" si="0"/>
        <v>35715.919999999998</v>
      </c>
      <c r="K11" s="12">
        <f t="shared" si="1"/>
        <v>38116.9</v>
      </c>
    </row>
    <row r="12" spans="2:11" x14ac:dyDescent="0.25">
      <c r="B12" s="18">
        <v>43254</v>
      </c>
      <c r="C12" s="9" t="s">
        <v>462</v>
      </c>
      <c r="D12" s="11"/>
      <c r="E12" s="11"/>
      <c r="F12" s="11"/>
      <c r="G12" s="11"/>
      <c r="H12" s="59">
        <v>26.5</v>
      </c>
      <c r="I12" s="15"/>
      <c r="J12" s="12">
        <f t="shared" si="0"/>
        <v>35715.919999999998</v>
      </c>
      <c r="K12" s="12">
        <f t="shared" si="1"/>
        <v>38090.400000000001</v>
      </c>
    </row>
    <row r="13" spans="2:11" x14ac:dyDescent="0.25">
      <c r="B13" s="18">
        <v>43254</v>
      </c>
      <c r="C13" s="9" t="s">
        <v>463</v>
      </c>
      <c r="D13" s="11"/>
      <c r="E13" s="11"/>
      <c r="F13" s="11"/>
      <c r="G13" s="11"/>
      <c r="H13" s="11">
        <v>52.5</v>
      </c>
      <c r="I13" s="15"/>
      <c r="J13" s="12">
        <f t="shared" si="0"/>
        <v>35715.919999999998</v>
      </c>
      <c r="K13" s="12">
        <f t="shared" si="1"/>
        <v>38037.9</v>
      </c>
    </row>
    <row r="14" spans="2:11" x14ac:dyDescent="0.25">
      <c r="B14" s="18">
        <v>43254</v>
      </c>
      <c r="C14" s="9" t="s">
        <v>481</v>
      </c>
      <c r="D14" s="11"/>
      <c r="E14" s="11"/>
      <c r="F14" s="11"/>
      <c r="G14" s="11"/>
      <c r="H14" s="59">
        <v>120</v>
      </c>
      <c r="I14" s="15"/>
      <c r="J14" s="12">
        <f t="shared" si="0"/>
        <v>35715.919999999998</v>
      </c>
      <c r="K14" s="12">
        <f t="shared" si="1"/>
        <v>37917.9</v>
      </c>
    </row>
    <row r="15" spans="2:11" x14ac:dyDescent="0.25">
      <c r="B15" s="18">
        <v>43254</v>
      </c>
      <c r="C15" s="9" t="s">
        <v>464</v>
      </c>
      <c r="D15" s="11"/>
      <c r="E15" s="11"/>
      <c r="F15" s="11"/>
      <c r="G15" s="11"/>
      <c r="H15" s="11">
        <v>300</v>
      </c>
      <c r="I15" s="15"/>
      <c r="J15" s="12">
        <f t="shared" si="0"/>
        <v>35715.919999999998</v>
      </c>
      <c r="K15" s="12">
        <f t="shared" si="1"/>
        <v>37617.9</v>
      </c>
    </row>
    <row r="16" spans="2:11" x14ac:dyDescent="0.25">
      <c r="B16" s="18">
        <v>43254</v>
      </c>
      <c r="C16" s="9" t="s">
        <v>465</v>
      </c>
      <c r="D16" s="11">
        <v>14825</v>
      </c>
      <c r="E16" s="11"/>
      <c r="F16" s="11"/>
      <c r="G16" s="11"/>
      <c r="H16" s="11"/>
      <c r="I16" s="15"/>
      <c r="J16" s="12">
        <f t="shared" si="0"/>
        <v>35715.919999999998</v>
      </c>
      <c r="K16" s="12">
        <f t="shared" si="1"/>
        <v>52442.9</v>
      </c>
    </row>
    <row r="17" spans="2:11" x14ac:dyDescent="0.25">
      <c r="B17" s="18">
        <v>43255</v>
      </c>
      <c r="C17" s="9" t="s">
        <v>466</v>
      </c>
      <c r="D17" s="11"/>
      <c r="E17" s="11"/>
      <c r="F17" s="11"/>
      <c r="G17" s="11"/>
      <c r="H17" s="11">
        <v>820</v>
      </c>
      <c r="I17" s="15"/>
      <c r="J17" s="12">
        <f t="shared" si="0"/>
        <v>35715.919999999998</v>
      </c>
      <c r="K17" s="12">
        <f t="shared" si="1"/>
        <v>51622.9</v>
      </c>
    </row>
    <row r="18" spans="2:11" x14ac:dyDescent="0.25">
      <c r="B18" s="18">
        <v>43255</v>
      </c>
      <c r="C18" s="9" t="s">
        <v>467</v>
      </c>
      <c r="D18" s="11"/>
      <c r="E18" s="11"/>
      <c r="F18" s="11"/>
      <c r="G18" s="11"/>
      <c r="H18" s="11">
        <v>150</v>
      </c>
      <c r="I18" s="15"/>
      <c r="J18" s="12">
        <f t="shared" si="0"/>
        <v>35715.919999999998</v>
      </c>
      <c r="K18" s="12">
        <f t="shared" si="1"/>
        <v>51472.9</v>
      </c>
    </row>
    <row r="19" spans="2:11" x14ac:dyDescent="0.25">
      <c r="B19" s="18">
        <v>43255</v>
      </c>
      <c r="C19" s="9" t="s">
        <v>468</v>
      </c>
      <c r="D19" s="11"/>
      <c r="E19" s="11"/>
      <c r="F19" s="11"/>
      <c r="G19" s="11"/>
      <c r="H19" s="11">
        <v>55</v>
      </c>
      <c r="I19" s="15"/>
      <c r="J19" s="12">
        <f t="shared" si="0"/>
        <v>35715.919999999998</v>
      </c>
      <c r="K19" s="12">
        <f t="shared" si="1"/>
        <v>51417.9</v>
      </c>
    </row>
    <row r="20" spans="2:11" x14ac:dyDescent="0.25">
      <c r="B20" s="18">
        <v>43255</v>
      </c>
      <c r="C20" s="9" t="s">
        <v>469</v>
      </c>
      <c r="D20" s="11"/>
      <c r="E20" s="11"/>
      <c r="F20" s="11"/>
      <c r="G20" s="11"/>
      <c r="H20" s="11">
        <v>300</v>
      </c>
      <c r="I20" s="15"/>
      <c r="J20" s="12">
        <f t="shared" si="0"/>
        <v>35715.919999999998</v>
      </c>
      <c r="K20" s="12">
        <f t="shared" si="1"/>
        <v>51117.9</v>
      </c>
    </row>
    <row r="21" spans="2:11" x14ac:dyDescent="0.25">
      <c r="B21" s="18">
        <v>43255</v>
      </c>
      <c r="C21" s="9" t="s">
        <v>470</v>
      </c>
      <c r="D21" s="11"/>
      <c r="E21" s="11"/>
      <c r="F21" s="11"/>
      <c r="G21" s="11"/>
      <c r="H21" s="59">
        <v>300</v>
      </c>
      <c r="I21" s="15"/>
      <c r="J21" s="12">
        <f t="shared" si="0"/>
        <v>35715.919999999998</v>
      </c>
      <c r="K21" s="12">
        <f t="shared" si="1"/>
        <v>50817.9</v>
      </c>
    </row>
    <row r="22" spans="2:11" x14ac:dyDescent="0.25">
      <c r="B22" s="18">
        <v>43255</v>
      </c>
      <c r="C22" s="9" t="s">
        <v>471</v>
      </c>
      <c r="D22" s="11"/>
      <c r="E22" s="11"/>
      <c r="F22" s="11"/>
      <c r="G22" s="11"/>
      <c r="H22" s="59">
        <v>360</v>
      </c>
      <c r="I22" s="15"/>
      <c r="J22" s="12">
        <f t="shared" si="0"/>
        <v>35715.919999999998</v>
      </c>
      <c r="K22" s="12">
        <f t="shared" si="1"/>
        <v>50457.9</v>
      </c>
    </row>
    <row r="23" spans="2:11" x14ac:dyDescent="0.25">
      <c r="B23" s="18">
        <v>43255</v>
      </c>
      <c r="C23" s="9" t="s">
        <v>440</v>
      </c>
      <c r="D23" s="11"/>
      <c r="E23" s="11"/>
      <c r="F23" s="11"/>
      <c r="G23" s="11"/>
      <c r="H23" s="11">
        <v>210</v>
      </c>
      <c r="I23" s="15"/>
      <c r="J23" s="12">
        <f t="shared" si="0"/>
        <v>35715.919999999998</v>
      </c>
      <c r="K23" s="12">
        <f t="shared" si="1"/>
        <v>50247.9</v>
      </c>
    </row>
    <row r="24" spans="2:11" x14ac:dyDescent="0.25">
      <c r="B24" s="18">
        <v>43255</v>
      </c>
      <c r="C24" s="9" t="s">
        <v>472</v>
      </c>
      <c r="D24" s="11"/>
      <c r="E24" s="11"/>
      <c r="F24" s="11"/>
      <c r="G24" s="11"/>
      <c r="H24" s="11">
        <v>490</v>
      </c>
      <c r="I24" s="15"/>
      <c r="J24" s="12">
        <f t="shared" si="0"/>
        <v>35715.919999999998</v>
      </c>
      <c r="K24" s="12">
        <f t="shared" si="1"/>
        <v>49757.9</v>
      </c>
    </row>
    <row r="25" spans="2:11" x14ac:dyDescent="0.25">
      <c r="B25" s="18">
        <v>43256</v>
      </c>
      <c r="C25" s="9" t="s">
        <v>473</v>
      </c>
      <c r="D25" s="11"/>
      <c r="E25" s="11"/>
      <c r="F25" s="11"/>
      <c r="G25" s="11"/>
      <c r="H25" s="11">
        <v>150</v>
      </c>
      <c r="I25" s="15"/>
      <c r="J25" s="12">
        <f t="shared" si="0"/>
        <v>35715.919999999998</v>
      </c>
      <c r="K25" s="12">
        <f t="shared" si="1"/>
        <v>49607.9</v>
      </c>
    </row>
    <row r="26" spans="2:11" x14ac:dyDescent="0.25">
      <c r="B26" s="18">
        <v>43258</v>
      </c>
      <c r="C26" s="9" t="s">
        <v>471</v>
      </c>
      <c r="D26" s="11"/>
      <c r="E26" s="11"/>
      <c r="F26" s="11"/>
      <c r="G26" s="11"/>
      <c r="H26" s="11">
        <v>360</v>
      </c>
      <c r="I26" s="15"/>
      <c r="J26" s="12">
        <f t="shared" si="0"/>
        <v>35715.919999999998</v>
      </c>
      <c r="K26" s="12">
        <f t="shared" si="1"/>
        <v>49247.9</v>
      </c>
    </row>
    <row r="27" spans="2:11" x14ac:dyDescent="0.25">
      <c r="B27" s="18">
        <v>43258</v>
      </c>
      <c r="C27" s="9" t="s">
        <v>473</v>
      </c>
      <c r="D27" s="11"/>
      <c r="E27" s="11"/>
      <c r="F27" s="11"/>
      <c r="G27" s="11"/>
      <c r="H27" s="11">
        <v>150</v>
      </c>
      <c r="I27" s="15"/>
      <c r="J27" s="12">
        <f t="shared" si="0"/>
        <v>35715.919999999998</v>
      </c>
      <c r="K27" s="12">
        <f t="shared" si="1"/>
        <v>49097.9</v>
      </c>
    </row>
    <row r="28" spans="2:11" x14ac:dyDescent="0.25">
      <c r="B28" s="18">
        <v>43259</v>
      </c>
      <c r="C28" s="9" t="s">
        <v>474</v>
      </c>
      <c r="D28" s="11"/>
      <c r="E28" s="11"/>
      <c r="F28" s="11"/>
      <c r="G28" s="11"/>
      <c r="H28" s="11">
        <v>1250</v>
      </c>
      <c r="I28" s="15"/>
      <c r="J28" s="12">
        <f t="shared" si="0"/>
        <v>35715.919999999998</v>
      </c>
      <c r="K28" s="12">
        <f t="shared" si="1"/>
        <v>47847.9</v>
      </c>
    </row>
    <row r="29" spans="2:11" x14ac:dyDescent="0.25">
      <c r="B29" s="18">
        <v>43259</v>
      </c>
      <c r="C29" s="13" t="s">
        <v>476</v>
      </c>
      <c r="D29" s="41"/>
      <c r="E29" s="41"/>
      <c r="F29" s="41"/>
      <c r="G29" s="103"/>
      <c r="H29" s="11">
        <v>20</v>
      </c>
      <c r="I29" s="15"/>
      <c r="J29" s="12">
        <f t="shared" si="0"/>
        <v>35715.919999999998</v>
      </c>
      <c r="K29" s="12">
        <f t="shared" si="1"/>
        <v>47827.9</v>
      </c>
    </row>
    <row r="30" spans="2:11" x14ac:dyDescent="0.25">
      <c r="B30" s="18">
        <v>43259</v>
      </c>
      <c r="C30" s="9" t="s">
        <v>477</v>
      </c>
      <c r="D30" s="11"/>
      <c r="E30" s="11"/>
      <c r="F30" s="11"/>
      <c r="G30" s="11"/>
      <c r="H30" s="59">
        <v>195</v>
      </c>
      <c r="I30" s="15"/>
      <c r="J30" s="12">
        <f t="shared" si="0"/>
        <v>35715.919999999998</v>
      </c>
      <c r="K30" s="12">
        <f t="shared" si="1"/>
        <v>47632.9</v>
      </c>
    </row>
    <row r="31" spans="2:11" x14ac:dyDescent="0.25">
      <c r="B31" s="18">
        <v>43259</v>
      </c>
      <c r="C31" s="9" t="s">
        <v>478</v>
      </c>
      <c r="D31" s="11"/>
      <c r="E31" s="11"/>
      <c r="F31" s="11"/>
      <c r="G31" s="11"/>
      <c r="H31" s="11">
        <v>35</v>
      </c>
      <c r="I31" s="15"/>
      <c r="J31" s="12">
        <f t="shared" si="0"/>
        <v>35715.919999999998</v>
      </c>
      <c r="K31" s="12">
        <f t="shared" si="1"/>
        <v>47597.9</v>
      </c>
    </row>
    <row r="32" spans="2:11" x14ac:dyDescent="0.25">
      <c r="B32" s="18">
        <v>43259</v>
      </c>
      <c r="C32" s="9" t="s">
        <v>479</v>
      </c>
      <c r="D32" s="11"/>
      <c r="E32" s="11"/>
      <c r="F32" s="11"/>
      <c r="G32" s="11"/>
      <c r="H32" s="11">
        <v>179</v>
      </c>
      <c r="I32" s="15"/>
      <c r="J32" s="12">
        <f t="shared" si="0"/>
        <v>35715.919999999998</v>
      </c>
      <c r="K32" s="12">
        <f t="shared" si="1"/>
        <v>47418.9</v>
      </c>
    </row>
    <row r="33" spans="2:11" x14ac:dyDescent="0.25">
      <c r="B33" s="18">
        <v>43260</v>
      </c>
      <c r="C33" s="9" t="s">
        <v>480</v>
      </c>
      <c r="D33" s="11"/>
      <c r="E33" s="11"/>
      <c r="F33" s="11"/>
      <c r="G33" s="11"/>
      <c r="H33" s="11">
        <v>250</v>
      </c>
      <c r="I33" s="15"/>
      <c r="J33" s="12">
        <f t="shared" si="0"/>
        <v>35715.919999999998</v>
      </c>
      <c r="K33" s="12">
        <f t="shared" si="1"/>
        <v>47168.9</v>
      </c>
    </row>
    <row r="34" spans="2:11" x14ac:dyDescent="0.25">
      <c r="B34" s="18">
        <v>43261</v>
      </c>
      <c r="C34" s="9" t="s">
        <v>482</v>
      </c>
      <c r="D34" s="11"/>
      <c r="E34" s="11"/>
      <c r="F34" s="11"/>
      <c r="G34" s="11"/>
      <c r="H34" s="11">
        <v>120</v>
      </c>
      <c r="I34" s="15"/>
      <c r="J34" s="12">
        <f t="shared" si="0"/>
        <v>35715.919999999998</v>
      </c>
      <c r="K34" s="12">
        <f t="shared" si="1"/>
        <v>47048.9</v>
      </c>
    </row>
    <row r="35" spans="2:11" x14ac:dyDescent="0.25">
      <c r="B35" s="18">
        <v>43261</v>
      </c>
      <c r="C35" s="9" t="s">
        <v>483</v>
      </c>
      <c r="D35" s="11"/>
      <c r="E35" s="11"/>
      <c r="F35" s="11"/>
      <c r="G35" s="11"/>
      <c r="H35" s="11">
        <v>150</v>
      </c>
      <c r="I35" s="15"/>
      <c r="J35" s="12">
        <f t="shared" si="0"/>
        <v>35715.919999999998</v>
      </c>
      <c r="K35" s="12">
        <f t="shared" si="1"/>
        <v>46898.9</v>
      </c>
    </row>
    <row r="36" spans="2:11" x14ac:dyDescent="0.25">
      <c r="B36" s="18">
        <v>43261</v>
      </c>
      <c r="C36" s="9" t="s">
        <v>463</v>
      </c>
      <c r="D36" s="11"/>
      <c r="E36" s="11"/>
      <c r="F36" s="11"/>
      <c r="G36" s="11"/>
      <c r="H36" s="11">
        <v>27</v>
      </c>
      <c r="I36" s="15"/>
      <c r="J36" s="12">
        <f t="shared" ref="J36:J37" si="2">+J35+E36-G36</f>
        <v>35715.919999999998</v>
      </c>
      <c r="K36" s="12">
        <f t="shared" ref="K36:K37" si="3">+K35+D36-H36</f>
        <v>46871.9</v>
      </c>
    </row>
    <row r="37" spans="2:11" x14ac:dyDescent="0.25">
      <c r="B37" s="18">
        <v>43261</v>
      </c>
      <c r="C37" s="9" t="s">
        <v>484</v>
      </c>
      <c r="D37" s="11"/>
      <c r="E37" s="11"/>
      <c r="F37" s="11"/>
      <c r="G37" s="11"/>
      <c r="H37" s="11">
        <v>60</v>
      </c>
      <c r="I37" s="15"/>
      <c r="J37" s="12">
        <f t="shared" si="2"/>
        <v>35715.919999999998</v>
      </c>
      <c r="K37" s="12">
        <f t="shared" si="3"/>
        <v>46811.9</v>
      </c>
    </row>
    <row r="38" spans="2:11" x14ac:dyDescent="0.25">
      <c r="B38" s="18">
        <v>43261</v>
      </c>
      <c r="C38" s="9" t="s">
        <v>485</v>
      </c>
      <c r="D38" s="11"/>
      <c r="E38" s="11"/>
      <c r="F38" s="11"/>
      <c r="G38" s="11"/>
      <c r="H38" s="11">
        <v>500</v>
      </c>
      <c r="I38" s="15"/>
      <c r="J38" s="12">
        <f t="shared" ref="J38:J40" si="4">+J37+E38-G38</f>
        <v>35715.919999999998</v>
      </c>
      <c r="K38" s="12">
        <f t="shared" ref="K38:K40" si="5">+K37+D38-H38</f>
        <v>46311.9</v>
      </c>
    </row>
    <row r="39" spans="2:11" x14ac:dyDescent="0.25">
      <c r="B39" s="18">
        <v>43261</v>
      </c>
      <c r="C39" s="9" t="s">
        <v>486</v>
      </c>
      <c r="D39" s="11"/>
      <c r="E39" s="11"/>
      <c r="F39" s="11"/>
      <c r="G39" s="11"/>
      <c r="H39" s="11">
        <v>54.5</v>
      </c>
      <c r="I39" s="15"/>
      <c r="J39" s="12">
        <f t="shared" si="4"/>
        <v>35715.919999999998</v>
      </c>
      <c r="K39" s="12">
        <f t="shared" si="5"/>
        <v>46257.4</v>
      </c>
    </row>
    <row r="40" spans="2:11" x14ac:dyDescent="0.25">
      <c r="B40" s="18">
        <v>43261</v>
      </c>
      <c r="C40" s="9" t="s">
        <v>487</v>
      </c>
      <c r="D40" s="11"/>
      <c r="E40" s="11"/>
      <c r="F40" s="11"/>
      <c r="G40" s="11"/>
      <c r="H40" s="11">
        <v>48</v>
      </c>
      <c r="I40" s="15"/>
      <c r="J40" s="12">
        <f t="shared" si="4"/>
        <v>35715.919999999998</v>
      </c>
      <c r="K40" s="12">
        <f t="shared" si="5"/>
        <v>46209.4</v>
      </c>
    </row>
    <row r="41" spans="2:11" x14ac:dyDescent="0.25">
      <c r="B41" s="18">
        <v>43261</v>
      </c>
      <c r="C41" s="9" t="s">
        <v>488</v>
      </c>
      <c r="D41" s="11">
        <v>43600</v>
      </c>
      <c r="E41" s="11"/>
      <c r="F41" s="11"/>
      <c r="G41" s="11"/>
      <c r="H41" s="11"/>
      <c r="I41" s="15"/>
      <c r="J41" s="12">
        <f t="shared" ref="J41:J52" si="6">+J40+E41-G41</f>
        <v>35715.919999999998</v>
      </c>
      <c r="K41" s="12">
        <f t="shared" ref="K41:K52" si="7">+K40+D41-H41</f>
        <v>89809.4</v>
      </c>
    </row>
    <row r="42" spans="2:11" x14ac:dyDescent="0.25">
      <c r="B42" s="18">
        <v>43262</v>
      </c>
      <c r="C42" s="9" t="s">
        <v>471</v>
      </c>
      <c r="D42" s="11"/>
      <c r="E42" s="11"/>
      <c r="F42" s="11"/>
      <c r="G42" s="11"/>
      <c r="H42" s="11">
        <v>360</v>
      </c>
      <c r="I42" s="15"/>
      <c r="J42" s="12">
        <f t="shared" si="6"/>
        <v>35715.919999999998</v>
      </c>
      <c r="K42" s="12">
        <f t="shared" si="7"/>
        <v>89449.4</v>
      </c>
    </row>
    <row r="43" spans="2:11" x14ac:dyDescent="0.25">
      <c r="B43" s="18">
        <v>43262</v>
      </c>
      <c r="C43" s="9" t="s">
        <v>473</v>
      </c>
      <c r="D43" s="11"/>
      <c r="E43" s="11"/>
      <c r="F43" s="11"/>
      <c r="G43" s="11"/>
      <c r="H43" s="11">
        <v>230</v>
      </c>
      <c r="I43" s="15"/>
      <c r="J43" s="12">
        <f t="shared" si="6"/>
        <v>35715.919999999998</v>
      </c>
      <c r="K43" s="12">
        <f t="shared" si="7"/>
        <v>89219.4</v>
      </c>
    </row>
    <row r="44" spans="2:11" x14ac:dyDescent="0.25">
      <c r="B44" s="18">
        <v>43262</v>
      </c>
      <c r="C44" s="9" t="s">
        <v>489</v>
      </c>
      <c r="D44" s="11"/>
      <c r="E44" s="11"/>
      <c r="F44" s="11"/>
      <c r="G44" s="11"/>
      <c r="H44" s="59">
        <v>300</v>
      </c>
      <c r="I44" s="15"/>
      <c r="J44" s="12">
        <f t="shared" si="6"/>
        <v>35715.919999999998</v>
      </c>
      <c r="K44" s="12">
        <f t="shared" si="7"/>
        <v>88919.4</v>
      </c>
    </row>
    <row r="45" spans="2:11" x14ac:dyDescent="0.25">
      <c r="B45" s="18">
        <v>43262</v>
      </c>
      <c r="C45" s="9" t="s">
        <v>490</v>
      </c>
      <c r="D45" s="11"/>
      <c r="E45" s="11"/>
      <c r="F45" s="11"/>
      <c r="G45" s="11"/>
      <c r="H45" s="59">
        <v>57.3</v>
      </c>
      <c r="I45" s="15"/>
      <c r="J45" s="12">
        <f t="shared" si="6"/>
        <v>35715.919999999998</v>
      </c>
      <c r="K45" s="12">
        <f t="shared" si="7"/>
        <v>88862.099999999991</v>
      </c>
    </row>
    <row r="46" spans="2:11" x14ac:dyDescent="0.25">
      <c r="B46" s="18">
        <v>43262</v>
      </c>
      <c r="C46" s="9" t="s">
        <v>440</v>
      </c>
      <c r="D46" s="11"/>
      <c r="E46" s="11"/>
      <c r="F46" s="11"/>
      <c r="G46" s="11"/>
      <c r="H46" s="59">
        <v>210</v>
      </c>
      <c r="I46" s="15"/>
      <c r="J46" s="12">
        <f t="shared" si="6"/>
        <v>35715.919999999998</v>
      </c>
      <c r="K46" s="12">
        <f t="shared" si="7"/>
        <v>88652.099999999991</v>
      </c>
    </row>
    <row r="47" spans="2:11" x14ac:dyDescent="0.25">
      <c r="B47" s="18">
        <v>43262</v>
      </c>
      <c r="C47" s="9" t="s">
        <v>491</v>
      </c>
      <c r="D47" s="11"/>
      <c r="E47" s="11"/>
      <c r="F47" s="11"/>
      <c r="G47" s="11"/>
      <c r="H47" s="59">
        <v>44</v>
      </c>
      <c r="I47" s="15"/>
      <c r="J47" s="12">
        <f t="shared" si="6"/>
        <v>35715.919999999998</v>
      </c>
      <c r="K47" s="12">
        <f t="shared" si="7"/>
        <v>88608.099999999991</v>
      </c>
    </row>
    <row r="48" spans="2:11" x14ac:dyDescent="0.25">
      <c r="B48" s="18">
        <v>43262</v>
      </c>
      <c r="C48" s="9" t="s">
        <v>493</v>
      </c>
      <c r="D48" s="11"/>
      <c r="E48" s="11"/>
      <c r="F48" s="11"/>
      <c r="G48" s="11"/>
      <c r="H48" s="59">
        <v>2000</v>
      </c>
      <c r="I48" s="15"/>
      <c r="J48" s="12">
        <f>+J47+E48-G48</f>
        <v>35715.919999999998</v>
      </c>
      <c r="K48" s="12">
        <f>+K47+D48-H48</f>
        <v>86608.099999999991</v>
      </c>
    </row>
    <row r="49" spans="2:11" x14ac:dyDescent="0.25">
      <c r="B49" s="18">
        <v>43262</v>
      </c>
      <c r="C49" s="9" t="s">
        <v>492</v>
      </c>
      <c r="D49" s="11"/>
      <c r="E49" s="11"/>
      <c r="F49" s="11"/>
      <c r="G49" s="11"/>
      <c r="H49" s="59">
        <v>300</v>
      </c>
      <c r="I49" s="15"/>
      <c r="J49" s="12">
        <f t="shared" si="6"/>
        <v>35715.919999999998</v>
      </c>
      <c r="K49" s="12">
        <f t="shared" si="7"/>
        <v>86308.099999999991</v>
      </c>
    </row>
    <row r="50" spans="2:11" x14ac:dyDescent="0.25">
      <c r="B50" s="18">
        <v>43262</v>
      </c>
      <c r="C50" s="9" t="s">
        <v>494</v>
      </c>
      <c r="D50" s="11"/>
      <c r="E50" s="11"/>
      <c r="F50" s="11"/>
      <c r="G50" s="11"/>
      <c r="H50" s="59">
        <v>700</v>
      </c>
      <c r="I50" s="15"/>
      <c r="J50" s="12">
        <f t="shared" si="6"/>
        <v>35715.919999999998</v>
      </c>
      <c r="K50" s="12">
        <f t="shared" si="7"/>
        <v>85608.099999999991</v>
      </c>
    </row>
    <row r="51" spans="2:11" x14ac:dyDescent="0.25">
      <c r="B51" s="18">
        <v>43262</v>
      </c>
      <c r="C51" s="9" t="s">
        <v>495</v>
      </c>
      <c r="D51" s="11"/>
      <c r="E51" s="11"/>
      <c r="F51" s="11"/>
      <c r="G51" s="11"/>
      <c r="H51" s="59">
        <v>400</v>
      </c>
      <c r="I51" s="15"/>
      <c r="J51" s="12">
        <f t="shared" si="6"/>
        <v>35715.919999999998</v>
      </c>
      <c r="K51" s="12">
        <f t="shared" si="7"/>
        <v>85208.099999999991</v>
      </c>
    </row>
    <row r="52" spans="2:11" ht="15.75" thickBot="1" x14ac:dyDescent="0.3">
      <c r="B52" s="18">
        <v>43263</v>
      </c>
      <c r="C52" s="9" t="s">
        <v>496</v>
      </c>
      <c r="D52" s="11"/>
      <c r="E52" s="11"/>
      <c r="F52" s="11"/>
      <c r="G52" s="11"/>
      <c r="H52" s="59">
        <v>300</v>
      </c>
      <c r="I52" s="15"/>
      <c r="J52" s="12">
        <f t="shared" si="6"/>
        <v>35715.919999999998</v>
      </c>
      <c r="K52" s="12">
        <f t="shared" si="7"/>
        <v>84908.099999999991</v>
      </c>
    </row>
    <row r="53" spans="2:11" ht="15.75" thickBot="1" x14ac:dyDescent="0.3">
      <c r="B53" s="5"/>
      <c r="C53" s="7" t="s">
        <v>0</v>
      </c>
      <c r="D53" s="62">
        <f>SUM(D4:D52)</f>
        <v>58425</v>
      </c>
      <c r="E53" s="61">
        <f>SUM(E4:E52)</f>
        <v>0</v>
      </c>
      <c r="F53" s="71">
        <f>SUM(D53:E53)</f>
        <v>58425</v>
      </c>
      <c r="G53" s="80">
        <f>SUM(G4:G52)</f>
        <v>0</v>
      </c>
      <c r="H53" s="62">
        <f>SUM(H4:H52)</f>
        <v>16450.8</v>
      </c>
      <c r="I53" s="71">
        <f>SUM(G53:H53)</f>
        <v>16450.8</v>
      </c>
      <c r="J53" s="20"/>
      <c r="K53" s="20"/>
    </row>
    <row r="54" spans="2:11" x14ac:dyDescent="0.25">
      <c r="B54" s="68" t="s">
        <v>1</v>
      </c>
      <c r="C54" s="68" t="s">
        <v>2</v>
      </c>
      <c r="D54" s="68" t="s">
        <v>3</v>
      </c>
      <c r="E54" s="68" t="s">
        <v>3</v>
      </c>
      <c r="F54" s="68" t="s">
        <v>22</v>
      </c>
      <c r="G54" s="68" t="s">
        <v>23</v>
      </c>
      <c r="H54" s="48" t="s">
        <v>23</v>
      </c>
      <c r="I54" s="48" t="s">
        <v>22</v>
      </c>
      <c r="J54" s="68" t="s">
        <v>8</v>
      </c>
      <c r="K54" s="48" t="s">
        <v>7</v>
      </c>
    </row>
    <row r="55" spans="2:11" ht="15.75" thickBot="1" x14ac:dyDescent="0.3">
      <c r="B55" s="69"/>
      <c r="C55" s="69"/>
      <c r="D55" s="69" t="s">
        <v>5</v>
      </c>
      <c r="E55" s="69" t="s">
        <v>24</v>
      </c>
      <c r="F55" s="69" t="s">
        <v>3</v>
      </c>
      <c r="G55" s="69" t="s">
        <v>24</v>
      </c>
      <c r="H55" s="70" t="s">
        <v>5</v>
      </c>
      <c r="I55" s="70" t="s">
        <v>4</v>
      </c>
      <c r="J55" s="69"/>
      <c r="K55" s="70"/>
    </row>
    <row r="56" spans="2:11" ht="15.75" thickBot="1" x14ac:dyDescent="0.3">
      <c r="B56" s="5"/>
      <c r="C56" s="7" t="s">
        <v>0</v>
      </c>
      <c r="D56" s="62">
        <v>58425</v>
      </c>
      <c r="E56" s="61">
        <v>0</v>
      </c>
      <c r="F56" s="71">
        <f>SUM(D56:E56)</f>
        <v>58425</v>
      </c>
      <c r="G56" s="80">
        <v>0</v>
      </c>
      <c r="H56" s="62">
        <v>16450.8</v>
      </c>
      <c r="I56" s="71">
        <f>SUM(G56:H56)</f>
        <v>16450.8</v>
      </c>
      <c r="J56" s="78">
        <v>35715.919999999998</v>
      </c>
      <c r="K56" s="20">
        <v>84908.1</v>
      </c>
    </row>
    <row r="57" spans="2:11" x14ac:dyDescent="0.25">
      <c r="B57" s="18">
        <v>43263</v>
      </c>
      <c r="C57" s="9" t="s">
        <v>659</v>
      </c>
      <c r="D57" s="41"/>
      <c r="E57" s="11"/>
      <c r="F57" s="11"/>
      <c r="G57" s="11">
        <v>1760</v>
      </c>
      <c r="H57" s="59"/>
      <c r="I57" s="15"/>
      <c r="J57" s="12">
        <f t="shared" ref="J57" si="8">+J56+E57-G57</f>
        <v>33955.919999999998</v>
      </c>
      <c r="K57" s="12">
        <f>+K56+D57-H57</f>
        <v>84908.1</v>
      </c>
    </row>
    <row r="58" spans="2:11" x14ac:dyDescent="0.25">
      <c r="B58" s="18">
        <v>43263</v>
      </c>
      <c r="C58" s="9" t="s">
        <v>660</v>
      </c>
      <c r="D58" s="101"/>
      <c r="E58" s="11"/>
      <c r="F58" s="11"/>
      <c r="G58" s="11">
        <v>1400</v>
      </c>
      <c r="H58" s="59"/>
      <c r="I58" s="15"/>
      <c r="J58" s="12">
        <f t="shared" ref="J58:J105" si="9">+J57+E58-G58</f>
        <v>32555.919999999998</v>
      </c>
      <c r="K58" s="12">
        <f t="shared" ref="K58:K105" si="10">+K57+D58-H58</f>
        <v>84908.1</v>
      </c>
    </row>
    <row r="59" spans="2:11" x14ac:dyDescent="0.25">
      <c r="B59" s="18">
        <v>43264</v>
      </c>
      <c r="C59" s="13" t="s">
        <v>497</v>
      </c>
      <c r="D59" s="11"/>
      <c r="E59" s="11"/>
      <c r="F59" s="11"/>
      <c r="G59" s="11"/>
      <c r="H59" s="11">
        <v>94.18</v>
      </c>
      <c r="I59" s="15"/>
      <c r="J59" s="12">
        <f t="shared" si="9"/>
        <v>32555.919999999998</v>
      </c>
      <c r="K59" s="12">
        <f t="shared" si="10"/>
        <v>84813.920000000013</v>
      </c>
    </row>
    <row r="60" spans="2:11" x14ac:dyDescent="0.25">
      <c r="B60" s="18">
        <v>43264</v>
      </c>
      <c r="C60" s="13" t="s">
        <v>471</v>
      </c>
      <c r="D60" s="11"/>
      <c r="E60" s="11"/>
      <c r="F60" s="11"/>
      <c r="G60" s="11"/>
      <c r="H60" s="11">
        <v>360</v>
      </c>
      <c r="I60" s="15"/>
      <c r="J60" s="12">
        <f t="shared" si="9"/>
        <v>32555.919999999998</v>
      </c>
      <c r="K60" s="12">
        <f t="shared" si="10"/>
        <v>84453.920000000013</v>
      </c>
    </row>
    <row r="61" spans="2:11" x14ac:dyDescent="0.25">
      <c r="B61" s="18">
        <v>43264</v>
      </c>
      <c r="C61" s="13" t="s">
        <v>498</v>
      </c>
      <c r="D61" s="11"/>
      <c r="E61" s="11"/>
      <c r="F61" s="11"/>
      <c r="G61" s="11"/>
      <c r="H61" s="11">
        <v>200</v>
      </c>
      <c r="I61" s="15"/>
      <c r="J61" s="12">
        <f t="shared" si="9"/>
        <v>32555.919999999998</v>
      </c>
      <c r="K61" s="12">
        <f t="shared" si="10"/>
        <v>84253.920000000013</v>
      </c>
    </row>
    <row r="62" spans="2:11" x14ac:dyDescent="0.25">
      <c r="B62" s="18">
        <v>43264</v>
      </c>
      <c r="C62" s="9" t="s">
        <v>499</v>
      </c>
      <c r="D62" s="11"/>
      <c r="E62" s="11"/>
      <c r="F62" s="11"/>
      <c r="G62" s="11"/>
      <c r="H62" s="11">
        <v>90</v>
      </c>
      <c r="I62" s="15"/>
      <c r="J62" s="12">
        <f t="shared" si="9"/>
        <v>32555.919999999998</v>
      </c>
      <c r="K62" s="12">
        <f t="shared" si="10"/>
        <v>84163.920000000013</v>
      </c>
    </row>
    <row r="63" spans="2:11" x14ac:dyDescent="0.25">
      <c r="B63" s="18">
        <v>43264</v>
      </c>
      <c r="C63" s="9" t="s">
        <v>500</v>
      </c>
      <c r="D63" s="11"/>
      <c r="E63" s="11"/>
      <c r="F63" s="11"/>
      <c r="G63" s="11"/>
      <c r="H63" s="11">
        <v>778</v>
      </c>
      <c r="I63" s="15"/>
      <c r="J63" s="12">
        <f t="shared" si="9"/>
        <v>32555.919999999998</v>
      </c>
      <c r="K63" s="12">
        <f t="shared" si="10"/>
        <v>83385.920000000013</v>
      </c>
    </row>
    <row r="64" spans="2:11" x14ac:dyDescent="0.25">
      <c r="B64" s="18">
        <v>43264</v>
      </c>
      <c r="C64" s="13" t="s">
        <v>501</v>
      </c>
      <c r="D64" s="11"/>
      <c r="E64" s="11"/>
      <c r="F64" s="11"/>
      <c r="G64" s="11"/>
      <c r="H64" s="11">
        <v>250</v>
      </c>
      <c r="I64" s="15"/>
      <c r="J64" s="12">
        <f t="shared" si="9"/>
        <v>32555.919999999998</v>
      </c>
      <c r="K64" s="12">
        <f t="shared" si="10"/>
        <v>83135.920000000013</v>
      </c>
    </row>
    <row r="65" spans="2:11" x14ac:dyDescent="0.25">
      <c r="B65" s="18">
        <v>43265</v>
      </c>
      <c r="C65" s="9" t="s">
        <v>502</v>
      </c>
      <c r="D65" s="11"/>
      <c r="E65" s="11"/>
      <c r="F65" s="11"/>
      <c r="G65" s="11"/>
      <c r="H65" s="11">
        <v>190</v>
      </c>
      <c r="I65" s="15"/>
      <c r="J65" s="12">
        <f t="shared" si="9"/>
        <v>32555.919999999998</v>
      </c>
      <c r="K65" s="12">
        <f t="shared" si="10"/>
        <v>82945.920000000013</v>
      </c>
    </row>
    <row r="66" spans="2:11" x14ac:dyDescent="0.25">
      <c r="B66" s="18">
        <v>43265</v>
      </c>
      <c r="C66" s="9" t="s">
        <v>503</v>
      </c>
      <c r="D66" s="11"/>
      <c r="E66" s="11"/>
      <c r="F66" s="11"/>
      <c r="G66" s="11"/>
      <c r="H66" s="11">
        <v>5</v>
      </c>
      <c r="I66" s="15"/>
      <c r="J66" s="12">
        <f t="shared" si="9"/>
        <v>32555.919999999998</v>
      </c>
      <c r="K66" s="12">
        <f t="shared" si="10"/>
        <v>82940.920000000013</v>
      </c>
    </row>
    <row r="67" spans="2:11" x14ac:dyDescent="0.25">
      <c r="B67" s="18">
        <v>43265</v>
      </c>
      <c r="C67" s="34" t="s">
        <v>504</v>
      </c>
      <c r="D67" s="11"/>
      <c r="E67" s="11"/>
      <c r="F67" s="11"/>
      <c r="G67" s="11"/>
      <c r="H67" s="11">
        <v>150</v>
      </c>
      <c r="I67" s="15"/>
      <c r="J67" s="12">
        <f t="shared" si="9"/>
        <v>32555.919999999998</v>
      </c>
      <c r="K67" s="12">
        <f t="shared" si="10"/>
        <v>82790.920000000013</v>
      </c>
    </row>
    <row r="68" spans="2:11" x14ac:dyDescent="0.25">
      <c r="B68" s="18">
        <v>43266</v>
      </c>
      <c r="C68" s="9" t="s">
        <v>505</v>
      </c>
      <c r="D68" s="11"/>
      <c r="E68" s="11"/>
      <c r="F68" s="11"/>
      <c r="G68" s="11"/>
      <c r="H68" s="11">
        <v>300</v>
      </c>
      <c r="I68" s="15"/>
      <c r="J68" s="12">
        <f t="shared" si="9"/>
        <v>32555.919999999998</v>
      </c>
      <c r="K68" s="12">
        <f t="shared" si="10"/>
        <v>82490.920000000013</v>
      </c>
    </row>
    <row r="69" spans="2:11" x14ac:dyDescent="0.25">
      <c r="B69" s="18">
        <v>43266</v>
      </c>
      <c r="C69" s="9" t="s">
        <v>506</v>
      </c>
      <c r="D69" s="11"/>
      <c r="E69" s="11"/>
      <c r="F69" s="11"/>
      <c r="G69" s="11"/>
      <c r="H69" s="11">
        <v>550</v>
      </c>
      <c r="I69" s="15"/>
      <c r="J69" s="12">
        <f t="shared" si="9"/>
        <v>32555.919999999998</v>
      </c>
      <c r="K69" s="12">
        <f t="shared" si="10"/>
        <v>81940.920000000013</v>
      </c>
    </row>
    <row r="70" spans="2:11" x14ac:dyDescent="0.25">
      <c r="B70" s="18">
        <v>43266</v>
      </c>
      <c r="C70" s="9" t="s">
        <v>507</v>
      </c>
      <c r="D70" s="11"/>
      <c r="E70" s="11"/>
      <c r="F70" s="11"/>
      <c r="G70" s="11"/>
      <c r="H70" s="11">
        <v>2000</v>
      </c>
      <c r="I70" s="15"/>
      <c r="J70" s="12">
        <f t="shared" si="9"/>
        <v>32555.919999999998</v>
      </c>
      <c r="K70" s="12">
        <f t="shared" si="10"/>
        <v>79940.920000000013</v>
      </c>
    </row>
    <row r="71" spans="2:11" x14ac:dyDescent="0.25">
      <c r="B71" s="18">
        <v>43266</v>
      </c>
      <c r="C71" s="9" t="s">
        <v>508</v>
      </c>
      <c r="D71" s="11"/>
      <c r="E71" s="11"/>
      <c r="F71" s="11"/>
      <c r="G71" s="11"/>
      <c r="H71" s="11">
        <v>4000</v>
      </c>
      <c r="I71" s="15"/>
      <c r="J71" s="12">
        <f t="shared" si="9"/>
        <v>32555.919999999998</v>
      </c>
      <c r="K71" s="12">
        <f t="shared" si="10"/>
        <v>75940.920000000013</v>
      </c>
    </row>
    <row r="72" spans="2:11" x14ac:dyDescent="0.25">
      <c r="B72" s="18">
        <v>43266</v>
      </c>
      <c r="C72" s="9" t="s">
        <v>509</v>
      </c>
      <c r="D72" s="11"/>
      <c r="E72" s="11"/>
      <c r="F72" s="11"/>
      <c r="G72" s="11"/>
      <c r="H72" s="11">
        <v>1250</v>
      </c>
      <c r="I72" s="15"/>
      <c r="J72" s="12">
        <f t="shared" si="9"/>
        <v>32555.919999999998</v>
      </c>
      <c r="K72" s="12">
        <f t="shared" si="10"/>
        <v>74690.920000000013</v>
      </c>
    </row>
    <row r="73" spans="2:11" x14ac:dyDescent="0.25">
      <c r="B73" s="18">
        <v>43266</v>
      </c>
      <c r="C73" s="9" t="s">
        <v>361</v>
      </c>
      <c r="D73" s="11"/>
      <c r="E73" s="11"/>
      <c r="F73" s="11"/>
      <c r="G73" s="11"/>
      <c r="H73" s="11">
        <v>40000</v>
      </c>
      <c r="I73" s="15"/>
      <c r="J73" s="12">
        <f t="shared" si="9"/>
        <v>32555.919999999998</v>
      </c>
      <c r="K73" s="12">
        <f t="shared" si="10"/>
        <v>34690.920000000013</v>
      </c>
    </row>
    <row r="74" spans="2:11" x14ac:dyDescent="0.25">
      <c r="B74" s="18">
        <v>43267</v>
      </c>
      <c r="C74" s="34" t="s">
        <v>510</v>
      </c>
      <c r="D74" s="11"/>
      <c r="E74" s="11"/>
      <c r="F74" s="11"/>
      <c r="G74" s="11"/>
      <c r="H74" s="11">
        <v>77.5</v>
      </c>
      <c r="I74" s="15"/>
      <c r="J74" s="12">
        <f t="shared" si="9"/>
        <v>32555.919999999998</v>
      </c>
      <c r="K74" s="12">
        <f t="shared" si="10"/>
        <v>34613.420000000013</v>
      </c>
    </row>
    <row r="75" spans="2:11" x14ac:dyDescent="0.25">
      <c r="B75" s="18">
        <v>43267</v>
      </c>
      <c r="C75" s="9" t="s">
        <v>511</v>
      </c>
      <c r="D75" s="11"/>
      <c r="E75" s="11"/>
      <c r="F75" s="11"/>
      <c r="G75" s="11"/>
      <c r="H75" s="11">
        <v>113.5</v>
      </c>
      <c r="I75" s="15"/>
      <c r="J75" s="12">
        <f t="shared" si="9"/>
        <v>32555.919999999998</v>
      </c>
      <c r="K75" s="12">
        <f t="shared" si="10"/>
        <v>34499.920000000013</v>
      </c>
    </row>
    <row r="76" spans="2:11" x14ac:dyDescent="0.25">
      <c r="B76" s="18">
        <v>43267</v>
      </c>
      <c r="C76" s="9" t="s">
        <v>512</v>
      </c>
      <c r="D76" s="11"/>
      <c r="E76" s="11"/>
      <c r="F76" s="11"/>
      <c r="G76" s="11"/>
      <c r="H76" s="11">
        <v>544.92999999999995</v>
      </c>
      <c r="I76" s="15"/>
      <c r="J76" s="12">
        <f t="shared" si="9"/>
        <v>32555.919999999998</v>
      </c>
      <c r="K76" s="12">
        <f t="shared" si="10"/>
        <v>33954.990000000013</v>
      </c>
    </row>
    <row r="77" spans="2:11" x14ac:dyDescent="0.25">
      <c r="B77" s="18">
        <v>43268</v>
      </c>
      <c r="C77" s="9" t="s">
        <v>402</v>
      </c>
      <c r="D77" s="11"/>
      <c r="E77" s="11"/>
      <c r="F77" s="11"/>
      <c r="G77" s="11"/>
      <c r="H77" s="11">
        <v>120</v>
      </c>
      <c r="I77" s="15"/>
      <c r="J77" s="12">
        <f t="shared" si="9"/>
        <v>32555.919999999998</v>
      </c>
      <c r="K77" s="12">
        <f t="shared" si="10"/>
        <v>33834.990000000013</v>
      </c>
    </row>
    <row r="78" spans="2:11" x14ac:dyDescent="0.25">
      <c r="B78" s="18">
        <v>43268</v>
      </c>
      <c r="C78" s="117" t="s">
        <v>513</v>
      </c>
      <c r="D78" s="11"/>
      <c r="E78" s="11"/>
      <c r="F78" s="11"/>
      <c r="G78" s="11"/>
      <c r="H78" s="11">
        <v>150</v>
      </c>
      <c r="I78" s="15"/>
      <c r="J78" s="12">
        <f t="shared" si="9"/>
        <v>32555.919999999998</v>
      </c>
      <c r="K78" s="12">
        <f t="shared" si="10"/>
        <v>33684.990000000013</v>
      </c>
    </row>
    <row r="79" spans="2:11" x14ac:dyDescent="0.25">
      <c r="B79" s="18">
        <v>43268</v>
      </c>
      <c r="C79" s="9" t="s">
        <v>484</v>
      </c>
      <c r="D79" s="11"/>
      <c r="E79" s="11"/>
      <c r="F79" s="11"/>
      <c r="G79" s="11"/>
      <c r="H79" s="11">
        <v>134.5</v>
      </c>
      <c r="I79" s="15"/>
      <c r="J79" s="12">
        <f t="shared" si="9"/>
        <v>32555.919999999998</v>
      </c>
      <c r="K79" s="12">
        <f t="shared" si="10"/>
        <v>33550.490000000013</v>
      </c>
    </row>
    <row r="80" spans="2:11" x14ac:dyDescent="0.25">
      <c r="B80" s="18">
        <v>43268</v>
      </c>
      <c r="C80" s="13" t="s">
        <v>514</v>
      </c>
      <c r="D80" s="41">
        <v>18300</v>
      </c>
      <c r="E80" s="41"/>
      <c r="F80" s="41"/>
      <c r="G80" s="41"/>
      <c r="H80" s="11"/>
      <c r="I80" s="15"/>
      <c r="J80" s="12">
        <f t="shared" si="9"/>
        <v>32555.919999999998</v>
      </c>
      <c r="K80" s="12">
        <f t="shared" si="10"/>
        <v>51850.490000000013</v>
      </c>
    </row>
    <row r="81" spans="2:11" x14ac:dyDescent="0.25">
      <c r="B81" s="18">
        <v>43269</v>
      </c>
      <c r="C81" s="13" t="s">
        <v>496</v>
      </c>
      <c r="D81" s="41"/>
      <c r="E81" s="41"/>
      <c r="F81" s="41"/>
      <c r="G81" s="16"/>
      <c r="H81" s="11">
        <v>300</v>
      </c>
      <c r="I81" s="15"/>
      <c r="J81" s="12">
        <f t="shared" si="9"/>
        <v>32555.919999999998</v>
      </c>
      <c r="K81" s="12">
        <f t="shared" si="10"/>
        <v>51550.490000000013</v>
      </c>
    </row>
    <row r="82" spans="2:11" x14ac:dyDescent="0.25">
      <c r="B82" s="18">
        <v>43269</v>
      </c>
      <c r="C82" s="13" t="s">
        <v>440</v>
      </c>
      <c r="D82" s="41"/>
      <c r="E82" s="41"/>
      <c r="F82" s="41"/>
      <c r="G82" s="41"/>
      <c r="H82" s="11">
        <v>210</v>
      </c>
      <c r="I82" s="15"/>
      <c r="J82" s="12">
        <f t="shared" si="9"/>
        <v>32555.919999999998</v>
      </c>
      <c r="K82" s="12">
        <f t="shared" si="10"/>
        <v>51340.490000000013</v>
      </c>
    </row>
    <row r="83" spans="2:11" x14ac:dyDescent="0.25">
      <c r="B83" s="18">
        <v>43269</v>
      </c>
      <c r="C83" s="9" t="s">
        <v>515</v>
      </c>
      <c r="D83" s="11"/>
      <c r="E83" s="11"/>
      <c r="F83" s="11"/>
      <c r="G83" s="11"/>
      <c r="H83" s="11">
        <v>400</v>
      </c>
      <c r="I83" s="15"/>
      <c r="J83" s="12">
        <f t="shared" si="9"/>
        <v>32555.919999999998</v>
      </c>
      <c r="K83" s="12">
        <f t="shared" si="10"/>
        <v>50940.490000000013</v>
      </c>
    </row>
    <row r="84" spans="2:11" x14ac:dyDescent="0.25">
      <c r="B84" s="18">
        <v>43270</v>
      </c>
      <c r="C84" s="9" t="s">
        <v>471</v>
      </c>
      <c r="D84" s="11"/>
      <c r="E84" s="11"/>
      <c r="F84" s="11"/>
      <c r="G84" s="11"/>
      <c r="H84" s="11">
        <v>650</v>
      </c>
      <c r="I84" s="15"/>
      <c r="J84" s="12">
        <f t="shared" si="9"/>
        <v>32555.919999999998</v>
      </c>
      <c r="K84" s="12">
        <f t="shared" si="10"/>
        <v>50290.490000000013</v>
      </c>
    </row>
    <row r="85" spans="2:11" x14ac:dyDescent="0.25">
      <c r="B85" s="18">
        <v>43270</v>
      </c>
      <c r="C85" s="9" t="s">
        <v>516</v>
      </c>
      <c r="D85" s="11"/>
      <c r="E85" s="11"/>
      <c r="F85" s="11"/>
      <c r="G85" s="11"/>
      <c r="H85" s="11">
        <v>250</v>
      </c>
      <c r="I85" s="15"/>
      <c r="J85" s="12">
        <f t="shared" si="9"/>
        <v>32555.919999999998</v>
      </c>
      <c r="K85" s="12">
        <f t="shared" si="10"/>
        <v>50040.490000000013</v>
      </c>
    </row>
    <row r="86" spans="2:11" x14ac:dyDescent="0.25">
      <c r="B86" s="18">
        <v>43270</v>
      </c>
      <c r="C86" s="9" t="s">
        <v>517</v>
      </c>
      <c r="D86" s="11"/>
      <c r="E86" s="11"/>
      <c r="F86" s="11"/>
      <c r="G86" s="11"/>
      <c r="H86" s="11">
        <v>1100</v>
      </c>
      <c r="I86" s="15"/>
      <c r="J86" s="12">
        <f t="shared" si="9"/>
        <v>32555.919999999998</v>
      </c>
      <c r="K86" s="12">
        <f t="shared" si="10"/>
        <v>48940.490000000013</v>
      </c>
    </row>
    <row r="87" spans="2:11" x14ac:dyDescent="0.25">
      <c r="B87" s="18">
        <v>43270</v>
      </c>
      <c r="C87" s="9" t="s">
        <v>518</v>
      </c>
      <c r="D87" s="11"/>
      <c r="E87" s="11"/>
      <c r="F87" s="11"/>
      <c r="G87" s="11"/>
      <c r="H87" s="11">
        <v>290</v>
      </c>
      <c r="I87" s="15"/>
      <c r="J87" s="12">
        <f t="shared" si="9"/>
        <v>32555.919999999998</v>
      </c>
      <c r="K87" s="12">
        <f t="shared" si="10"/>
        <v>48650.490000000013</v>
      </c>
    </row>
    <row r="88" spans="2:11" x14ac:dyDescent="0.25">
      <c r="B88" s="18">
        <v>43270</v>
      </c>
      <c r="C88" s="9" t="s">
        <v>519</v>
      </c>
      <c r="D88" s="11"/>
      <c r="E88" s="11"/>
      <c r="F88" s="11"/>
      <c r="G88" s="11"/>
      <c r="H88" s="11">
        <v>100</v>
      </c>
      <c r="I88" s="15"/>
      <c r="J88" s="12">
        <f t="shared" si="9"/>
        <v>32555.919999999998</v>
      </c>
      <c r="K88" s="12">
        <f t="shared" si="10"/>
        <v>48550.490000000013</v>
      </c>
    </row>
    <row r="89" spans="2:11" x14ac:dyDescent="0.25">
      <c r="B89" s="18">
        <v>43270</v>
      </c>
      <c r="C89" s="13" t="s">
        <v>520</v>
      </c>
      <c r="D89" s="11"/>
      <c r="E89" s="11">
        <v>12760</v>
      </c>
      <c r="F89" s="11"/>
      <c r="G89" s="11"/>
      <c r="H89" s="11"/>
      <c r="I89" s="15"/>
      <c r="J89" s="12">
        <f t="shared" si="9"/>
        <v>45315.92</v>
      </c>
      <c r="K89" s="12">
        <f t="shared" si="10"/>
        <v>48550.490000000013</v>
      </c>
    </row>
    <row r="90" spans="2:11" x14ac:dyDescent="0.25">
      <c r="B90" s="18">
        <v>43271</v>
      </c>
      <c r="C90" s="9" t="s">
        <v>521</v>
      </c>
      <c r="D90" s="11"/>
      <c r="E90" s="11"/>
      <c r="F90" s="11"/>
      <c r="G90" s="11"/>
      <c r="H90" s="11">
        <v>500</v>
      </c>
      <c r="I90" s="15"/>
      <c r="J90" s="12">
        <f t="shared" si="9"/>
        <v>45315.92</v>
      </c>
      <c r="K90" s="12">
        <f t="shared" si="10"/>
        <v>48050.490000000013</v>
      </c>
    </row>
    <row r="91" spans="2:11" x14ac:dyDescent="0.25">
      <c r="B91" s="18">
        <v>43271</v>
      </c>
      <c r="C91" s="9" t="s">
        <v>522</v>
      </c>
      <c r="D91" s="11"/>
      <c r="E91" s="11"/>
      <c r="F91" s="11"/>
      <c r="G91" s="11"/>
      <c r="H91" s="11">
        <v>172</v>
      </c>
      <c r="I91" s="15"/>
      <c r="J91" s="12">
        <f t="shared" si="9"/>
        <v>45315.92</v>
      </c>
      <c r="K91" s="12">
        <f t="shared" si="10"/>
        <v>47878.490000000013</v>
      </c>
    </row>
    <row r="92" spans="2:11" x14ac:dyDescent="0.25">
      <c r="B92" s="18">
        <v>43271</v>
      </c>
      <c r="C92" s="9" t="s">
        <v>496</v>
      </c>
      <c r="D92" s="11"/>
      <c r="E92" s="11"/>
      <c r="F92" s="11"/>
      <c r="G92" s="11"/>
      <c r="H92" s="11">
        <v>300</v>
      </c>
      <c r="I92" s="15"/>
      <c r="J92" s="12">
        <f t="shared" si="9"/>
        <v>45315.92</v>
      </c>
      <c r="K92" s="12">
        <f t="shared" si="10"/>
        <v>47578.490000000013</v>
      </c>
    </row>
    <row r="93" spans="2:11" x14ac:dyDescent="0.25">
      <c r="B93" s="18">
        <v>43272</v>
      </c>
      <c r="C93" s="9" t="s">
        <v>523</v>
      </c>
      <c r="D93" s="11"/>
      <c r="E93" s="11"/>
      <c r="F93" s="11"/>
      <c r="G93" s="11"/>
      <c r="H93" s="11">
        <v>79.5</v>
      </c>
      <c r="I93" s="15"/>
      <c r="J93" s="12">
        <f t="shared" si="9"/>
        <v>45315.92</v>
      </c>
      <c r="K93" s="12">
        <f t="shared" si="10"/>
        <v>47498.990000000013</v>
      </c>
    </row>
    <row r="94" spans="2:11" x14ac:dyDescent="0.25">
      <c r="B94" s="18">
        <v>43272</v>
      </c>
      <c r="C94" s="9" t="s">
        <v>524</v>
      </c>
      <c r="D94" s="11"/>
      <c r="E94" s="11"/>
      <c r="F94" s="11"/>
      <c r="G94" s="11"/>
      <c r="H94" s="11">
        <v>200</v>
      </c>
      <c r="I94" s="15"/>
      <c r="J94" s="12">
        <f t="shared" si="9"/>
        <v>45315.92</v>
      </c>
      <c r="K94" s="12">
        <f t="shared" si="10"/>
        <v>47298.990000000013</v>
      </c>
    </row>
    <row r="95" spans="2:11" x14ac:dyDescent="0.25">
      <c r="B95" s="18">
        <v>43273</v>
      </c>
      <c r="C95" s="9" t="s">
        <v>525</v>
      </c>
      <c r="D95" s="11"/>
      <c r="E95" s="11"/>
      <c r="F95" s="11"/>
      <c r="G95" s="11"/>
      <c r="H95" s="11">
        <v>270</v>
      </c>
      <c r="I95" s="15"/>
      <c r="J95" s="12">
        <f t="shared" si="9"/>
        <v>45315.92</v>
      </c>
      <c r="K95" s="12">
        <f t="shared" si="10"/>
        <v>47028.990000000013</v>
      </c>
    </row>
    <row r="96" spans="2:11" x14ac:dyDescent="0.25">
      <c r="B96" s="18">
        <v>43273</v>
      </c>
      <c r="C96" s="9" t="s">
        <v>490</v>
      </c>
      <c r="D96" s="11"/>
      <c r="E96" s="11"/>
      <c r="F96" s="11"/>
      <c r="G96" s="11"/>
      <c r="H96" s="11">
        <v>35</v>
      </c>
      <c r="I96" s="15"/>
      <c r="J96" s="12">
        <f t="shared" si="9"/>
        <v>45315.92</v>
      </c>
      <c r="K96" s="12">
        <f t="shared" si="10"/>
        <v>46993.990000000013</v>
      </c>
    </row>
    <row r="97" spans="2:11" x14ac:dyDescent="0.25">
      <c r="B97" s="18">
        <v>43273</v>
      </c>
      <c r="C97" s="9" t="s">
        <v>526</v>
      </c>
      <c r="D97" s="11"/>
      <c r="E97" s="11"/>
      <c r="F97" s="11"/>
      <c r="G97" s="11"/>
      <c r="H97" s="11">
        <v>1250</v>
      </c>
      <c r="I97" s="15"/>
      <c r="J97" s="12">
        <f t="shared" si="9"/>
        <v>45315.92</v>
      </c>
      <c r="K97" s="12">
        <f t="shared" si="10"/>
        <v>45743.990000000013</v>
      </c>
    </row>
    <row r="98" spans="2:11" x14ac:dyDescent="0.25">
      <c r="B98" s="18">
        <v>43275</v>
      </c>
      <c r="C98" s="9" t="s">
        <v>490</v>
      </c>
      <c r="D98" s="11"/>
      <c r="E98" s="11"/>
      <c r="F98" s="11"/>
      <c r="G98" s="11"/>
      <c r="H98" s="11">
        <v>43</v>
      </c>
      <c r="I98" s="15"/>
      <c r="J98" s="12">
        <f t="shared" si="9"/>
        <v>45315.92</v>
      </c>
      <c r="K98" s="12">
        <f t="shared" si="10"/>
        <v>45700.990000000013</v>
      </c>
    </row>
    <row r="99" spans="2:11" x14ac:dyDescent="0.25">
      <c r="B99" s="18">
        <v>43275</v>
      </c>
      <c r="C99" s="9" t="s">
        <v>527</v>
      </c>
      <c r="D99" s="11"/>
      <c r="E99" s="11"/>
      <c r="F99" s="11"/>
      <c r="G99" s="11"/>
      <c r="H99" s="11">
        <v>200</v>
      </c>
      <c r="I99" s="15"/>
      <c r="J99" s="12">
        <f t="shared" si="9"/>
        <v>45315.92</v>
      </c>
      <c r="K99" s="12">
        <f t="shared" si="10"/>
        <v>45500.990000000013</v>
      </c>
    </row>
    <row r="100" spans="2:11" x14ac:dyDescent="0.25">
      <c r="B100" s="18">
        <v>43275</v>
      </c>
      <c r="C100" s="9" t="s">
        <v>528</v>
      </c>
      <c r="D100" s="11"/>
      <c r="E100" s="11"/>
      <c r="F100" s="11"/>
      <c r="G100" s="11"/>
      <c r="H100" s="11">
        <v>29</v>
      </c>
      <c r="I100" s="15"/>
      <c r="J100" s="12">
        <f t="shared" si="9"/>
        <v>45315.92</v>
      </c>
      <c r="K100" s="12">
        <f t="shared" si="10"/>
        <v>45471.990000000013</v>
      </c>
    </row>
    <row r="101" spans="2:11" x14ac:dyDescent="0.25">
      <c r="B101" s="18">
        <v>43275</v>
      </c>
      <c r="C101" s="9" t="s">
        <v>528</v>
      </c>
      <c r="D101" s="11"/>
      <c r="E101" s="11"/>
      <c r="F101" s="11"/>
      <c r="G101" s="11"/>
      <c r="H101" s="11">
        <v>59</v>
      </c>
      <c r="I101" s="15"/>
      <c r="J101" s="12">
        <f t="shared" si="9"/>
        <v>45315.92</v>
      </c>
      <c r="K101" s="12">
        <f t="shared" si="10"/>
        <v>45412.990000000013</v>
      </c>
    </row>
    <row r="102" spans="2:11" x14ac:dyDescent="0.25">
      <c r="B102" s="18">
        <v>43275</v>
      </c>
      <c r="C102" s="9" t="s">
        <v>529</v>
      </c>
      <c r="D102" s="11"/>
      <c r="E102" s="11"/>
      <c r="F102" s="11"/>
      <c r="G102" s="11"/>
      <c r="H102" s="11">
        <v>120</v>
      </c>
      <c r="I102" s="15"/>
      <c r="J102" s="12">
        <f t="shared" si="9"/>
        <v>45315.92</v>
      </c>
      <c r="K102" s="12">
        <f t="shared" si="10"/>
        <v>45292.990000000013</v>
      </c>
    </row>
    <row r="103" spans="2:11" x14ac:dyDescent="0.25">
      <c r="B103" s="18">
        <v>43275</v>
      </c>
      <c r="C103" s="9" t="s">
        <v>530</v>
      </c>
      <c r="D103" s="11"/>
      <c r="E103" s="11"/>
      <c r="F103" s="11"/>
      <c r="G103" s="11"/>
      <c r="H103" s="11">
        <v>150</v>
      </c>
      <c r="I103" s="15"/>
      <c r="J103" s="12">
        <f t="shared" si="9"/>
        <v>45315.92</v>
      </c>
      <c r="K103" s="12">
        <f t="shared" si="10"/>
        <v>45142.990000000013</v>
      </c>
    </row>
    <row r="104" spans="2:11" x14ac:dyDescent="0.25">
      <c r="B104" s="18">
        <v>43275</v>
      </c>
      <c r="C104" s="13" t="s">
        <v>531</v>
      </c>
      <c r="D104" s="41">
        <v>19250</v>
      </c>
      <c r="E104" s="41"/>
      <c r="F104" s="11"/>
      <c r="G104" s="11"/>
      <c r="H104" s="11"/>
      <c r="I104" s="15"/>
      <c r="J104" s="12">
        <f>+J103+E104-G104</f>
        <v>45315.92</v>
      </c>
      <c r="K104" s="12">
        <f t="shared" si="10"/>
        <v>64392.990000000013</v>
      </c>
    </row>
    <row r="105" spans="2:11" ht="15.75" thickBot="1" x14ac:dyDescent="0.3">
      <c r="B105" s="18">
        <v>43276</v>
      </c>
      <c r="C105" s="13" t="s">
        <v>532</v>
      </c>
      <c r="D105" s="41"/>
      <c r="E105" s="41"/>
      <c r="F105" s="11"/>
      <c r="G105" s="11"/>
      <c r="H105" s="11">
        <v>300</v>
      </c>
      <c r="I105" s="15"/>
      <c r="J105" s="12">
        <f t="shared" si="9"/>
        <v>45315.92</v>
      </c>
      <c r="K105" s="12">
        <f t="shared" si="10"/>
        <v>64092.990000000013</v>
      </c>
    </row>
    <row r="106" spans="2:11" ht="15.75" thickBot="1" x14ac:dyDescent="0.3">
      <c r="B106" s="5"/>
      <c r="C106" s="7" t="s">
        <v>0</v>
      </c>
      <c r="D106" s="62">
        <f>SUM(D56:D105)</f>
        <v>95975</v>
      </c>
      <c r="E106" s="61">
        <f>SUM(E56:E105)</f>
        <v>12760</v>
      </c>
      <c r="F106" s="71">
        <f>SUM(D106:E106)</f>
        <v>108735</v>
      </c>
      <c r="G106" s="80">
        <f>SUM(G56:G105)</f>
        <v>3160</v>
      </c>
      <c r="H106" s="62">
        <f>SUM(H56:H105)</f>
        <v>74815.909999999989</v>
      </c>
      <c r="I106" s="71">
        <f>SUM(G106:H106)</f>
        <v>77975.909999999989</v>
      </c>
      <c r="J106" s="20"/>
      <c r="K106" s="20"/>
    </row>
    <row r="107" spans="2:11" x14ac:dyDescent="0.25">
      <c r="B107" s="68" t="s">
        <v>1</v>
      </c>
      <c r="C107" s="68" t="s">
        <v>2</v>
      </c>
      <c r="D107" s="68" t="s">
        <v>3</v>
      </c>
      <c r="E107" s="68" t="s">
        <v>3</v>
      </c>
      <c r="F107" s="68" t="s">
        <v>22</v>
      </c>
      <c r="G107" s="68" t="s">
        <v>23</v>
      </c>
      <c r="H107" s="48" t="s">
        <v>23</v>
      </c>
      <c r="I107" s="48" t="s">
        <v>22</v>
      </c>
      <c r="J107" s="68" t="s">
        <v>8</v>
      </c>
      <c r="K107" s="48" t="s">
        <v>7</v>
      </c>
    </row>
    <row r="108" spans="2:11" ht="15.75" thickBot="1" x14ac:dyDescent="0.3">
      <c r="B108" s="69"/>
      <c r="C108" s="96"/>
      <c r="D108" s="69" t="s">
        <v>5</v>
      </c>
      <c r="E108" s="69" t="s">
        <v>24</v>
      </c>
      <c r="F108" s="69" t="s">
        <v>3</v>
      </c>
      <c r="G108" s="69" t="s">
        <v>24</v>
      </c>
      <c r="H108" s="70" t="s">
        <v>5</v>
      </c>
      <c r="I108" s="70" t="s">
        <v>4</v>
      </c>
      <c r="J108" s="69"/>
      <c r="K108" s="70"/>
    </row>
    <row r="109" spans="2:11" ht="15.75" thickBot="1" x14ac:dyDescent="0.3">
      <c r="B109" s="5"/>
      <c r="C109" s="7" t="s">
        <v>0</v>
      </c>
      <c r="D109" s="62">
        <v>95975</v>
      </c>
      <c r="E109" s="61">
        <v>12760</v>
      </c>
      <c r="F109" s="71">
        <f>SUM(D109:E109)</f>
        <v>108735</v>
      </c>
      <c r="G109" s="80">
        <v>3160</v>
      </c>
      <c r="H109" s="62">
        <v>74815.91</v>
      </c>
      <c r="I109" s="71">
        <f>SUM(G109:H109)</f>
        <v>77975.91</v>
      </c>
      <c r="J109" s="20">
        <v>45315.92</v>
      </c>
      <c r="K109" s="20">
        <v>64092.99</v>
      </c>
    </row>
    <row r="110" spans="2:11" x14ac:dyDescent="0.25">
      <c r="B110" s="18">
        <v>43276</v>
      </c>
      <c r="C110" s="13" t="s">
        <v>523</v>
      </c>
      <c r="D110" s="41"/>
      <c r="E110" s="41"/>
      <c r="F110" s="11"/>
      <c r="G110" s="11"/>
      <c r="H110" s="11">
        <v>74.5</v>
      </c>
      <c r="I110" s="15"/>
      <c r="J110" s="12">
        <f t="shared" ref="J110" si="11">+J109+E110-G110</f>
        <v>45315.92</v>
      </c>
      <c r="K110" s="12">
        <f>+K109+D110-H110</f>
        <v>64018.49</v>
      </c>
    </row>
    <row r="111" spans="2:11" x14ac:dyDescent="0.25">
      <c r="B111" s="18">
        <v>43276</v>
      </c>
      <c r="C111" s="13" t="s">
        <v>491</v>
      </c>
      <c r="D111" s="41"/>
      <c r="E111" s="41"/>
      <c r="F111" s="11"/>
      <c r="G111" s="11"/>
      <c r="H111" s="11">
        <v>24</v>
      </c>
      <c r="I111" s="15"/>
      <c r="J111" s="12">
        <f t="shared" ref="J111:J118" si="12">+J110+E111-G111</f>
        <v>45315.92</v>
      </c>
      <c r="K111" s="12">
        <f t="shared" ref="K111:K118" si="13">+K110+D111-H111</f>
        <v>63994.49</v>
      </c>
    </row>
    <row r="112" spans="2:11" x14ac:dyDescent="0.25">
      <c r="B112" s="18">
        <v>43276</v>
      </c>
      <c r="C112" s="13" t="s">
        <v>533</v>
      </c>
      <c r="D112" s="41"/>
      <c r="E112" s="41"/>
      <c r="F112" s="11"/>
      <c r="G112" s="11"/>
      <c r="H112" s="11">
        <v>300</v>
      </c>
      <c r="I112" s="15"/>
      <c r="J112" s="12">
        <f t="shared" si="12"/>
        <v>45315.92</v>
      </c>
      <c r="K112" s="12">
        <f t="shared" si="13"/>
        <v>63694.49</v>
      </c>
    </row>
    <row r="113" spans="2:11" x14ac:dyDescent="0.25">
      <c r="B113" s="18">
        <v>43276</v>
      </c>
      <c r="C113" s="13" t="s">
        <v>440</v>
      </c>
      <c r="D113" s="41"/>
      <c r="E113" s="41"/>
      <c r="F113" s="11"/>
      <c r="G113" s="11"/>
      <c r="H113" s="11">
        <v>210</v>
      </c>
      <c r="I113" s="15"/>
      <c r="J113" s="12">
        <f t="shared" si="12"/>
        <v>45315.92</v>
      </c>
      <c r="K113" s="12">
        <f t="shared" si="13"/>
        <v>63484.49</v>
      </c>
    </row>
    <row r="114" spans="2:11" x14ac:dyDescent="0.25">
      <c r="B114" s="18">
        <v>43277</v>
      </c>
      <c r="C114" s="13" t="s">
        <v>525</v>
      </c>
      <c r="D114" s="41"/>
      <c r="E114" s="41"/>
      <c r="F114" s="11"/>
      <c r="G114" s="11"/>
      <c r="H114" s="11">
        <v>426</v>
      </c>
      <c r="I114" s="15"/>
      <c r="J114" s="12">
        <f t="shared" si="12"/>
        <v>45315.92</v>
      </c>
      <c r="K114" s="12">
        <f t="shared" si="13"/>
        <v>63058.49</v>
      </c>
    </row>
    <row r="115" spans="2:11" x14ac:dyDescent="0.25">
      <c r="B115" s="18">
        <v>43279</v>
      </c>
      <c r="C115" s="13" t="s">
        <v>534</v>
      </c>
      <c r="D115" s="41"/>
      <c r="E115" s="41"/>
      <c r="F115" s="11"/>
      <c r="G115" s="11"/>
      <c r="H115" s="11">
        <v>350</v>
      </c>
      <c r="I115" s="15"/>
      <c r="J115" s="12">
        <f t="shared" si="12"/>
        <v>45315.92</v>
      </c>
      <c r="K115" s="12">
        <f t="shared" si="13"/>
        <v>62708.49</v>
      </c>
    </row>
    <row r="116" spans="2:11" x14ac:dyDescent="0.25">
      <c r="B116" s="18">
        <v>43279</v>
      </c>
      <c r="C116" s="13" t="s">
        <v>523</v>
      </c>
      <c r="D116" s="41"/>
      <c r="E116" s="41"/>
      <c r="F116" s="11"/>
      <c r="G116" s="11"/>
      <c r="H116" s="11">
        <v>99.5</v>
      </c>
      <c r="I116" s="15"/>
      <c r="J116" s="12">
        <f t="shared" si="12"/>
        <v>45315.92</v>
      </c>
      <c r="K116" s="12">
        <f t="shared" si="13"/>
        <v>62608.99</v>
      </c>
    </row>
    <row r="117" spans="2:11" x14ac:dyDescent="0.25">
      <c r="B117" s="18">
        <v>43280</v>
      </c>
      <c r="C117" s="13" t="s">
        <v>478</v>
      </c>
      <c r="D117" s="41"/>
      <c r="E117" s="41"/>
      <c r="F117" s="11"/>
      <c r="G117" s="11"/>
      <c r="H117" s="11">
        <v>42</v>
      </c>
      <c r="I117" s="15"/>
      <c r="J117" s="12">
        <f t="shared" si="12"/>
        <v>45315.92</v>
      </c>
      <c r="K117" s="12">
        <f t="shared" si="13"/>
        <v>62566.99</v>
      </c>
    </row>
    <row r="118" spans="2:11" x14ac:dyDescent="0.25">
      <c r="B118" s="18">
        <v>43280</v>
      </c>
      <c r="C118" s="13" t="s">
        <v>535</v>
      </c>
      <c r="D118" s="41"/>
      <c r="E118" s="41"/>
      <c r="F118" s="11"/>
      <c r="G118" s="11"/>
      <c r="H118" s="11">
        <v>1250</v>
      </c>
      <c r="I118" s="15"/>
      <c r="J118" s="12">
        <f t="shared" si="12"/>
        <v>45315.92</v>
      </c>
      <c r="K118" s="12">
        <f t="shared" si="13"/>
        <v>61316.99</v>
      </c>
    </row>
    <row r="119" spans="2:11" x14ac:dyDescent="0.25">
      <c r="B119" s="18">
        <v>43280</v>
      </c>
      <c r="C119" s="13" t="s">
        <v>523</v>
      </c>
      <c r="D119" s="41"/>
      <c r="E119" s="41"/>
      <c r="F119" s="11"/>
      <c r="G119" s="11"/>
      <c r="H119" s="11">
        <v>37</v>
      </c>
      <c r="I119" s="15"/>
      <c r="J119" s="12">
        <f t="shared" ref="J119:J130" si="14">+J118+E119-G119</f>
        <v>45315.92</v>
      </c>
      <c r="K119" s="12">
        <f t="shared" ref="K119:K130" si="15">+K118+D119-H119</f>
        <v>61279.99</v>
      </c>
    </row>
    <row r="120" spans="2:11" x14ac:dyDescent="0.25">
      <c r="B120" s="18">
        <v>43281</v>
      </c>
      <c r="C120" s="9" t="s">
        <v>536</v>
      </c>
      <c r="D120" s="41"/>
      <c r="E120" s="41"/>
      <c r="F120" s="11"/>
      <c r="G120" s="11"/>
      <c r="H120" s="11">
        <v>350</v>
      </c>
      <c r="I120" s="15"/>
      <c r="J120" s="12">
        <f t="shared" si="14"/>
        <v>45315.92</v>
      </c>
      <c r="K120" s="12">
        <f t="shared" si="15"/>
        <v>60929.99</v>
      </c>
    </row>
    <row r="121" spans="2:11" x14ac:dyDescent="0.25">
      <c r="B121" s="18">
        <v>43281</v>
      </c>
      <c r="C121" s="9" t="s">
        <v>537</v>
      </c>
      <c r="D121" s="41"/>
      <c r="E121" s="41"/>
      <c r="F121" s="11"/>
      <c r="G121" s="11"/>
      <c r="H121" s="11">
        <v>550</v>
      </c>
      <c r="I121" s="15"/>
      <c r="J121" s="12">
        <f t="shared" si="14"/>
        <v>45315.92</v>
      </c>
      <c r="K121" s="12">
        <f t="shared" si="15"/>
        <v>60379.99</v>
      </c>
    </row>
    <row r="122" spans="2:11" x14ac:dyDescent="0.25">
      <c r="B122" s="18">
        <v>43281</v>
      </c>
      <c r="C122" s="13" t="s">
        <v>507</v>
      </c>
      <c r="D122" s="41"/>
      <c r="E122" s="41"/>
      <c r="F122" s="11"/>
      <c r="G122" s="11"/>
      <c r="H122" s="11">
        <v>2000</v>
      </c>
      <c r="I122" s="15"/>
      <c r="J122" s="12">
        <f t="shared" si="14"/>
        <v>45315.92</v>
      </c>
      <c r="K122" s="12">
        <f t="shared" si="15"/>
        <v>58379.99</v>
      </c>
    </row>
    <row r="123" spans="2:11" x14ac:dyDescent="0.25">
      <c r="B123" s="18">
        <v>43281</v>
      </c>
      <c r="C123" s="13" t="s">
        <v>538</v>
      </c>
      <c r="D123" s="41"/>
      <c r="E123" s="41"/>
      <c r="F123" s="11"/>
      <c r="G123" s="11"/>
      <c r="H123" s="11">
        <v>4000</v>
      </c>
      <c r="I123" s="15"/>
      <c r="J123" s="12">
        <f t="shared" si="14"/>
        <v>45315.92</v>
      </c>
      <c r="K123" s="12">
        <f t="shared" si="15"/>
        <v>54379.99</v>
      </c>
    </row>
    <row r="124" spans="2:11" x14ac:dyDescent="0.25">
      <c r="B124" s="18">
        <v>43281</v>
      </c>
      <c r="C124" s="13" t="s">
        <v>384</v>
      </c>
      <c r="D124" s="41"/>
      <c r="E124" s="41"/>
      <c r="F124" s="11"/>
      <c r="G124" s="11"/>
      <c r="H124" s="11">
        <v>20000</v>
      </c>
      <c r="I124" s="15"/>
      <c r="J124" s="12">
        <f t="shared" si="14"/>
        <v>45315.92</v>
      </c>
      <c r="K124" s="12">
        <f t="shared" si="15"/>
        <v>34379.99</v>
      </c>
    </row>
    <row r="125" spans="2:11" x14ac:dyDescent="0.25">
      <c r="B125" s="18">
        <v>43281</v>
      </c>
      <c r="C125" s="13" t="s">
        <v>384</v>
      </c>
      <c r="D125" s="41"/>
      <c r="E125" s="41"/>
      <c r="F125" s="11"/>
      <c r="G125" s="11">
        <v>20000</v>
      </c>
      <c r="H125" s="11"/>
      <c r="I125" s="15"/>
      <c r="J125" s="12">
        <f t="shared" si="14"/>
        <v>25315.919999999998</v>
      </c>
      <c r="K125" s="12">
        <f t="shared" si="15"/>
        <v>34379.99</v>
      </c>
    </row>
    <row r="126" spans="2:11" x14ac:dyDescent="0.25">
      <c r="B126" s="18">
        <v>43252</v>
      </c>
      <c r="C126" s="13" t="s">
        <v>539</v>
      </c>
      <c r="D126" s="41"/>
      <c r="E126" s="41">
        <v>200.15</v>
      </c>
      <c r="F126" s="11"/>
      <c r="G126" s="11"/>
      <c r="H126" s="11"/>
      <c r="I126" s="15"/>
      <c r="J126" s="12">
        <f t="shared" si="14"/>
        <v>25516.07</v>
      </c>
      <c r="K126" s="12">
        <f t="shared" si="15"/>
        <v>34379.99</v>
      </c>
    </row>
    <row r="127" spans="2:11" x14ac:dyDescent="0.25">
      <c r="B127" s="18">
        <v>43253</v>
      </c>
      <c r="C127" s="13" t="s">
        <v>540</v>
      </c>
      <c r="D127" s="41"/>
      <c r="E127" s="41">
        <v>300.45999999999998</v>
      </c>
      <c r="F127" s="11"/>
      <c r="G127" s="11"/>
      <c r="H127" s="11"/>
      <c r="I127" s="15"/>
      <c r="J127" s="12">
        <f t="shared" si="14"/>
        <v>25816.53</v>
      </c>
      <c r="K127" s="12">
        <f t="shared" si="15"/>
        <v>34379.99</v>
      </c>
    </row>
    <row r="128" spans="2:11" x14ac:dyDescent="0.25">
      <c r="B128" s="18">
        <v>43257</v>
      </c>
      <c r="C128" s="13" t="s">
        <v>541</v>
      </c>
      <c r="D128" s="41"/>
      <c r="E128" s="41">
        <v>1200.29</v>
      </c>
      <c r="F128" s="11"/>
      <c r="G128" s="11"/>
      <c r="H128" s="11"/>
      <c r="I128" s="15"/>
      <c r="J128" s="12">
        <f t="shared" si="14"/>
        <v>27016.82</v>
      </c>
      <c r="K128" s="12">
        <f t="shared" si="15"/>
        <v>34379.99</v>
      </c>
    </row>
    <row r="129" spans="2:11" x14ac:dyDescent="0.25">
      <c r="B129" s="18">
        <v>43280</v>
      </c>
      <c r="C129" s="13" t="s">
        <v>542</v>
      </c>
      <c r="D129" s="41"/>
      <c r="E129" s="41">
        <v>200.15</v>
      </c>
      <c r="F129" s="11"/>
      <c r="G129" s="11"/>
      <c r="H129" s="11"/>
      <c r="I129" s="15"/>
      <c r="J129" s="12">
        <f t="shared" si="14"/>
        <v>27216.97</v>
      </c>
      <c r="K129" s="12">
        <f t="shared" si="15"/>
        <v>34379.99</v>
      </c>
    </row>
    <row r="130" spans="2:11" x14ac:dyDescent="0.25">
      <c r="B130" s="18">
        <v>43280</v>
      </c>
      <c r="C130" s="13" t="s">
        <v>228</v>
      </c>
      <c r="D130" s="41"/>
      <c r="E130" s="41"/>
      <c r="F130" s="11"/>
      <c r="G130" s="11">
        <v>36</v>
      </c>
      <c r="H130" s="11"/>
      <c r="I130" s="15"/>
      <c r="J130" s="12">
        <f t="shared" si="14"/>
        <v>27180.97</v>
      </c>
      <c r="K130" s="12">
        <f t="shared" si="15"/>
        <v>34379.99</v>
      </c>
    </row>
    <row r="131" spans="2:11" x14ac:dyDescent="0.25">
      <c r="B131" s="18">
        <v>43280</v>
      </c>
      <c r="C131" s="13" t="s">
        <v>227</v>
      </c>
      <c r="D131" s="41"/>
      <c r="E131" s="41"/>
      <c r="F131" s="11"/>
      <c r="G131" s="11">
        <v>5.76</v>
      </c>
      <c r="H131" s="11"/>
      <c r="I131" s="15"/>
      <c r="J131" s="12">
        <f t="shared" ref="J131" si="16">+J130+E131-G131</f>
        <v>27175.210000000003</v>
      </c>
      <c r="K131" s="12">
        <f t="shared" ref="K131" si="17">+K130+D131-H131</f>
        <v>34379.99</v>
      </c>
    </row>
    <row r="132" spans="2:11" x14ac:dyDescent="0.25">
      <c r="B132" s="18"/>
      <c r="C132" s="13"/>
      <c r="D132" s="41"/>
      <c r="E132" s="41"/>
      <c r="F132" s="11"/>
      <c r="G132" s="11"/>
      <c r="H132" s="11"/>
      <c r="I132" s="15"/>
      <c r="J132" s="12">
        <f t="shared" ref="J132:J133" si="18">+J131+E132-G132</f>
        <v>27175.210000000003</v>
      </c>
      <c r="K132" s="12">
        <f t="shared" ref="K132:K133" si="19">+K131+D132-H132</f>
        <v>34379.99</v>
      </c>
    </row>
    <row r="133" spans="2:11" ht="15.75" thickBot="1" x14ac:dyDescent="0.3">
      <c r="B133" s="18"/>
      <c r="C133" s="13"/>
      <c r="D133" s="41"/>
      <c r="E133" s="41"/>
      <c r="F133" s="11"/>
      <c r="G133" s="11"/>
      <c r="H133" s="11"/>
      <c r="I133" s="15"/>
      <c r="J133" s="12">
        <f t="shared" si="18"/>
        <v>27175.210000000003</v>
      </c>
      <c r="K133" s="12">
        <f t="shared" si="19"/>
        <v>34379.99</v>
      </c>
    </row>
    <row r="134" spans="2:11" ht="15.75" thickBot="1" x14ac:dyDescent="0.3">
      <c r="B134" s="5"/>
      <c r="C134" s="7" t="s">
        <v>0</v>
      </c>
      <c r="D134" s="62">
        <f>SUM(D109:D133)</f>
        <v>95975</v>
      </c>
      <c r="E134" s="61">
        <f>SUM(E109:E133)</f>
        <v>14661.049999999997</v>
      </c>
      <c r="F134" s="71">
        <f>SUM(D134:E134)</f>
        <v>110636.05</v>
      </c>
      <c r="G134" s="80">
        <f>SUM(G109:G133)</f>
        <v>23201.759999999998</v>
      </c>
      <c r="H134" s="62">
        <f>SUM(H109:H133)</f>
        <v>104528.91</v>
      </c>
      <c r="I134" s="71">
        <f>SUM(G134:H134)</f>
        <v>127730.67</v>
      </c>
      <c r="J134" s="20"/>
      <c r="K134" s="20"/>
    </row>
    <row r="135" spans="2:11" ht="15.75" thickBot="1" x14ac:dyDescent="0.3"/>
    <row r="136" spans="2:11" ht="15.75" thickBot="1" x14ac:dyDescent="0.3">
      <c r="I136" s="74" t="s">
        <v>8</v>
      </c>
      <c r="J136" s="74" t="s">
        <v>7</v>
      </c>
      <c r="K136" s="95" t="s">
        <v>0</v>
      </c>
    </row>
    <row r="137" spans="2:11" ht="15.75" thickBot="1" x14ac:dyDescent="0.3">
      <c r="I137" s="26">
        <v>27175.21</v>
      </c>
      <c r="J137" s="26">
        <v>34379.99</v>
      </c>
      <c r="K137" s="20">
        <f>SUM(I137:J137)</f>
        <v>61555.199999999997</v>
      </c>
    </row>
  </sheetData>
  <printOptions verticalCentered="1"/>
  <pageMargins left="0.23622047244094491" right="0.23622047244094491" top="0.19685039370078741" bottom="0" header="0.31496062992125984" footer="0.31496062992125984"/>
  <pageSetup paperSize="9" scale="73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B1:K134"/>
  <sheetViews>
    <sheetView topLeftCell="B1" zoomScale="90" zoomScaleNormal="90" workbookViewId="0">
      <pane ySplit="3" topLeftCell="A114" activePane="bottomLeft" state="frozen"/>
      <selection pane="bottomLeft" activeCell="C128" sqref="C128:C129"/>
    </sheetView>
  </sheetViews>
  <sheetFormatPr baseColWidth="10" defaultRowHeight="15" x14ac:dyDescent="0.25"/>
  <cols>
    <col min="1" max="1" width="10.7109375" customWidth="1"/>
    <col min="2" max="2" width="11.7109375" customWidth="1"/>
    <col min="3" max="3" width="86" customWidth="1"/>
    <col min="4" max="6" width="11.42578125" customWidth="1"/>
    <col min="8" max="10" width="11.42578125" customWidth="1"/>
    <col min="11" max="11" width="11.7109375" customWidth="1"/>
  </cols>
  <sheetData>
    <row r="1" spans="2:11" ht="16.5" thickBot="1" x14ac:dyDescent="0.3">
      <c r="B1" s="79"/>
      <c r="C1" s="81" t="s">
        <v>37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69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43281</v>
      </c>
      <c r="C4" s="65" t="s">
        <v>49</v>
      </c>
      <c r="D4" s="66"/>
      <c r="E4" s="63"/>
      <c r="F4" s="63"/>
      <c r="G4" s="63"/>
      <c r="H4" s="17"/>
      <c r="I4" s="64"/>
      <c r="J4" s="73">
        <v>27175.21</v>
      </c>
      <c r="K4" s="67">
        <v>34379.99</v>
      </c>
    </row>
    <row r="5" spans="2:11" x14ac:dyDescent="0.25">
      <c r="B5" s="23">
        <v>43282</v>
      </c>
      <c r="C5" s="9" t="s">
        <v>543</v>
      </c>
      <c r="D5" s="11"/>
      <c r="E5" s="11"/>
      <c r="F5" s="11"/>
      <c r="G5" s="11"/>
      <c r="H5" s="11">
        <v>7200</v>
      </c>
      <c r="I5" s="15"/>
      <c r="J5" s="12">
        <f>+J4+E5-G5</f>
        <v>27175.21</v>
      </c>
      <c r="K5" s="12">
        <f>+K4+D5-H5</f>
        <v>27179.989999999998</v>
      </c>
    </row>
    <row r="6" spans="2:11" x14ac:dyDescent="0.25">
      <c r="B6" s="23">
        <v>43282</v>
      </c>
      <c r="C6" s="13" t="s">
        <v>544</v>
      </c>
      <c r="D6" s="11"/>
      <c r="E6" s="11"/>
      <c r="F6" s="11"/>
      <c r="G6" s="11"/>
      <c r="H6" s="11">
        <v>51.5</v>
      </c>
      <c r="I6" s="15"/>
      <c r="J6" s="12">
        <f>+J5+E6-G6</f>
        <v>27175.21</v>
      </c>
      <c r="K6" s="12">
        <f t="shared" ref="K6:K22" si="0">+K5+D6-H6</f>
        <v>27128.489999999998</v>
      </c>
    </row>
    <row r="7" spans="2:11" x14ac:dyDescent="0.25">
      <c r="B7" s="18">
        <v>43282</v>
      </c>
      <c r="C7" s="9" t="s">
        <v>545</v>
      </c>
      <c r="D7" s="11"/>
      <c r="E7" s="11"/>
      <c r="F7" s="11"/>
      <c r="G7" s="11"/>
      <c r="H7" s="59">
        <v>60</v>
      </c>
      <c r="I7" s="15"/>
      <c r="J7" s="12">
        <f t="shared" ref="J7:J25" si="1">+J6+E7-G7</f>
        <v>27175.21</v>
      </c>
      <c r="K7" s="12">
        <f t="shared" si="0"/>
        <v>27068.489999999998</v>
      </c>
    </row>
    <row r="8" spans="2:11" x14ac:dyDescent="0.25">
      <c r="B8" s="18">
        <v>43282</v>
      </c>
      <c r="C8" s="13" t="s">
        <v>546</v>
      </c>
      <c r="D8" s="11">
        <v>18950</v>
      </c>
      <c r="E8" s="11"/>
      <c r="F8" s="11"/>
      <c r="G8" s="11"/>
      <c r="H8" s="11"/>
      <c r="I8" s="15"/>
      <c r="J8" s="12">
        <f t="shared" si="1"/>
        <v>27175.21</v>
      </c>
      <c r="K8" s="12">
        <f t="shared" si="0"/>
        <v>46018.49</v>
      </c>
    </row>
    <row r="9" spans="2:11" x14ac:dyDescent="0.25">
      <c r="B9" s="18">
        <v>43282</v>
      </c>
      <c r="C9" s="9" t="s">
        <v>547</v>
      </c>
      <c r="D9" s="11"/>
      <c r="E9" s="11"/>
      <c r="F9" s="11"/>
      <c r="G9" s="11"/>
      <c r="H9" s="59">
        <v>120</v>
      </c>
      <c r="I9" s="15"/>
      <c r="J9" s="12">
        <f t="shared" si="1"/>
        <v>27175.21</v>
      </c>
      <c r="K9" s="12">
        <f t="shared" si="0"/>
        <v>45898.49</v>
      </c>
    </row>
    <row r="10" spans="2:11" x14ac:dyDescent="0.25">
      <c r="B10" s="18">
        <v>43282</v>
      </c>
      <c r="C10" s="9" t="s">
        <v>548</v>
      </c>
      <c r="D10" s="11"/>
      <c r="E10" s="11"/>
      <c r="F10" s="11"/>
      <c r="G10" s="11"/>
      <c r="H10" s="11">
        <v>35.5</v>
      </c>
      <c r="I10" s="15"/>
      <c r="J10" s="12">
        <f t="shared" si="1"/>
        <v>27175.21</v>
      </c>
      <c r="K10" s="12">
        <f t="shared" si="0"/>
        <v>45862.99</v>
      </c>
    </row>
    <row r="11" spans="2:11" x14ac:dyDescent="0.25">
      <c r="B11" s="18">
        <v>43282</v>
      </c>
      <c r="C11" s="9" t="s">
        <v>549</v>
      </c>
      <c r="D11" s="11"/>
      <c r="E11" s="11"/>
      <c r="F11" s="11"/>
      <c r="G11" s="11"/>
      <c r="H11" s="11">
        <v>95</v>
      </c>
      <c r="I11" s="15"/>
      <c r="J11" s="12">
        <f t="shared" si="1"/>
        <v>27175.21</v>
      </c>
      <c r="K11" s="12">
        <f t="shared" si="0"/>
        <v>45767.99</v>
      </c>
    </row>
    <row r="12" spans="2:11" x14ac:dyDescent="0.25">
      <c r="B12" s="18">
        <v>43282</v>
      </c>
      <c r="C12" s="9" t="s">
        <v>550</v>
      </c>
      <c r="D12" s="11"/>
      <c r="E12" s="11"/>
      <c r="F12" s="11"/>
      <c r="G12" s="11"/>
      <c r="H12" s="59">
        <v>250</v>
      </c>
      <c r="I12" s="15"/>
      <c r="J12" s="12">
        <f t="shared" si="1"/>
        <v>27175.21</v>
      </c>
      <c r="K12" s="12">
        <f t="shared" si="0"/>
        <v>45517.99</v>
      </c>
    </row>
    <row r="13" spans="2:11" x14ac:dyDescent="0.25">
      <c r="B13" s="18">
        <v>43282</v>
      </c>
      <c r="C13" s="9" t="s">
        <v>551</v>
      </c>
      <c r="D13" s="11"/>
      <c r="E13" s="11"/>
      <c r="F13" s="11"/>
      <c r="G13" s="11"/>
      <c r="H13" s="11">
        <v>250</v>
      </c>
      <c r="I13" s="15"/>
      <c r="J13" s="12">
        <f t="shared" si="1"/>
        <v>27175.21</v>
      </c>
      <c r="K13" s="12">
        <f t="shared" si="0"/>
        <v>45267.99</v>
      </c>
    </row>
    <row r="14" spans="2:11" x14ac:dyDescent="0.25">
      <c r="B14" s="18">
        <v>43282</v>
      </c>
      <c r="C14" s="9" t="s">
        <v>552</v>
      </c>
      <c r="D14" s="11"/>
      <c r="E14" s="11"/>
      <c r="F14" s="11"/>
      <c r="G14" s="11"/>
      <c r="H14" s="59">
        <v>250</v>
      </c>
      <c r="I14" s="15"/>
      <c r="J14" s="12">
        <f t="shared" si="1"/>
        <v>27175.21</v>
      </c>
      <c r="K14" s="12">
        <f t="shared" si="0"/>
        <v>45017.99</v>
      </c>
    </row>
    <row r="15" spans="2:11" x14ac:dyDescent="0.25">
      <c r="B15" s="18">
        <v>43282</v>
      </c>
      <c r="C15" s="9" t="s">
        <v>553</v>
      </c>
      <c r="D15" s="11"/>
      <c r="E15" s="11"/>
      <c r="F15" s="11"/>
      <c r="G15" s="11"/>
      <c r="H15" s="11">
        <v>54</v>
      </c>
      <c r="I15" s="15"/>
      <c r="J15" s="12">
        <f t="shared" si="1"/>
        <v>27175.21</v>
      </c>
      <c r="K15" s="12">
        <f t="shared" si="0"/>
        <v>44963.99</v>
      </c>
    </row>
    <row r="16" spans="2:11" x14ac:dyDescent="0.25">
      <c r="B16" s="18">
        <v>43283</v>
      </c>
      <c r="C16" s="9" t="s">
        <v>554</v>
      </c>
      <c r="D16" s="11"/>
      <c r="E16" s="11"/>
      <c r="F16" s="11"/>
      <c r="G16" s="11"/>
      <c r="H16" s="11">
        <v>210</v>
      </c>
      <c r="I16" s="15"/>
      <c r="J16" s="12">
        <f t="shared" si="1"/>
        <v>27175.21</v>
      </c>
      <c r="K16" s="12">
        <f t="shared" si="0"/>
        <v>44753.99</v>
      </c>
    </row>
    <row r="17" spans="2:11" x14ac:dyDescent="0.25">
      <c r="B17" s="18">
        <v>43283</v>
      </c>
      <c r="C17" s="13" t="s">
        <v>555</v>
      </c>
      <c r="D17" s="11"/>
      <c r="E17" s="11"/>
      <c r="F17" s="11"/>
      <c r="G17" s="11"/>
      <c r="H17" s="11">
        <v>300</v>
      </c>
      <c r="I17" s="15"/>
      <c r="J17" s="12">
        <f t="shared" si="1"/>
        <v>27175.21</v>
      </c>
      <c r="K17" s="12">
        <f t="shared" si="0"/>
        <v>44453.99</v>
      </c>
    </row>
    <row r="18" spans="2:11" x14ac:dyDescent="0.25">
      <c r="B18" s="18">
        <v>43284</v>
      </c>
      <c r="C18" s="9" t="s">
        <v>556</v>
      </c>
      <c r="D18" s="11"/>
      <c r="E18" s="11"/>
      <c r="F18" s="11"/>
      <c r="G18" s="11"/>
      <c r="H18" s="11">
        <v>200</v>
      </c>
      <c r="I18" s="15"/>
      <c r="J18" s="12">
        <f t="shared" si="1"/>
        <v>27175.21</v>
      </c>
      <c r="K18" s="12">
        <f t="shared" si="0"/>
        <v>44253.99</v>
      </c>
    </row>
    <row r="19" spans="2:11" x14ac:dyDescent="0.25">
      <c r="B19" s="18">
        <v>43284</v>
      </c>
      <c r="C19" s="9" t="s">
        <v>557</v>
      </c>
      <c r="D19" s="11"/>
      <c r="E19" s="11"/>
      <c r="F19" s="11"/>
      <c r="G19" s="11"/>
      <c r="H19" s="11">
        <v>250</v>
      </c>
      <c r="I19" s="15"/>
      <c r="J19" s="12">
        <f t="shared" si="1"/>
        <v>27175.21</v>
      </c>
      <c r="K19" s="12">
        <f t="shared" si="0"/>
        <v>44003.99</v>
      </c>
    </row>
    <row r="20" spans="2:11" x14ac:dyDescent="0.25">
      <c r="B20" s="18">
        <v>43284</v>
      </c>
      <c r="C20" s="9" t="s">
        <v>558</v>
      </c>
      <c r="D20" s="11"/>
      <c r="E20" s="11"/>
      <c r="F20" s="11"/>
      <c r="G20" s="11"/>
      <c r="H20" s="11">
        <v>150</v>
      </c>
      <c r="I20" s="15"/>
      <c r="J20" s="12">
        <f t="shared" si="1"/>
        <v>27175.21</v>
      </c>
      <c r="K20" s="12">
        <f t="shared" si="0"/>
        <v>43853.99</v>
      </c>
    </row>
    <row r="21" spans="2:11" x14ac:dyDescent="0.25">
      <c r="B21" s="18">
        <v>43285</v>
      </c>
      <c r="C21" s="9" t="s">
        <v>548</v>
      </c>
      <c r="D21" s="11"/>
      <c r="E21" s="11"/>
      <c r="F21" s="11"/>
      <c r="G21" s="11"/>
      <c r="H21" s="59">
        <v>37.5</v>
      </c>
      <c r="I21" s="15"/>
      <c r="J21" s="12">
        <f t="shared" si="1"/>
        <v>27175.21</v>
      </c>
      <c r="K21" s="12">
        <f t="shared" si="0"/>
        <v>43816.49</v>
      </c>
    </row>
    <row r="22" spans="2:11" x14ac:dyDescent="0.25">
      <c r="B22" s="18">
        <v>43285</v>
      </c>
      <c r="C22" s="9" t="s">
        <v>558</v>
      </c>
      <c r="D22" s="11"/>
      <c r="E22" s="11"/>
      <c r="F22" s="11"/>
      <c r="G22" s="11"/>
      <c r="H22" s="59">
        <v>150</v>
      </c>
      <c r="I22" s="15"/>
      <c r="J22" s="12">
        <f t="shared" si="1"/>
        <v>27175.21</v>
      </c>
      <c r="K22" s="12">
        <f t="shared" si="0"/>
        <v>43666.49</v>
      </c>
    </row>
    <row r="23" spans="2:11" x14ac:dyDescent="0.25">
      <c r="B23" s="18">
        <v>43286</v>
      </c>
      <c r="C23" s="9" t="s">
        <v>555</v>
      </c>
      <c r="D23" s="11"/>
      <c r="E23" s="11"/>
      <c r="F23" s="11"/>
      <c r="G23" s="11"/>
      <c r="H23" s="11">
        <v>280</v>
      </c>
      <c r="I23" s="15"/>
      <c r="J23" s="12">
        <f t="shared" si="1"/>
        <v>27175.21</v>
      </c>
      <c r="K23" s="12">
        <f>+K22+D23-H23</f>
        <v>43386.49</v>
      </c>
    </row>
    <row r="24" spans="2:11" x14ac:dyDescent="0.25">
      <c r="B24" s="18">
        <v>43286</v>
      </c>
      <c r="C24" s="9" t="s">
        <v>559</v>
      </c>
      <c r="D24" s="11"/>
      <c r="E24" s="11"/>
      <c r="F24" s="11"/>
      <c r="G24" s="11"/>
      <c r="H24" s="11">
        <v>35</v>
      </c>
      <c r="I24" s="15"/>
      <c r="J24" s="12">
        <f t="shared" si="1"/>
        <v>27175.21</v>
      </c>
      <c r="K24" s="12">
        <f>+K23+D24-H24</f>
        <v>43351.49</v>
      </c>
    </row>
    <row r="25" spans="2:11" x14ac:dyDescent="0.25">
      <c r="B25" s="18">
        <v>43286</v>
      </c>
      <c r="C25" s="9" t="s">
        <v>560</v>
      </c>
      <c r="D25" s="11"/>
      <c r="E25" s="11"/>
      <c r="F25" s="11"/>
      <c r="G25" s="11"/>
      <c r="H25" s="11">
        <v>75.16</v>
      </c>
      <c r="I25" s="15"/>
      <c r="J25" s="12">
        <f t="shared" si="1"/>
        <v>27175.21</v>
      </c>
      <c r="K25" s="12">
        <f>+K24+D25-H25</f>
        <v>43276.329999999994</v>
      </c>
    </row>
    <row r="26" spans="2:11" x14ac:dyDescent="0.25">
      <c r="B26" s="18">
        <v>43286</v>
      </c>
      <c r="C26" s="9" t="s">
        <v>561</v>
      </c>
      <c r="D26" s="11"/>
      <c r="E26" s="11"/>
      <c r="F26" s="11"/>
      <c r="G26" s="11"/>
      <c r="H26" s="11">
        <v>150</v>
      </c>
      <c r="I26" s="15"/>
      <c r="J26" s="12">
        <f t="shared" ref="J26:J45" si="2">+J25+E26-G26</f>
        <v>27175.21</v>
      </c>
      <c r="K26" s="12">
        <f t="shared" ref="K26:K45" si="3">+K25+D26-H26</f>
        <v>43126.329999999994</v>
      </c>
    </row>
    <row r="27" spans="2:11" x14ac:dyDescent="0.25">
      <c r="B27" s="18">
        <v>43286</v>
      </c>
      <c r="C27" s="9" t="s">
        <v>562</v>
      </c>
      <c r="D27" s="11"/>
      <c r="E27" s="11"/>
      <c r="F27" s="11"/>
      <c r="G27" s="11"/>
      <c r="H27" s="11">
        <v>300</v>
      </c>
      <c r="I27" s="15"/>
      <c r="J27" s="12">
        <f t="shared" si="2"/>
        <v>27175.21</v>
      </c>
      <c r="K27" s="12">
        <f t="shared" si="3"/>
        <v>42826.329999999994</v>
      </c>
    </row>
    <row r="28" spans="2:11" x14ac:dyDescent="0.25">
      <c r="B28" s="18">
        <v>43287</v>
      </c>
      <c r="C28" s="9" t="s">
        <v>563</v>
      </c>
      <c r="D28" s="11"/>
      <c r="E28" s="11"/>
      <c r="F28" s="11"/>
      <c r="G28" s="11"/>
      <c r="H28" s="11">
        <v>300</v>
      </c>
      <c r="I28" s="15"/>
      <c r="J28" s="12">
        <f t="shared" si="2"/>
        <v>27175.21</v>
      </c>
      <c r="K28" s="12">
        <f t="shared" si="3"/>
        <v>42526.329999999994</v>
      </c>
    </row>
    <row r="29" spans="2:11" x14ac:dyDescent="0.25">
      <c r="B29" s="18">
        <v>43287</v>
      </c>
      <c r="C29" s="9" t="s">
        <v>564</v>
      </c>
      <c r="D29" s="11"/>
      <c r="E29" s="11"/>
      <c r="F29" s="11"/>
      <c r="G29" s="11"/>
      <c r="H29" s="11">
        <v>39</v>
      </c>
      <c r="I29" s="15"/>
      <c r="J29" s="12">
        <f t="shared" si="2"/>
        <v>27175.21</v>
      </c>
      <c r="K29" s="12">
        <f t="shared" si="3"/>
        <v>42487.329999999994</v>
      </c>
    </row>
    <row r="30" spans="2:11" x14ac:dyDescent="0.25">
      <c r="B30" s="18">
        <v>43287</v>
      </c>
      <c r="C30" s="9" t="s">
        <v>565</v>
      </c>
      <c r="D30" s="11"/>
      <c r="E30" s="11"/>
      <c r="F30" s="11"/>
      <c r="G30" s="11"/>
      <c r="H30" s="11">
        <v>300</v>
      </c>
      <c r="I30" s="15"/>
      <c r="J30" s="12">
        <f t="shared" si="2"/>
        <v>27175.21</v>
      </c>
      <c r="K30" s="12">
        <f t="shared" si="3"/>
        <v>42187.329999999994</v>
      </c>
    </row>
    <row r="31" spans="2:11" x14ac:dyDescent="0.25">
      <c r="B31" s="18">
        <v>43287</v>
      </c>
      <c r="C31" s="9" t="s">
        <v>566</v>
      </c>
      <c r="D31" s="11"/>
      <c r="E31" s="11"/>
      <c r="F31" s="11"/>
      <c r="G31" s="11"/>
      <c r="H31" s="11">
        <v>1250</v>
      </c>
      <c r="I31" s="15"/>
      <c r="J31" s="12">
        <f t="shared" si="2"/>
        <v>27175.21</v>
      </c>
      <c r="K31" s="12">
        <f t="shared" si="3"/>
        <v>40937.329999999994</v>
      </c>
    </row>
    <row r="32" spans="2:11" x14ac:dyDescent="0.25">
      <c r="B32" s="18">
        <v>43288</v>
      </c>
      <c r="C32" s="9" t="s">
        <v>567</v>
      </c>
      <c r="D32" s="11"/>
      <c r="E32" s="11"/>
      <c r="F32" s="11"/>
      <c r="G32" s="11"/>
      <c r="H32" s="59">
        <v>39.5</v>
      </c>
      <c r="I32" s="15"/>
      <c r="J32" s="12">
        <f t="shared" si="2"/>
        <v>27175.21</v>
      </c>
      <c r="K32" s="12">
        <f t="shared" si="3"/>
        <v>40897.829999999994</v>
      </c>
    </row>
    <row r="33" spans="2:11" x14ac:dyDescent="0.25">
      <c r="B33" s="18">
        <v>43289</v>
      </c>
      <c r="C33" s="9" t="s">
        <v>547</v>
      </c>
      <c r="D33" s="11"/>
      <c r="E33" s="11"/>
      <c r="F33" s="11"/>
      <c r="G33" s="11"/>
      <c r="H33" s="11">
        <v>120</v>
      </c>
      <c r="I33" s="15"/>
      <c r="J33" s="12">
        <f t="shared" si="2"/>
        <v>27175.21</v>
      </c>
      <c r="K33" s="12">
        <f t="shared" si="3"/>
        <v>40777.829999999994</v>
      </c>
    </row>
    <row r="34" spans="2:11" x14ac:dyDescent="0.25">
      <c r="B34" s="18">
        <v>43289</v>
      </c>
      <c r="C34" s="9" t="s">
        <v>568</v>
      </c>
      <c r="D34" s="11"/>
      <c r="E34" s="11"/>
      <c r="F34" s="11"/>
      <c r="G34" s="11"/>
      <c r="H34" s="11">
        <v>72</v>
      </c>
      <c r="I34" s="15"/>
      <c r="J34" s="12">
        <f t="shared" si="2"/>
        <v>27175.21</v>
      </c>
      <c r="K34" s="12">
        <f t="shared" si="3"/>
        <v>40705.829999999994</v>
      </c>
    </row>
    <row r="35" spans="2:11" x14ac:dyDescent="0.25">
      <c r="B35" s="18">
        <v>43289</v>
      </c>
      <c r="C35" s="9" t="s">
        <v>569</v>
      </c>
      <c r="D35" s="11"/>
      <c r="E35" s="11"/>
      <c r="F35" s="11"/>
      <c r="G35" s="11"/>
      <c r="H35" s="11">
        <v>72</v>
      </c>
      <c r="I35" s="15"/>
      <c r="J35" s="12">
        <f t="shared" si="2"/>
        <v>27175.21</v>
      </c>
      <c r="K35" s="12">
        <f t="shared" si="3"/>
        <v>40633.829999999994</v>
      </c>
    </row>
    <row r="36" spans="2:11" x14ac:dyDescent="0.25">
      <c r="B36" s="18">
        <v>43289</v>
      </c>
      <c r="C36" s="9" t="s">
        <v>570</v>
      </c>
      <c r="D36" s="11"/>
      <c r="E36" s="11"/>
      <c r="F36" s="11"/>
      <c r="G36" s="11"/>
      <c r="H36" s="11">
        <v>58</v>
      </c>
      <c r="I36" s="15"/>
      <c r="J36" s="12">
        <f t="shared" si="2"/>
        <v>27175.21</v>
      </c>
      <c r="K36" s="12">
        <f t="shared" si="3"/>
        <v>40575.829999999994</v>
      </c>
    </row>
    <row r="37" spans="2:11" x14ac:dyDescent="0.25">
      <c r="B37" s="18">
        <v>43289</v>
      </c>
      <c r="C37" s="9" t="s">
        <v>571</v>
      </c>
      <c r="D37" s="11">
        <v>27775</v>
      </c>
      <c r="E37" s="11"/>
      <c r="F37" s="11"/>
      <c r="G37" s="11"/>
      <c r="H37" s="11"/>
      <c r="I37" s="15"/>
      <c r="J37" s="12">
        <f t="shared" si="2"/>
        <v>27175.21</v>
      </c>
      <c r="K37" s="12">
        <f t="shared" si="3"/>
        <v>68350.829999999987</v>
      </c>
    </row>
    <row r="38" spans="2:11" x14ac:dyDescent="0.25">
      <c r="B38" s="18">
        <v>43290</v>
      </c>
      <c r="C38" s="9" t="s">
        <v>554</v>
      </c>
      <c r="D38" s="11"/>
      <c r="E38" s="11"/>
      <c r="F38" s="11"/>
      <c r="G38" s="11"/>
      <c r="H38" s="11">
        <v>210</v>
      </c>
      <c r="I38" s="15"/>
      <c r="J38" s="12">
        <f t="shared" si="2"/>
        <v>27175.21</v>
      </c>
      <c r="K38" s="12">
        <f t="shared" si="3"/>
        <v>68140.829999999987</v>
      </c>
    </row>
    <row r="39" spans="2:11" x14ac:dyDescent="0.25">
      <c r="B39" s="18">
        <v>43290</v>
      </c>
      <c r="C39" s="9" t="s">
        <v>572</v>
      </c>
      <c r="D39" s="11"/>
      <c r="E39" s="11"/>
      <c r="F39" s="11"/>
      <c r="G39" s="11"/>
      <c r="H39" s="11">
        <v>88</v>
      </c>
      <c r="I39" s="15"/>
      <c r="J39" s="12">
        <f t="shared" si="2"/>
        <v>27175.21</v>
      </c>
      <c r="K39" s="12">
        <f t="shared" si="3"/>
        <v>68052.829999999987</v>
      </c>
    </row>
    <row r="40" spans="2:11" x14ac:dyDescent="0.25">
      <c r="B40" s="18">
        <v>43291</v>
      </c>
      <c r="C40" s="9" t="s">
        <v>573</v>
      </c>
      <c r="D40" s="11"/>
      <c r="E40" s="11"/>
      <c r="F40" s="11"/>
      <c r="G40" s="11"/>
      <c r="H40" s="11">
        <v>1700</v>
      </c>
      <c r="I40" s="15"/>
      <c r="J40" s="12">
        <f t="shared" si="2"/>
        <v>27175.21</v>
      </c>
      <c r="K40" s="12">
        <f t="shared" si="3"/>
        <v>66352.829999999987</v>
      </c>
    </row>
    <row r="41" spans="2:11" x14ac:dyDescent="0.25">
      <c r="B41" s="18">
        <v>43291</v>
      </c>
      <c r="C41" s="9" t="s">
        <v>574</v>
      </c>
      <c r="D41" s="11"/>
      <c r="E41" s="11"/>
      <c r="F41" s="11"/>
      <c r="G41" s="11"/>
      <c r="H41" s="11">
        <v>300</v>
      </c>
      <c r="I41" s="15"/>
      <c r="J41" s="12">
        <f t="shared" si="2"/>
        <v>27175.21</v>
      </c>
      <c r="K41" s="12">
        <f t="shared" si="3"/>
        <v>66052.829999999987</v>
      </c>
    </row>
    <row r="42" spans="2:11" x14ac:dyDescent="0.25">
      <c r="B42" s="18">
        <v>43291</v>
      </c>
      <c r="C42" s="9" t="s">
        <v>560</v>
      </c>
      <c r="D42" s="11"/>
      <c r="E42" s="11"/>
      <c r="F42" s="11"/>
      <c r="G42" s="11"/>
      <c r="H42" s="59">
        <v>94</v>
      </c>
      <c r="I42" s="15"/>
      <c r="J42" s="12">
        <f t="shared" si="2"/>
        <v>27175.21</v>
      </c>
      <c r="K42" s="12">
        <f t="shared" si="3"/>
        <v>65958.829999999987</v>
      </c>
    </row>
    <row r="43" spans="2:11" x14ac:dyDescent="0.25">
      <c r="B43" s="18">
        <v>43291</v>
      </c>
      <c r="C43" s="9" t="s">
        <v>575</v>
      </c>
      <c r="D43" s="11"/>
      <c r="E43" s="11"/>
      <c r="F43" s="11"/>
      <c r="G43" s="11"/>
      <c r="H43" s="59">
        <v>200</v>
      </c>
      <c r="I43" s="15"/>
      <c r="J43" s="12">
        <f t="shared" si="2"/>
        <v>27175.21</v>
      </c>
      <c r="K43" s="12">
        <f t="shared" si="3"/>
        <v>65758.829999999987</v>
      </c>
    </row>
    <row r="44" spans="2:11" x14ac:dyDescent="0.25">
      <c r="B44" s="18">
        <v>43291</v>
      </c>
      <c r="C44" s="9" t="s">
        <v>576</v>
      </c>
      <c r="D44" s="11"/>
      <c r="E44" s="11"/>
      <c r="F44" s="11"/>
      <c r="G44" s="103"/>
      <c r="H44" s="59">
        <v>560</v>
      </c>
      <c r="I44" s="15"/>
      <c r="J44" s="12">
        <f t="shared" si="2"/>
        <v>27175.21</v>
      </c>
      <c r="K44" s="12">
        <f t="shared" si="3"/>
        <v>65198.829999999987</v>
      </c>
    </row>
    <row r="45" spans="2:11" x14ac:dyDescent="0.25">
      <c r="B45" s="18">
        <v>43291</v>
      </c>
      <c r="C45" s="9" t="s">
        <v>577</v>
      </c>
      <c r="D45" s="11"/>
      <c r="E45" s="11"/>
      <c r="F45" s="11"/>
      <c r="G45" s="11"/>
      <c r="H45" s="59">
        <v>400</v>
      </c>
      <c r="I45" s="15"/>
      <c r="J45" s="12">
        <f t="shared" si="2"/>
        <v>27175.21</v>
      </c>
      <c r="K45" s="12">
        <f t="shared" si="3"/>
        <v>64798.829999999987</v>
      </c>
    </row>
    <row r="46" spans="2:11" x14ac:dyDescent="0.25">
      <c r="B46" s="18">
        <v>43291</v>
      </c>
      <c r="C46" s="9" t="s">
        <v>578</v>
      </c>
      <c r="D46" s="11"/>
      <c r="E46" s="11"/>
      <c r="F46" s="11"/>
      <c r="G46" s="11"/>
      <c r="H46" s="59">
        <v>75</v>
      </c>
      <c r="I46" s="15"/>
      <c r="J46" s="12">
        <f t="shared" ref="J46:J53" si="4">+J45+E46-G46</f>
        <v>27175.21</v>
      </c>
      <c r="K46" s="12">
        <f t="shared" ref="K46:K53" si="5">+K45+D46-H46</f>
        <v>64723.829999999987</v>
      </c>
    </row>
    <row r="47" spans="2:11" x14ac:dyDescent="0.25">
      <c r="B47" s="18">
        <v>43292</v>
      </c>
      <c r="C47" s="9" t="s">
        <v>579</v>
      </c>
      <c r="D47" s="11"/>
      <c r="E47" s="11"/>
      <c r="F47" s="11"/>
      <c r="G47" s="11"/>
      <c r="H47" s="59">
        <v>22.5</v>
      </c>
      <c r="I47" s="15"/>
      <c r="J47" s="12">
        <f t="shared" si="4"/>
        <v>27175.21</v>
      </c>
      <c r="K47" s="12">
        <f t="shared" si="5"/>
        <v>64701.329999999987</v>
      </c>
    </row>
    <row r="48" spans="2:11" x14ac:dyDescent="0.25">
      <c r="B48" s="18">
        <v>43292</v>
      </c>
      <c r="C48" s="9" t="s">
        <v>580</v>
      </c>
      <c r="D48" s="11"/>
      <c r="E48" s="11"/>
      <c r="F48" s="11"/>
      <c r="G48" s="11"/>
      <c r="H48" s="59">
        <v>120</v>
      </c>
      <c r="I48" s="15"/>
      <c r="J48" s="12">
        <f t="shared" si="4"/>
        <v>27175.21</v>
      </c>
      <c r="K48" s="12">
        <f t="shared" si="5"/>
        <v>64581.329999999987</v>
      </c>
    </row>
    <row r="49" spans="2:11" x14ac:dyDescent="0.25">
      <c r="B49" s="18">
        <v>43292</v>
      </c>
      <c r="C49" s="13" t="s">
        <v>581</v>
      </c>
      <c r="D49" s="11"/>
      <c r="E49" s="11"/>
      <c r="F49" s="11"/>
      <c r="G49" s="11"/>
      <c r="H49" s="59">
        <v>300</v>
      </c>
      <c r="I49" s="15"/>
      <c r="J49" s="12">
        <f t="shared" si="4"/>
        <v>27175.21</v>
      </c>
      <c r="K49" s="12">
        <f t="shared" si="5"/>
        <v>64281.329999999987</v>
      </c>
    </row>
    <row r="50" spans="2:11" x14ac:dyDescent="0.25">
      <c r="B50" s="18">
        <v>43292</v>
      </c>
      <c r="C50" s="9" t="s">
        <v>558</v>
      </c>
      <c r="D50" s="11"/>
      <c r="E50" s="11"/>
      <c r="F50" s="11"/>
      <c r="G50" s="11"/>
      <c r="H50" s="59">
        <v>150</v>
      </c>
      <c r="I50" s="15"/>
      <c r="J50" s="12">
        <f t="shared" si="4"/>
        <v>27175.21</v>
      </c>
      <c r="K50" s="12">
        <f t="shared" si="5"/>
        <v>64131.329999999987</v>
      </c>
    </row>
    <row r="51" spans="2:11" x14ac:dyDescent="0.25">
      <c r="B51" s="18">
        <v>43293</v>
      </c>
      <c r="C51" s="9" t="s">
        <v>582</v>
      </c>
      <c r="D51" s="11"/>
      <c r="E51" s="11"/>
      <c r="F51" s="11"/>
      <c r="G51" s="11"/>
      <c r="H51" s="59">
        <v>250</v>
      </c>
      <c r="I51" s="15"/>
      <c r="J51" s="12">
        <f t="shared" si="4"/>
        <v>27175.21</v>
      </c>
      <c r="K51" s="12">
        <f t="shared" si="5"/>
        <v>63881.329999999987</v>
      </c>
    </row>
    <row r="52" spans="2:11" x14ac:dyDescent="0.25">
      <c r="B52" s="18">
        <v>43294</v>
      </c>
      <c r="C52" s="9" t="s">
        <v>583</v>
      </c>
      <c r="D52" s="11"/>
      <c r="E52" s="11"/>
      <c r="F52" s="11"/>
      <c r="G52" s="11"/>
      <c r="H52" s="59">
        <v>1250</v>
      </c>
      <c r="I52" s="15"/>
      <c r="J52" s="12">
        <f t="shared" si="4"/>
        <v>27175.21</v>
      </c>
      <c r="K52" s="12">
        <f t="shared" si="5"/>
        <v>62631.329999999987</v>
      </c>
    </row>
    <row r="53" spans="2:11" ht="15.75" thickBot="1" x14ac:dyDescent="0.3">
      <c r="B53" s="18">
        <v>43294</v>
      </c>
      <c r="C53" s="127" t="s">
        <v>584</v>
      </c>
      <c r="D53" s="41"/>
      <c r="E53" s="41"/>
      <c r="F53" s="41"/>
      <c r="G53" s="41"/>
      <c r="H53" s="11">
        <v>778</v>
      </c>
      <c r="I53" s="15"/>
      <c r="J53" s="12">
        <f t="shared" si="4"/>
        <v>27175.21</v>
      </c>
      <c r="K53" s="12">
        <f t="shared" si="5"/>
        <v>61853.329999999987</v>
      </c>
    </row>
    <row r="54" spans="2:11" ht="15.75" thickBot="1" x14ac:dyDescent="0.3">
      <c r="B54" s="5"/>
      <c r="C54" s="7" t="s">
        <v>0</v>
      </c>
      <c r="D54" s="62">
        <f>SUM(D4:D53)</f>
        <v>46725</v>
      </c>
      <c r="E54" s="61">
        <f>SUM(E4:E53)</f>
        <v>0</v>
      </c>
      <c r="F54" s="71">
        <f>SUM(D54:E54)</f>
        <v>46725</v>
      </c>
      <c r="G54" s="80">
        <f>SUM(G4:G53)</f>
        <v>0</v>
      </c>
      <c r="H54" s="62">
        <f>SUM(H4:H53)</f>
        <v>19251.66</v>
      </c>
      <c r="I54" s="71">
        <f>SUM(G54:H54)</f>
        <v>19251.66</v>
      </c>
      <c r="J54" s="20"/>
      <c r="K54" s="20"/>
    </row>
    <row r="55" spans="2:11" x14ac:dyDescent="0.25">
      <c r="B55" s="68" t="s">
        <v>1</v>
      </c>
      <c r="C55" s="68" t="s">
        <v>2</v>
      </c>
      <c r="D55" s="68" t="s">
        <v>3</v>
      </c>
      <c r="E55" s="68" t="s">
        <v>3</v>
      </c>
      <c r="F55" s="68" t="s">
        <v>22</v>
      </c>
      <c r="G55" s="68" t="s">
        <v>23</v>
      </c>
      <c r="H55" s="48" t="s">
        <v>23</v>
      </c>
      <c r="I55" s="48" t="s">
        <v>22</v>
      </c>
      <c r="J55" s="68" t="s">
        <v>8</v>
      </c>
      <c r="K55" s="48" t="s">
        <v>7</v>
      </c>
    </row>
    <row r="56" spans="2:11" ht="15.75" thickBot="1" x14ac:dyDescent="0.3">
      <c r="B56" s="69"/>
      <c r="C56" s="69"/>
      <c r="D56" s="69" t="s">
        <v>5</v>
      </c>
      <c r="E56" s="69" t="s">
        <v>24</v>
      </c>
      <c r="F56" s="69" t="s">
        <v>3</v>
      </c>
      <c r="G56" s="69" t="s">
        <v>24</v>
      </c>
      <c r="H56" s="70" t="s">
        <v>5</v>
      </c>
      <c r="I56" s="70" t="s">
        <v>4</v>
      </c>
      <c r="J56" s="69"/>
      <c r="K56" s="70"/>
    </row>
    <row r="57" spans="2:11" ht="15.75" thickBot="1" x14ac:dyDescent="0.3">
      <c r="B57" s="5"/>
      <c r="C57" s="7" t="s">
        <v>0</v>
      </c>
      <c r="D57" s="62">
        <v>46725</v>
      </c>
      <c r="E57" s="61">
        <v>0</v>
      </c>
      <c r="F57" s="71">
        <f>SUM(D57:E57)</f>
        <v>46725</v>
      </c>
      <c r="G57" s="80">
        <v>0</v>
      </c>
      <c r="H57" s="62">
        <v>19251.66</v>
      </c>
      <c r="I57" s="71">
        <f>SUM(G57:H57)</f>
        <v>19251.66</v>
      </c>
      <c r="J57" s="20">
        <v>27175.21</v>
      </c>
      <c r="K57" s="12">
        <v>61853.33</v>
      </c>
    </row>
    <row r="58" spans="2:11" x14ac:dyDescent="0.25">
      <c r="B58" s="18">
        <v>43294</v>
      </c>
      <c r="C58" s="13" t="s">
        <v>586</v>
      </c>
      <c r="D58" s="41"/>
      <c r="E58" s="41">
        <v>12760</v>
      </c>
      <c r="F58" s="41"/>
      <c r="G58" s="16"/>
      <c r="H58" s="11"/>
      <c r="I58" s="15"/>
      <c r="J58" s="12">
        <f>+J57+E58-G58</f>
        <v>39935.21</v>
      </c>
      <c r="K58" s="12">
        <f>+K57+D58-H58</f>
        <v>61853.33</v>
      </c>
    </row>
    <row r="59" spans="2:11" x14ac:dyDescent="0.25">
      <c r="B59" s="18">
        <v>43294</v>
      </c>
      <c r="C59" s="13" t="s">
        <v>585</v>
      </c>
      <c r="D59" s="41"/>
      <c r="E59" s="41"/>
      <c r="F59" s="41"/>
      <c r="G59" s="41"/>
      <c r="H59" s="11">
        <v>168.03</v>
      </c>
      <c r="I59" s="15"/>
      <c r="J59" s="12">
        <f t="shared" ref="J59:J99" si="6">+J58+E59-G59</f>
        <v>39935.21</v>
      </c>
      <c r="K59" s="12">
        <f t="shared" ref="K59:K99" si="7">+K58+D59-H59</f>
        <v>61685.3</v>
      </c>
    </row>
    <row r="60" spans="2:11" x14ac:dyDescent="0.25">
      <c r="B60" s="18">
        <v>43296</v>
      </c>
      <c r="C60" s="13" t="s">
        <v>559</v>
      </c>
      <c r="D60" s="11"/>
      <c r="E60" s="11"/>
      <c r="F60" s="11"/>
      <c r="G60" s="11"/>
      <c r="H60" s="11">
        <v>33.5</v>
      </c>
      <c r="I60" s="15"/>
      <c r="J60" s="12">
        <f t="shared" si="6"/>
        <v>39935.21</v>
      </c>
      <c r="K60" s="12">
        <f t="shared" si="7"/>
        <v>61651.8</v>
      </c>
    </row>
    <row r="61" spans="2:11" x14ac:dyDescent="0.25">
      <c r="B61" s="18">
        <v>43296</v>
      </c>
      <c r="C61" s="13" t="s">
        <v>587</v>
      </c>
      <c r="D61" s="11"/>
      <c r="E61" s="11"/>
      <c r="F61" s="11"/>
      <c r="G61" s="11"/>
      <c r="H61" s="11">
        <v>52</v>
      </c>
      <c r="I61" s="15"/>
      <c r="J61" s="12">
        <f t="shared" si="6"/>
        <v>39935.21</v>
      </c>
      <c r="K61" s="12">
        <f t="shared" si="7"/>
        <v>61599.8</v>
      </c>
    </row>
    <row r="62" spans="2:11" x14ac:dyDescent="0.25">
      <c r="B62" s="18">
        <v>43296</v>
      </c>
      <c r="C62" s="13" t="s">
        <v>588</v>
      </c>
      <c r="D62" s="11"/>
      <c r="E62" s="11"/>
      <c r="F62" s="11"/>
      <c r="G62" s="11"/>
      <c r="H62" s="11">
        <v>94.42</v>
      </c>
      <c r="I62" s="15"/>
      <c r="J62" s="12">
        <f t="shared" si="6"/>
        <v>39935.21</v>
      </c>
      <c r="K62" s="12">
        <f t="shared" si="7"/>
        <v>61505.380000000005</v>
      </c>
    </row>
    <row r="63" spans="2:11" x14ac:dyDescent="0.25">
      <c r="B63" s="18">
        <v>43296</v>
      </c>
      <c r="C63" s="9" t="s">
        <v>547</v>
      </c>
      <c r="D63" s="11"/>
      <c r="E63" s="11"/>
      <c r="F63" s="11"/>
      <c r="G63" s="11"/>
      <c r="H63" s="11">
        <v>120</v>
      </c>
      <c r="I63" s="15"/>
      <c r="J63" s="12">
        <f t="shared" si="6"/>
        <v>39935.21</v>
      </c>
      <c r="K63" s="12">
        <f t="shared" si="7"/>
        <v>61385.380000000005</v>
      </c>
    </row>
    <row r="64" spans="2:11" x14ac:dyDescent="0.25">
      <c r="B64" s="18">
        <v>43296</v>
      </c>
      <c r="C64" s="9" t="s">
        <v>364</v>
      </c>
      <c r="D64" s="11"/>
      <c r="E64" s="11"/>
      <c r="F64" s="11"/>
      <c r="G64" s="11"/>
      <c r="H64" s="11">
        <v>150</v>
      </c>
      <c r="I64" s="15"/>
      <c r="J64" s="12">
        <f t="shared" si="6"/>
        <v>39935.21</v>
      </c>
      <c r="K64" s="12">
        <f t="shared" si="7"/>
        <v>61235.380000000005</v>
      </c>
    </row>
    <row r="65" spans="2:11" x14ac:dyDescent="0.25">
      <c r="B65" s="18">
        <v>43296</v>
      </c>
      <c r="C65" s="9" t="s">
        <v>589</v>
      </c>
      <c r="D65" s="11"/>
      <c r="E65" s="11"/>
      <c r="F65" s="11"/>
      <c r="G65" s="11"/>
      <c r="H65" s="59">
        <v>350</v>
      </c>
      <c r="I65" s="15"/>
      <c r="J65" s="12">
        <f t="shared" si="6"/>
        <v>39935.21</v>
      </c>
      <c r="K65" s="12">
        <f t="shared" si="7"/>
        <v>60885.380000000005</v>
      </c>
    </row>
    <row r="66" spans="2:11" x14ac:dyDescent="0.25">
      <c r="B66" s="18">
        <v>43296</v>
      </c>
      <c r="C66" s="13" t="s">
        <v>590</v>
      </c>
      <c r="D66" s="41"/>
      <c r="E66" s="41"/>
      <c r="F66" s="41"/>
      <c r="G66" s="41"/>
      <c r="H66" s="11">
        <v>550</v>
      </c>
      <c r="I66" s="15"/>
      <c r="J66" s="12">
        <f t="shared" si="6"/>
        <v>39935.21</v>
      </c>
      <c r="K66" s="12">
        <f t="shared" si="7"/>
        <v>60335.380000000005</v>
      </c>
    </row>
    <row r="67" spans="2:11" x14ac:dyDescent="0.25">
      <c r="B67" s="18">
        <v>43296</v>
      </c>
      <c r="C67" s="13" t="s">
        <v>591</v>
      </c>
      <c r="D67" s="41"/>
      <c r="E67" s="41"/>
      <c r="F67" s="41"/>
      <c r="G67" s="16"/>
      <c r="H67" s="11">
        <v>2000</v>
      </c>
      <c r="I67" s="15"/>
      <c r="J67" s="12">
        <f t="shared" si="6"/>
        <v>39935.21</v>
      </c>
      <c r="K67" s="12">
        <f t="shared" si="7"/>
        <v>58335.380000000005</v>
      </c>
    </row>
    <row r="68" spans="2:11" x14ac:dyDescent="0.25">
      <c r="B68" s="18">
        <v>43296</v>
      </c>
      <c r="C68" s="13" t="s">
        <v>592</v>
      </c>
      <c r="D68" s="41"/>
      <c r="E68" s="41"/>
      <c r="F68" s="41"/>
      <c r="G68" s="41"/>
      <c r="H68" s="11">
        <v>4000</v>
      </c>
      <c r="I68" s="15"/>
      <c r="J68" s="12">
        <f t="shared" si="6"/>
        <v>39935.21</v>
      </c>
      <c r="K68" s="12">
        <f t="shared" si="7"/>
        <v>54335.380000000005</v>
      </c>
    </row>
    <row r="69" spans="2:11" x14ac:dyDescent="0.25">
      <c r="B69" s="18">
        <v>43296</v>
      </c>
      <c r="C69" s="9" t="s">
        <v>593</v>
      </c>
      <c r="D69" s="11"/>
      <c r="E69" s="11"/>
      <c r="F69" s="11"/>
      <c r="G69" s="11"/>
      <c r="H69" s="59">
        <v>40000</v>
      </c>
      <c r="I69" s="15"/>
      <c r="J69" s="12">
        <f t="shared" si="6"/>
        <v>39935.21</v>
      </c>
      <c r="K69" s="12">
        <f t="shared" si="7"/>
        <v>14335.380000000005</v>
      </c>
    </row>
    <row r="70" spans="2:11" x14ac:dyDescent="0.25">
      <c r="B70" s="18">
        <v>43296</v>
      </c>
      <c r="C70" s="13" t="s">
        <v>594</v>
      </c>
      <c r="D70" s="11">
        <v>12900</v>
      </c>
      <c r="E70" s="11"/>
      <c r="F70" s="11"/>
      <c r="G70" s="11"/>
      <c r="H70" s="11"/>
      <c r="I70" s="15"/>
      <c r="J70" s="12">
        <f t="shared" si="6"/>
        <v>39935.21</v>
      </c>
      <c r="K70" s="12">
        <f t="shared" si="7"/>
        <v>27235.380000000005</v>
      </c>
    </row>
    <row r="71" spans="2:11" x14ac:dyDescent="0.25">
      <c r="B71" s="18">
        <v>43297</v>
      </c>
      <c r="C71" s="9" t="s">
        <v>595</v>
      </c>
      <c r="D71" s="11"/>
      <c r="E71" s="11"/>
      <c r="F71" s="11"/>
      <c r="G71" s="11"/>
      <c r="H71" s="11">
        <v>200</v>
      </c>
      <c r="I71" s="15"/>
      <c r="J71" s="12">
        <f t="shared" si="6"/>
        <v>39935.21</v>
      </c>
      <c r="K71" s="12">
        <f t="shared" si="7"/>
        <v>27035.380000000005</v>
      </c>
    </row>
    <row r="72" spans="2:11" x14ac:dyDescent="0.25">
      <c r="B72" s="18">
        <v>43297</v>
      </c>
      <c r="C72" s="13" t="s">
        <v>596</v>
      </c>
      <c r="D72" s="11"/>
      <c r="E72" s="11"/>
      <c r="F72" s="11"/>
      <c r="G72" s="11"/>
      <c r="H72" s="11">
        <v>250</v>
      </c>
      <c r="I72" s="15"/>
      <c r="J72" s="12">
        <f t="shared" si="6"/>
        <v>39935.21</v>
      </c>
      <c r="K72" s="12">
        <f t="shared" si="7"/>
        <v>26785.380000000005</v>
      </c>
    </row>
    <row r="73" spans="2:11" x14ac:dyDescent="0.25">
      <c r="B73" s="18">
        <v>43297</v>
      </c>
      <c r="C73" s="9" t="s">
        <v>597</v>
      </c>
      <c r="D73" s="11"/>
      <c r="E73" s="11"/>
      <c r="F73" s="11"/>
      <c r="G73" s="11"/>
      <c r="H73" s="11">
        <v>180</v>
      </c>
      <c r="I73" s="15"/>
      <c r="J73" s="12">
        <f t="shared" si="6"/>
        <v>39935.21</v>
      </c>
      <c r="K73" s="12">
        <f t="shared" si="7"/>
        <v>26605.380000000005</v>
      </c>
    </row>
    <row r="74" spans="2:11" x14ac:dyDescent="0.25">
      <c r="B74" s="18">
        <v>43298</v>
      </c>
      <c r="C74" s="9" t="s">
        <v>598</v>
      </c>
      <c r="D74" s="11"/>
      <c r="E74" s="11"/>
      <c r="F74" s="11"/>
      <c r="G74" s="11"/>
      <c r="H74" s="11">
        <v>700</v>
      </c>
      <c r="I74" s="15"/>
      <c r="J74" s="12">
        <f t="shared" si="6"/>
        <v>39935.21</v>
      </c>
      <c r="K74" s="12">
        <f t="shared" si="7"/>
        <v>25905.380000000005</v>
      </c>
    </row>
    <row r="75" spans="2:11" x14ac:dyDescent="0.25">
      <c r="B75" s="18">
        <v>43298</v>
      </c>
      <c r="C75" s="13" t="s">
        <v>558</v>
      </c>
      <c r="D75" s="11"/>
      <c r="E75" s="11"/>
      <c r="F75" s="11"/>
      <c r="G75" s="11"/>
      <c r="H75" s="11">
        <v>200</v>
      </c>
      <c r="I75" s="15"/>
      <c r="J75" s="12">
        <f t="shared" si="6"/>
        <v>39935.21</v>
      </c>
      <c r="K75" s="12">
        <f t="shared" si="7"/>
        <v>25705.380000000005</v>
      </c>
    </row>
    <row r="76" spans="2:11" x14ac:dyDescent="0.25">
      <c r="B76" s="18">
        <v>43299</v>
      </c>
      <c r="C76" s="13" t="s">
        <v>599</v>
      </c>
      <c r="D76" s="11"/>
      <c r="E76" s="11"/>
      <c r="F76" s="11"/>
      <c r="G76" s="11"/>
      <c r="H76" s="11">
        <v>179.85</v>
      </c>
      <c r="I76" s="15"/>
      <c r="J76" s="12">
        <f t="shared" si="6"/>
        <v>39935.21</v>
      </c>
      <c r="K76" s="12">
        <f t="shared" si="7"/>
        <v>25525.530000000006</v>
      </c>
    </row>
    <row r="77" spans="2:11" x14ac:dyDescent="0.25">
      <c r="B77" s="18">
        <v>43299</v>
      </c>
      <c r="C77" s="9" t="s">
        <v>570</v>
      </c>
      <c r="D77" s="11"/>
      <c r="E77" s="11"/>
      <c r="F77" s="11"/>
      <c r="G77" s="11"/>
      <c r="H77" s="11">
        <v>105</v>
      </c>
      <c r="I77" s="15"/>
      <c r="J77" s="12">
        <f t="shared" si="6"/>
        <v>39935.21</v>
      </c>
      <c r="K77" s="12">
        <f t="shared" si="7"/>
        <v>25420.530000000006</v>
      </c>
    </row>
    <row r="78" spans="2:11" x14ac:dyDescent="0.25">
      <c r="B78" s="18">
        <v>43299</v>
      </c>
      <c r="C78" s="9" t="s">
        <v>600</v>
      </c>
      <c r="D78" s="11"/>
      <c r="E78" s="11"/>
      <c r="F78" s="11"/>
      <c r="G78" s="11"/>
      <c r="H78" s="11">
        <v>229</v>
      </c>
      <c r="I78" s="15"/>
      <c r="J78" s="12">
        <f t="shared" si="6"/>
        <v>39935.21</v>
      </c>
      <c r="K78" s="12">
        <f t="shared" si="7"/>
        <v>25191.530000000006</v>
      </c>
    </row>
    <row r="79" spans="2:11" x14ac:dyDescent="0.25">
      <c r="B79" s="18">
        <v>43299</v>
      </c>
      <c r="C79" s="13" t="s">
        <v>601</v>
      </c>
      <c r="D79" s="11"/>
      <c r="E79" s="11"/>
      <c r="F79" s="11"/>
      <c r="G79" s="11"/>
      <c r="H79" s="11">
        <v>45</v>
      </c>
      <c r="I79" s="15"/>
      <c r="J79" s="12">
        <f t="shared" si="6"/>
        <v>39935.21</v>
      </c>
      <c r="K79" s="12">
        <f t="shared" si="7"/>
        <v>25146.530000000006</v>
      </c>
    </row>
    <row r="80" spans="2:11" x14ac:dyDescent="0.25">
      <c r="B80" s="18">
        <v>43299</v>
      </c>
      <c r="C80" s="35" t="s">
        <v>602</v>
      </c>
      <c r="D80" s="11"/>
      <c r="E80" s="11"/>
      <c r="F80" s="11"/>
      <c r="G80" s="11"/>
      <c r="H80" s="11">
        <v>60</v>
      </c>
      <c r="I80" s="15"/>
      <c r="J80" s="12">
        <f t="shared" si="6"/>
        <v>39935.21</v>
      </c>
      <c r="K80" s="12">
        <f t="shared" si="7"/>
        <v>25086.530000000006</v>
      </c>
    </row>
    <row r="81" spans="2:11" x14ac:dyDescent="0.25">
      <c r="B81" s="18">
        <v>43299</v>
      </c>
      <c r="C81" s="9" t="s">
        <v>603</v>
      </c>
      <c r="D81" s="11"/>
      <c r="E81" s="11"/>
      <c r="F81" s="11"/>
      <c r="G81" s="11">
        <v>1760</v>
      </c>
      <c r="H81" s="11"/>
      <c r="I81" s="15"/>
      <c r="J81" s="12">
        <f t="shared" si="6"/>
        <v>38175.21</v>
      </c>
      <c r="K81" s="12">
        <f t="shared" si="7"/>
        <v>25086.530000000006</v>
      </c>
    </row>
    <row r="82" spans="2:11" x14ac:dyDescent="0.25">
      <c r="B82" s="18">
        <v>43299</v>
      </c>
      <c r="C82" s="9" t="s">
        <v>604</v>
      </c>
      <c r="D82" s="11"/>
      <c r="E82" s="11"/>
      <c r="F82" s="11"/>
      <c r="G82" s="11">
        <v>1400</v>
      </c>
      <c r="H82" s="11"/>
      <c r="I82" s="15"/>
      <c r="J82" s="12">
        <f t="shared" si="6"/>
        <v>36775.21</v>
      </c>
      <c r="K82" s="12">
        <f t="shared" si="7"/>
        <v>25086.530000000006</v>
      </c>
    </row>
    <row r="83" spans="2:11" x14ac:dyDescent="0.25">
      <c r="B83" s="18">
        <v>43299</v>
      </c>
      <c r="C83" s="9" t="s">
        <v>605</v>
      </c>
      <c r="D83" s="11"/>
      <c r="E83" s="11"/>
      <c r="F83" s="11"/>
      <c r="G83" s="11"/>
      <c r="H83" s="11">
        <v>958.2</v>
      </c>
      <c r="I83" s="15"/>
      <c r="J83" s="12">
        <f t="shared" si="6"/>
        <v>36775.21</v>
      </c>
      <c r="K83" s="12">
        <f t="shared" si="7"/>
        <v>24128.330000000005</v>
      </c>
    </row>
    <row r="84" spans="2:11" x14ac:dyDescent="0.25">
      <c r="B84" s="18">
        <v>43300</v>
      </c>
      <c r="C84" s="9" t="s">
        <v>559</v>
      </c>
      <c r="D84" s="11"/>
      <c r="E84" s="11"/>
      <c r="F84" s="11"/>
      <c r="G84" s="11"/>
      <c r="H84" s="11">
        <v>84</v>
      </c>
      <c r="I84" s="15"/>
      <c r="J84" s="12">
        <f t="shared" si="6"/>
        <v>36775.21</v>
      </c>
      <c r="K84" s="12">
        <f t="shared" si="7"/>
        <v>24044.330000000005</v>
      </c>
    </row>
    <row r="85" spans="2:11" x14ac:dyDescent="0.25">
      <c r="B85" s="18">
        <v>43301</v>
      </c>
      <c r="C85" s="35" t="s">
        <v>606</v>
      </c>
      <c r="D85" s="11"/>
      <c r="E85" s="11"/>
      <c r="F85" s="11"/>
      <c r="G85" s="11"/>
      <c r="H85" s="11">
        <v>1250</v>
      </c>
      <c r="I85" s="15"/>
      <c r="J85" s="12">
        <f t="shared" si="6"/>
        <v>36775.21</v>
      </c>
      <c r="K85" s="12">
        <f t="shared" si="7"/>
        <v>22794.330000000005</v>
      </c>
    </row>
    <row r="86" spans="2:11" x14ac:dyDescent="0.25">
      <c r="B86" s="18">
        <v>43301</v>
      </c>
      <c r="C86" s="34" t="s">
        <v>607</v>
      </c>
      <c r="D86" s="11"/>
      <c r="E86" s="11"/>
      <c r="F86" s="11"/>
      <c r="G86" s="11"/>
      <c r="H86" s="11">
        <v>516</v>
      </c>
      <c r="I86" s="15"/>
      <c r="J86" s="12">
        <f t="shared" si="6"/>
        <v>36775.21</v>
      </c>
      <c r="K86" s="12">
        <f t="shared" si="7"/>
        <v>22278.330000000005</v>
      </c>
    </row>
    <row r="87" spans="2:11" x14ac:dyDescent="0.25">
      <c r="B87" s="18">
        <v>43301</v>
      </c>
      <c r="C87" s="35" t="s">
        <v>608</v>
      </c>
      <c r="D87" s="11"/>
      <c r="E87" s="11"/>
      <c r="F87" s="11"/>
      <c r="G87" s="11"/>
      <c r="H87" s="11">
        <v>200</v>
      </c>
      <c r="I87" s="15"/>
      <c r="J87" s="12">
        <f t="shared" si="6"/>
        <v>36775.21</v>
      </c>
      <c r="K87" s="12">
        <f t="shared" si="7"/>
        <v>22078.330000000005</v>
      </c>
    </row>
    <row r="88" spans="2:11" x14ac:dyDescent="0.25">
      <c r="B88" s="18">
        <v>43303</v>
      </c>
      <c r="C88" s="34" t="s">
        <v>609</v>
      </c>
      <c r="D88" s="11">
        <v>12550</v>
      </c>
      <c r="E88" s="11"/>
      <c r="F88" s="11"/>
      <c r="G88" s="11"/>
      <c r="H88" s="11"/>
      <c r="I88" s="15"/>
      <c r="J88" s="12">
        <f t="shared" si="6"/>
        <v>36775.21</v>
      </c>
      <c r="K88" s="12">
        <f t="shared" si="7"/>
        <v>34628.33</v>
      </c>
    </row>
    <row r="89" spans="2:11" x14ac:dyDescent="0.25">
      <c r="B89" s="18">
        <v>43303</v>
      </c>
      <c r="C89" s="9" t="s">
        <v>364</v>
      </c>
      <c r="D89" s="11"/>
      <c r="E89" s="11"/>
      <c r="F89" s="11"/>
      <c r="G89" s="11"/>
      <c r="H89" s="11">
        <v>150</v>
      </c>
      <c r="I89" s="15"/>
      <c r="J89" s="12">
        <f t="shared" si="6"/>
        <v>36775.21</v>
      </c>
      <c r="K89" s="12">
        <f t="shared" si="7"/>
        <v>34478.33</v>
      </c>
    </row>
    <row r="90" spans="2:11" x14ac:dyDescent="0.25">
      <c r="B90" s="18">
        <v>43303</v>
      </c>
      <c r="C90" s="9" t="s">
        <v>610</v>
      </c>
      <c r="D90" s="11"/>
      <c r="E90" s="11"/>
      <c r="F90" s="11"/>
      <c r="G90" s="11"/>
      <c r="H90" s="11">
        <v>120</v>
      </c>
      <c r="I90" s="15"/>
      <c r="J90" s="12">
        <f t="shared" si="6"/>
        <v>36775.21</v>
      </c>
      <c r="K90" s="12">
        <f t="shared" si="7"/>
        <v>34358.33</v>
      </c>
    </row>
    <row r="91" spans="2:11" x14ac:dyDescent="0.25">
      <c r="B91" s="18">
        <v>43303</v>
      </c>
      <c r="C91" s="9" t="s">
        <v>611</v>
      </c>
      <c r="D91" s="11"/>
      <c r="E91" s="11"/>
      <c r="F91" s="11"/>
      <c r="G91" s="11"/>
      <c r="H91" s="11">
        <v>87.4</v>
      </c>
      <c r="I91" s="15"/>
      <c r="J91" s="12">
        <f t="shared" si="6"/>
        <v>36775.21</v>
      </c>
      <c r="K91" s="12">
        <f t="shared" si="7"/>
        <v>34270.93</v>
      </c>
    </row>
    <row r="92" spans="2:11" x14ac:dyDescent="0.25">
      <c r="B92" s="18">
        <v>43304</v>
      </c>
      <c r="C92" s="9" t="s">
        <v>612</v>
      </c>
      <c r="D92" s="11"/>
      <c r="E92" s="11"/>
      <c r="F92" s="11"/>
      <c r="G92" s="11"/>
      <c r="H92" s="11">
        <v>200</v>
      </c>
      <c r="I92" s="15"/>
      <c r="J92" s="12">
        <f t="shared" si="6"/>
        <v>36775.21</v>
      </c>
      <c r="K92" s="12">
        <f t="shared" si="7"/>
        <v>34070.93</v>
      </c>
    </row>
    <row r="93" spans="2:11" x14ac:dyDescent="0.25">
      <c r="B93" s="18">
        <v>43304</v>
      </c>
      <c r="C93" s="9" t="s">
        <v>554</v>
      </c>
      <c r="D93" s="11"/>
      <c r="E93" s="11"/>
      <c r="F93" s="11"/>
      <c r="G93" s="11"/>
      <c r="H93" s="11">
        <v>210</v>
      </c>
      <c r="I93" s="15"/>
      <c r="J93" s="12">
        <f t="shared" si="6"/>
        <v>36775.21</v>
      </c>
      <c r="K93" s="12">
        <f t="shared" si="7"/>
        <v>33860.93</v>
      </c>
    </row>
    <row r="94" spans="2:11" x14ac:dyDescent="0.25">
      <c r="B94" s="18">
        <v>43304</v>
      </c>
      <c r="C94" s="13" t="s">
        <v>613</v>
      </c>
      <c r="D94" s="41"/>
      <c r="E94" s="41"/>
      <c r="F94" s="41"/>
      <c r="G94" s="41"/>
      <c r="H94" s="11">
        <v>750</v>
      </c>
      <c r="I94" s="15"/>
      <c r="J94" s="12">
        <f t="shared" si="6"/>
        <v>36775.21</v>
      </c>
      <c r="K94" s="12">
        <f t="shared" si="7"/>
        <v>33110.93</v>
      </c>
    </row>
    <row r="95" spans="2:11" x14ac:dyDescent="0.25">
      <c r="B95" s="18">
        <v>43304</v>
      </c>
      <c r="C95" s="13" t="s">
        <v>473</v>
      </c>
      <c r="D95" s="41"/>
      <c r="E95" s="41"/>
      <c r="F95" s="41"/>
      <c r="G95" s="16"/>
      <c r="H95" s="11">
        <v>250</v>
      </c>
      <c r="I95" s="15"/>
      <c r="J95" s="12">
        <f t="shared" si="6"/>
        <v>36775.21</v>
      </c>
      <c r="K95" s="12">
        <f t="shared" si="7"/>
        <v>32860.93</v>
      </c>
    </row>
    <row r="96" spans="2:11" x14ac:dyDescent="0.25">
      <c r="B96" s="18">
        <v>43304</v>
      </c>
      <c r="C96" s="13" t="s">
        <v>614</v>
      </c>
      <c r="D96" s="41"/>
      <c r="E96" s="41"/>
      <c r="F96" s="41"/>
      <c r="G96" s="41"/>
      <c r="H96" s="11">
        <v>222</v>
      </c>
      <c r="I96" s="15"/>
      <c r="J96" s="12">
        <f t="shared" si="6"/>
        <v>36775.21</v>
      </c>
      <c r="K96" s="12">
        <f t="shared" si="7"/>
        <v>32638.93</v>
      </c>
    </row>
    <row r="97" spans="2:11" x14ac:dyDescent="0.25">
      <c r="B97" s="18">
        <v>43304</v>
      </c>
      <c r="C97" s="9" t="s">
        <v>615</v>
      </c>
      <c r="D97" s="11"/>
      <c r="E97" s="11"/>
      <c r="F97" s="11"/>
      <c r="G97" s="11"/>
      <c r="H97" s="11">
        <v>94.11</v>
      </c>
      <c r="I97" s="15"/>
      <c r="J97" s="12">
        <f t="shared" si="6"/>
        <v>36775.21</v>
      </c>
      <c r="K97" s="12">
        <f t="shared" si="7"/>
        <v>32544.82</v>
      </c>
    </row>
    <row r="98" spans="2:11" x14ac:dyDescent="0.25">
      <c r="B98" s="18">
        <v>43305</v>
      </c>
      <c r="C98" s="9" t="s">
        <v>616</v>
      </c>
      <c r="D98" s="11"/>
      <c r="E98" s="11"/>
      <c r="F98" s="11"/>
      <c r="G98" s="11"/>
      <c r="H98" s="11">
        <v>36</v>
      </c>
      <c r="I98" s="15"/>
      <c r="J98" s="12">
        <f t="shared" si="6"/>
        <v>36775.21</v>
      </c>
      <c r="K98" s="12">
        <f t="shared" si="7"/>
        <v>32508.82</v>
      </c>
    </row>
    <row r="99" spans="2:11" x14ac:dyDescent="0.25">
      <c r="B99" s="18">
        <v>43305</v>
      </c>
      <c r="C99" s="9" t="s">
        <v>617</v>
      </c>
      <c r="D99" s="11"/>
      <c r="E99" s="11"/>
      <c r="F99" s="11"/>
      <c r="G99" s="11"/>
      <c r="H99" s="11">
        <v>200</v>
      </c>
      <c r="I99" s="15"/>
      <c r="J99" s="12">
        <f t="shared" si="6"/>
        <v>36775.21</v>
      </c>
      <c r="K99" s="12">
        <f t="shared" si="7"/>
        <v>32308.82</v>
      </c>
    </row>
    <row r="100" spans="2:11" x14ac:dyDescent="0.25">
      <c r="B100" s="18">
        <v>43305</v>
      </c>
      <c r="C100" s="9" t="s">
        <v>618</v>
      </c>
      <c r="D100" s="11"/>
      <c r="E100" s="11"/>
      <c r="F100" s="11"/>
      <c r="G100" s="11"/>
      <c r="H100" s="11">
        <v>200</v>
      </c>
      <c r="I100" s="15"/>
      <c r="J100" s="12">
        <f t="shared" ref="J100:J107" si="8">+J99+E100-G100</f>
        <v>36775.21</v>
      </c>
      <c r="K100" s="12">
        <f t="shared" ref="K100:K107" si="9">+K99+D100-H100</f>
        <v>32108.82</v>
      </c>
    </row>
    <row r="101" spans="2:11" x14ac:dyDescent="0.25">
      <c r="B101" s="18">
        <v>43306</v>
      </c>
      <c r="C101" s="9" t="s">
        <v>619</v>
      </c>
      <c r="D101" s="11"/>
      <c r="E101" s="11"/>
      <c r="F101" s="11"/>
      <c r="G101" s="11"/>
      <c r="H101" s="11">
        <v>150</v>
      </c>
      <c r="I101" s="15"/>
      <c r="J101" s="12">
        <f t="shared" si="8"/>
        <v>36775.21</v>
      </c>
      <c r="K101" s="12">
        <f t="shared" si="9"/>
        <v>31958.82</v>
      </c>
    </row>
    <row r="102" spans="2:11" x14ac:dyDescent="0.25">
      <c r="B102" s="18">
        <v>43308</v>
      </c>
      <c r="C102" s="9" t="s">
        <v>581</v>
      </c>
      <c r="D102" s="11"/>
      <c r="E102" s="11"/>
      <c r="F102" s="11"/>
      <c r="G102" s="11"/>
      <c r="H102" s="11">
        <v>300</v>
      </c>
      <c r="I102" s="15"/>
      <c r="J102" s="12">
        <f t="shared" si="8"/>
        <v>36775.21</v>
      </c>
      <c r="K102" s="12">
        <f t="shared" si="9"/>
        <v>31658.82</v>
      </c>
    </row>
    <row r="103" spans="2:11" x14ac:dyDescent="0.25">
      <c r="B103" s="18">
        <v>43308</v>
      </c>
      <c r="C103" s="9" t="s">
        <v>620</v>
      </c>
      <c r="D103" s="11"/>
      <c r="E103" s="11"/>
      <c r="F103" s="11"/>
      <c r="G103" s="11"/>
      <c r="H103" s="11">
        <v>1161.1099999999999</v>
      </c>
      <c r="I103" s="15"/>
      <c r="J103" s="12">
        <f t="shared" si="8"/>
        <v>36775.21</v>
      </c>
      <c r="K103" s="12">
        <f t="shared" si="9"/>
        <v>30497.71</v>
      </c>
    </row>
    <row r="104" spans="2:11" x14ac:dyDescent="0.25">
      <c r="B104" s="18">
        <v>43308</v>
      </c>
      <c r="C104" s="35" t="s">
        <v>621</v>
      </c>
      <c r="D104" s="11"/>
      <c r="E104" s="11"/>
      <c r="F104" s="11"/>
      <c r="G104" s="11"/>
      <c r="H104" s="11">
        <v>1250</v>
      </c>
      <c r="I104" s="15"/>
      <c r="J104" s="12">
        <f t="shared" si="8"/>
        <v>36775.21</v>
      </c>
      <c r="K104" s="12">
        <f t="shared" si="9"/>
        <v>29247.71</v>
      </c>
    </row>
    <row r="105" spans="2:11" x14ac:dyDescent="0.25">
      <c r="B105" s="18">
        <v>43309</v>
      </c>
      <c r="C105" s="9" t="s">
        <v>622</v>
      </c>
      <c r="D105" s="11"/>
      <c r="E105" s="11"/>
      <c r="F105" s="11"/>
      <c r="G105" s="11"/>
      <c r="H105" s="11">
        <v>81.5</v>
      </c>
      <c r="I105" s="15"/>
      <c r="J105" s="12">
        <f t="shared" si="8"/>
        <v>36775.21</v>
      </c>
      <c r="K105" s="12">
        <f t="shared" si="9"/>
        <v>29166.21</v>
      </c>
    </row>
    <row r="106" spans="2:11" x14ac:dyDescent="0.25">
      <c r="B106" s="18">
        <v>43309</v>
      </c>
      <c r="C106" s="9" t="s">
        <v>289</v>
      </c>
      <c r="D106" s="11"/>
      <c r="E106" s="11"/>
      <c r="F106" s="11"/>
      <c r="G106" s="11"/>
      <c r="H106" s="11">
        <v>200</v>
      </c>
      <c r="I106" s="15"/>
      <c r="J106" s="12">
        <f t="shared" si="8"/>
        <v>36775.21</v>
      </c>
      <c r="K106" s="12">
        <f t="shared" si="9"/>
        <v>28966.21</v>
      </c>
    </row>
    <row r="107" spans="2:11" ht="15.75" thickBot="1" x14ac:dyDescent="0.3">
      <c r="B107" s="18">
        <v>43309</v>
      </c>
      <c r="C107" s="9" t="s">
        <v>623</v>
      </c>
      <c r="D107" s="11"/>
      <c r="E107" s="11"/>
      <c r="F107" s="11"/>
      <c r="G107" s="11"/>
      <c r="H107" s="11">
        <v>95</v>
      </c>
      <c r="I107" s="15"/>
      <c r="J107" s="12">
        <f t="shared" si="8"/>
        <v>36775.21</v>
      </c>
      <c r="K107" s="12">
        <f t="shared" si="9"/>
        <v>28871.21</v>
      </c>
    </row>
    <row r="108" spans="2:11" ht="15.75" thickBot="1" x14ac:dyDescent="0.3">
      <c r="B108" s="5"/>
      <c r="C108" s="7" t="s">
        <v>0</v>
      </c>
      <c r="D108" s="62">
        <f>SUM(D55:D107)</f>
        <v>72175</v>
      </c>
      <c r="E108" s="61">
        <f>SUM(E55:E107)</f>
        <v>12760</v>
      </c>
      <c r="F108" s="71">
        <f>SUM(D108:E108)</f>
        <v>84935</v>
      </c>
      <c r="G108" s="80">
        <f>SUM(G57:G107)</f>
        <v>3160</v>
      </c>
      <c r="H108" s="62">
        <f>SUM(H57:H107)</f>
        <v>77683.78</v>
      </c>
      <c r="I108" s="71">
        <f>SUM(G108:H108)</f>
        <v>80843.78</v>
      </c>
      <c r="J108" s="20"/>
      <c r="K108" s="20"/>
    </row>
    <row r="109" spans="2:11" x14ac:dyDescent="0.25">
      <c r="B109" s="68" t="s">
        <v>1</v>
      </c>
      <c r="C109" s="68" t="s">
        <v>2</v>
      </c>
      <c r="D109" s="68" t="s">
        <v>3</v>
      </c>
      <c r="E109" s="68" t="s">
        <v>3</v>
      </c>
      <c r="F109" s="68" t="s">
        <v>22</v>
      </c>
      <c r="G109" s="68" t="s">
        <v>23</v>
      </c>
      <c r="H109" s="48" t="s">
        <v>23</v>
      </c>
      <c r="I109" s="48" t="s">
        <v>22</v>
      </c>
      <c r="J109" s="68" t="s">
        <v>8</v>
      </c>
      <c r="K109" s="48" t="s">
        <v>7</v>
      </c>
    </row>
    <row r="110" spans="2:11" ht="15.75" thickBot="1" x14ac:dyDescent="0.3">
      <c r="B110" s="69"/>
      <c r="C110" s="69"/>
      <c r="D110" s="69" t="s">
        <v>5</v>
      </c>
      <c r="E110" s="69" t="s">
        <v>24</v>
      </c>
      <c r="F110" s="69" t="s">
        <v>3</v>
      </c>
      <c r="G110" s="69" t="s">
        <v>24</v>
      </c>
      <c r="H110" s="70" t="s">
        <v>5</v>
      </c>
      <c r="I110" s="70" t="s">
        <v>4</v>
      </c>
      <c r="J110" s="69"/>
      <c r="K110" s="70"/>
    </row>
    <row r="111" spans="2:11" ht="15.75" thickBot="1" x14ac:dyDescent="0.3">
      <c r="B111" s="5"/>
      <c r="C111" s="7" t="s">
        <v>0</v>
      </c>
      <c r="D111" s="62">
        <v>72175</v>
      </c>
      <c r="E111" s="61">
        <v>12760</v>
      </c>
      <c r="F111" s="71">
        <f>SUM(D111:E111)</f>
        <v>84935</v>
      </c>
      <c r="G111" s="80">
        <v>3160</v>
      </c>
      <c r="H111" s="62">
        <v>77683.78</v>
      </c>
      <c r="I111" s="71">
        <f>SUM(G111:H111)</f>
        <v>80843.78</v>
      </c>
      <c r="J111" s="19">
        <v>36775.21</v>
      </c>
      <c r="K111" s="19">
        <v>28871.21</v>
      </c>
    </row>
    <row r="112" spans="2:11" x14ac:dyDescent="0.25">
      <c r="B112" s="18">
        <v>43310</v>
      </c>
      <c r="C112" s="9" t="s">
        <v>402</v>
      </c>
      <c r="D112" s="11"/>
      <c r="E112" s="11"/>
      <c r="F112" s="11"/>
      <c r="G112" s="11"/>
      <c r="H112" s="11">
        <v>120</v>
      </c>
      <c r="I112" s="15"/>
      <c r="J112" s="12">
        <f>+J111+E112-G112</f>
        <v>36775.21</v>
      </c>
      <c r="K112" s="12">
        <f>+K111+D112-H112</f>
        <v>28751.21</v>
      </c>
    </row>
    <row r="113" spans="2:11" x14ac:dyDescent="0.25">
      <c r="B113" s="18">
        <v>43310</v>
      </c>
      <c r="C113" s="9" t="s">
        <v>364</v>
      </c>
      <c r="D113" s="11"/>
      <c r="E113" s="11"/>
      <c r="F113" s="11"/>
      <c r="G113" s="11"/>
      <c r="H113" s="11">
        <v>150</v>
      </c>
      <c r="I113" s="15"/>
      <c r="J113" s="12">
        <f t="shared" ref="J113:J118" si="10">+J112+E113-G113</f>
        <v>36775.21</v>
      </c>
      <c r="K113" s="12">
        <f t="shared" ref="K113:K118" si="11">+K112+D113-H113</f>
        <v>28601.21</v>
      </c>
    </row>
    <row r="114" spans="2:11" x14ac:dyDescent="0.25">
      <c r="B114" s="18">
        <v>43310</v>
      </c>
      <c r="C114" s="9" t="s">
        <v>624</v>
      </c>
      <c r="D114" s="11"/>
      <c r="E114" s="11"/>
      <c r="F114" s="11"/>
      <c r="G114" s="11"/>
      <c r="H114" s="11">
        <v>78</v>
      </c>
      <c r="I114" s="15"/>
      <c r="J114" s="12">
        <f t="shared" si="10"/>
        <v>36775.21</v>
      </c>
      <c r="K114" s="12">
        <f t="shared" si="11"/>
        <v>28523.21</v>
      </c>
    </row>
    <row r="115" spans="2:11" x14ac:dyDescent="0.25">
      <c r="B115" s="18">
        <v>43310</v>
      </c>
      <c r="C115" s="13" t="s">
        <v>625</v>
      </c>
      <c r="D115" s="11"/>
      <c r="E115" s="11"/>
      <c r="F115" s="11"/>
      <c r="G115" s="11"/>
      <c r="H115" s="11">
        <v>56</v>
      </c>
      <c r="I115" s="15"/>
      <c r="J115" s="12">
        <f t="shared" si="10"/>
        <v>36775.21</v>
      </c>
      <c r="K115" s="12">
        <f t="shared" si="11"/>
        <v>28467.21</v>
      </c>
    </row>
    <row r="116" spans="2:11" x14ac:dyDescent="0.25">
      <c r="B116" s="18">
        <v>43310</v>
      </c>
      <c r="C116" s="34" t="s">
        <v>626</v>
      </c>
      <c r="D116" s="11">
        <v>14250</v>
      </c>
      <c r="E116" s="11"/>
      <c r="F116" s="11"/>
      <c r="G116" s="11"/>
      <c r="H116" s="11"/>
      <c r="I116" s="15"/>
      <c r="J116" s="12">
        <f t="shared" si="10"/>
        <v>36775.21</v>
      </c>
      <c r="K116" s="12">
        <f t="shared" si="11"/>
        <v>42717.21</v>
      </c>
    </row>
    <row r="117" spans="2:11" x14ac:dyDescent="0.25">
      <c r="B117" s="18">
        <v>43311</v>
      </c>
      <c r="C117" s="13" t="s">
        <v>615</v>
      </c>
      <c r="D117" s="11"/>
      <c r="E117" s="11"/>
      <c r="F117" s="11"/>
      <c r="G117" s="11"/>
      <c r="H117" s="11">
        <v>90.29</v>
      </c>
      <c r="I117" s="15"/>
      <c r="J117" s="12">
        <f t="shared" si="10"/>
        <v>36775.21</v>
      </c>
      <c r="K117" s="12">
        <f t="shared" si="11"/>
        <v>42626.92</v>
      </c>
    </row>
    <row r="118" spans="2:11" x14ac:dyDescent="0.25">
      <c r="B118" s="18">
        <v>43312</v>
      </c>
      <c r="C118" s="13" t="s">
        <v>627</v>
      </c>
      <c r="D118" s="11"/>
      <c r="E118" s="11"/>
      <c r="F118" s="11"/>
      <c r="G118" s="11"/>
      <c r="H118" s="11">
        <v>400</v>
      </c>
      <c r="I118" s="15"/>
      <c r="J118" s="12">
        <f t="shared" si="10"/>
        <v>36775.21</v>
      </c>
      <c r="K118" s="12">
        <f t="shared" si="11"/>
        <v>42226.92</v>
      </c>
    </row>
    <row r="119" spans="2:11" x14ac:dyDescent="0.25">
      <c r="B119" s="18">
        <v>43312</v>
      </c>
      <c r="C119" s="13" t="s">
        <v>613</v>
      </c>
      <c r="D119" s="11"/>
      <c r="E119" s="11"/>
      <c r="F119" s="11"/>
      <c r="G119" s="11"/>
      <c r="H119" s="11">
        <v>360</v>
      </c>
      <c r="I119" s="15"/>
      <c r="J119" s="12">
        <f t="shared" ref="J119:J130" si="12">+J118+E119-G119</f>
        <v>36775.21</v>
      </c>
      <c r="K119" s="12">
        <f t="shared" ref="K119:K130" si="13">+K118+D119-H119</f>
        <v>41866.92</v>
      </c>
    </row>
    <row r="120" spans="2:11" x14ac:dyDescent="0.25">
      <c r="B120" s="18">
        <v>43312</v>
      </c>
      <c r="C120" s="13" t="s">
        <v>628</v>
      </c>
      <c r="D120" s="11"/>
      <c r="E120" s="11"/>
      <c r="F120" s="11"/>
      <c r="G120" s="11"/>
      <c r="H120" s="11">
        <v>200</v>
      </c>
      <c r="I120" s="15"/>
      <c r="J120" s="12">
        <f t="shared" si="12"/>
        <v>36775.21</v>
      </c>
      <c r="K120" s="12">
        <f t="shared" si="13"/>
        <v>41666.92</v>
      </c>
    </row>
    <row r="121" spans="2:11" x14ac:dyDescent="0.25">
      <c r="B121" s="18">
        <v>43312</v>
      </c>
      <c r="C121" s="13" t="s">
        <v>629</v>
      </c>
      <c r="D121" s="11"/>
      <c r="E121" s="11"/>
      <c r="F121" s="11"/>
      <c r="G121" s="11"/>
      <c r="H121" s="11">
        <v>300</v>
      </c>
      <c r="I121" s="15"/>
      <c r="J121" s="12">
        <f t="shared" si="12"/>
        <v>36775.21</v>
      </c>
      <c r="K121" s="12">
        <f t="shared" si="13"/>
        <v>41366.92</v>
      </c>
    </row>
    <row r="122" spans="2:11" x14ac:dyDescent="0.25">
      <c r="B122" s="18">
        <v>43312</v>
      </c>
      <c r="C122" s="13" t="s">
        <v>630</v>
      </c>
      <c r="D122" s="11"/>
      <c r="E122" s="11"/>
      <c r="F122" s="11"/>
      <c r="G122" s="11"/>
      <c r="H122" s="11">
        <v>550</v>
      </c>
      <c r="I122" s="15"/>
      <c r="J122" s="12">
        <f t="shared" si="12"/>
        <v>36775.21</v>
      </c>
      <c r="K122" s="12">
        <f t="shared" si="13"/>
        <v>40816.92</v>
      </c>
    </row>
    <row r="123" spans="2:11" x14ac:dyDescent="0.25">
      <c r="B123" s="18">
        <v>43312</v>
      </c>
      <c r="C123" s="13" t="s">
        <v>631</v>
      </c>
      <c r="D123" s="11"/>
      <c r="E123" s="11"/>
      <c r="F123" s="11"/>
      <c r="G123" s="11"/>
      <c r="H123" s="11">
        <v>2000</v>
      </c>
      <c r="I123" s="15"/>
      <c r="J123" s="12">
        <f t="shared" si="12"/>
        <v>36775.21</v>
      </c>
      <c r="K123" s="12">
        <f t="shared" si="13"/>
        <v>38816.92</v>
      </c>
    </row>
    <row r="124" spans="2:11" x14ac:dyDescent="0.25">
      <c r="B124" s="18">
        <v>43312</v>
      </c>
      <c r="C124" s="13" t="s">
        <v>632</v>
      </c>
      <c r="D124" s="11"/>
      <c r="E124" s="11"/>
      <c r="F124" s="11"/>
      <c r="G124" s="11"/>
      <c r="H124" s="11">
        <v>4000</v>
      </c>
      <c r="I124" s="15"/>
      <c r="J124" s="12">
        <f t="shared" si="12"/>
        <v>36775.21</v>
      </c>
      <c r="K124" s="12">
        <f t="shared" si="13"/>
        <v>34816.92</v>
      </c>
    </row>
    <row r="125" spans="2:11" x14ac:dyDescent="0.25">
      <c r="B125" s="18">
        <v>43312</v>
      </c>
      <c r="C125" s="13" t="s">
        <v>633</v>
      </c>
      <c r="D125" s="11"/>
      <c r="E125" s="11"/>
      <c r="F125" s="11"/>
      <c r="G125" s="11"/>
      <c r="H125" s="11">
        <v>15000</v>
      </c>
      <c r="I125" s="15"/>
      <c r="J125" s="12">
        <f t="shared" si="12"/>
        <v>36775.21</v>
      </c>
      <c r="K125" s="12">
        <f t="shared" si="13"/>
        <v>19816.919999999998</v>
      </c>
    </row>
    <row r="126" spans="2:11" x14ac:dyDescent="0.25">
      <c r="B126" s="18">
        <v>43312</v>
      </c>
      <c r="C126" s="13" t="s">
        <v>633</v>
      </c>
      <c r="D126" s="11"/>
      <c r="E126" s="11"/>
      <c r="F126" s="11"/>
      <c r="G126" s="11">
        <v>25000</v>
      </c>
      <c r="H126" s="11"/>
      <c r="I126" s="15"/>
      <c r="J126" s="12">
        <f t="shared" si="12"/>
        <v>11775.21</v>
      </c>
      <c r="K126" s="12">
        <f t="shared" si="13"/>
        <v>19816.919999999998</v>
      </c>
    </row>
    <row r="127" spans="2:11" x14ac:dyDescent="0.25">
      <c r="B127" s="18">
        <v>43287</v>
      </c>
      <c r="C127" s="13" t="s">
        <v>634</v>
      </c>
      <c r="D127" s="41"/>
      <c r="E127" s="41">
        <v>300.45999999999998</v>
      </c>
      <c r="F127" s="11"/>
      <c r="G127" s="11"/>
      <c r="H127" s="11"/>
      <c r="I127" s="15"/>
      <c r="J127" s="12">
        <f t="shared" si="12"/>
        <v>12075.669999999998</v>
      </c>
      <c r="K127" s="12">
        <f t="shared" si="13"/>
        <v>19816.919999999998</v>
      </c>
    </row>
    <row r="128" spans="2:11" x14ac:dyDescent="0.25">
      <c r="B128" s="18">
        <v>43312</v>
      </c>
      <c r="C128" s="13" t="s">
        <v>228</v>
      </c>
      <c r="D128" s="41"/>
      <c r="E128" s="41"/>
      <c r="F128" s="11"/>
      <c r="G128" s="11">
        <v>36</v>
      </c>
      <c r="H128" s="11"/>
      <c r="I128" s="15"/>
      <c r="J128" s="12">
        <f t="shared" si="12"/>
        <v>12039.669999999998</v>
      </c>
      <c r="K128" s="12">
        <f t="shared" si="13"/>
        <v>19816.919999999998</v>
      </c>
    </row>
    <row r="129" spans="2:11" x14ac:dyDescent="0.25">
      <c r="B129" s="18">
        <v>43312</v>
      </c>
      <c r="C129" s="13" t="s">
        <v>227</v>
      </c>
      <c r="D129" s="41"/>
      <c r="E129" s="41"/>
      <c r="F129" s="11"/>
      <c r="G129" s="11">
        <v>5.76</v>
      </c>
      <c r="H129" s="11"/>
      <c r="I129" s="15"/>
      <c r="J129" s="12">
        <f t="shared" si="12"/>
        <v>12033.909999999998</v>
      </c>
      <c r="K129" s="12">
        <f t="shared" si="13"/>
        <v>19816.919999999998</v>
      </c>
    </row>
    <row r="130" spans="2:11" ht="15.75" thickBot="1" x14ac:dyDescent="0.3">
      <c r="B130" s="18"/>
      <c r="C130" s="13"/>
      <c r="D130" s="11"/>
      <c r="E130" s="11"/>
      <c r="F130" s="11"/>
      <c r="G130" s="11"/>
      <c r="H130" s="11"/>
      <c r="I130" s="15"/>
      <c r="J130" s="12">
        <f t="shared" si="12"/>
        <v>12033.909999999998</v>
      </c>
      <c r="K130" s="12">
        <f t="shared" si="13"/>
        <v>19816.919999999998</v>
      </c>
    </row>
    <row r="131" spans="2:11" ht="15.75" thickBot="1" x14ac:dyDescent="0.3">
      <c r="B131" s="5"/>
      <c r="C131" s="7" t="s">
        <v>0</v>
      </c>
      <c r="D131" s="62">
        <f>SUM(D111:D130)</f>
        <v>86425</v>
      </c>
      <c r="E131" s="61">
        <f>SUM(E111:E130)</f>
        <v>13060.46</v>
      </c>
      <c r="F131" s="71">
        <f>SUM(D131:E131)</f>
        <v>99485.459999999992</v>
      </c>
      <c r="G131" s="80">
        <f>SUM(G111:G130)</f>
        <v>28201.759999999998</v>
      </c>
      <c r="H131" s="62">
        <f>SUM(H111:H130)</f>
        <v>100988.06999999999</v>
      </c>
      <c r="I131" s="71">
        <f>SUM(G131:H131)</f>
        <v>129189.82999999999</v>
      </c>
      <c r="J131" s="20"/>
      <c r="K131" s="20"/>
    </row>
    <row r="132" spans="2:11" ht="15.75" thickBot="1" x14ac:dyDescent="0.3"/>
    <row r="133" spans="2:11" ht="15.75" thickBot="1" x14ac:dyDescent="0.3">
      <c r="I133" s="74" t="s">
        <v>8</v>
      </c>
      <c r="J133" s="74" t="s">
        <v>7</v>
      </c>
      <c r="K133" s="95" t="s">
        <v>0</v>
      </c>
    </row>
    <row r="134" spans="2:11" ht="15.75" thickBot="1" x14ac:dyDescent="0.3">
      <c r="I134" s="26">
        <v>12033.91</v>
      </c>
      <c r="J134" s="26">
        <v>19816.919999999998</v>
      </c>
      <c r="K134" s="20">
        <f>SUM(I134:J134)</f>
        <v>31850.829999999998</v>
      </c>
    </row>
  </sheetData>
  <printOptions verticalCentered="1"/>
  <pageMargins left="0" right="0" top="0" bottom="0" header="0.31496062992125984" footer="0.31496062992125984"/>
  <pageSetup paperSize="9" scale="73" fitToHeight="0" orientation="landscape" horizontalDpi="0" verticalDpi="0" r:id="rId1"/>
  <ignoredErrors>
    <ignoredError sqref="F54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B1:N115"/>
  <sheetViews>
    <sheetView zoomScale="90" zoomScaleNormal="90" workbookViewId="0">
      <pane ySplit="3" topLeftCell="A97" activePane="bottomLeft" state="frozen"/>
      <selection activeCell="B1" sqref="B1"/>
      <selection pane="bottomLeft" activeCell="C107" sqref="C107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6.140625" customWidth="1"/>
    <col min="4" max="11" width="11.7109375" customWidth="1"/>
    <col min="12" max="12" width="11.42578125" bestFit="1" customWidth="1"/>
  </cols>
  <sheetData>
    <row r="1" spans="2:11" ht="16.5" thickBot="1" x14ac:dyDescent="0.3">
      <c r="B1" s="79"/>
      <c r="C1" s="81" t="s">
        <v>38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69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43312</v>
      </c>
      <c r="C4" s="65" t="s">
        <v>50</v>
      </c>
      <c r="D4" s="66"/>
      <c r="E4" s="63"/>
      <c r="F4" s="63"/>
      <c r="G4" s="63"/>
      <c r="H4" s="17"/>
      <c r="I4" s="64"/>
      <c r="J4" s="73">
        <v>12033.91</v>
      </c>
      <c r="K4" s="97">
        <v>19816.919999999998</v>
      </c>
    </row>
    <row r="5" spans="2:11" x14ac:dyDescent="0.25">
      <c r="B5" s="23">
        <v>43313</v>
      </c>
      <c r="C5" s="9" t="s">
        <v>635</v>
      </c>
      <c r="D5" s="11"/>
      <c r="E5" s="11"/>
      <c r="F5" s="11"/>
      <c r="G5" s="11"/>
      <c r="H5" s="11">
        <v>180</v>
      </c>
      <c r="I5" s="15"/>
      <c r="J5" s="12">
        <f t="shared" ref="J5:J10" si="0">+J4+E5-G5</f>
        <v>12033.91</v>
      </c>
      <c r="K5" s="12">
        <f>+K4+D5-H5</f>
        <v>19636.919999999998</v>
      </c>
    </row>
    <row r="6" spans="2:11" x14ac:dyDescent="0.25">
      <c r="B6" s="23">
        <v>43313</v>
      </c>
      <c r="C6" s="13" t="s">
        <v>636</v>
      </c>
      <c r="D6" s="11"/>
      <c r="E6" s="11"/>
      <c r="F6" s="11"/>
      <c r="G6" s="11"/>
      <c r="H6" s="11">
        <v>1550</v>
      </c>
      <c r="I6" s="15"/>
      <c r="J6" s="12">
        <f t="shared" si="0"/>
        <v>12033.91</v>
      </c>
      <c r="K6" s="12">
        <f t="shared" ref="K6:K10" si="1">+K5+D6-H6</f>
        <v>18086.919999999998</v>
      </c>
    </row>
    <row r="7" spans="2:11" x14ac:dyDescent="0.25">
      <c r="B7" s="18">
        <v>43313</v>
      </c>
      <c r="C7" s="9" t="s">
        <v>651</v>
      </c>
      <c r="D7" s="11"/>
      <c r="E7" s="11"/>
      <c r="F7" s="11"/>
      <c r="G7" s="11"/>
      <c r="H7" s="59">
        <v>300</v>
      </c>
      <c r="I7" s="15"/>
      <c r="J7" s="12">
        <f t="shared" si="0"/>
        <v>12033.91</v>
      </c>
      <c r="K7" s="12">
        <f t="shared" si="1"/>
        <v>17786.919999999998</v>
      </c>
    </row>
    <row r="8" spans="2:11" x14ac:dyDescent="0.25">
      <c r="B8" s="18">
        <v>43313</v>
      </c>
      <c r="C8" s="13" t="s">
        <v>637</v>
      </c>
      <c r="D8" s="11"/>
      <c r="E8" s="11"/>
      <c r="F8" s="11"/>
      <c r="G8" s="11"/>
      <c r="H8" s="11">
        <v>12</v>
      </c>
      <c r="I8" s="15"/>
      <c r="J8" s="12">
        <f t="shared" si="0"/>
        <v>12033.91</v>
      </c>
      <c r="K8" s="12">
        <f t="shared" si="1"/>
        <v>17774.919999999998</v>
      </c>
    </row>
    <row r="9" spans="2:11" x14ac:dyDescent="0.25">
      <c r="B9" s="18">
        <v>43313</v>
      </c>
      <c r="C9" s="9" t="s">
        <v>638</v>
      </c>
      <c r="D9" s="11"/>
      <c r="E9" s="11"/>
      <c r="F9" s="11"/>
      <c r="G9" s="11"/>
      <c r="H9" s="59">
        <v>30</v>
      </c>
      <c r="I9" s="15"/>
      <c r="J9" s="12">
        <f t="shared" si="0"/>
        <v>12033.91</v>
      </c>
      <c r="K9" s="12">
        <f t="shared" si="1"/>
        <v>17744.919999999998</v>
      </c>
    </row>
    <row r="10" spans="2:11" x14ac:dyDescent="0.25">
      <c r="B10" s="18">
        <v>43314</v>
      </c>
      <c r="C10" s="13" t="s">
        <v>639</v>
      </c>
      <c r="D10" s="11"/>
      <c r="E10" s="11"/>
      <c r="F10" s="11"/>
      <c r="G10" s="11"/>
      <c r="H10" s="11">
        <v>80</v>
      </c>
      <c r="I10" s="15"/>
      <c r="J10" s="12">
        <f t="shared" si="0"/>
        <v>12033.91</v>
      </c>
      <c r="K10" s="12">
        <f t="shared" si="1"/>
        <v>17664.919999999998</v>
      </c>
    </row>
    <row r="11" spans="2:11" x14ac:dyDescent="0.25">
      <c r="B11" s="18">
        <v>43315</v>
      </c>
      <c r="C11" s="9" t="s">
        <v>640</v>
      </c>
      <c r="D11" s="11"/>
      <c r="E11" s="11"/>
      <c r="F11" s="11"/>
      <c r="G11" s="11"/>
      <c r="H11" s="11">
        <v>1250</v>
      </c>
      <c r="I11" s="15"/>
      <c r="J11" s="12">
        <f t="shared" ref="J11:J50" si="2">+J10+E11-G11</f>
        <v>12033.91</v>
      </c>
      <c r="K11" s="12">
        <f t="shared" ref="K11:K50" si="3">+K10+D11-H11</f>
        <v>16414.919999999998</v>
      </c>
    </row>
    <row r="12" spans="2:11" x14ac:dyDescent="0.25">
      <c r="B12" s="18">
        <v>43315</v>
      </c>
      <c r="C12" s="9" t="s">
        <v>496</v>
      </c>
      <c r="D12" s="11"/>
      <c r="E12" s="11"/>
      <c r="F12" s="11"/>
      <c r="G12" s="11"/>
      <c r="H12" s="11">
        <v>300</v>
      </c>
      <c r="I12" s="15"/>
      <c r="J12" s="12">
        <f t="shared" si="2"/>
        <v>12033.91</v>
      </c>
      <c r="K12" s="12">
        <f t="shared" si="3"/>
        <v>16114.919999999998</v>
      </c>
    </row>
    <row r="13" spans="2:11" x14ac:dyDescent="0.25">
      <c r="B13" s="18">
        <v>43315</v>
      </c>
      <c r="C13" s="9" t="s">
        <v>641</v>
      </c>
      <c r="D13" s="11"/>
      <c r="E13" s="11"/>
      <c r="F13" s="11"/>
      <c r="G13" s="11"/>
      <c r="H13" s="59">
        <v>200</v>
      </c>
      <c r="I13" s="15"/>
      <c r="J13" s="12">
        <f t="shared" si="2"/>
        <v>12033.91</v>
      </c>
      <c r="K13" s="12">
        <f t="shared" si="3"/>
        <v>15914.919999999998</v>
      </c>
    </row>
    <row r="14" spans="2:11" x14ac:dyDescent="0.25">
      <c r="B14" s="18">
        <v>43316</v>
      </c>
      <c r="C14" s="9" t="s">
        <v>642</v>
      </c>
      <c r="D14" s="11"/>
      <c r="E14" s="11"/>
      <c r="F14" s="11"/>
      <c r="G14" s="11"/>
      <c r="H14" s="11">
        <v>61.5</v>
      </c>
      <c r="I14" s="15"/>
      <c r="J14" s="12">
        <f t="shared" si="2"/>
        <v>12033.91</v>
      </c>
      <c r="K14" s="12">
        <f t="shared" si="3"/>
        <v>15853.419999999998</v>
      </c>
    </row>
    <row r="15" spans="2:11" x14ac:dyDescent="0.25">
      <c r="B15" s="18">
        <v>43317</v>
      </c>
      <c r="C15" s="9" t="s">
        <v>643</v>
      </c>
      <c r="D15" s="11"/>
      <c r="E15" s="11"/>
      <c r="F15" s="11"/>
      <c r="G15" s="11"/>
      <c r="H15" s="59">
        <v>33.5</v>
      </c>
      <c r="I15" s="15"/>
      <c r="J15" s="12">
        <f t="shared" si="2"/>
        <v>12033.91</v>
      </c>
      <c r="K15" s="12">
        <f t="shared" si="3"/>
        <v>15819.919999999998</v>
      </c>
    </row>
    <row r="16" spans="2:11" x14ac:dyDescent="0.25">
      <c r="B16" s="18">
        <v>43317</v>
      </c>
      <c r="C16" s="9" t="s">
        <v>644</v>
      </c>
      <c r="D16" s="11"/>
      <c r="E16" s="11"/>
      <c r="F16" s="11"/>
      <c r="G16" s="11"/>
      <c r="H16" s="11">
        <v>120</v>
      </c>
      <c r="I16" s="15"/>
      <c r="J16" s="12">
        <f t="shared" si="2"/>
        <v>12033.91</v>
      </c>
      <c r="K16" s="12">
        <f t="shared" si="3"/>
        <v>15699.919999999998</v>
      </c>
    </row>
    <row r="17" spans="2:11" x14ac:dyDescent="0.25">
      <c r="B17" s="18">
        <v>43317</v>
      </c>
      <c r="C17" s="9" t="s">
        <v>645</v>
      </c>
      <c r="D17" s="11"/>
      <c r="E17" s="11"/>
      <c r="F17" s="11"/>
      <c r="G17" s="11"/>
      <c r="H17" s="11">
        <v>150</v>
      </c>
      <c r="I17" s="15"/>
      <c r="J17" s="12">
        <f t="shared" si="2"/>
        <v>12033.91</v>
      </c>
      <c r="K17" s="12">
        <f t="shared" si="3"/>
        <v>15549.919999999998</v>
      </c>
    </row>
    <row r="18" spans="2:11" x14ac:dyDescent="0.25">
      <c r="B18" s="18">
        <v>43317</v>
      </c>
      <c r="C18" s="9" t="s">
        <v>646</v>
      </c>
      <c r="D18" s="11"/>
      <c r="E18" s="11"/>
      <c r="F18" s="11"/>
      <c r="G18" s="11"/>
      <c r="H18" s="11">
        <v>81</v>
      </c>
      <c r="I18" s="15"/>
      <c r="J18" s="12">
        <f t="shared" si="2"/>
        <v>12033.91</v>
      </c>
      <c r="K18" s="12">
        <f t="shared" si="3"/>
        <v>15468.919999999998</v>
      </c>
    </row>
    <row r="19" spans="2:11" x14ac:dyDescent="0.25">
      <c r="B19" s="18">
        <v>43317</v>
      </c>
      <c r="C19" s="9" t="s">
        <v>647</v>
      </c>
      <c r="D19" s="11">
        <v>30375</v>
      </c>
      <c r="E19" s="11"/>
      <c r="F19" s="11"/>
      <c r="G19" s="11"/>
      <c r="H19" s="11"/>
      <c r="I19" s="15"/>
      <c r="J19" s="12">
        <f t="shared" si="2"/>
        <v>12033.91</v>
      </c>
      <c r="K19" s="12">
        <f t="shared" si="3"/>
        <v>45843.92</v>
      </c>
    </row>
    <row r="20" spans="2:11" x14ac:dyDescent="0.25">
      <c r="B20" s="18">
        <v>43318</v>
      </c>
      <c r="C20" s="9" t="s">
        <v>648</v>
      </c>
      <c r="D20" s="11"/>
      <c r="E20" s="11"/>
      <c r="F20" s="11"/>
      <c r="G20" s="11"/>
      <c r="H20" s="11">
        <v>210</v>
      </c>
      <c r="I20" s="15"/>
      <c r="J20" s="12">
        <f t="shared" si="2"/>
        <v>12033.91</v>
      </c>
      <c r="K20" s="12">
        <f t="shared" si="3"/>
        <v>45633.919999999998</v>
      </c>
    </row>
    <row r="21" spans="2:11" x14ac:dyDescent="0.25">
      <c r="B21" s="18">
        <v>43318</v>
      </c>
      <c r="C21" s="9" t="s">
        <v>649</v>
      </c>
      <c r="D21" s="11"/>
      <c r="E21" s="11"/>
      <c r="F21" s="11"/>
      <c r="G21" s="11"/>
      <c r="H21" s="11">
        <v>70</v>
      </c>
      <c r="I21" s="15"/>
      <c r="J21" s="12">
        <f t="shared" si="2"/>
        <v>12033.91</v>
      </c>
      <c r="K21" s="12">
        <f t="shared" si="3"/>
        <v>45563.92</v>
      </c>
    </row>
    <row r="22" spans="2:11" x14ac:dyDescent="0.25">
      <c r="B22" s="18">
        <v>43318</v>
      </c>
      <c r="C22" s="9" t="s">
        <v>650</v>
      </c>
      <c r="D22" s="11"/>
      <c r="E22" s="11"/>
      <c r="F22" s="11"/>
      <c r="G22" s="11"/>
      <c r="H22" s="59">
        <v>300</v>
      </c>
      <c r="I22" s="15"/>
      <c r="J22" s="12">
        <f t="shared" si="2"/>
        <v>12033.91</v>
      </c>
      <c r="K22" s="12">
        <f t="shared" si="3"/>
        <v>45263.92</v>
      </c>
    </row>
    <row r="23" spans="2:11" x14ac:dyDescent="0.25">
      <c r="B23" s="18">
        <v>43319</v>
      </c>
      <c r="C23" s="9" t="s">
        <v>652</v>
      </c>
      <c r="D23" s="11"/>
      <c r="E23" s="11"/>
      <c r="F23" s="11"/>
      <c r="G23" s="11"/>
      <c r="H23" s="59">
        <v>400</v>
      </c>
      <c r="I23" s="15"/>
      <c r="J23" s="12">
        <f t="shared" si="2"/>
        <v>12033.91</v>
      </c>
      <c r="K23" s="12">
        <f t="shared" si="3"/>
        <v>44863.92</v>
      </c>
    </row>
    <row r="24" spans="2:11" x14ac:dyDescent="0.25">
      <c r="B24" s="18">
        <v>43320</v>
      </c>
      <c r="C24" s="9" t="s">
        <v>653</v>
      </c>
      <c r="D24" s="11"/>
      <c r="E24" s="11"/>
      <c r="F24" s="11"/>
      <c r="G24" s="11"/>
      <c r="H24" s="11">
        <v>120</v>
      </c>
      <c r="I24" s="15"/>
      <c r="J24" s="12">
        <f t="shared" si="2"/>
        <v>12033.91</v>
      </c>
      <c r="K24" s="12">
        <f t="shared" si="3"/>
        <v>44743.92</v>
      </c>
    </row>
    <row r="25" spans="2:11" x14ac:dyDescent="0.25">
      <c r="B25" s="18">
        <v>43320</v>
      </c>
      <c r="C25" s="9" t="s">
        <v>654</v>
      </c>
      <c r="D25" s="11"/>
      <c r="E25" s="11"/>
      <c r="F25" s="11"/>
      <c r="G25" s="11"/>
      <c r="H25" s="11">
        <v>90</v>
      </c>
      <c r="I25" s="15"/>
      <c r="J25" s="12">
        <f t="shared" si="2"/>
        <v>12033.91</v>
      </c>
      <c r="K25" s="12">
        <f t="shared" si="3"/>
        <v>44653.919999999998</v>
      </c>
    </row>
    <row r="26" spans="2:11" x14ac:dyDescent="0.25">
      <c r="B26" s="18">
        <v>43320</v>
      </c>
      <c r="C26" s="9" t="s">
        <v>496</v>
      </c>
      <c r="D26" s="11"/>
      <c r="E26" s="11"/>
      <c r="F26" s="11"/>
      <c r="G26" s="11"/>
      <c r="H26" s="11">
        <v>300</v>
      </c>
      <c r="I26" s="15"/>
      <c r="J26" s="12">
        <f t="shared" si="2"/>
        <v>12033.91</v>
      </c>
      <c r="K26" s="12">
        <f t="shared" si="3"/>
        <v>44353.919999999998</v>
      </c>
    </row>
    <row r="27" spans="2:11" x14ac:dyDescent="0.25">
      <c r="B27" s="18">
        <v>43320</v>
      </c>
      <c r="C27" s="9" t="s">
        <v>655</v>
      </c>
      <c r="D27" s="11"/>
      <c r="E27" s="11"/>
      <c r="F27" s="11"/>
      <c r="G27" s="11"/>
      <c r="H27" s="11">
        <v>86.9</v>
      </c>
      <c r="I27" s="15"/>
      <c r="J27" s="12">
        <f t="shared" si="2"/>
        <v>12033.91</v>
      </c>
      <c r="K27" s="12">
        <f t="shared" si="3"/>
        <v>44267.02</v>
      </c>
    </row>
    <row r="28" spans="2:11" x14ac:dyDescent="0.25">
      <c r="B28" s="18">
        <v>43321</v>
      </c>
      <c r="C28" s="117" t="s">
        <v>656</v>
      </c>
      <c r="D28" s="11"/>
      <c r="E28" s="11"/>
      <c r="F28" s="11"/>
      <c r="G28" s="11"/>
      <c r="H28" s="11">
        <v>54</v>
      </c>
      <c r="I28" s="15"/>
      <c r="J28" s="12">
        <f t="shared" si="2"/>
        <v>12033.91</v>
      </c>
      <c r="K28" s="12">
        <f t="shared" si="3"/>
        <v>44213.02</v>
      </c>
    </row>
    <row r="29" spans="2:11" x14ac:dyDescent="0.25">
      <c r="B29" s="18">
        <v>43321</v>
      </c>
      <c r="C29" s="9" t="s">
        <v>657</v>
      </c>
      <c r="D29" s="11"/>
      <c r="E29" s="11"/>
      <c r="F29" s="11"/>
      <c r="G29" s="11">
        <v>1760</v>
      </c>
      <c r="H29" s="11"/>
      <c r="I29" s="15"/>
      <c r="J29" s="12">
        <f t="shared" si="2"/>
        <v>10273.91</v>
      </c>
      <c r="K29" s="12">
        <f t="shared" si="3"/>
        <v>44213.02</v>
      </c>
    </row>
    <row r="30" spans="2:11" x14ac:dyDescent="0.25">
      <c r="B30" s="18">
        <v>43321</v>
      </c>
      <c r="C30" s="9" t="s">
        <v>658</v>
      </c>
      <c r="D30" s="11"/>
      <c r="E30" s="11"/>
      <c r="F30" s="11"/>
      <c r="G30" s="11">
        <v>1400</v>
      </c>
      <c r="H30" s="11"/>
      <c r="I30" s="15"/>
      <c r="J30" s="12">
        <f t="shared" si="2"/>
        <v>8873.91</v>
      </c>
      <c r="K30" s="12">
        <f t="shared" si="3"/>
        <v>44213.02</v>
      </c>
    </row>
    <row r="31" spans="2:11" x14ac:dyDescent="0.25">
      <c r="B31" s="18">
        <v>43321</v>
      </c>
      <c r="C31" s="9" t="s">
        <v>661</v>
      </c>
      <c r="D31" s="11"/>
      <c r="E31" s="11"/>
      <c r="F31" s="11"/>
      <c r="G31" s="11"/>
      <c r="H31" s="59">
        <v>200</v>
      </c>
      <c r="I31" s="15"/>
      <c r="J31" s="12">
        <f t="shared" si="2"/>
        <v>8873.91</v>
      </c>
      <c r="K31" s="12">
        <f t="shared" si="3"/>
        <v>44013.02</v>
      </c>
    </row>
    <row r="32" spans="2:11" x14ac:dyDescent="0.25">
      <c r="B32" s="18">
        <v>43322</v>
      </c>
      <c r="C32" s="9" t="s">
        <v>662</v>
      </c>
      <c r="D32" s="11"/>
      <c r="E32" s="11"/>
      <c r="F32" s="11"/>
      <c r="G32" s="11"/>
      <c r="H32" s="11">
        <v>26.5</v>
      </c>
      <c r="I32" s="15"/>
      <c r="J32" s="12">
        <f t="shared" si="2"/>
        <v>8873.91</v>
      </c>
      <c r="K32" s="12">
        <f t="shared" si="3"/>
        <v>43986.52</v>
      </c>
    </row>
    <row r="33" spans="2:11" x14ac:dyDescent="0.25">
      <c r="B33" s="18">
        <v>43322</v>
      </c>
      <c r="C33" s="9" t="s">
        <v>663</v>
      </c>
      <c r="D33" s="11"/>
      <c r="E33" s="11"/>
      <c r="F33" s="11"/>
      <c r="G33" s="11"/>
      <c r="H33" s="11">
        <v>350</v>
      </c>
      <c r="I33" s="15"/>
      <c r="J33" s="12">
        <f t="shared" si="2"/>
        <v>8873.91</v>
      </c>
      <c r="K33" s="12">
        <f t="shared" si="3"/>
        <v>43636.52</v>
      </c>
    </row>
    <row r="34" spans="2:11" x14ac:dyDescent="0.25">
      <c r="B34" s="18">
        <v>43322</v>
      </c>
      <c r="C34" s="9" t="s">
        <v>664</v>
      </c>
      <c r="D34" s="11"/>
      <c r="E34" s="11"/>
      <c r="F34" s="11"/>
      <c r="G34" s="11"/>
      <c r="H34" s="11">
        <v>1250</v>
      </c>
      <c r="I34" s="15"/>
      <c r="J34" s="12">
        <f t="shared" si="2"/>
        <v>8873.91</v>
      </c>
      <c r="K34" s="12">
        <f t="shared" si="3"/>
        <v>42386.52</v>
      </c>
    </row>
    <row r="35" spans="2:11" x14ac:dyDescent="0.25">
      <c r="B35" s="18">
        <v>43324</v>
      </c>
      <c r="C35" s="9" t="s">
        <v>643</v>
      </c>
      <c r="D35" s="11"/>
      <c r="E35" s="11"/>
      <c r="F35" s="11"/>
      <c r="G35" s="11"/>
      <c r="H35" s="11">
        <v>41</v>
      </c>
      <c r="I35" s="15"/>
      <c r="J35" s="12">
        <f t="shared" si="2"/>
        <v>8873.91</v>
      </c>
      <c r="K35" s="12">
        <f t="shared" si="3"/>
        <v>42345.52</v>
      </c>
    </row>
    <row r="36" spans="2:11" x14ac:dyDescent="0.25">
      <c r="B36" s="18">
        <v>43324</v>
      </c>
      <c r="C36" s="9" t="s">
        <v>219</v>
      </c>
      <c r="D36" s="11"/>
      <c r="E36" s="11"/>
      <c r="F36" s="11"/>
      <c r="G36" s="11"/>
      <c r="H36" s="11">
        <v>53.5</v>
      </c>
      <c r="I36" s="15"/>
      <c r="J36" s="12">
        <f t="shared" si="2"/>
        <v>8873.91</v>
      </c>
      <c r="K36" s="12">
        <f t="shared" si="3"/>
        <v>42292.02</v>
      </c>
    </row>
    <row r="37" spans="2:11" x14ac:dyDescent="0.25">
      <c r="B37" s="18">
        <v>43324</v>
      </c>
      <c r="C37" s="9" t="s">
        <v>646</v>
      </c>
      <c r="D37" s="11"/>
      <c r="E37" s="11"/>
      <c r="F37" s="11"/>
      <c r="G37" s="11"/>
      <c r="H37" s="11">
        <v>127</v>
      </c>
      <c r="I37" s="15"/>
      <c r="J37" s="12">
        <f t="shared" si="2"/>
        <v>8873.91</v>
      </c>
      <c r="K37" s="12">
        <f t="shared" si="3"/>
        <v>42165.02</v>
      </c>
    </row>
    <row r="38" spans="2:11" x14ac:dyDescent="0.25">
      <c r="B38" s="18">
        <v>43324</v>
      </c>
      <c r="C38" s="9" t="s">
        <v>665</v>
      </c>
      <c r="D38" s="11"/>
      <c r="E38" s="11"/>
      <c r="F38" s="11"/>
      <c r="G38" s="11"/>
      <c r="H38" s="11">
        <v>120</v>
      </c>
      <c r="I38" s="15"/>
      <c r="J38" s="12">
        <f t="shared" si="2"/>
        <v>8873.91</v>
      </c>
      <c r="K38" s="12">
        <f t="shared" si="3"/>
        <v>42045.02</v>
      </c>
    </row>
    <row r="39" spans="2:11" x14ac:dyDescent="0.25">
      <c r="B39" s="18">
        <v>43324</v>
      </c>
      <c r="C39" s="9" t="s">
        <v>645</v>
      </c>
      <c r="D39" s="11"/>
      <c r="E39" s="11"/>
      <c r="F39" s="11"/>
      <c r="G39" s="11"/>
      <c r="H39" s="11">
        <v>150</v>
      </c>
      <c r="I39" s="15"/>
      <c r="J39" s="12">
        <f t="shared" si="2"/>
        <v>8873.91</v>
      </c>
      <c r="K39" s="12">
        <f t="shared" si="3"/>
        <v>41895.019999999997</v>
      </c>
    </row>
    <row r="40" spans="2:11" x14ac:dyDescent="0.25">
      <c r="B40" s="18">
        <v>43324</v>
      </c>
      <c r="C40" s="9" t="s">
        <v>666</v>
      </c>
      <c r="D40" s="11"/>
      <c r="E40" s="11"/>
      <c r="F40" s="11"/>
      <c r="G40" s="11"/>
      <c r="H40" s="11">
        <v>350</v>
      </c>
      <c r="I40" s="15"/>
      <c r="J40" s="12">
        <f t="shared" si="2"/>
        <v>8873.91</v>
      </c>
      <c r="K40" s="12">
        <f t="shared" si="3"/>
        <v>41545.019999999997</v>
      </c>
    </row>
    <row r="41" spans="2:11" x14ac:dyDescent="0.25">
      <c r="B41" s="18">
        <v>43324</v>
      </c>
      <c r="C41" s="21" t="s">
        <v>667</v>
      </c>
      <c r="D41" s="11">
        <v>32950</v>
      </c>
      <c r="E41" s="11"/>
      <c r="F41" s="11"/>
      <c r="G41" s="11"/>
      <c r="H41" s="59"/>
      <c r="I41" s="15"/>
      <c r="J41" s="12">
        <f t="shared" si="2"/>
        <v>8873.91</v>
      </c>
      <c r="K41" s="12">
        <f t="shared" si="3"/>
        <v>74495.01999999999</v>
      </c>
    </row>
    <row r="42" spans="2:11" x14ac:dyDescent="0.25">
      <c r="B42" s="18">
        <v>43325</v>
      </c>
      <c r="C42" s="9" t="s">
        <v>662</v>
      </c>
      <c r="D42" s="11"/>
      <c r="E42" s="11"/>
      <c r="F42" s="11"/>
      <c r="G42" s="11"/>
      <c r="H42" s="59">
        <v>35</v>
      </c>
      <c r="I42" s="15"/>
      <c r="J42" s="12">
        <f t="shared" si="2"/>
        <v>8873.91</v>
      </c>
      <c r="K42" s="12">
        <f t="shared" si="3"/>
        <v>74460.01999999999</v>
      </c>
    </row>
    <row r="43" spans="2:11" x14ac:dyDescent="0.25">
      <c r="B43" s="18">
        <v>43325</v>
      </c>
      <c r="C43" s="9" t="s">
        <v>668</v>
      </c>
      <c r="D43" s="11"/>
      <c r="E43" s="11"/>
      <c r="F43" s="11"/>
      <c r="G43" s="11"/>
      <c r="H43" s="59">
        <v>300</v>
      </c>
      <c r="I43" s="15"/>
      <c r="J43" s="12">
        <f t="shared" si="2"/>
        <v>8873.91</v>
      </c>
      <c r="K43" s="12">
        <f t="shared" si="3"/>
        <v>74160.01999999999</v>
      </c>
    </row>
    <row r="44" spans="2:11" x14ac:dyDescent="0.25">
      <c r="B44" s="18">
        <v>43325</v>
      </c>
      <c r="C44" s="9" t="s">
        <v>405</v>
      </c>
      <c r="D44" s="11"/>
      <c r="E44" s="11"/>
      <c r="F44" s="11"/>
      <c r="G44" s="11"/>
      <c r="H44" s="59">
        <v>180</v>
      </c>
      <c r="I44" s="15"/>
      <c r="J44" s="12">
        <f t="shared" si="2"/>
        <v>8873.91</v>
      </c>
      <c r="K44" s="12">
        <f t="shared" si="3"/>
        <v>73980.01999999999</v>
      </c>
    </row>
    <row r="45" spans="2:11" x14ac:dyDescent="0.25">
      <c r="B45" s="18">
        <v>43325</v>
      </c>
      <c r="C45" s="13" t="s">
        <v>669</v>
      </c>
      <c r="D45" s="41"/>
      <c r="E45" s="41"/>
      <c r="F45" s="41"/>
      <c r="G45" s="41"/>
      <c r="H45" s="11">
        <v>778</v>
      </c>
      <c r="I45" s="15"/>
      <c r="J45" s="12">
        <f t="shared" si="2"/>
        <v>8873.91</v>
      </c>
      <c r="K45" s="12">
        <f t="shared" si="3"/>
        <v>73202.01999999999</v>
      </c>
    </row>
    <row r="46" spans="2:11" x14ac:dyDescent="0.25">
      <c r="B46" s="18">
        <v>43326</v>
      </c>
      <c r="C46" s="13" t="s">
        <v>670</v>
      </c>
      <c r="D46" s="41"/>
      <c r="E46" s="41"/>
      <c r="F46" s="41"/>
      <c r="G46" s="16"/>
      <c r="H46" s="11">
        <v>30</v>
      </c>
      <c r="I46" s="15"/>
      <c r="J46" s="12">
        <f t="shared" si="2"/>
        <v>8873.91</v>
      </c>
      <c r="K46" s="12">
        <f t="shared" si="3"/>
        <v>73172.01999999999</v>
      </c>
    </row>
    <row r="47" spans="2:11" x14ac:dyDescent="0.25">
      <c r="B47" s="18">
        <v>43326</v>
      </c>
      <c r="C47" s="13" t="s">
        <v>671</v>
      </c>
      <c r="D47" s="41"/>
      <c r="E47" s="41"/>
      <c r="F47" s="41"/>
      <c r="G47" s="41"/>
      <c r="H47" s="11">
        <v>30</v>
      </c>
      <c r="I47" s="15"/>
      <c r="J47" s="12">
        <f t="shared" si="2"/>
        <v>8873.91</v>
      </c>
      <c r="K47" s="12">
        <f t="shared" si="3"/>
        <v>73142.01999999999</v>
      </c>
    </row>
    <row r="48" spans="2:11" x14ac:dyDescent="0.25">
      <c r="B48" s="18">
        <v>43327</v>
      </c>
      <c r="C48" s="13" t="s">
        <v>672</v>
      </c>
      <c r="D48" s="11"/>
      <c r="E48" s="11"/>
      <c r="F48" s="11"/>
      <c r="G48" s="11"/>
      <c r="H48" s="11">
        <v>300</v>
      </c>
      <c r="I48" s="15"/>
      <c r="J48" s="12">
        <f t="shared" si="2"/>
        <v>8873.91</v>
      </c>
      <c r="K48" s="12">
        <f t="shared" si="3"/>
        <v>72842.01999999999</v>
      </c>
    </row>
    <row r="49" spans="2:11" x14ac:dyDescent="0.25">
      <c r="B49" s="18">
        <v>43327</v>
      </c>
      <c r="C49" s="13" t="s">
        <v>496</v>
      </c>
      <c r="D49" s="11"/>
      <c r="E49" s="11"/>
      <c r="F49" s="11"/>
      <c r="G49" s="11"/>
      <c r="H49" s="11">
        <v>300</v>
      </c>
      <c r="I49" s="15"/>
      <c r="J49" s="12">
        <f t="shared" si="2"/>
        <v>8873.91</v>
      </c>
      <c r="K49" s="12">
        <f t="shared" si="3"/>
        <v>72542.01999999999</v>
      </c>
    </row>
    <row r="50" spans="2:11" x14ac:dyDescent="0.25">
      <c r="B50" s="18">
        <v>43327</v>
      </c>
      <c r="C50" s="13" t="s">
        <v>673</v>
      </c>
      <c r="D50" s="11"/>
      <c r="E50" s="11"/>
      <c r="F50" s="11"/>
      <c r="G50" s="11"/>
      <c r="H50" s="11">
        <v>350</v>
      </c>
      <c r="I50" s="15"/>
      <c r="J50" s="12">
        <f t="shared" si="2"/>
        <v>8873.91</v>
      </c>
      <c r="K50" s="12">
        <f t="shared" si="3"/>
        <v>72192.01999999999</v>
      </c>
    </row>
    <row r="51" spans="2:11" x14ac:dyDescent="0.25">
      <c r="B51" s="18">
        <v>43327</v>
      </c>
      <c r="C51" s="13" t="s">
        <v>674</v>
      </c>
      <c r="D51" s="11"/>
      <c r="E51" s="11"/>
      <c r="F51" s="11"/>
      <c r="G51" s="11"/>
      <c r="H51" s="11">
        <v>350</v>
      </c>
      <c r="I51" s="15"/>
      <c r="J51" s="12">
        <f t="shared" ref="J51:J57" si="4">+J50+E51-G51</f>
        <v>8873.91</v>
      </c>
      <c r="K51" s="12">
        <f t="shared" ref="K51:K57" si="5">+K50+D51-H51</f>
        <v>71842.01999999999</v>
      </c>
    </row>
    <row r="52" spans="2:11" x14ac:dyDescent="0.25">
      <c r="B52" s="18">
        <v>43327</v>
      </c>
      <c r="C52" s="9" t="s">
        <v>675</v>
      </c>
      <c r="D52" s="11"/>
      <c r="E52" s="11"/>
      <c r="F52" s="11"/>
      <c r="G52" s="11"/>
      <c r="H52" s="11">
        <v>550</v>
      </c>
      <c r="I52" s="15"/>
      <c r="J52" s="12">
        <f t="shared" si="4"/>
        <v>8873.91</v>
      </c>
      <c r="K52" s="12">
        <f t="shared" si="5"/>
        <v>71292.01999999999</v>
      </c>
    </row>
    <row r="53" spans="2:11" x14ac:dyDescent="0.25">
      <c r="B53" s="18">
        <v>43327</v>
      </c>
      <c r="C53" s="13" t="s">
        <v>676</v>
      </c>
      <c r="D53" s="11"/>
      <c r="E53" s="11"/>
      <c r="F53" s="11"/>
      <c r="G53" s="11"/>
      <c r="H53" s="11">
        <v>2000</v>
      </c>
      <c r="I53" s="15"/>
      <c r="J53" s="12">
        <f t="shared" si="4"/>
        <v>8873.91</v>
      </c>
      <c r="K53" s="12">
        <f t="shared" si="5"/>
        <v>69292.01999999999</v>
      </c>
    </row>
    <row r="54" spans="2:11" x14ac:dyDescent="0.25">
      <c r="B54" s="18">
        <v>43327</v>
      </c>
      <c r="C54" s="9" t="s">
        <v>677</v>
      </c>
      <c r="D54" s="11"/>
      <c r="E54" s="11"/>
      <c r="F54" s="11"/>
      <c r="G54" s="11"/>
      <c r="H54" s="11">
        <v>4000</v>
      </c>
      <c r="I54" s="15"/>
      <c r="J54" s="12">
        <f t="shared" si="4"/>
        <v>8873.91</v>
      </c>
      <c r="K54" s="12">
        <f t="shared" si="5"/>
        <v>65292.01999999999</v>
      </c>
    </row>
    <row r="55" spans="2:11" x14ac:dyDescent="0.25">
      <c r="B55" s="18">
        <v>43327</v>
      </c>
      <c r="C55" s="9" t="s">
        <v>678</v>
      </c>
      <c r="D55" s="11"/>
      <c r="E55" s="11"/>
      <c r="F55" s="11"/>
      <c r="G55" s="11"/>
      <c r="H55" s="11">
        <v>40000</v>
      </c>
      <c r="I55" s="15"/>
      <c r="J55" s="12">
        <f t="shared" si="4"/>
        <v>8873.91</v>
      </c>
      <c r="K55" s="12">
        <f t="shared" si="5"/>
        <v>25292.01999999999</v>
      </c>
    </row>
    <row r="56" spans="2:11" x14ac:dyDescent="0.25">
      <c r="B56" s="18">
        <v>43328</v>
      </c>
      <c r="C56" s="9" t="s">
        <v>679</v>
      </c>
      <c r="D56" s="11"/>
      <c r="E56" s="11"/>
      <c r="F56" s="11"/>
      <c r="G56" s="11"/>
      <c r="H56" s="59">
        <v>180</v>
      </c>
      <c r="I56" s="15"/>
      <c r="J56" s="12">
        <f t="shared" si="4"/>
        <v>8873.91</v>
      </c>
      <c r="K56" s="12">
        <f t="shared" si="5"/>
        <v>25112.01999999999</v>
      </c>
    </row>
    <row r="57" spans="2:11" x14ac:dyDescent="0.25">
      <c r="B57" s="18">
        <v>43329</v>
      </c>
      <c r="C57" s="21" t="s">
        <v>680</v>
      </c>
      <c r="D57" s="41"/>
      <c r="E57" s="41"/>
      <c r="F57" s="41"/>
      <c r="G57" s="41"/>
      <c r="H57" s="11">
        <v>250</v>
      </c>
      <c r="I57" s="15"/>
      <c r="J57" s="12">
        <f t="shared" si="4"/>
        <v>8873.91</v>
      </c>
      <c r="K57" s="12">
        <f t="shared" si="5"/>
        <v>24862.01999999999</v>
      </c>
    </row>
    <row r="58" spans="2:11" x14ac:dyDescent="0.25">
      <c r="B58" s="18">
        <v>43329</v>
      </c>
      <c r="C58" s="13" t="s">
        <v>681</v>
      </c>
      <c r="D58" s="41"/>
      <c r="E58" s="41"/>
      <c r="F58" s="41"/>
      <c r="G58" s="16"/>
      <c r="H58" s="11">
        <v>300</v>
      </c>
      <c r="I58" s="15"/>
      <c r="J58" s="12">
        <f t="shared" ref="J58" si="6">+J57+E58-G58</f>
        <v>8873.91</v>
      </c>
      <c r="K58" s="12">
        <f t="shared" ref="K58" si="7">+K57+D58-H58</f>
        <v>24562.01999999999</v>
      </c>
    </row>
    <row r="59" spans="2:11" x14ac:dyDescent="0.25">
      <c r="B59" s="18">
        <v>43329</v>
      </c>
      <c r="C59" s="13" t="s">
        <v>682</v>
      </c>
      <c r="D59" s="41"/>
      <c r="E59" s="41"/>
      <c r="F59" s="41"/>
      <c r="G59" s="41"/>
      <c r="H59" s="11">
        <v>1250</v>
      </c>
      <c r="I59" s="15"/>
      <c r="J59" s="12">
        <f>+J58+E59-G59</f>
        <v>8873.91</v>
      </c>
      <c r="K59" s="12">
        <f>+K58+D59-H59</f>
        <v>23312.01999999999</v>
      </c>
    </row>
    <row r="60" spans="2:11" ht="15.75" thickBot="1" x14ac:dyDescent="0.3">
      <c r="B60" s="18">
        <v>43330</v>
      </c>
      <c r="C60" s="9" t="s">
        <v>683</v>
      </c>
      <c r="D60" s="11"/>
      <c r="E60" s="11"/>
      <c r="F60" s="11"/>
      <c r="G60" s="11"/>
      <c r="H60" s="59">
        <v>37.5</v>
      </c>
      <c r="I60" s="15"/>
      <c r="J60" s="12">
        <f>+J59+E60-G60</f>
        <v>8873.91</v>
      </c>
      <c r="K60" s="12">
        <f>+K59+D60-H60</f>
        <v>23274.51999999999</v>
      </c>
    </row>
    <row r="61" spans="2:11" ht="15.75" thickBot="1" x14ac:dyDescent="0.3">
      <c r="B61" s="5"/>
      <c r="C61" s="7" t="s">
        <v>0</v>
      </c>
      <c r="D61" s="62">
        <f>SUM(D4:D60)</f>
        <v>63325</v>
      </c>
      <c r="E61" s="61">
        <f>SUM(E4:E60)</f>
        <v>0</v>
      </c>
      <c r="F61" s="71">
        <f>SUM(D61:E61)</f>
        <v>63325</v>
      </c>
      <c r="G61" s="80">
        <f>SUM(G4:G60)</f>
        <v>3160</v>
      </c>
      <c r="H61" s="62">
        <f>SUM(H4:H60)</f>
        <v>59867.4</v>
      </c>
      <c r="I61" s="71">
        <f>SUM(G61:H61)</f>
        <v>63027.4</v>
      </c>
      <c r="J61" s="20"/>
      <c r="K61" s="20"/>
    </row>
    <row r="62" spans="2:11" x14ac:dyDescent="0.25">
      <c r="B62" s="68" t="s">
        <v>1</v>
      </c>
      <c r="C62" s="68" t="s">
        <v>2</v>
      </c>
      <c r="D62" s="68" t="s">
        <v>3</v>
      </c>
      <c r="E62" s="68" t="s">
        <v>3</v>
      </c>
      <c r="F62" s="68" t="s">
        <v>22</v>
      </c>
      <c r="G62" s="68" t="s">
        <v>23</v>
      </c>
      <c r="H62" s="48" t="s">
        <v>23</v>
      </c>
      <c r="I62" s="48" t="s">
        <v>22</v>
      </c>
      <c r="J62" s="68" t="s">
        <v>8</v>
      </c>
      <c r="K62" s="48" t="s">
        <v>7</v>
      </c>
    </row>
    <row r="63" spans="2:11" ht="15.75" thickBot="1" x14ac:dyDescent="0.3">
      <c r="B63" s="69"/>
      <c r="C63" s="69"/>
      <c r="D63" s="69" t="s">
        <v>5</v>
      </c>
      <c r="E63" s="69" t="s">
        <v>24</v>
      </c>
      <c r="F63" s="69" t="s">
        <v>3</v>
      </c>
      <c r="G63" s="69" t="s">
        <v>24</v>
      </c>
      <c r="H63" s="70" t="s">
        <v>5</v>
      </c>
      <c r="I63" s="70" t="s">
        <v>4</v>
      </c>
      <c r="J63" s="69"/>
      <c r="K63" s="70"/>
    </row>
    <row r="64" spans="2:11" ht="15.75" thickBot="1" x14ac:dyDescent="0.3">
      <c r="B64" s="5"/>
      <c r="C64" s="7"/>
      <c r="D64" s="62">
        <v>63325</v>
      </c>
      <c r="E64" s="61">
        <v>0</v>
      </c>
      <c r="F64" s="71">
        <f>SUM(D64:E64)</f>
        <v>63325</v>
      </c>
      <c r="G64" s="80">
        <v>3160</v>
      </c>
      <c r="H64" s="62">
        <v>59867.4</v>
      </c>
      <c r="I64" s="71">
        <f>SUM(G64:H64)</f>
        <v>63027.4</v>
      </c>
      <c r="J64" s="20">
        <v>8873.91</v>
      </c>
      <c r="K64" s="12">
        <v>23274.52</v>
      </c>
    </row>
    <row r="65" spans="2:12" x14ac:dyDescent="0.25">
      <c r="B65" s="18">
        <v>43330</v>
      </c>
      <c r="C65" s="9" t="s">
        <v>684</v>
      </c>
      <c r="D65" s="11"/>
      <c r="E65" s="11"/>
      <c r="F65" s="11"/>
      <c r="G65" s="11"/>
      <c r="H65" s="59">
        <v>40.5</v>
      </c>
      <c r="I65" s="15"/>
      <c r="J65" s="12">
        <f>+J64+E65-G65</f>
        <v>8873.91</v>
      </c>
      <c r="K65" s="12">
        <f>+K64+D65-H65</f>
        <v>23234.02</v>
      </c>
    </row>
    <row r="66" spans="2:12" x14ac:dyDescent="0.25">
      <c r="B66" s="18">
        <v>43330</v>
      </c>
      <c r="C66" s="9" t="s">
        <v>685</v>
      </c>
      <c r="D66" s="11"/>
      <c r="E66" s="11"/>
      <c r="F66" s="11"/>
      <c r="G66" s="11"/>
      <c r="H66" s="59">
        <v>164.01</v>
      </c>
      <c r="I66" s="15"/>
      <c r="J66" s="12">
        <f>+J65+E66-G66</f>
        <v>8873.91</v>
      </c>
      <c r="K66" s="12">
        <f t="shared" ref="K66" si="8">+K65+D66-H66</f>
        <v>23070.010000000002</v>
      </c>
    </row>
    <row r="67" spans="2:12" x14ac:dyDescent="0.25">
      <c r="B67" s="18">
        <v>43331</v>
      </c>
      <c r="C67" s="9" t="s">
        <v>686</v>
      </c>
      <c r="D67" s="11"/>
      <c r="E67" s="11"/>
      <c r="F67" s="11"/>
      <c r="G67" s="11"/>
      <c r="H67" s="59">
        <v>120</v>
      </c>
      <c r="I67" s="15"/>
      <c r="J67" s="12">
        <f t="shared" ref="J67:J111" si="9">+J66+E67-G67</f>
        <v>8873.91</v>
      </c>
      <c r="K67" s="12">
        <f t="shared" ref="K67:K111" si="10">+K66+D67-H67</f>
        <v>22950.010000000002</v>
      </c>
    </row>
    <row r="68" spans="2:12" x14ac:dyDescent="0.25">
      <c r="B68" s="18">
        <v>43331</v>
      </c>
      <c r="C68" s="13" t="s">
        <v>178</v>
      </c>
      <c r="D68" s="11"/>
      <c r="E68" s="11"/>
      <c r="F68" s="11"/>
      <c r="G68" s="11"/>
      <c r="H68" s="11">
        <v>76</v>
      </c>
      <c r="I68" s="15"/>
      <c r="J68" s="12">
        <f t="shared" si="9"/>
        <v>8873.91</v>
      </c>
      <c r="K68" s="12">
        <f t="shared" si="10"/>
        <v>22874.010000000002</v>
      </c>
    </row>
    <row r="69" spans="2:12" x14ac:dyDescent="0.25">
      <c r="B69" s="18">
        <v>43331</v>
      </c>
      <c r="C69" s="13" t="s">
        <v>643</v>
      </c>
      <c r="D69" s="11"/>
      <c r="E69" s="11"/>
      <c r="F69" s="11"/>
      <c r="G69" s="11"/>
      <c r="H69" s="11">
        <v>59</v>
      </c>
      <c r="I69" s="15"/>
      <c r="J69" s="12">
        <f t="shared" si="9"/>
        <v>8873.91</v>
      </c>
      <c r="K69" s="12">
        <f t="shared" si="10"/>
        <v>22815.010000000002</v>
      </c>
    </row>
    <row r="70" spans="2:12" x14ac:dyDescent="0.25">
      <c r="B70" s="18">
        <v>43332</v>
      </c>
      <c r="C70" s="13" t="s">
        <v>687</v>
      </c>
      <c r="D70" s="11"/>
      <c r="E70" s="11"/>
      <c r="F70" s="11"/>
      <c r="G70" s="11"/>
      <c r="H70" s="11">
        <v>400</v>
      </c>
      <c r="I70" s="15"/>
      <c r="J70" s="12">
        <f t="shared" si="9"/>
        <v>8873.91</v>
      </c>
      <c r="K70" s="12">
        <f t="shared" si="10"/>
        <v>22415.010000000002</v>
      </c>
    </row>
    <row r="71" spans="2:12" x14ac:dyDescent="0.25">
      <c r="B71" s="18">
        <v>43332</v>
      </c>
      <c r="C71" s="13" t="s">
        <v>688</v>
      </c>
      <c r="D71" s="11">
        <v>10550</v>
      </c>
      <c r="E71" s="11"/>
      <c r="F71" s="11"/>
      <c r="G71" s="11"/>
      <c r="H71" s="11"/>
      <c r="I71" s="15"/>
      <c r="J71" s="12">
        <f t="shared" si="9"/>
        <v>8873.91</v>
      </c>
      <c r="K71" s="12">
        <f t="shared" si="10"/>
        <v>32965.01</v>
      </c>
    </row>
    <row r="72" spans="2:12" x14ac:dyDescent="0.25">
      <c r="B72" s="18">
        <v>43332</v>
      </c>
      <c r="C72" s="13" t="s">
        <v>440</v>
      </c>
      <c r="D72" s="11"/>
      <c r="E72" s="11"/>
      <c r="F72" s="11"/>
      <c r="G72" s="11"/>
      <c r="H72" s="11">
        <v>216</v>
      </c>
      <c r="I72" s="15"/>
      <c r="J72" s="12">
        <f t="shared" si="9"/>
        <v>8873.91</v>
      </c>
      <c r="K72" s="12">
        <f t="shared" si="10"/>
        <v>32749.010000000002</v>
      </c>
    </row>
    <row r="73" spans="2:12" x14ac:dyDescent="0.25">
      <c r="B73" s="18">
        <v>43332</v>
      </c>
      <c r="C73" s="13" t="s">
        <v>689</v>
      </c>
      <c r="D73" s="11"/>
      <c r="E73" s="11"/>
      <c r="F73" s="11"/>
      <c r="G73" s="11"/>
      <c r="H73" s="11">
        <v>100</v>
      </c>
      <c r="I73" s="15"/>
      <c r="J73" s="12">
        <f t="shared" si="9"/>
        <v>8873.91</v>
      </c>
      <c r="K73" s="12">
        <f t="shared" si="10"/>
        <v>32649.010000000002</v>
      </c>
    </row>
    <row r="74" spans="2:12" x14ac:dyDescent="0.25">
      <c r="B74" s="18">
        <v>43335</v>
      </c>
      <c r="C74" s="13" t="s">
        <v>690</v>
      </c>
      <c r="D74" s="11"/>
      <c r="E74" s="11"/>
      <c r="F74" s="11"/>
      <c r="G74" s="11"/>
      <c r="H74" s="11">
        <v>105</v>
      </c>
      <c r="I74" s="15"/>
      <c r="J74" s="12">
        <f t="shared" si="9"/>
        <v>8873.91</v>
      </c>
      <c r="K74" s="12">
        <f t="shared" si="10"/>
        <v>32544.010000000002</v>
      </c>
    </row>
    <row r="75" spans="2:12" x14ac:dyDescent="0.25">
      <c r="B75" s="18">
        <v>43335</v>
      </c>
      <c r="C75" s="13" t="s">
        <v>691</v>
      </c>
      <c r="D75" s="11"/>
      <c r="E75" s="11"/>
      <c r="F75" s="11"/>
      <c r="G75" s="11"/>
      <c r="H75" s="11">
        <v>297.89999999999998</v>
      </c>
      <c r="I75" s="15"/>
      <c r="J75" s="12">
        <f t="shared" si="9"/>
        <v>8873.91</v>
      </c>
      <c r="K75" s="12">
        <f t="shared" si="10"/>
        <v>32246.11</v>
      </c>
      <c r="L75" s="1"/>
    </row>
    <row r="76" spans="2:12" x14ac:dyDescent="0.25">
      <c r="B76" s="18">
        <v>43335</v>
      </c>
      <c r="C76" s="35" t="s">
        <v>694</v>
      </c>
      <c r="D76" s="11"/>
      <c r="E76" s="11"/>
      <c r="F76" s="11"/>
      <c r="G76" s="11"/>
      <c r="H76" s="11">
        <v>30</v>
      </c>
      <c r="I76" s="15"/>
      <c r="J76" s="12">
        <f t="shared" si="9"/>
        <v>8873.91</v>
      </c>
      <c r="K76" s="12">
        <f t="shared" si="10"/>
        <v>32216.11</v>
      </c>
      <c r="L76" s="1"/>
    </row>
    <row r="77" spans="2:12" x14ac:dyDescent="0.25">
      <c r="B77" s="18">
        <v>43335</v>
      </c>
      <c r="C77" s="34" t="s">
        <v>692</v>
      </c>
      <c r="D77" s="11"/>
      <c r="E77" s="11"/>
      <c r="F77" s="11"/>
      <c r="G77" s="11"/>
      <c r="H77" s="11">
        <v>100</v>
      </c>
      <c r="I77" s="15"/>
      <c r="J77" s="12">
        <f t="shared" si="9"/>
        <v>8873.91</v>
      </c>
      <c r="K77" s="12">
        <f t="shared" si="10"/>
        <v>32116.11</v>
      </c>
      <c r="L77" s="1"/>
    </row>
    <row r="78" spans="2:12" x14ac:dyDescent="0.25">
      <c r="B78" s="18">
        <v>43336</v>
      </c>
      <c r="C78" s="9" t="s">
        <v>693</v>
      </c>
      <c r="D78" s="11"/>
      <c r="E78" s="11"/>
      <c r="F78" s="11"/>
      <c r="G78" s="11"/>
      <c r="H78" s="11">
        <v>280</v>
      </c>
      <c r="I78" s="15"/>
      <c r="J78" s="12">
        <f t="shared" si="9"/>
        <v>8873.91</v>
      </c>
      <c r="K78" s="12">
        <f t="shared" si="10"/>
        <v>31836.11</v>
      </c>
    </row>
    <row r="79" spans="2:12" x14ac:dyDescent="0.25">
      <c r="B79" s="18">
        <v>43336</v>
      </c>
      <c r="C79" s="9" t="s">
        <v>694</v>
      </c>
      <c r="D79" s="11"/>
      <c r="E79" s="11"/>
      <c r="F79" s="11"/>
      <c r="G79" s="11"/>
      <c r="H79" s="11">
        <v>37.5</v>
      </c>
      <c r="I79" s="15"/>
      <c r="J79" s="12">
        <f t="shared" si="9"/>
        <v>8873.91</v>
      </c>
      <c r="K79" s="12">
        <f t="shared" si="10"/>
        <v>31798.61</v>
      </c>
    </row>
    <row r="80" spans="2:12" x14ac:dyDescent="0.25">
      <c r="B80" s="18">
        <v>43336</v>
      </c>
      <c r="C80" s="9" t="s">
        <v>681</v>
      </c>
      <c r="D80" s="11"/>
      <c r="E80" s="11"/>
      <c r="F80" s="11"/>
      <c r="G80" s="11"/>
      <c r="H80" s="11">
        <v>200.04</v>
      </c>
      <c r="I80" s="15"/>
      <c r="J80" s="12">
        <f t="shared" si="9"/>
        <v>8873.91</v>
      </c>
      <c r="K80" s="12">
        <f t="shared" si="10"/>
        <v>31598.57</v>
      </c>
    </row>
    <row r="81" spans="2:11" x14ac:dyDescent="0.25">
      <c r="B81" s="18">
        <v>43336</v>
      </c>
      <c r="C81" s="35" t="s">
        <v>695</v>
      </c>
      <c r="D81" s="11"/>
      <c r="E81" s="11"/>
      <c r="F81" s="11"/>
      <c r="G81" s="11"/>
      <c r="H81" s="11">
        <v>1250</v>
      </c>
      <c r="I81" s="15"/>
      <c r="J81" s="12">
        <f t="shared" si="9"/>
        <v>8873.91</v>
      </c>
      <c r="K81" s="12">
        <f t="shared" si="10"/>
        <v>30348.57</v>
      </c>
    </row>
    <row r="82" spans="2:11" x14ac:dyDescent="0.25">
      <c r="B82" s="18">
        <v>43337</v>
      </c>
      <c r="C82" s="34" t="s">
        <v>696</v>
      </c>
      <c r="D82" s="11"/>
      <c r="E82" s="11"/>
      <c r="F82" s="11"/>
      <c r="G82" s="11"/>
      <c r="H82" s="11">
        <v>68</v>
      </c>
      <c r="I82" s="15"/>
      <c r="J82" s="12">
        <f t="shared" si="9"/>
        <v>8873.91</v>
      </c>
      <c r="K82" s="12">
        <f t="shared" si="10"/>
        <v>30280.57</v>
      </c>
    </row>
    <row r="83" spans="2:11" x14ac:dyDescent="0.25">
      <c r="B83" s="18">
        <v>43337</v>
      </c>
      <c r="C83" s="35" t="s">
        <v>697</v>
      </c>
      <c r="D83" s="11"/>
      <c r="E83" s="11"/>
      <c r="F83" s="11"/>
      <c r="G83" s="11"/>
      <c r="H83" s="11">
        <v>35</v>
      </c>
      <c r="I83" s="15"/>
      <c r="J83" s="12">
        <f t="shared" si="9"/>
        <v>8873.91</v>
      </c>
      <c r="K83" s="12">
        <f t="shared" si="10"/>
        <v>30245.57</v>
      </c>
    </row>
    <row r="84" spans="2:11" x14ac:dyDescent="0.25">
      <c r="B84" s="18">
        <v>43338</v>
      </c>
      <c r="C84" s="34" t="s">
        <v>698</v>
      </c>
      <c r="D84" s="11"/>
      <c r="E84" s="11"/>
      <c r="F84" s="11"/>
      <c r="G84" s="11"/>
      <c r="H84" s="11">
        <v>120</v>
      </c>
      <c r="I84" s="15"/>
      <c r="J84" s="12">
        <f t="shared" si="9"/>
        <v>8873.91</v>
      </c>
      <c r="K84" s="12">
        <f t="shared" si="10"/>
        <v>30125.57</v>
      </c>
    </row>
    <row r="85" spans="2:11" x14ac:dyDescent="0.25">
      <c r="B85" s="18">
        <v>43338</v>
      </c>
      <c r="C85" s="9" t="s">
        <v>699</v>
      </c>
      <c r="D85" s="11">
        <v>15800</v>
      </c>
      <c r="E85" s="11"/>
      <c r="F85" s="11"/>
      <c r="G85" s="11"/>
      <c r="H85" s="11"/>
      <c r="I85" s="15"/>
      <c r="J85" s="12">
        <f t="shared" si="9"/>
        <v>8873.91</v>
      </c>
      <c r="K85" s="12">
        <f t="shared" si="10"/>
        <v>45925.57</v>
      </c>
    </row>
    <row r="86" spans="2:11" x14ac:dyDescent="0.25">
      <c r="B86" s="18">
        <v>43338</v>
      </c>
      <c r="C86" s="9" t="s">
        <v>700</v>
      </c>
      <c r="D86" s="11"/>
      <c r="E86" s="11"/>
      <c r="F86" s="11"/>
      <c r="G86" s="11"/>
      <c r="H86" s="11">
        <v>41</v>
      </c>
      <c r="I86" s="15"/>
      <c r="J86" s="12">
        <f t="shared" si="9"/>
        <v>8873.91</v>
      </c>
      <c r="K86" s="12">
        <f t="shared" si="10"/>
        <v>45884.57</v>
      </c>
    </row>
    <row r="87" spans="2:11" x14ac:dyDescent="0.25">
      <c r="B87" s="18">
        <v>43338</v>
      </c>
      <c r="C87" s="9" t="s">
        <v>611</v>
      </c>
      <c r="D87" s="11"/>
      <c r="E87" s="11"/>
      <c r="F87" s="11"/>
      <c r="G87" s="11"/>
      <c r="H87" s="11">
        <v>91.5</v>
      </c>
      <c r="I87" s="15"/>
      <c r="J87" s="12">
        <f t="shared" si="9"/>
        <v>8873.91</v>
      </c>
      <c r="K87" s="12">
        <f t="shared" si="10"/>
        <v>45793.07</v>
      </c>
    </row>
    <row r="88" spans="2:11" x14ac:dyDescent="0.25">
      <c r="B88" s="18">
        <v>43339</v>
      </c>
      <c r="C88" s="9" t="s">
        <v>440</v>
      </c>
      <c r="D88" s="11"/>
      <c r="E88" s="11"/>
      <c r="F88" s="11"/>
      <c r="G88" s="11"/>
      <c r="H88" s="11">
        <v>216</v>
      </c>
      <c r="I88" s="15"/>
      <c r="J88" s="12">
        <f t="shared" si="9"/>
        <v>8873.91</v>
      </c>
      <c r="K88" s="12">
        <f t="shared" si="10"/>
        <v>45577.07</v>
      </c>
    </row>
    <row r="89" spans="2:11" x14ac:dyDescent="0.25">
      <c r="B89" s="18">
        <v>43339</v>
      </c>
      <c r="C89" s="9" t="s">
        <v>701</v>
      </c>
      <c r="D89" s="11"/>
      <c r="E89" s="11"/>
      <c r="F89" s="11"/>
      <c r="G89" s="11"/>
      <c r="H89" s="11">
        <v>650</v>
      </c>
      <c r="I89" s="15"/>
      <c r="J89" s="12">
        <f t="shared" si="9"/>
        <v>8873.91</v>
      </c>
      <c r="K89" s="12">
        <f t="shared" si="10"/>
        <v>44927.07</v>
      </c>
    </row>
    <row r="90" spans="2:11" x14ac:dyDescent="0.25">
      <c r="B90" s="18">
        <v>43339</v>
      </c>
      <c r="C90" s="9" t="s">
        <v>702</v>
      </c>
      <c r="D90" s="41"/>
      <c r="E90" s="41"/>
      <c r="F90" s="41"/>
      <c r="G90" s="41"/>
      <c r="H90" s="11">
        <v>185.5</v>
      </c>
      <c r="I90" s="15"/>
      <c r="J90" s="12">
        <f t="shared" si="9"/>
        <v>8873.91</v>
      </c>
      <c r="K90" s="12">
        <f t="shared" si="10"/>
        <v>44741.57</v>
      </c>
    </row>
    <row r="91" spans="2:11" x14ac:dyDescent="0.25">
      <c r="B91" s="18">
        <v>43340</v>
      </c>
      <c r="C91" s="13" t="s">
        <v>703</v>
      </c>
      <c r="D91" s="41"/>
      <c r="E91" s="41"/>
      <c r="F91" s="41"/>
      <c r="G91" s="16"/>
      <c r="H91" s="11">
        <v>400</v>
      </c>
      <c r="I91" s="15"/>
      <c r="J91" s="12">
        <f t="shared" si="9"/>
        <v>8873.91</v>
      </c>
      <c r="K91" s="12">
        <f t="shared" si="10"/>
        <v>44341.57</v>
      </c>
    </row>
    <row r="92" spans="2:11" x14ac:dyDescent="0.25">
      <c r="B92" s="18">
        <v>43341</v>
      </c>
      <c r="C92" s="13" t="s">
        <v>693</v>
      </c>
      <c r="D92" s="41"/>
      <c r="E92" s="41"/>
      <c r="F92" s="41"/>
      <c r="G92" s="16"/>
      <c r="H92" s="11">
        <v>396</v>
      </c>
      <c r="I92" s="15"/>
      <c r="J92" s="12">
        <f t="shared" si="9"/>
        <v>8873.91</v>
      </c>
      <c r="K92" s="12">
        <f t="shared" si="10"/>
        <v>43945.57</v>
      </c>
    </row>
    <row r="93" spans="2:11" x14ac:dyDescent="0.25">
      <c r="B93" s="18">
        <v>43341</v>
      </c>
      <c r="C93" s="13" t="s">
        <v>694</v>
      </c>
      <c r="D93" s="41"/>
      <c r="E93" s="41"/>
      <c r="F93" s="41"/>
      <c r="G93" s="41"/>
      <c r="H93" s="11">
        <v>45</v>
      </c>
      <c r="I93" s="15"/>
      <c r="J93" s="12">
        <f t="shared" si="9"/>
        <v>8873.91</v>
      </c>
      <c r="K93" s="12">
        <f t="shared" si="10"/>
        <v>43900.57</v>
      </c>
    </row>
    <row r="94" spans="2:11" x14ac:dyDescent="0.25">
      <c r="B94" s="18">
        <v>43341</v>
      </c>
      <c r="C94" s="9" t="s">
        <v>704</v>
      </c>
      <c r="D94" s="11"/>
      <c r="E94" s="11"/>
      <c r="F94" s="11"/>
      <c r="G94" s="11"/>
      <c r="H94" s="11">
        <v>78</v>
      </c>
      <c r="I94" s="15"/>
      <c r="J94" s="12">
        <f t="shared" si="9"/>
        <v>8873.91</v>
      </c>
      <c r="K94" s="12">
        <f t="shared" si="10"/>
        <v>43822.57</v>
      </c>
    </row>
    <row r="95" spans="2:11" x14ac:dyDescent="0.25">
      <c r="B95" s="18">
        <v>43341</v>
      </c>
      <c r="C95" s="13" t="s">
        <v>705</v>
      </c>
      <c r="D95" s="11"/>
      <c r="E95" s="11">
        <v>12760</v>
      </c>
      <c r="F95" s="11"/>
      <c r="G95" s="11"/>
      <c r="H95" s="11"/>
      <c r="I95" s="15"/>
      <c r="J95" s="12">
        <f t="shared" si="9"/>
        <v>21633.91</v>
      </c>
      <c r="K95" s="12">
        <f t="shared" si="10"/>
        <v>43822.57</v>
      </c>
    </row>
    <row r="96" spans="2:11" x14ac:dyDescent="0.25">
      <c r="B96" s="18">
        <v>43342</v>
      </c>
      <c r="C96" s="9" t="s">
        <v>706</v>
      </c>
      <c r="D96" s="11"/>
      <c r="E96" s="11"/>
      <c r="F96" s="11"/>
      <c r="G96" s="11"/>
      <c r="H96" s="11">
        <v>137.69999999999999</v>
      </c>
      <c r="I96" s="15"/>
      <c r="J96" s="12">
        <f t="shared" si="9"/>
        <v>21633.91</v>
      </c>
      <c r="K96" s="12">
        <f t="shared" si="10"/>
        <v>43684.87</v>
      </c>
    </row>
    <row r="97" spans="2:14" x14ac:dyDescent="0.25">
      <c r="B97" s="18">
        <v>43342</v>
      </c>
      <c r="C97" s="13" t="s">
        <v>707</v>
      </c>
      <c r="D97" s="41"/>
      <c r="E97" s="41"/>
      <c r="F97" s="41"/>
      <c r="G97" s="16"/>
      <c r="H97" s="11">
        <v>63.61</v>
      </c>
      <c r="I97" s="15"/>
      <c r="J97" s="12">
        <f t="shared" si="9"/>
        <v>21633.91</v>
      </c>
      <c r="K97" s="12">
        <f t="shared" si="10"/>
        <v>43621.26</v>
      </c>
      <c r="L97" s="1">
        <f>SUM(J97:K97)</f>
        <v>65255.17</v>
      </c>
    </row>
    <row r="98" spans="2:14" x14ac:dyDescent="0.25">
      <c r="B98" s="18">
        <v>43343</v>
      </c>
      <c r="C98" s="13" t="s">
        <v>708</v>
      </c>
      <c r="D98" s="41"/>
      <c r="E98" s="41"/>
      <c r="F98" s="41"/>
      <c r="G98" s="16"/>
      <c r="H98" s="11">
        <v>1250</v>
      </c>
      <c r="I98" s="15"/>
      <c r="J98" s="12">
        <f t="shared" si="9"/>
        <v>21633.91</v>
      </c>
      <c r="K98" s="12">
        <f t="shared" si="10"/>
        <v>42371.26</v>
      </c>
      <c r="L98">
        <v>40000</v>
      </c>
    </row>
    <row r="99" spans="2:14" x14ac:dyDescent="0.25">
      <c r="B99" s="18">
        <v>43343</v>
      </c>
      <c r="C99" s="9" t="s">
        <v>709</v>
      </c>
      <c r="D99" s="11"/>
      <c r="E99" s="11"/>
      <c r="F99" s="11"/>
      <c r="G99" s="11"/>
      <c r="H99" s="11">
        <v>300</v>
      </c>
      <c r="I99" s="15"/>
      <c r="J99" s="12">
        <f t="shared" si="9"/>
        <v>21633.91</v>
      </c>
      <c r="K99" s="12">
        <f t="shared" si="10"/>
        <v>42071.26</v>
      </c>
      <c r="L99" s="128">
        <v>18243.919999999998</v>
      </c>
    </row>
    <row r="100" spans="2:14" x14ac:dyDescent="0.25">
      <c r="B100" s="18">
        <v>43343</v>
      </c>
      <c r="C100" s="9" t="s">
        <v>710</v>
      </c>
      <c r="D100" s="11"/>
      <c r="E100" s="11"/>
      <c r="F100" s="11"/>
      <c r="G100" s="11"/>
      <c r="H100" s="11">
        <v>550</v>
      </c>
      <c r="I100" s="15"/>
      <c r="J100" s="12">
        <f t="shared" si="9"/>
        <v>21633.91</v>
      </c>
      <c r="K100" s="12">
        <f t="shared" si="10"/>
        <v>41521.26</v>
      </c>
    </row>
    <row r="101" spans="2:14" x14ac:dyDescent="0.25">
      <c r="B101" s="18">
        <v>43343</v>
      </c>
      <c r="C101" s="9" t="s">
        <v>676</v>
      </c>
      <c r="D101" s="11"/>
      <c r="E101" s="11"/>
      <c r="F101" s="11"/>
      <c r="G101" s="11"/>
      <c r="H101" s="11">
        <v>2000</v>
      </c>
      <c r="I101" s="15"/>
      <c r="J101" s="12">
        <f t="shared" si="9"/>
        <v>21633.91</v>
      </c>
      <c r="K101" s="12">
        <f t="shared" si="10"/>
        <v>39521.26</v>
      </c>
    </row>
    <row r="102" spans="2:14" x14ac:dyDescent="0.25">
      <c r="B102" s="18">
        <v>43343</v>
      </c>
      <c r="C102" s="9" t="s">
        <v>711</v>
      </c>
      <c r="D102" s="11"/>
      <c r="E102" s="11"/>
      <c r="F102" s="11"/>
      <c r="G102" s="11"/>
      <c r="H102" s="11">
        <v>4000</v>
      </c>
      <c r="I102" s="15"/>
      <c r="J102" s="12">
        <f t="shared" si="9"/>
        <v>21633.91</v>
      </c>
      <c r="K102" s="12">
        <f t="shared" si="10"/>
        <v>35521.26</v>
      </c>
    </row>
    <row r="103" spans="2:14" x14ac:dyDescent="0.25">
      <c r="B103" s="18">
        <v>43343</v>
      </c>
      <c r="C103" s="9" t="s">
        <v>712</v>
      </c>
      <c r="D103" s="11"/>
      <c r="E103" s="11"/>
      <c r="F103" s="11"/>
      <c r="G103" s="11"/>
      <c r="H103" s="11">
        <v>20000</v>
      </c>
      <c r="I103" s="15"/>
      <c r="J103" s="12">
        <f t="shared" si="9"/>
        <v>21633.91</v>
      </c>
      <c r="K103" s="12">
        <f t="shared" si="10"/>
        <v>15521.260000000002</v>
      </c>
    </row>
    <row r="104" spans="2:14" x14ac:dyDescent="0.25">
      <c r="B104" s="18">
        <v>43343</v>
      </c>
      <c r="C104" s="9" t="s">
        <v>713</v>
      </c>
      <c r="D104" s="11"/>
      <c r="E104" s="11"/>
      <c r="F104" s="11"/>
      <c r="G104" s="11">
        <v>20000</v>
      </c>
      <c r="H104" s="11"/>
      <c r="I104" s="15"/>
      <c r="J104" s="12">
        <f t="shared" si="9"/>
        <v>1633.9099999999999</v>
      </c>
      <c r="K104" s="12">
        <f t="shared" si="10"/>
        <v>15521.260000000002</v>
      </c>
    </row>
    <row r="105" spans="2:14" x14ac:dyDescent="0.25">
      <c r="B105" s="18">
        <v>43343</v>
      </c>
      <c r="C105" s="9" t="s">
        <v>714</v>
      </c>
      <c r="D105" s="11">
        <v>2000</v>
      </c>
      <c r="E105" s="11"/>
      <c r="F105" s="11"/>
      <c r="G105" s="11"/>
      <c r="H105" s="11"/>
      <c r="I105" s="15"/>
      <c r="J105" s="12">
        <f t="shared" si="9"/>
        <v>1633.9099999999999</v>
      </c>
      <c r="K105" s="12">
        <f t="shared" si="10"/>
        <v>17521.260000000002</v>
      </c>
    </row>
    <row r="106" spans="2:14" x14ac:dyDescent="0.25">
      <c r="B106" s="18">
        <v>43315</v>
      </c>
      <c r="C106" s="13" t="s">
        <v>787</v>
      </c>
      <c r="D106" s="11"/>
      <c r="E106" s="11">
        <v>300.45999999999998</v>
      </c>
      <c r="F106" s="11"/>
      <c r="G106" s="11"/>
      <c r="H106" s="11"/>
      <c r="I106" s="15"/>
      <c r="J106" s="12">
        <f t="shared" si="9"/>
        <v>1934.37</v>
      </c>
      <c r="K106" s="12">
        <f t="shared" si="10"/>
        <v>17521.260000000002</v>
      </c>
    </row>
    <row r="107" spans="2:14" x14ac:dyDescent="0.25">
      <c r="B107" s="18">
        <v>43320</v>
      </c>
      <c r="C107" s="9" t="s">
        <v>715</v>
      </c>
      <c r="D107" s="11"/>
      <c r="E107" s="11">
        <v>2000.29</v>
      </c>
      <c r="F107" s="11"/>
      <c r="G107" s="11"/>
      <c r="H107" s="11"/>
      <c r="I107" s="15"/>
      <c r="J107" s="12">
        <f t="shared" si="9"/>
        <v>3934.66</v>
      </c>
      <c r="K107" s="12">
        <f t="shared" si="10"/>
        <v>17521.260000000002</v>
      </c>
    </row>
    <row r="108" spans="2:14" x14ac:dyDescent="0.25">
      <c r="B108" s="18">
        <v>43333</v>
      </c>
      <c r="C108" s="9" t="s">
        <v>716</v>
      </c>
      <c r="D108" s="11"/>
      <c r="E108" s="11">
        <v>400.15</v>
      </c>
      <c r="F108" s="11"/>
      <c r="G108" s="11"/>
      <c r="H108" s="11"/>
      <c r="I108" s="15"/>
      <c r="J108" s="12">
        <f t="shared" si="9"/>
        <v>4334.8099999999995</v>
      </c>
      <c r="K108" s="12">
        <f t="shared" si="10"/>
        <v>17521.260000000002</v>
      </c>
    </row>
    <row r="109" spans="2:14" x14ac:dyDescent="0.25">
      <c r="B109" s="18">
        <v>43343</v>
      </c>
      <c r="C109" s="13" t="s">
        <v>228</v>
      </c>
      <c r="D109" s="11"/>
      <c r="E109" s="11"/>
      <c r="F109" s="11"/>
      <c r="G109" s="11">
        <v>36</v>
      </c>
      <c r="H109" s="11"/>
      <c r="I109" s="15"/>
      <c r="J109" s="12">
        <f t="shared" si="9"/>
        <v>4298.8099999999995</v>
      </c>
      <c r="K109" s="12">
        <f t="shared" si="10"/>
        <v>17521.260000000002</v>
      </c>
      <c r="L109" s="1"/>
    </row>
    <row r="110" spans="2:14" x14ac:dyDescent="0.25">
      <c r="B110" s="18">
        <v>43343</v>
      </c>
      <c r="C110" s="13" t="s">
        <v>227</v>
      </c>
      <c r="D110" s="11"/>
      <c r="E110" s="11"/>
      <c r="F110" s="11"/>
      <c r="G110" s="11">
        <v>5.76</v>
      </c>
      <c r="H110" s="11"/>
      <c r="I110" s="15"/>
      <c r="J110" s="12">
        <f t="shared" si="9"/>
        <v>4293.0499999999993</v>
      </c>
      <c r="K110" s="12">
        <f t="shared" si="10"/>
        <v>17521.260000000002</v>
      </c>
      <c r="L110" s="1"/>
      <c r="M110" s="1"/>
      <c r="N110" s="1"/>
    </row>
    <row r="111" spans="2:14" ht="15.75" thickBot="1" x14ac:dyDescent="0.3">
      <c r="B111" s="18"/>
      <c r="C111" s="9"/>
      <c r="D111" s="11"/>
      <c r="E111" s="11"/>
      <c r="F111" s="11"/>
      <c r="G111" s="11"/>
      <c r="H111" s="11"/>
      <c r="I111" s="15"/>
      <c r="J111" s="12">
        <f t="shared" si="9"/>
        <v>4293.0499999999993</v>
      </c>
      <c r="K111" s="12">
        <f t="shared" si="10"/>
        <v>17521.260000000002</v>
      </c>
      <c r="L111" s="1"/>
      <c r="M111" s="1"/>
      <c r="N111" s="1"/>
    </row>
    <row r="112" spans="2:14" ht="15.75" thickBot="1" x14ac:dyDescent="0.3">
      <c r="B112" s="5"/>
      <c r="C112" s="7" t="s">
        <v>0</v>
      </c>
      <c r="D112" s="62">
        <f>SUM(D62:D111)</f>
        <v>91675</v>
      </c>
      <c r="E112" s="61">
        <f>SUM(E62:E111)</f>
        <v>15460.9</v>
      </c>
      <c r="F112" s="71">
        <f>SUM(D112:E112)</f>
        <v>107135.9</v>
      </c>
      <c r="G112" s="80">
        <f>SUM(G64:G111)</f>
        <v>23201.759999999998</v>
      </c>
      <c r="H112" s="62">
        <f>SUM(H64:H111)</f>
        <v>93970.66</v>
      </c>
      <c r="I112" s="71">
        <f>SUM(G112:H112)</f>
        <v>117172.42</v>
      </c>
      <c r="J112" s="20"/>
      <c r="K112" s="20"/>
    </row>
    <row r="113" spans="9:11" ht="15.75" thickBot="1" x14ac:dyDescent="0.3"/>
    <row r="114" spans="9:11" ht="15.75" thickBot="1" x14ac:dyDescent="0.3">
      <c r="I114" s="74" t="s">
        <v>8</v>
      </c>
      <c r="J114" s="74" t="s">
        <v>7</v>
      </c>
      <c r="K114" s="95" t="s">
        <v>0</v>
      </c>
    </row>
    <row r="115" spans="9:11" ht="15.75" thickBot="1" x14ac:dyDescent="0.3">
      <c r="I115" s="77">
        <v>4293.05</v>
      </c>
      <c r="J115" s="77">
        <v>17521.259999999998</v>
      </c>
      <c r="K115" s="20">
        <f>SUM(I115:J115)</f>
        <v>21814.309999999998</v>
      </c>
    </row>
  </sheetData>
  <printOptions verticalCentered="1"/>
  <pageMargins left="0.70866141732283472" right="0.70866141732283472" top="0" bottom="0" header="0.31496062992125984" footer="0.31496062992125984"/>
  <pageSetup paperSize="9" scale="65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pageSetUpPr fitToPage="1"/>
  </sheetPr>
  <dimension ref="B1:M121"/>
  <sheetViews>
    <sheetView zoomScale="90" zoomScaleNormal="90" workbookViewId="0">
      <pane ySplit="3" topLeftCell="A99" activePane="bottomLeft" state="frozen"/>
      <selection pane="bottomLeft" activeCell="C114" sqref="C114:C115"/>
    </sheetView>
  </sheetViews>
  <sheetFormatPr baseColWidth="10" defaultRowHeight="15" x14ac:dyDescent="0.25"/>
  <cols>
    <col min="1" max="1" width="10.7109375" customWidth="1"/>
    <col min="2" max="2" width="11.28515625" customWidth="1"/>
    <col min="3" max="3" width="86.140625" customWidth="1"/>
    <col min="4" max="6" width="11.7109375" customWidth="1"/>
    <col min="8" max="8" width="11.42578125" bestFit="1" customWidth="1"/>
  </cols>
  <sheetData>
    <row r="1" spans="2:11" ht="16.5" thickBot="1" x14ac:dyDescent="0.3">
      <c r="B1" s="79"/>
      <c r="C1" s="81" t="s">
        <v>51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69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43343</v>
      </c>
      <c r="C4" s="65" t="s">
        <v>52</v>
      </c>
      <c r="D4" s="66"/>
      <c r="E4" s="63"/>
      <c r="F4" s="63"/>
      <c r="G4" s="63"/>
      <c r="H4" s="17"/>
      <c r="I4" s="64"/>
      <c r="J4" s="73">
        <v>4293.05</v>
      </c>
      <c r="K4" s="97">
        <v>17521.259999999998</v>
      </c>
    </row>
    <row r="5" spans="2:11" x14ac:dyDescent="0.25">
      <c r="B5" s="23">
        <v>43344</v>
      </c>
      <c r="C5" s="9" t="s">
        <v>717</v>
      </c>
      <c r="D5" s="11"/>
      <c r="E5" s="11"/>
      <c r="F5" s="11"/>
      <c r="G5" s="11"/>
      <c r="H5" s="11">
        <v>28</v>
      </c>
      <c r="I5" s="15"/>
      <c r="J5" s="12">
        <f>+J4+E5-G5</f>
        <v>4293.05</v>
      </c>
      <c r="K5" s="12">
        <f>+K4+D5-H5</f>
        <v>17493.259999999998</v>
      </c>
    </row>
    <row r="6" spans="2:11" x14ac:dyDescent="0.25">
      <c r="B6" s="23">
        <v>43344</v>
      </c>
      <c r="C6" s="13" t="s">
        <v>718</v>
      </c>
      <c r="D6" s="11"/>
      <c r="E6" s="11"/>
      <c r="F6" s="11"/>
      <c r="G6" s="11"/>
      <c r="H6" s="11">
        <v>35</v>
      </c>
      <c r="I6" s="15"/>
      <c r="J6" s="12">
        <f>+J5+E6-G6</f>
        <v>4293.05</v>
      </c>
      <c r="K6" s="12">
        <f>+K5+D6-H6</f>
        <v>17458.259999999998</v>
      </c>
    </row>
    <row r="7" spans="2:11" x14ac:dyDescent="0.25">
      <c r="B7" s="18">
        <v>43344</v>
      </c>
      <c r="C7" s="9" t="s">
        <v>719</v>
      </c>
      <c r="D7" s="11"/>
      <c r="E7" s="11"/>
      <c r="F7" s="11"/>
      <c r="G7" s="11"/>
      <c r="H7" s="59">
        <v>200</v>
      </c>
      <c r="I7" s="15"/>
      <c r="J7" s="12">
        <f t="shared" ref="J7:J38" si="0">+J6+E7-G7</f>
        <v>4293.05</v>
      </c>
      <c r="K7" s="12">
        <f t="shared" ref="K7:K38" si="1">+K6+D7-H7</f>
        <v>17258.259999999998</v>
      </c>
    </row>
    <row r="8" spans="2:11" x14ac:dyDescent="0.25">
      <c r="B8" s="18">
        <v>43345</v>
      </c>
      <c r="C8" s="13" t="s">
        <v>720</v>
      </c>
      <c r="D8" s="11"/>
      <c r="E8" s="11"/>
      <c r="F8" s="11"/>
      <c r="G8" s="11"/>
      <c r="H8" s="11">
        <v>120</v>
      </c>
      <c r="I8" s="15"/>
      <c r="J8" s="12">
        <f t="shared" si="0"/>
        <v>4293.05</v>
      </c>
      <c r="K8" s="12">
        <f t="shared" si="1"/>
        <v>17138.259999999998</v>
      </c>
    </row>
    <row r="9" spans="2:11" x14ac:dyDescent="0.25">
      <c r="B9" s="18">
        <v>43345</v>
      </c>
      <c r="C9" s="9" t="s">
        <v>178</v>
      </c>
      <c r="D9" s="11"/>
      <c r="E9" s="11"/>
      <c r="F9" s="11"/>
      <c r="G9" s="11"/>
      <c r="H9" s="59">
        <v>71.5</v>
      </c>
      <c r="I9" s="15"/>
      <c r="J9" s="12">
        <f t="shared" si="0"/>
        <v>4293.05</v>
      </c>
      <c r="K9" s="12">
        <f t="shared" si="1"/>
        <v>17066.759999999998</v>
      </c>
    </row>
    <row r="10" spans="2:11" x14ac:dyDescent="0.25">
      <c r="B10" s="18">
        <v>43345</v>
      </c>
      <c r="C10" s="9" t="s">
        <v>721</v>
      </c>
      <c r="D10" s="11">
        <v>26925</v>
      </c>
      <c r="E10" s="11"/>
      <c r="F10" s="11"/>
      <c r="G10" s="11"/>
      <c r="H10" s="11"/>
      <c r="I10" s="15"/>
      <c r="J10" s="12">
        <f t="shared" si="0"/>
        <v>4293.05</v>
      </c>
      <c r="K10" s="12">
        <f t="shared" si="1"/>
        <v>43991.759999999995</v>
      </c>
    </row>
    <row r="11" spans="2:11" x14ac:dyDescent="0.25">
      <c r="B11" s="18">
        <v>43345</v>
      </c>
      <c r="C11" s="9" t="s">
        <v>405</v>
      </c>
      <c r="D11" s="11"/>
      <c r="E11" s="11"/>
      <c r="F11" s="11"/>
      <c r="G11" s="11"/>
      <c r="H11" s="11">
        <v>180</v>
      </c>
      <c r="I11" s="15"/>
      <c r="J11" s="12">
        <f t="shared" si="0"/>
        <v>4293.05</v>
      </c>
      <c r="K11" s="12">
        <f t="shared" si="1"/>
        <v>43811.759999999995</v>
      </c>
    </row>
    <row r="12" spans="2:11" x14ac:dyDescent="0.25">
      <c r="B12" s="18">
        <v>43346</v>
      </c>
      <c r="C12" s="9" t="s">
        <v>722</v>
      </c>
      <c r="D12" s="11"/>
      <c r="E12" s="11"/>
      <c r="F12" s="11"/>
      <c r="G12" s="11"/>
      <c r="H12" s="11">
        <v>22.5</v>
      </c>
      <c r="I12" s="15"/>
      <c r="J12" s="12">
        <f t="shared" si="0"/>
        <v>4293.05</v>
      </c>
      <c r="K12" s="12">
        <f t="shared" si="1"/>
        <v>43789.259999999995</v>
      </c>
    </row>
    <row r="13" spans="2:11" x14ac:dyDescent="0.25">
      <c r="B13" s="18">
        <v>43346</v>
      </c>
      <c r="C13" s="9" t="s">
        <v>693</v>
      </c>
      <c r="D13" s="11"/>
      <c r="E13" s="11"/>
      <c r="F13" s="11"/>
      <c r="G13" s="11"/>
      <c r="H13" s="59">
        <v>160</v>
      </c>
      <c r="I13" s="15"/>
      <c r="J13" s="12">
        <f t="shared" si="0"/>
        <v>4293.05</v>
      </c>
      <c r="K13" s="12">
        <f t="shared" si="1"/>
        <v>43629.259999999995</v>
      </c>
    </row>
    <row r="14" spans="2:11" x14ac:dyDescent="0.25">
      <c r="B14" s="18">
        <v>43346</v>
      </c>
      <c r="C14" s="9" t="s">
        <v>723</v>
      </c>
      <c r="D14" s="11"/>
      <c r="E14" s="11"/>
      <c r="F14" s="11"/>
      <c r="G14" s="11"/>
      <c r="H14" s="11">
        <v>19.5</v>
      </c>
      <c r="I14" s="15"/>
      <c r="J14" s="12">
        <f t="shared" si="0"/>
        <v>4293.05</v>
      </c>
      <c r="K14" s="12">
        <f t="shared" si="1"/>
        <v>43609.759999999995</v>
      </c>
    </row>
    <row r="15" spans="2:11" x14ac:dyDescent="0.25">
      <c r="B15" s="18">
        <v>43346</v>
      </c>
      <c r="C15" s="9" t="s">
        <v>653</v>
      </c>
      <c r="D15" s="11"/>
      <c r="E15" s="11"/>
      <c r="F15" s="11"/>
      <c r="G15" s="11"/>
      <c r="H15" s="59">
        <v>80</v>
      </c>
      <c r="I15" s="15"/>
      <c r="J15" s="12">
        <f t="shared" si="0"/>
        <v>4293.05</v>
      </c>
      <c r="K15" s="12">
        <f t="shared" si="1"/>
        <v>43529.759999999995</v>
      </c>
    </row>
    <row r="16" spans="2:11" x14ac:dyDescent="0.25">
      <c r="B16" s="18">
        <v>43346</v>
      </c>
      <c r="C16" s="9" t="s">
        <v>724</v>
      </c>
      <c r="D16" s="11"/>
      <c r="E16" s="11"/>
      <c r="F16" s="11"/>
      <c r="G16" s="11"/>
      <c r="H16" s="11">
        <v>45</v>
      </c>
      <c r="I16" s="15"/>
      <c r="J16" s="12">
        <f t="shared" si="0"/>
        <v>4293.05</v>
      </c>
      <c r="K16" s="12">
        <f t="shared" si="1"/>
        <v>43484.759999999995</v>
      </c>
    </row>
    <row r="17" spans="2:11" x14ac:dyDescent="0.25">
      <c r="B17" s="18">
        <v>43346</v>
      </c>
      <c r="C17" s="9" t="s">
        <v>725</v>
      </c>
      <c r="D17" s="11"/>
      <c r="E17" s="11"/>
      <c r="F17" s="11"/>
      <c r="G17" s="11"/>
      <c r="H17" s="11">
        <v>150</v>
      </c>
      <c r="I17" s="15"/>
      <c r="J17" s="12">
        <f t="shared" si="0"/>
        <v>4293.05</v>
      </c>
      <c r="K17" s="12">
        <f t="shared" si="1"/>
        <v>43334.759999999995</v>
      </c>
    </row>
    <row r="18" spans="2:11" x14ac:dyDescent="0.25">
      <c r="B18" s="18">
        <v>43347</v>
      </c>
      <c r="C18" s="9" t="s">
        <v>726</v>
      </c>
      <c r="D18" s="11"/>
      <c r="E18" s="11"/>
      <c r="F18" s="11"/>
      <c r="G18" s="11"/>
      <c r="H18" s="11">
        <v>250</v>
      </c>
      <c r="I18" s="15"/>
      <c r="J18" s="12">
        <f t="shared" si="0"/>
        <v>4293.05</v>
      </c>
      <c r="K18" s="12">
        <f t="shared" si="1"/>
        <v>43084.759999999995</v>
      </c>
    </row>
    <row r="19" spans="2:11" x14ac:dyDescent="0.25">
      <c r="B19" s="18">
        <v>43347</v>
      </c>
      <c r="C19" s="9" t="s">
        <v>375</v>
      </c>
      <c r="D19" s="11"/>
      <c r="E19" s="11"/>
      <c r="F19" s="11"/>
      <c r="G19" s="11"/>
      <c r="H19" s="11">
        <v>250</v>
      </c>
      <c r="I19" s="15"/>
      <c r="J19" s="12">
        <f t="shared" si="0"/>
        <v>4293.05</v>
      </c>
      <c r="K19" s="12">
        <f t="shared" si="1"/>
        <v>42834.759999999995</v>
      </c>
    </row>
    <row r="20" spans="2:11" x14ac:dyDescent="0.25">
      <c r="B20" s="18">
        <v>43347</v>
      </c>
      <c r="C20" s="9" t="s">
        <v>369</v>
      </c>
      <c r="D20" s="11"/>
      <c r="E20" s="11"/>
      <c r="F20" s="11"/>
      <c r="G20" s="11"/>
      <c r="H20" s="11">
        <v>300</v>
      </c>
      <c r="I20" s="15"/>
      <c r="J20" s="12">
        <f t="shared" si="0"/>
        <v>4293.05</v>
      </c>
      <c r="K20" s="12">
        <f t="shared" si="1"/>
        <v>42534.759999999995</v>
      </c>
    </row>
    <row r="21" spans="2:11" x14ac:dyDescent="0.25">
      <c r="B21" s="18">
        <v>43347</v>
      </c>
      <c r="C21" s="9" t="s">
        <v>727</v>
      </c>
      <c r="D21" s="11"/>
      <c r="E21" s="11"/>
      <c r="F21" s="11"/>
      <c r="G21" s="11"/>
      <c r="H21" s="11">
        <v>1950</v>
      </c>
      <c r="I21" s="15"/>
      <c r="J21" s="12">
        <f t="shared" si="0"/>
        <v>4293.05</v>
      </c>
      <c r="K21" s="12">
        <f t="shared" si="1"/>
        <v>40584.759999999995</v>
      </c>
    </row>
    <row r="22" spans="2:11" x14ac:dyDescent="0.25">
      <c r="B22" s="18">
        <v>43347</v>
      </c>
      <c r="C22" s="9" t="s">
        <v>728</v>
      </c>
      <c r="D22" s="11"/>
      <c r="E22" s="11"/>
      <c r="F22" s="11"/>
      <c r="G22" s="11"/>
      <c r="H22" s="59">
        <v>500</v>
      </c>
      <c r="I22" s="15"/>
      <c r="J22" s="12">
        <f t="shared" si="0"/>
        <v>4293.05</v>
      </c>
      <c r="K22" s="12">
        <f t="shared" si="1"/>
        <v>40084.759999999995</v>
      </c>
    </row>
    <row r="23" spans="2:11" x14ac:dyDescent="0.25">
      <c r="B23" s="18">
        <v>43347</v>
      </c>
      <c r="C23" s="9" t="s">
        <v>729</v>
      </c>
      <c r="D23" s="11"/>
      <c r="E23" s="11"/>
      <c r="F23" s="11"/>
      <c r="G23" s="11"/>
      <c r="H23" s="59">
        <v>250</v>
      </c>
      <c r="I23" s="15"/>
      <c r="J23" s="12">
        <f t="shared" si="0"/>
        <v>4293.05</v>
      </c>
      <c r="K23" s="12">
        <f t="shared" si="1"/>
        <v>39834.759999999995</v>
      </c>
    </row>
    <row r="24" spans="2:11" x14ac:dyDescent="0.25">
      <c r="B24" s="18">
        <v>43348</v>
      </c>
      <c r="C24" s="9" t="s">
        <v>730</v>
      </c>
      <c r="D24" s="11"/>
      <c r="E24" s="11"/>
      <c r="F24" s="11"/>
      <c r="G24" s="11"/>
      <c r="H24" s="11">
        <v>1600</v>
      </c>
      <c r="I24" s="15"/>
      <c r="J24" s="12">
        <f t="shared" si="0"/>
        <v>4293.05</v>
      </c>
      <c r="K24" s="12">
        <f t="shared" si="1"/>
        <v>38234.759999999995</v>
      </c>
    </row>
    <row r="25" spans="2:11" x14ac:dyDescent="0.25">
      <c r="B25" s="18">
        <v>43348</v>
      </c>
      <c r="C25" s="9" t="s">
        <v>731</v>
      </c>
      <c r="D25" s="11"/>
      <c r="E25" s="11"/>
      <c r="F25" s="11"/>
      <c r="G25" s="11"/>
      <c r="H25" s="11">
        <v>300</v>
      </c>
      <c r="I25" s="15"/>
      <c r="J25" s="12">
        <f t="shared" si="0"/>
        <v>4293.05</v>
      </c>
      <c r="K25" s="12">
        <f t="shared" si="1"/>
        <v>37934.759999999995</v>
      </c>
    </row>
    <row r="26" spans="2:11" x14ac:dyDescent="0.25">
      <c r="B26" s="18">
        <v>43348</v>
      </c>
      <c r="C26" s="9" t="s">
        <v>732</v>
      </c>
      <c r="D26" s="11"/>
      <c r="E26" s="11"/>
      <c r="F26" s="11"/>
      <c r="G26" s="11"/>
      <c r="H26" s="11">
        <v>600</v>
      </c>
      <c r="I26" s="15"/>
      <c r="J26" s="12">
        <f t="shared" si="0"/>
        <v>4293.05</v>
      </c>
      <c r="K26" s="12">
        <f t="shared" si="1"/>
        <v>37334.759999999995</v>
      </c>
    </row>
    <row r="27" spans="2:11" x14ac:dyDescent="0.25">
      <c r="B27" s="18">
        <v>43348</v>
      </c>
      <c r="C27" s="9" t="s">
        <v>733</v>
      </c>
      <c r="D27" s="11"/>
      <c r="E27" s="11"/>
      <c r="F27" s="11"/>
      <c r="G27" s="11"/>
      <c r="H27" s="11">
        <v>86.5</v>
      </c>
      <c r="I27" s="15"/>
      <c r="J27" s="12">
        <f t="shared" si="0"/>
        <v>4293.05</v>
      </c>
      <c r="K27" s="12">
        <f t="shared" si="1"/>
        <v>37248.259999999995</v>
      </c>
    </row>
    <row r="28" spans="2:11" x14ac:dyDescent="0.25">
      <c r="B28" s="18">
        <v>43348</v>
      </c>
      <c r="C28" s="9" t="s">
        <v>734</v>
      </c>
      <c r="D28" s="11"/>
      <c r="E28" s="11"/>
      <c r="F28" s="11"/>
      <c r="G28" s="11"/>
      <c r="H28" s="11">
        <v>110</v>
      </c>
      <c r="I28" s="15"/>
      <c r="J28" s="12">
        <f t="shared" si="0"/>
        <v>4293.05</v>
      </c>
      <c r="K28" s="12">
        <f t="shared" si="1"/>
        <v>37138.259999999995</v>
      </c>
    </row>
    <row r="29" spans="2:11" x14ac:dyDescent="0.25">
      <c r="B29" s="18">
        <v>43348</v>
      </c>
      <c r="C29" s="9" t="s">
        <v>735</v>
      </c>
      <c r="D29" s="11"/>
      <c r="E29" s="11"/>
      <c r="F29" s="11"/>
      <c r="G29" s="11"/>
      <c r="H29" s="11">
        <v>765</v>
      </c>
      <c r="I29" s="15"/>
      <c r="J29" s="12">
        <f t="shared" si="0"/>
        <v>4293.05</v>
      </c>
      <c r="K29" s="12">
        <f t="shared" si="1"/>
        <v>36373.259999999995</v>
      </c>
    </row>
    <row r="30" spans="2:11" x14ac:dyDescent="0.25">
      <c r="B30" s="18">
        <v>43348</v>
      </c>
      <c r="C30" s="9" t="s">
        <v>736</v>
      </c>
      <c r="D30" s="11"/>
      <c r="E30" s="11"/>
      <c r="F30" s="11"/>
      <c r="G30" s="11"/>
      <c r="H30" s="11">
        <v>58.5</v>
      </c>
      <c r="I30" s="15"/>
      <c r="J30" s="12">
        <f t="shared" si="0"/>
        <v>4293.05</v>
      </c>
      <c r="K30" s="12">
        <f t="shared" si="1"/>
        <v>36314.759999999995</v>
      </c>
    </row>
    <row r="31" spans="2:11" x14ac:dyDescent="0.25">
      <c r="B31" s="18">
        <v>43349</v>
      </c>
      <c r="C31" s="117" t="s">
        <v>737</v>
      </c>
      <c r="D31" s="11"/>
      <c r="E31" s="11"/>
      <c r="F31" s="11"/>
      <c r="G31" s="11"/>
      <c r="H31" s="59">
        <v>305</v>
      </c>
      <c r="I31" s="15"/>
      <c r="J31" s="12">
        <f t="shared" si="0"/>
        <v>4293.05</v>
      </c>
      <c r="K31" s="12">
        <f t="shared" si="1"/>
        <v>36009.759999999995</v>
      </c>
    </row>
    <row r="32" spans="2:11" x14ac:dyDescent="0.25">
      <c r="B32" s="18">
        <v>43349</v>
      </c>
      <c r="C32" s="9" t="s">
        <v>737</v>
      </c>
      <c r="D32" s="11"/>
      <c r="E32" s="11"/>
      <c r="F32" s="11"/>
      <c r="G32" s="11"/>
      <c r="H32" s="11">
        <v>550</v>
      </c>
      <c r="I32" s="15"/>
      <c r="J32" s="12">
        <f t="shared" si="0"/>
        <v>4293.05</v>
      </c>
      <c r="K32" s="12">
        <f t="shared" si="1"/>
        <v>35459.759999999995</v>
      </c>
    </row>
    <row r="33" spans="2:11" x14ac:dyDescent="0.25">
      <c r="B33" s="18">
        <v>43349</v>
      </c>
      <c r="C33" s="9" t="s">
        <v>738</v>
      </c>
      <c r="D33" s="11"/>
      <c r="E33" s="11"/>
      <c r="F33" s="11"/>
      <c r="G33" s="11"/>
      <c r="H33" s="11">
        <v>200</v>
      </c>
      <c r="I33" s="15"/>
      <c r="J33" s="12">
        <f t="shared" si="0"/>
        <v>4293.05</v>
      </c>
      <c r="K33" s="12">
        <f t="shared" si="1"/>
        <v>35259.759999999995</v>
      </c>
    </row>
    <row r="34" spans="2:11" x14ac:dyDescent="0.25">
      <c r="B34" s="18">
        <v>43350</v>
      </c>
      <c r="C34" s="9" t="s">
        <v>739</v>
      </c>
      <c r="D34" s="11"/>
      <c r="E34" s="11"/>
      <c r="F34" s="11"/>
      <c r="G34" s="11"/>
      <c r="H34" s="11">
        <v>1250</v>
      </c>
      <c r="I34" s="15"/>
      <c r="J34" s="12">
        <f t="shared" si="0"/>
        <v>4293.05</v>
      </c>
      <c r="K34" s="12">
        <f t="shared" si="1"/>
        <v>34009.759999999995</v>
      </c>
    </row>
    <row r="35" spans="2:11" x14ac:dyDescent="0.25">
      <c r="B35" s="18">
        <v>43350</v>
      </c>
      <c r="C35" s="9" t="s">
        <v>740</v>
      </c>
      <c r="D35" s="11"/>
      <c r="E35" s="11"/>
      <c r="F35" s="11"/>
      <c r="G35" s="11"/>
      <c r="H35" s="11">
        <v>300</v>
      </c>
      <c r="I35" s="15"/>
      <c r="J35" s="12">
        <f t="shared" si="0"/>
        <v>4293.05</v>
      </c>
      <c r="K35" s="12">
        <f t="shared" si="1"/>
        <v>33709.759999999995</v>
      </c>
    </row>
    <row r="36" spans="2:11" x14ac:dyDescent="0.25">
      <c r="B36" s="18">
        <v>43351</v>
      </c>
      <c r="C36" s="9" t="s">
        <v>720</v>
      </c>
      <c r="D36" s="11"/>
      <c r="E36" s="11"/>
      <c r="F36" s="11"/>
      <c r="G36" s="11"/>
      <c r="H36" s="11">
        <v>120</v>
      </c>
      <c r="I36" s="15"/>
      <c r="J36" s="12">
        <f t="shared" si="0"/>
        <v>4293.05</v>
      </c>
      <c r="K36" s="12">
        <f t="shared" si="1"/>
        <v>33589.759999999995</v>
      </c>
    </row>
    <row r="37" spans="2:11" x14ac:dyDescent="0.25">
      <c r="B37" s="18">
        <v>43352</v>
      </c>
      <c r="C37" s="9" t="s">
        <v>178</v>
      </c>
      <c r="D37" s="11"/>
      <c r="E37" s="11"/>
      <c r="F37" s="11"/>
      <c r="G37" s="11"/>
      <c r="H37" s="11">
        <v>99</v>
      </c>
      <c r="I37" s="15"/>
      <c r="J37" s="12">
        <f t="shared" si="0"/>
        <v>4293.05</v>
      </c>
      <c r="K37" s="12">
        <f t="shared" si="1"/>
        <v>33490.759999999995</v>
      </c>
    </row>
    <row r="38" spans="2:11" x14ac:dyDescent="0.25">
      <c r="B38" s="18">
        <v>43352</v>
      </c>
      <c r="C38" s="9" t="s">
        <v>741</v>
      </c>
      <c r="D38" s="11">
        <v>18250</v>
      </c>
      <c r="E38" s="11"/>
      <c r="F38" s="11"/>
      <c r="G38" s="11"/>
      <c r="H38" s="11"/>
      <c r="I38" s="15"/>
      <c r="J38" s="12">
        <f t="shared" si="0"/>
        <v>4293.05</v>
      </c>
      <c r="K38" s="12">
        <f t="shared" si="1"/>
        <v>51740.759999999995</v>
      </c>
    </row>
    <row r="39" spans="2:11" x14ac:dyDescent="0.25">
      <c r="B39" s="18">
        <v>43353</v>
      </c>
      <c r="C39" s="9" t="s">
        <v>405</v>
      </c>
      <c r="D39" s="11"/>
      <c r="E39" s="11"/>
      <c r="F39" s="11"/>
      <c r="G39" s="11"/>
      <c r="H39" s="11">
        <v>180</v>
      </c>
      <c r="I39" s="15"/>
      <c r="J39" s="12">
        <f t="shared" ref="J39:J59" si="2">+J38+E39-G39</f>
        <v>4293.05</v>
      </c>
      <c r="K39" s="12">
        <f t="shared" ref="K39:K59" si="3">+K38+D39-H39</f>
        <v>51560.759999999995</v>
      </c>
    </row>
    <row r="40" spans="2:11" x14ac:dyDescent="0.25">
      <c r="B40" s="18">
        <v>43353</v>
      </c>
      <c r="C40" s="9" t="s">
        <v>369</v>
      </c>
      <c r="D40" s="11"/>
      <c r="E40" s="11"/>
      <c r="F40" s="11"/>
      <c r="G40" s="11"/>
      <c r="H40" s="11">
        <v>300</v>
      </c>
      <c r="I40" s="15"/>
      <c r="J40" s="12">
        <f t="shared" si="2"/>
        <v>4293.05</v>
      </c>
      <c r="K40" s="12">
        <f t="shared" si="3"/>
        <v>51260.759999999995</v>
      </c>
    </row>
    <row r="41" spans="2:11" x14ac:dyDescent="0.25">
      <c r="B41" s="18">
        <v>43354</v>
      </c>
      <c r="C41" s="9" t="s">
        <v>742</v>
      </c>
      <c r="D41" s="11"/>
      <c r="E41" s="11"/>
      <c r="F41" s="11"/>
      <c r="G41" s="11"/>
      <c r="H41" s="11">
        <v>140</v>
      </c>
      <c r="I41" s="15"/>
      <c r="J41" s="12">
        <f t="shared" si="2"/>
        <v>4293.05</v>
      </c>
      <c r="K41" s="12">
        <f t="shared" si="3"/>
        <v>51120.759999999995</v>
      </c>
    </row>
    <row r="42" spans="2:11" x14ac:dyDescent="0.25">
      <c r="B42" s="18">
        <v>43355</v>
      </c>
      <c r="C42" s="9" t="s">
        <v>743</v>
      </c>
      <c r="D42" s="11"/>
      <c r="E42" s="11"/>
      <c r="F42" s="11"/>
      <c r="G42" s="11"/>
      <c r="H42" s="59">
        <v>28</v>
      </c>
      <c r="I42" s="15"/>
      <c r="J42" s="12">
        <f t="shared" si="2"/>
        <v>4293.05</v>
      </c>
      <c r="K42" s="12">
        <f t="shared" si="3"/>
        <v>51092.759999999995</v>
      </c>
    </row>
    <row r="43" spans="2:11" x14ac:dyDescent="0.25">
      <c r="B43" s="18">
        <v>43355</v>
      </c>
      <c r="C43" s="9" t="s">
        <v>744</v>
      </c>
      <c r="D43" s="11"/>
      <c r="E43" s="11"/>
      <c r="F43" s="11"/>
      <c r="G43" s="11"/>
      <c r="H43" s="59">
        <v>50.5</v>
      </c>
      <c r="I43" s="15"/>
      <c r="J43" s="12">
        <f t="shared" si="2"/>
        <v>4293.05</v>
      </c>
      <c r="K43" s="12">
        <f t="shared" si="3"/>
        <v>51042.259999999995</v>
      </c>
    </row>
    <row r="44" spans="2:11" x14ac:dyDescent="0.25">
      <c r="B44" s="18">
        <v>43355</v>
      </c>
      <c r="C44" s="9" t="s">
        <v>745</v>
      </c>
      <c r="D44" s="11"/>
      <c r="E44" s="11"/>
      <c r="F44" s="11"/>
      <c r="G44" s="11"/>
      <c r="H44" s="59">
        <v>6.5</v>
      </c>
      <c r="I44" s="15"/>
      <c r="J44" s="12">
        <f t="shared" si="2"/>
        <v>4293.05</v>
      </c>
      <c r="K44" s="12">
        <f t="shared" si="3"/>
        <v>51035.759999999995</v>
      </c>
    </row>
    <row r="45" spans="2:11" x14ac:dyDescent="0.25">
      <c r="B45" s="18">
        <v>43356</v>
      </c>
      <c r="C45" s="9" t="s">
        <v>642</v>
      </c>
      <c r="D45" s="11"/>
      <c r="E45" s="11"/>
      <c r="F45" s="11"/>
      <c r="G45" s="11"/>
      <c r="H45" s="59">
        <v>62</v>
      </c>
      <c r="I45" s="15"/>
      <c r="J45" s="12">
        <f t="shared" si="2"/>
        <v>4293.05</v>
      </c>
      <c r="K45" s="12">
        <f t="shared" si="3"/>
        <v>50973.759999999995</v>
      </c>
    </row>
    <row r="46" spans="2:11" x14ac:dyDescent="0.25">
      <c r="B46" s="18">
        <v>43356</v>
      </c>
      <c r="C46" s="9" t="s">
        <v>746</v>
      </c>
      <c r="D46" s="11"/>
      <c r="E46" s="11"/>
      <c r="F46" s="11"/>
      <c r="G46" s="11"/>
      <c r="H46" s="59">
        <v>777.96</v>
      </c>
      <c r="I46" s="15"/>
      <c r="J46" s="12">
        <f t="shared" si="2"/>
        <v>4293.05</v>
      </c>
      <c r="K46" s="12">
        <f t="shared" si="3"/>
        <v>50195.799999999996</v>
      </c>
    </row>
    <row r="47" spans="2:11" x14ac:dyDescent="0.25">
      <c r="B47" s="18">
        <v>43357</v>
      </c>
      <c r="C47" s="13" t="s">
        <v>747</v>
      </c>
      <c r="D47" s="11"/>
      <c r="E47" s="11"/>
      <c r="F47" s="11"/>
      <c r="G47" s="11"/>
      <c r="H47" s="11">
        <v>1250</v>
      </c>
      <c r="I47" s="15"/>
      <c r="J47" s="12">
        <f>+J46+E47-G47</f>
        <v>4293.05</v>
      </c>
      <c r="K47" s="12">
        <f>+K46+D47-H47</f>
        <v>48945.799999999996</v>
      </c>
    </row>
    <row r="48" spans="2:11" x14ac:dyDescent="0.25">
      <c r="B48" s="18">
        <v>43357</v>
      </c>
      <c r="C48" s="9" t="s">
        <v>748</v>
      </c>
      <c r="D48" s="11"/>
      <c r="E48" s="11"/>
      <c r="F48" s="11"/>
      <c r="G48" s="11"/>
      <c r="H48" s="11">
        <v>30000</v>
      </c>
      <c r="I48" s="15"/>
      <c r="J48" s="12">
        <f t="shared" si="2"/>
        <v>4293.05</v>
      </c>
      <c r="K48" s="12">
        <f t="shared" si="3"/>
        <v>18945.799999999996</v>
      </c>
    </row>
    <row r="49" spans="2:11" x14ac:dyDescent="0.25">
      <c r="B49" s="18">
        <v>43358</v>
      </c>
      <c r="C49" s="13" t="s">
        <v>749</v>
      </c>
      <c r="D49" s="41"/>
      <c r="E49" s="41"/>
      <c r="F49" s="41"/>
      <c r="G49" s="41"/>
      <c r="H49" s="11">
        <v>350</v>
      </c>
      <c r="I49" s="15"/>
      <c r="J49" s="12">
        <f t="shared" si="2"/>
        <v>4293.05</v>
      </c>
      <c r="K49" s="12">
        <f t="shared" si="3"/>
        <v>18595.799999999996</v>
      </c>
    </row>
    <row r="50" spans="2:11" x14ac:dyDescent="0.25">
      <c r="B50" s="18">
        <v>43358</v>
      </c>
      <c r="C50" s="13" t="s">
        <v>750</v>
      </c>
      <c r="D50" s="11"/>
      <c r="E50" s="11"/>
      <c r="F50" s="11"/>
      <c r="G50" s="11"/>
      <c r="H50" s="11">
        <v>550</v>
      </c>
      <c r="I50" s="15"/>
      <c r="J50" s="12">
        <f t="shared" si="2"/>
        <v>4293.05</v>
      </c>
      <c r="K50" s="12">
        <f t="shared" si="3"/>
        <v>18045.799999999996</v>
      </c>
    </row>
    <row r="51" spans="2:11" x14ac:dyDescent="0.25">
      <c r="B51" s="18">
        <v>43358</v>
      </c>
      <c r="C51" s="13" t="s">
        <v>751</v>
      </c>
      <c r="D51" s="11"/>
      <c r="E51" s="11"/>
      <c r="F51" s="11"/>
      <c r="G51" s="11"/>
      <c r="H51" s="11">
        <v>2000</v>
      </c>
      <c r="I51" s="15"/>
      <c r="J51" s="12">
        <f t="shared" si="2"/>
        <v>4293.05</v>
      </c>
      <c r="K51" s="12">
        <f t="shared" si="3"/>
        <v>16045.799999999996</v>
      </c>
    </row>
    <row r="52" spans="2:11" x14ac:dyDescent="0.25">
      <c r="B52" s="18">
        <v>43358</v>
      </c>
      <c r="C52" s="13" t="s">
        <v>752</v>
      </c>
      <c r="D52" s="11"/>
      <c r="E52" s="11"/>
      <c r="F52" s="11"/>
      <c r="G52" s="11"/>
      <c r="H52" s="11">
        <v>4000</v>
      </c>
      <c r="I52" s="15"/>
      <c r="J52" s="12">
        <f t="shared" si="2"/>
        <v>4293.05</v>
      </c>
      <c r="K52" s="12">
        <f t="shared" si="3"/>
        <v>12045.799999999996</v>
      </c>
    </row>
    <row r="53" spans="2:11" ht="15.75" thickBot="1" x14ac:dyDescent="0.3">
      <c r="B53" s="18">
        <v>43358</v>
      </c>
      <c r="C53" s="13" t="s">
        <v>753</v>
      </c>
      <c r="D53" s="11"/>
      <c r="E53" s="11"/>
      <c r="F53" s="11"/>
      <c r="G53" s="11"/>
      <c r="H53" s="11">
        <v>10000</v>
      </c>
      <c r="I53" s="15"/>
      <c r="J53" s="12">
        <f t="shared" si="2"/>
        <v>4293.05</v>
      </c>
      <c r="K53" s="12">
        <f t="shared" si="3"/>
        <v>2045.7999999999956</v>
      </c>
    </row>
    <row r="54" spans="2:11" ht="15.75" thickBot="1" x14ac:dyDescent="0.3">
      <c r="B54" s="5"/>
      <c r="C54" s="7" t="s">
        <v>0</v>
      </c>
      <c r="D54" s="62">
        <f>SUM(D4:D53)</f>
        <v>45175</v>
      </c>
      <c r="E54" s="61">
        <f>SUM(E4:E53)</f>
        <v>0</v>
      </c>
      <c r="F54" s="71">
        <f>SUM(D54:E54)</f>
        <v>45175</v>
      </c>
      <c r="G54" s="80">
        <f>SUM(G4:G53)</f>
        <v>0</v>
      </c>
      <c r="H54" s="62">
        <f>SUM(H4:H53)</f>
        <v>60650.46</v>
      </c>
      <c r="I54" s="71">
        <f>SUM(G54:H54)</f>
        <v>60650.46</v>
      </c>
      <c r="J54" s="20"/>
      <c r="K54" s="20"/>
    </row>
    <row r="55" spans="2:11" x14ac:dyDescent="0.25">
      <c r="B55" s="68" t="s">
        <v>1</v>
      </c>
      <c r="C55" s="68" t="s">
        <v>2</v>
      </c>
      <c r="D55" s="68" t="s">
        <v>3</v>
      </c>
      <c r="E55" s="68" t="s">
        <v>3</v>
      </c>
      <c r="F55" s="68" t="s">
        <v>22</v>
      </c>
      <c r="G55" s="68" t="s">
        <v>23</v>
      </c>
      <c r="H55" s="48" t="s">
        <v>23</v>
      </c>
      <c r="I55" s="48" t="s">
        <v>22</v>
      </c>
      <c r="J55" s="68" t="s">
        <v>8</v>
      </c>
      <c r="K55" s="48" t="s">
        <v>7</v>
      </c>
    </row>
    <row r="56" spans="2:11" ht="15.75" thickBot="1" x14ac:dyDescent="0.3">
      <c r="B56" s="69"/>
      <c r="C56" s="69"/>
      <c r="D56" s="69" t="s">
        <v>5</v>
      </c>
      <c r="E56" s="69" t="s">
        <v>24</v>
      </c>
      <c r="F56" s="69" t="s">
        <v>3</v>
      </c>
      <c r="G56" s="69" t="s">
        <v>24</v>
      </c>
      <c r="H56" s="70" t="s">
        <v>5</v>
      </c>
      <c r="I56" s="70" t="s">
        <v>4</v>
      </c>
      <c r="J56" s="69"/>
      <c r="K56" s="70"/>
    </row>
    <row r="57" spans="2:11" ht="15.75" thickBot="1" x14ac:dyDescent="0.3">
      <c r="B57" s="5"/>
      <c r="C57" s="7"/>
      <c r="D57" s="62">
        <v>45175</v>
      </c>
      <c r="E57" s="61">
        <v>0</v>
      </c>
      <c r="F57" s="71">
        <f>SUM(D57:E57)</f>
        <v>45175</v>
      </c>
      <c r="G57" s="80">
        <v>0</v>
      </c>
      <c r="H57" s="62">
        <v>60650.46</v>
      </c>
      <c r="I57" s="71">
        <f>SUM(G57:H57)</f>
        <v>60650.46</v>
      </c>
      <c r="J57" s="20">
        <v>4293.05</v>
      </c>
      <c r="K57" s="12">
        <v>2045</v>
      </c>
    </row>
    <row r="58" spans="2:11" x14ac:dyDescent="0.25">
      <c r="B58" s="18">
        <v>43358</v>
      </c>
      <c r="C58" s="13" t="s">
        <v>754</v>
      </c>
      <c r="D58" s="11">
        <v>7550</v>
      </c>
      <c r="E58" s="11"/>
      <c r="F58" s="11"/>
      <c r="G58" s="11"/>
      <c r="H58" s="11"/>
      <c r="I58" s="15"/>
      <c r="J58" s="12">
        <f>+J53+E58-G58</f>
        <v>4293.05</v>
      </c>
      <c r="K58" s="12">
        <f>+K53+D58-H58</f>
        <v>9595.7999999999956</v>
      </c>
    </row>
    <row r="59" spans="2:11" x14ac:dyDescent="0.25">
      <c r="B59" s="18">
        <v>43358</v>
      </c>
      <c r="C59" s="13" t="s">
        <v>755</v>
      </c>
      <c r="D59" s="11"/>
      <c r="E59" s="11"/>
      <c r="F59" s="11"/>
      <c r="G59" s="11"/>
      <c r="H59" s="11">
        <v>385</v>
      </c>
      <c r="I59" s="15"/>
      <c r="J59" s="12">
        <f t="shared" si="2"/>
        <v>4293.05</v>
      </c>
      <c r="K59" s="12">
        <f t="shared" si="3"/>
        <v>9210.7999999999956</v>
      </c>
    </row>
    <row r="60" spans="2:11" x14ac:dyDescent="0.25">
      <c r="B60" s="18">
        <v>43358</v>
      </c>
      <c r="C60" s="9" t="s">
        <v>756</v>
      </c>
      <c r="D60" s="11"/>
      <c r="E60" s="11"/>
      <c r="F60" s="11"/>
      <c r="G60" s="11"/>
      <c r="H60" s="11">
        <v>70</v>
      </c>
      <c r="I60" s="15"/>
      <c r="J60" s="12">
        <f>+J59+E60-G60</f>
        <v>4293.05</v>
      </c>
      <c r="K60" s="12">
        <f>+K59+D60-H60</f>
        <v>9140.7999999999956</v>
      </c>
    </row>
    <row r="61" spans="2:11" x14ac:dyDescent="0.25">
      <c r="B61" s="18">
        <v>43358</v>
      </c>
      <c r="C61" s="13" t="s">
        <v>757</v>
      </c>
      <c r="D61" s="41"/>
      <c r="E61" s="41"/>
      <c r="F61" s="41"/>
      <c r="G61" s="41"/>
      <c r="H61" s="11">
        <v>25</v>
      </c>
      <c r="I61" s="15"/>
      <c r="J61" s="12">
        <f t="shared" ref="J61:J117" si="4">+J60+E61-G61</f>
        <v>4293.05</v>
      </c>
      <c r="K61" s="12">
        <f t="shared" ref="K61:K117" si="5">+K60+D61-H61</f>
        <v>9115.7999999999956</v>
      </c>
    </row>
    <row r="62" spans="2:11" x14ac:dyDescent="0.25">
      <c r="B62" s="18">
        <v>43358</v>
      </c>
      <c r="C62" s="9" t="s">
        <v>369</v>
      </c>
      <c r="D62" s="11"/>
      <c r="E62" s="11"/>
      <c r="F62" s="11"/>
      <c r="G62" s="11"/>
      <c r="H62" s="59">
        <v>300</v>
      </c>
      <c r="I62" s="15"/>
      <c r="J62" s="12">
        <f t="shared" si="4"/>
        <v>4293.05</v>
      </c>
      <c r="K62" s="12">
        <f t="shared" si="5"/>
        <v>8815.7999999999956</v>
      </c>
    </row>
    <row r="63" spans="2:11" x14ac:dyDescent="0.25">
      <c r="B63" s="18">
        <v>43359</v>
      </c>
      <c r="C63" s="9" t="s">
        <v>758</v>
      </c>
      <c r="D63" s="11"/>
      <c r="E63" s="11"/>
      <c r="F63" s="11"/>
      <c r="G63" s="11"/>
      <c r="H63" s="59">
        <v>15</v>
      </c>
      <c r="I63" s="15"/>
      <c r="J63" s="12">
        <f t="shared" si="4"/>
        <v>4293.05</v>
      </c>
      <c r="K63" s="12">
        <f t="shared" si="5"/>
        <v>8800.7999999999956</v>
      </c>
    </row>
    <row r="64" spans="2:11" x14ac:dyDescent="0.25">
      <c r="B64" s="18">
        <v>43359</v>
      </c>
      <c r="C64" s="9" t="s">
        <v>720</v>
      </c>
      <c r="D64" s="11"/>
      <c r="E64" s="11"/>
      <c r="F64" s="11"/>
      <c r="G64" s="11"/>
      <c r="H64" s="59">
        <v>120</v>
      </c>
      <c r="I64" s="15"/>
      <c r="J64" s="12">
        <f t="shared" si="4"/>
        <v>4293.05</v>
      </c>
      <c r="K64" s="12">
        <f t="shared" si="5"/>
        <v>8680.7999999999956</v>
      </c>
    </row>
    <row r="65" spans="2:12" x14ac:dyDescent="0.25">
      <c r="B65" s="18">
        <v>43359</v>
      </c>
      <c r="C65" s="9" t="s">
        <v>759</v>
      </c>
      <c r="D65" s="11"/>
      <c r="E65" s="11"/>
      <c r="F65" s="11"/>
      <c r="G65" s="11"/>
      <c r="H65" s="59">
        <v>118</v>
      </c>
      <c r="I65" s="15"/>
      <c r="J65" s="12">
        <f t="shared" si="4"/>
        <v>4293.05</v>
      </c>
      <c r="K65" s="12">
        <f t="shared" si="5"/>
        <v>8562.7999999999956</v>
      </c>
    </row>
    <row r="66" spans="2:12" x14ac:dyDescent="0.25">
      <c r="B66" s="18">
        <v>43359</v>
      </c>
      <c r="C66" s="13" t="s">
        <v>760</v>
      </c>
      <c r="D66" s="11"/>
      <c r="E66" s="11"/>
      <c r="F66" s="11"/>
      <c r="G66" s="11"/>
      <c r="H66" s="11">
        <v>18</v>
      </c>
      <c r="I66" s="15"/>
      <c r="J66" s="12">
        <f t="shared" si="4"/>
        <v>4293.05</v>
      </c>
      <c r="K66" s="12">
        <f t="shared" si="5"/>
        <v>8544.7999999999956</v>
      </c>
    </row>
    <row r="67" spans="2:12" x14ac:dyDescent="0.25">
      <c r="B67" s="18">
        <v>43359</v>
      </c>
      <c r="C67" s="13" t="s">
        <v>761</v>
      </c>
      <c r="D67" s="11"/>
      <c r="E67" s="11"/>
      <c r="F67" s="11"/>
      <c r="G67" s="11"/>
      <c r="H67" s="11">
        <v>8</v>
      </c>
      <c r="I67" s="15"/>
      <c r="J67" s="12">
        <f t="shared" si="4"/>
        <v>4293.05</v>
      </c>
      <c r="K67" s="12">
        <f t="shared" si="5"/>
        <v>8536.7999999999956</v>
      </c>
    </row>
    <row r="68" spans="2:12" x14ac:dyDescent="0.25">
      <c r="B68" s="18">
        <v>43359</v>
      </c>
      <c r="C68" s="13" t="s">
        <v>762</v>
      </c>
      <c r="D68" s="11">
        <v>10750</v>
      </c>
      <c r="E68" s="11"/>
      <c r="F68" s="11"/>
      <c r="G68" s="11"/>
      <c r="H68" s="11"/>
      <c r="I68" s="15"/>
      <c r="J68" s="12">
        <f t="shared" si="4"/>
        <v>4293.05</v>
      </c>
      <c r="K68" s="12">
        <f t="shared" si="5"/>
        <v>19286.799999999996</v>
      </c>
    </row>
    <row r="69" spans="2:12" x14ac:dyDescent="0.25">
      <c r="B69" s="18">
        <v>43360</v>
      </c>
      <c r="C69" s="13" t="s">
        <v>763</v>
      </c>
      <c r="D69" s="11"/>
      <c r="E69" s="11"/>
      <c r="F69" s="11"/>
      <c r="G69" s="11"/>
      <c r="H69" s="11">
        <v>400</v>
      </c>
      <c r="I69" s="15"/>
      <c r="J69" s="12">
        <f t="shared" si="4"/>
        <v>4293.05</v>
      </c>
      <c r="K69" s="12">
        <f t="shared" si="5"/>
        <v>18886.799999999996</v>
      </c>
    </row>
    <row r="70" spans="2:12" x14ac:dyDescent="0.25">
      <c r="B70" s="18">
        <v>43361</v>
      </c>
      <c r="C70" s="9" t="s">
        <v>792</v>
      </c>
      <c r="D70" s="11"/>
      <c r="E70" s="11"/>
      <c r="F70" s="11"/>
      <c r="G70" s="11">
        <v>1760</v>
      </c>
      <c r="H70" s="11"/>
      <c r="I70" s="15"/>
      <c r="J70" s="12">
        <f t="shared" si="4"/>
        <v>2533.0500000000002</v>
      </c>
      <c r="K70" s="12">
        <f t="shared" si="5"/>
        <v>18886.799999999996</v>
      </c>
    </row>
    <row r="71" spans="2:12" x14ac:dyDescent="0.25">
      <c r="B71" s="18">
        <v>43361</v>
      </c>
      <c r="C71" s="9" t="s">
        <v>793</v>
      </c>
      <c r="D71" s="11"/>
      <c r="E71" s="11"/>
      <c r="F71" s="11"/>
      <c r="G71" s="11">
        <v>1400</v>
      </c>
      <c r="H71" s="11"/>
      <c r="I71" s="15"/>
      <c r="J71" s="12">
        <f t="shared" si="4"/>
        <v>1133.0500000000002</v>
      </c>
      <c r="K71" s="12">
        <f t="shared" si="5"/>
        <v>18886.799999999996</v>
      </c>
    </row>
    <row r="72" spans="2:12" x14ac:dyDescent="0.25">
      <c r="B72" s="18">
        <v>43361</v>
      </c>
      <c r="C72" s="13" t="s">
        <v>764</v>
      </c>
      <c r="D72" s="11"/>
      <c r="E72" s="11"/>
      <c r="F72" s="11"/>
      <c r="G72" s="11"/>
      <c r="H72" s="11">
        <v>250</v>
      </c>
      <c r="I72" s="15"/>
      <c r="J72" s="12">
        <f t="shared" si="4"/>
        <v>1133.0500000000002</v>
      </c>
      <c r="K72" s="12">
        <f t="shared" si="5"/>
        <v>18636.799999999996</v>
      </c>
      <c r="L72" s="1"/>
    </row>
    <row r="73" spans="2:12" x14ac:dyDescent="0.25">
      <c r="B73" s="18">
        <v>43361</v>
      </c>
      <c r="C73" s="13" t="s">
        <v>765</v>
      </c>
      <c r="D73" s="11"/>
      <c r="E73" s="11"/>
      <c r="F73" s="11"/>
      <c r="G73" s="11"/>
      <c r="H73" s="11">
        <v>60</v>
      </c>
      <c r="I73" s="15"/>
      <c r="J73" s="12">
        <f t="shared" si="4"/>
        <v>1133.0500000000002</v>
      </c>
      <c r="K73" s="12">
        <f t="shared" si="5"/>
        <v>18576.799999999996</v>
      </c>
      <c r="L73" s="1"/>
    </row>
    <row r="74" spans="2:12" x14ac:dyDescent="0.25">
      <c r="B74" s="18">
        <v>43361</v>
      </c>
      <c r="C74" s="35" t="s">
        <v>766</v>
      </c>
      <c r="D74" s="11"/>
      <c r="E74" s="11"/>
      <c r="F74" s="11"/>
      <c r="G74" s="11"/>
      <c r="H74" s="11">
        <v>35.799999999999997</v>
      </c>
      <c r="I74" s="15"/>
      <c r="J74" s="12">
        <f t="shared" si="4"/>
        <v>1133.0500000000002</v>
      </c>
      <c r="K74" s="12">
        <f t="shared" si="5"/>
        <v>18540.999999999996</v>
      </c>
      <c r="L74" s="1"/>
    </row>
    <row r="75" spans="2:12" x14ac:dyDescent="0.25">
      <c r="B75" s="18">
        <v>43362</v>
      </c>
      <c r="C75" s="118" t="s">
        <v>405</v>
      </c>
      <c r="D75" s="11"/>
      <c r="E75" s="11"/>
      <c r="F75" s="11"/>
      <c r="G75" s="11"/>
      <c r="H75" s="11">
        <v>180</v>
      </c>
      <c r="I75" s="15"/>
      <c r="J75" s="12">
        <f t="shared" si="4"/>
        <v>1133.0500000000002</v>
      </c>
      <c r="K75" s="12">
        <f t="shared" si="5"/>
        <v>18360.999999999996</v>
      </c>
      <c r="L75" s="1"/>
    </row>
    <row r="76" spans="2:12" x14ac:dyDescent="0.25">
      <c r="B76" s="18">
        <v>43363</v>
      </c>
      <c r="C76" s="34" t="s">
        <v>767</v>
      </c>
      <c r="D76" s="11"/>
      <c r="E76" s="11"/>
      <c r="F76" s="11"/>
      <c r="G76" s="11"/>
      <c r="H76" s="11">
        <v>400</v>
      </c>
      <c r="I76" s="15"/>
      <c r="J76" s="12">
        <f t="shared" si="4"/>
        <v>1133.0500000000002</v>
      </c>
      <c r="K76" s="12">
        <f t="shared" si="5"/>
        <v>17960.999999999996</v>
      </c>
    </row>
    <row r="77" spans="2:12" x14ac:dyDescent="0.25">
      <c r="B77" s="18">
        <v>43363</v>
      </c>
      <c r="C77" s="13" t="s">
        <v>768</v>
      </c>
      <c r="D77" s="11"/>
      <c r="E77" s="11">
        <v>12760</v>
      </c>
      <c r="F77" s="11"/>
      <c r="G77" s="11"/>
      <c r="H77" s="11"/>
      <c r="I77" s="15"/>
      <c r="J77" s="12">
        <f t="shared" si="4"/>
        <v>13893.05</v>
      </c>
      <c r="K77" s="12">
        <f t="shared" si="5"/>
        <v>17960.999999999996</v>
      </c>
    </row>
    <row r="78" spans="2:12" x14ac:dyDescent="0.25">
      <c r="B78" s="18">
        <v>43363</v>
      </c>
      <c r="C78" s="9" t="s">
        <v>369</v>
      </c>
      <c r="D78" s="11"/>
      <c r="E78" s="11"/>
      <c r="F78" s="11"/>
      <c r="G78" s="11"/>
      <c r="H78" s="11">
        <v>300</v>
      </c>
      <c r="I78" s="15"/>
      <c r="J78" s="12">
        <f t="shared" si="4"/>
        <v>13893.05</v>
      </c>
      <c r="K78" s="12">
        <f t="shared" si="5"/>
        <v>17660.999999999996</v>
      </c>
    </row>
    <row r="79" spans="2:12" x14ac:dyDescent="0.25">
      <c r="B79" s="18">
        <v>43364</v>
      </c>
      <c r="C79" s="9" t="s">
        <v>769</v>
      </c>
      <c r="D79" s="11"/>
      <c r="E79" s="11"/>
      <c r="F79" s="11"/>
      <c r="G79" s="11"/>
      <c r="H79" s="11">
        <v>1250</v>
      </c>
      <c r="I79" s="15"/>
      <c r="J79" s="12">
        <f t="shared" si="4"/>
        <v>13893.05</v>
      </c>
      <c r="K79" s="12">
        <f t="shared" si="5"/>
        <v>16410.999999999996</v>
      </c>
      <c r="L79" s="1"/>
    </row>
    <row r="80" spans="2:12" x14ac:dyDescent="0.25">
      <c r="B80" s="18">
        <v>43364</v>
      </c>
      <c r="C80" s="35" t="s">
        <v>770</v>
      </c>
      <c r="D80" s="11"/>
      <c r="E80" s="11"/>
      <c r="F80" s="11"/>
      <c r="G80" s="11"/>
      <c r="H80" s="11">
        <v>76</v>
      </c>
      <c r="I80" s="15"/>
      <c r="J80" s="12">
        <f t="shared" si="4"/>
        <v>13893.05</v>
      </c>
      <c r="K80" s="12">
        <f t="shared" si="5"/>
        <v>16334.999999999996</v>
      </c>
    </row>
    <row r="81" spans="2:12" x14ac:dyDescent="0.25">
      <c r="B81" s="18">
        <v>43365</v>
      </c>
      <c r="C81" s="34" t="s">
        <v>733</v>
      </c>
      <c r="D81" s="11"/>
      <c r="E81" s="11"/>
      <c r="F81" s="11"/>
      <c r="G81" s="11"/>
      <c r="H81" s="11">
        <v>28</v>
      </c>
      <c r="I81" s="15"/>
      <c r="J81" s="12">
        <f t="shared" si="4"/>
        <v>13893.05</v>
      </c>
      <c r="K81" s="12">
        <f t="shared" si="5"/>
        <v>16306.999999999996</v>
      </c>
    </row>
    <row r="82" spans="2:12" x14ac:dyDescent="0.25">
      <c r="B82" s="18">
        <v>43365</v>
      </c>
      <c r="C82" s="35" t="s">
        <v>733</v>
      </c>
      <c r="D82" s="11"/>
      <c r="E82" s="11"/>
      <c r="F82" s="11"/>
      <c r="G82" s="11"/>
      <c r="H82" s="11">
        <v>19.5</v>
      </c>
      <c r="I82" s="15"/>
      <c r="J82" s="12">
        <f t="shared" si="4"/>
        <v>13893.05</v>
      </c>
      <c r="K82" s="12">
        <f t="shared" si="5"/>
        <v>16287.499999999996</v>
      </c>
    </row>
    <row r="83" spans="2:12" x14ac:dyDescent="0.25">
      <c r="B83" s="18">
        <v>43366</v>
      </c>
      <c r="C83" s="34" t="s">
        <v>720</v>
      </c>
      <c r="D83" s="11"/>
      <c r="E83" s="11"/>
      <c r="F83" s="11"/>
      <c r="G83" s="11"/>
      <c r="H83" s="11">
        <v>120</v>
      </c>
      <c r="I83" s="15"/>
      <c r="J83" s="12">
        <f t="shared" si="4"/>
        <v>13893.05</v>
      </c>
      <c r="K83" s="12">
        <f t="shared" si="5"/>
        <v>16167.499999999996</v>
      </c>
    </row>
    <row r="84" spans="2:12" x14ac:dyDescent="0.25">
      <c r="B84" s="18">
        <v>43366</v>
      </c>
      <c r="C84" s="13" t="s">
        <v>759</v>
      </c>
      <c r="D84" s="11"/>
      <c r="E84" s="11"/>
      <c r="F84" s="11"/>
      <c r="G84" s="11"/>
      <c r="H84" s="11">
        <v>98</v>
      </c>
      <c r="I84" s="15"/>
      <c r="J84" s="12">
        <f t="shared" si="4"/>
        <v>13893.05</v>
      </c>
      <c r="K84" s="12">
        <f t="shared" si="5"/>
        <v>16069.499999999996</v>
      </c>
    </row>
    <row r="85" spans="2:12" x14ac:dyDescent="0.25">
      <c r="B85" s="18">
        <v>43366</v>
      </c>
      <c r="C85" s="9" t="s">
        <v>771</v>
      </c>
      <c r="D85" s="11"/>
      <c r="E85" s="11"/>
      <c r="F85" s="11"/>
      <c r="G85" s="11"/>
      <c r="H85" s="11">
        <v>42</v>
      </c>
      <c r="I85" s="15"/>
      <c r="J85" s="12">
        <f t="shared" si="4"/>
        <v>13893.05</v>
      </c>
      <c r="K85" s="12">
        <f t="shared" si="5"/>
        <v>16027.499999999996</v>
      </c>
    </row>
    <row r="86" spans="2:12" x14ac:dyDescent="0.25">
      <c r="B86" s="18">
        <v>43366</v>
      </c>
      <c r="C86" s="13" t="s">
        <v>772</v>
      </c>
      <c r="D86" s="11">
        <v>18200</v>
      </c>
      <c r="E86" s="11"/>
      <c r="F86" s="11"/>
      <c r="G86" s="11"/>
      <c r="H86" s="11"/>
      <c r="I86" s="15"/>
      <c r="J86" s="12">
        <f t="shared" si="4"/>
        <v>13893.05</v>
      </c>
      <c r="K86" s="12">
        <f t="shared" si="5"/>
        <v>34227.5</v>
      </c>
      <c r="L86" s="1"/>
    </row>
    <row r="87" spans="2:12" x14ac:dyDescent="0.25">
      <c r="B87" s="18">
        <v>43367</v>
      </c>
      <c r="C87" s="9" t="s">
        <v>405</v>
      </c>
      <c r="D87" s="11"/>
      <c r="E87" s="11"/>
      <c r="F87" s="11"/>
      <c r="G87" s="11"/>
      <c r="H87" s="11">
        <v>180</v>
      </c>
      <c r="I87" s="15"/>
      <c r="J87" s="12">
        <f t="shared" si="4"/>
        <v>13893.05</v>
      </c>
      <c r="K87" s="12">
        <f t="shared" si="5"/>
        <v>34047.5</v>
      </c>
    </row>
    <row r="88" spans="2:12" x14ac:dyDescent="0.25">
      <c r="B88" s="18">
        <v>43368</v>
      </c>
      <c r="C88" s="9" t="s">
        <v>773</v>
      </c>
      <c r="D88" s="11"/>
      <c r="E88" s="11"/>
      <c r="F88" s="11"/>
      <c r="G88" s="11"/>
      <c r="H88" s="11">
        <v>36</v>
      </c>
      <c r="I88" s="15"/>
      <c r="J88" s="12">
        <f t="shared" si="4"/>
        <v>13893.05</v>
      </c>
      <c r="K88" s="12">
        <f t="shared" si="5"/>
        <v>34011.5</v>
      </c>
    </row>
    <row r="89" spans="2:12" x14ac:dyDescent="0.25">
      <c r="B89" s="18">
        <v>43371</v>
      </c>
      <c r="C89" s="13" t="s">
        <v>774</v>
      </c>
      <c r="D89" s="41"/>
      <c r="E89" s="41"/>
      <c r="F89" s="41"/>
      <c r="G89" s="16"/>
      <c r="H89" s="11">
        <v>1250</v>
      </c>
      <c r="I89" s="15"/>
      <c r="J89" s="12">
        <f t="shared" si="4"/>
        <v>13893.05</v>
      </c>
      <c r="K89" s="12">
        <f t="shared" si="5"/>
        <v>32761.5</v>
      </c>
    </row>
    <row r="90" spans="2:12" x14ac:dyDescent="0.25">
      <c r="B90" s="18">
        <v>43371</v>
      </c>
      <c r="C90" s="13" t="s">
        <v>775</v>
      </c>
      <c r="D90" s="16">
        <v>7300</v>
      </c>
      <c r="E90" s="41"/>
      <c r="F90" s="41"/>
      <c r="G90" s="16"/>
      <c r="H90" s="11"/>
      <c r="I90" s="15"/>
      <c r="J90" s="12">
        <f t="shared" si="4"/>
        <v>13893.05</v>
      </c>
      <c r="K90" s="12">
        <f t="shared" si="5"/>
        <v>40061.5</v>
      </c>
    </row>
    <row r="91" spans="2:12" x14ac:dyDescent="0.25">
      <c r="B91" s="18">
        <v>43371</v>
      </c>
      <c r="C91" s="13" t="s">
        <v>776</v>
      </c>
      <c r="D91" s="41"/>
      <c r="E91" s="41"/>
      <c r="F91" s="41"/>
      <c r="G91" s="16"/>
      <c r="H91" s="11">
        <v>25000</v>
      </c>
      <c r="I91" s="15"/>
      <c r="J91" s="12">
        <f t="shared" si="4"/>
        <v>13893.05</v>
      </c>
      <c r="K91" s="12">
        <f t="shared" si="5"/>
        <v>15061.5</v>
      </c>
    </row>
    <row r="92" spans="2:12" x14ac:dyDescent="0.25">
      <c r="B92" s="18">
        <v>43371</v>
      </c>
      <c r="C92" s="13" t="s">
        <v>369</v>
      </c>
      <c r="D92" s="16"/>
      <c r="E92" s="41"/>
      <c r="F92" s="41"/>
      <c r="G92" s="16"/>
      <c r="H92" s="11">
        <v>300</v>
      </c>
      <c r="I92" s="15"/>
      <c r="J92" s="12">
        <f t="shared" si="4"/>
        <v>13893.05</v>
      </c>
      <c r="K92" s="12">
        <f t="shared" si="5"/>
        <v>14761.5</v>
      </c>
    </row>
    <row r="93" spans="2:12" x14ac:dyDescent="0.25">
      <c r="B93" s="18">
        <v>43371</v>
      </c>
      <c r="C93" s="13" t="s">
        <v>777</v>
      </c>
      <c r="D93" s="16"/>
      <c r="E93" s="41"/>
      <c r="F93" s="41"/>
      <c r="G93" s="16"/>
      <c r="H93" s="11">
        <v>175</v>
      </c>
      <c r="I93" s="15"/>
      <c r="J93" s="12">
        <f t="shared" si="4"/>
        <v>13893.05</v>
      </c>
      <c r="K93" s="12">
        <f t="shared" si="5"/>
        <v>14586.5</v>
      </c>
    </row>
    <row r="94" spans="2:12" x14ac:dyDescent="0.25">
      <c r="B94" s="18">
        <v>43371</v>
      </c>
      <c r="C94" s="13" t="s">
        <v>778</v>
      </c>
      <c r="D94" s="16"/>
      <c r="E94" s="41"/>
      <c r="F94" s="41"/>
      <c r="G94" s="16"/>
      <c r="H94" s="11">
        <v>63</v>
      </c>
      <c r="I94" s="15"/>
      <c r="J94" s="12">
        <f t="shared" si="4"/>
        <v>13893.05</v>
      </c>
      <c r="K94" s="12">
        <f t="shared" si="5"/>
        <v>14523.5</v>
      </c>
    </row>
    <row r="95" spans="2:12" x14ac:dyDescent="0.25">
      <c r="B95" s="18">
        <v>43372</v>
      </c>
      <c r="C95" s="13" t="s">
        <v>742</v>
      </c>
      <c r="D95" s="41"/>
      <c r="E95" s="41"/>
      <c r="F95" s="41"/>
      <c r="G95" s="41"/>
      <c r="H95" s="11">
        <v>185</v>
      </c>
      <c r="I95" s="15"/>
      <c r="J95" s="12">
        <f t="shared" si="4"/>
        <v>13893.05</v>
      </c>
      <c r="K95" s="12">
        <f t="shared" si="5"/>
        <v>14338.5</v>
      </c>
    </row>
    <row r="96" spans="2:12" x14ac:dyDescent="0.25">
      <c r="B96" s="18">
        <v>43372</v>
      </c>
      <c r="C96" s="13" t="s">
        <v>779</v>
      </c>
      <c r="D96" s="41"/>
      <c r="E96" s="41"/>
      <c r="F96" s="41"/>
      <c r="G96" s="41"/>
      <c r="H96" s="11">
        <v>200</v>
      </c>
      <c r="I96" s="15"/>
      <c r="J96" s="12">
        <f t="shared" si="4"/>
        <v>13893.05</v>
      </c>
      <c r="K96" s="12">
        <f t="shared" si="5"/>
        <v>14138.5</v>
      </c>
    </row>
    <row r="97" spans="2:11" x14ac:dyDescent="0.25">
      <c r="B97" s="18">
        <v>43373</v>
      </c>
      <c r="C97" s="9" t="s">
        <v>759</v>
      </c>
      <c r="D97" s="11"/>
      <c r="E97" s="11"/>
      <c r="F97" s="11"/>
      <c r="G97" s="11"/>
      <c r="H97" s="11">
        <v>70</v>
      </c>
      <c r="I97" s="15"/>
      <c r="J97" s="12">
        <f t="shared" si="4"/>
        <v>13893.05</v>
      </c>
      <c r="K97" s="12">
        <f t="shared" si="5"/>
        <v>14068.5</v>
      </c>
    </row>
    <row r="98" spans="2:11" x14ac:dyDescent="0.25">
      <c r="B98" s="18">
        <v>43373</v>
      </c>
      <c r="C98" s="9" t="s">
        <v>780</v>
      </c>
      <c r="D98" s="11"/>
      <c r="E98" s="11"/>
      <c r="F98" s="11"/>
      <c r="G98" s="11"/>
      <c r="H98" s="11">
        <v>43.5</v>
      </c>
      <c r="I98" s="15"/>
      <c r="J98" s="12">
        <f t="shared" si="4"/>
        <v>13893.05</v>
      </c>
      <c r="K98" s="12">
        <f t="shared" si="5"/>
        <v>14025</v>
      </c>
    </row>
    <row r="99" spans="2:11" x14ac:dyDescent="0.25">
      <c r="B99" s="18">
        <v>43373</v>
      </c>
      <c r="C99" s="9" t="s">
        <v>760</v>
      </c>
      <c r="D99" s="11"/>
      <c r="E99" s="11"/>
      <c r="F99" s="11"/>
      <c r="G99" s="11"/>
      <c r="H99" s="11">
        <v>56</v>
      </c>
      <c r="I99" s="15"/>
      <c r="J99" s="12">
        <f t="shared" si="4"/>
        <v>13893.05</v>
      </c>
      <c r="K99" s="12">
        <f t="shared" si="5"/>
        <v>13969</v>
      </c>
    </row>
    <row r="100" spans="2:11" x14ac:dyDescent="0.25">
      <c r="B100" s="18">
        <v>43373</v>
      </c>
      <c r="C100" s="9" t="s">
        <v>720</v>
      </c>
      <c r="D100" s="11"/>
      <c r="E100" s="11"/>
      <c r="F100" s="11"/>
      <c r="G100" s="11"/>
      <c r="H100" s="11">
        <v>120</v>
      </c>
      <c r="I100" s="15"/>
      <c r="J100" s="12">
        <f t="shared" si="4"/>
        <v>13893.05</v>
      </c>
      <c r="K100" s="12">
        <f t="shared" si="5"/>
        <v>13849</v>
      </c>
    </row>
    <row r="101" spans="2:11" x14ac:dyDescent="0.25">
      <c r="B101" s="18">
        <v>43373</v>
      </c>
      <c r="C101" s="9" t="s">
        <v>781</v>
      </c>
      <c r="D101" s="11"/>
      <c r="E101" s="11"/>
      <c r="F101" s="11"/>
      <c r="G101" s="11"/>
      <c r="H101" s="11">
        <v>300</v>
      </c>
      <c r="I101" s="15"/>
      <c r="J101" s="12">
        <f t="shared" si="4"/>
        <v>13893.05</v>
      </c>
      <c r="K101" s="12">
        <f t="shared" si="5"/>
        <v>13549</v>
      </c>
    </row>
    <row r="102" spans="2:11" x14ac:dyDescent="0.25">
      <c r="B102" s="18">
        <v>43373</v>
      </c>
      <c r="C102" s="9" t="s">
        <v>782</v>
      </c>
      <c r="D102" s="11"/>
      <c r="E102" s="11"/>
      <c r="F102" s="11"/>
      <c r="G102" s="11"/>
      <c r="H102" s="11">
        <v>550</v>
      </c>
      <c r="I102" s="15"/>
      <c r="J102" s="12">
        <f t="shared" si="4"/>
        <v>13893.05</v>
      </c>
      <c r="K102" s="12">
        <f t="shared" si="5"/>
        <v>12999</v>
      </c>
    </row>
    <row r="103" spans="2:11" x14ac:dyDescent="0.25">
      <c r="B103" s="18">
        <v>43373</v>
      </c>
      <c r="C103" s="9" t="s">
        <v>783</v>
      </c>
      <c r="D103" s="11"/>
      <c r="E103" s="11"/>
      <c r="F103" s="11"/>
      <c r="G103" s="11"/>
      <c r="H103" s="11">
        <v>2000</v>
      </c>
      <c r="I103" s="15"/>
      <c r="J103" s="12">
        <f t="shared" si="4"/>
        <v>13893.05</v>
      </c>
      <c r="K103" s="12">
        <f t="shared" si="5"/>
        <v>10999</v>
      </c>
    </row>
    <row r="104" spans="2:11" x14ac:dyDescent="0.25">
      <c r="B104" s="18">
        <v>43373</v>
      </c>
      <c r="C104" s="35" t="s">
        <v>784</v>
      </c>
      <c r="D104" s="11"/>
      <c r="E104" s="11"/>
      <c r="F104" s="11"/>
      <c r="G104" s="11"/>
      <c r="H104" s="11">
        <v>4000</v>
      </c>
      <c r="I104" s="15"/>
      <c r="J104" s="12">
        <f t="shared" si="4"/>
        <v>13893.05</v>
      </c>
      <c r="K104" s="12">
        <f t="shared" si="5"/>
        <v>6999</v>
      </c>
    </row>
    <row r="105" spans="2:11" x14ac:dyDescent="0.25">
      <c r="B105" s="18">
        <v>43373</v>
      </c>
      <c r="C105" s="34" t="s">
        <v>785</v>
      </c>
      <c r="D105" s="11"/>
      <c r="E105" s="11"/>
      <c r="F105" s="11"/>
      <c r="G105" s="11"/>
      <c r="H105" s="11">
        <v>10000</v>
      </c>
      <c r="I105" s="15"/>
      <c r="J105" s="12">
        <f t="shared" si="4"/>
        <v>13893.05</v>
      </c>
      <c r="K105" s="12">
        <f t="shared" si="5"/>
        <v>-3001</v>
      </c>
    </row>
    <row r="106" spans="2:11" x14ac:dyDescent="0.25">
      <c r="B106" s="18">
        <v>43373</v>
      </c>
      <c r="C106" s="9" t="s">
        <v>790</v>
      </c>
      <c r="D106" s="11">
        <v>13800</v>
      </c>
      <c r="E106" s="11"/>
      <c r="F106" s="11"/>
      <c r="G106" s="11"/>
      <c r="H106" s="11"/>
      <c r="I106" s="15"/>
      <c r="J106" s="12">
        <f t="shared" si="4"/>
        <v>13893.05</v>
      </c>
      <c r="K106" s="12">
        <f t="shared" si="5"/>
        <v>10799</v>
      </c>
    </row>
    <row r="107" spans="2:11" ht="15.75" thickBot="1" x14ac:dyDescent="0.3">
      <c r="B107" s="18">
        <v>43347</v>
      </c>
      <c r="C107" s="9" t="s">
        <v>791</v>
      </c>
      <c r="D107" s="11"/>
      <c r="E107" s="11">
        <v>300.45999999999998</v>
      </c>
      <c r="F107" s="11"/>
      <c r="G107" s="11"/>
      <c r="H107" s="11"/>
      <c r="I107" s="15"/>
      <c r="J107" s="12">
        <f t="shared" si="4"/>
        <v>14193.509999999998</v>
      </c>
      <c r="K107" s="12">
        <f t="shared" si="5"/>
        <v>10799</v>
      </c>
    </row>
    <row r="108" spans="2:11" ht="15.75" thickBot="1" x14ac:dyDescent="0.3">
      <c r="B108" s="5"/>
      <c r="C108" s="7" t="s">
        <v>0</v>
      </c>
      <c r="D108" s="62">
        <f>SUM(D57:D107)</f>
        <v>102775</v>
      </c>
      <c r="E108" s="61">
        <f>SUM(E57:E107)</f>
        <v>13060.46</v>
      </c>
      <c r="F108" s="71">
        <f>SUM(D108:E108)</f>
        <v>115835.45999999999</v>
      </c>
      <c r="G108" s="80">
        <f>SUM(G57:G107)</f>
        <v>3160</v>
      </c>
      <c r="H108" s="98">
        <f>SUM(H57:H107)</f>
        <v>109497.26000000001</v>
      </c>
      <c r="I108" s="71">
        <f>SUM(G108:H108)</f>
        <v>112657.26000000001</v>
      </c>
      <c r="J108" s="20"/>
      <c r="K108" s="20"/>
    </row>
    <row r="109" spans="2:11" x14ac:dyDescent="0.25">
      <c r="B109" s="68" t="s">
        <v>1</v>
      </c>
      <c r="C109" s="68" t="s">
        <v>2</v>
      </c>
      <c r="D109" s="68" t="s">
        <v>3</v>
      </c>
      <c r="E109" s="68" t="s">
        <v>3</v>
      </c>
      <c r="F109" s="68" t="s">
        <v>22</v>
      </c>
      <c r="G109" s="68" t="s">
        <v>23</v>
      </c>
      <c r="H109" s="48" t="s">
        <v>23</v>
      </c>
      <c r="I109" s="48" t="s">
        <v>22</v>
      </c>
      <c r="J109" s="68" t="s">
        <v>8</v>
      </c>
      <c r="K109" s="48" t="s">
        <v>7</v>
      </c>
    </row>
    <row r="110" spans="2:11" ht="15.75" thickBot="1" x14ac:dyDescent="0.3">
      <c r="B110" s="69"/>
      <c r="C110" s="69"/>
      <c r="D110" s="69" t="s">
        <v>5</v>
      </c>
      <c r="E110" s="69" t="s">
        <v>24</v>
      </c>
      <c r="F110" s="69" t="s">
        <v>3</v>
      </c>
      <c r="G110" s="69" t="s">
        <v>24</v>
      </c>
      <c r="H110" s="70" t="s">
        <v>5</v>
      </c>
      <c r="I110" s="70" t="s">
        <v>4</v>
      </c>
      <c r="J110" s="69"/>
      <c r="K110" s="70"/>
    </row>
    <row r="111" spans="2:11" ht="15.75" thickBot="1" x14ac:dyDescent="0.3">
      <c r="B111" s="5"/>
      <c r="C111" s="7"/>
      <c r="D111" s="62">
        <v>102775</v>
      </c>
      <c r="E111" s="61">
        <v>13060.46</v>
      </c>
      <c r="F111" s="71">
        <f>SUM(D111:E111)</f>
        <v>115835.45999999999</v>
      </c>
      <c r="G111" s="80">
        <v>3160</v>
      </c>
      <c r="H111" s="62">
        <v>109497.26</v>
      </c>
      <c r="I111" s="71">
        <f>SUM(G111:H111)</f>
        <v>112657.26</v>
      </c>
      <c r="J111" s="20">
        <v>14193.51</v>
      </c>
      <c r="K111" s="12">
        <v>10799</v>
      </c>
    </row>
    <row r="112" spans="2:11" x14ac:dyDescent="0.25">
      <c r="B112" s="18">
        <v>43371</v>
      </c>
      <c r="C112" s="13" t="s">
        <v>788</v>
      </c>
      <c r="D112" s="11"/>
      <c r="E112" s="11"/>
      <c r="F112" s="11"/>
      <c r="G112" s="11">
        <v>390</v>
      </c>
      <c r="H112" s="11"/>
      <c r="I112" s="15"/>
      <c r="J112" s="12">
        <f>+J107+E112-G112</f>
        <v>13803.509999999998</v>
      </c>
      <c r="K112" s="12">
        <f>+K107+D112-H112</f>
        <v>10799</v>
      </c>
    </row>
    <row r="113" spans="2:13" x14ac:dyDescent="0.25">
      <c r="B113" s="18">
        <v>43371</v>
      </c>
      <c r="C113" s="9" t="s">
        <v>789</v>
      </c>
      <c r="D113" s="11"/>
      <c r="E113" s="11"/>
      <c r="F113" s="11"/>
      <c r="G113" s="11">
        <v>62.4</v>
      </c>
      <c r="H113" s="11"/>
      <c r="I113" s="15"/>
      <c r="J113" s="12">
        <f t="shared" si="4"/>
        <v>13741.109999999999</v>
      </c>
      <c r="K113" s="12">
        <f t="shared" si="5"/>
        <v>10799</v>
      </c>
    </row>
    <row r="114" spans="2:13" x14ac:dyDescent="0.25">
      <c r="B114" s="18">
        <v>43371</v>
      </c>
      <c r="C114" s="9" t="s">
        <v>148</v>
      </c>
      <c r="D114" s="11"/>
      <c r="E114" s="11"/>
      <c r="F114" s="11"/>
      <c r="G114" s="11">
        <v>18</v>
      </c>
      <c r="H114" s="11"/>
      <c r="I114" s="15"/>
      <c r="J114" s="12">
        <f t="shared" si="4"/>
        <v>13723.109999999999</v>
      </c>
      <c r="K114" s="12">
        <f t="shared" si="5"/>
        <v>10799</v>
      </c>
    </row>
    <row r="115" spans="2:13" x14ac:dyDescent="0.25">
      <c r="B115" s="18">
        <v>43371</v>
      </c>
      <c r="C115" s="13" t="s">
        <v>149</v>
      </c>
      <c r="D115" s="11"/>
      <c r="E115" s="11"/>
      <c r="F115" s="11"/>
      <c r="G115" s="11">
        <v>2.88</v>
      </c>
      <c r="H115" s="11"/>
      <c r="I115" s="15"/>
      <c r="J115" s="12">
        <f t="shared" si="4"/>
        <v>13720.23</v>
      </c>
      <c r="K115" s="12">
        <f t="shared" si="5"/>
        <v>10799</v>
      </c>
      <c r="L115" s="1"/>
    </row>
    <row r="116" spans="2:13" x14ac:dyDescent="0.25">
      <c r="B116" s="18"/>
      <c r="C116" s="13"/>
      <c r="D116" s="11"/>
      <c r="E116" s="11"/>
      <c r="F116" s="11"/>
      <c r="G116" s="11"/>
      <c r="H116" s="11"/>
      <c r="I116" s="15"/>
      <c r="J116" s="12">
        <f t="shared" si="4"/>
        <v>13720.23</v>
      </c>
      <c r="K116" s="12">
        <f t="shared" si="5"/>
        <v>10799</v>
      </c>
      <c r="L116" s="1"/>
    </row>
    <row r="117" spans="2:13" ht="15.75" thickBot="1" x14ac:dyDescent="0.3">
      <c r="B117" s="18"/>
      <c r="C117" s="9"/>
      <c r="D117" s="11"/>
      <c r="E117" s="11"/>
      <c r="F117" s="11"/>
      <c r="G117" s="11"/>
      <c r="H117" s="11"/>
      <c r="I117" s="15"/>
      <c r="J117" s="12">
        <f t="shared" si="4"/>
        <v>13720.23</v>
      </c>
      <c r="K117" s="12">
        <f t="shared" si="5"/>
        <v>10799</v>
      </c>
      <c r="L117" s="1"/>
      <c r="M117">
        <v>59.52</v>
      </c>
    </row>
    <row r="118" spans="2:13" ht="15.75" thickBot="1" x14ac:dyDescent="0.3">
      <c r="B118" s="5"/>
      <c r="C118" s="7" t="s">
        <v>0</v>
      </c>
      <c r="D118" s="62">
        <f>SUM(D111:D117)</f>
        <v>102775</v>
      </c>
      <c r="E118" s="61">
        <f>SUM(E111:E117)</f>
        <v>13060.46</v>
      </c>
      <c r="F118" s="71">
        <f>SUM(D118:E118)</f>
        <v>115835.45999999999</v>
      </c>
      <c r="G118" s="80">
        <f>SUM(G111:G117)</f>
        <v>3633.28</v>
      </c>
      <c r="H118" s="98">
        <f>SUM(H111:H117)</f>
        <v>109497.26</v>
      </c>
      <c r="I118" s="71">
        <f>SUM(G118:H118)</f>
        <v>113130.54</v>
      </c>
      <c r="J118" s="20"/>
      <c r="K118" s="20"/>
    </row>
    <row r="119" spans="2:13" ht="15.75" thickBot="1" x14ac:dyDescent="0.3"/>
    <row r="120" spans="2:13" ht="15.75" thickBot="1" x14ac:dyDescent="0.3">
      <c r="I120" s="74" t="s">
        <v>8</v>
      </c>
      <c r="J120" s="74" t="s">
        <v>7</v>
      </c>
      <c r="K120" s="95" t="s">
        <v>0</v>
      </c>
    </row>
    <row r="121" spans="2:13" ht="15.75" thickBot="1" x14ac:dyDescent="0.3">
      <c r="I121" s="77">
        <v>13720.23</v>
      </c>
      <c r="J121" s="77">
        <v>10799</v>
      </c>
      <c r="K121" s="20">
        <f>SUM(I121:J121)</f>
        <v>24519.23</v>
      </c>
    </row>
  </sheetData>
  <printOptions verticalCentered="1"/>
  <pageMargins left="0" right="0" top="0" bottom="0" header="0.31496062992125984" footer="0.31496062992125984"/>
  <pageSetup paperSize="9" scale="73" fitToHeight="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A1:L147"/>
  <sheetViews>
    <sheetView zoomScale="90" zoomScaleNormal="90" workbookViewId="0">
      <pane ySplit="3" topLeftCell="A114" activePane="bottomLeft" state="frozen"/>
      <selection pane="bottomLeft" activeCell="C125" sqref="C125:C126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9" style="133" customWidth="1"/>
    <col min="4" max="6" width="11.7109375" customWidth="1"/>
  </cols>
  <sheetData>
    <row r="1" spans="2:12" ht="15.75" thickBot="1" x14ac:dyDescent="0.3">
      <c r="B1" s="79"/>
      <c r="C1" s="130" t="s">
        <v>53</v>
      </c>
    </row>
    <row r="2" spans="2:12" x14ac:dyDescent="0.25">
      <c r="B2" s="68" t="s">
        <v>1</v>
      </c>
      <c r="C2" s="4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2" ht="15.75" thickBot="1" x14ac:dyDescent="0.3">
      <c r="B3" s="69"/>
      <c r="C3" s="70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2" x14ac:dyDescent="0.25">
      <c r="B4" s="23">
        <v>43373</v>
      </c>
      <c r="C4" s="131" t="s">
        <v>54</v>
      </c>
      <c r="D4" s="66"/>
      <c r="E4" s="63"/>
      <c r="F4" s="63"/>
      <c r="G4" s="63"/>
      <c r="H4" s="17"/>
      <c r="I4" s="64"/>
      <c r="J4" s="73">
        <v>13720.23</v>
      </c>
      <c r="K4" s="97">
        <v>10799</v>
      </c>
    </row>
    <row r="5" spans="2:12" x14ac:dyDescent="0.25">
      <c r="B5" s="18">
        <v>43374</v>
      </c>
      <c r="C5" s="21" t="s">
        <v>786</v>
      </c>
      <c r="D5" s="11"/>
      <c r="E5" s="11"/>
      <c r="F5" s="11"/>
      <c r="G5" s="11">
        <v>5000</v>
      </c>
      <c r="H5" s="11"/>
      <c r="I5" s="15"/>
      <c r="J5" s="12">
        <f>+J4+E5-G5</f>
        <v>8720.23</v>
      </c>
      <c r="K5" s="12">
        <f t="shared" ref="K5:K9" si="0">+K4+D5-H5</f>
        <v>10799</v>
      </c>
    </row>
    <row r="6" spans="2:12" x14ac:dyDescent="0.25">
      <c r="B6" s="23">
        <v>43374</v>
      </c>
      <c r="C6" s="14" t="s">
        <v>800</v>
      </c>
      <c r="D6" s="11"/>
      <c r="E6" s="11"/>
      <c r="F6" s="11"/>
      <c r="G6" s="11"/>
      <c r="H6" s="11">
        <v>1500</v>
      </c>
      <c r="I6" s="15"/>
      <c r="J6" s="12">
        <f t="shared" ref="J6:J9" si="1">+J5+E6-G6</f>
        <v>8720.23</v>
      </c>
      <c r="K6" s="12">
        <f t="shared" si="0"/>
        <v>9299</v>
      </c>
    </row>
    <row r="7" spans="2:12" x14ac:dyDescent="0.25">
      <c r="B7" s="18">
        <v>43374</v>
      </c>
      <c r="C7" s="21" t="s">
        <v>801</v>
      </c>
      <c r="D7" s="11"/>
      <c r="E7" s="11"/>
      <c r="F7" s="11"/>
      <c r="G7" s="11"/>
      <c r="H7" s="59">
        <v>46.5</v>
      </c>
      <c r="I7" s="15"/>
      <c r="J7" s="12">
        <f t="shared" si="1"/>
        <v>8720.23</v>
      </c>
      <c r="K7" s="12">
        <f t="shared" si="0"/>
        <v>9252.5</v>
      </c>
    </row>
    <row r="8" spans="2:12" x14ac:dyDescent="0.25">
      <c r="B8" s="18">
        <v>43374</v>
      </c>
      <c r="C8" s="14" t="s">
        <v>802</v>
      </c>
      <c r="D8" s="11"/>
      <c r="E8" s="11"/>
      <c r="F8" s="11"/>
      <c r="G8" s="11"/>
      <c r="H8" s="11">
        <v>500</v>
      </c>
      <c r="I8" s="15"/>
      <c r="J8" s="12">
        <f t="shared" si="1"/>
        <v>8720.23</v>
      </c>
      <c r="K8" s="12">
        <f t="shared" si="0"/>
        <v>8752.5</v>
      </c>
      <c r="L8">
        <v>22980.23</v>
      </c>
    </row>
    <row r="9" spans="2:12" x14ac:dyDescent="0.25">
      <c r="B9" s="18">
        <v>43374</v>
      </c>
      <c r="C9" s="21" t="s">
        <v>803</v>
      </c>
      <c r="D9" s="11"/>
      <c r="E9" s="11"/>
      <c r="F9" s="11"/>
      <c r="G9" s="11"/>
      <c r="H9" s="59">
        <v>150</v>
      </c>
      <c r="I9" s="15"/>
      <c r="J9" s="12">
        <f t="shared" si="1"/>
        <v>8720.23</v>
      </c>
      <c r="K9" s="12">
        <f t="shared" si="0"/>
        <v>8602.5</v>
      </c>
    </row>
    <row r="10" spans="2:12" x14ac:dyDescent="0.25">
      <c r="B10" s="18">
        <v>43374</v>
      </c>
      <c r="C10" s="21" t="s">
        <v>804</v>
      </c>
      <c r="D10" s="11"/>
      <c r="E10" s="11"/>
      <c r="F10" s="11"/>
      <c r="G10" s="11"/>
      <c r="H10" s="59">
        <v>144</v>
      </c>
      <c r="I10" s="15"/>
      <c r="J10" s="12">
        <f t="shared" ref="J10:J56" si="2">+J9+E10-G10</f>
        <v>8720.23</v>
      </c>
      <c r="K10" s="12">
        <f t="shared" ref="K10:K56" si="3">+K9+D10-H10</f>
        <v>8458.5</v>
      </c>
    </row>
    <row r="11" spans="2:12" x14ac:dyDescent="0.25">
      <c r="B11" s="18">
        <v>43374</v>
      </c>
      <c r="C11" s="21" t="s">
        <v>805</v>
      </c>
      <c r="D11" s="11"/>
      <c r="E11" s="11"/>
      <c r="F11" s="11"/>
      <c r="G11" s="11"/>
      <c r="H11" s="11">
        <v>300</v>
      </c>
      <c r="I11" s="15"/>
      <c r="J11" s="12">
        <f t="shared" si="2"/>
        <v>8720.23</v>
      </c>
      <c r="K11" s="12">
        <f t="shared" si="3"/>
        <v>8158.5</v>
      </c>
    </row>
    <row r="12" spans="2:12" x14ac:dyDescent="0.25">
      <c r="B12" s="18">
        <v>43375</v>
      </c>
      <c r="C12" s="21" t="s">
        <v>806</v>
      </c>
      <c r="D12" s="11"/>
      <c r="E12" s="11"/>
      <c r="F12" s="11"/>
      <c r="G12" s="11"/>
      <c r="H12" s="11">
        <v>300</v>
      </c>
      <c r="I12" s="15"/>
      <c r="J12" s="12">
        <f t="shared" si="2"/>
        <v>8720.23</v>
      </c>
      <c r="K12" s="12">
        <f t="shared" si="3"/>
        <v>7858.5</v>
      </c>
    </row>
    <row r="13" spans="2:12" x14ac:dyDescent="0.25">
      <c r="B13" s="18">
        <v>43375</v>
      </c>
      <c r="C13" s="21" t="s">
        <v>807</v>
      </c>
      <c r="D13" s="11"/>
      <c r="E13" s="11"/>
      <c r="F13" s="11"/>
      <c r="G13" s="11"/>
      <c r="H13" s="11">
        <v>500</v>
      </c>
      <c r="I13" s="15"/>
      <c r="J13" s="12">
        <f t="shared" si="2"/>
        <v>8720.23</v>
      </c>
      <c r="K13" s="12">
        <f t="shared" si="3"/>
        <v>7358.5</v>
      </c>
    </row>
    <row r="14" spans="2:12" x14ac:dyDescent="0.25">
      <c r="B14" s="18">
        <v>43376</v>
      </c>
      <c r="C14" s="21" t="s">
        <v>808</v>
      </c>
      <c r="D14" s="11"/>
      <c r="E14" s="11"/>
      <c r="F14" s="11"/>
      <c r="G14" s="11"/>
      <c r="H14" s="59">
        <v>300</v>
      </c>
      <c r="I14" s="15"/>
      <c r="J14" s="12">
        <f t="shared" si="2"/>
        <v>8720.23</v>
      </c>
      <c r="K14" s="12">
        <f t="shared" si="3"/>
        <v>7058.5</v>
      </c>
    </row>
    <row r="15" spans="2:12" x14ac:dyDescent="0.25">
      <c r="B15" s="18">
        <v>43376</v>
      </c>
      <c r="C15" s="21" t="s">
        <v>298</v>
      </c>
      <c r="D15" s="11"/>
      <c r="E15" s="11"/>
      <c r="F15" s="11"/>
      <c r="G15" s="11"/>
      <c r="H15" s="11">
        <v>36</v>
      </c>
      <c r="I15" s="129"/>
      <c r="J15" s="12">
        <f t="shared" si="2"/>
        <v>8720.23</v>
      </c>
      <c r="K15" s="12">
        <f t="shared" si="3"/>
        <v>7022.5</v>
      </c>
    </row>
    <row r="16" spans="2:12" x14ac:dyDescent="0.25">
      <c r="B16" s="18">
        <v>43377</v>
      </c>
      <c r="C16" s="21" t="s">
        <v>810</v>
      </c>
      <c r="D16" s="11"/>
      <c r="E16" s="11"/>
      <c r="F16" s="11"/>
      <c r="G16" s="11"/>
      <c r="H16" s="59">
        <v>820</v>
      </c>
      <c r="I16" s="15"/>
      <c r="J16" s="12">
        <f t="shared" si="2"/>
        <v>8720.23</v>
      </c>
      <c r="K16" s="12">
        <f t="shared" si="3"/>
        <v>6202.5</v>
      </c>
    </row>
    <row r="17" spans="2:11" x14ac:dyDescent="0.25">
      <c r="B17" s="18">
        <v>43377</v>
      </c>
      <c r="C17" s="21" t="s">
        <v>809</v>
      </c>
      <c r="D17" s="11"/>
      <c r="E17" s="11"/>
      <c r="F17" s="11"/>
      <c r="G17" s="11"/>
      <c r="H17" s="11">
        <v>360</v>
      </c>
      <c r="I17" s="15"/>
      <c r="J17" s="12">
        <f t="shared" si="2"/>
        <v>8720.23</v>
      </c>
      <c r="K17" s="12">
        <f t="shared" si="3"/>
        <v>5842.5</v>
      </c>
    </row>
    <row r="18" spans="2:11" x14ac:dyDescent="0.25">
      <c r="B18" s="18">
        <v>43377</v>
      </c>
      <c r="C18" s="21" t="s">
        <v>810</v>
      </c>
      <c r="D18" s="11"/>
      <c r="E18" s="11"/>
      <c r="F18" s="11"/>
      <c r="G18" s="11"/>
      <c r="H18" s="11">
        <v>810</v>
      </c>
      <c r="I18" s="15"/>
      <c r="J18" s="12">
        <f t="shared" si="2"/>
        <v>8720.23</v>
      </c>
      <c r="K18" s="12">
        <f t="shared" si="3"/>
        <v>5032.5</v>
      </c>
    </row>
    <row r="19" spans="2:11" x14ac:dyDescent="0.25">
      <c r="B19" s="18">
        <v>43377</v>
      </c>
      <c r="C19" s="21" t="s">
        <v>811</v>
      </c>
      <c r="D19" s="11"/>
      <c r="E19" s="11"/>
      <c r="F19" s="11"/>
      <c r="G19" s="11"/>
      <c r="H19" s="11">
        <v>1250</v>
      </c>
      <c r="I19" s="15"/>
      <c r="J19" s="12">
        <f t="shared" si="2"/>
        <v>8720.23</v>
      </c>
      <c r="K19" s="12">
        <f t="shared" si="3"/>
        <v>3782.5</v>
      </c>
    </row>
    <row r="20" spans="2:11" x14ac:dyDescent="0.25">
      <c r="B20" s="18">
        <v>43378</v>
      </c>
      <c r="C20" s="21" t="s">
        <v>812</v>
      </c>
      <c r="D20" s="11"/>
      <c r="E20" s="11"/>
      <c r="F20" s="11"/>
      <c r="G20" s="11"/>
      <c r="H20" s="11">
        <v>52.5</v>
      </c>
      <c r="I20" s="15"/>
      <c r="J20" s="12">
        <f t="shared" si="2"/>
        <v>8720.23</v>
      </c>
      <c r="K20" s="12">
        <f t="shared" si="3"/>
        <v>3730</v>
      </c>
    </row>
    <row r="21" spans="2:11" x14ac:dyDescent="0.25">
      <c r="B21" s="18">
        <v>43378</v>
      </c>
      <c r="C21" s="21" t="s">
        <v>812</v>
      </c>
      <c r="D21" s="11"/>
      <c r="E21" s="11"/>
      <c r="F21" s="11"/>
      <c r="G21" s="11"/>
      <c r="H21" s="11">
        <v>3</v>
      </c>
      <c r="I21" s="15"/>
      <c r="J21" s="12">
        <f t="shared" si="2"/>
        <v>8720.23</v>
      </c>
      <c r="K21" s="12">
        <f t="shared" si="3"/>
        <v>3727</v>
      </c>
    </row>
    <row r="22" spans="2:11" x14ac:dyDescent="0.25">
      <c r="B22" s="18">
        <v>43379</v>
      </c>
      <c r="C22" s="21" t="s">
        <v>813</v>
      </c>
      <c r="D22" s="11"/>
      <c r="E22" s="11"/>
      <c r="F22" s="11"/>
      <c r="G22" s="11"/>
      <c r="H22" s="11">
        <v>42.8</v>
      </c>
      <c r="I22" s="129"/>
      <c r="J22" s="12">
        <f t="shared" si="2"/>
        <v>8720.23</v>
      </c>
      <c r="K22" s="12">
        <f t="shared" si="3"/>
        <v>3684.2</v>
      </c>
    </row>
    <row r="23" spans="2:11" x14ac:dyDescent="0.25">
      <c r="B23" s="18">
        <v>43380</v>
      </c>
      <c r="C23" s="21" t="s">
        <v>797</v>
      </c>
      <c r="D23" s="11">
        <v>20375</v>
      </c>
      <c r="E23" s="11"/>
      <c r="F23" s="11"/>
      <c r="G23" s="11"/>
      <c r="H23" s="59"/>
      <c r="I23" s="15"/>
      <c r="J23" s="12">
        <f t="shared" si="2"/>
        <v>8720.23</v>
      </c>
      <c r="K23" s="12">
        <f t="shared" si="3"/>
        <v>24059.200000000001</v>
      </c>
    </row>
    <row r="24" spans="2:11" x14ac:dyDescent="0.25">
      <c r="B24" s="18">
        <v>43380</v>
      </c>
      <c r="C24" s="21" t="s">
        <v>799</v>
      </c>
      <c r="D24" s="11"/>
      <c r="E24" s="11">
        <v>1200</v>
      </c>
      <c r="F24" s="11"/>
      <c r="G24" s="11"/>
      <c r="H24" s="59"/>
      <c r="I24" s="15"/>
      <c r="J24" s="12">
        <f t="shared" si="2"/>
        <v>9920.23</v>
      </c>
      <c r="K24" s="12">
        <f t="shared" si="3"/>
        <v>24059.200000000001</v>
      </c>
    </row>
    <row r="25" spans="2:11" x14ac:dyDescent="0.25">
      <c r="B25" s="18">
        <v>43380</v>
      </c>
      <c r="C25" s="21" t="s">
        <v>798</v>
      </c>
      <c r="D25" s="11"/>
      <c r="E25" s="11">
        <v>300.45999999999998</v>
      </c>
      <c r="F25" s="11"/>
      <c r="G25" s="11"/>
      <c r="H25" s="11"/>
      <c r="I25" s="15"/>
      <c r="J25" s="12">
        <f t="shared" si="2"/>
        <v>10220.689999999999</v>
      </c>
      <c r="K25" s="12">
        <f t="shared" si="3"/>
        <v>24059.200000000001</v>
      </c>
    </row>
    <row r="26" spans="2:11" x14ac:dyDescent="0.25">
      <c r="B26" s="18">
        <v>43380</v>
      </c>
      <c r="C26" s="21" t="s">
        <v>402</v>
      </c>
      <c r="D26" s="11"/>
      <c r="E26" s="11"/>
      <c r="F26" s="11"/>
      <c r="G26" s="11"/>
      <c r="H26" s="11">
        <v>120</v>
      </c>
      <c r="I26" s="15"/>
      <c r="J26" s="12">
        <f t="shared" si="2"/>
        <v>10220.689999999999</v>
      </c>
      <c r="K26" s="12">
        <f t="shared" si="3"/>
        <v>23939.200000000001</v>
      </c>
    </row>
    <row r="27" spans="2:11" x14ac:dyDescent="0.25">
      <c r="B27" s="18">
        <v>43380</v>
      </c>
      <c r="C27" s="21" t="s">
        <v>364</v>
      </c>
      <c r="D27" s="11"/>
      <c r="E27" s="11"/>
      <c r="F27" s="11"/>
      <c r="G27" s="11"/>
      <c r="H27" s="11">
        <v>150</v>
      </c>
      <c r="I27" s="15"/>
      <c r="J27" s="12">
        <f t="shared" si="2"/>
        <v>10220.689999999999</v>
      </c>
      <c r="K27" s="12">
        <f t="shared" si="3"/>
        <v>23789.200000000001</v>
      </c>
    </row>
    <row r="28" spans="2:11" x14ac:dyDescent="0.25">
      <c r="B28" s="18">
        <v>43380</v>
      </c>
      <c r="C28" s="21" t="s">
        <v>298</v>
      </c>
      <c r="D28" s="11"/>
      <c r="E28" s="11"/>
      <c r="F28" s="11"/>
      <c r="G28" s="11"/>
      <c r="H28" s="11">
        <v>100</v>
      </c>
      <c r="I28" s="15"/>
      <c r="J28" s="12">
        <f t="shared" si="2"/>
        <v>10220.689999999999</v>
      </c>
      <c r="K28" s="12">
        <f t="shared" si="3"/>
        <v>23689.200000000001</v>
      </c>
    </row>
    <row r="29" spans="2:11" x14ac:dyDescent="0.25">
      <c r="B29" s="18">
        <v>43380</v>
      </c>
      <c r="C29" s="21" t="s">
        <v>807</v>
      </c>
      <c r="D29" s="11"/>
      <c r="E29" s="11"/>
      <c r="F29" s="11"/>
      <c r="G29" s="11"/>
      <c r="H29" s="11">
        <v>300</v>
      </c>
      <c r="I29" s="15"/>
      <c r="J29" s="12">
        <f t="shared" si="2"/>
        <v>10220.689999999999</v>
      </c>
      <c r="K29" s="12">
        <f t="shared" si="3"/>
        <v>23389.200000000001</v>
      </c>
    </row>
    <row r="30" spans="2:11" x14ac:dyDescent="0.25">
      <c r="B30" s="18">
        <v>43380</v>
      </c>
      <c r="C30" s="21" t="s">
        <v>796</v>
      </c>
      <c r="D30" s="11">
        <v>11200</v>
      </c>
      <c r="E30" s="11"/>
      <c r="F30" s="11"/>
      <c r="G30" s="11"/>
      <c r="H30" s="11"/>
      <c r="I30" s="15"/>
      <c r="J30" s="12">
        <f t="shared" si="2"/>
        <v>10220.689999999999</v>
      </c>
      <c r="K30" s="12">
        <f t="shared" si="3"/>
        <v>34589.199999999997</v>
      </c>
    </row>
    <row r="31" spans="2:11" x14ac:dyDescent="0.25">
      <c r="B31" s="18">
        <v>43381</v>
      </c>
      <c r="C31" s="21" t="s">
        <v>794</v>
      </c>
      <c r="D31" s="11"/>
      <c r="E31" s="11"/>
      <c r="F31" s="11"/>
      <c r="G31" s="11"/>
      <c r="H31" s="11">
        <v>800</v>
      </c>
      <c r="I31" s="129"/>
      <c r="J31" s="12">
        <f t="shared" si="2"/>
        <v>10220.689999999999</v>
      </c>
      <c r="K31" s="12">
        <f t="shared" si="3"/>
        <v>33789.199999999997</v>
      </c>
    </row>
    <row r="32" spans="2:11" x14ac:dyDescent="0.25">
      <c r="B32" s="18">
        <v>43381</v>
      </c>
      <c r="C32" s="21" t="s">
        <v>795</v>
      </c>
      <c r="D32" s="11"/>
      <c r="E32" s="11"/>
      <c r="F32" s="11"/>
      <c r="G32" s="11"/>
      <c r="H32" s="11">
        <v>10400</v>
      </c>
      <c r="I32" s="129"/>
      <c r="J32" s="12">
        <f t="shared" si="2"/>
        <v>10220.689999999999</v>
      </c>
      <c r="K32" s="12">
        <f t="shared" si="3"/>
        <v>23389.199999999997</v>
      </c>
    </row>
    <row r="33" spans="2:11" x14ac:dyDescent="0.25">
      <c r="B33" s="18">
        <v>43381</v>
      </c>
      <c r="C33" s="21" t="s">
        <v>491</v>
      </c>
      <c r="D33" s="11"/>
      <c r="E33" s="11"/>
      <c r="F33" s="11"/>
      <c r="G33" s="11"/>
      <c r="H33" s="59">
        <v>54</v>
      </c>
      <c r="I33" s="15"/>
      <c r="J33" s="12">
        <f t="shared" si="2"/>
        <v>10220.689999999999</v>
      </c>
      <c r="K33" s="12">
        <f t="shared" si="3"/>
        <v>23335.199999999997</v>
      </c>
    </row>
    <row r="34" spans="2:11" x14ac:dyDescent="0.25">
      <c r="B34" s="18">
        <v>43381</v>
      </c>
      <c r="C34" s="21" t="s">
        <v>814</v>
      </c>
      <c r="D34" s="11"/>
      <c r="E34" s="11"/>
      <c r="F34" s="11"/>
      <c r="G34" s="11"/>
      <c r="H34" s="11">
        <v>75</v>
      </c>
      <c r="I34" s="15"/>
      <c r="J34" s="12">
        <f t="shared" si="2"/>
        <v>10220.689999999999</v>
      </c>
      <c r="K34" s="12">
        <f t="shared" si="3"/>
        <v>23260.199999999997</v>
      </c>
    </row>
    <row r="35" spans="2:11" x14ac:dyDescent="0.25">
      <c r="B35" s="18">
        <v>43381</v>
      </c>
      <c r="C35" s="21" t="s">
        <v>815</v>
      </c>
      <c r="D35" s="11"/>
      <c r="E35" s="11"/>
      <c r="F35" s="11"/>
      <c r="G35" s="11"/>
      <c r="H35" s="11">
        <v>180</v>
      </c>
      <c r="I35" s="15"/>
      <c r="J35" s="12">
        <f t="shared" si="2"/>
        <v>10220.689999999999</v>
      </c>
      <c r="K35" s="12">
        <f t="shared" si="3"/>
        <v>23080.199999999997</v>
      </c>
    </row>
    <row r="36" spans="2:11" x14ac:dyDescent="0.25">
      <c r="B36" s="18">
        <v>43382</v>
      </c>
      <c r="C36" s="21" t="s">
        <v>816</v>
      </c>
      <c r="D36" s="11"/>
      <c r="E36" s="11"/>
      <c r="F36" s="11"/>
      <c r="G36" s="11"/>
      <c r="H36" s="11">
        <v>120</v>
      </c>
      <c r="I36" s="129"/>
      <c r="J36" s="12">
        <f t="shared" si="2"/>
        <v>10220.689999999999</v>
      </c>
      <c r="K36" s="12">
        <f t="shared" si="3"/>
        <v>22960.199999999997</v>
      </c>
    </row>
    <row r="37" spans="2:11" x14ac:dyDescent="0.25">
      <c r="B37" s="18">
        <v>43383</v>
      </c>
      <c r="C37" s="21" t="s">
        <v>817</v>
      </c>
      <c r="D37" s="11"/>
      <c r="E37" s="11"/>
      <c r="F37" s="11"/>
      <c r="G37" s="11"/>
      <c r="H37" s="11">
        <v>35.299999999999997</v>
      </c>
      <c r="I37" s="15"/>
      <c r="J37" s="12">
        <f t="shared" si="2"/>
        <v>10220.689999999999</v>
      </c>
      <c r="K37" s="12">
        <f t="shared" si="3"/>
        <v>22924.899999999998</v>
      </c>
    </row>
    <row r="38" spans="2:11" x14ac:dyDescent="0.25">
      <c r="B38" s="18">
        <v>43384</v>
      </c>
      <c r="C38" s="21" t="s">
        <v>818</v>
      </c>
      <c r="D38" s="11"/>
      <c r="E38" s="11"/>
      <c r="F38" s="11"/>
      <c r="G38" s="11"/>
      <c r="H38" s="11">
        <v>77.5</v>
      </c>
      <c r="I38" s="15"/>
      <c r="J38" s="12">
        <f t="shared" si="2"/>
        <v>10220.689999999999</v>
      </c>
      <c r="K38" s="12">
        <f t="shared" si="3"/>
        <v>22847.399999999998</v>
      </c>
    </row>
    <row r="39" spans="2:11" x14ac:dyDescent="0.25">
      <c r="B39" s="18">
        <v>43384</v>
      </c>
      <c r="C39" s="21" t="s">
        <v>819</v>
      </c>
      <c r="D39" s="11"/>
      <c r="E39" s="11"/>
      <c r="F39" s="11"/>
      <c r="G39" s="11"/>
      <c r="H39" s="11">
        <v>450</v>
      </c>
      <c r="I39" s="15"/>
      <c r="J39" s="12">
        <f t="shared" si="2"/>
        <v>10220.689999999999</v>
      </c>
      <c r="K39" s="12">
        <f t="shared" si="3"/>
        <v>22397.399999999998</v>
      </c>
    </row>
    <row r="40" spans="2:11" x14ac:dyDescent="0.25">
      <c r="B40" s="18">
        <v>43384</v>
      </c>
      <c r="C40" s="14" t="s">
        <v>820</v>
      </c>
      <c r="D40" s="11"/>
      <c r="E40" s="11"/>
      <c r="F40" s="11"/>
      <c r="G40" s="11"/>
      <c r="H40" s="11">
        <v>200</v>
      </c>
      <c r="I40" s="15"/>
      <c r="J40" s="12">
        <f t="shared" si="2"/>
        <v>10220.689999999999</v>
      </c>
      <c r="K40" s="12">
        <f t="shared" si="3"/>
        <v>22197.399999999998</v>
      </c>
    </row>
    <row r="41" spans="2:11" x14ac:dyDescent="0.25">
      <c r="B41" s="18">
        <v>43385</v>
      </c>
      <c r="C41" s="21" t="s">
        <v>808</v>
      </c>
      <c r="D41" s="11"/>
      <c r="E41" s="11"/>
      <c r="F41" s="11"/>
      <c r="G41" s="11"/>
      <c r="H41" s="11">
        <v>300</v>
      </c>
      <c r="I41" s="15"/>
      <c r="J41" s="12">
        <f t="shared" si="2"/>
        <v>10220.689999999999</v>
      </c>
      <c r="K41" s="12">
        <f t="shared" si="3"/>
        <v>21897.399999999998</v>
      </c>
    </row>
    <row r="42" spans="2:11" x14ac:dyDescent="0.25">
      <c r="B42" s="18">
        <v>43385</v>
      </c>
      <c r="C42" s="21" t="s">
        <v>821</v>
      </c>
      <c r="D42" s="11"/>
      <c r="E42" s="11"/>
      <c r="F42" s="11"/>
      <c r="G42" s="11"/>
      <c r="H42" s="59">
        <v>350</v>
      </c>
      <c r="I42" s="15"/>
      <c r="J42" s="12">
        <f t="shared" si="2"/>
        <v>10220.689999999999</v>
      </c>
      <c r="K42" s="12">
        <f t="shared" si="3"/>
        <v>21547.399999999998</v>
      </c>
    </row>
    <row r="43" spans="2:11" x14ac:dyDescent="0.25">
      <c r="B43" s="18">
        <v>43385</v>
      </c>
      <c r="C43" s="21" t="s">
        <v>822</v>
      </c>
      <c r="D43" s="11"/>
      <c r="E43" s="11"/>
      <c r="F43" s="11"/>
      <c r="G43" s="11"/>
      <c r="H43" s="59">
        <v>778</v>
      </c>
      <c r="I43" s="15"/>
      <c r="J43" s="12">
        <f t="shared" si="2"/>
        <v>10220.689999999999</v>
      </c>
      <c r="K43" s="12">
        <f t="shared" si="3"/>
        <v>20769.399999999998</v>
      </c>
    </row>
    <row r="44" spans="2:11" x14ac:dyDescent="0.25">
      <c r="B44" s="18">
        <v>43385</v>
      </c>
      <c r="C44" s="21" t="s">
        <v>823</v>
      </c>
      <c r="D44" s="11"/>
      <c r="E44" s="11"/>
      <c r="F44" s="11"/>
      <c r="G44" s="11"/>
      <c r="H44" s="59">
        <v>1250</v>
      </c>
      <c r="I44" s="15"/>
      <c r="J44" s="12">
        <f t="shared" si="2"/>
        <v>10220.689999999999</v>
      </c>
      <c r="K44" s="12">
        <f t="shared" si="3"/>
        <v>19519.399999999998</v>
      </c>
    </row>
    <row r="45" spans="2:11" x14ac:dyDescent="0.25">
      <c r="B45" s="18">
        <v>43385</v>
      </c>
      <c r="C45" s="21" t="s">
        <v>824</v>
      </c>
      <c r="D45" s="11"/>
      <c r="E45" s="11"/>
      <c r="F45" s="11"/>
      <c r="G45" s="11"/>
      <c r="H45" s="59">
        <v>26</v>
      </c>
      <c r="I45" s="15"/>
      <c r="J45" s="12">
        <f t="shared" si="2"/>
        <v>10220.689999999999</v>
      </c>
      <c r="K45" s="12">
        <f t="shared" si="3"/>
        <v>19493.399999999998</v>
      </c>
    </row>
    <row r="46" spans="2:11" x14ac:dyDescent="0.25">
      <c r="B46" s="18">
        <v>43387</v>
      </c>
      <c r="C46" s="14" t="s">
        <v>317</v>
      </c>
      <c r="D46" s="41"/>
      <c r="E46" s="41"/>
      <c r="F46" s="41"/>
      <c r="G46" s="41"/>
      <c r="H46" s="11">
        <v>120</v>
      </c>
      <c r="I46" s="15"/>
      <c r="J46" s="12">
        <f t="shared" si="2"/>
        <v>10220.689999999999</v>
      </c>
      <c r="K46" s="12">
        <f t="shared" si="3"/>
        <v>19373.399999999998</v>
      </c>
    </row>
    <row r="47" spans="2:11" x14ac:dyDescent="0.25">
      <c r="B47" s="18">
        <v>43387</v>
      </c>
      <c r="C47" s="14" t="s">
        <v>825</v>
      </c>
      <c r="D47" s="41"/>
      <c r="E47" s="41"/>
      <c r="F47" s="41"/>
      <c r="G47" s="16"/>
      <c r="H47" s="11">
        <v>150</v>
      </c>
      <c r="I47" s="15"/>
      <c r="J47" s="12">
        <f t="shared" si="2"/>
        <v>10220.689999999999</v>
      </c>
      <c r="K47" s="12">
        <f t="shared" si="3"/>
        <v>19223.399999999998</v>
      </c>
    </row>
    <row r="48" spans="2:11" x14ac:dyDescent="0.25">
      <c r="B48" s="18">
        <v>43387</v>
      </c>
      <c r="C48" s="14" t="s">
        <v>808</v>
      </c>
      <c r="D48" s="41"/>
      <c r="E48" s="41"/>
      <c r="F48" s="41"/>
      <c r="G48" s="41"/>
      <c r="H48" s="11">
        <v>300</v>
      </c>
      <c r="I48" s="15"/>
      <c r="J48" s="12">
        <f t="shared" si="2"/>
        <v>10220.689999999999</v>
      </c>
      <c r="K48" s="12">
        <f t="shared" si="3"/>
        <v>18923.399999999998</v>
      </c>
    </row>
    <row r="49" spans="2:11" x14ac:dyDescent="0.25">
      <c r="B49" s="18">
        <v>43387</v>
      </c>
      <c r="C49" s="14" t="s">
        <v>826</v>
      </c>
      <c r="D49" s="11"/>
      <c r="E49" s="11"/>
      <c r="F49" s="11"/>
      <c r="G49" s="11"/>
      <c r="H49" s="11">
        <v>108.5</v>
      </c>
      <c r="I49" s="15"/>
      <c r="J49" s="12">
        <f t="shared" si="2"/>
        <v>10220.689999999999</v>
      </c>
      <c r="K49" s="12">
        <f t="shared" si="3"/>
        <v>18814.899999999998</v>
      </c>
    </row>
    <row r="50" spans="2:11" x14ac:dyDescent="0.25">
      <c r="B50" s="18">
        <v>43387</v>
      </c>
      <c r="C50" s="14" t="s">
        <v>827</v>
      </c>
      <c r="D50" s="11">
        <v>27050</v>
      </c>
      <c r="E50" s="11"/>
      <c r="F50" s="11"/>
      <c r="G50" s="11"/>
      <c r="H50" s="11"/>
      <c r="I50" s="15"/>
      <c r="J50" s="12">
        <f t="shared" si="2"/>
        <v>10220.689999999999</v>
      </c>
      <c r="K50" s="12">
        <f t="shared" si="3"/>
        <v>45864.899999999994</v>
      </c>
    </row>
    <row r="51" spans="2:11" x14ac:dyDescent="0.25">
      <c r="B51" s="18">
        <v>43388</v>
      </c>
      <c r="C51" s="14" t="s">
        <v>828</v>
      </c>
      <c r="D51" s="11"/>
      <c r="E51" s="11"/>
      <c r="F51" s="11"/>
      <c r="G51" s="11"/>
      <c r="H51" s="11">
        <v>67</v>
      </c>
      <c r="I51" s="15"/>
      <c r="J51" s="12">
        <f t="shared" si="2"/>
        <v>10220.689999999999</v>
      </c>
      <c r="K51" s="12">
        <f t="shared" si="3"/>
        <v>45797.899999999994</v>
      </c>
    </row>
    <row r="52" spans="2:11" x14ac:dyDescent="0.25">
      <c r="B52" s="18">
        <v>43388</v>
      </c>
      <c r="C52" s="21" t="s">
        <v>829</v>
      </c>
      <c r="D52" s="11"/>
      <c r="E52" s="11"/>
      <c r="F52" s="11"/>
      <c r="G52" s="11"/>
      <c r="H52" s="11">
        <v>144</v>
      </c>
      <c r="I52" s="15"/>
      <c r="J52" s="12">
        <f t="shared" si="2"/>
        <v>10220.689999999999</v>
      </c>
      <c r="K52" s="12">
        <f t="shared" si="3"/>
        <v>45653.899999999994</v>
      </c>
    </row>
    <row r="53" spans="2:11" x14ac:dyDescent="0.25">
      <c r="B53" s="18">
        <v>43388</v>
      </c>
      <c r="C53" s="21" t="s">
        <v>830</v>
      </c>
      <c r="D53" s="11"/>
      <c r="E53" s="11"/>
      <c r="F53" s="11"/>
      <c r="G53" s="11"/>
      <c r="H53" s="11">
        <v>92</v>
      </c>
      <c r="I53" s="15"/>
      <c r="J53" s="12">
        <f t="shared" si="2"/>
        <v>10220.689999999999</v>
      </c>
      <c r="K53" s="12">
        <f t="shared" si="3"/>
        <v>45561.899999999994</v>
      </c>
    </row>
    <row r="54" spans="2:11" x14ac:dyDescent="0.25">
      <c r="B54" s="18">
        <v>43388</v>
      </c>
      <c r="C54" s="21" t="s">
        <v>831</v>
      </c>
      <c r="D54" s="11"/>
      <c r="E54" s="11"/>
      <c r="F54" s="11"/>
      <c r="G54" s="11"/>
      <c r="H54" s="11">
        <v>300</v>
      </c>
      <c r="I54" s="15"/>
      <c r="J54" s="12">
        <f t="shared" si="2"/>
        <v>10220.689999999999</v>
      </c>
      <c r="K54" s="12">
        <f t="shared" si="3"/>
        <v>45261.899999999994</v>
      </c>
    </row>
    <row r="55" spans="2:11" x14ac:dyDescent="0.25">
      <c r="B55" s="18">
        <v>43388</v>
      </c>
      <c r="C55" s="21" t="s">
        <v>345</v>
      </c>
      <c r="D55" s="11"/>
      <c r="E55" s="11"/>
      <c r="F55" s="11"/>
      <c r="G55" s="11"/>
      <c r="H55" s="11">
        <v>57.5</v>
      </c>
      <c r="I55" s="15"/>
      <c r="J55" s="12">
        <f t="shared" si="2"/>
        <v>10220.689999999999</v>
      </c>
      <c r="K55" s="12">
        <f t="shared" si="3"/>
        <v>45204.399999999994</v>
      </c>
    </row>
    <row r="56" spans="2:11" ht="15.75" thickBot="1" x14ac:dyDescent="0.3">
      <c r="B56" s="18">
        <v>43388</v>
      </c>
      <c r="C56" s="14" t="s">
        <v>832</v>
      </c>
      <c r="D56" s="41"/>
      <c r="E56" s="41"/>
      <c r="F56" s="41"/>
      <c r="G56" s="41"/>
      <c r="H56" s="11">
        <v>160</v>
      </c>
      <c r="I56" s="15"/>
      <c r="J56" s="12">
        <f t="shared" si="2"/>
        <v>10220.689999999999</v>
      </c>
      <c r="K56" s="12">
        <f t="shared" si="3"/>
        <v>45044.399999999994</v>
      </c>
    </row>
    <row r="57" spans="2:11" ht="15.75" thickBot="1" x14ac:dyDescent="0.3">
      <c r="B57" s="5"/>
      <c r="C57" s="132" t="s">
        <v>0</v>
      </c>
      <c r="D57" s="62">
        <f>SUM(D4:D56)</f>
        <v>58625</v>
      </c>
      <c r="E57" s="61">
        <f>SUM(E4:E56)</f>
        <v>1500.46</v>
      </c>
      <c r="F57" s="71">
        <f>SUM(D57:E57)</f>
        <v>60125.46</v>
      </c>
      <c r="G57" s="80">
        <f>SUM(G4:G48)</f>
        <v>5000</v>
      </c>
      <c r="H57" s="62">
        <f>SUM(H4:H56)</f>
        <v>24379.599999999999</v>
      </c>
      <c r="I57" s="71">
        <f>SUM(G57:H57)</f>
        <v>29379.599999999999</v>
      </c>
      <c r="J57" s="20"/>
      <c r="K57" s="20"/>
    </row>
    <row r="58" spans="2:11" x14ac:dyDescent="0.25">
      <c r="B58" s="68" t="s">
        <v>1</v>
      </c>
      <c r="C58" s="48" t="s">
        <v>2</v>
      </c>
      <c r="D58" s="68" t="s">
        <v>3</v>
      </c>
      <c r="E58" s="68" t="s">
        <v>3</v>
      </c>
      <c r="F58" s="68" t="s">
        <v>22</v>
      </c>
      <c r="G58" s="68" t="s">
        <v>23</v>
      </c>
      <c r="H58" s="48" t="s">
        <v>23</v>
      </c>
      <c r="I58" s="48" t="s">
        <v>22</v>
      </c>
      <c r="J58" s="68" t="s">
        <v>8</v>
      </c>
      <c r="K58" s="48" t="s">
        <v>7</v>
      </c>
    </row>
    <row r="59" spans="2:11" ht="15.75" thickBot="1" x14ac:dyDescent="0.3">
      <c r="B59" s="69"/>
      <c r="C59" s="70"/>
      <c r="D59" s="69" t="s">
        <v>5</v>
      </c>
      <c r="E59" s="69" t="s">
        <v>24</v>
      </c>
      <c r="F59" s="69" t="s">
        <v>3</v>
      </c>
      <c r="G59" s="69" t="s">
        <v>24</v>
      </c>
      <c r="H59" s="70" t="s">
        <v>5</v>
      </c>
      <c r="I59" s="70" t="s">
        <v>4</v>
      </c>
      <c r="J59" s="69"/>
      <c r="K59" s="70"/>
    </row>
    <row r="60" spans="2:11" ht="15.75" thickBot="1" x14ac:dyDescent="0.3">
      <c r="B60" s="5"/>
      <c r="C60" s="132"/>
      <c r="D60" s="62">
        <v>58625</v>
      </c>
      <c r="E60" s="61">
        <v>1500.46</v>
      </c>
      <c r="F60" s="71">
        <f>SUM(D60:E60)</f>
        <v>60125.46</v>
      </c>
      <c r="G60" s="80">
        <v>5000</v>
      </c>
      <c r="H60" s="62">
        <v>24379.599999999999</v>
      </c>
      <c r="I60" s="71">
        <f>SUM(G60:H60)</f>
        <v>29379.599999999999</v>
      </c>
      <c r="J60" s="20">
        <v>10220.69</v>
      </c>
      <c r="K60" s="12">
        <v>45044.4</v>
      </c>
    </row>
    <row r="61" spans="2:11" x14ac:dyDescent="0.25">
      <c r="B61" s="18">
        <v>43388</v>
      </c>
      <c r="C61" s="21" t="s">
        <v>833</v>
      </c>
      <c r="D61" s="11"/>
      <c r="E61" s="11"/>
      <c r="F61" s="11"/>
      <c r="G61" s="11"/>
      <c r="H61" s="59">
        <v>13.5</v>
      </c>
      <c r="I61" s="15"/>
      <c r="J61" s="12">
        <f t="shared" ref="J61" si="4">+J60+E61-G61</f>
        <v>10220.69</v>
      </c>
      <c r="K61" s="12">
        <f t="shared" ref="K61" si="5">+K60+D61-H61</f>
        <v>45030.9</v>
      </c>
    </row>
    <row r="62" spans="2:11" x14ac:dyDescent="0.25">
      <c r="B62" s="18">
        <v>43388</v>
      </c>
      <c r="C62" s="21" t="s">
        <v>834</v>
      </c>
      <c r="D62" s="11"/>
      <c r="E62" s="11"/>
      <c r="F62" s="11"/>
      <c r="G62" s="11"/>
      <c r="H62" s="59">
        <v>350</v>
      </c>
      <c r="I62" s="15"/>
      <c r="J62" s="12">
        <f t="shared" ref="J62:J72" si="6">+J61+E62-G62</f>
        <v>10220.69</v>
      </c>
      <c r="K62" s="12">
        <f t="shared" ref="K62:K72" si="7">+K61+D62-H62</f>
        <v>44680.9</v>
      </c>
    </row>
    <row r="63" spans="2:11" x14ac:dyDescent="0.25">
      <c r="B63" s="18">
        <v>43388</v>
      </c>
      <c r="C63" s="21" t="s">
        <v>835</v>
      </c>
      <c r="D63" s="11"/>
      <c r="E63" s="11"/>
      <c r="F63" s="11"/>
      <c r="G63" s="11"/>
      <c r="H63" s="59">
        <v>550</v>
      </c>
      <c r="I63" s="15"/>
      <c r="J63" s="12">
        <f t="shared" si="6"/>
        <v>10220.69</v>
      </c>
      <c r="K63" s="12">
        <f t="shared" si="7"/>
        <v>44130.9</v>
      </c>
    </row>
    <row r="64" spans="2:11" x14ac:dyDescent="0.25">
      <c r="B64" s="18">
        <v>43388</v>
      </c>
      <c r="C64" s="21" t="s">
        <v>836</v>
      </c>
      <c r="D64" s="11"/>
      <c r="E64" s="11"/>
      <c r="F64" s="11"/>
      <c r="G64" s="11"/>
      <c r="H64" s="59">
        <v>2000</v>
      </c>
      <c r="I64" s="15"/>
      <c r="J64" s="12">
        <f t="shared" si="6"/>
        <v>10220.69</v>
      </c>
      <c r="K64" s="12">
        <f t="shared" si="7"/>
        <v>42130.9</v>
      </c>
    </row>
    <row r="65" spans="2:12" x14ac:dyDescent="0.25">
      <c r="B65" s="18">
        <v>43388</v>
      </c>
      <c r="C65" s="35" t="s">
        <v>837</v>
      </c>
      <c r="D65" s="11"/>
      <c r="E65" s="11"/>
      <c r="F65" s="11"/>
      <c r="G65" s="11"/>
      <c r="H65" s="11">
        <v>4000</v>
      </c>
      <c r="I65" s="15"/>
      <c r="J65" s="12">
        <f t="shared" si="6"/>
        <v>10220.69</v>
      </c>
      <c r="K65" s="12">
        <f t="shared" si="7"/>
        <v>38130.9</v>
      </c>
    </row>
    <row r="66" spans="2:12" x14ac:dyDescent="0.25">
      <c r="B66" s="18">
        <v>43388</v>
      </c>
      <c r="C66" s="13" t="s">
        <v>838</v>
      </c>
      <c r="D66" s="11"/>
      <c r="E66" s="11"/>
      <c r="F66" s="11"/>
      <c r="G66" s="11"/>
      <c r="H66" s="11">
        <v>30000</v>
      </c>
      <c r="I66" s="15"/>
      <c r="J66" s="12">
        <f t="shared" si="6"/>
        <v>10220.69</v>
      </c>
      <c r="K66" s="12">
        <f t="shared" si="7"/>
        <v>8130.9000000000015</v>
      </c>
    </row>
    <row r="67" spans="2:12" x14ac:dyDescent="0.25">
      <c r="B67" s="18">
        <v>43389</v>
      </c>
      <c r="C67" s="14" t="s">
        <v>839</v>
      </c>
      <c r="D67" s="11"/>
      <c r="E67" s="11"/>
      <c r="F67" s="11"/>
      <c r="G67" s="11"/>
      <c r="H67" s="11">
        <v>600</v>
      </c>
      <c r="I67" s="15"/>
      <c r="J67" s="12">
        <f t="shared" si="6"/>
        <v>10220.69</v>
      </c>
      <c r="K67" s="12">
        <f t="shared" si="7"/>
        <v>7530.9000000000015</v>
      </c>
    </row>
    <row r="68" spans="2:12" x14ac:dyDescent="0.25">
      <c r="B68" s="18">
        <v>43389</v>
      </c>
      <c r="C68" s="14" t="s">
        <v>840</v>
      </c>
      <c r="D68" s="11"/>
      <c r="E68" s="11"/>
      <c r="F68" s="11"/>
      <c r="G68" s="11"/>
      <c r="H68" s="11">
        <v>60</v>
      </c>
      <c r="I68" s="15"/>
      <c r="J68" s="12">
        <f t="shared" si="6"/>
        <v>10220.69</v>
      </c>
      <c r="K68" s="12">
        <f t="shared" si="7"/>
        <v>7470.9000000000015</v>
      </c>
    </row>
    <row r="69" spans="2:12" x14ac:dyDescent="0.25">
      <c r="B69" s="18">
        <v>43390</v>
      </c>
      <c r="C69" s="14" t="s">
        <v>841</v>
      </c>
      <c r="D69" s="11"/>
      <c r="E69" s="11"/>
      <c r="F69" s="11"/>
      <c r="G69" s="11"/>
      <c r="H69" s="11">
        <v>170.3</v>
      </c>
      <c r="I69" s="15"/>
      <c r="J69" s="12">
        <f t="shared" si="6"/>
        <v>10220.69</v>
      </c>
      <c r="K69" s="12">
        <f t="shared" si="7"/>
        <v>7300.6000000000013</v>
      </c>
    </row>
    <row r="70" spans="2:12" x14ac:dyDescent="0.25">
      <c r="B70" s="18">
        <v>43390</v>
      </c>
      <c r="C70" s="14" t="s">
        <v>842</v>
      </c>
      <c r="D70" s="11"/>
      <c r="E70" s="11"/>
      <c r="F70" s="11"/>
      <c r="G70" s="11"/>
      <c r="H70" s="11">
        <v>173.3</v>
      </c>
      <c r="I70" s="15"/>
      <c r="J70" s="12">
        <f t="shared" si="6"/>
        <v>10220.69</v>
      </c>
      <c r="K70" s="12">
        <f t="shared" si="7"/>
        <v>7127.3000000000011</v>
      </c>
    </row>
    <row r="71" spans="2:12" x14ac:dyDescent="0.25">
      <c r="B71" s="18">
        <v>43390</v>
      </c>
      <c r="C71" s="14" t="s">
        <v>843</v>
      </c>
      <c r="D71" s="11"/>
      <c r="E71" s="11"/>
      <c r="F71" s="11"/>
      <c r="G71" s="11"/>
      <c r="H71" s="11">
        <v>142.76</v>
      </c>
      <c r="I71" s="15"/>
      <c r="J71" s="12">
        <f t="shared" si="6"/>
        <v>10220.69</v>
      </c>
      <c r="K71" s="12">
        <f t="shared" si="7"/>
        <v>6984.5400000000009</v>
      </c>
    </row>
    <row r="72" spans="2:12" x14ac:dyDescent="0.25">
      <c r="B72" s="18">
        <v>43390</v>
      </c>
      <c r="C72" s="14" t="s">
        <v>844</v>
      </c>
      <c r="D72" s="11"/>
      <c r="E72" s="11"/>
      <c r="F72" s="11"/>
      <c r="G72" s="11"/>
      <c r="H72" s="11">
        <v>68.7</v>
      </c>
      <c r="I72" s="15"/>
      <c r="J72" s="12">
        <f t="shared" si="6"/>
        <v>10220.69</v>
      </c>
      <c r="K72" s="12">
        <f t="shared" si="7"/>
        <v>6915.8400000000011</v>
      </c>
    </row>
    <row r="73" spans="2:12" x14ac:dyDescent="0.25">
      <c r="B73" s="18">
        <v>43392</v>
      </c>
      <c r="C73" s="9" t="s">
        <v>877</v>
      </c>
      <c r="D73" s="11"/>
      <c r="E73" s="11"/>
      <c r="F73" s="11"/>
      <c r="G73" s="11">
        <v>1760</v>
      </c>
      <c r="H73" s="11"/>
      <c r="I73" s="15"/>
      <c r="J73" s="12">
        <f t="shared" ref="J73:J128" si="8">+J72+E73-G73</f>
        <v>8460.69</v>
      </c>
      <c r="K73" s="12">
        <f t="shared" ref="K73:K128" si="9">+K72+D73-H73</f>
        <v>6915.8400000000011</v>
      </c>
    </row>
    <row r="74" spans="2:12" x14ac:dyDescent="0.25">
      <c r="B74" s="18">
        <v>43392</v>
      </c>
      <c r="C74" s="9" t="s">
        <v>878</v>
      </c>
      <c r="D74" s="11"/>
      <c r="E74" s="11"/>
      <c r="F74" s="11"/>
      <c r="G74" s="11">
        <v>1400</v>
      </c>
      <c r="H74" s="11"/>
      <c r="I74" s="15"/>
      <c r="J74" s="12">
        <f t="shared" si="8"/>
        <v>7060.6900000000005</v>
      </c>
      <c r="K74" s="12">
        <f t="shared" si="9"/>
        <v>6915.8400000000011</v>
      </c>
      <c r="L74" s="1"/>
    </row>
    <row r="75" spans="2:12" x14ac:dyDescent="0.25">
      <c r="B75" s="18">
        <v>43392</v>
      </c>
      <c r="C75" s="14" t="s">
        <v>845</v>
      </c>
      <c r="D75" s="11"/>
      <c r="E75" s="11"/>
      <c r="F75" s="11"/>
      <c r="G75" s="11"/>
      <c r="H75" s="11">
        <v>1250</v>
      </c>
      <c r="I75" s="15"/>
      <c r="J75" s="12">
        <f t="shared" si="8"/>
        <v>7060.6900000000005</v>
      </c>
      <c r="K75" s="12">
        <f t="shared" si="9"/>
        <v>5665.8400000000011</v>
      </c>
      <c r="L75" s="1"/>
    </row>
    <row r="76" spans="2:12" x14ac:dyDescent="0.25">
      <c r="B76" s="18">
        <v>43392</v>
      </c>
      <c r="C76" s="35" t="s">
        <v>808</v>
      </c>
      <c r="D76" s="11"/>
      <c r="E76" s="11"/>
      <c r="F76" s="11"/>
      <c r="G76" s="11"/>
      <c r="H76" s="11">
        <v>300</v>
      </c>
      <c r="I76" s="15"/>
      <c r="J76" s="12">
        <f t="shared" si="8"/>
        <v>7060.6900000000005</v>
      </c>
      <c r="K76" s="12">
        <f t="shared" si="9"/>
        <v>5365.8400000000011</v>
      </c>
    </row>
    <row r="77" spans="2:12" x14ac:dyDescent="0.25">
      <c r="B77" s="18">
        <v>43392</v>
      </c>
      <c r="C77" s="34" t="s">
        <v>846</v>
      </c>
      <c r="D77" s="11"/>
      <c r="E77" s="11"/>
      <c r="F77" s="11"/>
      <c r="G77" s="11"/>
      <c r="H77" s="11">
        <v>150</v>
      </c>
      <c r="I77" s="15"/>
      <c r="J77" s="12">
        <f t="shared" si="8"/>
        <v>7060.6900000000005</v>
      </c>
      <c r="K77" s="12">
        <f t="shared" si="9"/>
        <v>5215.8400000000011</v>
      </c>
    </row>
    <row r="78" spans="2:12" x14ac:dyDescent="0.25">
      <c r="B78" s="18">
        <v>43394</v>
      </c>
      <c r="C78" s="21" t="s">
        <v>402</v>
      </c>
      <c r="D78" s="11"/>
      <c r="E78" s="11"/>
      <c r="F78" s="11"/>
      <c r="G78" s="11"/>
      <c r="H78" s="11">
        <v>120</v>
      </c>
      <c r="I78" s="15"/>
      <c r="J78" s="12">
        <f t="shared" si="8"/>
        <v>7060.6900000000005</v>
      </c>
      <c r="K78" s="12">
        <f t="shared" si="9"/>
        <v>5095.8400000000011</v>
      </c>
    </row>
    <row r="79" spans="2:12" x14ac:dyDescent="0.25">
      <c r="B79" s="18">
        <v>43394</v>
      </c>
      <c r="C79" s="21" t="s">
        <v>826</v>
      </c>
      <c r="D79" s="11"/>
      <c r="E79" s="11"/>
      <c r="F79" s="11"/>
      <c r="G79" s="11"/>
      <c r="H79" s="11">
        <v>72</v>
      </c>
      <c r="I79" s="15"/>
      <c r="J79" s="12">
        <f t="shared" si="8"/>
        <v>7060.6900000000005</v>
      </c>
      <c r="K79" s="12">
        <f t="shared" si="9"/>
        <v>5023.8400000000011</v>
      </c>
      <c r="L79" s="1"/>
    </row>
    <row r="80" spans="2:12" x14ac:dyDescent="0.25">
      <c r="B80" s="18">
        <v>43394</v>
      </c>
      <c r="C80" s="14" t="s">
        <v>847</v>
      </c>
      <c r="D80" s="11">
        <v>7400</v>
      </c>
      <c r="E80" s="11"/>
      <c r="F80" s="11"/>
      <c r="G80" s="11"/>
      <c r="H80" s="11"/>
      <c r="I80" s="15"/>
      <c r="J80" s="12">
        <f t="shared" si="8"/>
        <v>7060.6900000000005</v>
      </c>
      <c r="K80" s="12">
        <f t="shared" si="9"/>
        <v>12423.84</v>
      </c>
    </row>
    <row r="81" spans="2:12" x14ac:dyDescent="0.25">
      <c r="B81" s="18">
        <v>43394</v>
      </c>
      <c r="C81" s="35" t="s">
        <v>880</v>
      </c>
      <c r="D81" s="11"/>
      <c r="E81" s="11">
        <v>2400</v>
      </c>
      <c r="F81" s="11"/>
      <c r="G81" s="11"/>
      <c r="H81" s="11"/>
      <c r="I81" s="15"/>
      <c r="J81" s="12">
        <f t="shared" si="8"/>
        <v>9460.69</v>
      </c>
      <c r="K81" s="12">
        <f t="shared" si="9"/>
        <v>12423.84</v>
      </c>
      <c r="L81" s="1"/>
    </row>
    <row r="82" spans="2:12" x14ac:dyDescent="0.25">
      <c r="B82" s="18">
        <v>43394</v>
      </c>
      <c r="C82" s="13" t="s">
        <v>879</v>
      </c>
      <c r="D82" s="11"/>
      <c r="E82" s="11">
        <v>12760</v>
      </c>
      <c r="F82" s="11"/>
      <c r="G82" s="11"/>
      <c r="H82" s="11"/>
      <c r="I82" s="15"/>
      <c r="J82" s="12">
        <f t="shared" si="8"/>
        <v>22220.690000000002</v>
      </c>
      <c r="K82" s="12">
        <f t="shared" si="9"/>
        <v>12423.84</v>
      </c>
    </row>
    <row r="83" spans="2:12" x14ac:dyDescent="0.25">
      <c r="B83" s="18">
        <v>43394</v>
      </c>
      <c r="C83" s="35" t="s">
        <v>848</v>
      </c>
      <c r="D83" s="11"/>
      <c r="E83" s="11"/>
      <c r="F83" s="11"/>
      <c r="G83" s="11">
        <v>10000</v>
      </c>
      <c r="H83" s="11"/>
      <c r="I83" s="15"/>
      <c r="J83" s="12">
        <f t="shared" si="8"/>
        <v>12220.690000000002</v>
      </c>
      <c r="K83" s="12">
        <f t="shared" si="9"/>
        <v>12423.84</v>
      </c>
    </row>
    <row r="84" spans="2:12" x14ac:dyDescent="0.25">
      <c r="B84" s="18">
        <v>43395</v>
      </c>
      <c r="C84" s="34" t="s">
        <v>849</v>
      </c>
      <c r="D84" s="11"/>
      <c r="E84" s="11"/>
      <c r="F84" s="11"/>
      <c r="G84" s="11"/>
      <c r="H84" s="11">
        <v>400</v>
      </c>
      <c r="I84" s="15"/>
      <c r="J84" s="12">
        <f t="shared" si="8"/>
        <v>12220.690000000002</v>
      </c>
      <c r="K84" s="12">
        <f t="shared" si="9"/>
        <v>12023.84</v>
      </c>
    </row>
    <row r="85" spans="2:12" x14ac:dyDescent="0.25">
      <c r="B85" s="18">
        <v>43395</v>
      </c>
      <c r="C85" s="14" t="s">
        <v>850</v>
      </c>
      <c r="D85" s="11"/>
      <c r="E85" s="11"/>
      <c r="F85" s="11"/>
      <c r="G85" s="11"/>
      <c r="H85" s="11">
        <v>250</v>
      </c>
      <c r="I85" s="15"/>
      <c r="J85" s="12">
        <f t="shared" si="8"/>
        <v>12220.690000000002</v>
      </c>
      <c r="K85" s="12">
        <f t="shared" si="9"/>
        <v>11773.84</v>
      </c>
    </row>
    <row r="86" spans="2:12" x14ac:dyDescent="0.25">
      <c r="B86" s="18">
        <v>43395</v>
      </c>
      <c r="C86" s="21" t="s">
        <v>405</v>
      </c>
      <c r="D86" s="11"/>
      <c r="E86" s="11"/>
      <c r="F86" s="11"/>
      <c r="G86" s="11"/>
      <c r="H86" s="11">
        <v>180</v>
      </c>
      <c r="I86" s="15"/>
      <c r="J86" s="12">
        <f t="shared" si="8"/>
        <v>12220.690000000002</v>
      </c>
      <c r="K86" s="12">
        <f t="shared" si="9"/>
        <v>11593.84</v>
      </c>
    </row>
    <row r="87" spans="2:12" x14ac:dyDescent="0.25">
      <c r="B87" s="18">
        <v>43396</v>
      </c>
      <c r="C87" s="21" t="s">
        <v>851</v>
      </c>
      <c r="D87" s="11"/>
      <c r="E87" s="11"/>
      <c r="F87" s="11"/>
      <c r="G87" s="11"/>
      <c r="H87" s="11">
        <v>398.8</v>
      </c>
      <c r="I87" s="15"/>
      <c r="J87" s="12">
        <f t="shared" si="8"/>
        <v>12220.690000000002</v>
      </c>
      <c r="K87" s="12">
        <f t="shared" si="9"/>
        <v>11195.04</v>
      </c>
    </row>
    <row r="88" spans="2:12" x14ac:dyDescent="0.25">
      <c r="B88" s="18">
        <v>43396</v>
      </c>
      <c r="C88" s="21" t="s">
        <v>852</v>
      </c>
      <c r="D88" s="11"/>
      <c r="E88" s="11"/>
      <c r="F88" s="11"/>
      <c r="G88" s="11"/>
      <c r="H88" s="11">
        <v>400</v>
      </c>
      <c r="I88" s="15"/>
      <c r="J88" s="12">
        <f t="shared" si="8"/>
        <v>12220.690000000002</v>
      </c>
      <c r="K88" s="12">
        <f t="shared" si="9"/>
        <v>10795.04</v>
      </c>
    </row>
    <row r="89" spans="2:12" x14ac:dyDescent="0.25">
      <c r="B89" s="18">
        <v>43397</v>
      </c>
      <c r="C89" s="34" t="s">
        <v>853</v>
      </c>
      <c r="D89" s="11"/>
      <c r="E89" s="11"/>
      <c r="F89" s="11"/>
      <c r="G89" s="11"/>
      <c r="H89" s="11">
        <v>150</v>
      </c>
      <c r="I89" s="15"/>
      <c r="J89" s="12">
        <f t="shared" si="8"/>
        <v>12220.690000000002</v>
      </c>
      <c r="K89" s="12">
        <f t="shared" si="9"/>
        <v>10645.04</v>
      </c>
    </row>
    <row r="90" spans="2:12" x14ac:dyDescent="0.25">
      <c r="B90" s="18">
        <v>43397</v>
      </c>
      <c r="C90" s="35" t="s">
        <v>854</v>
      </c>
      <c r="D90" s="11"/>
      <c r="E90" s="11"/>
      <c r="F90" s="11"/>
      <c r="G90" s="11"/>
      <c r="H90" s="11">
        <v>32.9</v>
      </c>
      <c r="I90" s="15"/>
      <c r="J90" s="12">
        <f t="shared" si="8"/>
        <v>12220.690000000002</v>
      </c>
      <c r="K90" s="12">
        <f t="shared" si="9"/>
        <v>10612.140000000001</v>
      </c>
    </row>
    <row r="91" spans="2:12" x14ac:dyDescent="0.25">
      <c r="B91" s="18">
        <v>43399</v>
      </c>
      <c r="C91" s="21" t="s">
        <v>855</v>
      </c>
      <c r="D91" s="11"/>
      <c r="E91" s="11"/>
      <c r="F91" s="11"/>
      <c r="G91" s="11"/>
      <c r="H91" s="11">
        <v>150</v>
      </c>
      <c r="I91" s="15"/>
      <c r="J91" s="12">
        <f t="shared" si="8"/>
        <v>12220.690000000002</v>
      </c>
      <c r="K91" s="12">
        <f t="shared" si="9"/>
        <v>10462.140000000001</v>
      </c>
    </row>
    <row r="92" spans="2:12" x14ac:dyDescent="0.25">
      <c r="B92" s="18">
        <v>43399</v>
      </c>
      <c r="C92" s="14" t="s">
        <v>856</v>
      </c>
      <c r="D92" s="41"/>
      <c r="E92" s="41"/>
      <c r="F92" s="41"/>
      <c r="G92" s="16"/>
      <c r="H92" s="11">
        <v>1250</v>
      </c>
      <c r="I92" s="15"/>
      <c r="J92" s="12">
        <f t="shared" si="8"/>
        <v>12220.690000000002</v>
      </c>
      <c r="K92" s="12">
        <f t="shared" si="9"/>
        <v>9212.1400000000012</v>
      </c>
    </row>
    <row r="93" spans="2:12" x14ac:dyDescent="0.25">
      <c r="B93" s="18">
        <v>43401</v>
      </c>
      <c r="C93" s="14" t="s">
        <v>402</v>
      </c>
      <c r="D93" s="41"/>
      <c r="E93" s="41"/>
      <c r="F93" s="41"/>
      <c r="G93" s="16"/>
      <c r="H93" s="11">
        <v>120</v>
      </c>
      <c r="I93" s="15"/>
      <c r="J93" s="12">
        <f t="shared" si="8"/>
        <v>12220.690000000002</v>
      </c>
      <c r="K93" s="12">
        <f t="shared" si="9"/>
        <v>9092.1400000000012</v>
      </c>
    </row>
    <row r="94" spans="2:12" x14ac:dyDescent="0.25">
      <c r="B94" s="18">
        <v>43401</v>
      </c>
      <c r="C94" s="14" t="s">
        <v>857</v>
      </c>
      <c r="D94" s="41"/>
      <c r="E94" s="41"/>
      <c r="F94" s="41"/>
      <c r="G94" s="16"/>
      <c r="H94" s="11">
        <v>58</v>
      </c>
      <c r="I94" s="15"/>
      <c r="J94" s="12">
        <f t="shared" si="8"/>
        <v>12220.690000000002</v>
      </c>
      <c r="K94" s="12">
        <f t="shared" si="9"/>
        <v>9034.1400000000012</v>
      </c>
    </row>
    <row r="95" spans="2:12" x14ac:dyDescent="0.25">
      <c r="B95" s="18">
        <v>43401</v>
      </c>
      <c r="C95" s="14" t="s">
        <v>858</v>
      </c>
      <c r="D95" s="41">
        <v>16140</v>
      </c>
      <c r="E95" s="41"/>
      <c r="F95" s="41"/>
      <c r="G95" s="16"/>
      <c r="H95" s="11"/>
      <c r="I95" s="15"/>
      <c r="J95" s="12">
        <f t="shared" si="8"/>
        <v>12220.690000000002</v>
      </c>
      <c r="K95" s="12">
        <f t="shared" si="9"/>
        <v>25174.14</v>
      </c>
    </row>
    <row r="96" spans="2:12" x14ac:dyDescent="0.25">
      <c r="B96" s="18">
        <v>43401</v>
      </c>
      <c r="C96" s="14" t="s">
        <v>808</v>
      </c>
      <c r="D96" s="16"/>
      <c r="E96" s="41"/>
      <c r="F96" s="41"/>
      <c r="G96" s="41"/>
      <c r="H96" s="11">
        <v>300</v>
      </c>
      <c r="I96" s="15"/>
      <c r="J96" s="12">
        <f t="shared" si="8"/>
        <v>12220.690000000002</v>
      </c>
      <c r="K96" s="12">
        <f t="shared" si="9"/>
        <v>24874.14</v>
      </c>
    </row>
    <row r="97" spans="2:11" x14ac:dyDescent="0.25">
      <c r="B97" s="18">
        <v>43402</v>
      </c>
      <c r="C97" s="14" t="s">
        <v>859</v>
      </c>
      <c r="D97" s="41"/>
      <c r="E97" s="41"/>
      <c r="F97" s="41"/>
      <c r="G97" s="41"/>
      <c r="H97" s="11">
        <v>308</v>
      </c>
      <c r="I97" s="15"/>
      <c r="J97" s="12">
        <f t="shared" si="8"/>
        <v>12220.690000000002</v>
      </c>
      <c r="K97" s="12">
        <f t="shared" si="9"/>
        <v>24566.14</v>
      </c>
    </row>
    <row r="98" spans="2:11" x14ac:dyDescent="0.25">
      <c r="B98" s="18">
        <v>43402</v>
      </c>
      <c r="C98" s="21" t="s">
        <v>405</v>
      </c>
      <c r="D98" s="11"/>
      <c r="E98" s="11"/>
      <c r="F98" s="11"/>
      <c r="G98" s="11"/>
      <c r="H98" s="11">
        <v>180</v>
      </c>
      <c r="I98" s="15"/>
      <c r="J98" s="12">
        <f t="shared" si="8"/>
        <v>12220.690000000002</v>
      </c>
      <c r="K98" s="12">
        <f t="shared" si="9"/>
        <v>24386.14</v>
      </c>
    </row>
    <row r="99" spans="2:11" x14ac:dyDescent="0.25">
      <c r="B99" s="18">
        <v>43402</v>
      </c>
      <c r="C99" s="21" t="s">
        <v>860</v>
      </c>
      <c r="D99" s="11"/>
      <c r="E99" s="11"/>
      <c r="F99" s="11"/>
      <c r="G99" s="11"/>
      <c r="H99" s="11">
        <v>150</v>
      </c>
      <c r="I99" s="15"/>
      <c r="J99" s="12">
        <f t="shared" si="8"/>
        <v>12220.690000000002</v>
      </c>
      <c r="K99" s="12">
        <f t="shared" si="9"/>
        <v>24236.14</v>
      </c>
    </row>
    <row r="100" spans="2:11" x14ac:dyDescent="0.25">
      <c r="B100" s="18">
        <v>43402</v>
      </c>
      <c r="C100" s="21" t="s">
        <v>861</v>
      </c>
      <c r="D100" s="11"/>
      <c r="E100" s="11"/>
      <c r="F100" s="11"/>
      <c r="G100" s="11"/>
      <c r="H100" s="59">
        <v>250</v>
      </c>
      <c r="I100" s="15"/>
      <c r="J100" s="12">
        <f t="shared" si="8"/>
        <v>12220.690000000002</v>
      </c>
      <c r="K100" s="12">
        <f t="shared" si="9"/>
        <v>23986.14</v>
      </c>
    </row>
    <row r="101" spans="2:11" x14ac:dyDescent="0.25">
      <c r="B101" s="18">
        <v>43402</v>
      </c>
      <c r="C101" s="21" t="s">
        <v>862</v>
      </c>
      <c r="D101" s="11"/>
      <c r="E101" s="11"/>
      <c r="F101" s="11"/>
      <c r="G101" s="11"/>
      <c r="H101" s="59">
        <v>200</v>
      </c>
      <c r="I101" s="15"/>
      <c r="J101" s="12">
        <f t="shared" si="8"/>
        <v>12220.690000000002</v>
      </c>
      <c r="K101" s="12">
        <f t="shared" si="9"/>
        <v>23786.14</v>
      </c>
    </row>
    <row r="102" spans="2:11" x14ac:dyDescent="0.25">
      <c r="B102" s="18">
        <v>43402</v>
      </c>
      <c r="C102" s="21" t="s">
        <v>807</v>
      </c>
      <c r="D102" s="11"/>
      <c r="E102" s="11"/>
      <c r="F102" s="11"/>
      <c r="G102" s="11"/>
      <c r="H102" s="59">
        <v>400</v>
      </c>
      <c r="I102" s="15"/>
      <c r="J102" s="12">
        <f t="shared" si="8"/>
        <v>12220.690000000002</v>
      </c>
      <c r="K102" s="12">
        <f t="shared" si="9"/>
        <v>23386.14</v>
      </c>
    </row>
    <row r="103" spans="2:11" x14ac:dyDescent="0.25">
      <c r="B103" s="18">
        <v>43403</v>
      </c>
      <c r="C103" s="21" t="s">
        <v>831</v>
      </c>
      <c r="D103" s="11"/>
      <c r="E103" s="11"/>
      <c r="F103" s="11"/>
      <c r="G103" s="11"/>
      <c r="H103" s="59">
        <v>600</v>
      </c>
      <c r="I103" s="15"/>
      <c r="J103" s="12">
        <f t="shared" si="8"/>
        <v>12220.690000000002</v>
      </c>
      <c r="K103" s="12">
        <f t="shared" si="9"/>
        <v>22786.14</v>
      </c>
    </row>
    <row r="104" spans="2:11" x14ac:dyDescent="0.25">
      <c r="B104" s="18">
        <v>43403</v>
      </c>
      <c r="C104" s="35" t="s">
        <v>863</v>
      </c>
      <c r="D104" s="11"/>
      <c r="E104" s="11"/>
      <c r="F104" s="11"/>
      <c r="G104" s="11"/>
      <c r="H104" s="11">
        <v>160</v>
      </c>
      <c r="I104" s="15"/>
      <c r="J104" s="12">
        <f t="shared" si="8"/>
        <v>12220.690000000002</v>
      </c>
      <c r="K104" s="12">
        <f t="shared" si="9"/>
        <v>22626.14</v>
      </c>
    </row>
    <row r="105" spans="2:11" x14ac:dyDescent="0.25">
      <c r="B105" s="18">
        <v>43403</v>
      </c>
      <c r="C105" s="14" t="s">
        <v>864</v>
      </c>
      <c r="D105" s="11"/>
      <c r="E105" s="11"/>
      <c r="F105" s="11"/>
      <c r="G105" s="11"/>
      <c r="H105" s="11">
        <v>250</v>
      </c>
      <c r="I105" s="15"/>
      <c r="J105" s="12">
        <f t="shared" si="8"/>
        <v>12220.690000000002</v>
      </c>
      <c r="K105" s="12">
        <f t="shared" si="9"/>
        <v>22376.14</v>
      </c>
    </row>
    <row r="106" spans="2:11" x14ac:dyDescent="0.25">
      <c r="B106" s="18">
        <v>43403</v>
      </c>
      <c r="C106" s="14" t="s">
        <v>865</v>
      </c>
      <c r="D106" s="11"/>
      <c r="E106" s="11"/>
      <c r="F106" s="11"/>
      <c r="G106" s="11"/>
      <c r="H106" s="11">
        <v>164</v>
      </c>
      <c r="I106" s="15"/>
      <c r="J106" s="12">
        <f t="shared" si="8"/>
        <v>12220.690000000002</v>
      </c>
      <c r="K106" s="12">
        <f t="shared" si="9"/>
        <v>22212.14</v>
      </c>
    </row>
    <row r="107" spans="2:11" x14ac:dyDescent="0.25">
      <c r="B107" s="18">
        <v>43403</v>
      </c>
      <c r="C107" s="14" t="s">
        <v>866</v>
      </c>
      <c r="D107" s="11"/>
      <c r="E107" s="11"/>
      <c r="F107" s="11"/>
      <c r="G107" s="11"/>
      <c r="H107" s="11">
        <v>100</v>
      </c>
      <c r="I107" s="15"/>
      <c r="J107" s="12">
        <f t="shared" si="8"/>
        <v>12220.690000000002</v>
      </c>
      <c r="K107" s="12">
        <f t="shared" si="9"/>
        <v>22112.14</v>
      </c>
    </row>
    <row r="108" spans="2:11" x14ac:dyDescent="0.25">
      <c r="B108" s="18">
        <v>43403</v>
      </c>
      <c r="C108" s="21" t="s">
        <v>867</v>
      </c>
      <c r="D108" s="11"/>
      <c r="E108" s="11"/>
      <c r="F108" s="11"/>
      <c r="G108" s="11"/>
      <c r="H108" s="11">
        <v>50</v>
      </c>
      <c r="I108" s="15"/>
      <c r="J108" s="12">
        <f t="shared" si="8"/>
        <v>12220.690000000002</v>
      </c>
      <c r="K108" s="12">
        <f t="shared" si="9"/>
        <v>22062.14</v>
      </c>
    </row>
    <row r="109" spans="2:11" x14ac:dyDescent="0.25">
      <c r="B109" s="18">
        <v>43403</v>
      </c>
      <c r="C109" s="21" t="s">
        <v>868</v>
      </c>
      <c r="D109" s="11"/>
      <c r="E109" s="11"/>
      <c r="F109" s="11"/>
      <c r="G109" s="11"/>
      <c r="H109" s="11">
        <v>133</v>
      </c>
      <c r="I109" s="15"/>
      <c r="J109" s="12">
        <f t="shared" si="8"/>
        <v>12220.690000000002</v>
      </c>
      <c r="K109" s="12">
        <f t="shared" si="9"/>
        <v>21929.14</v>
      </c>
    </row>
    <row r="110" spans="2:11" x14ac:dyDescent="0.25">
      <c r="B110" s="18">
        <v>43404</v>
      </c>
      <c r="C110" s="21" t="s">
        <v>869</v>
      </c>
      <c r="D110" s="11"/>
      <c r="E110" s="11"/>
      <c r="F110" s="11"/>
      <c r="G110" s="11"/>
      <c r="H110" s="11">
        <v>100</v>
      </c>
      <c r="I110" s="15"/>
      <c r="J110" s="12">
        <f t="shared" si="8"/>
        <v>12220.690000000002</v>
      </c>
      <c r="K110" s="12">
        <f t="shared" si="9"/>
        <v>21829.14</v>
      </c>
    </row>
    <row r="111" spans="2:11" x14ac:dyDescent="0.25">
      <c r="B111" s="18">
        <v>43404</v>
      </c>
      <c r="C111" s="21" t="s">
        <v>870</v>
      </c>
      <c r="D111" s="11"/>
      <c r="E111" s="11"/>
      <c r="F111" s="11"/>
      <c r="G111" s="11"/>
      <c r="H111" s="11">
        <v>38.58</v>
      </c>
      <c r="I111" s="15"/>
      <c r="J111" s="12">
        <f t="shared" si="8"/>
        <v>12220.690000000002</v>
      </c>
      <c r="K111" s="12">
        <f t="shared" si="9"/>
        <v>21790.559999999998</v>
      </c>
    </row>
    <row r="112" spans="2:11" x14ac:dyDescent="0.25">
      <c r="B112" s="18">
        <v>43404</v>
      </c>
      <c r="C112" s="21" t="s">
        <v>871</v>
      </c>
      <c r="D112" s="11"/>
      <c r="E112" s="11"/>
      <c r="F112" s="11"/>
      <c r="G112" s="11"/>
      <c r="H112" s="11">
        <v>132</v>
      </c>
      <c r="I112" s="15"/>
      <c r="J112" s="12">
        <f t="shared" si="8"/>
        <v>12220.690000000002</v>
      </c>
      <c r="K112" s="12">
        <f t="shared" si="9"/>
        <v>21658.559999999998</v>
      </c>
    </row>
    <row r="113" spans="2:11" ht="15.75" thickBot="1" x14ac:dyDescent="0.3">
      <c r="B113" s="18">
        <v>43404</v>
      </c>
      <c r="C113" s="21" t="s">
        <v>872</v>
      </c>
      <c r="D113" s="11"/>
      <c r="E113" s="11"/>
      <c r="F113" s="11"/>
      <c r="G113" s="11"/>
      <c r="H113" s="11">
        <v>22</v>
      </c>
      <c r="I113" s="15"/>
      <c r="J113" s="12">
        <f>+J112+E113-G113</f>
        <v>12220.690000000002</v>
      </c>
      <c r="K113" s="12">
        <f t="shared" si="9"/>
        <v>21636.559999999998</v>
      </c>
    </row>
    <row r="114" spans="2:11" ht="15.75" thickBot="1" x14ac:dyDescent="0.3">
      <c r="B114" s="5"/>
      <c r="C114" s="132" t="s">
        <v>0</v>
      </c>
      <c r="D114" s="62">
        <f>SUM(D60:D113)</f>
        <v>82165</v>
      </c>
      <c r="E114" s="61">
        <f>SUM(E60:E113)</f>
        <v>16660.46</v>
      </c>
      <c r="F114" s="71">
        <f>SUM(D114:E114)</f>
        <v>98825.459999999992</v>
      </c>
      <c r="G114" s="80">
        <f>SUM(G60:G113)</f>
        <v>18160</v>
      </c>
      <c r="H114" s="98">
        <f>SUM(H60:H113)</f>
        <v>71327.44</v>
      </c>
      <c r="I114" s="71">
        <f>SUM(G114:H114)</f>
        <v>89487.44</v>
      </c>
      <c r="J114" s="20"/>
      <c r="K114" s="20"/>
    </row>
    <row r="115" spans="2:11" x14ac:dyDescent="0.25">
      <c r="B115" s="68" t="s">
        <v>1</v>
      </c>
      <c r="C115" s="48" t="s">
        <v>2</v>
      </c>
      <c r="D115" s="68" t="s">
        <v>3</v>
      </c>
      <c r="E115" s="68" t="s">
        <v>3</v>
      </c>
      <c r="F115" s="68" t="s">
        <v>22</v>
      </c>
      <c r="G115" s="68" t="s">
        <v>23</v>
      </c>
      <c r="H115" s="48" t="s">
        <v>23</v>
      </c>
      <c r="I115" s="48" t="s">
        <v>22</v>
      </c>
      <c r="J115" s="68" t="s">
        <v>8</v>
      </c>
      <c r="K115" s="48" t="s">
        <v>7</v>
      </c>
    </row>
    <row r="116" spans="2:11" ht="15.75" thickBot="1" x14ac:dyDescent="0.3">
      <c r="B116" s="69"/>
      <c r="C116" s="70"/>
      <c r="D116" s="69" t="s">
        <v>5</v>
      </c>
      <c r="E116" s="69" t="s">
        <v>24</v>
      </c>
      <c r="F116" s="69" t="s">
        <v>3</v>
      </c>
      <c r="G116" s="69" t="s">
        <v>24</v>
      </c>
      <c r="H116" s="70" t="s">
        <v>5</v>
      </c>
      <c r="I116" s="70" t="s">
        <v>4</v>
      </c>
      <c r="J116" s="69"/>
      <c r="K116" s="70"/>
    </row>
    <row r="117" spans="2:11" ht="15.75" thickBot="1" x14ac:dyDescent="0.3">
      <c r="B117" s="5"/>
      <c r="C117" s="132"/>
      <c r="D117" s="62">
        <v>82165</v>
      </c>
      <c r="E117" s="61">
        <v>16660.46</v>
      </c>
      <c r="F117" s="71">
        <f>SUM(D117:E117)</f>
        <v>98825.459999999992</v>
      </c>
      <c r="G117" s="80">
        <v>18160</v>
      </c>
      <c r="H117" s="62">
        <v>71327.44</v>
      </c>
      <c r="I117" s="71">
        <f>SUM(G117:H117)</f>
        <v>89487.44</v>
      </c>
      <c r="J117" s="20">
        <v>12220.69</v>
      </c>
      <c r="K117" s="12">
        <v>21636.560000000001</v>
      </c>
    </row>
    <row r="118" spans="2:11" x14ac:dyDescent="0.25">
      <c r="B118" s="18">
        <v>43404</v>
      </c>
      <c r="C118" s="21" t="s">
        <v>873</v>
      </c>
      <c r="D118" s="11"/>
      <c r="E118" s="11"/>
      <c r="F118" s="11"/>
      <c r="G118" s="11"/>
      <c r="H118" s="11">
        <v>300</v>
      </c>
      <c r="I118" s="15"/>
      <c r="J118" s="12">
        <f>+J113+E118-G118</f>
        <v>12220.690000000002</v>
      </c>
      <c r="K118" s="12">
        <f>+K113+D118-H118</f>
        <v>21336.559999999998</v>
      </c>
    </row>
    <row r="119" spans="2:11" x14ac:dyDescent="0.25">
      <c r="B119" s="18">
        <v>43404</v>
      </c>
      <c r="C119" s="21" t="s">
        <v>874</v>
      </c>
      <c r="D119" s="11"/>
      <c r="E119" s="11"/>
      <c r="F119" s="11"/>
      <c r="G119" s="11"/>
      <c r="H119" s="11">
        <v>550</v>
      </c>
      <c r="I119" s="15"/>
      <c r="J119" s="12">
        <f t="shared" si="8"/>
        <v>12220.690000000002</v>
      </c>
      <c r="K119" s="12">
        <f t="shared" si="9"/>
        <v>20786.559999999998</v>
      </c>
    </row>
    <row r="120" spans="2:11" x14ac:dyDescent="0.25">
      <c r="B120" s="18">
        <v>43404</v>
      </c>
      <c r="C120" s="21" t="s">
        <v>836</v>
      </c>
      <c r="D120" s="11"/>
      <c r="E120" s="11"/>
      <c r="F120" s="11"/>
      <c r="G120" s="11"/>
      <c r="H120" s="11">
        <v>2000</v>
      </c>
      <c r="I120" s="15"/>
      <c r="J120" s="12">
        <f t="shared" si="8"/>
        <v>12220.690000000002</v>
      </c>
      <c r="K120" s="12">
        <f t="shared" si="9"/>
        <v>18786.559999999998</v>
      </c>
    </row>
    <row r="121" spans="2:11" x14ac:dyDescent="0.25">
      <c r="B121" s="18">
        <v>43404</v>
      </c>
      <c r="C121" s="21" t="s">
        <v>837</v>
      </c>
      <c r="D121" s="11"/>
      <c r="E121" s="11"/>
      <c r="F121" s="11"/>
      <c r="G121" s="11"/>
      <c r="H121" s="11">
        <v>4000</v>
      </c>
      <c r="I121" s="15"/>
      <c r="J121" s="12">
        <f t="shared" si="8"/>
        <v>12220.690000000002</v>
      </c>
      <c r="K121" s="12">
        <f t="shared" si="9"/>
        <v>14786.559999999998</v>
      </c>
    </row>
    <row r="122" spans="2:11" x14ac:dyDescent="0.25">
      <c r="B122" s="18">
        <v>43404</v>
      </c>
      <c r="C122" s="21" t="s">
        <v>875</v>
      </c>
      <c r="D122" s="11"/>
      <c r="E122" s="11"/>
      <c r="F122" s="11"/>
      <c r="G122" s="11"/>
      <c r="H122" s="11">
        <v>20000</v>
      </c>
      <c r="I122" s="15"/>
      <c r="J122" s="12">
        <f t="shared" si="8"/>
        <v>12220.690000000002</v>
      </c>
      <c r="K122" s="12">
        <f t="shared" si="9"/>
        <v>-5213.4400000000023</v>
      </c>
    </row>
    <row r="123" spans="2:11" x14ac:dyDescent="0.25">
      <c r="B123" s="18">
        <v>43404</v>
      </c>
      <c r="C123" s="14" t="s">
        <v>876</v>
      </c>
      <c r="D123" s="11">
        <v>11340</v>
      </c>
      <c r="E123" s="11"/>
      <c r="F123" s="11"/>
      <c r="G123" s="11"/>
      <c r="H123" s="11"/>
      <c r="I123" s="15"/>
      <c r="J123" s="12">
        <f t="shared" si="8"/>
        <v>12220.690000000002</v>
      </c>
      <c r="K123" s="12">
        <f t="shared" si="9"/>
        <v>6126.5599999999977</v>
      </c>
    </row>
    <row r="124" spans="2:11" x14ac:dyDescent="0.25">
      <c r="B124" s="18">
        <v>43384</v>
      </c>
      <c r="C124" s="9" t="s">
        <v>881</v>
      </c>
      <c r="D124" s="11"/>
      <c r="E124" s="11">
        <v>400.29</v>
      </c>
      <c r="F124" s="11"/>
      <c r="G124" s="11"/>
      <c r="H124" s="11"/>
      <c r="I124" s="15"/>
      <c r="J124" s="12">
        <f t="shared" si="8"/>
        <v>12620.980000000003</v>
      </c>
      <c r="K124" s="12">
        <f t="shared" si="9"/>
        <v>6126.5599999999977</v>
      </c>
    </row>
    <row r="125" spans="2:11" x14ac:dyDescent="0.25">
      <c r="B125" s="18">
        <v>43404</v>
      </c>
      <c r="C125" s="9" t="s">
        <v>148</v>
      </c>
      <c r="D125" s="11"/>
      <c r="E125" s="11"/>
      <c r="F125" s="11"/>
      <c r="G125" s="11">
        <v>54</v>
      </c>
      <c r="H125" s="11"/>
      <c r="I125" s="15"/>
      <c r="J125" s="12">
        <f t="shared" si="8"/>
        <v>12566.980000000003</v>
      </c>
      <c r="K125" s="12">
        <f t="shared" si="9"/>
        <v>6126.5599999999977</v>
      </c>
    </row>
    <row r="126" spans="2:11" x14ac:dyDescent="0.25">
      <c r="B126" s="18">
        <v>43404</v>
      </c>
      <c r="C126" s="13" t="s">
        <v>149</v>
      </c>
      <c r="D126" s="11"/>
      <c r="E126" s="11"/>
      <c r="F126" s="11"/>
      <c r="G126" s="11">
        <v>8.64</v>
      </c>
      <c r="H126" s="11"/>
      <c r="I126" s="15"/>
      <c r="J126" s="12">
        <f t="shared" si="8"/>
        <v>12558.340000000004</v>
      </c>
      <c r="K126" s="12">
        <f t="shared" si="9"/>
        <v>6126.5599999999977</v>
      </c>
    </row>
    <row r="127" spans="2:11" x14ac:dyDescent="0.25">
      <c r="B127" s="18"/>
      <c r="C127" s="21"/>
      <c r="D127" s="11"/>
      <c r="E127" s="11"/>
      <c r="F127" s="11"/>
      <c r="G127" s="11"/>
      <c r="H127" s="11"/>
      <c r="I127" s="15"/>
      <c r="J127" s="12">
        <f t="shared" si="8"/>
        <v>12558.340000000004</v>
      </c>
      <c r="K127" s="12">
        <f t="shared" si="9"/>
        <v>6126.5599999999977</v>
      </c>
    </row>
    <row r="128" spans="2:11" ht="15.75" thickBot="1" x14ac:dyDescent="0.3">
      <c r="B128" s="18"/>
      <c r="C128" s="21"/>
      <c r="D128" s="11"/>
      <c r="E128" s="11"/>
      <c r="F128" s="11"/>
      <c r="G128" s="11"/>
      <c r="H128" s="11"/>
      <c r="I128" s="15"/>
      <c r="J128" s="12">
        <f t="shared" si="8"/>
        <v>12558.340000000004</v>
      </c>
      <c r="K128" s="12">
        <f t="shared" si="9"/>
        <v>6126.5599999999977</v>
      </c>
    </row>
    <row r="129" spans="1:11" ht="15.75" thickBot="1" x14ac:dyDescent="0.3">
      <c r="A129" s="1"/>
      <c r="B129" s="5"/>
      <c r="C129" s="132" t="s">
        <v>0</v>
      </c>
      <c r="D129" s="62">
        <f>SUM(D117:D128)</f>
        <v>93505</v>
      </c>
      <c r="E129" s="61">
        <f>SUM(E117:E128)</f>
        <v>17060.75</v>
      </c>
      <c r="F129" s="71">
        <f>SUM(D129:E129)</f>
        <v>110565.75</v>
      </c>
      <c r="G129" s="80">
        <f>SUM(G117:G128)</f>
        <v>18222.64</v>
      </c>
      <c r="H129" s="98">
        <f>SUM(H117:H128)</f>
        <v>98177.44</v>
      </c>
      <c r="I129" s="71">
        <f>SUM(G129:H129)</f>
        <v>116400.08</v>
      </c>
      <c r="J129" s="20">
        <v>0</v>
      </c>
      <c r="K129" s="20"/>
    </row>
    <row r="130" spans="1:11" ht="15.75" thickBot="1" x14ac:dyDescent="0.3"/>
    <row r="131" spans="1:11" ht="15.75" thickBot="1" x14ac:dyDescent="0.3">
      <c r="I131" s="74" t="s">
        <v>8</v>
      </c>
      <c r="J131" s="74" t="s">
        <v>7</v>
      </c>
      <c r="K131" s="95" t="s">
        <v>0</v>
      </c>
    </row>
    <row r="132" spans="1:11" ht="15.75" thickBot="1" x14ac:dyDescent="0.3">
      <c r="I132" s="77">
        <v>12558.34</v>
      </c>
      <c r="J132" s="77">
        <v>6126.56</v>
      </c>
      <c r="K132" s="20">
        <f>SUM(I132:J132)</f>
        <v>18684.900000000001</v>
      </c>
    </row>
    <row r="134" spans="1:11" x14ac:dyDescent="0.25">
      <c r="I134">
        <v>12558.34</v>
      </c>
    </row>
    <row r="135" spans="1:11" x14ac:dyDescent="0.25">
      <c r="I135">
        <v>12760</v>
      </c>
    </row>
    <row r="136" spans="1:11" x14ac:dyDescent="0.25">
      <c r="I136">
        <v>1950</v>
      </c>
    </row>
    <row r="137" spans="1:11" x14ac:dyDescent="0.25">
      <c r="I137">
        <f>SUM(I134:I136)</f>
        <v>27268.34</v>
      </c>
    </row>
    <row r="138" spans="1:11" x14ac:dyDescent="0.25">
      <c r="I138">
        <v>12760</v>
      </c>
    </row>
    <row r="139" spans="1:11" x14ac:dyDescent="0.25">
      <c r="I139">
        <f>SUM(I137:I138)</f>
        <v>40028.339999999997</v>
      </c>
    </row>
    <row r="141" spans="1:11" x14ac:dyDescent="0.25">
      <c r="F141">
        <v>74000</v>
      </c>
    </row>
    <row r="142" spans="1:11" x14ac:dyDescent="0.25">
      <c r="E142">
        <v>8000</v>
      </c>
      <c r="F142">
        <v>43100</v>
      </c>
    </row>
    <row r="143" spans="1:11" x14ac:dyDescent="0.25">
      <c r="E143">
        <v>4000</v>
      </c>
      <c r="F143">
        <v>30900</v>
      </c>
    </row>
    <row r="144" spans="1:11" x14ac:dyDescent="0.25">
      <c r="E144">
        <v>6250</v>
      </c>
    </row>
    <row r="145" spans="5:5" x14ac:dyDescent="0.25">
      <c r="E145">
        <v>7200</v>
      </c>
    </row>
    <row r="146" spans="5:5" x14ac:dyDescent="0.25">
      <c r="E146">
        <v>17650</v>
      </c>
    </row>
    <row r="147" spans="5:5" x14ac:dyDescent="0.25">
      <c r="E147">
        <f>SUM(E142:E146)</f>
        <v>43100</v>
      </c>
    </row>
  </sheetData>
  <printOptions verticalCentered="1"/>
  <pageMargins left="0.31496062992125984" right="0" top="0" bottom="0" header="0.31496062992125984" footer="0.31496062992125984"/>
  <pageSetup paperSize="9" scale="70" fitToHeight="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97"/>
  <sheetViews>
    <sheetView zoomScale="90" zoomScaleNormal="90" workbookViewId="0">
      <pane ySplit="3" topLeftCell="A79" activePane="bottomLeft" state="frozen"/>
      <selection pane="bottomLeft" activeCell="C79" sqref="C79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7.140625" customWidth="1"/>
    <col min="4" max="6" width="11.7109375" customWidth="1"/>
  </cols>
  <sheetData>
    <row r="1" spans="2:11" ht="15.75" thickBot="1" x14ac:dyDescent="0.3">
      <c r="B1" s="79"/>
      <c r="C1" s="99" t="s">
        <v>55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69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43404</v>
      </c>
      <c r="C4" s="65" t="s">
        <v>56</v>
      </c>
      <c r="D4" s="66"/>
      <c r="E4" s="63"/>
      <c r="F4" s="63"/>
      <c r="G4" s="63"/>
      <c r="H4" s="17"/>
      <c r="I4" s="64"/>
      <c r="J4" s="73">
        <v>12558.34</v>
      </c>
      <c r="K4" s="97">
        <v>6126.56</v>
      </c>
    </row>
    <row r="5" spans="2:11" x14ac:dyDescent="0.25">
      <c r="B5" s="23">
        <v>43405</v>
      </c>
      <c r="C5" s="9" t="s">
        <v>882</v>
      </c>
      <c r="D5" s="11"/>
      <c r="E5" s="11"/>
      <c r="F5" s="11"/>
      <c r="G5" s="11"/>
      <c r="H5" s="11">
        <v>241</v>
      </c>
      <c r="I5" s="15"/>
      <c r="J5" s="12">
        <f>+J4+E5-G5</f>
        <v>12558.34</v>
      </c>
      <c r="K5" s="12">
        <f t="shared" ref="K5" si="0">+K4+D5-H5</f>
        <v>5885.56</v>
      </c>
    </row>
    <row r="6" spans="2:11" x14ac:dyDescent="0.25">
      <c r="B6" s="23">
        <v>43405</v>
      </c>
      <c r="C6" s="13" t="s">
        <v>883</v>
      </c>
      <c r="D6" s="11"/>
      <c r="E6" s="11"/>
      <c r="F6" s="11"/>
      <c r="G6" s="11"/>
      <c r="H6" s="11">
        <v>20000</v>
      </c>
      <c r="I6" s="15"/>
      <c r="J6" s="12">
        <f t="shared" ref="J6:J58" si="1">+J5+E6-G6</f>
        <v>12558.34</v>
      </c>
      <c r="K6" s="12">
        <f t="shared" ref="K6:K58" si="2">+K5+D6-H6</f>
        <v>-14114.439999999999</v>
      </c>
    </row>
    <row r="7" spans="2:11" x14ac:dyDescent="0.25">
      <c r="B7" s="18">
        <v>43435</v>
      </c>
      <c r="C7" s="9" t="s">
        <v>884</v>
      </c>
      <c r="D7" s="11"/>
      <c r="E7" s="11"/>
      <c r="F7" s="11"/>
      <c r="G7" s="11"/>
      <c r="H7" s="59">
        <v>1000</v>
      </c>
      <c r="I7" s="15"/>
      <c r="J7" s="12">
        <f t="shared" si="1"/>
        <v>12558.34</v>
      </c>
      <c r="K7" s="12">
        <f t="shared" si="2"/>
        <v>-15114.439999999999</v>
      </c>
    </row>
    <row r="8" spans="2:11" x14ac:dyDescent="0.25">
      <c r="B8" s="18">
        <v>43406</v>
      </c>
      <c r="C8" s="13" t="s">
        <v>885</v>
      </c>
      <c r="D8" s="11"/>
      <c r="E8" s="11"/>
      <c r="F8" s="11"/>
      <c r="G8" s="11"/>
      <c r="H8" s="11">
        <v>1250</v>
      </c>
      <c r="I8" s="15"/>
      <c r="J8" s="12">
        <f t="shared" si="1"/>
        <v>12558.34</v>
      </c>
      <c r="K8" s="12">
        <f t="shared" si="2"/>
        <v>-16364.439999999999</v>
      </c>
    </row>
    <row r="9" spans="2:11" x14ac:dyDescent="0.25">
      <c r="B9" s="18">
        <v>43406</v>
      </c>
      <c r="C9" s="9" t="s">
        <v>886</v>
      </c>
      <c r="D9" s="11"/>
      <c r="E9" s="11"/>
      <c r="F9" s="11"/>
      <c r="G9" s="11"/>
      <c r="H9" s="59">
        <v>72.8</v>
      </c>
      <c r="I9" s="15"/>
      <c r="J9" s="12">
        <f t="shared" si="1"/>
        <v>12558.34</v>
      </c>
      <c r="K9" s="12">
        <f t="shared" si="2"/>
        <v>-16437.239999999998</v>
      </c>
    </row>
    <row r="10" spans="2:11" x14ac:dyDescent="0.25">
      <c r="B10" s="18">
        <v>43406</v>
      </c>
      <c r="C10" s="9" t="s">
        <v>887</v>
      </c>
      <c r="D10" s="11"/>
      <c r="E10" s="11"/>
      <c r="F10" s="11"/>
      <c r="G10" s="11"/>
      <c r="H10" s="11">
        <v>9</v>
      </c>
      <c r="I10" s="15"/>
      <c r="J10" s="12">
        <f t="shared" si="1"/>
        <v>12558.34</v>
      </c>
      <c r="K10" s="12">
        <f t="shared" si="2"/>
        <v>-16446.239999999998</v>
      </c>
    </row>
    <row r="11" spans="2:11" x14ac:dyDescent="0.25">
      <c r="B11" s="18">
        <v>43408</v>
      </c>
      <c r="C11" s="9" t="s">
        <v>888</v>
      </c>
      <c r="D11" s="11"/>
      <c r="E11" s="11"/>
      <c r="F11" s="11"/>
      <c r="G11" s="11"/>
      <c r="H11" s="11">
        <v>98</v>
      </c>
      <c r="I11" s="15"/>
      <c r="J11" s="12">
        <f t="shared" si="1"/>
        <v>12558.34</v>
      </c>
      <c r="K11" s="12">
        <f t="shared" si="2"/>
        <v>-16544.239999999998</v>
      </c>
    </row>
    <row r="12" spans="2:11" x14ac:dyDescent="0.25">
      <c r="B12" s="18">
        <v>43408</v>
      </c>
      <c r="C12" s="9" t="s">
        <v>889</v>
      </c>
      <c r="D12" s="11"/>
      <c r="E12" s="11"/>
      <c r="F12" s="11"/>
      <c r="G12" s="11"/>
      <c r="H12" s="11">
        <v>80.5</v>
      </c>
      <c r="I12" s="15"/>
      <c r="J12" s="12">
        <f t="shared" si="1"/>
        <v>12558.34</v>
      </c>
      <c r="K12" s="12">
        <f t="shared" si="2"/>
        <v>-16624.739999999998</v>
      </c>
    </row>
    <row r="13" spans="2:11" x14ac:dyDescent="0.25">
      <c r="B13" s="18">
        <v>43408</v>
      </c>
      <c r="C13" s="9" t="s">
        <v>720</v>
      </c>
      <c r="D13" s="11"/>
      <c r="E13" s="11"/>
      <c r="F13" s="11"/>
      <c r="G13" s="11"/>
      <c r="H13" s="59">
        <v>120</v>
      </c>
      <c r="I13" s="15"/>
      <c r="J13" s="12">
        <f t="shared" si="1"/>
        <v>12558.34</v>
      </c>
      <c r="K13" s="12">
        <f t="shared" si="2"/>
        <v>-16744.739999999998</v>
      </c>
    </row>
    <row r="14" spans="2:11" x14ac:dyDescent="0.25">
      <c r="B14" s="18">
        <v>43408</v>
      </c>
      <c r="C14" s="9" t="s">
        <v>890</v>
      </c>
      <c r="D14" s="11"/>
      <c r="E14" s="11"/>
      <c r="F14" s="11"/>
      <c r="G14" s="11"/>
      <c r="H14" s="11">
        <v>150</v>
      </c>
      <c r="I14" s="15"/>
      <c r="J14" s="12">
        <f t="shared" si="1"/>
        <v>12558.34</v>
      </c>
      <c r="K14" s="12">
        <f t="shared" si="2"/>
        <v>-16894.739999999998</v>
      </c>
    </row>
    <row r="15" spans="2:11" x14ac:dyDescent="0.25">
      <c r="B15" s="18">
        <v>43408</v>
      </c>
      <c r="C15" s="9" t="s">
        <v>891</v>
      </c>
      <c r="D15" s="11">
        <v>39775</v>
      </c>
      <c r="E15" s="11"/>
      <c r="F15" s="11"/>
      <c r="G15" s="11"/>
      <c r="H15" s="59"/>
      <c r="I15" s="15"/>
      <c r="J15" s="12">
        <f t="shared" si="1"/>
        <v>12558.34</v>
      </c>
      <c r="K15" s="12">
        <f t="shared" si="2"/>
        <v>22880.260000000002</v>
      </c>
    </row>
    <row r="16" spans="2:11" x14ac:dyDescent="0.25">
      <c r="B16" s="18">
        <v>43409</v>
      </c>
      <c r="C16" s="9" t="s">
        <v>892</v>
      </c>
      <c r="D16" s="11"/>
      <c r="E16" s="11"/>
      <c r="F16" s="11"/>
      <c r="G16" s="11"/>
      <c r="H16" s="11">
        <v>144</v>
      </c>
      <c r="I16" s="15"/>
      <c r="J16" s="12">
        <f t="shared" si="1"/>
        <v>12558.34</v>
      </c>
      <c r="K16" s="12">
        <f t="shared" si="2"/>
        <v>22736.260000000002</v>
      </c>
    </row>
    <row r="17" spans="2:11" x14ac:dyDescent="0.25">
      <c r="B17" s="18">
        <v>43410</v>
      </c>
      <c r="C17" s="9" t="s">
        <v>893</v>
      </c>
      <c r="D17" s="11"/>
      <c r="E17" s="11"/>
      <c r="F17" s="11"/>
      <c r="G17" s="11"/>
      <c r="H17" s="11">
        <v>122</v>
      </c>
      <c r="I17" s="15"/>
      <c r="J17" s="12">
        <f t="shared" si="1"/>
        <v>12558.34</v>
      </c>
      <c r="K17" s="12">
        <f t="shared" si="2"/>
        <v>22614.260000000002</v>
      </c>
    </row>
    <row r="18" spans="2:11" x14ac:dyDescent="0.25">
      <c r="B18" s="18">
        <v>43410</v>
      </c>
      <c r="C18" s="9" t="s">
        <v>895</v>
      </c>
      <c r="D18" s="11"/>
      <c r="E18" s="11">
        <v>300.45999999999998</v>
      </c>
      <c r="F18" s="11"/>
      <c r="G18" s="11"/>
      <c r="H18" s="11"/>
      <c r="I18" s="15"/>
      <c r="J18" s="12">
        <f t="shared" si="1"/>
        <v>12858.8</v>
      </c>
      <c r="K18" s="12">
        <f t="shared" si="2"/>
        <v>22614.260000000002</v>
      </c>
    </row>
    <row r="19" spans="2:11" x14ac:dyDescent="0.25">
      <c r="B19" s="18">
        <v>43410</v>
      </c>
      <c r="C19" s="9" t="s">
        <v>894</v>
      </c>
      <c r="D19" s="11"/>
      <c r="E19" s="11">
        <v>800</v>
      </c>
      <c r="F19" s="11"/>
      <c r="G19" s="11"/>
      <c r="H19" s="11"/>
      <c r="I19" s="15"/>
      <c r="J19" s="12">
        <f t="shared" si="1"/>
        <v>13658.8</v>
      </c>
      <c r="K19" s="12">
        <f t="shared" si="2"/>
        <v>22614.260000000002</v>
      </c>
    </row>
    <row r="20" spans="2:11" x14ac:dyDescent="0.25">
      <c r="B20" s="18">
        <v>43410</v>
      </c>
      <c r="C20" s="9" t="s">
        <v>896</v>
      </c>
      <c r="D20" s="11"/>
      <c r="E20" s="11"/>
      <c r="F20" s="11"/>
      <c r="G20" s="11"/>
      <c r="H20" s="11">
        <v>500</v>
      </c>
      <c r="I20" s="15"/>
      <c r="J20" s="12">
        <f t="shared" si="1"/>
        <v>13658.8</v>
      </c>
      <c r="K20" s="12">
        <f t="shared" si="2"/>
        <v>22114.260000000002</v>
      </c>
    </row>
    <row r="21" spans="2:11" x14ac:dyDescent="0.25">
      <c r="B21" s="18">
        <v>43410</v>
      </c>
      <c r="C21" s="9" t="s">
        <v>897</v>
      </c>
      <c r="D21" s="11"/>
      <c r="E21" s="11"/>
      <c r="F21" s="11"/>
      <c r="G21" s="11"/>
      <c r="H21" s="11">
        <v>500</v>
      </c>
      <c r="I21" s="15"/>
      <c r="J21" s="12">
        <f t="shared" si="1"/>
        <v>13658.8</v>
      </c>
      <c r="K21" s="12">
        <f t="shared" si="2"/>
        <v>21614.260000000002</v>
      </c>
    </row>
    <row r="22" spans="2:11" x14ac:dyDescent="0.25">
      <c r="B22" s="18">
        <v>43410</v>
      </c>
      <c r="C22" s="9" t="s">
        <v>898</v>
      </c>
      <c r="D22" s="11"/>
      <c r="E22" s="11"/>
      <c r="F22" s="11"/>
      <c r="G22" s="11"/>
      <c r="H22" s="11">
        <v>300</v>
      </c>
      <c r="I22" s="15"/>
      <c r="J22" s="12">
        <f t="shared" si="1"/>
        <v>13658.8</v>
      </c>
      <c r="K22" s="12">
        <f t="shared" si="2"/>
        <v>21314.260000000002</v>
      </c>
    </row>
    <row r="23" spans="2:11" x14ac:dyDescent="0.25">
      <c r="B23" s="18">
        <v>43411</v>
      </c>
      <c r="C23" s="9" t="s">
        <v>899</v>
      </c>
      <c r="D23" s="11"/>
      <c r="E23" s="11"/>
      <c r="F23" s="11"/>
      <c r="G23" s="11"/>
      <c r="H23" s="59">
        <v>55</v>
      </c>
      <c r="I23" s="15"/>
      <c r="J23" s="12">
        <f t="shared" si="1"/>
        <v>13658.8</v>
      </c>
      <c r="K23" s="12">
        <f t="shared" si="2"/>
        <v>21259.260000000002</v>
      </c>
    </row>
    <row r="24" spans="2:11" x14ac:dyDescent="0.25">
      <c r="B24" s="18">
        <v>43412</v>
      </c>
      <c r="C24" s="9" t="s">
        <v>900</v>
      </c>
      <c r="D24" s="11"/>
      <c r="E24" s="11"/>
      <c r="F24" s="11"/>
      <c r="G24" s="11"/>
      <c r="H24" s="59">
        <v>300</v>
      </c>
      <c r="I24" s="15"/>
      <c r="J24" s="12">
        <f t="shared" si="1"/>
        <v>13658.8</v>
      </c>
      <c r="K24" s="12">
        <f t="shared" si="2"/>
        <v>20959.260000000002</v>
      </c>
    </row>
    <row r="25" spans="2:11" x14ac:dyDescent="0.25">
      <c r="B25" s="18">
        <v>43412</v>
      </c>
      <c r="C25" s="9" t="s">
        <v>901</v>
      </c>
      <c r="D25" s="11"/>
      <c r="E25" s="11"/>
      <c r="F25" s="11"/>
      <c r="G25" s="11"/>
      <c r="H25" s="11">
        <v>1750</v>
      </c>
      <c r="I25" s="15"/>
      <c r="J25" s="12">
        <f t="shared" si="1"/>
        <v>13658.8</v>
      </c>
      <c r="K25" s="12">
        <f t="shared" si="2"/>
        <v>19209.260000000002</v>
      </c>
    </row>
    <row r="26" spans="2:11" x14ac:dyDescent="0.25">
      <c r="B26" s="18">
        <v>43412</v>
      </c>
      <c r="C26" s="9" t="s">
        <v>902</v>
      </c>
      <c r="D26" s="11"/>
      <c r="E26" s="11"/>
      <c r="F26" s="11"/>
      <c r="G26" s="11"/>
      <c r="H26" s="11">
        <v>300</v>
      </c>
      <c r="I26" s="15"/>
      <c r="J26" s="12">
        <f t="shared" si="1"/>
        <v>13658.8</v>
      </c>
      <c r="K26" s="12">
        <f t="shared" si="2"/>
        <v>18909.260000000002</v>
      </c>
    </row>
    <row r="27" spans="2:11" x14ac:dyDescent="0.25">
      <c r="B27" s="18">
        <v>43412</v>
      </c>
      <c r="C27" s="9" t="s">
        <v>903</v>
      </c>
      <c r="D27" s="11"/>
      <c r="E27" s="11"/>
      <c r="F27" s="11"/>
      <c r="G27" s="11"/>
      <c r="H27" s="11">
        <v>258</v>
      </c>
      <c r="I27" s="15"/>
      <c r="J27" s="12">
        <f t="shared" si="1"/>
        <v>13658.8</v>
      </c>
      <c r="K27" s="12">
        <f t="shared" si="2"/>
        <v>18651.260000000002</v>
      </c>
    </row>
    <row r="28" spans="2:11" x14ac:dyDescent="0.25">
      <c r="B28" s="18">
        <v>43412</v>
      </c>
      <c r="C28" s="9" t="s">
        <v>904</v>
      </c>
      <c r="D28" s="11"/>
      <c r="E28" s="11"/>
      <c r="F28" s="11"/>
      <c r="G28" s="11"/>
      <c r="H28" s="11">
        <v>1338</v>
      </c>
      <c r="I28" s="15"/>
      <c r="J28" s="12">
        <f t="shared" si="1"/>
        <v>13658.8</v>
      </c>
      <c r="K28" s="12">
        <f t="shared" si="2"/>
        <v>17313.260000000002</v>
      </c>
    </row>
    <row r="29" spans="2:11" x14ac:dyDescent="0.25">
      <c r="B29" s="18">
        <v>43413</v>
      </c>
      <c r="C29" s="9" t="s">
        <v>905</v>
      </c>
      <c r="D29" s="11"/>
      <c r="E29" s="11"/>
      <c r="F29" s="11"/>
      <c r="G29" s="11"/>
      <c r="H29" s="11">
        <v>300</v>
      </c>
      <c r="I29" s="15"/>
      <c r="J29" s="12">
        <f t="shared" si="1"/>
        <v>13658.8</v>
      </c>
      <c r="K29" s="12">
        <f t="shared" si="2"/>
        <v>17013.260000000002</v>
      </c>
    </row>
    <row r="30" spans="2:11" x14ac:dyDescent="0.25">
      <c r="B30" s="18">
        <v>43413</v>
      </c>
      <c r="C30" s="9" t="s">
        <v>906</v>
      </c>
      <c r="D30" s="11"/>
      <c r="E30" s="11"/>
      <c r="F30" s="11"/>
      <c r="G30" s="11"/>
      <c r="H30" s="11">
        <v>1250</v>
      </c>
      <c r="I30" s="15"/>
      <c r="J30" s="12">
        <f t="shared" si="1"/>
        <v>13658.8</v>
      </c>
      <c r="K30" s="12">
        <f t="shared" si="2"/>
        <v>15763.260000000002</v>
      </c>
    </row>
    <row r="31" spans="2:11" x14ac:dyDescent="0.25">
      <c r="B31" s="18">
        <v>43413</v>
      </c>
      <c r="C31" s="9" t="s">
        <v>907</v>
      </c>
      <c r="D31" s="11"/>
      <c r="E31" s="11"/>
      <c r="F31" s="11"/>
      <c r="G31" s="11"/>
      <c r="H31" s="11">
        <v>7200</v>
      </c>
      <c r="I31" s="15"/>
      <c r="J31" s="12">
        <f t="shared" si="1"/>
        <v>13658.8</v>
      </c>
      <c r="K31" s="12">
        <f t="shared" si="2"/>
        <v>8563.260000000002</v>
      </c>
    </row>
    <row r="32" spans="2:11" x14ac:dyDescent="0.25">
      <c r="B32" s="18">
        <v>43414</v>
      </c>
      <c r="C32" s="9" t="s">
        <v>908</v>
      </c>
      <c r="D32" s="11"/>
      <c r="E32" s="11"/>
      <c r="F32" s="11"/>
      <c r="G32" s="11"/>
      <c r="H32" s="59">
        <v>31</v>
      </c>
      <c r="I32" s="15"/>
      <c r="J32" s="12">
        <f t="shared" si="1"/>
        <v>13658.8</v>
      </c>
      <c r="K32" s="12">
        <f t="shared" si="2"/>
        <v>8532.260000000002</v>
      </c>
    </row>
    <row r="33" spans="2:11" x14ac:dyDescent="0.25">
      <c r="B33" s="18">
        <v>43415</v>
      </c>
      <c r="C33" s="9" t="s">
        <v>909</v>
      </c>
      <c r="D33" s="11"/>
      <c r="E33" s="11"/>
      <c r="F33" s="11"/>
      <c r="G33" s="11"/>
      <c r="H33" s="11">
        <v>18</v>
      </c>
      <c r="I33" s="15"/>
      <c r="J33" s="12">
        <f t="shared" si="1"/>
        <v>13658.8</v>
      </c>
      <c r="K33" s="12">
        <f t="shared" si="2"/>
        <v>8514.260000000002</v>
      </c>
    </row>
    <row r="34" spans="2:11" x14ac:dyDescent="0.25">
      <c r="B34" s="18">
        <v>43415</v>
      </c>
      <c r="C34" s="9" t="s">
        <v>910</v>
      </c>
      <c r="D34" s="11"/>
      <c r="E34" s="11"/>
      <c r="F34" s="11"/>
      <c r="G34" s="11"/>
      <c r="H34" s="11">
        <v>51.5</v>
      </c>
      <c r="I34" s="15"/>
      <c r="J34" s="12">
        <f t="shared" si="1"/>
        <v>13658.8</v>
      </c>
      <c r="K34" s="12">
        <f t="shared" si="2"/>
        <v>8462.760000000002</v>
      </c>
    </row>
    <row r="35" spans="2:11" x14ac:dyDescent="0.25">
      <c r="B35" s="18">
        <v>43415</v>
      </c>
      <c r="C35" s="9" t="s">
        <v>773</v>
      </c>
      <c r="D35" s="11"/>
      <c r="E35" s="11"/>
      <c r="F35" s="11"/>
      <c r="G35" s="11"/>
      <c r="H35" s="11">
        <v>11.5</v>
      </c>
      <c r="I35" s="15"/>
      <c r="J35" s="12">
        <f t="shared" si="1"/>
        <v>13658.8</v>
      </c>
      <c r="K35" s="12">
        <f t="shared" si="2"/>
        <v>8451.260000000002</v>
      </c>
    </row>
    <row r="36" spans="2:11" x14ac:dyDescent="0.25">
      <c r="B36" s="18">
        <v>43415</v>
      </c>
      <c r="C36" s="9" t="s">
        <v>720</v>
      </c>
      <c r="D36" s="11"/>
      <c r="E36" s="11"/>
      <c r="F36" s="11"/>
      <c r="G36" s="11"/>
      <c r="H36" s="11">
        <v>120</v>
      </c>
      <c r="I36" s="15"/>
      <c r="J36" s="12">
        <f t="shared" si="1"/>
        <v>13658.8</v>
      </c>
      <c r="K36" s="12">
        <f t="shared" si="2"/>
        <v>8331.260000000002</v>
      </c>
    </row>
    <row r="37" spans="2:11" x14ac:dyDescent="0.25">
      <c r="B37" s="18">
        <v>43415</v>
      </c>
      <c r="C37" s="9" t="s">
        <v>911</v>
      </c>
      <c r="D37" s="11"/>
      <c r="E37" s="11"/>
      <c r="F37" s="11"/>
      <c r="G37" s="11"/>
      <c r="H37" s="11">
        <v>122</v>
      </c>
      <c r="I37" s="15"/>
      <c r="J37" s="12">
        <f t="shared" si="1"/>
        <v>13658.8</v>
      </c>
      <c r="K37" s="12">
        <f t="shared" si="2"/>
        <v>8209.260000000002</v>
      </c>
    </row>
    <row r="38" spans="2:11" x14ac:dyDescent="0.25">
      <c r="B38" s="18">
        <v>43415</v>
      </c>
      <c r="C38" s="9" t="s">
        <v>912</v>
      </c>
      <c r="D38" s="11">
        <v>34970</v>
      </c>
      <c r="E38" s="11"/>
      <c r="F38" s="11"/>
      <c r="G38" s="11"/>
      <c r="H38" s="11"/>
      <c r="I38" s="15"/>
      <c r="J38" s="12">
        <f t="shared" si="1"/>
        <v>13658.8</v>
      </c>
      <c r="K38" s="12">
        <f t="shared" si="2"/>
        <v>43179.26</v>
      </c>
    </row>
    <row r="39" spans="2:11" x14ac:dyDescent="0.25">
      <c r="B39" s="18">
        <v>43407</v>
      </c>
      <c r="C39" s="9" t="s">
        <v>947</v>
      </c>
      <c r="D39" s="11"/>
      <c r="E39" s="11">
        <v>370</v>
      </c>
      <c r="F39" s="11"/>
      <c r="G39" s="11"/>
      <c r="H39" s="11"/>
      <c r="I39" s="15"/>
      <c r="J39" s="12">
        <f t="shared" si="1"/>
        <v>14028.8</v>
      </c>
      <c r="K39" s="12">
        <f t="shared" si="2"/>
        <v>43179.26</v>
      </c>
    </row>
    <row r="40" spans="2:11" x14ac:dyDescent="0.25">
      <c r="B40" s="18">
        <v>43416</v>
      </c>
      <c r="C40" s="9" t="s">
        <v>892</v>
      </c>
      <c r="D40" s="11"/>
      <c r="E40" s="11"/>
      <c r="F40" s="11"/>
      <c r="G40" s="11"/>
      <c r="H40" s="11">
        <v>180</v>
      </c>
      <c r="I40" s="15"/>
      <c r="J40" s="12">
        <f t="shared" si="1"/>
        <v>14028.8</v>
      </c>
      <c r="K40" s="12">
        <f t="shared" si="2"/>
        <v>42999.26</v>
      </c>
    </row>
    <row r="41" spans="2:11" x14ac:dyDescent="0.25">
      <c r="B41" s="18">
        <v>43416</v>
      </c>
      <c r="C41" s="9" t="s">
        <v>913</v>
      </c>
      <c r="D41" s="11"/>
      <c r="E41" s="11"/>
      <c r="F41" s="11"/>
      <c r="G41" s="11"/>
      <c r="H41" s="11">
        <v>129</v>
      </c>
      <c r="I41" s="15"/>
      <c r="J41" s="12">
        <f t="shared" si="1"/>
        <v>14028.8</v>
      </c>
      <c r="K41" s="12">
        <f t="shared" si="2"/>
        <v>42870.26</v>
      </c>
    </row>
    <row r="42" spans="2:11" x14ac:dyDescent="0.25">
      <c r="B42" s="18">
        <v>43417</v>
      </c>
      <c r="C42" s="9" t="s">
        <v>914</v>
      </c>
      <c r="D42" s="11"/>
      <c r="E42" s="11"/>
      <c r="F42" s="11"/>
      <c r="G42" s="11"/>
      <c r="H42" s="11">
        <v>300</v>
      </c>
      <c r="I42" s="15"/>
      <c r="J42" s="12">
        <f t="shared" si="1"/>
        <v>14028.8</v>
      </c>
      <c r="K42" s="12">
        <f t="shared" si="2"/>
        <v>42570.26</v>
      </c>
    </row>
    <row r="43" spans="2:11" x14ac:dyDescent="0.25">
      <c r="B43" s="18">
        <v>43417</v>
      </c>
      <c r="C43" s="9" t="s">
        <v>915</v>
      </c>
      <c r="D43" s="11"/>
      <c r="E43" s="11"/>
      <c r="F43" s="11"/>
      <c r="G43" s="11"/>
      <c r="H43" s="11">
        <v>250</v>
      </c>
      <c r="I43" s="15"/>
      <c r="J43" s="12">
        <f t="shared" si="1"/>
        <v>14028.8</v>
      </c>
      <c r="K43" s="12">
        <f t="shared" si="2"/>
        <v>42320.26</v>
      </c>
    </row>
    <row r="44" spans="2:11" x14ac:dyDescent="0.25">
      <c r="B44" s="18">
        <v>43417</v>
      </c>
      <c r="C44" s="9" t="s">
        <v>916</v>
      </c>
      <c r="D44" s="11"/>
      <c r="E44" s="11"/>
      <c r="F44" s="11"/>
      <c r="G44" s="11"/>
      <c r="H44" s="11">
        <v>164</v>
      </c>
      <c r="I44" s="15"/>
      <c r="J44" s="12">
        <f t="shared" si="1"/>
        <v>14028.8</v>
      </c>
      <c r="K44" s="12">
        <f t="shared" si="2"/>
        <v>42156.26</v>
      </c>
    </row>
    <row r="45" spans="2:11" x14ac:dyDescent="0.25">
      <c r="B45" s="18">
        <v>43417</v>
      </c>
      <c r="C45" s="9" t="s">
        <v>917</v>
      </c>
      <c r="D45" s="11"/>
      <c r="E45" s="11"/>
      <c r="F45" s="11"/>
      <c r="G45" s="11"/>
      <c r="H45" s="11">
        <v>778</v>
      </c>
      <c r="I45" s="15"/>
      <c r="J45" s="12">
        <f t="shared" si="1"/>
        <v>14028.8</v>
      </c>
      <c r="K45" s="12">
        <f t="shared" si="2"/>
        <v>41378.26</v>
      </c>
    </row>
    <row r="46" spans="2:11" x14ac:dyDescent="0.25">
      <c r="B46" s="18">
        <v>43417</v>
      </c>
      <c r="C46" s="9" t="s">
        <v>919</v>
      </c>
      <c r="D46" s="11" t="s">
        <v>918</v>
      </c>
      <c r="E46" s="11"/>
      <c r="F46" s="11"/>
      <c r="G46" s="11"/>
      <c r="H46" s="11">
        <v>539</v>
      </c>
      <c r="I46" s="15"/>
      <c r="J46" s="12">
        <f t="shared" si="1"/>
        <v>14028.8</v>
      </c>
      <c r="K46" s="12">
        <v>40839.26</v>
      </c>
    </row>
    <row r="47" spans="2:11" x14ac:dyDescent="0.25">
      <c r="B47" s="18">
        <v>43419</v>
      </c>
      <c r="C47" s="9" t="s">
        <v>920</v>
      </c>
      <c r="D47" s="11"/>
      <c r="E47" s="11"/>
      <c r="F47" s="11"/>
      <c r="G47" s="11"/>
      <c r="H47" s="59">
        <v>350</v>
      </c>
      <c r="I47" s="15"/>
      <c r="J47" s="12">
        <f t="shared" si="1"/>
        <v>14028.8</v>
      </c>
      <c r="K47" s="12">
        <f t="shared" si="2"/>
        <v>40489.26</v>
      </c>
    </row>
    <row r="48" spans="2:11" ht="15.75" thickBot="1" x14ac:dyDescent="0.3">
      <c r="B48" s="18">
        <v>43419</v>
      </c>
      <c r="C48" s="9" t="s">
        <v>921</v>
      </c>
      <c r="D48" s="11"/>
      <c r="E48" s="11"/>
      <c r="F48" s="11"/>
      <c r="G48" s="11"/>
      <c r="H48" s="59">
        <v>550</v>
      </c>
      <c r="I48" s="15"/>
      <c r="J48" s="12">
        <f t="shared" si="1"/>
        <v>14028.8</v>
      </c>
      <c r="K48" s="12">
        <f t="shared" si="2"/>
        <v>39939.26</v>
      </c>
    </row>
    <row r="49" spans="2:11" ht="15.75" thickBot="1" x14ac:dyDescent="0.3">
      <c r="B49" s="5"/>
      <c r="C49" s="7" t="s">
        <v>0</v>
      </c>
      <c r="D49" s="62">
        <f>SUM(D4:D48)</f>
        <v>74745</v>
      </c>
      <c r="E49" s="61">
        <f>SUM(E4:E48)</f>
        <v>1470.46</v>
      </c>
      <c r="F49" s="71">
        <f>SUM(D49:E49)</f>
        <v>76215.460000000006</v>
      </c>
      <c r="G49" s="80">
        <f>SUM(G4:G48)</f>
        <v>0</v>
      </c>
      <c r="H49" s="62">
        <f>SUM(H4:H48)</f>
        <v>40932.300000000003</v>
      </c>
      <c r="I49" s="71">
        <f>SUM(G49:H49)</f>
        <v>40932.300000000003</v>
      </c>
      <c r="J49" s="20"/>
      <c r="K49" s="20"/>
    </row>
    <row r="50" spans="2:11" x14ac:dyDescent="0.25">
      <c r="B50" s="68" t="s">
        <v>1</v>
      </c>
      <c r="C50" s="68" t="s">
        <v>2</v>
      </c>
      <c r="D50" s="68" t="s">
        <v>3</v>
      </c>
      <c r="E50" s="68" t="s">
        <v>3</v>
      </c>
      <c r="F50" s="68" t="s">
        <v>22</v>
      </c>
      <c r="G50" s="68" t="s">
        <v>23</v>
      </c>
      <c r="H50" s="48" t="s">
        <v>23</v>
      </c>
      <c r="I50" s="48" t="s">
        <v>22</v>
      </c>
      <c r="J50" s="68" t="s">
        <v>8</v>
      </c>
      <c r="K50" s="48" t="s">
        <v>7</v>
      </c>
    </row>
    <row r="51" spans="2:11" ht="15.75" thickBot="1" x14ac:dyDescent="0.3">
      <c r="B51" s="69"/>
      <c r="C51" s="69"/>
      <c r="D51" s="69" t="s">
        <v>5</v>
      </c>
      <c r="E51" s="69" t="s">
        <v>24</v>
      </c>
      <c r="F51" s="69" t="s">
        <v>3</v>
      </c>
      <c r="G51" s="69" t="s">
        <v>24</v>
      </c>
      <c r="H51" s="70" t="s">
        <v>5</v>
      </c>
      <c r="I51" s="70" t="s">
        <v>4</v>
      </c>
      <c r="J51" s="69"/>
      <c r="K51" s="70"/>
    </row>
    <row r="52" spans="2:11" ht="15.75" thickBot="1" x14ac:dyDescent="0.3">
      <c r="B52" s="5"/>
      <c r="C52" s="7"/>
      <c r="D52" s="62">
        <v>74745</v>
      </c>
      <c r="E52" s="61">
        <v>1470.46</v>
      </c>
      <c r="F52" s="71">
        <f>SUM(D52:E52)</f>
        <v>76215.460000000006</v>
      </c>
      <c r="G52" s="80">
        <v>0</v>
      </c>
      <c r="H52" s="62">
        <v>40932.300000000003</v>
      </c>
      <c r="I52" s="71">
        <f>SUM(G52:H52)</f>
        <v>40932.300000000003</v>
      </c>
      <c r="J52" s="20">
        <v>14028.8</v>
      </c>
      <c r="K52" s="12">
        <v>39939.26</v>
      </c>
    </row>
    <row r="53" spans="2:11" x14ac:dyDescent="0.25">
      <c r="B53" s="18">
        <v>43419</v>
      </c>
      <c r="C53" s="21" t="s">
        <v>923</v>
      </c>
      <c r="D53" s="11"/>
      <c r="E53" s="11"/>
      <c r="F53" s="11"/>
      <c r="G53" s="11"/>
      <c r="H53" s="59">
        <v>2000</v>
      </c>
      <c r="I53" s="15"/>
      <c r="J53" s="12">
        <f>+J48+E53-G53</f>
        <v>14028.8</v>
      </c>
      <c r="K53" s="12">
        <f>+K48+D53-H53</f>
        <v>37939.26</v>
      </c>
    </row>
    <row r="54" spans="2:11" x14ac:dyDescent="0.25">
      <c r="B54" s="18">
        <v>43419</v>
      </c>
      <c r="C54" s="35" t="s">
        <v>837</v>
      </c>
      <c r="D54" s="11"/>
      <c r="E54" s="11"/>
      <c r="F54" s="11"/>
      <c r="G54" s="11"/>
      <c r="H54" s="59">
        <v>4000</v>
      </c>
      <c r="I54" s="15"/>
      <c r="J54" s="12">
        <f t="shared" si="1"/>
        <v>14028.8</v>
      </c>
      <c r="K54" s="12">
        <f t="shared" si="2"/>
        <v>33939.26</v>
      </c>
    </row>
    <row r="55" spans="2:11" x14ac:dyDescent="0.25">
      <c r="B55" s="18">
        <v>43419</v>
      </c>
      <c r="C55" s="13" t="s">
        <v>922</v>
      </c>
      <c r="D55" s="11"/>
      <c r="E55" s="11"/>
      <c r="F55" s="11"/>
      <c r="G55" s="11"/>
      <c r="H55" s="59">
        <v>40000</v>
      </c>
      <c r="I55" s="15"/>
      <c r="J55" s="12">
        <f>+J54+E55-G55</f>
        <v>14028.8</v>
      </c>
      <c r="K55" s="12">
        <f>+K54+D55-H55</f>
        <v>-6060.739999999998</v>
      </c>
    </row>
    <row r="56" spans="2:11" x14ac:dyDescent="0.25">
      <c r="B56" s="18">
        <v>43420</v>
      </c>
      <c r="C56" s="35" t="s">
        <v>924</v>
      </c>
      <c r="D56" s="41"/>
      <c r="E56" s="41"/>
      <c r="F56" s="41"/>
      <c r="G56" s="16"/>
      <c r="H56" s="59">
        <v>1250</v>
      </c>
      <c r="I56" s="15"/>
      <c r="J56" s="12">
        <f t="shared" si="1"/>
        <v>14028.8</v>
      </c>
      <c r="K56" s="12">
        <f t="shared" si="2"/>
        <v>-7310.739999999998</v>
      </c>
    </row>
    <row r="57" spans="2:11" x14ac:dyDescent="0.25">
      <c r="B57" s="18">
        <v>43421</v>
      </c>
      <c r="C57" s="9" t="s">
        <v>925</v>
      </c>
      <c r="D57" s="41"/>
      <c r="E57" s="41"/>
      <c r="F57" s="41"/>
      <c r="G57" s="16">
        <v>1760</v>
      </c>
      <c r="H57" s="11"/>
      <c r="I57" s="15"/>
      <c r="J57" s="12">
        <f t="shared" si="1"/>
        <v>12268.8</v>
      </c>
      <c r="K57" s="12">
        <f t="shared" si="2"/>
        <v>-7310.739999999998</v>
      </c>
    </row>
    <row r="58" spans="2:11" x14ac:dyDescent="0.25">
      <c r="B58" s="18">
        <v>43421</v>
      </c>
      <c r="C58" s="9" t="s">
        <v>926</v>
      </c>
      <c r="D58" s="11"/>
      <c r="E58" s="11"/>
      <c r="F58" s="11"/>
      <c r="G58" s="11">
        <v>1400</v>
      </c>
      <c r="H58" s="11"/>
      <c r="I58" s="15"/>
      <c r="J58" s="12">
        <f t="shared" si="1"/>
        <v>10868.8</v>
      </c>
      <c r="K58" s="12">
        <f t="shared" si="2"/>
        <v>-7310.739999999998</v>
      </c>
    </row>
    <row r="59" spans="2:11" x14ac:dyDescent="0.25">
      <c r="B59" s="18">
        <v>43421</v>
      </c>
      <c r="C59" s="9" t="s">
        <v>905</v>
      </c>
      <c r="D59" s="11"/>
      <c r="E59" s="11"/>
      <c r="F59" s="11"/>
      <c r="G59" s="11"/>
      <c r="H59" s="59">
        <v>300</v>
      </c>
      <c r="I59" s="15"/>
      <c r="J59" s="12">
        <f t="shared" ref="J59:J93" si="3">+J58+E59-G59</f>
        <v>10868.8</v>
      </c>
      <c r="K59" s="12">
        <f t="shared" ref="K59:K93" si="4">+K58+D59-H59</f>
        <v>-7610.739999999998</v>
      </c>
    </row>
    <row r="60" spans="2:11" x14ac:dyDescent="0.25">
      <c r="B60" s="18">
        <v>43422</v>
      </c>
      <c r="C60" s="9" t="s">
        <v>927</v>
      </c>
      <c r="D60" s="11"/>
      <c r="E60" s="11"/>
      <c r="F60" s="11"/>
      <c r="G60" s="11"/>
      <c r="H60" s="59">
        <v>126</v>
      </c>
      <c r="I60" s="15"/>
      <c r="J60" s="12">
        <f t="shared" si="3"/>
        <v>10868.8</v>
      </c>
      <c r="K60" s="12">
        <f t="shared" si="4"/>
        <v>-7736.739999999998</v>
      </c>
    </row>
    <row r="61" spans="2:11" x14ac:dyDescent="0.25">
      <c r="B61" s="18">
        <v>43422</v>
      </c>
      <c r="C61" s="34" t="s">
        <v>888</v>
      </c>
      <c r="D61" s="11"/>
      <c r="E61" s="11"/>
      <c r="F61" s="11"/>
      <c r="G61" s="11"/>
      <c r="H61" s="59">
        <v>82</v>
      </c>
      <c r="I61" s="15"/>
      <c r="J61" s="12">
        <f t="shared" si="3"/>
        <v>10868.8</v>
      </c>
      <c r="K61" s="12">
        <f t="shared" si="4"/>
        <v>-7818.739999999998</v>
      </c>
    </row>
    <row r="62" spans="2:11" x14ac:dyDescent="0.25">
      <c r="B62" s="18">
        <v>43422</v>
      </c>
      <c r="C62" s="35" t="s">
        <v>773</v>
      </c>
      <c r="D62" s="41"/>
      <c r="E62" s="41"/>
      <c r="F62" s="41"/>
      <c r="G62" s="16"/>
      <c r="H62" s="59">
        <v>128.5</v>
      </c>
      <c r="I62" s="15"/>
      <c r="J62" s="12">
        <f t="shared" si="3"/>
        <v>10868.8</v>
      </c>
      <c r="K62" s="12">
        <f t="shared" si="4"/>
        <v>-7947.239999999998</v>
      </c>
    </row>
    <row r="63" spans="2:11" x14ac:dyDescent="0.25">
      <c r="B63" s="18">
        <v>43422</v>
      </c>
      <c r="C63" s="9" t="s">
        <v>720</v>
      </c>
      <c r="D63" s="41"/>
      <c r="E63" s="41"/>
      <c r="F63" s="41"/>
      <c r="G63" s="16"/>
      <c r="H63" s="11">
        <v>120</v>
      </c>
      <c r="I63" s="15"/>
      <c r="J63" s="12">
        <f t="shared" si="3"/>
        <v>10868.8</v>
      </c>
      <c r="K63" s="12">
        <f t="shared" si="4"/>
        <v>-8067.239999999998</v>
      </c>
    </row>
    <row r="64" spans="2:11" x14ac:dyDescent="0.25">
      <c r="B64" s="18">
        <v>43422</v>
      </c>
      <c r="C64" s="9" t="s">
        <v>928</v>
      </c>
      <c r="D64" s="41">
        <v>44470</v>
      </c>
      <c r="E64" s="41"/>
      <c r="F64" s="41"/>
      <c r="G64" s="41"/>
      <c r="H64" s="11"/>
      <c r="I64" s="15"/>
      <c r="J64" s="12">
        <f t="shared" si="3"/>
        <v>10868.8</v>
      </c>
      <c r="K64" s="12">
        <f t="shared" si="4"/>
        <v>36402.76</v>
      </c>
    </row>
    <row r="65" spans="2:11" x14ac:dyDescent="0.25">
      <c r="B65" s="18">
        <v>43422</v>
      </c>
      <c r="C65" s="13" t="s">
        <v>892</v>
      </c>
      <c r="D65" s="11"/>
      <c r="E65" s="11"/>
      <c r="F65" s="11"/>
      <c r="G65" s="11"/>
      <c r="H65" s="11">
        <v>144</v>
      </c>
      <c r="I65" s="15"/>
      <c r="J65" s="12">
        <f t="shared" si="3"/>
        <v>10868.8</v>
      </c>
      <c r="K65" s="12">
        <f t="shared" si="4"/>
        <v>36258.76</v>
      </c>
    </row>
    <row r="66" spans="2:11" x14ac:dyDescent="0.25">
      <c r="B66" s="18">
        <v>43425</v>
      </c>
      <c r="C66" s="13" t="s">
        <v>929</v>
      </c>
      <c r="D66" s="11"/>
      <c r="E66" s="11"/>
      <c r="F66" s="11"/>
      <c r="G66" s="11"/>
      <c r="H66" s="11">
        <v>300</v>
      </c>
      <c r="I66" s="15"/>
      <c r="J66" s="12">
        <f t="shared" si="3"/>
        <v>10868.8</v>
      </c>
      <c r="K66" s="12">
        <f t="shared" si="4"/>
        <v>35958.76</v>
      </c>
    </row>
    <row r="67" spans="2:11" x14ac:dyDescent="0.25">
      <c r="B67" s="18">
        <v>43425</v>
      </c>
      <c r="C67" s="13" t="s">
        <v>930</v>
      </c>
      <c r="D67" s="11"/>
      <c r="E67" s="11"/>
      <c r="F67" s="11"/>
      <c r="G67" s="11"/>
      <c r="H67" s="11">
        <v>250</v>
      </c>
      <c r="I67" s="15"/>
      <c r="J67" s="12">
        <f t="shared" si="3"/>
        <v>10868.8</v>
      </c>
      <c r="K67" s="12">
        <f t="shared" si="4"/>
        <v>35708.76</v>
      </c>
    </row>
    <row r="68" spans="2:11" x14ac:dyDescent="0.25">
      <c r="B68" s="18">
        <v>43426</v>
      </c>
      <c r="C68" s="13" t="s">
        <v>931</v>
      </c>
      <c r="D68" s="11"/>
      <c r="E68" s="11"/>
      <c r="F68" s="11"/>
      <c r="G68" s="11"/>
      <c r="H68" s="11">
        <v>7.5</v>
      </c>
      <c r="I68" s="15"/>
      <c r="J68" s="12">
        <f t="shared" si="3"/>
        <v>10868.8</v>
      </c>
      <c r="K68" s="12">
        <f t="shared" si="4"/>
        <v>35701.26</v>
      </c>
    </row>
    <row r="69" spans="2:11" x14ac:dyDescent="0.25">
      <c r="B69" s="18">
        <v>43427</v>
      </c>
      <c r="C69" s="13" t="s">
        <v>932</v>
      </c>
      <c r="D69" s="11"/>
      <c r="E69" s="11"/>
      <c r="F69" s="11"/>
      <c r="G69" s="11"/>
      <c r="H69" s="11">
        <v>1250</v>
      </c>
      <c r="I69" s="15"/>
      <c r="J69" s="12">
        <f t="shared" si="3"/>
        <v>10868.8</v>
      </c>
      <c r="K69" s="12">
        <f t="shared" si="4"/>
        <v>34451.26</v>
      </c>
    </row>
    <row r="70" spans="2:11" x14ac:dyDescent="0.25">
      <c r="B70" s="18">
        <v>43427</v>
      </c>
      <c r="C70" s="35" t="s">
        <v>933</v>
      </c>
      <c r="D70" s="11"/>
      <c r="E70" s="11"/>
      <c r="F70" s="11"/>
      <c r="G70" s="11"/>
      <c r="H70" s="11">
        <v>300</v>
      </c>
      <c r="I70" s="15"/>
      <c r="J70" s="12">
        <f t="shared" si="3"/>
        <v>10868.8</v>
      </c>
      <c r="K70" s="12">
        <f t="shared" si="4"/>
        <v>34151.26</v>
      </c>
    </row>
    <row r="71" spans="2:11" x14ac:dyDescent="0.25">
      <c r="B71" s="18">
        <v>43428</v>
      </c>
      <c r="C71" s="34" t="s">
        <v>773</v>
      </c>
      <c r="D71" s="11"/>
      <c r="E71" s="11"/>
      <c r="F71" s="11"/>
      <c r="G71" s="11"/>
      <c r="H71" s="11">
        <v>82</v>
      </c>
      <c r="I71" s="15"/>
      <c r="J71" s="12">
        <f t="shared" si="3"/>
        <v>10868.8</v>
      </c>
      <c r="K71" s="12">
        <f t="shared" si="4"/>
        <v>34069.26</v>
      </c>
    </row>
    <row r="72" spans="2:11" x14ac:dyDescent="0.25">
      <c r="B72" s="18">
        <v>43428</v>
      </c>
      <c r="C72" s="9" t="s">
        <v>934</v>
      </c>
      <c r="D72" s="11"/>
      <c r="E72" s="11">
        <v>450.15</v>
      </c>
      <c r="F72" s="11"/>
      <c r="G72" s="11"/>
      <c r="H72" s="11"/>
      <c r="I72" s="15"/>
      <c r="J72" s="12">
        <f t="shared" si="3"/>
        <v>11318.949999999999</v>
      </c>
      <c r="K72" s="12">
        <f t="shared" si="4"/>
        <v>34069.26</v>
      </c>
    </row>
    <row r="73" spans="2:11" x14ac:dyDescent="0.25">
      <c r="B73" s="18">
        <v>43428</v>
      </c>
      <c r="C73" s="9" t="s">
        <v>517</v>
      </c>
      <c r="D73" s="11"/>
      <c r="E73" s="11"/>
      <c r="F73" s="11"/>
      <c r="G73" s="11"/>
      <c r="H73" s="11">
        <v>1000</v>
      </c>
      <c r="I73" s="15"/>
      <c r="J73" s="12">
        <f t="shared" si="3"/>
        <v>11318.949999999999</v>
      </c>
      <c r="K73" s="12">
        <f t="shared" si="4"/>
        <v>33069.26</v>
      </c>
    </row>
    <row r="74" spans="2:11" x14ac:dyDescent="0.25">
      <c r="B74" s="18">
        <v>43429</v>
      </c>
      <c r="C74" s="9" t="s">
        <v>935</v>
      </c>
      <c r="D74" s="11"/>
      <c r="E74" s="11"/>
      <c r="F74" s="11"/>
      <c r="G74" s="11"/>
      <c r="H74" s="11">
        <v>177</v>
      </c>
      <c r="I74" s="15"/>
      <c r="J74" s="12">
        <f t="shared" si="3"/>
        <v>11318.949999999999</v>
      </c>
      <c r="K74" s="12">
        <f t="shared" si="4"/>
        <v>32892.26</v>
      </c>
    </row>
    <row r="75" spans="2:11" x14ac:dyDescent="0.25">
      <c r="B75" s="18">
        <v>43429</v>
      </c>
      <c r="C75" s="35" t="s">
        <v>936</v>
      </c>
      <c r="D75" s="11"/>
      <c r="E75" s="11"/>
      <c r="F75" s="11"/>
      <c r="G75" s="11"/>
      <c r="H75" s="11">
        <v>120</v>
      </c>
      <c r="I75" s="15"/>
      <c r="J75" s="12">
        <f t="shared" si="3"/>
        <v>11318.949999999999</v>
      </c>
      <c r="K75" s="12">
        <f t="shared" si="4"/>
        <v>32772.26</v>
      </c>
    </row>
    <row r="76" spans="2:11" x14ac:dyDescent="0.25">
      <c r="B76" s="18">
        <v>43429</v>
      </c>
      <c r="C76" s="34" t="s">
        <v>890</v>
      </c>
      <c r="D76" s="11"/>
      <c r="E76" s="11"/>
      <c r="F76" s="11"/>
      <c r="G76" s="11"/>
      <c r="H76" s="11">
        <v>150</v>
      </c>
      <c r="I76" s="15"/>
      <c r="J76" s="12">
        <f t="shared" si="3"/>
        <v>11318.949999999999</v>
      </c>
      <c r="K76" s="12">
        <f t="shared" si="4"/>
        <v>32622.260000000002</v>
      </c>
    </row>
    <row r="77" spans="2:11" x14ac:dyDescent="0.25">
      <c r="B77" s="18">
        <v>43429</v>
      </c>
      <c r="C77" s="35" t="s">
        <v>937</v>
      </c>
      <c r="D77" s="11">
        <v>39950</v>
      </c>
      <c r="E77" s="11"/>
      <c r="F77" s="11"/>
      <c r="G77" s="11"/>
      <c r="H77" s="11"/>
      <c r="I77" s="15"/>
      <c r="J77" s="12">
        <f t="shared" si="3"/>
        <v>11318.949999999999</v>
      </c>
      <c r="K77" s="12">
        <f t="shared" si="4"/>
        <v>72572.260000000009</v>
      </c>
    </row>
    <row r="78" spans="2:11" x14ac:dyDescent="0.25">
      <c r="B78" s="18">
        <v>43430</v>
      </c>
      <c r="C78" s="34" t="s">
        <v>892</v>
      </c>
      <c r="D78" s="11"/>
      <c r="E78" s="11"/>
      <c r="F78" s="11"/>
      <c r="G78" s="11"/>
      <c r="H78" s="11">
        <v>144</v>
      </c>
      <c r="I78" s="15"/>
      <c r="J78" s="12">
        <f t="shared" si="3"/>
        <v>11318.949999999999</v>
      </c>
      <c r="K78" s="12">
        <f t="shared" si="4"/>
        <v>72428.260000000009</v>
      </c>
    </row>
    <row r="79" spans="2:11" x14ac:dyDescent="0.25">
      <c r="B79" s="18">
        <v>43430</v>
      </c>
      <c r="C79" s="13" t="s">
        <v>905</v>
      </c>
      <c r="D79" s="11"/>
      <c r="E79" s="11"/>
      <c r="F79" s="11"/>
      <c r="G79" s="11"/>
      <c r="H79" s="11">
        <v>300</v>
      </c>
      <c r="I79" s="15"/>
      <c r="J79" s="12">
        <f t="shared" si="3"/>
        <v>11318.949999999999</v>
      </c>
      <c r="K79" s="12">
        <f t="shared" si="4"/>
        <v>72128.260000000009</v>
      </c>
    </row>
    <row r="80" spans="2:11" x14ac:dyDescent="0.25">
      <c r="B80" s="18">
        <v>43431</v>
      </c>
      <c r="C80" s="9" t="s">
        <v>938</v>
      </c>
      <c r="D80" s="11"/>
      <c r="E80" s="11"/>
      <c r="F80" s="11"/>
      <c r="G80" s="11"/>
      <c r="H80" s="11">
        <v>1950</v>
      </c>
      <c r="I80" s="15"/>
      <c r="J80" s="12">
        <f t="shared" si="3"/>
        <v>11318.949999999999</v>
      </c>
      <c r="K80" s="12">
        <f t="shared" si="4"/>
        <v>70178.260000000009</v>
      </c>
    </row>
    <row r="81" spans="2:11" x14ac:dyDescent="0.25">
      <c r="B81" s="18">
        <v>43431</v>
      </c>
      <c r="C81" s="9" t="s">
        <v>939</v>
      </c>
      <c r="D81" s="11"/>
      <c r="E81" s="11"/>
      <c r="F81" s="11"/>
      <c r="G81" s="11"/>
      <c r="H81" s="11">
        <v>300</v>
      </c>
      <c r="I81" s="15"/>
      <c r="J81" s="12">
        <f t="shared" si="3"/>
        <v>11318.949999999999</v>
      </c>
      <c r="K81" s="12">
        <f t="shared" si="4"/>
        <v>69878.260000000009</v>
      </c>
    </row>
    <row r="82" spans="2:11" x14ac:dyDescent="0.25">
      <c r="B82" s="18">
        <v>43434</v>
      </c>
      <c r="C82" s="21" t="s">
        <v>943</v>
      </c>
      <c r="D82" s="11"/>
      <c r="E82" s="11"/>
      <c r="F82" s="11"/>
      <c r="G82" s="11"/>
      <c r="H82" s="11">
        <v>300</v>
      </c>
      <c r="I82" s="15"/>
      <c r="J82" s="12">
        <f t="shared" si="3"/>
        <v>11318.949999999999</v>
      </c>
      <c r="K82" s="12">
        <f t="shared" si="4"/>
        <v>69578.260000000009</v>
      </c>
    </row>
    <row r="83" spans="2:11" x14ac:dyDescent="0.25">
      <c r="B83" s="18">
        <v>43434</v>
      </c>
      <c r="C83" s="21" t="s">
        <v>944</v>
      </c>
      <c r="D83" s="11"/>
      <c r="E83" s="11"/>
      <c r="F83" s="11"/>
      <c r="G83" s="11"/>
      <c r="H83" s="11">
        <v>550</v>
      </c>
      <c r="I83" s="15"/>
      <c r="J83" s="12">
        <f t="shared" si="3"/>
        <v>11318.949999999999</v>
      </c>
      <c r="K83" s="12">
        <f t="shared" si="4"/>
        <v>69028.260000000009</v>
      </c>
    </row>
    <row r="84" spans="2:11" x14ac:dyDescent="0.25">
      <c r="B84" s="18">
        <v>43434</v>
      </c>
      <c r="C84" s="134" t="s">
        <v>942</v>
      </c>
      <c r="D84" s="11"/>
      <c r="E84" s="11"/>
      <c r="F84" s="11"/>
      <c r="G84" s="11"/>
      <c r="H84" s="11">
        <v>1250</v>
      </c>
      <c r="I84" s="15"/>
      <c r="J84" s="12">
        <f t="shared" si="3"/>
        <v>11318.949999999999</v>
      </c>
      <c r="K84" s="12">
        <f t="shared" si="4"/>
        <v>67778.260000000009</v>
      </c>
    </row>
    <row r="85" spans="2:11" x14ac:dyDescent="0.25">
      <c r="B85" s="18">
        <v>43434</v>
      </c>
      <c r="C85" s="21" t="s">
        <v>940</v>
      </c>
      <c r="D85" s="11"/>
      <c r="E85" s="11"/>
      <c r="F85" s="11"/>
      <c r="G85" s="11"/>
      <c r="H85" s="11">
        <v>2000</v>
      </c>
      <c r="I85" s="15"/>
      <c r="J85" s="12">
        <f t="shared" si="3"/>
        <v>11318.949999999999</v>
      </c>
      <c r="K85" s="12">
        <f t="shared" si="4"/>
        <v>65778.260000000009</v>
      </c>
    </row>
    <row r="86" spans="2:11" x14ac:dyDescent="0.25">
      <c r="B86" s="18">
        <v>43434</v>
      </c>
      <c r="C86" s="21" t="s">
        <v>982</v>
      </c>
      <c r="D86" s="11"/>
      <c r="E86" s="11"/>
      <c r="F86" s="11"/>
      <c r="G86" s="11"/>
      <c r="H86" s="11">
        <v>4000</v>
      </c>
      <c r="I86" s="15"/>
      <c r="J86" s="12">
        <f t="shared" si="3"/>
        <v>11318.949999999999</v>
      </c>
      <c r="K86" s="12">
        <f t="shared" si="4"/>
        <v>61778.260000000009</v>
      </c>
    </row>
    <row r="87" spans="2:11" x14ac:dyDescent="0.25">
      <c r="B87" s="18">
        <v>43434</v>
      </c>
      <c r="C87" s="21" t="s">
        <v>941</v>
      </c>
      <c r="D87" s="41"/>
      <c r="E87" s="41"/>
      <c r="F87" s="41"/>
      <c r="G87" s="16"/>
      <c r="H87" s="11">
        <v>40000</v>
      </c>
      <c r="I87" s="15"/>
      <c r="J87" s="12">
        <f t="shared" si="3"/>
        <v>11318.949999999999</v>
      </c>
      <c r="K87" s="12">
        <f t="shared" si="4"/>
        <v>21778.260000000009</v>
      </c>
    </row>
    <row r="88" spans="2:11" x14ac:dyDescent="0.25">
      <c r="B88" s="18">
        <v>43434</v>
      </c>
      <c r="C88" s="13" t="s">
        <v>945</v>
      </c>
      <c r="D88" s="41">
        <v>4020</v>
      </c>
      <c r="E88" s="41"/>
      <c r="F88" s="41"/>
      <c r="G88" s="16"/>
      <c r="H88" s="11"/>
      <c r="I88" s="15"/>
      <c r="J88" s="12">
        <f t="shared" si="3"/>
        <v>11318.949999999999</v>
      </c>
      <c r="K88" s="12">
        <f t="shared" si="4"/>
        <v>25798.260000000009</v>
      </c>
    </row>
    <row r="89" spans="2:11" x14ac:dyDescent="0.25">
      <c r="B89" s="18">
        <v>43427</v>
      </c>
      <c r="C89" s="13" t="s">
        <v>946</v>
      </c>
      <c r="D89" s="41"/>
      <c r="E89" s="41">
        <v>12760</v>
      </c>
      <c r="F89" s="41"/>
      <c r="G89" s="16"/>
      <c r="H89" s="11"/>
      <c r="I89" s="15"/>
      <c r="J89" s="12">
        <f t="shared" si="3"/>
        <v>24078.949999999997</v>
      </c>
      <c r="K89" s="12">
        <f t="shared" si="4"/>
        <v>25798.260000000009</v>
      </c>
    </row>
    <row r="90" spans="2:11" x14ac:dyDescent="0.25">
      <c r="B90" s="18">
        <v>43434</v>
      </c>
      <c r="C90" s="9" t="s">
        <v>148</v>
      </c>
      <c r="D90" s="41"/>
      <c r="E90" s="41"/>
      <c r="F90" s="41"/>
      <c r="G90" s="16">
        <v>18</v>
      </c>
      <c r="H90" s="11"/>
      <c r="I90" s="15"/>
      <c r="J90" s="12">
        <f t="shared" si="3"/>
        <v>24060.949999999997</v>
      </c>
      <c r="K90" s="12">
        <f t="shared" si="4"/>
        <v>25798.260000000009</v>
      </c>
    </row>
    <row r="91" spans="2:11" x14ac:dyDescent="0.25">
      <c r="B91" s="18">
        <v>43434</v>
      </c>
      <c r="C91" s="13" t="s">
        <v>149</v>
      </c>
      <c r="D91" s="41"/>
      <c r="E91" s="41"/>
      <c r="F91" s="41"/>
      <c r="G91" s="16">
        <v>2.88</v>
      </c>
      <c r="H91" s="11"/>
      <c r="I91" s="15"/>
      <c r="J91" s="12">
        <f t="shared" si="3"/>
        <v>24058.069999999996</v>
      </c>
      <c r="K91" s="12">
        <f t="shared" si="4"/>
        <v>25798.260000000009</v>
      </c>
    </row>
    <row r="92" spans="2:11" x14ac:dyDescent="0.25">
      <c r="B92" s="18"/>
      <c r="C92" s="13"/>
      <c r="D92" s="41"/>
      <c r="E92" s="41"/>
      <c r="F92" s="41"/>
      <c r="G92" s="41"/>
      <c r="H92" s="11"/>
      <c r="I92" s="15"/>
      <c r="J92" s="12">
        <f t="shared" si="3"/>
        <v>24058.069999999996</v>
      </c>
      <c r="K92" s="12">
        <f t="shared" si="4"/>
        <v>25798.260000000009</v>
      </c>
    </row>
    <row r="93" spans="2:11" ht="15.75" thickBot="1" x14ac:dyDescent="0.3">
      <c r="B93" s="18"/>
      <c r="C93" s="9"/>
      <c r="D93" s="11"/>
      <c r="E93" s="11"/>
      <c r="F93" s="11"/>
      <c r="G93" s="11"/>
      <c r="H93" s="11"/>
      <c r="I93" s="15"/>
      <c r="J93" s="12">
        <f t="shared" si="3"/>
        <v>24058.069999999996</v>
      </c>
      <c r="K93" s="12">
        <f t="shared" si="4"/>
        <v>25798.260000000009</v>
      </c>
    </row>
    <row r="94" spans="2:11" ht="15.75" thickBot="1" x14ac:dyDescent="0.3">
      <c r="B94" s="5"/>
      <c r="C94" s="7" t="s">
        <v>0</v>
      </c>
      <c r="D94" s="62">
        <f>SUM(D52:D93)</f>
        <v>163185</v>
      </c>
      <c r="E94" s="61">
        <f>SUM(E52:E93)</f>
        <v>14680.61</v>
      </c>
      <c r="F94" s="71">
        <f>SUM(D94:E94)</f>
        <v>177865.61</v>
      </c>
      <c r="G94" s="80">
        <f>SUM(G52:G93)</f>
        <v>3180.88</v>
      </c>
      <c r="H94" s="98">
        <f>SUM(H52:H93)</f>
        <v>143513.29999999999</v>
      </c>
      <c r="I94" s="71">
        <f>SUM(G94:H94)</f>
        <v>146694.18</v>
      </c>
      <c r="J94" s="20"/>
      <c r="K94" s="20"/>
    </row>
    <row r="95" spans="2:11" ht="15.75" thickBot="1" x14ac:dyDescent="0.3"/>
    <row r="96" spans="2:11" ht="15.75" thickBot="1" x14ac:dyDescent="0.3">
      <c r="I96" s="74" t="s">
        <v>8</v>
      </c>
      <c r="J96" s="74" t="s">
        <v>7</v>
      </c>
      <c r="K96" s="95" t="s">
        <v>0</v>
      </c>
    </row>
    <row r="97" spans="9:11" ht="15.75" thickBot="1" x14ac:dyDescent="0.3">
      <c r="I97" s="77">
        <v>24058.07</v>
      </c>
      <c r="J97" s="77">
        <v>25798.26</v>
      </c>
      <c r="K97" s="20">
        <f>SUM(I97:J97)</f>
        <v>49856.33</v>
      </c>
    </row>
  </sheetData>
  <printOptions verticalCentered="1"/>
  <pageMargins left="0" right="0.78740157480314965" top="0.98425196850393704" bottom="0" header="0.31496062992125984" footer="0.31496062992125984"/>
  <pageSetup paperSize="9" scale="72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28"/>
  <sheetViews>
    <sheetView tabSelected="1" zoomScale="90" zoomScaleNormal="90" workbookViewId="0">
      <pane ySplit="3" topLeftCell="A115" activePane="bottomLeft" state="frozen"/>
      <selection pane="bottomLeft" activeCell="J129" sqref="J129"/>
    </sheetView>
  </sheetViews>
  <sheetFormatPr baseColWidth="10" defaultRowHeight="15" x14ac:dyDescent="0.25"/>
  <cols>
    <col min="1" max="1" width="10.7109375" customWidth="1"/>
    <col min="2" max="2" width="11.5703125" customWidth="1"/>
    <col min="3" max="3" width="84.5703125" customWidth="1"/>
    <col min="4" max="6" width="11.7109375" customWidth="1"/>
  </cols>
  <sheetData>
    <row r="1" spans="2:11" ht="15.75" thickBot="1" x14ac:dyDescent="0.3">
      <c r="B1" s="79"/>
      <c r="C1" s="99" t="s">
        <v>57</v>
      </c>
    </row>
    <row r="2" spans="2:11" x14ac:dyDescent="0.25">
      <c r="B2" s="68" t="s">
        <v>1</v>
      </c>
      <c r="C2" s="68" t="s">
        <v>2</v>
      </c>
      <c r="D2" s="68" t="s">
        <v>3</v>
      </c>
      <c r="E2" s="68" t="s">
        <v>3</v>
      </c>
      <c r="F2" s="68" t="s">
        <v>22</v>
      </c>
      <c r="G2" s="68" t="s">
        <v>23</v>
      </c>
      <c r="H2" s="48" t="s">
        <v>23</v>
      </c>
      <c r="I2" s="48" t="s">
        <v>22</v>
      </c>
      <c r="J2" s="68" t="s">
        <v>8</v>
      </c>
      <c r="K2" s="48" t="s">
        <v>7</v>
      </c>
    </row>
    <row r="3" spans="2:11" ht="15.75" thickBot="1" x14ac:dyDescent="0.3">
      <c r="B3" s="69"/>
      <c r="C3" s="69"/>
      <c r="D3" s="69" t="s">
        <v>5</v>
      </c>
      <c r="E3" s="69" t="s">
        <v>24</v>
      </c>
      <c r="F3" s="69" t="s">
        <v>3</v>
      </c>
      <c r="G3" s="69" t="s">
        <v>24</v>
      </c>
      <c r="H3" s="70" t="s">
        <v>5</v>
      </c>
      <c r="I3" s="70" t="s">
        <v>4</v>
      </c>
      <c r="J3" s="69"/>
      <c r="K3" s="70"/>
    </row>
    <row r="4" spans="2:11" x14ac:dyDescent="0.25">
      <c r="B4" s="23">
        <v>43434</v>
      </c>
      <c r="C4" s="65" t="s">
        <v>58</v>
      </c>
      <c r="D4" s="66"/>
      <c r="E4" s="63"/>
      <c r="F4" s="63"/>
      <c r="G4" s="63"/>
      <c r="H4" s="17"/>
      <c r="I4" s="64"/>
      <c r="J4" s="73">
        <v>24058.07</v>
      </c>
      <c r="K4" s="97">
        <v>25798.26</v>
      </c>
    </row>
    <row r="5" spans="2:11" x14ac:dyDescent="0.25">
      <c r="B5" s="23">
        <v>43435</v>
      </c>
      <c r="C5" s="9" t="s">
        <v>948</v>
      </c>
      <c r="D5" s="11"/>
      <c r="E5" s="11"/>
      <c r="F5" s="11"/>
      <c r="G5" s="11"/>
      <c r="H5" s="11">
        <v>600</v>
      </c>
      <c r="I5" s="15"/>
      <c r="J5" s="12">
        <f>+J4+E5-G5</f>
        <v>24058.07</v>
      </c>
      <c r="K5" s="12">
        <f t="shared" ref="K5:K54" si="0">+K4+D5-H5</f>
        <v>25198.26</v>
      </c>
    </row>
    <row r="6" spans="2:11" x14ac:dyDescent="0.25">
      <c r="B6" s="23">
        <v>43435</v>
      </c>
      <c r="C6" s="13" t="s">
        <v>949</v>
      </c>
      <c r="D6" s="11"/>
      <c r="E6" s="11"/>
      <c r="F6" s="11"/>
      <c r="G6" s="11"/>
      <c r="H6" s="11">
        <v>300</v>
      </c>
      <c r="I6" s="15"/>
      <c r="J6" s="12">
        <f t="shared" ref="J6:J54" si="1">+J5+E6-G6</f>
        <v>24058.07</v>
      </c>
      <c r="K6" s="12">
        <f t="shared" si="0"/>
        <v>24898.26</v>
      </c>
    </row>
    <row r="7" spans="2:11" x14ac:dyDescent="0.25">
      <c r="B7" s="18">
        <v>43435</v>
      </c>
      <c r="C7" s="9" t="s">
        <v>950</v>
      </c>
      <c r="D7" s="11"/>
      <c r="E7" s="11"/>
      <c r="F7" s="11"/>
      <c r="G7" s="11"/>
      <c r="H7" s="59">
        <v>664</v>
      </c>
      <c r="I7" s="15"/>
      <c r="J7" s="12">
        <f t="shared" si="1"/>
        <v>24058.07</v>
      </c>
      <c r="K7" s="12">
        <f t="shared" si="0"/>
        <v>24234.26</v>
      </c>
    </row>
    <row r="8" spans="2:11" x14ac:dyDescent="0.25">
      <c r="B8" s="18">
        <v>43435</v>
      </c>
      <c r="C8" s="13" t="s">
        <v>951</v>
      </c>
      <c r="D8" s="11"/>
      <c r="E8" s="11"/>
      <c r="F8" s="11"/>
      <c r="G8" s="11"/>
      <c r="H8" s="11">
        <v>5</v>
      </c>
      <c r="I8" s="15"/>
      <c r="J8" s="12">
        <f t="shared" si="1"/>
        <v>24058.07</v>
      </c>
      <c r="K8" s="12">
        <f t="shared" si="0"/>
        <v>24229.26</v>
      </c>
    </row>
    <row r="9" spans="2:11" x14ac:dyDescent="0.25">
      <c r="B9" s="18">
        <v>43435</v>
      </c>
      <c r="C9" s="9" t="s">
        <v>952</v>
      </c>
      <c r="D9" s="11"/>
      <c r="E9" s="11"/>
      <c r="F9" s="11"/>
      <c r="G9" s="11"/>
      <c r="H9" s="59">
        <v>61</v>
      </c>
      <c r="I9" s="15"/>
      <c r="J9" s="12">
        <f t="shared" si="1"/>
        <v>24058.07</v>
      </c>
      <c r="K9" s="12">
        <f t="shared" si="0"/>
        <v>24168.26</v>
      </c>
    </row>
    <row r="10" spans="2:11" x14ac:dyDescent="0.25">
      <c r="B10" s="18">
        <v>43436</v>
      </c>
      <c r="C10" s="9" t="s">
        <v>75</v>
      </c>
      <c r="D10" s="11"/>
      <c r="E10" s="11"/>
      <c r="F10" s="11"/>
      <c r="G10" s="11"/>
      <c r="H10" s="11">
        <v>120</v>
      </c>
      <c r="I10" s="15"/>
      <c r="J10" s="12">
        <f t="shared" si="1"/>
        <v>24058.07</v>
      </c>
      <c r="K10" s="12">
        <f t="shared" si="0"/>
        <v>24048.26</v>
      </c>
    </row>
    <row r="11" spans="2:11" x14ac:dyDescent="0.25">
      <c r="B11" s="18">
        <v>43436</v>
      </c>
      <c r="C11" s="9" t="s">
        <v>953</v>
      </c>
      <c r="D11" s="11"/>
      <c r="E11" s="11"/>
      <c r="F11" s="11"/>
      <c r="G11" s="11"/>
      <c r="H11" s="11">
        <v>78.5</v>
      </c>
      <c r="I11" s="15"/>
      <c r="J11" s="12">
        <f t="shared" si="1"/>
        <v>24058.07</v>
      </c>
      <c r="K11" s="12">
        <f t="shared" si="0"/>
        <v>23969.759999999998</v>
      </c>
    </row>
    <row r="12" spans="2:11" x14ac:dyDescent="0.25">
      <c r="B12" s="18">
        <v>43436</v>
      </c>
      <c r="C12" s="9" t="s">
        <v>954</v>
      </c>
      <c r="D12" s="11">
        <v>29160</v>
      </c>
      <c r="E12" s="11"/>
      <c r="F12" s="11"/>
      <c r="G12" s="11"/>
      <c r="H12" s="11"/>
      <c r="I12" s="15"/>
      <c r="J12" s="12">
        <f t="shared" si="1"/>
        <v>24058.07</v>
      </c>
      <c r="K12" s="12">
        <f t="shared" si="0"/>
        <v>53129.759999999995</v>
      </c>
    </row>
    <row r="13" spans="2:11" x14ac:dyDescent="0.25">
      <c r="B13" s="18">
        <v>43437</v>
      </c>
      <c r="C13" s="9" t="s">
        <v>955</v>
      </c>
      <c r="D13" s="11"/>
      <c r="E13" s="11"/>
      <c r="F13" s="11"/>
      <c r="G13" s="11"/>
      <c r="H13" s="59">
        <v>18000</v>
      </c>
      <c r="I13" s="15"/>
      <c r="J13" s="12">
        <f t="shared" si="1"/>
        <v>24058.07</v>
      </c>
      <c r="K13" s="12">
        <f t="shared" si="0"/>
        <v>35129.759999999995</v>
      </c>
    </row>
    <row r="14" spans="2:11" x14ac:dyDescent="0.25">
      <c r="B14" s="18">
        <v>43437</v>
      </c>
      <c r="C14" s="9" t="s">
        <v>804</v>
      </c>
      <c r="D14" s="11"/>
      <c r="E14" s="11"/>
      <c r="F14" s="11"/>
      <c r="G14" s="11"/>
      <c r="H14" s="11">
        <v>144</v>
      </c>
      <c r="I14" s="15"/>
      <c r="J14" s="12">
        <f t="shared" si="1"/>
        <v>24058.07</v>
      </c>
      <c r="K14" s="12">
        <f t="shared" si="0"/>
        <v>34985.759999999995</v>
      </c>
    </row>
    <row r="15" spans="2:11" x14ac:dyDescent="0.25">
      <c r="B15" s="18">
        <v>43438</v>
      </c>
      <c r="C15" s="9" t="s">
        <v>956</v>
      </c>
      <c r="D15" s="11"/>
      <c r="E15" s="11"/>
      <c r="F15" s="11"/>
      <c r="G15" s="11"/>
      <c r="H15" s="59">
        <v>122</v>
      </c>
      <c r="I15" s="15"/>
      <c r="J15" s="12">
        <f t="shared" si="1"/>
        <v>24058.07</v>
      </c>
      <c r="K15" s="12">
        <f t="shared" si="0"/>
        <v>34863.759999999995</v>
      </c>
    </row>
    <row r="16" spans="2:11" x14ac:dyDescent="0.25">
      <c r="B16" s="18">
        <v>43438</v>
      </c>
      <c r="C16" s="9" t="s">
        <v>957</v>
      </c>
      <c r="D16" s="11"/>
      <c r="E16" s="11"/>
      <c r="F16" s="11"/>
      <c r="G16" s="11"/>
      <c r="H16" s="11">
        <v>14</v>
      </c>
      <c r="I16" s="15"/>
      <c r="J16" s="12">
        <f t="shared" si="1"/>
        <v>24058.07</v>
      </c>
      <c r="K16" s="12">
        <f t="shared" si="0"/>
        <v>34849.759999999995</v>
      </c>
    </row>
    <row r="17" spans="2:11" x14ac:dyDescent="0.25">
      <c r="B17" s="18">
        <v>43438</v>
      </c>
      <c r="C17" s="9" t="s">
        <v>958</v>
      </c>
      <c r="D17" s="11"/>
      <c r="E17" s="11"/>
      <c r="F17" s="11"/>
      <c r="G17" s="11"/>
      <c r="H17" s="11">
        <v>500</v>
      </c>
      <c r="I17" s="15"/>
      <c r="J17" s="12">
        <f t="shared" si="1"/>
        <v>24058.07</v>
      </c>
      <c r="K17" s="12">
        <f t="shared" si="0"/>
        <v>34349.759999999995</v>
      </c>
    </row>
    <row r="18" spans="2:11" x14ac:dyDescent="0.25">
      <c r="B18" s="18">
        <v>43438</v>
      </c>
      <c r="C18" s="9" t="s">
        <v>960</v>
      </c>
      <c r="D18" s="11"/>
      <c r="E18" s="11"/>
      <c r="F18" s="11"/>
      <c r="G18" s="11"/>
      <c r="H18" s="11">
        <v>252</v>
      </c>
      <c r="I18" s="15"/>
      <c r="J18" s="12">
        <f t="shared" si="1"/>
        <v>24058.07</v>
      </c>
      <c r="K18" s="12">
        <f t="shared" si="0"/>
        <v>34097.759999999995</v>
      </c>
    </row>
    <row r="19" spans="2:11" x14ac:dyDescent="0.25">
      <c r="B19" s="18">
        <v>43438</v>
      </c>
      <c r="C19" s="9" t="s">
        <v>959</v>
      </c>
      <c r="D19" s="11"/>
      <c r="E19" s="11"/>
      <c r="F19" s="11"/>
      <c r="G19" s="11"/>
      <c r="H19" s="11">
        <v>250</v>
      </c>
      <c r="I19" s="15"/>
      <c r="J19" s="12">
        <f t="shared" si="1"/>
        <v>24058.07</v>
      </c>
      <c r="K19" s="12">
        <f t="shared" si="0"/>
        <v>33847.759999999995</v>
      </c>
    </row>
    <row r="20" spans="2:11" x14ac:dyDescent="0.25">
      <c r="B20" s="18">
        <v>43439</v>
      </c>
      <c r="C20" s="9" t="s">
        <v>961</v>
      </c>
      <c r="D20" s="11"/>
      <c r="E20" s="11"/>
      <c r="F20" s="11"/>
      <c r="G20" s="11"/>
      <c r="H20" s="11">
        <v>199.98</v>
      </c>
      <c r="I20" s="15"/>
      <c r="J20" s="12">
        <f t="shared" si="1"/>
        <v>24058.07</v>
      </c>
      <c r="K20" s="12">
        <f t="shared" si="0"/>
        <v>33647.779999999992</v>
      </c>
    </row>
    <row r="21" spans="2:11" x14ac:dyDescent="0.25">
      <c r="B21" s="18">
        <v>43439</v>
      </c>
      <c r="C21" s="9" t="s">
        <v>956</v>
      </c>
      <c r="D21" s="11"/>
      <c r="E21" s="11"/>
      <c r="F21" s="11"/>
      <c r="G21" s="11"/>
      <c r="H21" s="11">
        <v>159</v>
      </c>
      <c r="I21" s="15"/>
      <c r="J21" s="12">
        <f t="shared" si="1"/>
        <v>24058.07</v>
      </c>
      <c r="K21" s="12">
        <f t="shared" si="0"/>
        <v>33488.779999999992</v>
      </c>
    </row>
    <row r="22" spans="2:11" x14ac:dyDescent="0.25">
      <c r="B22" s="18">
        <v>43439</v>
      </c>
      <c r="C22" s="9" t="s">
        <v>625</v>
      </c>
      <c r="D22" s="11"/>
      <c r="E22" s="11"/>
      <c r="F22" s="11"/>
      <c r="G22" s="11"/>
      <c r="H22" s="59">
        <v>36</v>
      </c>
      <c r="I22" s="15"/>
      <c r="J22" s="12">
        <f t="shared" si="1"/>
        <v>24058.07</v>
      </c>
      <c r="K22" s="12">
        <f t="shared" si="0"/>
        <v>33452.779999999992</v>
      </c>
    </row>
    <row r="23" spans="2:11" x14ac:dyDescent="0.25">
      <c r="B23" s="18">
        <v>43440</v>
      </c>
      <c r="C23" s="9" t="s">
        <v>962</v>
      </c>
      <c r="D23" s="11"/>
      <c r="E23" s="11"/>
      <c r="F23" s="11"/>
      <c r="G23" s="11"/>
      <c r="H23" s="59">
        <v>235</v>
      </c>
      <c r="I23" s="15"/>
      <c r="J23" s="12">
        <f t="shared" si="1"/>
        <v>24058.07</v>
      </c>
      <c r="K23" s="12">
        <f t="shared" si="0"/>
        <v>33217.779999999992</v>
      </c>
    </row>
    <row r="24" spans="2:11" x14ac:dyDescent="0.25">
      <c r="B24" s="18">
        <v>43441</v>
      </c>
      <c r="C24" s="9" t="s">
        <v>963</v>
      </c>
      <c r="D24" s="11"/>
      <c r="E24" s="11"/>
      <c r="F24" s="11"/>
      <c r="G24" s="11"/>
      <c r="H24" s="11">
        <v>1250</v>
      </c>
      <c r="I24" s="15"/>
      <c r="J24" s="12">
        <f t="shared" si="1"/>
        <v>24058.07</v>
      </c>
      <c r="K24" s="12">
        <f t="shared" si="0"/>
        <v>31967.779999999992</v>
      </c>
    </row>
    <row r="25" spans="2:11" x14ac:dyDescent="0.25">
      <c r="B25" s="18">
        <v>43441</v>
      </c>
      <c r="C25" s="9" t="s">
        <v>949</v>
      </c>
      <c r="D25" s="11"/>
      <c r="E25" s="11"/>
      <c r="F25" s="11"/>
      <c r="G25" s="11"/>
      <c r="H25" s="11">
        <v>300</v>
      </c>
      <c r="I25" s="15"/>
      <c r="J25" s="12">
        <f t="shared" si="1"/>
        <v>24058.07</v>
      </c>
      <c r="K25" s="12">
        <f t="shared" si="0"/>
        <v>31667.779999999992</v>
      </c>
    </row>
    <row r="26" spans="2:11" x14ac:dyDescent="0.25">
      <c r="B26" s="18">
        <v>43442</v>
      </c>
      <c r="C26" s="9" t="s">
        <v>625</v>
      </c>
      <c r="D26" s="11"/>
      <c r="E26" s="11"/>
      <c r="F26" s="11"/>
      <c r="G26" s="11"/>
      <c r="H26" s="11">
        <v>38.9</v>
      </c>
      <c r="I26" s="15"/>
      <c r="J26" s="12">
        <f t="shared" si="1"/>
        <v>24058.07</v>
      </c>
      <c r="K26" s="12">
        <f t="shared" si="0"/>
        <v>31628.87999999999</v>
      </c>
    </row>
    <row r="27" spans="2:11" x14ac:dyDescent="0.25">
      <c r="B27" s="18">
        <v>43442</v>
      </c>
      <c r="C27" s="9" t="s">
        <v>964</v>
      </c>
      <c r="D27" s="11"/>
      <c r="E27" s="11"/>
      <c r="F27" s="11"/>
      <c r="G27" s="11"/>
      <c r="H27" s="11">
        <v>20</v>
      </c>
      <c r="I27" s="15"/>
      <c r="J27" s="12">
        <f t="shared" si="1"/>
        <v>24058.07</v>
      </c>
      <c r="K27" s="12">
        <f t="shared" si="0"/>
        <v>31608.87999999999</v>
      </c>
    </row>
    <row r="28" spans="2:11" x14ac:dyDescent="0.25">
      <c r="B28" s="18">
        <v>43442</v>
      </c>
      <c r="C28" s="9" t="s">
        <v>965</v>
      </c>
      <c r="D28" s="11"/>
      <c r="E28" s="11"/>
      <c r="F28" s="11"/>
      <c r="G28" s="11"/>
      <c r="H28" s="11">
        <v>110</v>
      </c>
      <c r="I28" s="15"/>
      <c r="J28" s="12">
        <f t="shared" si="1"/>
        <v>24058.07</v>
      </c>
      <c r="K28" s="12">
        <f t="shared" si="0"/>
        <v>31498.87999999999</v>
      </c>
    </row>
    <row r="29" spans="2:11" x14ac:dyDescent="0.25">
      <c r="B29" s="18">
        <v>43442</v>
      </c>
      <c r="C29" s="9" t="s">
        <v>75</v>
      </c>
      <c r="D29" s="11"/>
      <c r="E29" s="11"/>
      <c r="F29" s="11"/>
      <c r="G29" s="11"/>
      <c r="H29" s="11">
        <v>120</v>
      </c>
      <c r="I29" s="15"/>
      <c r="J29" s="12">
        <f t="shared" si="1"/>
        <v>24058.07</v>
      </c>
      <c r="K29" s="12">
        <f t="shared" si="0"/>
        <v>31378.87999999999</v>
      </c>
    </row>
    <row r="30" spans="2:11" x14ac:dyDescent="0.25">
      <c r="B30" s="18">
        <v>43442</v>
      </c>
      <c r="C30" s="9" t="s">
        <v>966</v>
      </c>
      <c r="D30" s="11">
        <v>45165</v>
      </c>
      <c r="E30" s="11"/>
      <c r="F30" s="11"/>
      <c r="G30" s="11"/>
      <c r="H30" s="11"/>
      <c r="I30" s="15"/>
      <c r="J30" s="12">
        <f t="shared" si="1"/>
        <v>24058.07</v>
      </c>
      <c r="K30" s="12">
        <f t="shared" si="0"/>
        <v>76543.87999999999</v>
      </c>
    </row>
    <row r="31" spans="2:11" x14ac:dyDescent="0.25">
      <c r="B31" s="18">
        <v>43444</v>
      </c>
      <c r="C31" s="9" t="s">
        <v>967</v>
      </c>
      <c r="D31" s="11"/>
      <c r="E31" s="11"/>
      <c r="F31" s="11"/>
      <c r="G31" s="11"/>
      <c r="H31" s="59">
        <v>400</v>
      </c>
      <c r="I31" s="15"/>
      <c r="J31" s="12">
        <f t="shared" si="1"/>
        <v>24058.07</v>
      </c>
      <c r="K31" s="12">
        <f t="shared" si="0"/>
        <v>76143.87999999999</v>
      </c>
    </row>
    <row r="32" spans="2:11" x14ac:dyDescent="0.25">
      <c r="B32" s="18">
        <v>43444</v>
      </c>
      <c r="C32" s="9" t="s">
        <v>968</v>
      </c>
      <c r="D32" s="11"/>
      <c r="E32" s="11"/>
      <c r="F32" s="11"/>
      <c r="G32" s="11"/>
      <c r="H32" s="11">
        <v>40</v>
      </c>
      <c r="I32" s="15"/>
      <c r="J32" s="12">
        <f t="shared" si="1"/>
        <v>24058.07</v>
      </c>
      <c r="K32" s="12">
        <f t="shared" si="0"/>
        <v>76103.87999999999</v>
      </c>
    </row>
    <row r="33" spans="2:11" x14ac:dyDescent="0.25">
      <c r="B33" s="18">
        <v>43444</v>
      </c>
      <c r="C33" s="9" t="s">
        <v>969</v>
      </c>
      <c r="D33" s="11"/>
      <c r="E33" s="11"/>
      <c r="F33" s="11"/>
      <c r="G33" s="11"/>
      <c r="H33" s="11">
        <v>300</v>
      </c>
      <c r="I33" s="15"/>
      <c r="J33" s="12">
        <f t="shared" si="1"/>
        <v>24058.07</v>
      </c>
      <c r="K33" s="12">
        <f t="shared" si="0"/>
        <v>75803.87999999999</v>
      </c>
    </row>
    <row r="34" spans="2:11" x14ac:dyDescent="0.25">
      <c r="B34" s="18">
        <v>43444</v>
      </c>
      <c r="C34" s="9" t="s">
        <v>970</v>
      </c>
      <c r="D34" s="11"/>
      <c r="E34" s="11"/>
      <c r="F34" s="11"/>
      <c r="G34" s="11"/>
      <c r="H34" s="11">
        <v>184</v>
      </c>
      <c r="I34" s="15"/>
      <c r="J34" s="12">
        <f t="shared" si="1"/>
        <v>24058.07</v>
      </c>
      <c r="K34" s="12">
        <f t="shared" si="0"/>
        <v>75619.87999999999</v>
      </c>
    </row>
    <row r="35" spans="2:11" x14ac:dyDescent="0.25">
      <c r="B35" s="18">
        <v>43444</v>
      </c>
      <c r="C35" s="9" t="s">
        <v>804</v>
      </c>
      <c r="D35" s="11"/>
      <c r="E35" s="11"/>
      <c r="F35" s="11"/>
      <c r="G35" s="11"/>
      <c r="H35" s="11">
        <v>108</v>
      </c>
      <c r="I35" s="15"/>
      <c r="J35" s="12">
        <f t="shared" si="1"/>
        <v>24058.07</v>
      </c>
      <c r="K35" s="12">
        <f t="shared" si="0"/>
        <v>75511.87999999999</v>
      </c>
    </row>
    <row r="36" spans="2:11" x14ac:dyDescent="0.25">
      <c r="B36" s="18">
        <v>43444</v>
      </c>
      <c r="C36" s="9" t="s">
        <v>971</v>
      </c>
      <c r="D36" s="11"/>
      <c r="E36" s="11"/>
      <c r="F36" s="11"/>
      <c r="G36" s="11"/>
      <c r="H36" s="11">
        <v>52</v>
      </c>
      <c r="I36" s="15"/>
      <c r="J36" s="12">
        <f t="shared" si="1"/>
        <v>24058.07</v>
      </c>
      <c r="K36" s="12">
        <f t="shared" si="0"/>
        <v>75459.87999999999</v>
      </c>
    </row>
    <row r="37" spans="2:11" x14ac:dyDescent="0.25">
      <c r="B37" s="18">
        <v>43444</v>
      </c>
      <c r="C37" s="9" t="s">
        <v>972</v>
      </c>
      <c r="D37" s="11"/>
      <c r="E37" s="11"/>
      <c r="F37" s="11"/>
      <c r="G37" s="11"/>
      <c r="H37" s="11">
        <v>400</v>
      </c>
      <c r="I37" s="15"/>
      <c r="J37" s="12">
        <f t="shared" si="1"/>
        <v>24058.07</v>
      </c>
      <c r="K37" s="12">
        <f t="shared" si="0"/>
        <v>75059.87999999999</v>
      </c>
    </row>
    <row r="38" spans="2:11" x14ac:dyDescent="0.25">
      <c r="B38" s="18">
        <v>43447</v>
      </c>
      <c r="C38" s="9" t="s">
        <v>973</v>
      </c>
      <c r="D38" s="11"/>
      <c r="E38" s="11"/>
      <c r="F38" s="11"/>
      <c r="G38" s="11"/>
      <c r="H38" s="11">
        <v>1161</v>
      </c>
      <c r="I38" s="15"/>
      <c r="J38" s="12">
        <f t="shared" si="1"/>
        <v>24058.07</v>
      </c>
      <c r="K38" s="12">
        <f t="shared" si="0"/>
        <v>73898.87999999999</v>
      </c>
    </row>
    <row r="39" spans="2:11" x14ac:dyDescent="0.25">
      <c r="B39" s="18">
        <v>43447</v>
      </c>
      <c r="C39" s="9" t="s">
        <v>949</v>
      </c>
      <c r="D39" s="11"/>
      <c r="E39" s="11"/>
      <c r="F39" s="11"/>
      <c r="G39" s="11"/>
      <c r="H39" s="11">
        <v>300</v>
      </c>
      <c r="I39" s="15"/>
      <c r="J39" s="12">
        <f t="shared" si="1"/>
        <v>24058.07</v>
      </c>
      <c r="K39" s="12">
        <f t="shared" si="0"/>
        <v>73598.87999999999</v>
      </c>
    </row>
    <row r="40" spans="2:11" x14ac:dyDescent="0.25">
      <c r="B40" s="18">
        <v>43447</v>
      </c>
      <c r="C40" s="9" t="s">
        <v>974</v>
      </c>
      <c r="D40" s="11"/>
      <c r="E40" s="11"/>
      <c r="F40" s="11"/>
      <c r="G40" s="11"/>
      <c r="H40" s="11">
        <v>140</v>
      </c>
      <c r="I40" s="15"/>
      <c r="J40" s="12">
        <f t="shared" si="1"/>
        <v>24058.07</v>
      </c>
      <c r="K40" s="12">
        <f t="shared" si="0"/>
        <v>73458.87999999999</v>
      </c>
    </row>
    <row r="41" spans="2:11" x14ac:dyDescent="0.25">
      <c r="B41" s="18">
        <v>43447</v>
      </c>
      <c r="C41" s="9" t="s">
        <v>975</v>
      </c>
      <c r="D41" s="11"/>
      <c r="E41" s="11"/>
      <c r="F41" s="11"/>
      <c r="G41" s="11"/>
      <c r="H41" s="59">
        <v>778</v>
      </c>
      <c r="I41" s="15"/>
      <c r="J41" s="12">
        <f t="shared" si="1"/>
        <v>24058.07</v>
      </c>
      <c r="K41" s="12">
        <f t="shared" si="0"/>
        <v>72680.87999999999</v>
      </c>
    </row>
    <row r="42" spans="2:11" x14ac:dyDescent="0.25">
      <c r="B42" s="18">
        <v>43448</v>
      </c>
      <c r="C42" s="9" t="s">
        <v>976</v>
      </c>
      <c r="D42" s="11"/>
      <c r="E42" s="11"/>
      <c r="F42" s="11"/>
      <c r="G42" s="11"/>
      <c r="H42" s="59">
        <v>150</v>
      </c>
      <c r="I42" s="15"/>
      <c r="J42" s="12">
        <f t="shared" si="1"/>
        <v>24058.07</v>
      </c>
      <c r="K42" s="12">
        <f t="shared" si="0"/>
        <v>72530.87999999999</v>
      </c>
    </row>
    <row r="43" spans="2:11" x14ac:dyDescent="0.25">
      <c r="B43" s="18">
        <v>43448</v>
      </c>
      <c r="C43" s="9" t="s">
        <v>977</v>
      </c>
      <c r="D43" s="11"/>
      <c r="E43" s="11"/>
      <c r="F43" s="11"/>
      <c r="G43" s="11"/>
      <c r="H43" s="59">
        <v>300</v>
      </c>
      <c r="I43" s="15"/>
      <c r="J43" s="12">
        <f t="shared" si="1"/>
        <v>24058.07</v>
      </c>
      <c r="K43" s="12">
        <f t="shared" si="0"/>
        <v>72230.87999999999</v>
      </c>
    </row>
    <row r="44" spans="2:11" x14ac:dyDescent="0.25">
      <c r="B44" s="18">
        <v>43448</v>
      </c>
      <c r="C44" s="9" t="s">
        <v>978</v>
      </c>
      <c r="D44" s="11"/>
      <c r="E44" s="11"/>
      <c r="F44" s="11"/>
      <c r="G44" s="11"/>
      <c r="H44" s="59">
        <v>1250</v>
      </c>
      <c r="I44" s="15"/>
      <c r="J44" s="12">
        <f t="shared" si="1"/>
        <v>24058.07</v>
      </c>
      <c r="K44" s="12">
        <f t="shared" si="0"/>
        <v>70980.87999999999</v>
      </c>
    </row>
    <row r="45" spans="2:11" x14ac:dyDescent="0.25">
      <c r="B45" s="18">
        <v>43449</v>
      </c>
      <c r="C45" s="13" t="s">
        <v>979</v>
      </c>
      <c r="D45" s="41"/>
      <c r="E45" s="41"/>
      <c r="F45" s="41"/>
      <c r="G45" s="41"/>
      <c r="H45" s="11">
        <v>350</v>
      </c>
      <c r="I45" s="15"/>
      <c r="J45" s="12">
        <f t="shared" si="1"/>
        <v>24058.07</v>
      </c>
      <c r="K45" s="12">
        <f t="shared" si="0"/>
        <v>70630.87999999999</v>
      </c>
    </row>
    <row r="46" spans="2:11" x14ac:dyDescent="0.25">
      <c r="B46" s="18">
        <v>43449</v>
      </c>
      <c r="C46" s="13" t="s">
        <v>980</v>
      </c>
      <c r="D46" s="41"/>
      <c r="E46" s="41"/>
      <c r="F46" s="41"/>
      <c r="G46" s="16"/>
      <c r="H46" s="11">
        <v>550</v>
      </c>
      <c r="I46" s="15"/>
      <c r="J46" s="12">
        <f t="shared" si="1"/>
        <v>24058.07</v>
      </c>
      <c r="K46" s="12">
        <f t="shared" si="0"/>
        <v>70080.87999999999</v>
      </c>
    </row>
    <row r="47" spans="2:11" x14ac:dyDescent="0.25">
      <c r="B47" s="18">
        <v>43449</v>
      </c>
      <c r="C47" s="13" t="s">
        <v>981</v>
      </c>
      <c r="D47" s="41"/>
      <c r="E47" s="41"/>
      <c r="F47" s="41"/>
      <c r="G47" s="41"/>
      <c r="H47" s="11">
        <v>2000</v>
      </c>
      <c r="I47" s="15"/>
      <c r="J47" s="12">
        <f t="shared" si="1"/>
        <v>24058.07</v>
      </c>
      <c r="K47" s="12">
        <f t="shared" si="0"/>
        <v>68080.87999999999</v>
      </c>
    </row>
    <row r="48" spans="2:11" x14ac:dyDescent="0.25">
      <c r="B48" s="18">
        <v>43449</v>
      </c>
      <c r="C48" s="21" t="s">
        <v>983</v>
      </c>
      <c r="D48" s="11"/>
      <c r="E48" s="11"/>
      <c r="F48" s="11"/>
      <c r="G48" s="11"/>
      <c r="H48" s="11">
        <v>4000</v>
      </c>
      <c r="I48" s="15"/>
      <c r="J48" s="12">
        <f t="shared" si="1"/>
        <v>24058.07</v>
      </c>
      <c r="K48" s="12">
        <f t="shared" si="0"/>
        <v>64080.87999999999</v>
      </c>
    </row>
    <row r="49" spans="2:11" x14ac:dyDescent="0.25">
      <c r="B49" s="18">
        <v>43449</v>
      </c>
      <c r="C49" s="21" t="s">
        <v>984</v>
      </c>
      <c r="D49" s="11"/>
      <c r="E49" s="11"/>
      <c r="F49" s="11"/>
      <c r="G49" s="11"/>
      <c r="H49" s="11">
        <v>40000</v>
      </c>
      <c r="I49" s="15"/>
      <c r="J49" s="12">
        <f t="shared" si="1"/>
        <v>24058.07</v>
      </c>
      <c r="K49" s="12">
        <f t="shared" si="0"/>
        <v>24080.87999999999</v>
      </c>
    </row>
    <row r="50" spans="2:11" x14ac:dyDescent="0.25">
      <c r="B50" s="18">
        <v>43449</v>
      </c>
      <c r="C50" s="13" t="s">
        <v>985</v>
      </c>
      <c r="D50" s="11"/>
      <c r="E50" s="11"/>
      <c r="F50" s="11"/>
      <c r="G50" s="11"/>
      <c r="H50" s="11">
        <v>9300</v>
      </c>
      <c r="I50" s="15"/>
      <c r="J50" s="12">
        <f t="shared" si="1"/>
        <v>24058.07</v>
      </c>
      <c r="K50" s="12">
        <f t="shared" si="0"/>
        <v>14780.87999999999</v>
      </c>
    </row>
    <row r="51" spans="2:11" x14ac:dyDescent="0.25">
      <c r="B51" s="18">
        <v>43450</v>
      </c>
      <c r="C51" s="137" t="s">
        <v>986</v>
      </c>
      <c r="D51" s="11"/>
      <c r="E51" s="11"/>
      <c r="F51" s="11"/>
      <c r="G51" s="11">
        <v>1760</v>
      </c>
      <c r="H51" s="11"/>
      <c r="I51" s="15"/>
      <c r="J51" s="12">
        <f>+J50+E51-G51</f>
        <v>22298.07</v>
      </c>
      <c r="K51" s="12">
        <f t="shared" si="0"/>
        <v>14780.87999999999</v>
      </c>
    </row>
    <row r="52" spans="2:11" x14ac:dyDescent="0.25">
      <c r="B52" s="18">
        <v>43450</v>
      </c>
      <c r="C52" s="137" t="s">
        <v>987</v>
      </c>
      <c r="D52" s="11"/>
      <c r="E52" s="11"/>
      <c r="F52" s="11"/>
      <c r="G52" s="11">
        <v>2600</v>
      </c>
      <c r="H52" s="11"/>
      <c r="I52" s="15"/>
      <c r="J52" s="12">
        <f t="shared" si="1"/>
        <v>19698.07</v>
      </c>
      <c r="K52" s="12">
        <f t="shared" si="0"/>
        <v>14780.87999999999</v>
      </c>
    </row>
    <row r="53" spans="2:11" x14ac:dyDescent="0.25">
      <c r="B53" s="18">
        <v>43450</v>
      </c>
      <c r="C53" s="13" t="s">
        <v>548</v>
      </c>
      <c r="D53" s="41"/>
      <c r="E53" s="41"/>
      <c r="F53" s="41"/>
      <c r="G53" s="41"/>
      <c r="H53" s="11">
        <v>78</v>
      </c>
      <c r="I53" s="15"/>
      <c r="J53" s="12">
        <f t="shared" si="1"/>
        <v>19698.07</v>
      </c>
      <c r="K53" s="12">
        <f t="shared" si="0"/>
        <v>14702.87999999999</v>
      </c>
    </row>
    <row r="54" spans="2:11" ht="15.75" thickBot="1" x14ac:dyDescent="0.3">
      <c r="B54" s="18">
        <v>43450</v>
      </c>
      <c r="C54" s="9" t="s">
        <v>625</v>
      </c>
      <c r="D54" s="11"/>
      <c r="E54" s="11"/>
      <c r="F54" s="11"/>
      <c r="G54" s="11"/>
      <c r="H54" s="59">
        <v>10</v>
      </c>
      <c r="I54" s="15"/>
      <c r="J54" s="12">
        <f t="shared" si="1"/>
        <v>19698.07</v>
      </c>
      <c r="K54" s="12">
        <f t="shared" si="0"/>
        <v>14692.87999999999</v>
      </c>
    </row>
    <row r="55" spans="2:11" ht="15.75" thickBot="1" x14ac:dyDescent="0.3">
      <c r="B55" s="5"/>
      <c r="C55" s="7" t="s">
        <v>0</v>
      </c>
      <c r="D55" s="62">
        <f>SUM(D4:D54)</f>
        <v>74325</v>
      </c>
      <c r="E55" s="61">
        <f>SUM(E4:E47)</f>
        <v>0</v>
      </c>
      <c r="F55" s="71">
        <f>SUM(D55:E55)</f>
        <v>74325</v>
      </c>
      <c r="G55" s="80">
        <f>SUM(G4:G54)</f>
        <v>4360</v>
      </c>
      <c r="H55" s="62">
        <f>SUM(H4:H54)</f>
        <v>85430.38</v>
      </c>
      <c r="I55" s="71">
        <f>SUM(G55:H55)</f>
        <v>89790.38</v>
      </c>
      <c r="J55" s="20"/>
      <c r="K55" s="20"/>
    </row>
    <row r="56" spans="2:11" x14ac:dyDescent="0.25">
      <c r="B56" s="68" t="s">
        <v>1</v>
      </c>
      <c r="C56" s="68" t="s">
        <v>2</v>
      </c>
      <c r="D56" s="68" t="s">
        <v>3</v>
      </c>
      <c r="E56" s="68" t="s">
        <v>3</v>
      </c>
      <c r="F56" s="68" t="s">
        <v>22</v>
      </c>
      <c r="G56" s="68" t="s">
        <v>23</v>
      </c>
      <c r="H56" s="48" t="s">
        <v>23</v>
      </c>
      <c r="I56" s="48" t="s">
        <v>22</v>
      </c>
      <c r="J56" s="68" t="s">
        <v>8</v>
      </c>
      <c r="K56" s="48" t="s">
        <v>7</v>
      </c>
    </row>
    <row r="57" spans="2:11" ht="15.75" thickBot="1" x14ac:dyDescent="0.3">
      <c r="B57" s="69"/>
      <c r="C57" s="69"/>
      <c r="D57" s="69" t="s">
        <v>5</v>
      </c>
      <c r="E57" s="69" t="s">
        <v>24</v>
      </c>
      <c r="F57" s="69" t="s">
        <v>3</v>
      </c>
      <c r="G57" s="69" t="s">
        <v>24</v>
      </c>
      <c r="H57" s="70" t="s">
        <v>5</v>
      </c>
      <c r="I57" s="70" t="s">
        <v>4</v>
      </c>
      <c r="J57" s="69"/>
      <c r="K57" s="70"/>
    </row>
    <row r="58" spans="2:11" ht="15.75" thickBot="1" x14ac:dyDescent="0.3">
      <c r="B58" s="5"/>
      <c r="C58" s="7"/>
      <c r="D58" s="62">
        <v>74325</v>
      </c>
      <c r="E58" s="61">
        <v>0</v>
      </c>
      <c r="F58" s="71">
        <f>SUM(D58:E58)</f>
        <v>74325</v>
      </c>
      <c r="G58" s="80">
        <v>4360</v>
      </c>
      <c r="H58" s="62">
        <v>85430.38</v>
      </c>
      <c r="I58" s="71">
        <f>SUM(G58:H58)</f>
        <v>89790.38</v>
      </c>
      <c r="J58" s="20">
        <v>19698.07</v>
      </c>
      <c r="K58" s="12">
        <v>14692.88</v>
      </c>
    </row>
    <row r="59" spans="2:11" x14ac:dyDescent="0.25">
      <c r="B59" s="18">
        <v>43450</v>
      </c>
      <c r="C59" s="9" t="s">
        <v>965</v>
      </c>
      <c r="D59" s="11"/>
      <c r="E59" s="11"/>
      <c r="F59" s="11"/>
      <c r="G59" s="11"/>
      <c r="H59" s="59">
        <v>89.5</v>
      </c>
      <c r="I59" s="15"/>
      <c r="J59" s="12">
        <f>+J58+E59-G59</f>
        <v>19698.07</v>
      </c>
      <c r="K59" s="12">
        <f t="shared" ref="K59:K109" si="2">+K58+D59-H59</f>
        <v>14603.38</v>
      </c>
    </row>
    <row r="60" spans="2:11" x14ac:dyDescent="0.25">
      <c r="B60" s="18">
        <v>43450</v>
      </c>
      <c r="C60" s="9" t="s">
        <v>988</v>
      </c>
      <c r="D60" s="11"/>
      <c r="E60" s="11"/>
      <c r="F60" s="11"/>
      <c r="G60" s="11"/>
      <c r="H60" s="59">
        <v>120</v>
      </c>
      <c r="I60" s="15"/>
      <c r="J60" s="12">
        <f t="shared" ref="J60:J109" si="3">+J59+E60-G60</f>
        <v>19698.07</v>
      </c>
      <c r="K60" s="12">
        <f t="shared" si="2"/>
        <v>14483.38</v>
      </c>
    </row>
    <row r="61" spans="2:11" x14ac:dyDescent="0.25">
      <c r="B61" s="18">
        <v>43450</v>
      </c>
      <c r="C61" s="9" t="s">
        <v>989</v>
      </c>
      <c r="D61" s="11">
        <v>28820</v>
      </c>
      <c r="E61" s="11"/>
      <c r="F61" s="11"/>
      <c r="G61" s="11"/>
      <c r="H61" s="59"/>
      <c r="I61" s="15"/>
      <c r="J61" s="12">
        <f t="shared" si="3"/>
        <v>19698.07</v>
      </c>
      <c r="K61" s="12">
        <f t="shared" si="2"/>
        <v>43303.38</v>
      </c>
    </row>
    <row r="62" spans="2:11" x14ac:dyDescent="0.25">
      <c r="B62" s="18">
        <v>43451</v>
      </c>
      <c r="C62" s="13" t="s">
        <v>990</v>
      </c>
      <c r="D62" s="11"/>
      <c r="E62" s="11"/>
      <c r="F62" s="11"/>
      <c r="G62" s="11"/>
      <c r="H62" s="11">
        <v>61.43</v>
      </c>
      <c r="I62" s="15"/>
      <c r="J62" s="12">
        <f t="shared" si="3"/>
        <v>19698.07</v>
      </c>
      <c r="K62" s="12">
        <f t="shared" si="2"/>
        <v>43241.95</v>
      </c>
    </row>
    <row r="63" spans="2:11" x14ac:dyDescent="0.25">
      <c r="B63" s="18">
        <v>43451</v>
      </c>
      <c r="C63" s="13" t="s">
        <v>991</v>
      </c>
      <c r="D63" s="11"/>
      <c r="E63" s="11"/>
      <c r="F63" s="11"/>
      <c r="G63" s="11"/>
      <c r="H63" s="11">
        <v>108</v>
      </c>
      <c r="I63" s="15"/>
      <c r="J63" s="12">
        <f t="shared" si="3"/>
        <v>19698.07</v>
      </c>
      <c r="K63" s="12">
        <f t="shared" si="2"/>
        <v>43133.95</v>
      </c>
    </row>
    <row r="64" spans="2:11" x14ac:dyDescent="0.25">
      <c r="B64" s="18">
        <v>43451</v>
      </c>
      <c r="C64" s="13" t="s">
        <v>992</v>
      </c>
      <c r="D64" s="11"/>
      <c r="E64" s="11"/>
      <c r="F64" s="11"/>
      <c r="G64" s="11"/>
      <c r="H64" s="11">
        <v>120</v>
      </c>
      <c r="I64" s="15"/>
      <c r="J64" s="12">
        <f t="shared" si="3"/>
        <v>19698.07</v>
      </c>
      <c r="K64" s="12">
        <f t="shared" si="2"/>
        <v>43013.95</v>
      </c>
    </row>
    <row r="65" spans="2:11" x14ac:dyDescent="0.25">
      <c r="B65" s="18">
        <v>43451</v>
      </c>
      <c r="C65" s="13" t="s">
        <v>993</v>
      </c>
      <c r="D65" s="11"/>
      <c r="E65" s="11">
        <v>12760</v>
      </c>
      <c r="F65" s="11"/>
      <c r="G65" s="11"/>
      <c r="H65" s="11"/>
      <c r="I65" s="15"/>
      <c r="J65" s="12">
        <f t="shared" si="3"/>
        <v>32458.07</v>
      </c>
      <c r="K65" s="12">
        <f t="shared" si="2"/>
        <v>43013.95</v>
      </c>
    </row>
    <row r="66" spans="2:11" x14ac:dyDescent="0.25">
      <c r="B66" s="18">
        <v>43452</v>
      </c>
      <c r="C66" s="13" t="s">
        <v>994</v>
      </c>
      <c r="D66" s="11"/>
      <c r="E66" s="11"/>
      <c r="F66" s="11"/>
      <c r="G66" s="11"/>
      <c r="H66" s="11">
        <v>550</v>
      </c>
      <c r="I66" s="15"/>
      <c r="J66" s="12">
        <f t="shared" si="3"/>
        <v>32458.07</v>
      </c>
      <c r="K66" s="12">
        <f t="shared" si="2"/>
        <v>42463.95</v>
      </c>
    </row>
    <row r="67" spans="2:11" x14ac:dyDescent="0.25">
      <c r="B67" s="18">
        <v>43452</v>
      </c>
      <c r="C67" s="13" t="s">
        <v>961</v>
      </c>
      <c r="D67" s="11"/>
      <c r="E67" s="11"/>
      <c r="F67" s="11"/>
      <c r="G67" s="11"/>
      <c r="H67" s="11">
        <v>50</v>
      </c>
      <c r="I67" s="15"/>
      <c r="J67" s="12">
        <f t="shared" si="3"/>
        <v>32458.07</v>
      </c>
      <c r="K67" s="12">
        <f t="shared" si="2"/>
        <v>42413.95</v>
      </c>
    </row>
    <row r="68" spans="2:11" x14ac:dyDescent="0.25">
      <c r="B68" s="18">
        <v>43452</v>
      </c>
      <c r="C68" s="13" t="s">
        <v>995</v>
      </c>
      <c r="D68" s="11"/>
      <c r="E68" s="11"/>
      <c r="F68" s="11"/>
      <c r="G68" s="11"/>
      <c r="H68" s="11">
        <v>55</v>
      </c>
      <c r="I68" s="15"/>
      <c r="J68" s="12">
        <f t="shared" si="3"/>
        <v>32458.07</v>
      </c>
      <c r="K68" s="12">
        <f t="shared" si="2"/>
        <v>42358.95</v>
      </c>
    </row>
    <row r="69" spans="2:11" x14ac:dyDescent="0.25">
      <c r="B69" s="18">
        <v>43452</v>
      </c>
      <c r="C69" s="13" t="s">
        <v>998</v>
      </c>
      <c r="D69" s="11"/>
      <c r="E69" s="11"/>
      <c r="F69" s="11"/>
      <c r="G69" s="11"/>
      <c r="H69" s="11">
        <v>162</v>
      </c>
      <c r="I69" s="15"/>
      <c r="J69" s="12">
        <f t="shared" si="3"/>
        <v>32458.07</v>
      </c>
      <c r="K69" s="12">
        <f t="shared" si="2"/>
        <v>42196.95</v>
      </c>
    </row>
    <row r="70" spans="2:11" x14ac:dyDescent="0.25">
      <c r="B70" s="18">
        <v>43118</v>
      </c>
      <c r="C70" s="35" t="s">
        <v>996</v>
      </c>
      <c r="D70" s="11"/>
      <c r="E70" s="11"/>
      <c r="F70" s="11"/>
      <c r="G70" s="11"/>
      <c r="H70" s="11">
        <v>200</v>
      </c>
      <c r="I70" s="15"/>
      <c r="J70" s="12">
        <f t="shared" si="3"/>
        <v>32458.07</v>
      </c>
      <c r="K70" s="12">
        <f t="shared" si="2"/>
        <v>41996.95</v>
      </c>
    </row>
    <row r="71" spans="2:11" x14ac:dyDescent="0.25">
      <c r="B71" s="18">
        <v>43452</v>
      </c>
      <c r="C71" s="34" t="s">
        <v>997</v>
      </c>
      <c r="D71" s="11"/>
      <c r="E71" s="11"/>
      <c r="F71" s="11"/>
      <c r="G71" s="11"/>
      <c r="H71" s="11">
        <v>250</v>
      </c>
      <c r="I71" s="15"/>
      <c r="J71" s="12">
        <f t="shared" si="3"/>
        <v>32458.07</v>
      </c>
      <c r="K71" s="12">
        <f t="shared" si="2"/>
        <v>41746.949999999997</v>
      </c>
    </row>
    <row r="72" spans="2:11" x14ac:dyDescent="0.25">
      <c r="B72" s="18">
        <v>43453</v>
      </c>
      <c r="C72" s="9" t="s">
        <v>999</v>
      </c>
      <c r="D72" s="11"/>
      <c r="E72" s="11"/>
      <c r="F72" s="11"/>
      <c r="G72" s="11"/>
      <c r="H72" s="11">
        <v>35</v>
      </c>
      <c r="I72" s="15"/>
      <c r="J72" s="12">
        <f t="shared" si="3"/>
        <v>32458.07</v>
      </c>
      <c r="K72" s="12">
        <f t="shared" si="2"/>
        <v>41711.949999999997</v>
      </c>
    </row>
    <row r="73" spans="2:11" x14ac:dyDescent="0.25">
      <c r="B73" s="18">
        <v>43453</v>
      </c>
      <c r="C73" s="9" t="s">
        <v>1000</v>
      </c>
      <c r="D73" s="11"/>
      <c r="E73" s="11"/>
      <c r="F73" s="11"/>
      <c r="G73" s="11"/>
      <c r="H73" s="11">
        <v>7500</v>
      </c>
      <c r="I73" s="15"/>
      <c r="J73" s="12">
        <f t="shared" si="3"/>
        <v>32458.07</v>
      </c>
      <c r="K73" s="12">
        <f t="shared" si="2"/>
        <v>34211.949999999997</v>
      </c>
    </row>
    <row r="74" spans="2:11" x14ac:dyDescent="0.25">
      <c r="B74" s="18">
        <v>43453</v>
      </c>
      <c r="C74" s="9" t="s">
        <v>949</v>
      </c>
      <c r="D74" s="11"/>
      <c r="E74" s="11"/>
      <c r="F74" s="11"/>
      <c r="G74" s="11"/>
      <c r="H74" s="11">
        <v>300</v>
      </c>
      <c r="I74" s="15"/>
      <c r="J74" s="12">
        <f t="shared" si="3"/>
        <v>32458.07</v>
      </c>
      <c r="K74" s="12">
        <f t="shared" si="2"/>
        <v>33911.949999999997</v>
      </c>
    </row>
    <row r="75" spans="2:11" x14ac:dyDescent="0.25">
      <c r="B75" s="18">
        <v>43453</v>
      </c>
      <c r="C75" s="35" t="s">
        <v>1001</v>
      </c>
      <c r="D75" s="11"/>
      <c r="E75" s="11"/>
      <c r="F75" s="11"/>
      <c r="G75" s="11"/>
      <c r="H75" s="11">
        <v>120</v>
      </c>
      <c r="I75" s="15"/>
      <c r="J75" s="12">
        <f t="shared" si="3"/>
        <v>32458.07</v>
      </c>
      <c r="K75" s="12">
        <f t="shared" si="2"/>
        <v>33791.949999999997</v>
      </c>
    </row>
    <row r="76" spans="2:11" x14ac:dyDescent="0.25">
      <c r="B76" s="18">
        <v>43454</v>
      </c>
      <c r="C76" s="34" t="s">
        <v>1002</v>
      </c>
      <c r="D76" s="11"/>
      <c r="E76" s="11"/>
      <c r="F76" s="11"/>
      <c r="G76" s="11"/>
      <c r="H76" s="11">
        <v>140</v>
      </c>
      <c r="I76" s="15"/>
      <c r="J76" s="12">
        <f t="shared" si="3"/>
        <v>32458.07</v>
      </c>
      <c r="K76" s="12">
        <f t="shared" si="2"/>
        <v>33651.949999999997</v>
      </c>
    </row>
    <row r="77" spans="2:11" x14ac:dyDescent="0.25">
      <c r="B77" s="18">
        <v>43454</v>
      </c>
      <c r="C77" s="35" t="s">
        <v>1003</v>
      </c>
      <c r="D77" s="11"/>
      <c r="E77" s="11"/>
      <c r="F77" s="11"/>
      <c r="G77" s="11"/>
      <c r="H77" s="11">
        <v>25</v>
      </c>
      <c r="I77" s="15"/>
      <c r="J77" s="12">
        <f t="shared" si="3"/>
        <v>32458.07</v>
      </c>
      <c r="K77" s="12">
        <f t="shared" si="2"/>
        <v>33626.949999999997</v>
      </c>
    </row>
    <row r="78" spans="2:11" x14ac:dyDescent="0.25">
      <c r="B78" s="18">
        <v>43454</v>
      </c>
      <c r="C78" s="34" t="s">
        <v>1005</v>
      </c>
      <c r="D78" s="11"/>
      <c r="E78" s="11"/>
      <c r="F78" s="11"/>
      <c r="G78" s="11"/>
      <c r="H78" s="11">
        <v>150</v>
      </c>
      <c r="I78" s="15"/>
      <c r="J78" s="12">
        <f t="shared" si="3"/>
        <v>32458.07</v>
      </c>
      <c r="K78" s="12">
        <f t="shared" si="2"/>
        <v>33476.949999999997</v>
      </c>
    </row>
    <row r="79" spans="2:11" x14ac:dyDescent="0.25">
      <c r="B79" s="18">
        <v>43454</v>
      </c>
      <c r="C79" s="13" t="s">
        <v>1004</v>
      </c>
      <c r="D79" s="11"/>
      <c r="E79" s="11"/>
      <c r="F79" s="11"/>
      <c r="G79" s="11"/>
      <c r="H79" s="11">
        <v>300</v>
      </c>
      <c r="I79" s="15"/>
      <c r="J79" s="12">
        <f t="shared" si="3"/>
        <v>32458.07</v>
      </c>
      <c r="K79" s="12">
        <f t="shared" si="2"/>
        <v>33176.949999999997</v>
      </c>
    </row>
    <row r="80" spans="2:11" x14ac:dyDescent="0.25">
      <c r="B80" s="18">
        <v>43454</v>
      </c>
      <c r="C80" s="9" t="s">
        <v>1006</v>
      </c>
      <c r="D80" s="11"/>
      <c r="E80" s="11"/>
      <c r="F80" s="11"/>
      <c r="G80" s="11"/>
      <c r="H80" s="11">
        <v>250</v>
      </c>
      <c r="I80" s="15"/>
      <c r="J80" s="12">
        <f t="shared" si="3"/>
        <v>32458.07</v>
      </c>
      <c r="K80" s="12">
        <f t="shared" si="2"/>
        <v>32926.949999999997</v>
      </c>
    </row>
    <row r="81" spans="2:11" x14ac:dyDescent="0.25">
      <c r="B81" s="18">
        <v>43454</v>
      </c>
      <c r="C81" s="9" t="s">
        <v>1001</v>
      </c>
      <c r="D81" s="11"/>
      <c r="E81" s="11"/>
      <c r="F81" s="11"/>
      <c r="G81" s="11"/>
      <c r="H81" s="11">
        <v>90</v>
      </c>
      <c r="I81" s="15"/>
      <c r="J81" s="12">
        <f t="shared" si="3"/>
        <v>32458.07</v>
      </c>
      <c r="K81" s="12">
        <f t="shared" si="2"/>
        <v>32836.949999999997</v>
      </c>
    </row>
    <row r="82" spans="2:11" x14ac:dyDescent="0.25">
      <c r="B82" s="18">
        <v>43455</v>
      </c>
      <c r="C82" s="9" t="s">
        <v>1007</v>
      </c>
      <c r="D82" s="11"/>
      <c r="E82" s="11"/>
      <c r="F82" s="11"/>
      <c r="G82" s="11"/>
      <c r="H82" s="11">
        <v>1250</v>
      </c>
      <c r="I82" s="15"/>
      <c r="J82" s="12">
        <f t="shared" si="3"/>
        <v>32458.07</v>
      </c>
      <c r="K82" s="12">
        <f t="shared" si="2"/>
        <v>31586.949999999997</v>
      </c>
    </row>
    <row r="83" spans="2:11" x14ac:dyDescent="0.25">
      <c r="B83" s="18">
        <v>43455</v>
      </c>
      <c r="C83" s="34" t="s">
        <v>1008</v>
      </c>
      <c r="D83" s="11"/>
      <c r="E83" s="11"/>
      <c r="F83" s="11"/>
      <c r="G83" s="11"/>
      <c r="H83" s="11">
        <v>75</v>
      </c>
      <c r="I83" s="15"/>
      <c r="J83" s="12">
        <f t="shared" si="3"/>
        <v>32458.07</v>
      </c>
      <c r="K83" s="12">
        <f t="shared" si="2"/>
        <v>31511.949999999997</v>
      </c>
    </row>
    <row r="84" spans="2:11" x14ac:dyDescent="0.25">
      <c r="B84" s="18">
        <v>43455</v>
      </c>
      <c r="C84" s="35" t="s">
        <v>625</v>
      </c>
      <c r="D84" s="11"/>
      <c r="E84" s="11"/>
      <c r="F84" s="11"/>
      <c r="G84" s="11"/>
      <c r="H84" s="11">
        <v>23.5</v>
      </c>
      <c r="I84" s="15"/>
      <c r="J84" s="12">
        <f t="shared" si="3"/>
        <v>32458.07</v>
      </c>
      <c r="K84" s="12">
        <f t="shared" si="2"/>
        <v>31488.449999999997</v>
      </c>
    </row>
    <row r="85" spans="2:11" x14ac:dyDescent="0.25">
      <c r="B85" s="18">
        <v>43455</v>
      </c>
      <c r="C85" s="9" t="s">
        <v>625</v>
      </c>
      <c r="D85" s="11"/>
      <c r="E85" s="11"/>
      <c r="F85" s="11"/>
      <c r="G85" s="11"/>
      <c r="H85" s="11">
        <v>90</v>
      </c>
      <c r="I85" s="15"/>
      <c r="J85" s="12">
        <f t="shared" si="3"/>
        <v>32458.07</v>
      </c>
      <c r="K85" s="12">
        <f t="shared" si="2"/>
        <v>31398.449999999997</v>
      </c>
    </row>
    <row r="86" spans="2:11" x14ac:dyDescent="0.25">
      <c r="B86" s="18">
        <v>43457</v>
      </c>
      <c r="C86" s="13" t="s">
        <v>548</v>
      </c>
      <c r="D86" s="41"/>
      <c r="E86" s="41"/>
      <c r="F86" s="41"/>
      <c r="G86" s="16"/>
      <c r="H86" s="11">
        <v>25</v>
      </c>
      <c r="I86" s="15"/>
      <c r="J86" s="12">
        <f t="shared" si="3"/>
        <v>32458.07</v>
      </c>
      <c r="K86" s="12">
        <f t="shared" si="2"/>
        <v>31373.449999999997</v>
      </c>
    </row>
    <row r="87" spans="2:11" x14ac:dyDescent="0.25">
      <c r="B87" s="18">
        <v>43457</v>
      </c>
      <c r="C87" s="13" t="s">
        <v>988</v>
      </c>
      <c r="D87" s="41"/>
      <c r="E87" s="41"/>
      <c r="F87" s="41"/>
      <c r="G87" s="16"/>
      <c r="H87" s="11">
        <v>120</v>
      </c>
      <c r="I87" s="15"/>
      <c r="J87" s="12">
        <f t="shared" si="3"/>
        <v>32458.07</v>
      </c>
      <c r="K87" s="12">
        <f t="shared" si="2"/>
        <v>31253.449999999997</v>
      </c>
    </row>
    <row r="88" spans="2:11" x14ac:dyDescent="0.25">
      <c r="B88" s="18">
        <v>43457</v>
      </c>
      <c r="C88" s="13" t="s">
        <v>1009</v>
      </c>
      <c r="D88" s="41"/>
      <c r="E88" s="41"/>
      <c r="F88" s="41"/>
      <c r="G88" s="16"/>
      <c r="H88" s="11">
        <v>150</v>
      </c>
      <c r="I88" s="15"/>
      <c r="J88" s="12">
        <f t="shared" si="3"/>
        <v>32458.07</v>
      </c>
      <c r="K88" s="12">
        <f t="shared" si="2"/>
        <v>31103.449999999997</v>
      </c>
    </row>
    <row r="89" spans="2:11" x14ac:dyDescent="0.25">
      <c r="B89" s="18">
        <v>43457</v>
      </c>
      <c r="C89" s="13" t="s">
        <v>1010</v>
      </c>
      <c r="D89" s="41"/>
      <c r="E89" s="41"/>
      <c r="F89" s="41"/>
      <c r="G89" s="16"/>
      <c r="H89" s="11">
        <v>116</v>
      </c>
      <c r="I89" s="15"/>
      <c r="J89" s="12">
        <f t="shared" si="3"/>
        <v>32458.07</v>
      </c>
      <c r="K89" s="12">
        <f t="shared" si="2"/>
        <v>30987.449999999997</v>
      </c>
    </row>
    <row r="90" spans="2:11" x14ac:dyDescent="0.25">
      <c r="B90" s="18">
        <v>43457</v>
      </c>
      <c r="C90" s="13" t="s">
        <v>1011</v>
      </c>
      <c r="D90" s="41">
        <v>45590</v>
      </c>
      <c r="E90" s="41"/>
      <c r="F90" s="41"/>
      <c r="G90" s="41"/>
      <c r="H90" s="11"/>
      <c r="I90" s="15"/>
      <c r="J90" s="12">
        <f t="shared" si="3"/>
        <v>32458.07</v>
      </c>
      <c r="K90" s="12">
        <f t="shared" si="2"/>
        <v>76577.45</v>
      </c>
    </row>
    <row r="91" spans="2:11" x14ac:dyDescent="0.25">
      <c r="B91" s="18">
        <v>43458</v>
      </c>
      <c r="C91" s="13" t="s">
        <v>1012</v>
      </c>
      <c r="D91" s="41"/>
      <c r="E91" s="41"/>
      <c r="F91" s="41"/>
      <c r="G91" s="41"/>
      <c r="H91" s="11">
        <v>709.49</v>
      </c>
      <c r="I91" s="15"/>
      <c r="J91" s="12">
        <f t="shared" si="3"/>
        <v>32458.07</v>
      </c>
      <c r="K91" s="12">
        <f t="shared" si="2"/>
        <v>75867.959999999992</v>
      </c>
    </row>
    <row r="92" spans="2:11" x14ac:dyDescent="0.25">
      <c r="B92" s="18">
        <v>43458</v>
      </c>
      <c r="C92" s="9" t="s">
        <v>1013</v>
      </c>
      <c r="D92" s="11"/>
      <c r="E92" s="11"/>
      <c r="F92" s="11"/>
      <c r="G92" s="11"/>
      <c r="H92" s="11">
        <v>5</v>
      </c>
      <c r="I92" s="15"/>
      <c r="J92" s="12">
        <f t="shared" si="3"/>
        <v>32458.07</v>
      </c>
      <c r="K92" s="12">
        <f t="shared" si="2"/>
        <v>75862.959999999992</v>
      </c>
    </row>
    <row r="93" spans="2:11" x14ac:dyDescent="0.25">
      <c r="B93" s="18">
        <v>43458</v>
      </c>
      <c r="C93" s="9" t="s">
        <v>1014</v>
      </c>
      <c r="D93" s="11"/>
      <c r="E93" s="11"/>
      <c r="F93" s="11"/>
      <c r="G93" s="11"/>
      <c r="H93" s="11">
        <v>970</v>
      </c>
      <c r="I93" s="15"/>
      <c r="J93" s="12">
        <f t="shared" si="3"/>
        <v>32458.07</v>
      </c>
      <c r="K93" s="12">
        <f t="shared" si="2"/>
        <v>74892.959999999992</v>
      </c>
    </row>
    <row r="94" spans="2:11" x14ac:dyDescent="0.25">
      <c r="B94" s="18">
        <v>43458</v>
      </c>
      <c r="C94" s="9" t="s">
        <v>548</v>
      </c>
      <c r="D94" s="11"/>
      <c r="E94" s="11"/>
      <c r="F94" s="11"/>
      <c r="G94" s="11"/>
      <c r="H94" s="11">
        <v>171</v>
      </c>
      <c r="I94" s="15"/>
      <c r="J94" s="12">
        <f t="shared" si="3"/>
        <v>32458.07</v>
      </c>
      <c r="K94" s="12">
        <f t="shared" si="2"/>
        <v>74721.959999999992</v>
      </c>
    </row>
    <row r="95" spans="2:11" x14ac:dyDescent="0.25">
      <c r="B95" s="18">
        <v>43458</v>
      </c>
      <c r="C95" s="9" t="s">
        <v>1015</v>
      </c>
      <c r="D95" s="11"/>
      <c r="E95" s="11"/>
      <c r="F95" s="11"/>
      <c r="G95" s="11"/>
      <c r="H95" s="11">
        <v>121.5</v>
      </c>
      <c r="I95" s="15"/>
      <c r="J95" s="12">
        <f t="shared" si="3"/>
        <v>32458.07</v>
      </c>
      <c r="K95" s="12">
        <f t="shared" si="2"/>
        <v>74600.459999999992</v>
      </c>
    </row>
    <row r="96" spans="2:11" x14ac:dyDescent="0.25">
      <c r="B96" s="18">
        <v>43458</v>
      </c>
      <c r="C96" s="9" t="s">
        <v>1016</v>
      </c>
      <c r="D96" s="11"/>
      <c r="E96" s="11"/>
      <c r="F96" s="11"/>
      <c r="G96" s="11"/>
      <c r="H96" s="11">
        <v>400</v>
      </c>
      <c r="I96" s="15"/>
      <c r="J96" s="12">
        <f t="shared" si="3"/>
        <v>32458.07</v>
      </c>
      <c r="K96" s="12">
        <f t="shared" si="2"/>
        <v>74200.459999999992</v>
      </c>
    </row>
    <row r="97" spans="2:12" x14ac:dyDescent="0.25">
      <c r="B97" s="18">
        <v>43458</v>
      </c>
      <c r="C97" s="9" t="s">
        <v>1017</v>
      </c>
      <c r="D97" s="11"/>
      <c r="E97" s="11"/>
      <c r="F97" s="11"/>
      <c r="G97" s="11"/>
      <c r="H97" s="11">
        <v>108</v>
      </c>
      <c r="I97" s="15"/>
      <c r="J97" s="12">
        <f t="shared" si="3"/>
        <v>32458.07</v>
      </c>
      <c r="K97" s="12">
        <f t="shared" si="2"/>
        <v>74092.459999999992</v>
      </c>
    </row>
    <row r="98" spans="2:12" x14ac:dyDescent="0.25">
      <c r="B98" s="18">
        <v>43461</v>
      </c>
      <c r="C98" s="9" t="s">
        <v>955</v>
      </c>
      <c r="D98" s="11"/>
      <c r="E98" s="11"/>
      <c r="F98" s="11"/>
      <c r="G98" s="11"/>
      <c r="H98" s="11">
        <v>18000</v>
      </c>
      <c r="I98" s="15"/>
      <c r="J98" s="12">
        <f t="shared" si="3"/>
        <v>32458.07</v>
      </c>
      <c r="K98" s="12">
        <f t="shared" si="2"/>
        <v>56092.459999999992</v>
      </c>
    </row>
    <row r="99" spans="2:12" x14ac:dyDescent="0.25">
      <c r="B99" s="18">
        <v>43461</v>
      </c>
      <c r="C99" s="35" t="s">
        <v>949</v>
      </c>
      <c r="D99" s="11"/>
      <c r="E99" s="11"/>
      <c r="F99" s="11"/>
      <c r="G99" s="11"/>
      <c r="H99" s="11">
        <v>300</v>
      </c>
      <c r="I99" s="15"/>
      <c r="J99" s="12">
        <f t="shared" si="3"/>
        <v>32458.07</v>
      </c>
      <c r="K99" s="12">
        <f t="shared" si="2"/>
        <v>55792.459999999992</v>
      </c>
    </row>
    <row r="100" spans="2:12" x14ac:dyDescent="0.25">
      <c r="B100" s="18">
        <v>43462</v>
      </c>
      <c r="C100" s="34" t="s">
        <v>1018</v>
      </c>
      <c r="D100" s="11"/>
      <c r="E100" s="11"/>
      <c r="F100" s="11"/>
      <c r="G100" s="11"/>
      <c r="H100" s="11">
        <v>1250</v>
      </c>
      <c r="I100" s="15"/>
      <c r="J100" s="12">
        <f t="shared" si="3"/>
        <v>32458.07</v>
      </c>
      <c r="K100" s="12">
        <f t="shared" si="2"/>
        <v>54542.459999999992</v>
      </c>
    </row>
    <row r="101" spans="2:12" x14ac:dyDescent="0.25">
      <c r="B101" s="18">
        <v>43464</v>
      </c>
      <c r="C101" s="9" t="s">
        <v>1019</v>
      </c>
      <c r="D101" s="11">
        <v>27470</v>
      </c>
      <c r="E101" s="11"/>
      <c r="F101" s="11"/>
      <c r="G101" s="11"/>
      <c r="H101" s="11"/>
      <c r="I101" s="15"/>
      <c r="J101" s="12">
        <f t="shared" si="3"/>
        <v>32458.07</v>
      </c>
      <c r="K101" s="12">
        <f t="shared" si="2"/>
        <v>82012.459999999992</v>
      </c>
    </row>
    <row r="102" spans="2:12" x14ac:dyDescent="0.25">
      <c r="B102" s="18">
        <v>43464</v>
      </c>
      <c r="C102" s="9" t="s">
        <v>965</v>
      </c>
      <c r="D102" s="11"/>
      <c r="E102" s="11"/>
      <c r="F102" s="11"/>
      <c r="G102" s="11"/>
      <c r="H102" s="11">
        <v>27</v>
      </c>
      <c r="I102" s="15"/>
      <c r="J102" s="12">
        <f t="shared" si="3"/>
        <v>32458.07</v>
      </c>
      <c r="K102" s="12">
        <f t="shared" si="2"/>
        <v>81985.459999999992</v>
      </c>
    </row>
    <row r="103" spans="2:12" x14ac:dyDescent="0.25">
      <c r="B103" s="18">
        <v>43464</v>
      </c>
      <c r="C103" s="9" t="s">
        <v>1028</v>
      </c>
      <c r="D103" s="11"/>
      <c r="E103" s="11"/>
      <c r="F103" s="11"/>
      <c r="G103" s="11"/>
      <c r="H103" s="11">
        <v>22</v>
      </c>
      <c r="I103" s="15"/>
      <c r="J103" s="12">
        <f t="shared" si="3"/>
        <v>32458.07</v>
      </c>
      <c r="K103" s="12">
        <f t="shared" si="2"/>
        <v>81963.459999999992</v>
      </c>
    </row>
    <row r="104" spans="2:12" x14ac:dyDescent="0.25">
      <c r="B104" s="18">
        <v>43464</v>
      </c>
      <c r="C104" s="9" t="s">
        <v>1030</v>
      </c>
      <c r="D104" s="11"/>
      <c r="E104" s="11"/>
      <c r="F104" s="11"/>
      <c r="G104" s="11"/>
      <c r="H104" s="11">
        <v>105</v>
      </c>
      <c r="I104" s="15"/>
      <c r="J104" s="12">
        <f t="shared" si="3"/>
        <v>32458.07</v>
      </c>
      <c r="K104" s="12">
        <f t="shared" si="2"/>
        <v>81858.459999999992</v>
      </c>
    </row>
    <row r="105" spans="2:12" x14ac:dyDescent="0.25">
      <c r="B105" s="18">
        <v>43464</v>
      </c>
      <c r="C105" s="13" t="s">
        <v>1029</v>
      </c>
      <c r="D105" s="11"/>
      <c r="E105" s="11"/>
      <c r="F105" s="11"/>
      <c r="G105" s="11"/>
      <c r="H105" s="11">
        <v>56</v>
      </c>
      <c r="I105" s="15"/>
      <c r="J105" s="12">
        <f t="shared" si="3"/>
        <v>32458.07</v>
      </c>
      <c r="K105" s="12">
        <f t="shared" si="2"/>
        <v>81802.459999999992</v>
      </c>
      <c r="L105" s="1"/>
    </row>
    <row r="106" spans="2:12" x14ac:dyDescent="0.25">
      <c r="B106" s="18">
        <v>43465</v>
      </c>
      <c r="C106" s="9" t="s">
        <v>1031</v>
      </c>
      <c r="D106" s="11"/>
      <c r="E106" s="11"/>
      <c r="F106" s="11"/>
      <c r="G106" s="11"/>
      <c r="H106" s="11">
        <v>57</v>
      </c>
      <c r="I106" s="15"/>
      <c r="J106" s="12">
        <f t="shared" si="3"/>
        <v>32458.07</v>
      </c>
      <c r="K106" s="12">
        <f t="shared" si="2"/>
        <v>81745.459999999992</v>
      </c>
    </row>
    <row r="107" spans="2:12" x14ac:dyDescent="0.25">
      <c r="B107" s="18">
        <v>43465</v>
      </c>
      <c r="C107" s="9" t="s">
        <v>1017</v>
      </c>
      <c r="D107" s="11"/>
      <c r="E107" s="11"/>
      <c r="F107" s="11"/>
      <c r="G107" s="11"/>
      <c r="H107" s="11">
        <v>144</v>
      </c>
      <c r="I107" s="15"/>
      <c r="J107" s="12">
        <f t="shared" si="3"/>
        <v>32458.07</v>
      </c>
      <c r="K107" s="12">
        <f t="shared" si="2"/>
        <v>81601.459999999992</v>
      </c>
    </row>
    <row r="108" spans="2:12" x14ac:dyDescent="0.25">
      <c r="B108" s="18">
        <v>43465</v>
      </c>
      <c r="C108" s="9"/>
      <c r="D108" s="11"/>
      <c r="E108" s="11"/>
      <c r="F108" s="11"/>
      <c r="G108" s="11"/>
      <c r="H108" s="11">
        <v>1330</v>
      </c>
      <c r="I108" s="15"/>
      <c r="J108" s="12">
        <f t="shared" si="3"/>
        <v>32458.07</v>
      </c>
      <c r="K108" s="12">
        <f t="shared" si="2"/>
        <v>80271.459999999992</v>
      </c>
    </row>
    <row r="109" spans="2:12" ht="15.75" thickBot="1" x14ac:dyDescent="0.3">
      <c r="B109" s="18">
        <v>43465</v>
      </c>
      <c r="C109" s="9" t="s">
        <v>1020</v>
      </c>
      <c r="D109" s="11"/>
      <c r="E109" s="11"/>
      <c r="F109" s="11"/>
      <c r="G109" s="11"/>
      <c r="H109" s="11">
        <v>300</v>
      </c>
      <c r="I109" s="15"/>
      <c r="J109" s="12">
        <f t="shared" si="3"/>
        <v>32458.07</v>
      </c>
      <c r="K109" s="12">
        <f t="shared" si="2"/>
        <v>79971.459999999992</v>
      </c>
    </row>
    <row r="110" spans="2:12" ht="15.75" thickBot="1" x14ac:dyDescent="0.3">
      <c r="B110" s="5"/>
      <c r="C110" s="7" t="s">
        <v>0</v>
      </c>
      <c r="D110" s="62">
        <f>SUM(D56:D109)</f>
        <v>176205</v>
      </c>
      <c r="E110" s="61">
        <f>SUM(E56:E105)</f>
        <v>12760</v>
      </c>
      <c r="F110" s="71">
        <f>SUM(D110:E110)</f>
        <v>188965</v>
      </c>
      <c r="G110" s="80">
        <f>SUM(G58:G109)</f>
        <v>4360</v>
      </c>
      <c r="H110" s="98">
        <f>SUM(H58:H109)</f>
        <v>122031.8</v>
      </c>
      <c r="I110" s="71">
        <f>SUM(G110:H110)</f>
        <v>126391.8</v>
      </c>
      <c r="J110" s="20">
        <v>0</v>
      </c>
      <c r="K110" s="20"/>
    </row>
    <row r="111" spans="2:12" x14ac:dyDescent="0.25">
      <c r="B111" s="68" t="s">
        <v>1</v>
      </c>
      <c r="C111" s="68" t="s">
        <v>2</v>
      </c>
      <c r="D111" s="68" t="s">
        <v>3</v>
      </c>
      <c r="E111" s="68" t="s">
        <v>3</v>
      </c>
      <c r="F111" s="68" t="s">
        <v>22</v>
      </c>
      <c r="G111" s="68" t="s">
        <v>23</v>
      </c>
      <c r="H111" s="48" t="s">
        <v>23</v>
      </c>
      <c r="I111" s="48" t="s">
        <v>22</v>
      </c>
      <c r="J111" s="68" t="s">
        <v>8</v>
      </c>
      <c r="K111" s="48" t="s">
        <v>7</v>
      </c>
    </row>
    <row r="112" spans="2:12" ht="15.75" thickBot="1" x14ac:dyDescent="0.3">
      <c r="B112" s="69"/>
      <c r="C112" s="69"/>
      <c r="D112" s="69" t="s">
        <v>5</v>
      </c>
      <c r="E112" s="69" t="s">
        <v>24</v>
      </c>
      <c r="F112" s="69" t="s">
        <v>3</v>
      </c>
      <c r="G112" s="69" t="s">
        <v>24</v>
      </c>
      <c r="H112" s="70" t="s">
        <v>5</v>
      </c>
      <c r="I112" s="70" t="s">
        <v>4</v>
      </c>
      <c r="J112" s="69"/>
      <c r="K112" s="70"/>
    </row>
    <row r="113" spans="2:11" ht="15.75" thickBot="1" x14ac:dyDescent="0.3">
      <c r="B113" s="5"/>
      <c r="C113" s="7" t="s">
        <v>0</v>
      </c>
      <c r="D113" s="62">
        <v>176205</v>
      </c>
      <c r="E113" s="61">
        <v>12760</v>
      </c>
      <c r="F113" s="71">
        <f>SUM(D113:E113)</f>
        <v>188965</v>
      </c>
      <c r="G113" s="80">
        <v>4360</v>
      </c>
      <c r="H113" s="62">
        <v>122031.8</v>
      </c>
      <c r="I113" s="71">
        <f>SUM(G113:H113)</f>
        <v>126391.8</v>
      </c>
      <c r="J113" s="19">
        <v>32458.07</v>
      </c>
      <c r="K113" s="19">
        <v>79971.460000000006</v>
      </c>
    </row>
    <row r="114" spans="2:11" x14ac:dyDescent="0.25">
      <c r="B114" s="18">
        <v>43465</v>
      </c>
      <c r="C114" s="9" t="s">
        <v>1021</v>
      </c>
      <c r="D114" s="11"/>
      <c r="E114" s="11"/>
      <c r="F114" s="11"/>
      <c r="G114" s="11"/>
      <c r="H114" s="11">
        <v>550</v>
      </c>
      <c r="I114" s="15"/>
      <c r="J114" s="12">
        <f t="shared" ref="J114:J120" si="4">+J113+E114-G114</f>
        <v>32458.07</v>
      </c>
      <c r="K114" s="12">
        <f>+K113+D114-H114</f>
        <v>79421.460000000006</v>
      </c>
    </row>
    <row r="115" spans="2:11" x14ac:dyDescent="0.25">
      <c r="B115" s="18">
        <v>43465</v>
      </c>
      <c r="C115" s="9" t="s">
        <v>1022</v>
      </c>
      <c r="D115" s="11"/>
      <c r="E115" s="11"/>
      <c r="F115" s="11"/>
      <c r="G115" s="11"/>
      <c r="H115" s="11">
        <v>2000</v>
      </c>
      <c r="I115" s="15"/>
      <c r="J115" s="12">
        <f t="shared" si="4"/>
        <v>32458.07</v>
      </c>
      <c r="K115" s="12">
        <f t="shared" ref="K115:K120" si="5">+K114+D115-H115</f>
        <v>77421.460000000006</v>
      </c>
    </row>
    <row r="116" spans="2:11" x14ac:dyDescent="0.25">
      <c r="B116" s="18">
        <v>43465</v>
      </c>
      <c r="C116" s="9" t="s">
        <v>1023</v>
      </c>
      <c r="D116" s="11"/>
      <c r="E116" s="11"/>
      <c r="F116" s="11"/>
      <c r="G116" s="11"/>
      <c r="H116" s="11">
        <v>4000</v>
      </c>
      <c r="I116" s="15"/>
      <c r="J116" s="12">
        <f t="shared" si="4"/>
        <v>32458.07</v>
      </c>
      <c r="K116" s="12">
        <f t="shared" si="5"/>
        <v>73421.460000000006</v>
      </c>
    </row>
    <row r="117" spans="2:11" x14ac:dyDescent="0.25">
      <c r="B117" s="18">
        <v>43465</v>
      </c>
      <c r="C117" s="21" t="s">
        <v>1024</v>
      </c>
      <c r="D117" s="11"/>
      <c r="E117" s="11"/>
      <c r="F117" s="11"/>
      <c r="G117" s="11"/>
      <c r="H117" s="11">
        <v>30000</v>
      </c>
      <c r="I117" s="15"/>
      <c r="J117" s="12">
        <f t="shared" si="4"/>
        <v>32458.07</v>
      </c>
      <c r="K117" s="12">
        <f t="shared" si="5"/>
        <v>43421.460000000006</v>
      </c>
    </row>
    <row r="118" spans="2:11" x14ac:dyDescent="0.25">
      <c r="B118" s="18">
        <v>43465</v>
      </c>
      <c r="C118" s="21" t="s">
        <v>1025</v>
      </c>
      <c r="D118" s="11"/>
      <c r="E118" s="11"/>
      <c r="F118" s="11"/>
      <c r="G118" s="11">
        <v>10000</v>
      </c>
      <c r="H118" s="11"/>
      <c r="I118" s="15"/>
      <c r="J118" s="12">
        <f t="shared" si="4"/>
        <v>22458.07</v>
      </c>
      <c r="K118" s="12">
        <f t="shared" si="5"/>
        <v>43421.460000000006</v>
      </c>
    </row>
    <row r="119" spans="2:11" x14ac:dyDescent="0.25">
      <c r="B119" s="18">
        <v>43465</v>
      </c>
      <c r="C119" s="9" t="s">
        <v>1026</v>
      </c>
      <c r="D119" s="11"/>
      <c r="E119" s="11">
        <v>400.46</v>
      </c>
      <c r="F119" s="11"/>
      <c r="G119" s="11"/>
      <c r="H119" s="11"/>
      <c r="I119" s="15"/>
      <c r="J119" s="12">
        <f t="shared" si="4"/>
        <v>22858.53</v>
      </c>
      <c r="K119" s="12">
        <f t="shared" si="5"/>
        <v>43421.460000000006</v>
      </c>
    </row>
    <row r="120" spans="2:11" x14ac:dyDescent="0.25">
      <c r="B120" s="18">
        <v>43465</v>
      </c>
      <c r="C120" s="9" t="s">
        <v>1027</v>
      </c>
      <c r="D120" s="11"/>
      <c r="E120" s="11">
        <v>800</v>
      </c>
      <c r="F120" s="11"/>
      <c r="G120" s="11"/>
      <c r="H120" s="11"/>
      <c r="I120" s="15"/>
      <c r="J120" s="12">
        <f t="shared" si="4"/>
        <v>23658.53</v>
      </c>
      <c r="K120" s="12">
        <f t="shared" si="5"/>
        <v>43421.460000000006</v>
      </c>
    </row>
    <row r="121" spans="2:11" x14ac:dyDescent="0.25">
      <c r="B121" s="18">
        <v>43465</v>
      </c>
      <c r="C121" s="9" t="s">
        <v>148</v>
      </c>
      <c r="D121" s="41"/>
      <c r="E121" s="41"/>
      <c r="F121" s="41"/>
      <c r="G121" s="16">
        <v>36</v>
      </c>
      <c r="H121" s="11"/>
      <c r="I121" s="15"/>
      <c r="J121" s="12">
        <f>+J120+E121-G121</f>
        <v>23622.53</v>
      </c>
      <c r="K121" s="12">
        <f>+K120+D121-H121</f>
        <v>43421.460000000006</v>
      </c>
    </row>
    <row r="122" spans="2:11" x14ac:dyDescent="0.25">
      <c r="B122" s="18">
        <v>43465</v>
      </c>
      <c r="C122" s="13" t="s">
        <v>149</v>
      </c>
      <c r="D122" s="41"/>
      <c r="E122" s="41"/>
      <c r="F122" s="41"/>
      <c r="G122" s="16">
        <v>5.76</v>
      </c>
      <c r="H122" s="11"/>
      <c r="I122" s="15"/>
      <c r="J122" s="12">
        <f>+J121+E122-G122</f>
        <v>23616.77</v>
      </c>
      <c r="K122" s="12">
        <f>+K121+D122-H122</f>
        <v>43421.460000000006</v>
      </c>
    </row>
    <row r="123" spans="2:11" ht="15.75" thickBot="1" x14ac:dyDescent="0.3">
      <c r="B123" s="18"/>
      <c r="C123" s="9"/>
      <c r="D123" s="41"/>
      <c r="E123" s="41"/>
      <c r="F123" s="41"/>
      <c r="G123" s="16"/>
      <c r="H123" s="11"/>
      <c r="I123" s="15"/>
      <c r="J123" s="12">
        <f>+J122+E123-G123</f>
        <v>23616.77</v>
      </c>
      <c r="K123" s="12">
        <f>+K122+D123-H123</f>
        <v>43421.460000000006</v>
      </c>
    </row>
    <row r="124" spans="2:11" ht="15.75" thickBot="1" x14ac:dyDescent="0.3">
      <c r="B124" s="5"/>
      <c r="C124" s="7" t="s">
        <v>0</v>
      </c>
      <c r="D124" s="62">
        <f>SUM(D113:D123)</f>
        <v>176205</v>
      </c>
      <c r="E124" s="61">
        <f>SUM(E113:E123)</f>
        <v>13960.46</v>
      </c>
      <c r="F124" s="71">
        <f>SUM(D124:E124)</f>
        <v>190165.46</v>
      </c>
      <c r="G124" s="80">
        <f>SUM(G113:G123)</f>
        <v>14401.76</v>
      </c>
      <c r="H124" s="62">
        <f>SUM(H113:H123)</f>
        <v>158581.79999999999</v>
      </c>
      <c r="I124" s="71">
        <f>SUM(G124:H124)</f>
        <v>172983.56</v>
      </c>
      <c r="J124" s="20"/>
      <c r="K124" s="20"/>
    </row>
    <row r="126" spans="2:11" ht="15.75" thickBot="1" x14ac:dyDescent="0.3"/>
    <row r="127" spans="2:11" ht="15.75" thickBot="1" x14ac:dyDescent="0.3">
      <c r="I127" s="74" t="s">
        <v>8</v>
      </c>
      <c r="J127" s="74" t="s">
        <v>7</v>
      </c>
      <c r="K127" s="95" t="s">
        <v>0</v>
      </c>
    </row>
    <row r="128" spans="2:11" ht="15.75" thickBot="1" x14ac:dyDescent="0.3">
      <c r="I128" s="77">
        <v>23616.77</v>
      </c>
      <c r="J128" s="77">
        <v>43421.46</v>
      </c>
      <c r="K128" s="20">
        <f>SUM(I128:J128)</f>
        <v>67038.23</v>
      </c>
    </row>
  </sheetData>
  <printOptions verticalCentered="1"/>
  <pageMargins left="0.70866141732283472" right="0" top="0.39370078740157483" bottom="0" header="0.31496062992125984" footer="0.31496062992125984"/>
  <pageSetup paperSize="9" scale="69" fitToHeight="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B1:N27"/>
  <sheetViews>
    <sheetView workbookViewId="0">
      <selection activeCell="I15" sqref="I15"/>
    </sheetView>
  </sheetViews>
  <sheetFormatPr baseColWidth="10" defaultRowHeight="15" x14ac:dyDescent="0.25"/>
  <cols>
    <col min="6" max="6" width="0" hidden="1" customWidth="1"/>
    <col min="10" max="10" width="0" hidden="1" customWidth="1"/>
  </cols>
  <sheetData>
    <row r="1" spans="2:14" ht="28.5" x14ac:dyDescent="0.45">
      <c r="B1" s="28"/>
      <c r="C1" s="46" t="s">
        <v>36</v>
      </c>
      <c r="D1" s="46"/>
      <c r="E1" s="46"/>
      <c r="F1" s="94"/>
      <c r="G1" s="94"/>
      <c r="H1" s="94"/>
      <c r="I1" s="94"/>
      <c r="J1" s="46"/>
      <c r="K1" s="46"/>
      <c r="L1" s="46"/>
      <c r="M1" s="46"/>
    </row>
    <row r="2" spans="2:14" ht="15.75" thickBot="1" x14ac:dyDescent="0.3">
      <c r="B2" s="136"/>
      <c r="C2" s="136"/>
      <c r="D2" s="136"/>
      <c r="E2" s="136"/>
      <c r="F2" s="136"/>
      <c r="G2" s="136"/>
      <c r="H2" s="136"/>
      <c r="I2" s="136"/>
      <c r="J2" s="82"/>
      <c r="K2" s="45"/>
      <c r="L2" s="82"/>
      <c r="M2" s="82"/>
    </row>
    <row r="3" spans="2:14" ht="15.75" thickBot="1" x14ac:dyDescent="0.3">
      <c r="C3" s="31"/>
      <c r="D3" s="31"/>
      <c r="N3" s="68" t="s">
        <v>30</v>
      </c>
    </row>
    <row r="4" spans="2:14" ht="15.75" thickBot="1" x14ac:dyDescent="0.3">
      <c r="B4" s="2" t="s">
        <v>1</v>
      </c>
      <c r="C4" s="4" t="s">
        <v>2</v>
      </c>
      <c r="D4" s="2" t="s">
        <v>3</v>
      </c>
      <c r="E4" s="3" t="s">
        <v>4</v>
      </c>
      <c r="F4" s="47"/>
      <c r="G4" s="47" t="s">
        <v>26</v>
      </c>
      <c r="H4" s="47" t="s">
        <v>27</v>
      </c>
      <c r="I4" s="47" t="s">
        <v>7</v>
      </c>
      <c r="J4" s="84"/>
      <c r="K4" s="48" t="s">
        <v>8</v>
      </c>
      <c r="L4" s="48" t="s">
        <v>28</v>
      </c>
      <c r="M4" s="87" t="s">
        <v>29</v>
      </c>
      <c r="N4" s="74" t="s">
        <v>31</v>
      </c>
    </row>
    <row r="5" spans="2:14" ht="15.75" thickBot="1" x14ac:dyDescent="0.3">
      <c r="B5" s="22"/>
      <c r="C5" s="49" t="s">
        <v>9</v>
      </c>
      <c r="D5" s="50"/>
      <c r="E5" s="8"/>
      <c r="F5" s="64">
        <v>3799.82</v>
      </c>
      <c r="G5" s="64"/>
      <c r="H5" s="64"/>
      <c r="I5" s="51">
        <v>3799.82</v>
      </c>
      <c r="J5" s="51"/>
      <c r="K5" s="12"/>
      <c r="L5" s="12"/>
      <c r="M5" s="12"/>
      <c r="N5" s="88"/>
    </row>
    <row r="6" spans="2:14" x14ac:dyDescent="0.25">
      <c r="B6" s="22">
        <v>42370</v>
      </c>
      <c r="C6" s="52" t="s">
        <v>10</v>
      </c>
      <c r="D6" s="11">
        <v>151565</v>
      </c>
      <c r="E6" s="11">
        <v>114325.83</v>
      </c>
      <c r="F6" s="83">
        <f t="shared" ref="F6:F11" si="0">SUM(F5+D6-E6)</f>
        <v>41038.990000000005</v>
      </c>
      <c r="G6" s="83"/>
      <c r="H6" s="83"/>
      <c r="I6" s="51">
        <f>+I5+D6-E6</f>
        <v>41038.990000000005</v>
      </c>
      <c r="J6" s="51"/>
      <c r="K6" s="12"/>
      <c r="L6" s="12"/>
      <c r="M6" s="12"/>
      <c r="N6" s="13"/>
    </row>
    <row r="7" spans="2:14" x14ac:dyDescent="0.25">
      <c r="B7" s="18">
        <v>42401</v>
      </c>
      <c r="C7" s="53" t="s">
        <v>11</v>
      </c>
      <c r="D7" s="16">
        <v>114584.5</v>
      </c>
      <c r="E7" s="11">
        <v>124184.41</v>
      </c>
      <c r="F7" s="83">
        <f t="shared" si="0"/>
        <v>31439.079999999987</v>
      </c>
      <c r="G7" s="83">
        <v>61060.29</v>
      </c>
      <c r="H7" s="83"/>
      <c r="I7" s="51">
        <v>31439.08</v>
      </c>
      <c r="J7" s="51"/>
      <c r="K7" s="12">
        <v>61060.29</v>
      </c>
      <c r="L7" s="12"/>
      <c r="M7" s="12"/>
      <c r="N7" s="13"/>
    </row>
    <row r="8" spans="2:14" x14ac:dyDescent="0.25">
      <c r="B8" s="18">
        <v>42430</v>
      </c>
      <c r="C8" s="54" t="s">
        <v>12</v>
      </c>
      <c r="D8" s="16">
        <v>73095</v>
      </c>
      <c r="E8" s="11">
        <v>102590.53</v>
      </c>
      <c r="F8" s="83">
        <f t="shared" si="0"/>
        <v>1943.5499999999884</v>
      </c>
      <c r="G8" s="83">
        <v>16561.11</v>
      </c>
      <c r="H8" s="83">
        <v>4416.24</v>
      </c>
      <c r="I8" s="51">
        <v>1943.55</v>
      </c>
      <c r="J8" s="51">
        <f>SUM(G7+G8-H8)</f>
        <v>73205.159999999989</v>
      </c>
      <c r="K8" s="12">
        <v>73205.16</v>
      </c>
      <c r="L8" s="12">
        <f t="shared" ref="L8:M11" si="1">SUM(D8+G8)</f>
        <v>89656.11</v>
      </c>
      <c r="M8" s="12">
        <f t="shared" si="1"/>
        <v>107006.77</v>
      </c>
      <c r="N8" s="85">
        <f>SUM(L8-M8)</f>
        <v>-17350.660000000003</v>
      </c>
    </row>
    <row r="9" spans="2:14" x14ac:dyDescent="0.25">
      <c r="B9" s="18">
        <v>42461</v>
      </c>
      <c r="C9" s="55" t="s">
        <v>13</v>
      </c>
      <c r="D9" s="11">
        <v>81055</v>
      </c>
      <c r="E9" s="11">
        <v>79032.37</v>
      </c>
      <c r="F9" s="83">
        <f t="shared" si="0"/>
        <v>3966.179999999993</v>
      </c>
      <c r="G9" s="83">
        <v>29020.46</v>
      </c>
      <c r="H9" s="83">
        <v>39549.440000000002</v>
      </c>
      <c r="I9" s="51">
        <v>3966.18</v>
      </c>
      <c r="J9" s="51">
        <f>SUM(J8+G9-H9)</f>
        <v>62676.179999999993</v>
      </c>
      <c r="K9" s="12">
        <v>62676.18</v>
      </c>
      <c r="L9" s="12">
        <f t="shared" si="1"/>
        <v>110075.45999999999</v>
      </c>
      <c r="M9" s="12">
        <f t="shared" si="1"/>
        <v>118581.81</v>
      </c>
      <c r="N9" s="85">
        <f>SUM(L9-M9)</f>
        <v>-8506.3500000000058</v>
      </c>
    </row>
    <row r="10" spans="2:14" x14ac:dyDescent="0.25">
      <c r="B10" s="18">
        <v>42491</v>
      </c>
      <c r="C10" s="55" t="s">
        <v>14</v>
      </c>
      <c r="D10" s="11">
        <v>103745</v>
      </c>
      <c r="E10" s="11">
        <v>104081.9</v>
      </c>
      <c r="F10" s="83">
        <f t="shared" si="0"/>
        <v>3629.2799999999988</v>
      </c>
      <c r="G10" s="83">
        <v>15060.46</v>
      </c>
      <c r="H10" s="83">
        <v>18515.2</v>
      </c>
      <c r="I10" s="51">
        <v>3629.28</v>
      </c>
      <c r="J10" s="51">
        <f>SUM(J9+G10-H10)</f>
        <v>59221.439999999988</v>
      </c>
      <c r="K10" s="12">
        <v>59221.440000000002</v>
      </c>
      <c r="L10" s="12">
        <f t="shared" si="1"/>
        <v>118805.45999999999</v>
      </c>
      <c r="M10" s="12">
        <f t="shared" si="1"/>
        <v>122597.09999999999</v>
      </c>
      <c r="N10" s="85">
        <f>SUM(L10-M10)</f>
        <v>-3791.6399999999994</v>
      </c>
    </row>
    <row r="11" spans="2:14" x14ac:dyDescent="0.25">
      <c r="B11" s="25">
        <v>42522</v>
      </c>
      <c r="C11" s="58" t="s">
        <v>15</v>
      </c>
      <c r="D11" s="59">
        <v>135735</v>
      </c>
      <c r="E11" s="59">
        <v>108304.15</v>
      </c>
      <c r="F11" s="83">
        <f t="shared" si="0"/>
        <v>31060.130000000005</v>
      </c>
      <c r="G11" s="83">
        <v>13060.46</v>
      </c>
      <c r="H11" s="83">
        <v>19346.439999999999</v>
      </c>
      <c r="I11" s="51">
        <v>31060.13</v>
      </c>
      <c r="J11" s="51">
        <f>SUM(J10+G11-H11)</f>
        <v>52935.459999999992</v>
      </c>
      <c r="K11" s="12">
        <v>52935.46</v>
      </c>
      <c r="L11" s="12">
        <f t="shared" si="1"/>
        <v>148795.46</v>
      </c>
      <c r="M11" s="12">
        <f t="shared" si="1"/>
        <v>127650.59</v>
      </c>
      <c r="N11" s="86">
        <f>SUM(L11-M11)</f>
        <v>21144.869999999995</v>
      </c>
    </row>
    <row r="12" spans="2:14" x14ac:dyDescent="0.25">
      <c r="B12" s="25">
        <v>42552</v>
      </c>
      <c r="C12" s="58" t="s">
        <v>16</v>
      </c>
      <c r="D12" s="59"/>
      <c r="E12" s="59"/>
      <c r="F12" s="83"/>
      <c r="G12" s="83"/>
      <c r="H12" s="83"/>
      <c r="I12" s="51"/>
      <c r="J12" s="51"/>
      <c r="K12" s="12"/>
      <c r="L12" s="12"/>
      <c r="M12" s="12"/>
      <c r="N12" s="13"/>
    </row>
    <row r="13" spans="2:14" x14ac:dyDescent="0.25">
      <c r="B13" s="18">
        <v>42583</v>
      </c>
      <c r="C13" s="55" t="s">
        <v>17</v>
      </c>
      <c r="D13" s="11"/>
      <c r="E13" s="11"/>
      <c r="F13" s="83"/>
      <c r="G13" s="83"/>
      <c r="H13" s="83"/>
      <c r="I13" s="51"/>
      <c r="J13" s="51"/>
      <c r="K13" s="12"/>
      <c r="L13" s="12"/>
      <c r="M13" s="12"/>
      <c r="N13" s="13"/>
    </row>
    <row r="14" spans="2:14" x14ac:dyDescent="0.25">
      <c r="B14" s="18">
        <v>42583</v>
      </c>
      <c r="C14" s="55" t="s">
        <v>17</v>
      </c>
      <c r="D14" s="11"/>
      <c r="E14" s="11"/>
      <c r="F14" s="83"/>
      <c r="G14" s="83"/>
      <c r="H14" s="83"/>
      <c r="I14" s="51"/>
      <c r="J14" s="51"/>
      <c r="K14" s="12"/>
      <c r="L14" s="12"/>
      <c r="M14" s="12"/>
      <c r="N14" s="13"/>
    </row>
    <row r="15" spans="2:14" x14ac:dyDescent="0.25">
      <c r="B15" s="18">
        <v>42614</v>
      </c>
      <c r="C15" s="56" t="s">
        <v>18</v>
      </c>
      <c r="D15" s="11"/>
      <c r="E15" s="11"/>
      <c r="F15" s="83"/>
      <c r="G15" s="83"/>
      <c r="H15" s="83"/>
      <c r="I15" s="51"/>
      <c r="J15" s="51"/>
      <c r="K15" s="12"/>
      <c r="L15" s="12"/>
      <c r="M15" s="12"/>
      <c r="N15" s="13"/>
    </row>
    <row r="16" spans="2:14" x14ac:dyDescent="0.25">
      <c r="B16" s="18">
        <v>42644</v>
      </c>
      <c r="C16" s="55" t="s">
        <v>19</v>
      </c>
      <c r="D16" s="11"/>
      <c r="E16" s="11"/>
      <c r="F16" s="83"/>
      <c r="G16" s="83"/>
      <c r="H16" s="83"/>
      <c r="I16" s="51"/>
      <c r="J16" s="51"/>
      <c r="K16" s="12"/>
      <c r="L16" s="12"/>
      <c r="M16" s="12"/>
      <c r="N16" s="13"/>
    </row>
    <row r="17" spans="2:14" x14ac:dyDescent="0.25">
      <c r="B17" s="18">
        <v>42645</v>
      </c>
      <c r="C17" s="56" t="s">
        <v>20</v>
      </c>
      <c r="D17" s="11"/>
      <c r="E17" s="11"/>
      <c r="F17" s="83"/>
      <c r="G17" s="83"/>
      <c r="H17" s="83"/>
      <c r="I17" s="51"/>
      <c r="J17" s="51"/>
      <c r="K17" s="12"/>
      <c r="L17" s="12"/>
      <c r="M17" s="12"/>
      <c r="N17" s="13"/>
    </row>
    <row r="18" spans="2:14" ht="15.75" thickBot="1" x14ac:dyDescent="0.3">
      <c r="B18" s="18">
        <v>42646</v>
      </c>
      <c r="C18" s="55" t="s">
        <v>21</v>
      </c>
      <c r="D18" s="11"/>
      <c r="E18" s="11"/>
      <c r="F18" s="83"/>
      <c r="G18" s="83"/>
      <c r="H18" s="83"/>
      <c r="I18" s="51"/>
      <c r="J18" s="51"/>
      <c r="K18" s="12"/>
      <c r="L18" s="12"/>
      <c r="M18" s="12"/>
      <c r="N18" s="13"/>
    </row>
    <row r="19" spans="2:14" ht="15.75" thickBot="1" x14ac:dyDescent="0.3">
      <c r="B19" s="30"/>
      <c r="C19" s="7" t="s">
        <v>0</v>
      </c>
      <c r="D19" s="6">
        <f>SUM(D5:D18)</f>
        <v>659779.5</v>
      </c>
      <c r="E19" s="6">
        <f>SUM(E6:E18)</f>
        <v>632519.19000000006</v>
      </c>
      <c r="F19" s="61"/>
      <c r="G19" s="61"/>
      <c r="H19" s="61"/>
      <c r="I19" s="19"/>
      <c r="J19" s="32"/>
      <c r="K19" s="32"/>
      <c r="L19" s="32"/>
      <c r="M19" s="32"/>
    </row>
    <row r="21" spans="2:14" ht="15.75" thickBot="1" x14ac:dyDescent="0.3">
      <c r="D21" s="57"/>
      <c r="E21" s="57"/>
      <c r="F21" s="57"/>
      <c r="G21" s="57"/>
      <c r="H21" s="57"/>
      <c r="I21" s="57"/>
      <c r="J21" s="57"/>
      <c r="K21" s="57"/>
      <c r="L21" s="57"/>
      <c r="M21" s="57"/>
    </row>
    <row r="22" spans="2:14" ht="15.75" thickBot="1" x14ac:dyDescent="0.3">
      <c r="B22" s="91"/>
    </row>
    <row r="23" spans="2:14" x14ac:dyDescent="0.25">
      <c r="B23" s="57" t="s">
        <v>32</v>
      </c>
      <c r="C23" s="57"/>
      <c r="D23" s="57"/>
      <c r="E23" s="57"/>
    </row>
    <row r="24" spans="2:14" x14ac:dyDescent="0.25">
      <c r="B24" s="57" t="s">
        <v>33</v>
      </c>
      <c r="C24" s="57"/>
      <c r="D24" s="57"/>
      <c r="E24" s="57"/>
    </row>
    <row r="25" spans="2:14" x14ac:dyDescent="0.25">
      <c r="B25" s="57" t="s">
        <v>34</v>
      </c>
      <c r="C25" s="57"/>
      <c r="D25" s="57"/>
      <c r="E25" s="57"/>
      <c r="G25" s="90"/>
      <c r="H25" s="89"/>
    </row>
    <row r="26" spans="2:14" x14ac:dyDescent="0.25">
      <c r="B26" s="92" t="s">
        <v>35</v>
      </c>
      <c r="H26" s="89"/>
      <c r="I26" s="57"/>
      <c r="J26" s="57"/>
      <c r="K26" s="57"/>
    </row>
    <row r="27" spans="2:14" x14ac:dyDescent="0.25">
      <c r="B27" s="93">
        <v>2955.13</v>
      </c>
      <c r="I27" s="57"/>
      <c r="J27" s="57"/>
      <c r="K27" s="57"/>
    </row>
  </sheetData>
  <mergeCells count="1">
    <mergeCell ref="B2:I2"/>
  </mergeCells>
  <pageMargins left="0" right="0.31496062992125984" top="0.74803149606299213" bottom="0.74803149606299213" header="0.31496062992125984" footer="0.31496062992125984"/>
  <pageSetup paperSize="9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K13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13</vt:i4>
      </vt:variant>
    </vt:vector>
  </HeadingPairs>
  <TitlesOfParts>
    <vt:vector size="27" baseType="lpstr">
      <vt:lpstr>ENERO-18 </vt:lpstr>
      <vt:lpstr>FEBRERO-18 </vt:lpstr>
      <vt:lpstr>MARZO-18</vt:lpstr>
      <vt:lpstr>ABRIL-18</vt:lpstr>
      <vt:lpstr>MAYO-18</vt:lpstr>
      <vt:lpstr>JUNIO-18</vt:lpstr>
      <vt:lpstr>JULIO-18</vt:lpstr>
      <vt:lpstr>AGOSTO-18</vt:lpstr>
      <vt:lpstr>SEPTIEMBRE-18</vt:lpstr>
      <vt:lpstr>OCTUBRE-18</vt:lpstr>
      <vt:lpstr>NOVIEMBRE-18 </vt:lpstr>
      <vt:lpstr>DICIEMBRE-18</vt:lpstr>
      <vt:lpstr>ESTADO DE CUENTA</vt:lpstr>
      <vt:lpstr>Hoja1</vt:lpstr>
      <vt:lpstr>'ABRIL-18'!Área_de_impresión</vt:lpstr>
      <vt:lpstr>'AGOSTO-18'!Área_de_impresión</vt:lpstr>
      <vt:lpstr>'DICIEMBRE-18'!Área_de_impresión</vt:lpstr>
      <vt:lpstr>'ENERO-18 '!Área_de_impresión</vt:lpstr>
      <vt:lpstr>'ESTADO DE CUENTA'!Área_de_impresión</vt:lpstr>
      <vt:lpstr>'FEBRERO-18 '!Área_de_impresión</vt:lpstr>
      <vt:lpstr>'JULIO-18'!Área_de_impresión</vt:lpstr>
      <vt:lpstr>'JUNIO-18'!Área_de_impresión</vt:lpstr>
      <vt:lpstr>'MARZO-18'!Área_de_impresión</vt:lpstr>
      <vt:lpstr>'MAYO-18'!Área_de_impresión</vt:lpstr>
      <vt:lpstr>'NOVIEMBRE-18 '!Área_de_impresión</vt:lpstr>
      <vt:lpstr>'OCTUBRE-18'!Área_de_impresión</vt:lpstr>
      <vt:lpstr>'SEPTIEMBRE-18'!Área_de_impresión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2018-12-14T02:18:43Z</cp:lastPrinted>
  <dcterms:created xsi:type="dcterms:W3CDTF">2014-03-03T21:03:38Z</dcterms:created>
  <dcterms:modified xsi:type="dcterms:W3CDTF">2019-01-09T17:17:57Z</dcterms:modified>
</cp:coreProperties>
</file>