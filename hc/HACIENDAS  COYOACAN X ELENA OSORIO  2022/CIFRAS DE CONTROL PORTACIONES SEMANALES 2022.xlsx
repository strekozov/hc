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X ELENA OSORIO  2022\"/>
    </mc:Choice>
  </mc:AlternateContent>
  <xr:revisionPtr revIDLastSave="0" documentId="8_{F7C77B73-5FEF-4FAC-BF47-540C49871274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C C Aportaciones ENE 22" sheetId="5" r:id="rId1"/>
    <sheet name="C C Aportaciones FEB 22" sheetId="6" r:id="rId2"/>
    <sheet name="C C Aportacines MAR 22" sheetId="7" r:id="rId3"/>
    <sheet name="C C Aportaciones ABR 22" sheetId="9" r:id="rId4"/>
    <sheet name="C C Aportaciones MAY 22" sheetId="12" r:id="rId5"/>
    <sheet name="C C Aportaciones JUN 22" sheetId="13" r:id="rId6"/>
    <sheet name="C C Aportaciones JUL 22   " sheetId="15" r:id="rId7"/>
    <sheet name="C C Aportaciones AGO 22   " sheetId="14" r:id="rId8"/>
    <sheet name="C C Aportaciones SEP 22" sheetId="16" r:id="rId9"/>
    <sheet name="C C Aportaciones OCT 22 " sheetId="17" r:id="rId10"/>
    <sheet name="C C Aportaciones NOV 22   " sheetId="18" r:id="rId11"/>
    <sheet name="C C Aportaciones DIC 22  " sheetId="8" r:id="rId12"/>
  </sheets>
  <definedNames>
    <definedName name="_xlnm.Print_Area" localSheetId="2">'C C Aportacines MAR 22'!$A$1:$O$4</definedName>
    <definedName name="_xlnm.Print_Area" localSheetId="3">'C C Aportaciones ABR 22'!$A$1:$O$4</definedName>
    <definedName name="_xlnm.Print_Area" localSheetId="7">'C C Aportaciones AGO 22   '!$A$1:$O$4</definedName>
    <definedName name="_xlnm.Print_Area" localSheetId="11">'C C Aportaciones DIC 22  '!$A$1:$O$4</definedName>
    <definedName name="_xlnm.Print_Area" localSheetId="0">'C C Aportaciones ENE 22'!$A$1:$O$74</definedName>
    <definedName name="_xlnm.Print_Area" localSheetId="1">'C C Aportaciones FEB 22'!$A$5:$V$132</definedName>
    <definedName name="_xlnm.Print_Area" localSheetId="6">'C C Aportaciones JUL 22   '!$A$1:$O$4</definedName>
    <definedName name="_xlnm.Print_Area" localSheetId="5">'C C Aportaciones JUN 22'!$A$1:$O$1</definedName>
    <definedName name="_xlnm.Print_Area" localSheetId="4">'C C Aportaciones MAY 22'!$A$1:$O$4</definedName>
    <definedName name="_xlnm.Print_Area" localSheetId="10">'C C Aportaciones NOV 22   '!$A$1:$O$1</definedName>
    <definedName name="_xlnm.Print_Area" localSheetId="9">'C C Aportaciones OCT 22 '!$A$1:$O$4</definedName>
    <definedName name="_xlnm.Print_Area" localSheetId="8">'C C Aportaciones SEP 22'!$A$1:$O$4</definedName>
    <definedName name="_xlnm.Print_Titles" localSheetId="2">'C C Aportacines MAR 22'!$1:$4</definedName>
    <definedName name="_xlnm.Print_Titles" localSheetId="3">'C C Aportaciones ABR 22'!$1:$4</definedName>
    <definedName name="_xlnm.Print_Titles" localSheetId="7">'C C Aportaciones AGO 22   '!$1:$4</definedName>
    <definedName name="_xlnm.Print_Titles" localSheetId="11">'C C Aportaciones DIC 22  '!$1:$4</definedName>
    <definedName name="_xlnm.Print_Titles" localSheetId="0">'C C Aportaciones ENE 22'!$1:$7</definedName>
    <definedName name="_xlnm.Print_Titles" localSheetId="1">'C C Aportaciones FEB 22'!$1:$7</definedName>
    <definedName name="_xlnm.Print_Titles" localSheetId="6">'C C Aportaciones JUL 22   '!$1:$4</definedName>
    <definedName name="_xlnm.Print_Titles" localSheetId="5">'C C Aportaciones JUN 22'!$1:$4</definedName>
    <definedName name="_xlnm.Print_Titles" localSheetId="4">'C C Aportaciones MAY 22'!$1:$4</definedName>
    <definedName name="_xlnm.Print_Titles" localSheetId="10">'C C Aportaciones NOV 22   '!$1:$4</definedName>
    <definedName name="_xlnm.Print_Titles" localSheetId="9">'C C Aportaciones OCT 22 '!$1:$4</definedName>
    <definedName name="_xlnm.Print_Titles" localSheetId="8">'C C Aportaciones SEP 22'!$1:$4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" l="1"/>
  <c r="Q6" i="5"/>
  <c r="K6" i="5"/>
  <c r="H6" i="8"/>
  <c r="K3" i="18"/>
  <c r="B6" i="14" l="1"/>
  <c r="H6" i="15"/>
  <c r="E6" i="15"/>
  <c r="B6" i="15"/>
  <c r="H6" i="17"/>
  <c r="B6" i="17" l="1"/>
  <c r="N6" i="17"/>
  <c r="K6" i="17"/>
  <c r="E6" i="17"/>
  <c r="N6" i="16" l="1"/>
  <c r="K6" i="16"/>
  <c r="H6" i="16"/>
  <c r="K6" i="14" l="1"/>
  <c r="N6" i="14"/>
  <c r="H6" i="14" l="1"/>
  <c r="E6" i="14" l="1"/>
  <c r="B6" i="8" l="1"/>
  <c r="A6" i="8"/>
  <c r="J3" i="18" l="1"/>
  <c r="H3" i="18" l="1"/>
  <c r="B3" i="18" l="1"/>
  <c r="E3" i="18" l="1"/>
  <c r="B6" i="9" l="1"/>
  <c r="A3" i="18" l="1"/>
  <c r="E6" i="9" l="1"/>
  <c r="D6" i="9"/>
  <c r="E6" i="7" l="1"/>
  <c r="B6" i="7" l="1"/>
  <c r="N6" i="5" l="1"/>
  <c r="M6" i="5"/>
  <c r="K6" i="7" l="1"/>
  <c r="H6" i="7"/>
  <c r="M6" i="7" l="1"/>
  <c r="N6" i="7"/>
  <c r="E6" i="12" l="1"/>
  <c r="H3" i="13" l="1"/>
  <c r="E3" i="13" l="1"/>
  <c r="N6" i="12" l="1"/>
  <c r="M6" i="12"/>
  <c r="K6" i="9" l="1"/>
  <c r="H6" i="9"/>
  <c r="E6" i="16" l="1"/>
  <c r="N3" i="18" l="1"/>
  <c r="M3" i="18"/>
  <c r="G3" i="18"/>
  <c r="D3" i="18"/>
  <c r="M6" i="17"/>
  <c r="J6" i="17"/>
  <c r="G6" i="17"/>
  <c r="D6" i="17"/>
  <c r="A6" i="17"/>
  <c r="I3" i="17"/>
  <c r="F3" i="17"/>
  <c r="M6" i="16"/>
  <c r="J6" i="16"/>
  <c r="G6" i="16"/>
  <c r="D6" i="16"/>
  <c r="B6" i="16"/>
  <c r="A6" i="16"/>
  <c r="I3" i="16"/>
  <c r="F3" i="16"/>
  <c r="N6" i="15"/>
  <c r="M6" i="15"/>
  <c r="K6" i="15"/>
  <c r="J6" i="15"/>
  <c r="G6" i="15"/>
  <c r="D6" i="15"/>
  <c r="A6" i="15"/>
  <c r="I3" i="15"/>
  <c r="F3" i="15"/>
  <c r="M6" i="14"/>
  <c r="J6" i="14"/>
  <c r="G6" i="14"/>
  <c r="D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M6" i="9"/>
  <c r="J6" i="9"/>
  <c r="G6" i="9"/>
  <c r="A6" i="9"/>
  <c r="I3" i="9"/>
  <c r="F3" i="9"/>
  <c r="Q6" i="9" l="1"/>
  <c r="N6" i="8"/>
  <c r="M6" i="8"/>
  <c r="K6" i="8"/>
  <c r="J6" i="8"/>
  <c r="G6" i="8"/>
  <c r="E6" i="8"/>
  <c r="D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M6" i="6"/>
  <c r="J6" i="6"/>
  <c r="H6" i="6"/>
  <c r="G6" i="6"/>
  <c r="D6" i="6"/>
  <c r="A6" i="6"/>
  <c r="R6" i="6" l="1"/>
  <c r="Q6" i="6"/>
  <c r="F3" i="6"/>
  <c r="I3" i="6"/>
  <c r="J6" i="5"/>
  <c r="H6" i="5"/>
  <c r="G6" i="5"/>
  <c r="E6" i="5"/>
  <c r="D6" i="5"/>
  <c r="B6" i="5"/>
  <c r="A6" i="5"/>
  <c r="F3" i="5" l="1"/>
  <c r="I3" i="5"/>
  <c r="R6" i="9" l="1"/>
</calcChain>
</file>

<file path=xl/sharedStrings.xml><?xml version="1.0" encoding="utf-8"?>
<sst xmlns="http://schemas.openxmlformats.org/spreadsheetml/2006/main" count="677" uniqueCount="150">
  <si>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</si>
  <si>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</si>
  <si>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</si>
  <si>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</si>
  <si>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</si>
  <si>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</si>
  <si>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</si>
  <si>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</si>
  <si>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</si>
  <si>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</si>
  <si>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</si>
  <si>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</si>
  <si>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</si>
  <si>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</si>
  <si>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$</t>
  </si>
  <si>
    <t>observación</t>
  </si>
  <si>
    <t>05/06/202</t>
  </si>
  <si>
    <t>nov/dic/21 $ 250 por mes</t>
  </si>
  <si>
    <t>2 T.E.# 1050/1052</t>
  </si>
  <si>
    <t>anualidad 2022 $ 500 x mes</t>
  </si>
  <si>
    <t>nov/dic/21 $ 200 x mes</t>
  </si>
  <si>
    <t>oct/nov/dic/21 $ 500 x mes</t>
  </si>
  <si>
    <t>pago diciembre 2021</t>
  </si>
  <si>
    <t>dic/21 ene/22 $ 500 x mes</t>
  </si>
  <si>
    <t>dic/21 ene/22 $ 600 x mes</t>
  </si>
  <si>
    <t>pago noviembre 2021</t>
  </si>
  <si>
    <t>pago diciembre/21</t>
  </si>
  <si>
    <t>ene/feb/22 $ 500 x mes</t>
  </si>
  <si>
    <t>nov/dic/21 $ 500 x mes</t>
  </si>
  <si>
    <t>2 tarjetones</t>
  </si>
  <si>
    <t>dic/21 T.E.# 582</t>
  </si>
  <si>
    <t>dic/21 y enero a junio</t>
  </si>
  <si>
    <t>$ 300 x mes</t>
  </si>
  <si>
    <t>1 tarjetón</t>
  </si>
  <si>
    <t>enero a mayo $ 300 x mes</t>
  </si>
  <si>
    <t>ene/feb/mar/22 $ 200 x mes</t>
  </si>
  <si>
    <t>T.E.#809</t>
  </si>
  <si>
    <t>diciembre</t>
  </si>
  <si>
    <t xml:space="preserve">C A N C E L A D O </t>
  </si>
  <si>
    <t>T.E.#807</t>
  </si>
  <si>
    <t>se condonó 1 mes</t>
  </si>
  <si>
    <t>nov/dic/21 $ 400 x mes</t>
  </si>
  <si>
    <t>de enero a junio $ 250 mes</t>
  </si>
  <si>
    <t>oct/nov/dic/21 anualidad</t>
  </si>
  <si>
    <t xml:space="preserve">2022 $ 500 por mes </t>
  </si>
  <si>
    <t>de enero a junio $ 400 mes</t>
  </si>
  <si>
    <t>ene/feb/mar/22 $ 300 mes</t>
  </si>
  <si>
    <t>ene/feb/mar/abr/22</t>
  </si>
  <si>
    <t>$ 500 x mes</t>
  </si>
  <si>
    <t>ene/feb/22 $ 400 x mes</t>
  </si>
  <si>
    <t>ene/feb/mar/22 $ 500 mes</t>
  </si>
  <si>
    <t>anualidad 2022 $ 600 x mes</t>
  </si>
  <si>
    <t>ene/feb/22 $ 300 x mes</t>
  </si>
  <si>
    <t>dic/21 ene/22 $ 350 x mes</t>
  </si>
  <si>
    <t>jul/ago/sep/oct/nov/21</t>
  </si>
  <si>
    <t>$ 200 por mes</t>
  </si>
  <si>
    <t>ene/feb/mar/22 $ 600 mes</t>
  </si>
  <si>
    <t>dic/21 ene/22 $ 300 x mes</t>
  </si>
  <si>
    <t>dic/21 ene/feb/22 $ 500</t>
  </si>
  <si>
    <t>por mes</t>
  </si>
  <si>
    <t>dic/21 ene/22 $ 400 x mes</t>
  </si>
  <si>
    <t>ene/feb/21 $ 250 x mes</t>
  </si>
  <si>
    <t>nov/dic/21 $ 300 x mes</t>
  </si>
  <si>
    <t>febrero y 1 tarjetón</t>
  </si>
  <si>
    <t xml:space="preserve">Anualidad 2022 $ 500 x </t>
  </si>
  <si>
    <t>mes se condono 1 mes</t>
  </si>
  <si>
    <t>ene/feb/mar/22 $ 500 x</t>
  </si>
  <si>
    <t xml:space="preserve">mes    </t>
  </si>
  <si>
    <t>nov/dic/2| $ 500 x mes</t>
  </si>
  <si>
    <t>dic/21 ene/22 $ 600 x</t>
  </si>
  <si>
    <t>mes</t>
  </si>
  <si>
    <t>feb/mar/22 $ 400 x mes</t>
  </si>
  <si>
    <t>T.E.#1060 y 1 tarjetón</t>
  </si>
  <si>
    <t>ene/feb/mar/22 $ 300 x</t>
  </si>
  <si>
    <t>feb/mar/abr/22 $ 400 x</t>
  </si>
  <si>
    <t>dic/21 ene/22 $ 500 x</t>
  </si>
  <si>
    <t>Anualidad 2022 $ 300 x mes</t>
  </si>
  <si>
    <t>mes y 1 tarjetón</t>
  </si>
  <si>
    <t>ene/feb/21 $ 350 x mes</t>
  </si>
  <si>
    <t>de enero a junio/22</t>
  </si>
  <si>
    <t>$ 250 por mes</t>
  </si>
  <si>
    <t>T.E.#286</t>
  </si>
  <si>
    <t>T.E.# 229</t>
  </si>
  <si>
    <t>nov/dic/21 $ 250 x mes</t>
  </si>
  <si>
    <t xml:space="preserve">anualidad 2022 $ 350 de </t>
  </si>
  <si>
    <t>enero a noviembre y dic</t>
  </si>
  <si>
    <t>anualidad /22 $ 500 x mes</t>
  </si>
  <si>
    <t>se le condonó 1 mes</t>
  </si>
  <si>
    <t>anualidad/22 $ 500 x mes</t>
  </si>
  <si>
    <t>ene/feb/mar/abr/22 $ 500</t>
  </si>
  <si>
    <t>ene/feb/21 $ 400 x mes</t>
  </si>
  <si>
    <t>anualidad/22 $ 300 x mes</t>
  </si>
  <si>
    <t>ene/feb/mar/abr/may/22</t>
  </si>
  <si>
    <t>T.E.#1145</t>
  </si>
  <si>
    <t>1 llave</t>
  </si>
  <si>
    <t>dic/21 $ 300 y 1 tarjetón</t>
  </si>
  <si>
    <t>nov/dic/21 ene/feb/22</t>
  </si>
  <si>
    <t>$ 500 por mes</t>
  </si>
  <si>
    <t>T.E.#813</t>
  </si>
  <si>
    <t>T.E.#1057</t>
  </si>
  <si>
    <t>ene/feb/21 $ 500 x mes</t>
  </si>
  <si>
    <t>febrero</t>
  </si>
  <si>
    <t>ene/feb/mar/21 $ 400 x</t>
  </si>
  <si>
    <t>ene/feb/mar/abr/may/</t>
  </si>
  <si>
    <t>jun/21 $ 500 x mes</t>
  </si>
  <si>
    <t>ene/21 D1, D2,D3 $ 200</t>
  </si>
  <si>
    <t>pago diciembre 21</t>
  </si>
  <si>
    <t>ene/feb/22 $500 x mes</t>
  </si>
  <si>
    <t>ene/feb/22 $ 250 x mes</t>
  </si>
  <si>
    <t>y 1 tarjetón</t>
  </si>
  <si>
    <t>de enero a junio $ 500 x</t>
  </si>
  <si>
    <t>mes y 1 llave</t>
  </si>
  <si>
    <t>a/c anualidad/22 $ 500 x</t>
  </si>
  <si>
    <t>abril</t>
  </si>
  <si>
    <t>ene/feb/mar/21 $ 300 x</t>
  </si>
  <si>
    <t>ago/sep/21 $ 500 x mes</t>
  </si>
  <si>
    <t>anualidad 2022 $ 300 x mes</t>
  </si>
  <si>
    <t>sep/oct/21 $ 250 x mes</t>
  </si>
  <si>
    <t>se condono 1 mes</t>
  </si>
  <si>
    <t>2 T.E.#1079/1061</t>
  </si>
  <si>
    <t>T.E.#1062</t>
  </si>
  <si>
    <t>1 tarjetón y 1 llave</t>
  </si>
  <si>
    <t>pago octubre/22</t>
  </si>
  <si>
    <t>feb/mar/21 $ 500 x mes</t>
  </si>
  <si>
    <t>dic/21 ene/22 $ 250 x mes</t>
  </si>
  <si>
    <t>t.e.#1082</t>
  </si>
  <si>
    <t>ene/feb/22 $ 350 x mes</t>
  </si>
  <si>
    <t xml:space="preserve">1 tarjetón  </t>
  </si>
  <si>
    <t>1 T.E.#1084</t>
  </si>
  <si>
    <t>enero $ 500 1 T.E.#1090</t>
  </si>
  <si>
    <t>ene/feb/mar/abr/may/jun</t>
  </si>
  <si>
    <t>T.E.#1066</t>
  </si>
  <si>
    <t>feb/mar/22 $ 300 x mes</t>
  </si>
  <si>
    <t>T.E.# 1064</t>
  </si>
  <si>
    <t>anualidad 2022 $ 20 x mes</t>
  </si>
  <si>
    <t>1 T.E.#1073</t>
  </si>
  <si>
    <t>feb/mar/22 $ 500 x mes</t>
  </si>
  <si>
    <t>anualidad 22 $ 500 x mes</t>
  </si>
  <si>
    <t xml:space="preserve">$ 250 x mes </t>
  </si>
  <si>
    <t xml:space="preserve">ene/feb/mar/abr/22 </t>
  </si>
  <si>
    <t>feb/mar/22 $ 250 x mes</t>
  </si>
  <si>
    <t>febrero depto 1,2 y 3</t>
  </si>
  <si>
    <t>$ 200 por departamento</t>
  </si>
  <si>
    <t>ene a junio/22 $ 200 x mes</t>
  </si>
  <si>
    <t>marzo</t>
  </si>
  <si>
    <t>dic/21 ene/feb/22 $ 200</t>
  </si>
  <si>
    <t>feb/mar/22 $ 200 x mes</t>
  </si>
  <si>
    <t>t.e.#552</t>
  </si>
  <si>
    <t>t.e.#1058</t>
  </si>
  <si>
    <t>pago noviembre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</si>
</sst>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1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6" fontId="0" fillId="5" borderId="0" xfId="0" applyNumberFormat="1" applyFill="1" applyAlignment="1">
      <alignment horizontal="left"/>
    </xf>
    <xf numFmtId="4" fontId="0" fillId="7" borderId="0" xfId="0" applyNumberFormat="1" applyFill="1"/>
    <xf numFmtId="6" fontId="0" fillId="7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6" fontId="0" fillId="6" borderId="0" xfId="0" applyNumberFormat="1" applyFill="1" applyAlignment="1">
      <alignment horizontal="left"/>
    </xf>
    <xf numFmtId="2" fontId="0" fillId="6" borderId="0" xfId="0" applyNumberFormat="1" applyFill="1"/>
    <xf numFmtId="0" fontId="0" fillId="4" borderId="0" xfId="0" applyFill="1" applyAlignment="1">
      <alignment horizontal="left"/>
    </xf>
    <xf numFmtId="17" fontId="0" fillId="7" borderId="0" xfId="0" applyNumberFormat="1" applyFill="1" applyAlignment="1">
      <alignment horizontal="left"/>
    </xf>
    <xf numFmtId="17" fontId="0" fillId="5" borderId="0" xfId="0" applyNumberFormat="1" applyFill="1" applyAlignment="1">
      <alignment horizontal="left"/>
    </xf>
    <xf numFmtId="0" fontId="0" fillId="5" borderId="0" xfId="0" applyFont="1" applyFill="1" applyBorder="1" applyAlignment="1">
      <alignment horizontal="center"/>
    </xf>
    <xf numFmtId="17" fontId="0" fillId="6" borderId="0" xfId="0" applyNumberFormat="1" applyFill="1" applyAlignment="1">
      <alignment horizontal="left"/>
    </xf>
    <xf numFmtId="0" fontId="0" fillId="7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6" fontId="0" fillId="4" borderId="0" xfId="0" applyNumberFormat="1" applyFill="1" applyAlignment="1">
      <alignment horizontal="left"/>
    </xf>
    <xf numFmtId="17" fontId="0" fillId="7" borderId="0" xfId="0" applyNumberFormat="1" applyFill="1"/>
    <xf numFmtId="0" fontId="0" fillId="5" borderId="0" xfId="0" applyFill="1" applyAlignment="1"/>
    <xf numFmtId="0" fontId="0" fillId="5" borderId="0" xfId="0" applyFont="1" applyFill="1" applyBorder="1" applyAlignment="1">
      <alignment horizontal="left"/>
    </xf>
    <xf numFmtId="0" fontId="8" fillId="3" borderId="0" xfId="0" applyFont="1" applyFill="1"/>
    <xf numFmtId="4" fontId="0" fillId="3" borderId="0" xfId="0" applyNumberFormat="1" applyFill="1" applyAlignment="1">
      <alignment horizontal="left"/>
    </xf>
    <xf numFmtId="6" fontId="12" fillId="9" borderId="0" xfId="0" applyNumberFormat="1" applyFont="1" applyFill="1" applyAlignment="1">
      <alignment horizontal="left"/>
    </xf>
    <xf numFmtId="6" fontId="5" fillId="9" borderId="0" xfId="0" applyNumberFormat="1" applyFont="1" applyFill="1" applyAlignment="1">
      <alignment horizontal="left"/>
    </xf>
    <xf numFmtId="39" fontId="4" fillId="2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right"/>
    </xf>
    <xf numFmtId="165" fontId="4" fillId="2" borderId="0" xfId="1" applyNumberFormat="1" applyFont="1" applyFill="1" applyAlignment="1">
      <alignment vertical="center"/>
    </xf>
    <xf numFmtId="39" fontId="4" fillId="2" borderId="0" xfId="1" applyNumberFormat="1" applyFont="1" applyFill="1" applyAlignment="1">
      <alignment horizontal="center" vertical="center"/>
    </xf>
    <xf numFmtId="6" fontId="0" fillId="6" borderId="0" xfId="0" applyNumberFormat="1" applyFill="1"/>
    <xf numFmtId="18" fontId="0" fillId="5" borderId="0" xfId="0" applyNumberFormat="1" applyFill="1"/>
    <xf numFmtId="18" fontId="0" fillId="10" borderId="0" xfId="0" applyNumberFormat="1" applyFill="1"/>
    <xf numFmtId="17" fontId="0" fillId="4" borderId="0" xfId="0" applyNumberFormat="1" applyFill="1" applyAlignment="1">
      <alignment horizontal="left"/>
    </xf>
    <xf numFmtId="0" fontId="8" fillId="6" borderId="0" xfId="0" applyFont="1" applyFill="1"/>
    <xf numFmtId="0" fontId="8" fillId="7" borderId="0" xfId="0" applyFont="1" applyFill="1"/>
    <xf numFmtId="17" fontId="0" fillId="10" borderId="0" xfId="0" applyNumberFormat="1" applyFill="1"/>
    <xf numFmtId="17" fontId="0" fillId="3" borderId="0" xfId="0" applyNumberFormat="1" applyFill="1"/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opLeftCell="A5" zoomScaleNormal="100" workbookViewId="0">
      <pane ySplit="3" topLeftCell="A8" activePane="bottomLeft" state="frozen"/>
      <selection activeCell="A5" sqref="A5"/>
      <selection pane="bottomLeft" activeCell="A17" sqref="A17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5.855468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4.140625" customWidth="1"/>
    <col min="10" max="10" width="7.7109375" style="6" customWidth="1"/>
    <col min="11" max="11" width="8.7109375" customWidth="1"/>
    <col min="12" max="12" width="24.14062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>
        <f>A6+D6+G6+J6+M6</f>
        <v>282</v>
      </c>
      <c r="H3" s="3" t="s">
        <v>3</v>
      </c>
      <c r="I3" s="2">
        <f>B6+E6+H6+K6+N6</f>
        <v>344450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3" t="s">
        <v>6</v>
      </c>
      <c r="K5" s="143"/>
      <c r="L5" s="143"/>
      <c r="M5" s="135" t="s">
        <v>12</v>
      </c>
      <c r="N5" s="135"/>
      <c r="O5" s="135"/>
      <c r="P5" s="135" t="s">
        <v>12</v>
      </c>
      <c r="Q5" s="135"/>
      <c r="R5" s="135"/>
    </row>
    <row r="6" spans="1:18" x14ac:dyDescent="0.25">
      <c r="A6" s="8">
        <f>SUBTOTAL(3,A8:A121)</f>
        <v>63</v>
      </c>
      <c r="B6" s="8">
        <f>SUBTOTAL(9,B8:B121)</f>
        <v>72400</v>
      </c>
      <c r="C6" s="35">
        <v>44563</v>
      </c>
      <c r="D6" s="8">
        <f>SUBTOTAL(3,D8:D121)</f>
        <v>77</v>
      </c>
      <c r="E6" s="1">
        <f>SUBTOTAL(9,E8:E121)</f>
        <v>99600</v>
      </c>
      <c r="F6" s="38">
        <v>44570</v>
      </c>
      <c r="G6" s="8">
        <f>SUBTOTAL(3,G8:G123)</f>
        <v>55</v>
      </c>
      <c r="H6" s="1">
        <f>SUBTOTAL(9,H8:H123)</f>
        <v>71400</v>
      </c>
      <c r="I6" s="39">
        <v>44577</v>
      </c>
      <c r="J6" s="8">
        <f>SUBTOTAL(3,J8:J121)</f>
        <v>34</v>
      </c>
      <c r="K6" s="1">
        <f>SUBTOTAL(9,K8:K121)</f>
        <v>57200</v>
      </c>
      <c r="L6" s="80">
        <v>44584</v>
      </c>
      <c r="M6" s="8">
        <f>SUBTOTAL(3,M8:M124)</f>
        <v>53</v>
      </c>
      <c r="N6" s="1">
        <f>SUBTOTAL(9,N8:N124)</f>
        <v>43850</v>
      </c>
      <c r="O6" s="81">
        <v>44591</v>
      </c>
      <c r="P6" s="1">
        <f>A6+D6+G6+J6+M6</f>
        <v>282</v>
      </c>
      <c r="Q6" s="1">
        <f>B6+E6+H6+K6+N6</f>
        <v>344450</v>
      </c>
      <c r="R6" s="81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0" t="s">
        <v>1</v>
      </c>
      <c r="Q7" s="90" t="s">
        <v>3</v>
      </c>
      <c r="R7" s="90" t="s">
        <v>2</v>
      </c>
    </row>
    <row r="8" spans="1:18" x14ac:dyDescent="0.25">
      <c r="A8" s="16">
        <v>26599</v>
      </c>
      <c r="B8" s="102">
        <v>500</v>
      </c>
      <c r="C8" s="17" t="s">
        <v>17</v>
      </c>
      <c r="D8" s="13">
        <v>26662</v>
      </c>
      <c r="E8" s="70">
        <v>300</v>
      </c>
      <c r="F8" s="14"/>
      <c r="G8" s="9">
        <v>26739</v>
      </c>
      <c r="H8" s="76">
        <v>1500</v>
      </c>
      <c r="I8" s="10" t="s">
        <v>79</v>
      </c>
      <c r="J8" s="50">
        <v>26794</v>
      </c>
      <c r="K8" s="78">
        <v>300</v>
      </c>
      <c r="L8" s="51"/>
      <c r="M8" s="75">
        <v>26828</v>
      </c>
      <c r="N8" s="73">
        <v>300</v>
      </c>
      <c r="O8" s="15" t="s">
        <v>99</v>
      </c>
      <c r="P8" s="6"/>
      <c r="Q8" s="6"/>
    </row>
    <row r="9" spans="1:18" x14ac:dyDescent="0.25">
      <c r="A9" s="16">
        <v>26600</v>
      </c>
      <c r="B9" s="102">
        <v>600</v>
      </c>
      <c r="C9" s="21" t="s">
        <v>18</v>
      </c>
      <c r="D9" s="13">
        <v>26663</v>
      </c>
      <c r="E9" s="70">
        <v>300</v>
      </c>
      <c r="F9" s="23" t="s">
        <v>36</v>
      </c>
      <c r="G9" s="9"/>
      <c r="H9" s="76"/>
      <c r="I9" s="10" t="s">
        <v>80</v>
      </c>
      <c r="J9" s="50">
        <v>26795</v>
      </c>
      <c r="K9" s="78">
        <v>300</v>
      </c>
      <c r="L9" s="51"/>
      <c r="M9" s="75">
        <v>26829</v>
      </c>
      <c r="N9" s="73">
        <v>1000</v>
      </c>
      <c r="O9" s="15" t="s">
        <v>100</v>
      </c>
      <c r="P9" s="86"/>
      <c r="Q9" s="86"/>
    </row>
    <row r="10" spans="1:18" x14ac:dyDescent="0.25">
      <c r="A10" s="16">
        <v>26601</v>
      </c>
      <c r="B10" s="102">
        <v>5500</v>
      </c>
      <c r="C10" s="17" t="s">
        <v>19</v>
      </c>
      <c r="D10" s="13">
        <v>26664</v>
      </c>
      <c r="E10" s="70">
        <v>300</v>
      </c>
      <c r="F10" s="14" t="s">
        <v>37</v>
      </c>
      <c r="G10" s="9">
        <v>26740</v>
      </c>
      <c r="H10" s="76">
        <v>300</v>
      </c>
      <c r="I10" s="10" t="s">
        <v>81</v>
      </c>
      <c r="J10" s="50">
        <v>26796</v>
      </c>
      <c r="K10" s="78">
        <v>500</v>
      </c>
      <c r="L10" s="51" t="s">
        <v>61</v>
      </c>
      <c r="M10" s="75">
        <v>26830</v>
      </c>
      <c r="N10" s="73">
        <v>400</v>
      </c>
      <c r="O10" s="105"/>
    </row>
    <row r="11" spans="1:18" x14ac:dyDescent="0.25">
      <c r="A11" s="16">
        <v>26602</v>
      </c>
      <c r="B11" s="102">
        <v>400</v>
      </c>
      <c r="C11" s="17" t="s">
        <v>20</v>
      </c>
      <c r="D11" s="13">
        <v>26665</v>
      </c>
      <c r="E11" s="70">
        <v>1000</v>
      </c>
      <c r="F11" s="14" t="s">
        <v>23</v>
      </c>
      <c r="G11" s="9">
        <v>26741</v>
      </c>
      <c r="H11" s="76">
        <v>300</v>
      </c>
      <c r="I11" s="104" t="s">
        <v>82</v>
      </c>
      <c r="J11" s="50">
        <v>26797</v>
      </c>
      <c r="K11" s="78">
        <v>500</v>
      </c>
      <c r="L11" s="51"/>
      <c r="M11" s="75">
        <v>26831</v>
      </c>
      <c r="N11" s="73">
        <v>600</v>
      </c>
      <c r="O11" s="15" t="s">
        <v>101</v>
      </c>
    </row>
    <row r="12" spans="1:18" x14ac:dyDescent="0.25">
      <c r="A12" s="16">
        <v>26603</v>
      </c>
      <c r="B12" s="102">
        <v>5500</v>
      </c>
      <c r="C12" s="17" t="s">
        <v>19</v>
      </c>
      <c r="D12" s="13">
        <v>26666</v>
      </c>
      <c r="E12" s="70"/>
      <c r="F12" s="14" t="s">
        <v>38</v>
      </c>
      <c r="G12" s="9">
        <v>26742</v>
      </c>
      <c r="H12" s="76">
        <v>500</v>
      </c>
      <c r="I12" s="134" t="s">
        <v>26</v>
      </c>
      <c r="J12" s="53">
        <v>26798</v>
      </c>
      <c r="K12" s="72">
        <v>5500</v>
      </c>
      <c r="L12" s="56" t="s">
        <v>64</v>
      </c>
      <c r="M12" s="75">
        <v>26832</v>
      </c>
      <c r="N12" s="73">
        <v>1000</v>
      </c>
      <c r="O12" s="15" t="s">
        <v>100</v>
      </c>
    </row>
    <row r="13" spans="1:18" x14ac:dyDescent="0.25">
      <c r="A13" s="16">
        <v>26604</v>
      </c>
      <c r="B13" s="102">
        <v>1500</v>
      </c>
      <c r="C13" s="17" t="s">
        <v>21</v>
      </c>
      <c r="D13" s="13">
        <v>26667</v>
      </c>
      <c r="E13" s="70">
        <v>600</v>
      </c>
      <c r="F13" s="14"/>
      <c r="G13" s="9">
        <v>26743</v>
      </c>
      <c r="H13" s="76">
        <v>500</v>
      </c>
      <c r="I13" s="10" t="s">
        <v>83</v>
      </c>
      <c r="J13" s="50"/>
      <c r="K13" s="78"/>
      <c r="L13" s="51" t="s">
        <v>65</v>
      </c>
      <c r="M13" s="75">
        <v>26833</v>
      </c>
      <c r="N13" s="73">
        <v>1200</v>
      </c>
      <c r="O13" s="15" t="s">
        <v>102</v>
      </c>
    </row>
    <row r="14" spans="1:18" x14ac:dyDescent="0.25">
      <c r="A14" s="16">
        <v>26605</v>
      </c>
      <c r="B14" s="102">
        <v>250</v>
      </c>
      <c r="C14" s="115" t="s">
        <v>22</v>
      </c>
      <c r="D14" s="13">
        <v>26668</v>
      </c>
      <c r="E14" s="70">
        <v>500</v>
      </c>
      <c r="F14" s="14"/>
      <c r="G14" s="9">
        <v>26744</v>
      </c>
      <c r="H14" s="76">
        <v>250</v>
      </c>
      <c r="I14" s="118"/>
      <c r="J14" s="50"/>
      <c r="K14" s="78"/>
      <c r="L14" s="51"/>
      <c r="M14" s="75"/>
      <c r="N14" s="73"/>
      <c r="O14" s="15" t="s">
        <v>70</v>
      </c>
    </row>
    <row r="15" spans="1:18" x14ac:dyDescent="0.25">
      <c r="A15" s="16">
        <v>26606</v>
      </c>
      <c r="B15" s="102">
        <v>300</v>
      </c>
      <c r="C15" s="17" t="s">
        <v>22</v>
      </c>
      <c r="D15" s="13">
        <v>26669</v>
      </c>
      <c r="E15" s="70">
        <v>250</v>
      </c>
      <c r="F15" s="14"/>
      <c r="G15" s="9">
        <v>26745</v>
      </c>
      <c r="H15" s="76">
        <v>500</v>
      </c>
      <c r="I15" s="10" t="s">
        <v>26</v>
      </c>
      <c r="J15" s="50">
        <v>26799</v>
      </c>
      <c r="K15" s="78">
        <v>500</v>
      </c>
      <c r="L15" s="51"/>
      <c r="M15" s="75">
        <v>26834</v>
      </c>
      <c r="N15" s="73">
        <v>3000</v>
      </c>
      <c r="O15" s="15" t="s">
        <v>103</v>
      </c>
    </row>
    <row r="16" spans="1:18" x14ac:dyDescent="0.25">
      <c r="A16" s="16">
        <v>26607</v>
      </c>
      <c r="B16" s="102">
        <v>1000</v>
      </c>
      <c r="C16" s="17" t="s">
        <v>23</v>
      </c>
      <c r="D16" s="13">
        <v>26670</v>
      </c>
      <c r="E16" s="70">
        <v>300</v>
      </c>
      <c r="F16" s="14" t="s">
        <v>39</v>
      </c>
      <c r="G16" s="9">
        <v>26746</v>
      </c>
      <c r="H16" s="76">
        <v>4000</v>
      </c>
      <c r="I16" s="10" t="s">
        <v>84</v>
      </c>
      <c r="J16" s="50">
        <v>26800</v>
      </c>
      <c r="K16" s="78">
        <v>500</v>
      </c>
      <c r="L16" s="51"/>
      <c r="M16" s="75"/>
      <c r="N16" s="73"/>
      <c r="O16" s="15" t="s">
        <v>104</v>
      </c>
    </row>
    <row r="17" spans="1:15" x14ac:dyDescent="0.25">
      <c r="A17" s="16">
        <v>26608</v>
      </c>
      <c r="B17" s="102">
        <v>1200</v>
      </c>
      <c r="C17" s="17" t="s">
        <v>24</v>
      </c>
      <c r="D17" s="13">
        <v>26671</v>
      </c>
      <c r="E17" s="70">
        <v>5500</v>
      </c>
      <c r="F17" s="14" t="s">
        <v>19</v>
      </c>
      <c r="G17" s="9"/>
      <c r="H17" s="76"/>
      <c r="I17" s="24" t="s">
        <v>85</v>
      </c>
      <c r="J17" s="50">
        <v>26801</v>
      </c>
      <c r="K17" s="78">
        <v>500</v>
      </c>
      <c r="L17" s="51"/>
      <c r="M17" s="75">
        <v>26835</v>
      </c>
      <c r="N17" s="73">
        <v>500</v>
      </c>
      <c r="O17" s="15" t="s">
        <v>101</v>
      </c>
    </row>
    <row r="18" spans="1:15" x14ac:dyDescent="0.25">
      <c r="A18" s="16">
        <v>26609</v>
      </c>
      <c r="B18" s="102">
        <v>600</v>
      </c>
      <c r="C18" s="17" t="s">
        <v>11</v>
      </c>
      <c r="D18" s="13"/>
      <c r="E18" s="70"/>
      <c r="F18" s="14" t="s">
        <v>40</v>
      </c>
      <c r="G18" s="9"/>
      <c r="H18" s="76"/>
      <c r="I18" s="104">
        <v>150</v>
      </c>
      <c r="J18" s="50">
        <v>26802</v>
      </c>
      <c r="K18" s="78">
        <v>5500</v>
      </c>
      <c r="L18" s="120" t="s">
        <v>64</v>
      </c>
      <c r="M18" s="75">
        <v>26836</v>
      </c>
      <c r="N18" s="73">
        <v>600</v>
      </c>
      <c r="O18" s="15" t="s">
        <v>105</v>
      </c>
    </row>
    <row r="19" spans="1:15" x14ac:dyDescent="0.25">
      <c r="A19" s="16">
        <v>26610</v>
      </c>
      <c r="B19" s="102">
        <v>500</v>
      </c>
      <c r="C19" s="115" t="s">
        <v>25</v>
      </c>
      <c r="D19" s="13">
        <v>26672</v>
      </c>
      <c r="E19" s="70">
        <v>500</v>
      </c>
      <c r="F19" s="14" t="s">
        <v>37</v>
      </c>
      <c r="G19" s="9">
        <v>26747</v>
      </c>
      <c r="H19" s="76">
        <v>500</v>
      </c>
      <c r="I19" s="10"/>
      <c r="J19" s="50"/>
      <c r="K19" s="78"/>
      <c r="L19" s="51" t="s">
        <v>65</v>
      </c>
      <c r="M19" s="75"/>
      <c r="N19" s="73"/>
      <c r="O19" s="31" t="s">
        <v>59</v>
      </c>
    </row>
    <row r="20" spans="1:15" x14ac:dyDescent="0.25">
      <c r="A20" s="16">
        <v>26611</v>
      </c>
      <c r="B20" s="102">
        <v>500</v>
      </c>
      <c r="C20" s="17"/>
      <c r="D20" s="13">
        <v>26673</v>
      </c>
      <c r="E20" s="70">
        <v>5500</v>
      </c>
      <c r="F20" s="14" t="s">
        <v>19</v>
      </c>
      <c r="G20" s="9">
        <v>26748</v>
      </c>
      <c r="H20" s="76">
        <v>250</v>
      </c>
      <c r="I20" s="10" t="s">
        <v>26</v>
      </c>
      <c r="J20" s="50">
        <v>26803</v>
      </c>
      <c r="K20" s="78">
        <v>1500</v>
      </c>
      <c r="L20" s="51" t="s">
        <v>66</v>
      </c>
      <c r="M20" s="75">
        <v>26837</v>
      </c>
      <c r="N20" s="73">
        <v>500</v>
      </c>
      <c r="O20" s="15"/>
    </row>
    <row r="21" spans="1:15" x14ac:dyDescent="0.25">
      <c r="A21" s="16">
        <v>26612</v>
      </c>
      <c r="B21" s="102">
        <v>500</v>
      </c>
      <c r="C21" s="17"/>
      <c r="D21" s="13"/>
      <c r="E21" s="70"/>
      <c r="F21" s="14" t="s">
        <v>40</v>
      </c>
      <c r="G21" s="9">
        <v>26749</v>
      </c>
      <c r="H21" s="76">
        <v>5500</v>
      </c>
      <c r="I21" s="10" t="s">
        <v>86</v>
      </c>
      <c r="J21" s="53"/>
      <c r="K21" s="72"/>
      <c r="L21" s="51" t="s">
        <v>67</v>
      </c>
      <c r="M21" s="75">
        <v>26838</v>
      </c>
      <c r="N21" s="73">
        <v>5500</v>
      </c>
      <c r="O21" s="15" t="s">
        <v>19</v>
      </c>
    </row>
    <row r="22" spans="1:15" x14ac:dyDescent="0.25">
      <c r="A22" s="16">
        <v>26613</v>
      </c>
      <c r="B22" s="102">
        <v>300</v>
      </c>
      <c r="C22" s="17"/>
      <c r="D22" s="13">
        <v>26674</v>
      </c>
      <c r="E22" s="70">
        <v>800</v>
      </c>
      <c r="F22" s="14" t="s">
        <v>41</v>
      </c>
      <c r="G22" s="9"/>
      <c r="H22" s="76"/>
      <c r="I22" s="25" t="s">
        <v>87</v>
      </c>
      <c r="J22" s="50">
        <v>26804</v>
      </c>
      <c r="K22" s="78">
        <v>5500</v>
      </c>
      <c r="L22" s="51" t="s">
        <v>64</v>
      </c>
      <c r="M22" s="75"/>
      <c r="N22" s="73"/>
      <c r="O22" s="15" t="s">
        <v>40</v>
      </c>
    </row>
    <row r="23" spans="1:15" x14ac:dyDescent="0.25">
      <c r="A23" s="16">
        <v>26614</v>
      </c>
      <c r="B23" s="102">
        <v>500</v>
      </c>
      <c r="C23" s="17"/>
      <c r="D23" s="13">
        <v>26675</v>
      </c>
      <c r="E23" s="70"/>
      <c r="F23" s="14" t="s">
        <v>38</v>
      </c>
      <c r="G23" s="9">
        <v>26750</v>
      </c>
      <c r="H23" s="76">
        <v>500</v>
      </c>
      <c r="I23" s="10" t="s">
        <v>26</v>
      </c>
      <c r="J23" s="50"/>
      <c r="K23" s="78"/>
      <c r="L23" s="51" t="s">
        <v>65</v>
      </c>
      <c r="M23" s="75">
        <v>26839</v>
      </c>
      <c r="N23" s="73">
        <v>1000</v>
      </c>
      <c r="O23" s="15" t="s">
        <v>27</v>
      </c>
    </row>
    <row r="24" spans="1:15" x14ac:dyDescent="0.25">
      <c r="A24" s="16">
        <v>26615</v>
      </c>
      <c r="B24" s="102">
        <v>5500</v>
      </c>
      <c r="C24" s="103" t="s">
        <v>19</v>
      </c>
      <c r="D24" s="13">
        <v>26676</v>
      </c>
      <c r="E24" s="70">
        <v>1500</v>
      </c>
      <c r="F24" s="101" t="s">
        <v>42</v>
      </c>
      <c r="G24" s="9">
        <v>26751</v>
      </c>
      <c r="H24" s="76">
        <v>500</v>
      </c>
      <c r="I24" s="10"/>
      <c r="J24" s="50">
        <v>26805</v>
      </c>
      <c r="K24" s="78">
        <v>1000</v>
      </c>
      <c r="L24" s="51" t="s">
        <v>68</v>
      </c>
      <c r="M24" s="75">
        <v>26840</v>
      </c>
      <c r="N24" s="73">
        <v>300</v>
      </c>
      <c r="O24" s="15"/>
    </row>
    <row r="25" spans="1:15" x14ac:dyDescent="0.25">
      <c r="A25" s="16">
        <v>26616</v>
      </c>
      <c r="B25" s="102">
        <v>500</v>
      </c>
      <c r="C25" s="17"/>
      <c r="D25" s="13">
        <v>26677</v>
      </c>
      <c r="E25" s="70">
        <v>7000</v>
      </c>
      <c r="F25" s="14" t="s">
        <v>43</v>
      </c>
      <c r="G25" s="9">
        <v>26752</v>
      </c>
      <c r="H25" s="76">
        <v>1000</v>
      </c>
      <c r="I25" s="10" t="s">
        <v>27</v>
      </c>
      <c r="J25" s="50">
        <v>26806</v>
      </c>
      <c r="K25" s="78">
        <v>1200</v>
      </c>
      <c r="L25" s="51" t="s">
        <v>69</v>
      </c>
      <c r="M25" s="75">
        <v>26841</v>
      </c>
      <c r="N25" s="73">
        <v>500</v>
      </c>
      <c r="O25" s="31" t="s">
        <v>106</v>
      </c>
    </row>
    <row r="26" spans="1:15" x14ac:dyDescent="0.25">
      <c r="A26" s="16">
        <v>26617</v>
      </c>
      <c r="B26" s="102">
        <v>500</v>
      </c>
      <c r="C26" s="17"/>
      <c r="D26" s="13"/>
      <c r="E26" s="70"/>
      <c r="F26" s="14" t="s">
        <v>44</v>
      </c>
      <c r="G26" s="9">
        <v>26753</v>
      </c>
      <c r="H26" s="76">
        <v>5500</v>
      </c>
      <c r="I26" s="10" t="s">
        <v>88</v>
      </c>
      <c r="J26" s="50"/>
      <c r="K26" s="78"/>
      <c r="L26" s="51" t="s">
        <v>70</v>
      </c>
      <c r="M26" s="75">
        <v>26842</v>
      </c>
      <c r="N26" s="73">
        <v>500</v>
      </c>
      <c r="O26" s="15" t="s">
        <v>101</v>
      </c>
    </row>
    <row r="27" spans="1:15" x14ac:dyDescent="0.25">
      <c r="A27" s="16">
        <v>26618</v>
      </c>
      <c r="B27" s="102">
        <v>500</v>
      </c>
      <c r="C27" s="115" t="s">
        <v>26</v>
      </c>
      <c r="D27" s="13"/>
      <c r="E27" s="70"/>
      <c r="F27" s="14" t="s">
        <v>40</v>
      </c>
      <c r="G27" s="9">
        <v>26754</v>
      </c>
      <c r="H27" s="76">
        <v>400</v>
      </c>
      <c r="I27" s="10"/>
      <c r="J27" s="50">
        <v>26807</v>
      </c>
      <c r="K27" s="78">
        <v>1500</v>
      </c>
      <c r="L27" s="51" t="s">
        <v>66</v>
      </c>
      <c r="M27" s="75">
        <v>26843</v>
      </c>
      <c r="N27" s="73">
        <v>350</v>
      </c>
      <c r="O27" s="15" t="s">
        <v>94</v>
      </c>
    </row>
    <row r="28" spans="1:15" x14ac:dyDescent="0.25">
      <c r="A28" s="16">
        <v>26619</v>
      </c>
      <c r="B28" s="102">
        <v>5500</v>
      </c>
      <c r="C28" s="17" t="s">
        <v>19</v>
      </c>
      <c r="D28" s="13">
        <v>26678</v>
      </c>
      <c r="E28" s="70">
        <v>400</v>
      </c>
      <c r="F28" s="14"/>
      <c r="G28" s="9">
        <v>26755</v>
      </c>
      <c r="H28" s="76">
        <v>500</v>
      </c>
      <c r="I28" s="10"/>
      <c r="J28" s="50"/>
      <c r="K28" s="78"/>
      <c r="L28" s="51" t="s">
        <v>70</v>
      </c>
      <c r="M28" s="75">
        <v>26844</v>
      </c>
      <c r="N28" s="73">
        <v>500</v>
      </c>
      <c r="O28" s="15"/>
    </row>
    <row r="29" spans="1:15" x14ac:dyDescent="0.25">
      <c r="A29" s="16">
        <v>26620</v>
      </c>
      <c r="B29" s="102">
        <v>1000</v>
      </c>
      <c r="C29" s="17" t="s">
        <v>27</v>
      </c>
      <c r="D29" s="13">
        <v>26679</v>
      </c>
      <c r="E29" s="70">
        <v>2400</v>
      </c>
      <c r="F29" s="14" t="s">
        <v>45</v>
      </c>
      <c r="G29" s="9">
        <v>26756</v>
      </c>
      <c r="H29" s="76">
        <v>500</v>
      </c>
      <c r="I29" s="10"/>
      <c r="J29" s="50">
        <v>26808</v>
      </c>
      <c r="K29" s="78">
        <v>800</v>
      </c>
      <c r="L29" s="51" t="s">
        <v>71</v>
      </c>
      <c r="M29" s="75">
        <v>26845</v>
      </c>
      <c r="N29" s="73">
        <v>500</v>
      </c>
      <c r="O29" s="15"/>
    </row>
    <row r="30" spans="1:15" x14ac:dyDescent="0.25">
      <c r="A30" s="16">
        <v>26621</v>
      </c>
      <c r="B30" s="102">
        <v>500</v>
      </c>
      <c r="C30" s="17"/>
      <c r="D30" s="13">
        <v>26680</v>
      </c>
      <c r="E30" s="70">
        <v>500</v>
      </c>
      <c r="F30" s="14"/>
      <c r="G30" s="9">
        <v>26757</v>
      </c>
      <c r="H30" s="76">
        <v>500</v>
      </c>
      <c r="I30" s="10"/>
      <c r="J30" s="50">
        <v>26809</v>
      </c>
      <c r="K30" s="78">
        <v>350</v>
      </c>
      <c r="L30" s="51" t="s">
        <v>72</v>
      </c>
      <c r="M30" s="75">
        <v>26846</v>
      </c>
      <c r="N30" s="73">
        <v>500</v>
      </c>
      <c r="O30" s="15" t="s">
        <v>101</v>
      </c>
    </row>
    <row r="31" spans="1:15" x14ac:dyDescent="0.25">
      <c r="A31" s="16">
        <v>26622</v>
      </c>
      <c r="B31" s="102">
        <v>500</v>
      </c>
      <c r="C31" s="103"/>
      <c r="D31" s="13">
        <v>26681</v>
      </c>
      <c r="E31" s="70">
        <v>900</v>
      </c>
      <c r="F31" s="101" t="s">
        <v>46</v>
      </c>
      <c r="G31" s="9">
        <v>26758</v>
      </c>
      <c r="H31" s="76">
        <v>1500</v>
      </c>
      <c r="I31" s="10" t="s">
        <v>50</v>
      </c>
      <c r="J31" s="50">
        <v>26810</v>
      </c>
      <c r="K31" s="78">
        <v>400</v>
      </c>
      <c r="L31" s="51"/>
      <c r="M31" s="75">
        <v>26847</v>
      </c>
      <c r="N31" s="73">
        <v>500</v>
      </c>
      <c r="O31" s="15" t="s">
        <v>108</v>
      </c>
    </row>
    <row r="32" spans="1:15" x14ac:dyDescent="0.25">
      <c r="A32" s="16">
        <v>26623</v>
      </c>
      <c r="B32" s="102">
        <v>5500</v>
      </c>
      <c r="C32" s="17" t="s">
        <v>19</v>
      </c>
      <c r="D32" s="13">
        <v>26682</v>
      </c>
      <c r="E32" s="70">
        <v>2000</v>
      </c>
      <c r="F32" s="14" t="s">
        <v>47</v>
      </c>
      <c r="G32" s="9">
        <v>26759</v>
      </c>
      <c r="H32" s="76"/>
      <c r="I32" s="10" t="s">
        <v>38</v>
      </c>
      <c r="J32" s="50">
        <v>26811</v>
      </c>
      <c r="K32" s="78">
        <v>900</v>
      </c>
      <c r="L32" s="51" t="s">
        <v>73</v>
      </c>
      <c r="M32" s="75">
        <v>26848</v>
      </c>
      <c r="N32" s="73">
        <v>800</v>
      </c>
      <c r="O32" s="15" t="s">
        <v>49</v>
      </c>
    </row>
    <row r="33" spans="1:15" x14ac:dyDescent="0.25">
      <c r="A33" s="16">
        <v>26624</v>
      </c>
      <c r="B33" s="102">
        <v>1000</v>
      </c>
      <c r="C33" s="17" t="s">
        <v>28</v>
      </c>
      <c r="D33" s="13"/>
      <c r="E33" s="70"/>
      <c r="F33" s="14" t="s">
        <v>48</v>
      </c>
      <c r="G33" s="9">
        <v>26760</v>
      </c>
      <c r="H33" s="76">
        <v>6000</v>
      </c>
      <c r="I33" s="10" t="s">
        <v>19</v>
      </c>
      <c r="J33" s="50"/>
      <c r="K33" s="78"/>
      <c r="L33" s="51" t="s">
        <v>70</v>
      </c>
      <c r="M33" s="75">
        <v>26849</v>
      </c>
      <c r="N33" s="73">
        <v>250</v>
      </c>
      <c r="O33" s="15"/>
    </row>
    <row r="34" spans="1:15" x14ac:dyDescent="0.25">
      <c r="A34" s="16">
        <v>26625</v>
      </c>
      <c r="B34" s="102">
        <v>450</v>
      </c>
      <c r="C34" s="17"/>
      <c r="D34" s="13">
        <v>26683</v>
      </c>
      <c r="E34" s="70">
        <v>5500</v>
      </c>
      <c r="F34" s="20" t="s">
        <v>19</v>
      </c>
      <c r="G34" s="9">
        <v>26761</v>
      </c>
      <c r="H34" s="76">
        <v>2000</v>
      </c>
      <c r="I34" s="10" t="s">
        <v>89</v>
      </c>
      <c r="J34" s="50">
        <v>26812</v>
      </c>
      <c r="K34" s="78">
        <v>500</v>
      </c>
      <c r="L34" s="51"/>
      <c r="M34" s="75">
        <v>26850</v>
      </c>
      <c r="N34" s="73">
        <v>1000</v>
      </c>
      <c r="O34" s="15" t="s">
        <v>107</v>
      </c>
    </row>
    <row r="35" spans="1:15" x14ac:dyDescent="0.25">
      <c r="A35" s="16">
        <v>26626</v>
      </c>
      <c r="B35" s="102">
        <v>500</v>
      </c>
      <c r="C35" s="115" t="s">
        <v>26</v>
      </c>
      <c r="D35" s="13"/>
      <c r="E35" s="70"/>
      <c r="F35" s="14" t="s">
        <v>40</v>
      </c>
      <c r="G35" s="9"/>
      <c r="H35" s="76"/>
      <c r="I35" s="10" t="s">
        <v>59</v>
      </c>
      <c r="J35" s="50">
        <v>26813</v>
      </c>
      <c r="K35" s="78">
        <v>500</v>
      </c>
      <c r="L35" s="51"/>
      <c r="M35" s="75">
        <v>26851</v>
      </c>
      <c r="N35" s="73">
        <v>500</v>
      </c>
      <c r="O35" s="15"/>
    </row>
    <row r="36" spans="1:15" x14ac:dyDescent="0.25">
      <c r="A36" s="16">
        <v>26627</v>
      </c>
      <c r="B36" s="102">
        <v>1000</v>
      </c>
      <c r="C36" s="17" t="s">
        <v>23</v>
      </c>
      <c r="D36" s="13">
        <v>26684</v>
      </c>
      <c r="E36" s="70">
        <v>800</v>
      </c>
      <c r="F36" s="14" t="s">
        <v>49</v>
      </c>
      <c r="G36" s="9">
        <v>26762</v>
      </c>
      <c r="H36" s="76">
        <v>800</v>
      </c>
      <c r="I36" s="10" t="s">
        <v>90</v>
      </c>
      <c r="J36" s="50">
        <v>26814</v>
      </c>
      <c r="K36" s="78">
        <v>1500</v>
      </c>
      <c r="L36" s="51" t="s">
        <v>66</v>
      </c>
      <c r="M36" s="75">
        <v>26852</v>
      </c>
      <c r="N36" s="73">
        <v>1000</v>
      </c>
      <c r="O36" s="15" t="s">
        <v>27</v>
      </c>
    </row>
    <row r="37" spans="1:15" x14ac:dyDescent="0.25">
      <c r="A37" s="16">
        <v>26628</v>
      </c>
      <c r="B37" s="102">
        <v>100</v>
      </c>
      <c r="C37" s="17" t="s">
        <v>29</v>
      </c>
      <c r="D37" s="13">
        <v>26685</v>
      </c>
      <c r="E37" s="70">
        <v>500</v>
      </c>
      <c r="F37" s="14"/>
      <c r="G37" s="9">
        <v>26763</v>
      </c>
      <c r="H37" s="76">
        <v>500</v>
      </c>
      <c r="I37" s="10" t="s">
        <v>26</v>
      </c>
      <c r="J37" s="50"/>
      <c r="K37" s="78"/>
      <c r="L37" s="52" t="s">
        <v>70</v>
      </c>
      <c r="M37" s="75">
        <v>26853</v>
      </c>
      <c r="N37" s="73">
        <v>500</v>
      </c>
      <c r="O37" s="15" t="s">
        <v>101</v>
      </c>
    </row>
    <row r="38" spans="1:15" x14ac:dyDescent="0.25">
      <c r="A38" s="16">
        <v>26629</v>
      </c>
      <c r="B38" s="102">
        <v>500</v>
      </c>
      <c r="C38" s="115" t="s">
        <v>26</v>
      </c>
      <c r="D38" s="13">
        <v>26686</v>
      </c>
      <c r="E38" s="70">
        <v>500</v>
      </c>
      <c r="F38" s="14"/>
      <c r="G38" s="9">
        <v>26764</v>
      </c>
      <c r="H38" s="76">
        <v>3600</v>
      </c>
      <c r="I38" s="10" t="s">
        <v>91</v>
      </c>
      <c r="J38" s="50">
        <v>26815</v>
      </c>
      <c r="K38" s="78">
        <v>1200</v>
      </c>
      <c r="L38" s="52" t="s">
        <v>74</v>
      </c>
      <c r="M38" s="75">
        <v>26854</v>
      </c>
      <c r="N38" s="73">
        <v>1050</v>
      </c>
      <c r="O38" s="15" t="s">
        <v>27</v>
      </c>
    </row>
    <row r="39" spans="1:15" x14ac:dyDescent="0.25">
      <c r="A39" s="16">
        <v>26630</v>
      </c>
      <c r="B39" s="102">
        <v>500</v>
      </c>
      <c r="C39" s="17"/>
      <c r="D39" s="13">
        <v>26687</v>
      </c>
      <c r="E39" s="70">
        <v>450</v>
      </c>
      <c r="F39" s="14"/>
      <c r="G39" s="9">
        <v>26765</v>
      </c>
      <c r="H39" s="76">
        <v>400</v>
      </c>
      <c r="I39" s="10"/>
      <c r="J39" s="50"/>
      <c r="K39" s="78"/>
      <c r="L39" s="51" t="s">
        <v>70</v>
      </c>
      <c r="M39" s="75"/>
      <c r="N39" s="73"/>
      <c r="O39" s="15" t="s">
        <v>109</v>
      </c>
    </row>
    <row r="40" spans="1:15" x14ac:dyDescent="0.25">
      <c r="A40" s="16">
        <v>26631</v>
      </c>
      <c r="B40" s="102">
        <v>500</v>
      </c>
      <c r="C40" s="17" t="s">
        <v>26</v>
      </c>
      <c r="D40" s="13">
        <v>26688</v>
      </c>
      <c r="E40" s="70">
        <v>1500</v>
      </c>
      <c r="F40" s="14" t="s">
        <v>50</v>
      </c>
      <c r="G40" s="9">
        <v>26766</v>
      </c>
      <c r="H40" s="76"/>
      <c r="I40" s="10" t="s">
        <v>38</v>
      </c>
      <c r="J40" s="50">
        <v>26816</v>
      </c>
      <c r="K40" s="78">
        <v>1500</v>
      </c>
      <c r="L40" s="51" t="s">
        <v>66</v>
      </c>
      <c r="M40" s="75">
        <v>26855</v>
      </c>
      <c r="N40" s="73">
        <v>3350</v>
      </c>
      <c r="O40" s="15" t="s">
        <v>110</v>
      </c>
    </row>
    <row r="41" spans="1:15" x14ac:dyDescent="0.25">
      <c r="A41" s="16">
        <v>26632</v>
      </c>
      <c r="B41" s="102">
        <v>500</v>
      </c>
      <c r="C41" s="17"/>
      <c r="D41" s="13">
        <v>26689</v>
      </c>
      <c r="E41" s="70">
        <v>6600</v>
      </c>
      <c r="F41" s="14" t="s">
        <v>51</v>
      </c>
      <c r="G41" s="9">
        <v>26767</v>
      </c>
      <c r="H41" s="76">
        <v>6000</v>
      </c>
      <c r="I41" s="10" t="s">
        <v>19</v>
      </c>
      <c r="J41" s="50"/>
      <c r="K41" s="78"/>
      <c r="L41" s="51" t="s">
        <v>70</v>
      </c>
      <c r="M41" s="75"/>
      <c r="N41" s="73"/>
      <c r="O41" s="15" t="s">
        <v>111</v>
      </c>
    </row>
    <row r="42" spans="1:15" x14ac:dyDescent="0.25">
      <c r="A42" s="16">
        <v>26633</v>
      </c>
      <c r="B42" s="102">
        <v>700</v>
      </c>
      <c r="C42" s="17" t="s">
        <v>30</v>
      </c>
      <c r="D42" s="13">
        <v>26690</v>
      </c>
      <c r="E42" s="70">
        <v>1000</v>
      </c>
      <c r="F42" s="14" t="s">
        <v>23</v>
      </c>
      <c r="G42" s="9">
        <v>26768</v>
      </c>
      <c r="H42" s="76">
        <v>1000</v>
      </c>
      <c r="I42" s="10" t="s">
        <v>27</v>
      </c>
      <c r="J42" s="50">
        <v>26817</v>
      </c>
      <c r="K42" s="78">
        <v>1000</v>
      </c>
      <c r="L42" s="51" t="s">
        <v>75</v>
      </c>
      <c r="M42" s="75">
        <v>26856</v>
      </c>
      <c r="N42" s="73">
        <v>500</v>
      </c>
      <c r="O42" s="15"/>
    </row>
    <row r="43" spans="1:15" x14ac:dyDescent="0.25">
      <c r="A43" s="16">
        <v>26634</v>
      </c>
      <c r="B43" s="102">
        <v>2100</v>
      </c>
      <c r="C43" s="17" t="s">
        <v>31</v>
      </c>
      <c r="D43" s="13">
        <v>26691</v>
      </c>
      <c r="E43" s="70">
        <v>600</v>
      </c>
      <c r="F43" s="14" t="s">
        <v>52</v>
      </c>
      <c r="G43" s="9">
        <v>26769</v>
      </c>
      <c r="H43" s="76">
        <v>600</v>
      </c>
      <c r="I43" s="10"/>
      <c r="J43" s="53"/>
      <c r="K43" s="72"/>
      <c r="L43" s="51" t="s">
        <v>70</v>
      </c>
      <c r="M43" s="75">
        <v>26857</v>
      </c>
      <c r="N43" s="73">
        <v>250</v>
      </c>
      <c r="O43" s="15"/>
    </row>
    <row r="44" spans="1:15" x14ac:dyDescent="0.25">
      <c r="A44" s="16"/>
      <c r="B44" s="102"/>
      <c r="C44" s="17" t="s">
        <v>32</v>
      </c>
      <c r="D44" s="13">
        <v>26692</v>
      </c>
      <c r="E44" s="70">
        <v>250</v>
      </c>
      <c r="F44" s="14"/>
      <c r="G44" s="9">
        <v>26770</v>
      </c>
      <c r="H44" s="76">
        <v>250</v>
      </c>
      <c r="I44" s="10"/>
      <c r="J44" s="50">
        <v>26818</v>
      </c>
      <c r="K44" s="78">
        <v>3600</v>
      </c>
      <c r="L44" s="51" t="s">
        <v>76</v>
      </c>
      <c r="M44" s="75">
        <v>26858</v>
      </c>
      <c r="N44" s="73">
        <v>2000</v>
      </c>
      <c r="O44" s="15" t="s">
        <v>112</v>
      </c>
    </row>
    <row r="45" spans="1:15" x14ac:dyDescent="0.25">
      <c r="A45" s="16">
        <v>26635</v>
      </c>
      <c r="B45" s="102">
        <v>50</v>
      </c>
      <c r="C45" s="17" t="s">
        <v>33</v>
      </c>
      <c r="D45" s="13">
        <v>26693</v>
      </c>
      <c r="E45" s="70">
        <v>700</v>
      </c>
      <c r="F45" s="14" t="s">
        <v>53</v>
      </c>
      <c r="G45" s="9">
        <v>26771</v>
      </c>
      <c r="H45" s="76">
        <v>400</v>
      </c>
      <c r="I45" s="10"/>
      <c r="J45" s="53">
        <v>26819</v>
      </c>
      <c r="K45" s="72">
        <v>1050</v>
      </c>
      <c r="L45" s="121" t="s">
        <v>75</v>
      </c>
      <c r="M45" s="75"/>
      <c r="N45" s="73"/>
      <c r="O45" s="31" t="s">
        <v>70</v>
      </c>
    </row>
    <row r="46" spans="1:15" x14ac:dyDescent="0.25">
      <c r="A46" s="16">
        <v>26636</v>
      </c>
      <c r="B46" s="102">
        <v>300</v>
      </c>
      <c r="C46" s="17"/>
      <c r="D46" s="13">
        <v>26694</v>
      </c>
      <c r="E46" s="70">
        <v>300</v>
      </c>
      <c r="F46" s="14"/>
      <c r="G46" s="9">
        <v>26772</v>
      </c>
      <c r="H46" s="76">
        <v>400</v>
      </c>
      <c r="I46" s="10"/>
      <c r="J46" s="50"/>
      <c r="K46" s="78"/>
      <c r="L46" s="51" t="s">
        <v>77</v>
      </c>
      <c r="M46" s="75">
        <v>26859</v>
      </c>
      <c r="N46" s="73">
        <v>500</v>
      </c>
      <c r="O46" s="15"/>
    </row>
    <row r="47" spans="1:15" x14ac:dyDescent="0.25">
      <c r="A47" s="16">
        <v>26637</v>
      </c>
      <c r="B47" s="102">
        <v>500</v>
      </c>
      <c r="C47" s="17"/>
      <c r="D47" s="13">
        <v>26695</v>
      </c>
      <c r="E47" s="70">
        <v>200</v>
      </c>
      <c r="F47" s="14"/>
      <c r="G47" s="9">
        <v>26773</v>
      </c>
      <c r="H47" s="76">
        <v>5500</v>
      </c>
      <c r="I47" s="10" t="s">
        <v>88</v>
      </c>
      <c r="J47" s="50">
        <v>26820</v>
      </c>
      <c r="K47" s="78">
        <v>500</v>
      </c>
      <c r="L47" s="51"/>
      <c r="M47" s="75">
        <v>26860</v>
      </c>
      <c r="N47" s="73">
        <v>350</v>
      </c>
      <c r="O47" s="15" t="s">
        <v>94</v>
      </c>
    </row>
    <row r="48" spans="1:15" x14ac:dyDescent="0.25">
      <c r="A48" s="16">
        <v>26638</v>
      </c>
      <c r="B48" s="102">
        <v>400</v>
      </c>
      <c r="C48" s="17" t="s">
        <v>26</v>
      </c>
      <c r="D48" s="13">
        <v>26696</v>
      </c>
      <c r="E48" s="70">
        <v>1000</v>
      </c>
      <c r="F48" s="14" t="s">
        <v>54</v>
      </c>
      <c r="G48" s="9"/>
      <c r="H48" s="76"/>
      <c r="I48" s="10" t="s">
        <v>87</v>
      </c>
      <c r="J48" s="50">
        <v>26821</v>
      </c>
      <c r="K48" s="78">
        <v>500</v>
      </c>
      <c r="L48" s="51"/>
      <c r="M48" s="75">
        <v>26861</v>
      </c>
      <c r="N48" s="73">
        <v>1000</v>
      </c>
      <c r="O48" s="15" t="s">
        <v>27</v>
      </c>
    </row>
    <row r="49" spans="1:15" x14ac:dyDescent="0.25">
      <c r="A49" s="16">
        <v>26639</v>
      </c>
      <c r="B49" s="102">
        <v>1000</v>
      </c>
      <c r="C49" s="17" t="s">
        <v>28</v>
      </c>
      <c r="D49" s="13"/>
      <c r="E49" s="70"/>
      <c r="F49" s="14" t="s">
        <v>55</v>
      </c>
      <c r="G49" s="9">
        <v>26774</v>
      </c>
      <c r="H49" s="76">
        <v>1500</v>
      </c>
      <c r="I49" s="10" t="s">
        <v>92</v>
      </c>
      <c r="J49" s="50">
        <v>26822</v>
      </c>
      <c r="K49" s="78">
        <v>700</v>
      </c>
      <c r="L49" s="51" t="s">
        <v>78</v>
      </c>
      <c r="M49" s="75">
        <v>26862</v>
      </c>
      <c r="N49" s="73">
        <v>400</v>
      </c>
      <c r="O49" s="15" t="s">
        <v>101</v>
      </c>
    </row>
    <row r="50" spans="1:15" x14ac:dyDescent="0.25">
      <c r="A50" s="16">
        <v>26640</v>
      </c>
      <c r="B50" s="102">
        <v>5500</v>
      </c>
      <c r="C50" s="17" t="s">
        <v>19</v>
      </c>
      <c r="D50" s="13">
        <v>26697</v>
      </c>
      <c r="E50" s="70">
        <v>500</v>
      </c>
      <c r="F50" s="14"/>
      <c r="G50" s="9"/>
      <c r="H50" s="76"/>
      <c r="I50" s="10" t="s">
        <v>32</v>
      </c>
      <c r="J50" s="53">
        <v>26823</v>
      </c>
      <c r="K50" s="78">
        <v>5500</v>
      </c>
      <c r="L50" s="54" t="s">
        <v>64</v>
      </c>
      <c r="M50" s="75">
        <v>26863</v>
      </c>
      <c r="N50" s="73">
        <v>350</v>
      </c>
      <c r="O50" s="15" t="s">
        <v>94</v>
      </c>
    </row>
    <row r="51" spans="1:15" x14ac:dyDescent="0.25">
      <c r="A51" s="16">
        <v>26641</v>
      </c>
      <c r="B51" s="102">
        <v>5500</v>
      </c>
      <c r="C51" s="17" t="s">
        <v>19</v>
      </c>
      <c r="D51" s="13">
        <v>26698</v>
      </c>
      <c r="E51" s="70">
        <v>200</v>
      </c>
      <c r="F51" s="14"/>
      <c r="G51" s="9">
        <v>26775</v>
      </c>
      <c r="H51" s="76">
        <v>300</v>
      </c>
      <c r="I51" s="10" t="s">
        <v>93</v>
      </c>
      <c r="J51" s="53"/>
      <c r="K51" s="78"/>
      <c r="L51" s="55" t="s">
        <v>70</v>
      </c>
      <c r="M51" s="75">
        <v>26864</v>
      </c>
      <c r="N51" s="73">
        <v>500</v>
      </c>
      <c r="O51" s="15"/>
    </row>
    <row r="52" spans="1:15" x14ac:dyDescent="0.25">
      <c r="A52" s="16">
        <v>26642</v>
      </c>
      <c r="B52" s="102">
        <v>500</v>
      </c>
      <c r="C52" s="17"/>
      <c r="D52" s="13">
        <v>26699</v>
      </c>
      <c r="E52" s="70">
        <v>500</v>
      </c>
      <c r="F52" s="14" t="s">
        <v>37</v>
      </c>
      <c r="G52" s="9">
        <v>26776</v>
      </c>
      <c r="H52" s="76">
        <v>350</v>
      </c>
      <c r="I52" s="10" t="s">
        <v>94</v>
      </c>
      <c r="J52" s="53">
        <v>26824</v>
      </c>
      <c r="K52" s="72">
        <v>400</v>
      </c>
      <c r="L52" s="54"/>
      <c r="M52" s="75">
        <v>26865</v>
      </c>
      <c r="N52" s="73">
        <v>500</v>
      </c>
      <c r="O52" s="15"/>
    </row>
    <row r="53" spans="1:15" x14ac:dyDescent="0.25">
      <c r="A53" s="16">
        <v>26643</v>
      </c>
      <c r="B53" s="102">
        <v>400</v>
      </c>
      <c r="C53" s="17"/>
      <c r="D53" s="13">
        <v>26700</v>
      </c>
      <c r="E53" s="70">
        <v>500</v>
      </c>
      <c r="F53" s="14" t="s">
        <v>37</v>
      </c>
      <c r="G53" s="9">
        <v>26777</v>
      </c>
      <c r="H53" s="76">
        <v>1000</v>
      </c>
      <c r="I53" s="10" t="s">
        <v>27</v>
      </c>
      <c r="J53" s="53">
        <v>26825</v>
      </c>
      <c r="K53" s="72">
        <v>5500</v>
      </c>
      <c r="L53" s="54" t="s">
        <v>64</v>
      </c>
      <c r="M53" s="75">
        <v>26866</v>
      </c>
      <c r="N53" s="73">
        <v>500</v>
      </c>
      <c r="O53" s="15"/>
    </row>
    <row r="54" spans="1:15" x14ac:dyDescent="0.25">
      <c r="A54" s="16">
        <v>26644</v>
      </c>
      <c r="B54" s="102">
        <v>100</v>
      </c>
      <c r="C54" s="17" t="s">
        <v>29</v>
      </c>
      <c r="D54" s="13">
        <v>26701</v>
      </c>
      <c r="E54" s="70">
        <v>5500</v>
      </c>
      <c r="F54" s="14" t="s">
        <v>19</v>
      </c>
      <c r="G54" s="9">
        <v>26778</v>
      </c>
      <c r="H54" s="76">
        <v>500</v>
      </c>
      <c r="I54" s="10"/>
      <c r="J54" s="53"/>
      <c r="K54" s="72"/>
      <c r="L54" s="54" t="s">
        <v>70</v>
      </c>
      <c r="M54" s="75">
        <v>26867</v>
      </c>
      <c r="N54" s="73">
        <v>400</v>
      </c>
      <c r="O54" s="15"/>
    </row>
    <row r="55" spans="1:15" x14ac:dyDescent="0.25">
      <c r="A55" s="16">
        <v>26645</v>
      </c>
      <c r="B55" s="102">
        <v>1000</v>
      </c>
      <c r="C55" s="17" t="s">
        <v>27</v>
      </c>
      <c r="D55" s="13">
        <v>26702</v>
      </c>
      <c r="E55" s="70">
        <v>1800</v>
      </c>
      <c r="F55" s="14" t="s">
        <v>56</v>
      </c>
      <c r="G55" s="9">
        <v>26779</v>
      </c>
      <c r="H55" s="76">
        <v>500</v>
      </c>
      <c r="I55" s="10"/>
      <c r="J55" s="53">
        <v>26826</v>
      </c>
      <c r="K55" s="72">
        <v>5500</v>
      </c>
      <c r="L55" s="54" t="s">
        <v>64</v>
      </c>
      <c r="M55" s="75">
        <v>26868</v>
      </c>
      <c r="N55" s="73">
        <v>400</v>
      </c>
      <c r="O55" s="15" t="s">
        <v>113</v>
      </c>
    </row>
    <row r="56" spans="1:15" x14ac:dyDescent="0.25">
      <c r="A56" s="16">
        <v>26646</v>
      </c>
      <c r="B56" s="102">
        <v>1000</v>
      </c>
      <c r="C56" s="17" t="s">
        <v>28</v>
      </c>
      <c r="D56" s="13">
        <v>26703</v>
      </c>
      <c r="E56" s="70">
        <v>400</v>
      </c>
      <c r="F56" s="23"/>
      <c r="G56" s="9">
        <v>26780</v>
      </c>
      <c r="H56" s="76">
        <v>350</v>
      </c>
      <c r="I56" s="10" t="s">
        <v>95</v>
      </c>
      <c r="J56" s="53"/>
      <c r="K56" s="72"/>
      <c r="L56" s="54" t="s">
        <v>70</v>
      </c>
      <c r="M56" s="75">
        <v>26869</v>
      </c>
      <c r="N56" s="73">
        <v>50</v>
      </c>
      <c r="O56" s="15" t="s">
        <v>33</v>
      </c>
    </row>
    <row r="57" spans="1:15" x14ac:dyDescent="0.25">
      <c r="A57" s="16">
        <v>26647</v>
      </c>
      <c r="B57" s="102">
        <v>1000</v>
      </c>
      <c r="C57" s="17" t="s">
        <v>27</v>
      </c>
      <c r="D57" s="13">
        <v>26704</v>
      </c>
      <c r="E57" s="70">
        <v>5500</v>
      </c>
      <c r="F57" s="23" t="s">
        <v>19</v>
      </c>
      <c r="G57" s="9">
        <v>26781</v>
      </c>
      <c r="H57" s="76"/>
      <c r="I57" s="10" t="s">
        <v>38</v>
      </c>
      <c r="J57" s="53">
        <v>26827</v>
      </c>
      <c r="K57" s="72">
        <v>500</v>
      </c>
      <c r="L57" s="54"/>
      <c r="M57" s="75">
        <v>26870</v>
      </c>
      <c r="N57" s="73">
        <v>250</v>
      </c>
      <c r="O57" s="15"/>
    </row>
    <row r="58" spans="1:15" x14ac:dyDescent="0.25">
      <c r="A58" s="16">
        <v>26648</v>
      </c>
      <c r="B58" s="102">
        <v>100</v>
      </c>
      <c r="C58" s="17" t="s">
        <v>29</v>
      </c>
      <c r="D58" s="13">
        <v>26705</v>
      </c>
      <c r="E58" s="70">
        <v>700</v>
      </c>
      <c r="F58" s="14"/>
      <c r="G58" s="9">
        <v>26782</v>
      </c>
      <c r="H58" s="76">
        <v>1000</v>
      </c>
      <c r="I58" s="10" t="s">
        <v>27</v>
      </c>
      <c r="J58" s="53"/>
      <c r="K58" s="72"/>
      <c r="L58" s="54"/>
      <c r="M58" s="75">
        <v>26871</v>
      </c>
      <c r="N58" s="73">
        <v>500</v>
      </c>
      <c r="O58" s="15"/>
    </row>
    <row r="59" spans="1:15" x14ac:dyDescent="0.25">
      <c r="A59" s="16">
        <v>26649</v>
      </c>
      <c r="B59" s="102">
        <v>250</v>
      </c>
      <c r="C59" s="17" t="s">
        <v>26</v>
      </c>
      <c r="D59" s="13">
        <v>26706</v>
      </c>
      <c r="E59" s="70">
        <v>600</v>
      </c>
      <c r="F59" s="14" t="s">
        <v>57</v>
      </c>
      <c r="G59" s="9">
        <v>26783</v>
      </c>
      <c r="H59" s="76">
        <v>1000</v>
      </c>
      <c r="I59" s="10" t="s">
        <v>27</v>
      </c>
      <c r="J59" s="53"/>
      <c r="K59" s="72"/>
      <c r="L59" s="54"/>
      <c r="M59" s="75">
        <v>26872</v>
      </c>
      <c r="N59" s="73">
        <v>900</v>
      </c>
      <c r="O59" s="15" t="s">
        <v>114</v>
      </c>
    </row>
    <row r="60" spans="1:15" x14ac:dyDescent="0.25">
      <c r="A60" s="16">
        <v>26650</v>
      </c>
      <c r="B60" s="102">
        <v>300</v>
      </c>
      <c r="C60" s="17"/>
      <c r="D60" s="13">
        <v>26707</v>
      </c>
      <c r="E60" s="70">
        <v>1000</v>
      </c>
      <c r="F60" s="23" t="s">
        <v>23</v>
      </c>
      <c r="G60" s="9">
        <v>26784</v>
      </c>
      <c r="H60" s="76">
        <v>500</v>
      </c>
      <c r="I60" s="10"/>
      <c r="J60" s="53"/>
      <c r="K60" s="72"/>
      <c r="L60" s="54"/>
      <c r="M60" s="75"/>
      <c r="N60" s="73"/>
      <c r="O60" s="15" t="s">
        <v>70</v>
      </c>
    </row>
    <row r="61" spans="1:15" x14ac:dyDescent="0.25">
      <c r="A61" s="16">
        <v>26651</v>
      </c>
      <c r="B61" s="102">
        <v>500</v>
      </c>
      <c r="C61" s="17" t="s">
        <v>25</v>
      </c>
      <c r="D61" s="13">
        <v>26708</v>
      </c>
      <c r="E61" s="70">
        <v>1500</v>
      </c>
      <c r="F61" s="14" t="s">
        <v>58</v>
      </c>
      <c r="G61" s="9">
        <v>26785</v>
      </c>
      <c r="H61" s="76">
        <v>1000</v>
      </c>
      <c r="I61" s="104" t="s">
        <v>23</v>
      </c>
      <c r="J61" s="53"/>
      <c r="K61" s="72"/>
      <c r="L61" s="54"/>
      <c r="M61" s="75">
        <v>26873</v>
      </c>
      <c r="N61" s="73">
        <v>300</v>
      </c>
      <c r="O61" s="15" t="s">
        <v>101</v>
      </c>
    </row>
    <row r="62" spans="1:15" x14ac:dyDescent="0.25">
      <c r="A62" s="16">
        <v>26652</v>
      </c>
      <c r="B62" s="102">
        <v>1500</v>
      </c>
      <c r="C62" s="17" t="s">
        <v>34</v>
      </c>
      <c r="D62" s="13"/>
      <c r="E62" s="70"/>
      <c r="F62" s="14" t="s">
        <v>59</v>
      </c>
      <c r="G62" s="9">
        <v>26786</v>
      </c>
      <c r="H62" s="76">
        <v>1000</v>
      </c>
      <c r="I62" s="10" t="s">
        <v>27</v>
      </c>
      <c r="J62" s="53"/>
      <c r="K62" s="72"/>
      <c r="L62" s="54"/>
      <c r="M62" s="75">
        <v>26874</v>
      </c>
      <c r="N62" s="73">
        <v>500</v>
      </c>
      <c r="O62" s="15" t="s">
        <v>101</v>
      </c>
    </row>
    <row r="63" spans="1:15" x14ac:dyDescent="0.25">
      <c r="A63" s="16">
        <v>26653</v>
      </c>
      <c r="B63" s="102">
        <v>100</v>
      </c>
      <c r="C63" s="17" t="s">
        <v>29</v>
      </c>
      <c r="D63" s="13">
        <v>26709</v>
      </c>
      <c r="E63" s="70">
        <v>450</v>
      </c>
      <c r="F63" s="14" t="s">
        <v>37</v>
      </c>
      <c r="G63" s="9">
        <v>26787</v>
      </c>
      <c r="H63" s="76">
        <v>500</v>
      </c>
      <c r="I63" s="10" t="s">
        <v>26</v>
      </c>
      <c r="J63" s="53"/>
      <c r="K63" s="72"/>
      <c r="L63" s="54"/>
      <c r="M63" s="75">
        <v>26875</v>
      </c>
      <c r="N63" s="73">
        <v>500</v>
      </c>
      <c r="O63" s="15"/>
    </row>
    <row r="64" spans="1:15" x14ac:dyDescent="0.25">
      <c r="A64" s="16">
        <v>26654</v>
      </c>
      <c r="B64" s="102">
        <v>400</v>
      </c>
      <c r="C64" s="17" t="s">
        <v>26</v>
      </c>
      <c r="D64" s="13">
        <v>26710</v>
      </c>
      <c r="E64" s="70">
        <v>500</v>
      </c>
      <c r="F64" s="14" t="s">
        <v>37</v>
      </c>
      <c r="G64" s="9">
        <v>26788</v>
      </c>
      <c r="H64" s="76">
        <v>2000</v>
      </c>
      <c r="I64" s="104" t="s">
        <v>96</v>
      </c>
      <c r="J64" s="53"/>
      <c r="K64" s="72"/>
      <c r="L64" s="54"/>
      <c r="M64" s="75">
        <v>26876</v>
      </c>
      <c r="N64" s="73">
        <v>1000</v>
      </c>
      <c r="O64" s="15" t="s">
        <v>115</v>
      </c>
    </row>
    <row r="65" spans="1:15" x14ac:dyDescent="0.25">
      <c r="A65" s="16">
        <v>26655</v>
      </c>
      <c r="B65" s="102">
        <v>500</v>
      </c>
      <c r="C65" s="17"/>
      <c r="D65" s="13">
        <v>26711</v>
      </c>
      <c r="E65" s="70">
        <v>900</v>
      </c>
      <c r="F65" s="14" t="s">
        <v>46</v>
      </c>
      <c r="G65" s="9"/>
      <c r="H65" s="76"/>
      <c r="I65" s="104" t="s">
        <v>97</v>
      </c>
      <c r="J65" s="53"/>
      <c r="K65" s="72"/>
      <c r="L65" s="54"/>
      <c r="M65" s="75">
        <v>26877</v>
      </c>
      <c r="N65" s="73">
        <v>600</v>
      </c>
      <c r="O65" s="15" t="s">
        <v>52</v>
      </c>
    </row>
    <row r="66" spans="1:15" x14ac:dyDescent="0.25">
      <c r="A66" s="16">
        <v>26656</v>
      </c>
      <c r="B66" s="102">
        <v>500</v>
      </c>
      <c r="C66" s="17" t="s">
        <v>22</v>
      </c>
      <c r="D66" s="13">
        <v>26712</v>
      </c>
      <c r="E66" s="70">
        <v>500</v>
      </c>
      <c r="F66" s="14"/>
      <c r="G66" s="9">
        <v>26789</v>
      </c>
      <c r="H66" s="76">
        <v>300</v>
      </c>
      <c r="I66" s="10" t="s">
        <v>98</v>
      </c>
      <c r="J66" s="53"/>
      <c r="K66" s="72"/>
      <c r="L66" s="54"/>
      <c r="M66" s="75">
        <v>26878</v>
      </c>
      <c r="N66" s="73"/>
      <c r="O66" s="15"/>
    </row>
    <row r="67" spans="1:15" x14ac:dyDescent="0.25">
      <c r="A67" s="16">
        <v>26657</v>
      </c>
      <c r="B67" s="102">
        <v>400</v>
      </c>
      <c r="C67" s="17" t="s">
        <v>22</v>
      </c>
      <c r="D67" s="13">
        <v>26713</v>
      </c>
      <c r="E67" s="70">
        <v>900</v>
      </c>
      <c r="F67" s="14" t="s">
        <v>46</v>
      </c>
      <c r="G67" s="9">
        <v>26790</v>
      </c>
      <c r="H67" s="76">
        <v>800</v>
      </c>
      <c r="I67" s="104" t="s">
        <v>60</v>
      </c>
      <c r="J67" s="50"/>
      <c r="K67" s="78"/>
      <c r="L67" s="51"/>
      <c r="M67" s="75"/>
      <c r="N67" s="73"/>
      <c r="O67" s="15"/>
    </row>
    <row r="68" spans="1:15" x14ac:dyDescent="0.25">
      <c r="A68" s="16">
        <v>26658</v>
      </c>
      <c r="B68" s="102">
        <v>1000</v>
      </c>
      <c r="C68" s="17" t="s">
        <v>28</v>
      </c>
      <c r="D68" s="13">
        <v>26714</v>
      </c>
      <c r="E68" s="70">
        <v>900</v>
      </c>
      <c r="F68" s="14" t="s">
        <v>46</v>
      </c>
      <c r="G68" s="9">
        <v>26791</v>
      </c>
      <c r="H68" s="76">
        <v>350</v>
      </c>
      <c r="I68" s="10" t="s">
        <v>94</v>
      </c>
      <c r="J68" s="50"/>
      <c r="K68" s="78"/>
      <c r="L68" s="51"/>
      <c r="M68" s="75">
        <v>26879</v>
      </c>
      <c r="N68" s="73">
        <v>3600</v>
      </c>
      <c r="O68" s="15" t="s">
        <v>116</v>
      </c>
    </row>
    <row r="69" spans="1:15" x14ac:dyDescent="0.25">
      <c r="A69" s="16">
        <v>26659</v>
      </c>
      <c r="B69" s="102">
        <v>600</v>
      </c>
      <c r="C69" s="17" t="s">
        <v>35</v>
      </c>
      <c r="D69" s="13">
        <v>26715</v>
      </c>
      <c r="E69" s="70">
        <v>800</v>
      </c>
      <c r="F69" s="14" t="s">
        <v>60</v>
      </c>
      <c r="G69" s="9">
        <v>26792</v>
      </c>
      <c r="H69" s="76">
        <v>500</v>
      </c>
      <c r="I69" s="10"/>
      <c r="J69" s="50"/>
      <c r="K69" s="78"/>
      <c r="L69" s="51"/>
      <c r="M69" s="75">
        <v>26880</v>
      </c>
      <c r="N69" s="73">
        <v>300</v>
      </c>
      <c r="O69" s="15"/>
    </row>
    <row r="70" spans="1:15" x14ac:dyDescent="0.25">
      <c r="A70" s="16">
        <v>26660</v>
      </c>
      <c r="B70" s="102">
        <v>1000</v>
      </c>
      <c r="C70" s="17" t="s">
        <v>27</v>
      </c>
      <c r="D70" s="13">
        <v>26716</v>
      </c>
      <c r="E70" s="70">
        <v>500</v>
      </c>
      <c r="F70" s="14"/>
      <c r="G70" s="9">
        <v>26793</v>
      </c>
      <c r="H70" s="76">
        <v>5500</v>
      </c>
      <c r="I70" s="10" t="s">
        <v>19</v>
      </c>
      <c r="J70" s="50"/>
      <c r="K70" s="78"/>
      <c r="L70" s="51"/>
      <c r="M70" s="75"/>
      <c r="N70" s="73"/>
      <c r="O70" s="15"/>
    </row>
    <row r="71" spans="1:15" x14ac:dyDescent="0.25">
      <c r="A71" s="16">
        <v>26661</v>
      </c>
      <c r="B71" s="102">
        <v>500</v>
      </c>
      <c r="C71" s="17"/>
      <c r="D71" s="13">
        <v>26717</v>
      </c>
      <c r="E71" s="70">
        <v>250</v>
      </c>
      <c r="F71" s="14"/>
      <c r="G71" s="9"/>
      <c r="H71" s="76"/>
      <c r="I71" s="10" t="s">
        <v>87</v>
      </c>
      <c r="J71" s="50"/>
      <c r="K71" s="78"/>
      <c r="L71" s="51"/>
      <c r="M71" s="75"/>
      <c r="N71" s="73"/>
      <c r="O71" s="15"/>
    </row>
    <row r="72" spans="1:15" x14ac:dyDescent="0.25">
      <c r="A72" s="16"/>
      <c r="B72" s="102"/>
      <c r="C72" s="17"/>
      <c r="D72" s="13">
        <v>26718</v>
      </c>
      <c r="E72" s="70">
        <v>1500</v>
      </c>
      <c r="F72" s="14" t="s">
        <v>58</v>
      </c>
      <c r="G72" s="9"/>
      <c r="H72" s="76"/>
      <c r="I72" s="10"/>
      <c r="J72" s="50"/>
      <c r="K72" s="78"/>
      <c r="L72" s="51"/>
      <c r="M72" s="75"/>
      <c r="N72" s="73"/>
      <c r="O72" s="15"/>
    </row>
    <row r="73" spans="1:15" x14ac:dyDescent="0.25">
      <c r="A73" s="16"/>
      <c r="B73" s="102"/>
      <c r="C73" s="17"/>
      <c r="D73" s="13">
        <v>26719</v>
      </c>
      <c r="E73" s="70">
        <v>1000</v>
      </c>
      <c r="F73" s="14" t="s">
        <v>27</v>
      </c>
      <c r="G73" s="9"/>
      <c r="H73" s="76"/>
      <c r="I73" s="10"/>
      <c r="J73" s="50"/>
      <c r="K73" s="78"/>
      <c r="L73" s="51"/>
      <c r="M73" s="75"/>
      <c r="N73" s="73"/>
      <c r="O73" s="15"/>
    </row>
    <row r="74" spans="1:15" x14ac:dyDescent="0.25">
      <c r="A74" s="16"/>
      <c r="B74" s="102"/>
      <c r="C74" s="17"/>
      <c r="D74" s="13">
        <v>26720</v>
      </c>
      <c r="E74" s="70">
        <v>350</v>
      </c>
      <c r="F74" s="14"/>
      <c r="G74" s="9"/>
      <c r="H74" s="76"/>
      <c r="I74" s="10"/>
      <c r="J74" s="50"/>
      <c r="K74" s="78"/>
      <c r="L74" s="51"/>
      <c r="M74" s="75"/>
      <c r="N74" s="73"/>
      <c r="O74" s="15"/>
    </row>
    <row r="75" spans="1:15" x14ac:dyDescent="0.25">
      <c r="A75" s="16"/>
      <c r="B75" s="102"/>
      <c r="C75" s="17"/>
      <c r="D75" s="13">
        <v>26721</v>
      </c>
      <c r="E75" s="70">
        <v>500</v>
      </c>
      <c r="F75" s="14" t="s">
        <v>37</v>
      </c>
      <c r="G75" s="9"/>
      <c r="H75" s="76"/>
      <c r="I75" s="104"/>
      <c r="J75" s="50"/>
      <c r="K75" s="78"/>
      <c r="L75" s="51"/>
      <c r="M75" s="75"/>
      <c r="N75" s="73"/>
      <c r="O75" s="15"/>
    </row>
    <row r="76" spans="1:15" x14ac:dyDescent="0.25">
      <c r="A76" s="16"/>
      <c r="B76" s="102"/>
      <c r="C76" s="17"/>
      <c r="D76" s="13">
        <v>26722</v>
      </c>
      <c r="E76" s="70">
        <v>500</v>
      </c>
      <c r="F76" s="14"/>
      <c r="G76" s="9"/>
      <c r="H76" s="76"/>
      <c r="I76" s="10"/>
      <c r="J76" s="50"/>
      <c r="K76" s="78"/>
      <c r="L76" s="51"/>
      <c r="M76" s="75"/>
      <c r="N76" s="73"/>
      <c r="O76" s="15"/>
    </row>
    <row r="77" spans="1:15" x14ac:dyDescent="0.25">
      <c r="A77" s="16"/>
      <c r="B77" s="102"/>
      <c r="C77" s="17"/>
      <c r="D77" s="13">
        <v>26723</v>
      </c>
      <c r="E77" s="70">
        <v>800</v>
      </c>
      <c r="F77" s="14" t="s">
        <v>41</v>
      </c>
      <c r="G77" s="9"/>
      <c r="H77" s="76"/>
      <c r="I77" s="10"/>
      <c r="J77" s="50"/>
      <c r="K77" s="78"/>
      <c r="L77" s="51"/>
      <c r="M77" s="75"/>
      <c r="N77" s="73"/>
      <c r="O77" s="15"/>
    </row>
    <row r="78" spans="1:15" x14ac:dyDescent="0.25">
      <c r="A78" s="16"/>
      <c r="B78" s="102"/>
      <c r="C78" s="17"/>
      <c r="D78" s="13">
        <v>26724</v>
      </c>
      <c r="E78" s="70">
        <v>5500</v>
      </c>
      <c r="F78" s="14" t="s">
        <v>19</v>
      </c>
      <c r="G78" s="9"/>
      <c r="H78" s="76"/>
      <c r="I78" s="104"/>
      <c r="J78" s="50"/>
      <c r="K78" s="78"/>
      <c r="L78" s="51"/>
      <c r="M78" s="75"/>
      <c r="N78" s="73"/>
      <c r="O78" s="15"/>
    </row>
    <row r="79" spans="1:15" x14ac:dyDescent="0.25">
      <c r="A79" s="16"/>
      <c r="B79" s="102"/>
      <c r="C79" s="17"/>
      <c r="D79" s="13"/>
      <c r="E79" s="70"/>
      <c r="F79" s="14" t="s">
        <v>40</v>
      </c>
      <c r="G79" s="9"/>
      <c r="H79" s="76"/>
      <c r="I79" s="10"/>
      <c r="J79" s="50"/>
      <c r="K79" s="78"/>
      <c r="L79" s="51"/>
      <c r="M79" s="75"/>
      <c r="N79" s="73"/>
      <c r="O79" s="15"/>
    </row>
    <row r="80" spans="1:15" x14ac:dyDescent="0.25">
      <c r="A80" s="16"/>
      <c r="B80" s="102"/>
      <c r="C80" s="17"/>
      <c r="D80" s="13">
        <v>26725</v>
      </c>
      <c r="E80" s="70">
        <v>350</v>
      </c>
      <c r="F80" s="14" t="s">
        <v>37</v>
      </c>
      <c r="G80" s="9"/>
      <c r="H80" s="76"/>
      <c r="I80" s="10"/>
      <c r="J80" s="50"/>
      <c r="K80" s="78"/>
      <c r="L80" s="51"/>
      <c r="M80" s="75"/>
      <c r="N80" s="73"/>
      <c r="O80" s="15"/>
    </row>
    <row r="81" spans="1:15" x14ac:dyDescent="0.25">
      <c r="A81" s="16"/>
      <c r="B81" s="102"/>
      <c r="C81" s="17"/>
      <c r="D81" s="13">
        <v>26726</v>
      </c>
      <c r="E81" s="70">
        <v>5500</v>
      </c>
      <c r="F81" s="14" t="s">
        <v>19</v>
      </c>
      <c r="G81" s="9"/>
      <c r="H81" s="76"/>
      <c r="I81" s="104"/>
      <c r="J81" s="50"/>
      <c r="K81" s="78"/>
      <c r="L81" s="51"/>
      <c r="M81" s="75"/>
      <c r="N81" s="73"/>
      <c r="O81" s="15"/>
    </row>
    <row r="82" spans="1:15" x14ac:dyDescent="0.25">
      <c r="A82" s="16"/>
      <c r="B82" s="102"/>
      <c r="C82" s="17"/>
      <c r="D82" s="13"/>
      <c r="E82" s="70"/>
      <c r="F82" s="14" t="s">
        <v>40</v>
      </c>
      <c r="G82" s="9"/>
      <c r="H82" s="76"/>
      <c r="I82" s="10"/>
      <c r="J82" s="50"/>
      <c r="K82" s="78"/>
      <c r="L82" s="51"/>
      <c r="M82" s="75"/>
      <c r="N82" s="73"/>
      <c r="O82" s="15"/>
    </row>
    <row r="83" spans="1:15" x14ac:dyDescent="0.25">
      <c r="A83" s="16"/>
      <c r="B83" s="102"/>
      <c r="C83" s="17"/>
      <c r="D83" s="13">
        <v>26727</v>
      </c>
      <c r="E83" s="70">
        <v>500</v>
      </c>
      <c r="F83" s="14"/>
      <c r="G83" s="9"/>
      <c r="H83" s="119"/>
      <c r="I83" s="10"/>
      <c r="J83" s="50"/>
      <c r="K83" s="78"/>
      <c r="L83" s="51"/>
      <c r="M83" s="75"/>
      <c r="N83" s="73"/>
      <c r="O83" s="15"/>
    </row>
    <row r="84" spans="1:15" x14ac:dyDescent="0.25">
      <c r="A84" s="16"/>
      <c r="B84" s="102"/>
      <c r="C84" s="115"/>
      <c r="D84" s="13">
        <v>26728</v>
      </c>
      <c r="E84" s="70">
        <v>800</v>
      </c>
      <c r="F84" s="14" t="s">
        <v>60</v>
      </c>
      <c r="G84" s="9"/>
      <c r="H84" s="76"/>
      <c r="I84" s="10"/>
      <c r="J84" s="50"/>
      <c r="K84" s="78"/>
      <c r="L84" s="51"/>
      <c r="M84" s="75"/>
      <c r="N84" s="73"/>
      <c r="O84" s="15"/>
    </row>
    <row r="85" spans="1:15" x14ac:dyDescent="0.25">
      <c r="A85" s="16"/>
      <c r="B85" s="102"/>
      <c r="C85" s="17"/>
      <c r="D85" s="13">
        <v>26729</v>
      </c>
      <c r="E85" s="70">
        <v>3600</v>
      </c>
      <c r="F85" s="14" t="s">
        <v>51</v>
      </c>
      <c r="G85" s="9"/>
      <c r="H85" s="76"/>
      <c r="I85" s="10"/>
      <c r="J85" s="50"/>
      <c r="K85" s="78"/>
      <c r="L85" s="51"/>
      <c r="M85" s="75"/>
      <c r="N85" s="73"/>
      <c r="O85" s="15"/>
    </row>
    <row r="86" spans="1:15" x14ac:dyDescent="0.25">
      <c r="A86" s="16"/>
      <c r="B86" s="102"/>
      <c r="C86" s="17"/>
      <c r="D86" s="13">
        <v>26730</v>
      </c>
      <c r="E86" s="70">
        <v>500</v>
      </c>
      <c r="F86" s="14" t="s">
        <v>61</v>
      </c>
      <c r="G86" s="9"/>
      <c r="H86" s="76"/>
      <c r="I86" s="10"/>
      <c r="J86" s="50"/>
      <c r="K86" s="78"/>
      <c r="L86" s="51"/>
      <c r="M86" s="75"/>
      <c r="N86" s="73"/>
      <c r="O86" s="15"/>
    </row>
    <row r="87" spans="1:15" x14ac:dyDescent="0.25">
      <c r="A87" s="16"/>
      <c r="B87" s="102"/>
      <c r="C87" s="17"/>
      <c r="D87" s="13">
        <v>26731</v>
      </c>
      <c r="E87" s="70">
        <v>500</v>
      </c>
      <c r="F87" s="14"/>
      <c r="G87" s="9"/>
      <c r="H87" s="76"/>
      <c r="I87" s="10"/>
      <c r="J87" s="50"/>
      <c r="K87" s="78"/>
      <c r="L87" s="51"/>
      <c r="M87" s="75"/>
      <c r="N87" s="73"/>
      <c r="O87" s="15"/>
    </row>
    <row r="88" spans="1:15" x14ac:dyDescent="0.25">
      <c r="A88" s="16"/>
      <c r="B88" s="102"/>
      <c r="C88" s="17"/>
      <c r="D88" s="13">
        <v>26732</v>
      </c>
      <c r="E88" s="70">
        <v>50</v>
      </c>
      <c r="F88" s="14" t="s">
        <v>33</v>
      </c>
      <c r="G88" s="9"/>
      <c r="H88" s="76"/>
      <c r="I88" s="104"/>
      <c r="J88" s="50"/>
      <c r="K88" s="78"/>
      <c r="L88" s="51"/>
      <c r="M88" s="75"/>
      <c r="N88" s="73"/>
      <c r="O88" s="15"/>
    </row>
    <row r="89" spans="1:15" x14ac:dyDescent="0.25">
      <c r="A89" s="16"/>
      <c r="B89" s="102"/>
      <c r="C89" s="17"/>
      <c r="D89" s="13">
        <v>26733</v>
      </c>
      <c r="E89" s="70">
        <v>900</v>
      </c>
      <c r="F89" s="14" t="s">
        <v>46</v>
      </c>
      <c r="G89" s="9"/>
      <c r="H89" s="76"/>
      <c r="I89" s="10"/>
      <c r="J89" s="50"/>
      <c r="K89" s="78"/>
      <c r="L89" s="51"/>
      <c r="M89" s="75"/>
      <c r="N89" s="73"/>
      <c r="O89" s="15"/>
    </row>
    <row r="90" spans="1:15" x14ac:dyDescent="0.25">
      <c r="A90" s="16"/>
      <c r="B90" s="102"/>
      <c r="C90" s="17"/>
      <c r="D90" s="13">
        <v>26734</v>
      </c>
      <c r="E90" s="70">
        <v>200</v>
      </c>
      <c r="F90" s="14"/>
      <c r="G90" s="9"/>
      <c r="H90" s="76"/>
      <c r="I90" s="10"/>
      <c r="J90" s="50"/>
      <c r="K90" s="78"/>
      <c r="L90" s="51"/>
      <c r="M90" s="75"/>
      <c r="N90" s="73"/>
      <c r="O90" s="15"/>
    </row>
    <row r="91" spans="1:15" x14ac:dyDescent="0.25">
      <c r="A91" s="16"/>
      <c r="B91" s="102"/>
      <c r="C91" s="17"/>
      <c r="D91" s="13">
        <v>26735</v>
      </c>
      <c r="E91" s="70">
        <v>600</v>
      </c>
      <c r="F91" s="14" t="s">
        <v>62</v>
      </c>
      <c r="G91" s="9"/>
      <c r="H91" s="76"/>
      <c r="I91" s="10"/>
      <c r="J91" s="50"/>
      <c r="K91" s="78"/>
      <c r="L91" s="51"/>
      <c r="M91" s="75"/>
      <c r="N91" s="73"/>
      <c r="O91" s="15"/>
    </row>
    <row r="92" spans="1:15" x14ac:dyDescent="0.25">
      <c r="A92" s="16"/>
      <c r="B92" s="102"/>
      <c r="C92" s="17"/>
      <c r="D92" s="13">
        <v>26736</v>
      </c>
      <c r="E92" s="70">
        <v>300</v>
      </c>
      <c r="F92" s="14" t="s">
        <v>63</v>
      </c>
      <c r="G92" s="9"/>
      <c r="H92" s="76"/>
      <c r="I92" s="10"/>
      <c r="J92" s="50"/>
      <c r="K92" s="78"/>
      <c r="L92" s="51"/>
      <c r="M92" s="75"/>
      <c r="N92" s="73"/>
      <c r="O92" s="15"/>
    </row>
    <row r="93" spans="1:15" x14ac:dyDescent="0.25">
      <c r="A93" s="16"/>
      <c r="B93" s="102"/>
      <c r="C93" s="17"/>
      <c r="D93" s="13">
        <v>26737</v>
      </c>
      <c r="E93" s="70">
        <v>400</v>
      </c>
      <c r="F93" s="14"/>
      <c r="G93" s="9"/>
      <c r="H93" s="76"/>
      <c r="I93" s="10"/>
      <c r="J93" s="50"/>
      <c r="K93" s="78"/>
      <c r="L93" s="51"/>
      <c r="M93" s="75"/>
      <c r="N93" s="73"/>
      <c r="O93" s="15"/>
    </row>
    <row r="94" spans="1:15" x14ac:dyDescent="0.25">
      <c r="A94" s="16"/>
      <c r="B94" s="102"/>
      <c r="C94" s="17"/>
      <c r="D94" s="13">
        <v>26738</v>
      </c>
      <c r="E94" s="70">
        <v>400</v>
      </c>
      <c r="F94" s="14"/>
      <c r="G94" s="9"/>
      <c r="H94" s="76"/>
      <c r="I94" s="10"/>
      <c r="J94" s="50"/>
      <c r="K94" s="78"/>
      <c r="L94" s="51"/>
      <c r="M94" s="75"/>
      <c r="N94" s="73"/>
      <c r="O94" s="15"/>
    </row>
    <row r="95" spans="1:15" x14ac:dyDescent="0.25">
      <c r="A95" s="16"/>
      <c r="B95" s="102"/>
      <c r="C95" s="85"/>
      <c r="D95" s="13"/>
      <c r="E95" s="70"/>
      <c r="F95" s="14"/>
      <c r="G95" s="9"/>
      <c r="H95" s="76"/>
      <c r="I95" s="10"/>
      <c r="J95" s="50"/>
      <c r="K95" s="78"/>
      <c r="L95" s="51"/>
      <c r="M95" s="75"/>
      <c r="N95" s="73"/>
      <c r="O95" s="15"/>
    </row>
    <row r="96" spans="1:15" x14ac:dyDescent="0.25">
      <c r="A96" s="16"/>
      <c r="B96" s="102"/>
      <c r="C96" s="17"/>
      <c r="D96" s="13"/>
      <c r="E96" s="70"/>
      <c r="F96" s="14"/>
      <c r="G96" s="9"/>
      <c r="H96" s="76"/>
      <c r="I96" s="10"/>
      <c r="J96" s="50"/>
      <c r="K96" s="78"/>
      <c r="L96" s="51"/>
      <c r="M96" s="75"/>
      <c r="N96" s="73"/>
      <c r="O96" s="15"/>
    </row>
    <row r="97" spans="1:15" x14ac:dyDescent="0.25">
      <c r="A97" s="16"/>
      <c r="B97" s="102"/>
      <c r="C97" s="17"/>
      <c r="D97" s="13"/>
      <c r="E97" s="70"/>
      <c r="F97" s="14"/>
      <c r="G97" s="9"/>
      <c r="H97" s="76"/>
      <c r="I97" s="10"/>
      <c r="J97" s="50"/>
      <c r="K97" s="78"/>
      <c r="L97" s="51"/>
      <c r="M97" s="75"/>
      <c r="N97" s="73"/>
      <c r="O97" s="15"/>
    </row>
    <row r="98" spans="1:15" x14ac:dyDescent="0.25">
      <c r="A98" s="16"/>
      <c r="B98" s="102"/>
      <c r="C98" s="17"/>
      <c r="D98" s="13"/>
      <c r="E98" s="70"/>
      <c r="F98" s="14"/>
      <c r="G98" s="9"/>
      <c r="H98" s="76"/>
      <c r="I98" s="10"/>
      <c r="J98" s="50"/>
      <c r="K98" s="78"/>
      <c r="L98" s="51"/>
      <c r="M98" s="75"/>
      <c r="N98" s="73"/>
      <c r="O98" s="15"/>
    </row>
    <row r="99" spans="1:15" x14ac:dyDescent="0.25">
      <c r="A99" s="16"/>
      <c r="B99" s="102"/>
      <c r="C99" s="17"/>
      <c r="D99" s="13"/>
      <c r="E99" s="70"/>
      <c r="F99" s="14"/>
      <c r="G99" s="9"/>
      <c r="H99" s="76"/>
      <c r="I99" s="10"/>
      <c r="J99" s="50"/>
      <c r="K99" s="78"/>
      <c r="L99" s="51"/>
      <c r="M99" s="75"/>
      <c r="N99" s="73"/>
      <c r="O99" s="15"/>
    </row>
    <row r="100" spans="1:15" x14ac:dyDescent="0.25">
      <c r="A100" s="16"/>
      <c r="B100" s="102"/>
      <c r="C100" s="17"/>
      <c r="D100" s="13"/>
      <c r="E100" s="70"/>
      <c r="F100" s="14"/>
      <c r="G100" s="9"/>
      <c r="H100" s="76"/>
      <c r="I100" s="10"/>
      <c r="J100" s="50"/>
      <c r="K100" s="78"/>
      <c r="L100" s="51"/>
      <c r="M100" s="75"/>
      <c r="N100" s="73"/>
      <c r="O100" s="15"/>
    </row>
    <row r="101" spans="1:15" x14ac:dyDescent="0.25">
      <c r="A101" s="16"/>
      <c r="B101" s="102"/>
      <c r="C101" s="17"/>
      <c r="D101" s="13"/>
      <c r="E101" s="70"/>
      <c r="F101" s="14"/>
      <c r="G101" s="9"/>
      <c r="H101" s="76"/>
      <c r="I101" s="10"/>
      <c r="J101" s="50"/>
      <c r="K101" s="78"/>
      <c r="L101" s="51"/>
      <c r="M101" s="75"/>
      <c r="N101" s="73"/>
      <c r="O101" s="15"/>
    </row>
    <row r="102" spans="1:15" x14ac:dyDescent="0.25">
      <c r="A102" s="16"/>
      <c r="B102" s="102"/>
      <c r="C102" s="17"/>
      <c r="D102" s="13"/>
      <c r="E102" s="70"/>
      <c r="F102" s="14"/>
      <c r="G102" s="9"/>
      <c r="H102" s="76"/>
      <c r="I102" s="10"/>
      <c r="J102" s="50"/>
      <c r="K102" s="78"/>
      <c r="L102" s="51"/>
      <c r="M102" s="75"/>
      <c r="N102" s="73"/>
      <c r="O102" s="15"/>
    </row>
    <row r="103" spans="1:15" x14ac:dyDescent="0.25">
      <c r="A103" s="16"/>
      <c r="B103" s="102"/>
      <c r="C103" s="17"/>
      <c r="D103" s="13"/>
      <c r="E103" s="70"/>
      <c r="F103" s="14"/>
      <c r="G103" s="9"/>
      <c r="H103" s="76"/>
      <c r="I103" s="10"/>
      <c r="J103" s="50"/>
      <c r="K103" s="78"/>
      <c r="L103" s="51"/>
      <c r="M103" s="75"/>
      <c r="N103" s="73"/>
      <c r="O103" s="15"/>
    </row>
    <row r="104" spans="1:15" x14ac:dyDescent="0.25">
      <c r="A104" s="16"/>
      <c r="B104" s="102"/>
      <c r="C104" s="17"/>
      <c r="D104" s="13"/>
      <c r="E104" s="70"/>
      <c r="F104" s="14"/>
      <c r="G104" s="9"/>
      <c r="H104" s="76"/>
      <c r="I104" s="10"/>
      <c r="J104" s="50"/>
      <c r="K104" s="78"/>
      <c r="L104" s="51"/>
      <c r="M104" s="75"/>
      <c r="N104" s="73"/>
      <c r="O104" s="15"/>
    </row>
    <row r="105" spans="1:15" x14ac:dyDescent="0.25">
      <c r="A105" s="16"/>
      <c r="B105" s="102"/>
      <c r="C105" s="17"/>
      <c r="D105" s="13"/>
      <c r="E105" s="70"/>
      <c r="F105" s="14"/>
      <c r="G105" s="9"/>
      <c r="H105" s="76"/>
      <c r="I105" s="10"/>
      <c r="J105" s="50"/>
      <c r="K105" s="78"/>
      <c r="L105" s="51"/>
      <c r="M105" s="75"/>
      <c r="N105" s="73"/>
      <c r="O105" s="15"/>
    </row>
    <row r="106" spans="1:15" x14ac:dyDescent="0.25">
      <c r="A106" s="16"/>
      <c r="B106" s="102"/>
      <c r="C106" s="17"/>
      <c r="D106" s="13"/>
      <c r="E106" s="70"/>
      <c r="F106" s="14"/>
      <c r="G106" s="9"/>
      <c r="H106" s="76"/>
      <c r="I106" s="10"/>
      <c r="J106" s="50"/>
      <c r="K106" s="78"/>
      <c r="L106" s="51"/>
      <c r="M106" s="75"/>
      <c r="N106" s="73"/>
      <c r="O106" s="15"/>
    </row>
    <row r="107" spans="1:15" x14ac:dyDescent="0.25">
      <c r="A107" s="16"/>
      <c r="B107" s="102"/>
      <c r="C107" s="17"/>
      <c r="D107" s="13"/>
      <c r="E107" s="70"/>
      <c r="F107" s="14"/>
      <c r="G107" s="9"/>
      <c r="H107" s="76"/>
      <c r="I107" s="10"/>
      <c r="J107" s="50"/>
      <c r="K107" s="78"/>
      <c r="L107" s="51"/>
      <c r="M107" s="75"/>
      <c r="N107" s="73"/>
      <c r="O107" s="15"/>
    </row>
    <row r="108" spans="1:15" x14ac:dyDescent="0.25">
      <c r="A108" s="16"/>
      <c r="B108" s="102"/>
      <c r="C108" s="17"/>
      <c r="D108" s="13"/>
      <c r="E108" s="70"/>
      <c r="F108" s="14"/>
      <c r="G108" s="9"/>
      <c r="H108" s="76"/>
      <c r="I108" s="10"/>
      <c r="J108" s="50"/>
      <c r="K108" s="78"/>
      <c r="L108" s="51"/>
      <c r="M108" s="75"/>
      <c r="N108" s="73"/>
      <c r="O108" s="15"/>
    </row>
    <row r="109" spans="1:15" x14ac:dyDescent="0.25">
      <c r="A109" s="16"/>
      <c r="B109" s="102"/>
      <c r="C109" s="17"/>
      <c r="D109" s="13"/>
      <c r="E109" s="70"/>
      <c r="F109" s="14"/>
      <c r="G109" s="9"/>
      <c r="H109" s="76"/>
      <c r="I109" s="10"/>
      <c r="J109" s="50"/>
      <c r="K109" s="78"/>
      <c r="L109" s="51"/>
      <c r="M109" s="75"/>
      <c r="N109" s="73"/>
      <c r="O109" s="15"/>
    </row>
    <row r="110" spans="1:15" x14ac:dyDescent="0.25">
      <c r="A110" s="16"/>
      <c r="B110" s="102"/>
      <c r="C110" s="17"/>
      <c r="D110" s="13"/>
      <c r="E110" s="70"/>
      <c r="F110" s="14"/>
      <c r="G110" s="9"/>
      <c r="H110" s="76"/>
      <c r="I110" s="10"/>
      <c r="J110" s="50"/>
      <c r="K110" s="78"/>
      <c r="L110" s="51"/>
      <c r="M110" s="75"/>
      <c r="N110" s="73"/>
      <c r="O110" s="15"/>
    </row>
    <row r="111" spans="1:15" x14ac:dyDescent="0.25">
      <c r="A111" s="16"/>
      <c r="B111" s="102"/>
      <c r="C111" s="17"/>
      <c r="D111" s="13"/>
      <c r="E111" s="70"/>
      <c r="F111" s="14"/>
      <c r="G111" s="9"/>
      <c r="H111" s="76"/>
      <c r="I111" s="10"/>
      <c r="J111" s="50"/>
      <c r="K111" s="78"/>
      <c r="L111" s="51"/>
      <c r="M111" s="75"/>
      <c r="N111" s="73"/>
      <c r="O111" s="15"/>
    </row>
    <row r="112" spans="1:15" x14ac:dyDescent="0.25">
      <c r="G112" s="26"/>
      <c r="H112" s="74"/>
      <c r="I112" s="58"/>
    </row>
    <row r="113" spans="7:9" x14ac:dyDescent="0.25">
      <c r="G113" s="26"/>
      <c r="H113" s="74"/>
      <c r="I113" s="58"/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1"/>
  <sheetViews>
    <sheetView tabSelected="1" topLeftCell="A5" zoomScaleNormal="100" workbookViewId="0">
      <pane ySplit="3" topLeftCell="A8" activePane="bottomLeft" state="frozen"/>
      <selection activeCell="A5" sqref="A5"/>
      <selection pane="bottomLeft" activeCell="H13" sqref="H13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>
        <f>A6+D6+G6+J6+M6</f>
        <v>174</v>
      </c>
      <c r="H3" s="3" t="s">
        <v>3</v>
      </c>
      <c r="I3" s="2">
        <f>B6+E6+H6+K6+N6</f>
        <v>131900</v>
      </c>
    </row>
    <row r="5" spans="1:18" x14ac:dyDescent="0.25">
      <c r="A5" s="140" t="s">
        <v>0</v>
      </c>
      <c r="B5" s="140"/>
      <c r="C5" s="140"/>
      <c r="D5" s="141" t="s">
        <v>0</v>
      </c>
      <c r="E5" s="141"/>
      <c r="F5" s="141"/>
      <c r="G5" s="142" t="s">
        <v>4</v>
      </c>
      <c r="H5" s="142"/>
      <c r="I5" s="142"/>
      <c r="J5" s="143" t="s">
        <v>5</v>
      </c>
      <c r="K5" s="143"/>
      <c r="L5" s="143"/>
      <c r="M5" s="135" t="s">
        <v>6</v>
      </c>
      <c r="N5" s="135"/>
      <c r="O5" s="135"/>
      <c r="P5" s="27"/>
      <c r="Q5" s="144" t="s">
        <v>13</v>
      </c>
      <c r="R5" s="144"/>
    </row>
    <row r="6" spans="1:18" x14ac:dyDescent="0.25">
      <c r="A6" s="8">
        <f>SUBTOTAL(3,A8:A122)</f>
        <v>83</v>
      </c>
      <c r="B6" s="8">
        <f>SUBTOTAL(9,B8:B122)</f>
        <v>59600</v>
      </c>
      <c r="C6" s="35">
        <v>44598</v>
      </c>
      <c r="D6" s="8">
        <f>SUBTOTAL(3,D8:D121)</f>
        <v>45</v>
      </c>
      <c r="E6" s="1">
        <f>SUBTOTAL(9,E8:E121)</f>
        <v>49500</v>
      </c>
      <c r="F6" s="38">
        <v>44605</v>
      </c>
      <c r="G6" s="8">
        <f>SUBTOTAL(3,G8:G121)</f>
        <v>46</v>
      </c>
      <c r="H6" s="1">
        <f>SUBTOTAL(9,H8:H121)</f>
        <v>22800</v>
      </c>
      <c r="I6" s="39">
        <v>44614</v>
      </c>
      <c r="J6" s="8">
        <f>SUBTOTAL(3,J8:J107)</f>
        <v>0</v>
      </c>
      <c r="K6" s="1">
        <f>SUM(K8:K145)</f>
        <v>0</v>
      </c>
      <c r="L6" s="79">
        <v>44619</v>
      </c>
      <c r="M6" s="1">
        <f>SUBTOTAL(3,M8:M121)</f>
        <v>0</v>
      </c>
      <c r="N6" s="1">
        <f>SUBTOTAL(9,N8:N121)</f>
        <v>0</v>
      </c>
      <c r="O6" s="82"/>
      <c r="Q6" s="30">
        <f>+A6+'C C Aportaciones FEB 22'!D6+G6+J6+M6</f>
        <v>174</v>
      </c>
      <c r="R6" s="29">
        <f>+B6+E6+H6+K6+N6</f>
        <v>131900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26881</v>
      </c>
      <c r="B8" s="49">
        <v>500</v>
      </c>
      <c r="C8" s="17" t="s">
        <v>117</v>
      </c>
      <c r="D8" s="13">
        <v>26964</v>
      </c>
      <c r="E8" s="70">
        <v>500</v>
      </c>
      <c r="F8" s="14" t="s">
        <v>11</v>
      </c>
      <c r="G8" s="9">
        <v>27009</v>
      </c>
      <c r="H8" s="76">
        <v>300</v>
      </c>
      <c r="I8" s="10"/>
      <c r="J8" s="50"/>
      <c r="K8" s="78"/>
      <c r="L8" s="51"/>
      <c r="M8" s="75"/>
      <c r="N8" s="73"/>
      <c r="O8" s="15"/>
    </row>
    <row r="9" spans="1:18" x14ac:dyDescent="0.25">
      <c r="A9" s="16">
        <v>26882</v>
      </c>
      <c r="B9" s="49">
        <v>350</v>
      </c>
      <c r="C9" s="17"/>
      <c r="D9" s="13">
        <v>26965</v>
      </c>
      <c r="E9" s="70">
        <v>600</v>
      </c>
      <c r="F9" s="23" t="s">
        <v>132</v>
      </c>
      <c r="G9" s="9">
        <v>27010</v>
      </c>
      <c r="H9" s="76">
        <v>500</v>
      </c>
      <c r="I9" s="10"/>
      <c r="J9" s="50"/>
      <c r="K9" s="78"/>
      <c r="L9" s="51"/>
      <c r="M9" s="75"/>
      <c r="N9" s="73"/>
      <c r="O9" s="15"/>
    </row>
    <row r="10" spans="1:18" x14ac:dyDescent="0.25">
      <c r="A10" s="16">
        <v>26883</v>
      </c>
      <c r="B10" s="49">
        <v>800</v>
      </c>
      <c r="C10" s="17" t="s">
        <v>60</v>
      </c>
      <c r="D10" s="13">
        <v>26966</v>
      </c>
      <c r="E10" s="70">
        <v>1000</v>
      </c>
      <c r="F10" s="14" t="s">
        <v>27</v>
      </c>
      <c r="G10" s="9">
        <v>27011</v>
      </c>
      <c r="H10" s="76">
        <v>350</v>
      </c>
      <c r="I10" s="10"/>
      <c r="J10" s="50"/>
      <c r="K10" s="78"/>
      <c r="L10" s="51"/>
      <c r="M10" s="75"/>
      <c r="N10" s="73"/>
      <c r="O10" s="15"/>
    </row>
    <row r="11" spans="1:18" x14ac:dyDescent="0.25">
      <c r="A11" s="16">
        <v>26884</v>
      </c>
      <c r="B11" s="49">
        <v>300</v>
      </c>
      <c r="C11" s="17"/>
      <c r="D11" s="13">
        <v>26967</v>
      </c>
      <c r="E11" s="70">
        <v>1000</v>
      </c>
      <c r="F11" s="14" t="s">
        <v>27</v>
      </c>
      <c r="G11" s="9">
        <v>27012</v>
      </c>
      <c r="H11" s="76">
        <v>50</v>
      </c>
      <c r="I11" s="10" t="s">
        <v>33</v>
      </c>
      <c r="J11" s="50"/>
      <c r="K11" s="78"/>
      <c r="L11" s="51"/>
      <c r="M11" s="75"/>
      <c r="N11" s="73"/>
      <c r="O11" s="15"/>
    </row>
    <row r="12" spans="1:18" x14ac:dyDescent="0.25">
      <c r="A12" s="16">
        <v>26885</v>
      </c>
      <c r="B12" s="49">
        <v>500</v>
      </c>
      <c r="C12" s="17" t="s">
        <v>11</v>
      </c>
      <c r="D12" s="13">
        <v>26968</v>
      </c>
      <c r="E12" s="70">
        <v>1000</v>
      </c>
      <c r="F12" s="14" t="s">
        <v>27</v>
      </c>
      <c r="G12" s="9">
        <v>27013</v>
      </c>
      <c r="H12" s="76">
        <v>1000</v>
      </c>
      <c r="I12" s="10" t="s">
        <v>27</v>
      </c>
      <c r="J12" s="50"/>
      <c r="K12" s="78"/>
      <c r="L12" s="51"/>
      <c r="M12" s="75"/>
      <c r="N12" s="73"/>
      <c r="O12" s="15"/>
    </row>
    <row r="13" spans="1:18" x14ac:dyDescent="0.25">
      <c r="A13" s="16">
        <v>26886</v>
      </c>
      <c r="B13" s="49">
        <v>300</v>
      </c>
      <c r="C13" s="17" t="s">
        <v>11</v>
      </c>
      <c r="D13" s="13">
        <v>26969</v>
      </c>
      <c r="E13" s="70">
        <v>5500</v>
      </c>
      <c r="F13" s="14" t="s">
        <v>19</v>
      </c>
      <c r="G13" s="9">
        <v>27014</v>
      </c>
      <c r="H13" s="76">
        <v>1000</v>
      </c>
      <c r="I13" s="10" t="s">
        <v>27</v>
      </c>
      <c r="J13" s="50"/>
      <c r="K13" s="78"/>
      <c r="L13" s="51"/>
      <c r="M13" s="75"/>
      <c r="N13" s="73"/>
      <c r="O13" s="15"/>
    </row>
    <row r="14" spans="1:18" x14ac:dyDescent="0.25">
      <c r="A14" s="16">
        <v>26887</v>
      </c>
      <c r="B14" s="49">
        <v>600</v>
      </c>
      <c r="C14" s="17"/>
      <c r="D14" s="13"/>
      <c r="E14" s="70"/>
      <c r="F14" s="14" t="s">
        <v>40</v>
      </c>
      <c r="G14" s="9">
        <v>27015</v>
      </c>
      <c r="H14" s="76">
        <v>500</v>
      </c>
      <c r="I14" s="10" t="s">
        <v>11</v>
      </c>
      <c r="J14" s="50"/>
      <c r="K14" s="78"/>
      <c r="L14" s="51"/>
      <c r="M14" s="75"/>
      <c r="N14" s="73"/>
      <c r="O14" s="15"/>
    </row>
    <row r="15" spans="1:18" x14ac:dyDescent="0.25">
      <c r="A15" s="16">
        <v>26888</v>
      </c>
      <c r="B15" s="49">
        <v>350</v>
      </c>
      <c r="C15" s="17" t="s">
        <v>11</v>
      </c>
      <c r="D15" s="13">
        <v>26970</v>
      </c>
      <c r="E15" s="70">
        <v>5500</v>
      </c>
      <c r="F15" s="14" t="s">
        <v>19</v>
      </c>
      <c r="G15" s="9">
        <v>27016</v>
      </c>
      <c r="H15" s="76">
        <v>1200</v>
      </c>
      <c r="I15" s="10" t="s">
        <v>143</v>
      </c>
      <c r="J15" s="50"/>
      <c r="K15" s="78"/>
      <c r="L15" s="51"/>
      <c r="M15" s="75"/>
      <c r="N15" s="73"/>
      <c r="O15" s="15"/>
    </row>
    <row r="16" spans="1:18" x14ac:dyDescent="0.25">
      <c r="A16" s="16">
        <v>26889</v>
      </c>
      <c r="B16" s="49">
        <v>5500</v>
      </c>
      <c r="C16" s="17" t="s">
        <v>19</v>
      </c>
      <c r="D16" s="13"/>
      <c r="E16" s="70"/>
      <c r="F16" s="14" t="s">
        <v>40</v>
      </c>
      <c r="G16" s="9">
        <v>27017</v>
      </c>
      <c r="H16" s="76">
        <v>400</v>
      </c>
      <c r="I16" s="24" t="s">
        <v>11</v>
      </c>
      <c r="J16" s="50"/>
      <c r="K16" s="78"/>
      <c r="L16" s="51"/>
      <c r="M16" s="75"/>
      <c r="N16" s="73"/>
      <c r="O16" s="15"/>
    </row>
    <row r="17" spans="1:15" x14ac:dyDescent="0.25">
      <c r="A17" s="16"/>
      <c r="B17" s="49"/>
      <c r="C17" s="17" t="s">
        <v>118</v>
      </c>
      <c r="D17" s="13">
        <v>26971</v>
      </c>
      <c r="E17" s="70">
        <v>300</v>
      </c>
      <c r="F17" s="14"/>
      <c r="G17" s="9">
        <v>27018</v>
      </c>
      <c r="H17" s="76">
        <v>250</v>
      </c>
      <c r="I17" s="10" t="s">
        <v>11</v>
      </c>
      <c r="J17" s="50"/>
      <c r="K17" s="78"/>
      <c r="L17" s="51"/>
      <c r="M17" s="75"/>
      <c r="N17" s="73"/>
      <c r="O17" s="15"/>
    </row>
    <row r="18" spans="1:15" x14ac:dyDescent="0.25">
      <c r="A18" s="16">
        <v>26890</v>
      </c>
      <c r="B18" s="49">
        <v>400</v>
      </c>
      <c r="C18" s="17" t="s">
        <v>119</v>
      </c>
      <c r="D18" s="13">
        <v>26972</v>
      </c>
      <c r="E18" s="70">
        <v>300</v>
      </c>
      <c r="F18" s="14"/>
      <c r="G18" s="9">
        <v>27019</v>
      </c>
      <c r="H18" s="76">
        <v>1000</v>
      </c>
      <c r="I18" s="10" t="s">
        <v>27</v>
      </c>
      <c r="J18" s="50"/>
      <c r="K18" s="78"/>
      <c r="L18" s="51"/>
      <c r="M18" s="75"/>
      <c r="N18" s="73"/>
      <c r="O18" s="15"/>
    </row>
    <row r="19" spans="1:15" x14ac:dyDescent="0.25">
      <c r="A19" s="16">
        <v>26891</v>
      </c>
      <c r="B19" s="49">
        <v>500</v>
      </c>
      <c r="C19" s="17" t="s">
        <v>11</v>
      </c>
      <c r="D19" s="13">
        <v>26973</v>
      </c>
      <c r="E19" s="70">
        <v>300</v>
      </c>
      <c r="F19" s="14" t="s">
        <v>133</v>
      </c>
      <c r="G19" s="9">
        <v>27020</v>
      </c>
      <c r="H19" s="76">
        <v>50</v>
      </c>
      <c r="I19" s="10" t="s">
        <v>33</v>
      </c>
      <c r="J19" s="50"/>
      <c r="K19" s="78"/>
      <c r="L19" s="51"/>
      <c r="M19" s="75"/>
      <c r="N19" s="73"/>
      <c r="O19" s="15"/>
    </row>
    <row r="20" spans="1:15" x14ac:dyDescent="0.25">
      <c r="A20" s="16">
        <v>26892</v>
      </c>
      <c r="B20" s="49">
        <v>250</v>
      </c>
      <c r="C20" s="17"/>
      <c r="D20" s="13">
        <v>26974</v>
      </c>
      <c r="E20" s="70">
        <v>3000</v>
      </c>
      <c r="F20" s="14" t="s">
        <v>134</v>
      </c>
      <c r="G20" s="9">
        <v>27021</v>
      </c>
      <c r="H20" s="76">
        <v>300</v>
      </c>
      <c r="I20" s="10" t="s">
        <v>11</v>
      </c>
      <c r="J20" s="50"/>
      <c r="K20" s="78"/>
      <c r="L20" s="51"/>
      <c r="M20" s="75"/>
      <c r="N20" s="73"/>
      <c r="O20" s="15"/>
    </row>
    <row r="21" spans="1:15" x14ac:dyDescent="0.25">
      <c r="A21" s="16">
        <v>26893</v>
      </c>
      <c r="B21" s="49">
        <v>1000</v>
      </c>
      <c r="C21" s="17" t="s">
        <v>23</v>
      </c>
      <c r="D21" s="13">
        <v>26975</v>
      </c>
      <c r="E21" s="70">
        <v>400</v>
      </c>
      <c r="F21" s="14"/>
      <c r="G21" s="9">
        <v>27022</v>
      </c>
      <c r="H21" s="76">
        <v>400</v>
      </c>
      <c r="I21" s="10"/>
      <c r="J21" s="50"/>
      <c r="K21" s="78"/>
      <c r="L21" s="51"/>
      <c r="M21" s="75"/>
      <c r="N21" s="73"/>
      <c r="O21" s="15"/>
    </row>
    <row r="22" spans="1:15" x14ac:dyDescent="0.25">
      <c r="A22" s="16">
        <v>26894</v>
      </c>
      <c r="B22" s="49">
        <v>1000</v>
      </c>
      <c r="C22" s="17" t="s">
        <v>27</v>
      </c>
      <c r="D22" s="13">
        <v>26976</v>
      </c>
      <c r="E22" s="70">
        <v>900</v>
      </c>
      <c r="F22" s="14" t="s">
        <v>46</v>
      </c>
      <c r="G22" s="9">
        <v>27023</v>
      </c>
      <c r="H22" s="76">
        <v>500</v>
      </c>
      <c r="I22" s="25"/>
      <c r="J22" s="50"/>
      <c r="K22" s="78"/>
      <c r="L22" s="51"/>
      <c r="M22" s="75"/>
      <c r="N22" s="73"/>
      <c r="O22" s="15"/>
    </row>
    <row r="23" spans="1:15" x14ac:dyDescent="0.25">
      <c r="A23" s="16">
        <v>26895</v>
      </c>
      <c r="B23" s="49">
        <v>400</v>
      </c>
      <c r="C23" s="17"/>
      <c r="D23" s="13">
        <v>26977</v>
      </c>
      <c r="E23" s="70">
        <v>500</v>
      </c>
      <c r="F23" s="14"/>
      <c r="G23" s="9">
        <v>27024</v>
      </c>
      <c r="H23" s="76">
        <v>500</v>
      </c>
      <c r="I23" s="10"/>
      <c r="J23" s="50"/>
      <c r="K23" s="78"/>
      <c r="L23" s="52"/>
      <c r="M23" s="75"/>
      <c r="N23" s="73"/>
      <c r="O23" s="15"/>
    </row>
    <row r="24" spans="1:15" x14ac:dyDescent="0.25">
      <c r="A24" s="16">
        <v>26896</v>
      </c>
      <c r="B24" s="49">
        <v>300</v>
      </c>
      <c r="C24" s="17" t="s">
        <v>120</v>
      </c>
      <c r="D24" s="13">
        <v>26978</v>
      </c>
      <c r="E24" s="70">
        <v>600</v>
      </c>
      <c r="F24" s="14" t="s">
        <v>52</v>
      </c>
      <c r="G24" s="9">
        <v>27025</v>
      </c>
      <c r="H24" s="76">
        <v>500</v>
      </c>
      <c r="I24" s="10" t="s">
        <v>144</v>
      </c>
      <c r="J24" s="50"/>
      <c r="K24" s="78"/>
      <c r="L24" s="52"/>
      <c r="M24" s="75"/>
      <c r="N24" s="73"/>
      <c r="O24" s="15"/>
    </row>
    <row r="25" spans="1:15" x14ac:dyDescent="0.25">
      <c r="A25" s="16">
        <v>26897</v>
      </c>
      <c r="B25" s="49">
        <v>500</v>
      </c>
      <c r="C25" s="17"/>
      <c r="D25" s="13">
        <v>26979</v>
      </c>
      <c r="E25" s="70">
        <v>600</v>
      </c>
      <c r="F25" s="14" t="s">
        <v>52</v>
      </c>
      <c r="G25" s="9">
        <v>27026</v>
      </c>
      <c r="H25" s="76">
        <v>500</v>
      </c>
      <c r="I25" s="134" t="s">
        <v>22</v>
      </c>
      <c r="J25" s="50"/>
      <c r="K25" s="78"/>
      <c r="L25" s="51"/>
      <c r="M25" s="75"/>
      <c r="N25" s="73"/>
      <c r="O25" s="15"/>
    </row>
    <row r="26" spans="1:15" x14ac:dyDescent="0.25">
      <c r="A26" s="16">
        <v>26898</v>
      </c>
      <c r="B26" s="49">
        <v>1000</v>
      </c>
      <c r="C26" s="17" t="s">
        <v>28</v>
      </c>
      <c r="D26" s="13">
        <v>26980</v>
      </c>
      <c r="E26" s="70">
        <v>300</v>
      </c>
      <c r="F26" s="14" t="s">
        <v>135</v>
      </c>
      <c r="G26" s="9">
        <v>27027</v>
      </c>
      <c r="H26" s="76">
        <v>500</v>
      </c>
      <c r="I26" s="10"/>
      <c r="J26" s="50"/>
      <c r="K26" s="78"/>
      <c r="L26" s="51"/>
      <c r="M26" s="75"/>
      <c r="N26" s="73"/>
      <c r="O26" s="15"/>
    </row>
    <row r="27" spans="1:15" x14ac:dyDescent="0.25">
      <c r="A27" s="16">
        <v>26899</v>
      </c>
      <c r="B27" s="49">
        <v>800</v>
      </c>
      <c r="C27" s="17" t="s">
        <v>49</v>
      </c>
      <c r="D27" s="13">
        <v>26981</v>
      </c>
      <c r="E27" s="70">
        <v>500</v>
      </c>
      <c r="F27" s="14" t="s">
        <v>11</v>
      </c>
      <c r="G27" s="9">
        <v>27028</v>
      </c>
      <c r="H27" s="76">
        <v>1000</v>
      </c>
      <c r="I27" s="10" t="s">
        <v>27</v>
      </c>
      <c r="J27" s="50"/>
      <c r="K27" s="78"/>
      <c r="L27" s="51"/>
      <c r="M27" s="75"/>
      <c r="N27" s="73"/>
      <c r="O27" s="15"/>
    </row>
    <row r="28" spans="1:15" x14ac:dyDescent="0.25">
      <c r="A28" s="16">
        <v>26900</v>
      </c>
      <c r="B28" s="49">
        <v>500</v>
      </c>
      <c r="C28" s="17"/>
      <c r="D28" s="13">
        <v>26982</v>
      </c>
      <c r="E28" s="70">
        <v>1000</v>
      </c>
      <c r="F28" s="14" t="s">
        <v>27</v>
      </c>
      <c r="G28" s="9">
        <v>27029</v>
      </c>
      <c r="H28" s="76">
        <v>500</v>
      </c>
      <c r="I28" s="10"/>
      <c r="J28" s="50"/>
      <c r="K28" s="78"/>
      <c r="L28" s="51"/>
      <c r="M28" s="75"/>
      <c r="N28" s="73"/>
      <c r="O28" s="15"/>
    </row>
    <row r="29" spans="1:15" x14ac:dyDescent="0.25">
      <c r="A29" s="16">
        <v>26901</v>
      </c>
      <c r="B29" s="49">
        <v>500</v>
      </c>
      <c r="C29" s="17"/>
      <c r="D29" s="13">
        <v>26983</v>
      </c>
      <c r="E29" s="70">
        <v>1000</v>
      </c>
      <c r="F29" s="14" t="s">
        <v>136</v>
      </c>
      <c r="G29" s="9">
        <v>27030</v>
      </c>
      <c r="H29" s="76">
        <v>300</v>
      </c>
      <c r="I29" s="10"/>
      <c r="J29" s="50"/>
      <c r="K29" s="78"/>
      <c r="L29" s="51"/>
      <c r="M29" s="75"/>
      <c r="N29" s="73"/>
      <c r="O29" s="15"/>
    </row>
    <row r="30" spans="1:15" x14ac:dyDescent="0.25">
      <c r="A30" s="16">
        <v>26902</v>
      </c>
      <c r="B30" s="49">
        <v>500</v>
      </c>
      <c r="C30" s="17"/>
      <c r="D30" s="13">
        <v>26984</v>
      </c>
      <c r="E30" s="70">
        <v>1000</v>
      </c>
      <c r="F30" s="14" t="s">
        <v>27</v>
      </c>
      <c r="G30" s="9">
        <v>27031</v>
      </c>
      <c r="H30" s="76">
        <v>500</v>
      </c>
      <c r="I30" s="10"/>
      <c r="J30" s="53"/>
      <c r="K30" s="78"/>
      <c r="L30" s="51"/>
      <c r="M30" s="75"/>
      <c r="N30" s="73"/>
      <c r="O30" s="15"/>
    </row>
    <row r="31" spans="1:15" x14ac:dyDescent="0.25">
      <c r="A31" s="16">
        <v>26903</v>
      </c>
      <c r="B31" s="49">
        <v>500</v>
      </c>
      <c r="C31" s="17"/>
      <c r="D31" s="13">
        <v>26985</v>
      </c>
      <c r="E31" s="70">
        <v>5500</v>
      </c>
      <c r="F31" s="14" t="s">
        <v>137</v>
      </c>
      <c r="G31" s="9">
        <v>27032</v>
      </c>
      <c r="H31" s="76">
        <v>400</v>
      </c>
      <c r="I31" s="10"/>
      <c r="J31" s="50"/>
      <c r="K31" s="78"/>
      <c r="L31" s="51"/>
      <c r="M31" s="75"/>
      <c r="N31" s="73"/>
      <c r="O31" s="15"/>
    </row>
    <row r="32" spans="1:15" x14ac:dyDescent="0.25">
      <c r="A32" s="16">
        <v>26904</v>
      </c>
      <c r="B32" s="49">
        <v>1000</v>
      </c>
      <c r="C32" s="17" t="s">
        <v>27</v>
      </c>
      <c r="D32" s="13"/>
      <c r="E32" s="70"/>
      <c r="F32" s="14" t="s">
        <v>40</v>
      </c>
      <c r="G32" s="9">
        <v>27033</v>
      </c>
      <c r="H32" s="76">
        <v>350</v>
      </c>
      <c r="I32" s="10" t="s">
        <v>94</v>
      </c>
      <c r="J32" s="53"/>
      <c r="K32" s="78"/>
      <c r="L32" s="51"/>
      <c r="M32" s="75"/>
      <c r="N32" s="73"/>
      <c r="O32" s="15"/>
    </row>
    <row r="33" spans="1:15" x14ac:dyDescent="0.25">
      <c r="A33" s="16">
        <v>26905</v>
      </c>
      <c r="B33" s="49">
        <v>500</v>
      </c>
      <c r="C33" s="17" t="s">
        <v>108</v>
      </c>
      <c r="D33" s="13">
        <v>26986</v>
      </c>
      <c r="E33" s="70">
        <v>1000</v>
      </c>
      <c r="F33" s="14" t="s">
        <v>96</v>
      </c>
      <c r="G33" s="9">
        <v>27034</v>
      </c>
      <c r="H33" s="76">
        <v>1000</v>
      </c>
      <c r="I33" s="10" t="s">
        <v>27</v>
      </c>
      <c r="J33" s="50"/>
      <c r="K33" s="78"/>
      <c r="L33" s="51"/>
      <c r="M33" s="75"/>
      <c r="N33" s="73"/>
      <c r="O33" s="15"/>
    </row>
    <row r="34" spans="1:15" x14ac:dyDescent="0.25">
      <c r="A34" s="16">
        <v>26906</v>
      </c>
      <c r="B34" s="49">
        <v>500</v>
      </c>
      <c r="C34" s="17"/>
      <c r="D34" s="13"/>
      <c r="E34" s="70"/>
      <c r="F34" s="14" t="s">
        <v>138</v>
      </c>
      <c r="G34" s="9">
        <v>27035</v>
      </c>
      <c r="H34" s="76">
        <v>500</v>
      </c>
      <c r="I34" s="10"/>
      <c r="J34" s="50"/>
      <c r="K34" s="78"/>
      <c r="L34" s="51"/>
      <c r="M34" s="75"/>
      <c r="N34" s="73"/>
      <c r="O34" s="15"/>
    </row>
    <row r="35" spans="1:15" x14ac:dyDescent="0.25">
      <c r="A35" s="16">
        <v>26907</v>
      </c>
      <c r="B35" s="49">
        <v>500</v>
      </c>
      <c r="C35" s="17"/>
      <c r="D35" s="13">
        <v>26987</v>
      </c>
      <c r="E35" s="70">
        <v>500</v>
      </c>
      <c r="F35" s="20"/>
      <c r="G35" s="9">
        <v>27036</v>
      </c>
      <c r="H35" s="76">
        <v>250</v>
      </c>
      <c r="I35" s="10"/>
      <c r="J35" s="53"/>
      <c r="K35" s="78"/>
      <c r="L35" s="51"/>
      <c r="M35" s="75"/>
      <c r="N35" s="73"/>
      <c r="O35" s="15"/>
    </row>
    <row r="36" spans="1:15" x14ac:dyDescent="0.25">
      <c r="A36" s="16">
        <v>26908</v>
      </c>
      <c r="B36" s="49">
        <v>300</v>
      </c>
      <c r="C36" s="17"/>
      <c r="D36" s="13">
        <v>26988</v>
      </c>
      <c r="E36" s="70">
        <v>500</v>
      </c>
      <c r="F36" s="14" t="s">
        <v>11</v>
      </c>
      <c r="G36" s="9">
        <v>27037</v>
      </c>
      <c r="H36" s="76">
        <v>400</v>
      </c>
      <c r="I36" s="10"/>
      <c r="J36" s="53"/>
      <c r="K36" s="78"/>
      <c r="L36" s="55"/>
      <c r="M36" s="75"/>
      <c r="N36" s="73"/>
      <c r="O36" s="15"/>
    </row>
    <row r="37" spans="1:15" x14ac:dyDescent="0.25">
      <c r="A37" s="16">
        <v>26909</v>
      </c>
      <c r="B37" s="49">
        <v>600</v>
      </c>
      <c r="C37" s="17"/>
      <c r="D37" s="13">
        <v>26989</v>
      </c>
      <c r="E37" s="70">
        <v>500</v>
      </c>
      <c r="F37" s="14"/>
      <c r="G37" s="9">
        <v>27038</v>
      </c>
      <c r="H37" s="76">
        <v>400</v>
      </c>
      <c r="I37" s="10" t="s">
        <v>146</v>
      </c>
      <c r="J37" s="53"/>
      <c r="K37" s="72"/>
      <c r="L37" s="51"/>
      <c r="M37" s="75"/>
      <c r="N37" s="73"/>
      <c r="O37" s="15"/>
    </row>
    <row r="38" spans="1:15" x14ac:dyDescent="0.25">
      <c r="A38" s="16">
        <v>26910</v>
      </c>
      <c r="B38" s="49">
        <v>400</v>
      </c>
      <c r="C38" s="17"/>
      <c r="D38" s="13">
        <v>26990</v>
      </c>
      <c r="E38" s="70">
        <v>500</v>
      </c>
      <c r="F38" s="14"/>
      <c r="G38" s="9">
        <v>27039</v>
      </c>
      <c r="H38" s="76">
        <v>600</v>
      </c>
      <c r="I38" s="10" t="s">
        <v>145</v>
      </c>
      <c r="J38" s="53"/>
      <c r="K38" s="72"/>
      <c r="L38" s="54"/>
      <c r="M38" s="75"/>
      <c r="N38" s="73"/>
      <c r="O38" s="15"/>
    </row>
    <row r="39" spans="1:15" x14ac:dyDescent="0.25">
      <c r="A39" s="16">
        <v>26911</v>
      </c>
      <c r="B39" s="49">
        <v>500</v>
      </c>
      <c r="C39" s="17"/>
      <c r="D39" s="13">
        <v>26991</v>
      </c>
      <c r="E39" s="70">
        <v>2000</v>
      </c>
      <c r="F39" s="14" t="s">
        <v>139</v>
      </c>
      <c r="G39" s="9">
        <v>27040</v>
      </c>
      <c r="H39" s="76">
        <v>400</v>
      </c>
      <c r="I39" s="10"/>
      <c r="J39" s="53"/>
      <c r="K39" s="72"/>
      <c r="L39" s="51"/>
      <c r="M39" s="75"/>
      <c r="N39" s="73"/>
      <c r="O39" s="15"/>
    </row>
    <row r="40" spans="1:15" x14ac:dyDescent="0.25">
      <c r="A40" s="16">
        <v>26912</v>
      </c>
      <c r="B40" s="49">
        <v>300</v>
      </c>
      <c r="C40" s="17"/>
      <c r="D40" s="13"/>
      <c r="E40" s="70"/>
      <c r="F40" s="14" t="s">
        <v>48</v>
      </c>
      <c r="G40" s="9">
        <v>27041</v>
      </c>
      <c r="H40" s="76">
        <v>50</v>
      </c>
      <c r="I40" s="10" t="s">
        <v>33</v>
      </c>
      <c r="J40" s="53"/>
      <c r="K40" s="72"/>
      <c r="L40" s="51"/>
      <c r="M40" s="75"/>
      <c r="N40" s="73"/>
      <c r="O40" s="15"/>
    </row>
    <row r="41" spans="1:15" x14ac:dyDescent="0.25">
      <c r="A41" s="16">
        <v>26913</v>
      </c>
      <c r="B41" s="49">
        <v>500</v>
      </c>
      <c r="C41" s="17"/>
      <c r="D41" s="13">
        <v>26992</v>
      </c>
      <c r="E41" s="70">
        <v>200</v>
      </c>
      <c r="F41" s="14"/>
      <c r="G41" s="9">
        <v>27042</v>
      </c>
      <c r="H41" s="76">
        <v>500</v>
      </c>
      <c r="I41" s="10"/>
      <c r="J41" s="53"/>
      <c r="K41" s="72"/>
      <c r="L41" s="51"/>
      <c r="M41" s="75"/>
      <c r="N41" s="73"/>
      <c r="O41" s="15"/>
    </row>
    <row r="42" spans="1:15" x14ac:dyDescent="0.25">
      <c r="A42" s="16">
        <v>26914</v>
      </c>
      <c r="B42" s="49">
        <v>500</v>
      </c>
      <c r="C42" s="17"/>
      <c r="D42" s="13">
        <v>26993</v>
      </c>
      <c r="E42" s="70">
        <v>250</v>
      </c>
      <c r="F42" s="14"/>
      <c r="G42" s="9">
        <v>27043</v>
      </c>
      <c r="H42" s="76">
        <v>500</v>
      </c>
      <c r="I42" s="10"/>
      <c r="J42" s="53"/>
      <c r="K42" s="72"/>
      <c r="L42" s="51"/>
      <c r="M42" s="75"/>
      <c r="N42" s="73"/>
      <c r="O42" s="15"/>
    </row>
    <row r="43" spans="1:15" x14ac:dyDescent="0.25">
      <c r="A43" s="16">
        <v>26915</v>
      </c>
      <c r="B43" s="49">
        <v>500</v>
      </c>
      <c r="C43" s="17"/>
      <c r="D43" s="13">
        <v>26994</v>
      </c>
      <c r="E43" s="70">
        <v>600</v>
      </c>
      <c r="F43" s="14" t="s">
        <v>11</v>
      </c>
      <c r="G43" s="9">
        <v>27044</v>
      </c>
      <c r="H43" s="76">
        <v>800</v>
      </c>
      <c r="I43" s="10" t="s">
        <v>71</v>
      </c>
      <c r="J43" s="53"/>
      <c r="K43" s="72"/>
      <c r="L43" s="51"/>
      <c r="M43" s="75"/>
      <c r="N43" s="73"/>
      <c r="O43" s="15"/>
    </row>
    <row r="44" spans="1:15" x14ac:dyDescent="0.25">
      <c r="A44" s="16">
        <v>26916</v>
      </c>
      <c r="B44" s="49">
        <v>450</v>
      </c>
      <c r="C44" s="17"/>
      <c r="D44" s="13">
        <v>26995</v>
      </c>
      <c r="E44" s="70">
        <v>450</v>
      </c>
      <c r="F44" s="14"/>
      <c r="G44" s="9">
        <v>27045</v>
      </c>
      <c r="H44" s="76">
        <v>800</v>
      </c>
      <c r="I44" s="10" t="s">
        <v>49</v>
      </c>
      <c r="J44" s="53"/>
      <c r="K44" s="72"/>
      <c r="L44" s="51"/>
      <c r="M44" s="75"/>
      <c r="N44" s="73"/>
      <c r="O44" s="15"/>
    </row>
    <row r="45" spans="1:15" x14ac:dyDescent="0.25">
      <c r="A45" s="16">
        <v>26917</v>
      </c>
      <c r="B45" s="49">
        <v>400</v>
      </c>
      <c r="C45" s="17" t="s">
        <v>121</v>
      </c>
      <c r="D45" s="13">
        <v>26996</v>
      </c>
      <c r="E45" s="70">
        <v>600</v>
      </c>
      <c r="F45" s="14" t="s">
        <v>52</v>
      </c>
      <c r="G45" s="9">
        <v>27046</v>
      </c>
      <c r="H45" s="76">
        <v>1000</v>
      </c>
      <c r="I45" s="10" t="s">
        <v>136</v>
      </c>
      <c r="J45" s="53"/>
      <c r="K45" s="72"/>
      <c r="L45" s="51"/>
      <c r="M45" s="75"/>
      <c r="N45" s="73"/>
      <c r="O45" s="15"/>
    </row>
    <row r="46" spans="1:15" x14ac:dyDescent="0.25">
      <c r="A46" s="16">
        <v>26918</v>
      </c>
      <c r="B46" s="49">
        <v>300</v>
      </c>
      <c r="C46" s="17"/>
      <c r="D46" s="13">
        <v>26997</v>
      </c>
      <c r="E46" s="70">
        <v>500</v>
      </c>
      <c r="F46" s="69" t="s">
        <v>140</v>
      </c>
      <c r="G46" s="9">
        <v>27047</v>
      </c>
      <c r="H46" s="76">
        <v>500</v>
      </c>
      <c r="I46" s="10"/>
      <c r="J46" s="53"/>
      <c r="K46" s="72"/>
      <c r="L46" s="51"/>
      <c r="M46" s="75"/>
      <c r="N46" s="73"/>
      <c r="O46" s="15"/>
    </row>
    <row r="47" spans="1:15" x14ac:dyDescent="0.25">
      <c r="A47" s="16">
        <v>26919</v>
      </c>
      <c r="B47" s="49">
        <v>500</v>
      </c>
      <c r="C47" s="17"/>
      <c r="D47" s="13">
        <v>26998</v>
      </c>
      <c r="E47" s="70">
        <v>1000</v>
      </c>
      <c r="F47" s="14" t="s">
        <v>27</v>
      </c>
      <c r="G47" s="9">
        <v>27048</v>
      </c>
      <c r="H47" s="76">
        <v>300</v>
      </c>
      <c r="I47" s="10" t="s">
        <v>147</v>
      </c>
      <c r="J47" s="53"/>
      <c r="K47" s="72"/>
      <c r="L47" s="51"/>
      <c r="M47" s="75"/>
      <c r="N47" s="73"/>
      <c r="O47" s="15"/>
    </row>
    <row r="48" spans="1:15" x14ac:dyDescent="0.25">
      <c r="A48" s="16">
        <v>26920</v>
      </c>
      <c r="B48" s="49">
        <v>500</v>
      </c>
      <c r="C48" s="115" t="s">
        <v>122</v>
      </c>
      <c r="D48" s="13">
        <v>26999</v>
      </c>
      <c r="E48" s="70">
        <v>500</v>
      </c>
      <c r="F48" s="14"/>
      <c r="G48" s="9">
        <v>27049</v>
      </c>
      <c r="H48" s="76">
        <v>500</v>
      </c>
      <c r="I48" s="10" t="s">
        <v>144</v>
      </c>
      <c r="J48" s="53"/>
      <c r="K48" s="72"/>
      <c r="L48" s="51"/>
      <c r="M48" s="75"/>
      <c r="N48" s="73"/>
      <c r="O48" s="15"/>
    </row>
    <row r="49" spans="1:15" x14ac:dyDescent="0.25">
      <c r="A49" s="16">
        <v>26921</v>
      </c>
      <c r="B49" s="49">
        <v>1000</v>
      </c>
      <c r="C49" s="17" t="s">
        <v>123</v>
      </c>
      <c r="D49" s="13">
        <v>27000</v>
      </c>
      <c r="E49" s="70">
        <v>5500</v>
      </c>
      <c r="F49" s="14" t="s">
        <v>137</v>
      </c>
      <c r="G49" s="9">
        <v>27050</v>
      </c>
      <c r="H49" s="76">
        <v>200</v>
      </c>
      <c r="I49" s="10"/>
      <c r="J49" s="53"/>
      <c r="K49" s="72"/>
      <c r="L49" s="54"/>
      <c r="M49" s="75"/>
      <c r="N49" s="73"/>
      <c r="O49" s="15"/>
    </row>
    <row r="50" spans="1:15" x14ac:dyDescent="0.25">
      <c r="A50" s="16">
        <v>26922</v>
      </c>
      <c r="B50" s="49">
        <v>500</v>
      </c>
      <c r="C50" s="17"/>
      <c r="D50" s="13"/>
      <c r="E50" s="70"/>
      <c r="F50" s="14" t="s">
        <v>40</v>
      </c>
      <c r="G50" s="9">
        <v>27051</v>
      </c>
      <c r="H50" s="76">
        <v>300</v>
      </c>
      <c r="I50" s="10"/>
      <c r="J50" s="53"/>
      <c r="K50" s="72"/>
      <c r="L50" s="51"/>
      <c r="M50" s="75"/>
      <c r="N50" s="73"/>
      <c r="O50" s="15"/>
    </row>
    <row r="51" spans="1:15" x14ac:dyDescent="0.25">
      <c r="A51" s="16">
        <v>26923</v>
      </c>
      <c r="B51" s="49">
        <v>550</v>
      </c>
      <c r="C51" s="17"/>
      <c r="D51" s="13">
        <v>27001</v>
      </c>
      <c r="E51" s="70">
        <v>500</v>
      </c>
      <c r="F51" s="14" t="s">
        <v>108</v>
      </c>
      <c r="G51" s="9">
        <v>27052</v>
      </c>
      <c r="H51" s="76">
        <v>300</v>
      </c>
      <c r="I51" s="10" t="s">
        <v>148</v>
      </c>
      <c r="J51" s="53"/>
      <c r="K51" s="72"/>
      <c r="L51" s="51"/>
      <c r="M51" s="75"/>
      <c r="N51" s="73"/>
      <c r="O51" s="15"/>
    </row>
    <row r="52" spans="1:15" x14ac:dyDescent="0.25">
      <c r="A52" s="16">
        <v>26924</v>
      </c>
      <c r="B52" s="49">
        <v>500</v>
      </c>
      <c r="C52" s="17"/>
      <c r="D52" s="13">
        <v>27002</v>
      </c>
      <c r="E52" s="70">
        <v>500</v>
      </c>
      <c r="F52" s="14" t="s">
        <v>11</v>
      </c>
      <c r="G52" s="9">
        <v>27053</v>
      </c>
      <c r="H52" s="76">
        <v>250</v>
      </c>
      <c r="I52" s="134" t="s">
        <v>149</v>
      </c>
      <c r="J52" s="50"/>
      <c r="K52" s="78"/>
      <c r="L52" s="51"/>
      <c r="M52" s="75"/>
      <c r="N52" s="73"/>
      <c r="O52" s="15"/>
    </row>
    <row r="53" spans="1:15" x14ac:dyDescent="0.25">
      <c r="A53" s="16">
        <v>26825</v>
      </c>
      <c r="B53" s="49">
        <v>700</v>
      </c>
      <c r="C53" s="17"/>
      <c r="D53" s="13">
        <v>27003</v>
      </c>
      <c r="E53" s="70">
        <v>500</v>
      </c>
      <c r="F53" s="14"/>
      <c r="G53" s="9">
        <v>27054</v>
      </c>
      <c r="H53" s="76">
        <v>400</v>
      </c>
      <c r="I53" s="10"/>
      <c r="J53" s="50"/>
      <c r="K53" s="78"/>
      <c r="L53" s="51"/>
      <c r="M53" s="75"/>
      <c r="N53" s="73"/>
      <c r="O53" s="15"/>
    </row>
    <row r="54" spans="1:15" x14ac:dyDescent="0.25">
      <c r="A54" s="16">
        <v>26826</v>
      </c>
      <c r="B54" s="49">
        <v>300</v>
      </c>
      <c r="C54" s="17"/>
      <c r="D54" s="13">
        <v>27004</v>
      </c>
      <c r="E54" s="70">
        <v>400</v>
      </c>
      <c r="F54" s="14"/>
      <c r="G54" s="9"/>
      <c r="H54" s="76"/>
      <c r="I54" s="10"/>
      <c r="J54" s="50"/>
      <c r="K54" s="78"/>
      <c r="L54" s="51"/>
      <c r="M54" s="75"/>
      <c r="N54" s="73"/>
      <c r="O54" s="15"/>
    </row>
    <row r="55" spans="1:15" x14ac:dyDescent="0.25">
      <c r="A55" s="16">
        <v>26827</v>
      </c>
      <c r="B55" s="49">
        <v>500</v>
      </c>
      <c r="C55" s="17" t="s">
        <v>11</v>
      </c>
      <c r="D55" s="13">
        <v>27005</v>
      </c>
      <c r="E55" s="70">
        <v>350</v>
      </c>
      <c r="F55" s="23"/>
      <c r="G55" s="9"/>
      <c r="H55" s="76"/>
      <c r="I55" s="10"/>
      <c r="J55" s="50"/>
      <c r="K55" s="78"/>
      <c r="L55" s="51"/>
      <c r="M55" s="75"/>
      <c r="N55" s="73"/>
      <c r="O55" s="15"/>
    </row>
    <row r="56" spans="1:15" x14ac:dyDescent="0.25">
      <c r="A56" s="16">
        <v>26828</v>
      </c>
      <c r="B56" s="49">
        <v>500</v>
      </c>
      <c r="C56" s="103" t="s">
        <v>124</v>
      </c>
      <c r="D56" s="13">
        <v>27006</v>
      </c>
      <c r="E56" s="70">
        <v>250</v>
      </c>
      <c r="F56" s="23"/>
      <c r="G56" s="9"/>
      <c r="H56" s="76"/>
      <c r="I56" s="10"/>
      <c r="J56" s="50"/>
      <c r="K56" s="78"/>
      <c r="L56" s="84"/>
      <c r="M56" s="75"/>
      <c r="N56" s="73"/>
      <c r="O56" s="15"/>
    </row>
    <row r="57" spans="1:15" x14ac:dyDescent="0.25">
      <c r="A57" s="16">
        <v>26829</v>
      </c>
      <c r="B57" s="49">
        <v>500</v>
      </c>
      <c r="C57" s="17" t="s">
        <v>11</v>
      </c>
      <c r="D57" s="13">
        <v>27007</v>
      </c>
      <c r="E57" s="70">
        <v>600</v>
      </c>
      <c r="F57" s="69" t="s">
        <v>141</v>
      </c>
      <c r="G57" s="9"/>
      <c r="H57" s="76"/>
      <c r="I57" s="10"/>
      <c r="J57" s="50"/>
      <c r="K57" s="78"/>
      <c r="L57" s="51"/>
      <c r="M57" s="75"/>
      <c r="N57" s="73"/>
      <c r="O57" s="15"/>
    </row>
    <row r="58" spans="1:15" x14ac:dyDescent="0.25">
      <c r="A58" s="16">
        <v>26830</v>
      </c>
      <c r="B58" s="49">
        <v>600</v>
      </c>
      <c r="C58" s="17" t="s">
        <v>52</v>
      </c>
      <c r="D58" s="13"/>
      <c r="E58" s="70"/>
      <c r="F58" s="14" t="s">
        <v>142</v>
      </c>
      <c r="G58" s="9"/>
      <c r="H58" s="76"/>
      <c r="I58" s="10"/>
      <c r="J58" s="53"/>
      <c r="K58" s="72"/>
      <c r="L58" s="54"/>
      <c r="M58" s="75"/>
      <c r="N58" s="73"/>
      <c r="O58" s="15"/>
    </row>
    <row r="59" spans="1:15" x14ac:dyDescent="0.25">
      <c r="A59" s="16">
        <v>26831</v>
      </c>
      <c r="B59" s="49">
        <v>500</v>
      </c>
      <c r="C59" s="17" t="s">
        <v>108</v>
      </c>
      <c r="D59" s="13">
        <v>27008</v>
      </c>
      <c r="E59" s="70">
        <v>500</v>
      </c>
      <c r="F59" s="23"/>
      <c r="G59" s="9"/>
      <c r="H59" s="76"/>
      <c r="I59" s="10"/>
      <c r="J59" s="53"/>
      <c r="K59" s="72"/>
      <c r="L59" s="54"/>
      <c r="M59" s="75"/>
      <c r="N59" s="73"/>
      <c r="O59" s="15"/>
    </row>
    <row r="60" spans="1:15" x14ac:dyDescent="0.25">
      <c r="A60" s="16">
        <v>26832</v>
      </c>
      <c r="B60" s="49">
        <v>500</v>
      </c>
      <c r="C60" s="17"/>
      <c r="D60" s="13"/>
      <c r="E60" s="70"/>
      <c r="F60" s="14"/>
      <c r="G60" s="9"/>
      <c r="H60" s="76"/>
      <c r="I60" s="10"/>
      <c r="J60" s="53"/>
      <c r="K60" s="78"/>
      <c r="L60" s="51"/>
      <c r="M60" s="75"/>
      <c r="N60" s="73"/>
      <c r="O60" s="15"/>
    </row>
    <row r="61" spans="1:15" x14ac:dyDescent="0.25">
      <c r="A61" s="16">
        <v>26833</v>
      </c>
      <c r="B61" s="49">
        <v>600</v>
      </c>
      <c r="C61" s="17"/>
      <c r="D61" s="13"/>
      <c r="E61" s="70"/>
      <c r="F61" s="14"/>
      <c r="G61" s="9"/>
      <c r="H61" s="76"/>
      <c r="I61" s="10"/>
      <c r="J61" s="53"/>
      <c r="K61" s="72"/>
      <c r="L61" s="51"/>
      <c r="M61" s="75"/>
      <c r="N61" s="73"/>
      <c r="O61" s="15"/>
    </row>
    <row r="62" spans="1:15" x14ac:dyDescent="0.25">
      <c r="A62" s="16">
        <v>26834</v>
      </c>
      <c r="B62" s="49">
        <v>500</v>
      </c>
      <c r="C62" s="21"/>
      <c r="D62" s="13"/>
      <c r="E62" s="70"/>
      <c r="F62" s="14"/>
      <c r="G62" s="9"/>
      <c r="H62" s="76"/>
      <c r="I62" s="10"/>
      <c r="J62" s="53"/>
      <c r="K62" s="72"/>
      <c r="L62" s="54"/>
      <c r="M62" s="75"/>
      <c r="N62" s="73"/>
      <c r="O62" s="15"/>
    </row>
    <row r="63" spans="1:15" x14ac:dyDescent="0.25">
      <c r="A63" s="16">
        <v>26835</v>
      </c>
      <c r="B63" s="49">
        <v>200</v>
      </c>
      <c r="C63" s="17"/>
      <c r="D63" s="13"/>
      <c r="E63" s="70"/>
      <c r="F63" s="14"/>
      <c r="G63" s="9"/>
      <c r="H63" s="76"/>
      <c r="I63" s="10"/>
      <c r="J63" s="53"/>
      <c r="K63" s="72"/>
      <c r="L63" s="54"/>
      <c r="M63" s="75"/>
      <c r="N63" s="73"/>
      <c r="O63" s="15"/>
    </row>
    <row r="64" spans="1:15" x14ac:dyDescent="0.25">
      <c r="A64" s="16">
        <v>26836</v>
      </c>
      <c r="B64" s="49">
        <v>500</v>
      </c>
      <c r="C64" s="17"/>
      <c r="D64" s="13"/>
      <c r="E64" s="70"/>
      <c r="F64" s="14"/>
      <c r="G64" s="9"/>
      <c r="H64" s="76"/>
      <c r="I64" s="10"/>
      <c r="J64" s="53"/>
      <c r="K64" s="72"/>
      <c r="L64" s="54"/>
      <c r="M64" s="75"/>
      <c r="N64" s="73"/>
      <c r="O64" s="15"/>
    </row>
    <row r="65" spans="1:15" x14ac:dyDescent="0.25">
      <c r="A65" s="16">
        <v>26837</v>
      </c>
      <c r="B65" s="49">
        <v>350</v>
      </c>
      <c r="C65" s="17" t="s">
        <v>125</v>
      </c>
      <c r="D65" s="13"/>
      <c r="E65" s="70"/>
      <c r="F65" s="14"/>
      <c r="G65" s="9"/>
      <c r="H65" s="76"/>
      <c r="I65" s="10"/>
      <c r="J65" s="53"/>
      <c r="K65" s="72"/>
      <c r="L65" s="54"/>
      <c r="M65" s="75"/>
      <c r="N65" s="73"/>
      <c r="O65" s="15"/>
    </row>
    <row r="66" spans="1:15" x14ac:dyDescent="0.25">
      <c r="A66" s="16">
        <v>26838</v>
      </c>
      <c r="B66" s="49">
        <v>450</v>
      </c>
      <c r="C66" s="17"/>
      <c r="D66" s="13"/>
      <c r="E66" s="70"/>
      <c r="F66" s="14"/>
      <c r="G66" s="9"/>
      <c r="H66" s="76"/>
      <c r="I66" s="10"/>
      <c r="J66" s="53"/>
      <c r="K66" s="72"/>
      <c r="L66" s="54"/>
      <c r="M66" s="75"/>
      <c r="N66" s="73"/>
      <c r="O66" s="15"/>
    </row>
    <row r="67" spans="1:15" x14ac:dyDescent="0.25">
      <c r="A67" s="16">
        <v>26839</v>
      </c>
      <c r="B67" s="49">
        <v>400</v>
      </c>
      <c r="C67" s="17"/>
      <c r="D67" s="13"/>
      <c r="E67" s="70"/>
      <c r="F67" s="14"/>
      <c r="G67" s="9"/>
      <c r="H67" s="76"/>
      <c r="I67" s="10"/>
      <c r="J67" s="53"/>
      <c r="K67" s="72"/>
      <c r="L67" s="54"/>
      <c r="M67" s="75"/>
      <c r="N67" s="73"/>
      <c r="O67" s="15"/>
    </row>
    <row r="68" spans="1:15" x14ac:dyDescent="0.25">
      <c r="A68" s="16">
        <v>26840</v>
      </c>
      <c r="B68" s="49">
        <v>500</v>
      </c>
      <c r="C68" s="83"/>
      <c r="D68" s="13"/>
      <c r="E68" s="70"/>
      <c r="F68" s="14"/>
      <c r="G68" s="9"/>
      <c r="H68" s="76"/>
      <c r="I68" s="10"/>
      <c r="J68" s="53"/>
      <c r="K68" s="72"/>
      <c r="L68" s="54"/>
      <c r="M68" s="75"/>
      <c r="N68" s="73"/>
      <c r="O68" s="15"/>
    </row>
    <row r="69" spans="1:15" x14ac:dyDescent="0.25">
      <c r="A69" s="16">
        <v>26841</v>
      </c>
      <c r="B69" s="49">
        <v>500</v>
      </c>
      <c r="C69" s="17"/>
      <c r="D69" s="13"/>
      <c r="E69" s="70"/>
      <c r="F69" s="14"/>
      <c r="G69" s="9"/>
      <c r="H69" s="76"/>
      <c r="I69" s="10"/>
      <c r="J69" s="53"/>
      <c r="K69" s="72"/>
      <c r="L69" s="54"/>
      <c r="M69" s="75"/>
      <c r="N69" s="73"/>
      <c r="O69" s="15"/>
    </row>
    <row r="70" spans="1:15" x14ac:dyDescent="0.25">
      <c r="A70" s="16">
        <v>26842</v>
      </c>
      <c r="B70" s="49">
        <v>1000</v>
      </c>
      <c r="C70" s="17" t="s">
        <v>27</v>
      </c>
      <c r="D70" s="13"/>
      <c r="E70" s="70"/>
      <c r="F70" s="14"/>
      <c r="G70" s="9"/>
      <c r="H70" s="76"/>
      <c r="I70" s="10"/>
      <c r="J70" s="53"/>
      <c r="K70" s="72"/>
      <c r="L70" s="54"/>
      <c r="M70" s="75"/>
      <c r="N70" s="73"/>
      <c r="O70" s="15"/>
    </row>
    <row r="71" spans="1:15" x14ac:dyDescent="0.25">
      <c r="A71" s="16">
        <v>26843</v>
      </c>
      <c r="B71" s="49">
        <v>500</v>
      </c>
      <c r="C71" s="22"/>
      <c r="D71" s="13"/>
      <c r="E71" s="70"/>
      <c r="F71" s="14"/>
      <c r="G71" s="9"/>
      <c r="H71" s="76"/>
      <c r="I71" s="10"/>
      <c r="J71" s="53"/>
      <c r="K71" s="72"/>
      <c r="L71" s="54"/>
      <c r="M71" s="75"/>
      <c r="N71" s="73"/>
      <c r="O71" s="15"/>
    </row>
    <row r="72" spans="1:15" x14ac:dyDescent="0.25">
      <c r="A72" s="16">
        <v>26844</v>
      </c>
      <c r="B72" s="49">
        <v>1000</v>
      </c>
      <c r="C72" s="17" t="s">
        <v>27</v>
      </c>
      <c r="D72" s="13"/>
      <c r="E72" s="70"/>
      <c r="F72" s="14"/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>
        <v>26845</v>
      </c>
      <c r="B73" s="49">
        <v>500</v>
      </c>
      <c r="C73" s="17"/>
      <c r="D73" s="13"/>
      <c r="E73" s="70"/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>
        <v>26846</v>
      </c>
      <c r="B74" s="49">
        <v>500</v>
      </c>
      <c r="C74" s="17"/>
      <c r="D74" s="13"/>
      <c r="E74" s="70"/>
      <c r="F74" s="14"/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>
        <v>26847</v>
      </c>
      <c r="B75" s="49">
        <v>1000</v>
      </c>
      <c r="C75" s="17" t="s">
        <v>27</v>
      </c>
      <c r="D75" s="13"/>
      <c r="E75" s="70"/>
      <c r="F75" s="14"/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>
        <v>26848</v>
      </c>
      <c r="B76" s="49">
        <v>5500</v>
      </c>
      <c r="C76" s="17" t="s">
        <v>19</v>
      </c>
      <c r="D76" s="13"/>
      <c r="E76" s="70"/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 t="s">
        <v>118</v>
      </c>
      <c r="D77" s="13"/>
      <c r="E77" s="70"/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26849</v>
      </c>
      <c r="B78" s="49">
        <v>700</v>
      </c>
      <c r="C78" s="17" t="s">
        <v>126</v>
      </c>
      <c r="D78" s="13"/>
      <c r="E78" s="70"/>
      <c r="F78" s="14"/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>
        <v>26850</v>
      </c>
      <c r="B79" s="49">
        <v>50</v>
      </c>
      <c r="C79" s="17" t="s">
        <v>127</v>
      </c>
      <c r="D79" s="13"/>
      <c r="E79" s="70"/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>
        <v>26851</v>
      </c>
      <c r="B80" s="49">
        <v>1300</v>
      </c>
      <c r="C80" s="17" t="s">
        <v>27</v>
      </c>
      <c r="D80" s="13"/>
      <c r="E80" s="70"/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/>
      <c r="B81" s="49"/>
      <c r="C81" s="17" t="s">
        <v>128</v>
      </c>
      <c r="D81" s="13"/>
      <c r="E81" s="70"/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>
        <v>26852</v>
      </c>
      <c r="B82" s="49">
        <v>1000</v>
      </c>
      <c r="C82" s="17" t="s">
        <v>27</v>
      </c>
      <c r="D82" s="13"/>
      <c r="E82" s="70"/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>
        <v>26853</v>
      </c>
      <c r="B83" s="49">
        <v>350</v>
      </c>
      <c r="C83" s="17" t="s">
        <v>11</v>
      </c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>
        <v>26854</v>
      </c>
      <c r="B84" s="49">
        <v>350</v>
      </c>
      <c r="C84" s="17" t="s">
        <v>94</v>
      </c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>
        <v>26855</v>
      </c>
      <c r="B85" s="49">
        <v>800</v>
      </c>
      <c r="C85" s="17" t="s">
        <v>129</v>
      </c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>
        <v>26856</v>
      </c>
      <c r="B86" s="49">
        <v>1500</v>
      </c>
      <c r="C86" s="17" t="s">
        <v>50</v>
      </c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>
        <v>26857</v>
      </c>
      <c r="B87" s="49">
        <v>2000</v>
      </c>
      <c r="C87" s="17" t="s">
        <v>47</v>
      </c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 t="s">
        <v>48</v>
      </c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>
        <v>26858</v>
      </c>
      <c r="B89" s="49">
        <v>500</v>
      </c>
      <c r="C89" s="17"/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>
        <v>26859</v>
      </c>
      <c r="B90" s="49">
        <v>500</v>
      </c>
      <c r="C90" s="17" t="s">
        <v>11</v>
      </c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>
        <v>26860</v>
      </c>
      <c r="B91" s="49">
        <v>500</v>
      </c>
      <c r="C91" s="17" t="s">
        <v>108</v>
      </c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>
        <v>26861</v>
      </c>
      <c r="B92" s="49">
        <v>3000</v>
      </c>
      <c r="C92" s="17" t="s">
        <v>130</v>
      </c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 t="s">
        <v>48</v>
      </c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>
        <v>26862</v>
      </c>
      <c r="B94" s="49">
        <v>500</v>
      </c>
      <c r="C94" s="17"/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>
        <v>26863</v>
      </c>
      <c r="B95" s="49">
        <v>300</v>
      </c>
      <c r="C95" s="17" t="s">
        <v>131</v>
      </c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7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  <row r="581" spans="1:15" x14ac:dyDescent="0.25">
      <c r="A581" s="26"/>
      <c r="B581" s="26"/>
      <c r="C581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5"/>
  <sheetViews>
    <sheetView topLeftCell="A5" zoomScaleNormal="100" workbookViewId="0">
      <pane ySplit="3" topLeftCell="A8" activePane="bottomLeft" state="frozen"/>
      <selection activeCell="A5" sqref="A5"/>
      <selection pane="bottomLeft" activeCell="L7" sqref="L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5.1406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3" t="s">
        <v>6</v>
      </c>
      <c r="K5" s="143"/>
      <c r="L5" s="143"/>
      <c r="M5" s="135" t="s">
        <v>12</v>
      </c>
      <c r="N5" s="145"/>
      <c r="O5" s="146"/>
      <c r="Q5" s="144" t="s">
        <v>13</v>
      </c>
      <c r="R5" s="144"/>
    </row>
    <row r="6" spans="1:18" x14ac:dyDescent="0.25">
      <c r="A6" s="8">
        <f>SUBTOTAL(3,A8:A120)</f>
        <v>0</v>
      </c>
      <c r="B6" s="8">
        <f>SUBTOTAL(9,B8:B141)</f>
        <v>0</v>
      </c>
      <c r="C6" s="35">
        <v>44626</v>
      </c>
      <c r="D6" s="8">
        <f>SUBTOTAL(3,D9:D121)</f>
        <v>0</v>
      </c>
      <c r="E6" s="1">
        <f>SUBTOTAL(9,E8:E121)</f>
        <v>0</v>
      </c>
      <c r="F6" s="38">
        <v>44633</v>
      </c>
      <c r="G6" s="8">
        <f>SUBTOTAL(3,G8:G120)</f>
        <v>0</v>
      </c>
      <c r="H6" s="1">
        <f>SUBTOTAL(9,H8:H120)</f>
        <v>0</v>
      </c>
      <c r="I6" s="39">
        <v>44640</v>
      </c>
      <c r="J6" s="8">
        <f>SUBTOTAL(3,J8:J110)</f>
        <v>0</v>
      </c>
      <c r="K6" s="1">
        <f>SUBTOTAL(9,K8:K110)</f>
        <v>0</v>
      </c>
      <c r="L6" s="79">
        <v>44647</v>
      </c>
      <c r="M6" s="1">
        <f>SUBTOTAL(3,M8:M120)</f>
        <v>0</v>
      </c>
      <c r="N6" s="1">
        <f>SUBTOTAL(9,N8:N120)</f>
        <v>0</v>
      </c>
      <c r="O6" s="81"/>
      <c r="Q6" s="30">
        <f>+A6+D6+G6+J6+M6</f>
        <v>0</v>
      </c>
      <c r="R6" s="34">
        <f>+B6+E6+H6+K6+N6</f>
        <v>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7" t="s">
        <v>1</v>
      </c>
      <c r="K7" s="77" t="s">
        <v>3</v>
      </c>
      <c r="L7" s="77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/>
      <c r="B8" s="49"/>
      <c r="C8" s="17"/>
      <c r="D8" s="110"/>
      <c r="E8" s="70"/>
      <c r="F8" s="117"/>
      <c r="G8" s="11"/>
      <c r="H8" s="67"/>
      <c r="I8" s="12"/>
      <c r="J8" s="53"/>
      <c r="K8" s="72"/>
      <c r="L8" s="54"/>
      <c r="M8" s="75"/>
      <c r="N8" s="73"/>
      <c r="O8" s="15"/>
      <c r="Q8" s="32"/>
      <c r="R8" s="32"/>
    </row>
    <row r="9" spans="1:18" x14ac:dyDescent="0.25">
      <c r="A9" s="16"/>
      <c r="B9" s="49"/>
      <c r="C9" s="17"/>
      <c r="D9" s="13"/>
      <c r="E9" s="70"/>
      <c r="F9" s="116"/>
      <c r="G9" s="11"/>
      <c r="H9" s="67"/>
      <c r="I9" s="12"/>
      <c r="J9" s="53"/>
      <c r="K9" s="72"/>
      <c r="L9" s="54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53"/>
      <c r="K10" s="72"/>
      <c r="L10" s="54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96"/>
      <c r="J11" s="53"/>
      <c r="K11" s="72"/>
      <c r="L11" s="54"/>
      <c r="M11" s="75"/>
      <c r="N11" s="73"/>
      <c r="O11" s="15"/>
    </row>
    <row r="12" spans="1:18" x14ac:dyDescent="0.25">
      <c r="A12" s="16"/>
      <c r="B12" s="49"/>
      <c r="C12" s="17"/>
      <c r="D12" s="13"/>
      <c r="E12" s="70"/>
      <c r="F12" s="99"/>
      <c r="G12" s="11"/>
      <c r="H12" s="67"/>
      <c r="I12" s="12"/>
      <c r="J12" s="53"/>
      <c r="K12" s="72"/>
      <c r="L12" s="54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53"/>
      <c r="K13" s="72"/>
      <c r="L13" s="54"/>
      <c r="M13" s="75"/>
      <c r="N13" s="73"/>
      <c r="O13" s="15"/>
    </row>
    <row r="14" spans="1:18" x14ac:dyDescent="0.25">
      <c r="A14" s="16"/>
      <c r="B14" s="49"/>
      <c r="C14" s="17"/>
      <c r="D14" s="13"/>
      <c r="E14" s="70"/>
      <c r="F14" s="14"/>
      <c r="G14" s="11"/>
      <c r="H14" s="67"/>
      <c r="I14" s="12"/>
      <c r="J14" s="53"/>
      <c r="K14" s="72"/>
      <c r="L14" s="54"/>
      <c r="M14" s="75"/>
      <c r="N14" s="73"/>
      <c r="O14" s="31"/>
    </row>
    <row r="15" spans="1:18" x14ac:dyDescent="0.25">
      <c r="A15" s="16"/>
      <c r="B15" s="49"/>
      <c r="C15" s="17"/>
      <c r="D15" s="13"/>
      <c r="E15" s="70"/>
      <c r="F15" s="14"/>
      <c r="G15" s="11"/>
      <c r="H15" s="67"/>
      <c r="I15" s="12"/>
      <c r="J15" s="53"/>
      <c r="K15" s="72"/>
      <c r="L15" s="54"/>
      <c r="M15" s="75"/>
      <c r="N15" s="73"/>
      <c r="O15" s="15"/>
    </row>
    <row r="16" spans="1:18" x14ac:dyDescent="0.25">
      <c r="A16" s="16"/>
      <c r="B16" s="49"/>
      <c r="C16" s="17"/>
      <c r="D16" s="13"/>
      <c r="E16" s="70"/>
      <c r="F16" s="91"/>
      <c r="G16" s="11"/>
      <c r="H16" s="67"/>
      <c r="I16" s="12"/>
      <c r="J16" s="53"/>
      <c r="K16" s="72"/>
      <c r="L16" s="54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91"/>
      <c r="G17" s="11"/>
      <c r="H17" s="67"/>
      <c r="I17" s="12"/>
      <c r="J17" s="53"/>
      <c r="K17" s="72"/>
      <c r="L17" s="54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14"/>
      <c r="G18" s="11"/>
      <c r="H18" s="67"/>
      <c r="I18" s="12"/>
      <c r="J18" s="53"/>
      <c r="K18" s="72"/>
      <c r="L18" s="54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14"/>
      <c r="G19" s="11"/>
      <c r="H19" s="67"/>
      <c r="I19" s="12"/>
      <c r="J19" s="53"/>
      <c r="K19" s="72"/>
      <c r="L19" s="54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53"/>
      <c r="K20" s="72"/>
      <c r="L20" s="54"/>
      <c r="M20" s="75"/>
      <c r="N20" s="73"/>
      <c r="O20" s="15"/>
    </row>
    <row r="21" spans="1:15" x14ac:dyDescent="0.25">
      <c r="A21" s="16"/>
      <c r="B21" s="49"/>
      <c r="C21" s="17"/>
      <c r="D21" s="13"/>
      <c r="E21" s="70"/>
      <c r="F21" s="14"/>
      <c r="G21" s="11"/>
      <c r="H21" s="67"/>
      <c r="I21" s="12"/>
      <c r="J21" s="53"/>
      <c r="K21" s="72"/>
      <c r="L21" s="54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12"/>
      <c r="J22" s="53"/>
      <c r="K22" s="72"/>
      <c r="L22" s="54"/>
      <c r="M22" s="75"/>
      <c r="N22" s="73"/>
      <c r="O22" s="15"/>
    </row>
    <row r="23" spans="1:15" x14ac:dyDescent="0.25">
      <c r="A23" s="16"/>
      <c r="B23" s="49"/>
      <c r="C23" s="17"/>
      <c r="D23" s="13"/>
      <c r="E23" s="70"/>
      <c r="F23" s="14"/>
      <c r="G23" s="11"/>
      <c r="H23" s="67"/>
      <c r="I23" s="12"/>
      <c r="J23" s="53"/>
      <c r="K23" s="72"/>
      <c r="L23" s="54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53"/>
      <c r="K24" s="72"/>
      <c r="L24" s="54"/>
      <c r="M24" s="75"/>
      <c r="N24" s="73"/>
      <c r="O24" s="15"/>
    </row>
    <row r="25" spans="1:15" x14ac:dyDescent="0.25">
      <c r="A25" s="16"/>
      <c r="B25" s="49"/>
      <c r="C25" s="17"/>
      <c r="D25" s="13"/>
      <c r="E25" s="70"/>
      <c r="F25" s="101"/>
      <c r="G25" s="11"/>
      <c r="H25" s="67"/>
      <c r="I25" s="12"/>
      <c r="J25" s="53"/>
      <c r="K25" s="72"/>
      <c r="L25" s="54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53"/>
      <c r="K26" s="72"/>
      <c r="L26" s="54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14"/>
      <c r="G27" s="11"/>
      <c r="H27" s="67"/>
      <c r="I27" s="12"/>
      <c r="J27" s="53"/>
      <c r="K27" s="72"/>
      <c r="L27" s="54"/>
      <c r="M27" s="75"/>
      <c r="N27" s="73"/>
      <c r="O27" s="31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12"/>
      <c r="J28" s="53"/>
      <c r="K28" s="72"/>
      <c r="L28" s="87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12"/>
      <c r="J29" s="53"/>
      <c r="K29" s="72"/>
      <c r="L29" s="54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53"/>
      <c r="K30" s="72"/>
      <c r="L30" s="54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53"/>
      <c r="K31" s="72"/>
      <c r="L31" s="54"/>
      <c r="M31" s="75"/>
      <c r="N31" s="73"/>
      <c r="O31" s="15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53"/>
      <c r="K32" s="72"/>
      <c r="L32" s="54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53"/>
      <c r="K33" s="72"/>
      <c r="L33" s="54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53"/>
      <c r="K34" s="72"/>
      <c r="L34" s="54"/>
      <c r="M34" s="75"/>
      <c r="N34" s="73"/>
      <c r="O34" s="31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53"/>
      <c r="K35" s="72"/>
      <c r="L35" s="54"/>
      <c r="M35" s="75"/>
      <c r="N35" s="73"/>
      <c r="O35" s="15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53"/>
      <c r="K36" s="72"/>
      <c r="L36" s="54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53"/>
      <c r="K37" s="72"/>
      <c r="L37" s="54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53"/>
      <c r="K38" s="72"/>
      <c r="L38" s="54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53"/>
      <c r="K39" s="72"/>
      <c r="L39" s="54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53"/>
      <c r="K40" s="72"/>
      <c r="L40" s="54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53"/>
      <c r="K41" s="72"/>
      <c r="L41" s="54"/>
      <c r="M41" s="75"/>
      <c r="N41" s="73"/>
      <c r="O41" s="15"/>
    </row>
    <row r="42" spans="1:15" x14ac:dyDescent="0.25">
      <c r="A42" s="16"/>
      <c r="B42" s="49"/>
      <c r="C42" s="17"/>
      <c r="D42" s="13"/>
      <c r="E42" s="70"/>
      <c r="F42" s="14"/>
      <c r="G42" s="11"/>
      <c r="H42" s="67"/>
      <c r="I42" s="12"/>
      <c r="J42" s="53"/>
      <c r="K42" s="72"/>
      <c r="L42" s="54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53"/>
      <c r="K43" s="72"/>
      <c r="L43" s="54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53"/>
      <c r="K44" s="72"/>
      <c r="L44" s="54"/>
      <c r="M44" s="75"/>
      <c r="N44" s="73"/>
      <c r="O44" s="15"/>
    </row>
    <row r="45" spans="1:15" x14ac:dyDescent="0.25">
      <c r="A45" s="16"/>
      <c r="B45" s="49"/>
      <c r="C45" s="17"/>
      <c r="D45" s="13"/>
      <c r="E45" s="70"/>
      <c r="F45" s="14"/>
      <c r="G45" s="11"/>
      <c r="H45" s="67"/>
      <c r="I45" s="12"/>
      <c r="J45" s="53"/>
      <c r="K45" s="72"/>
      <c r="L45" s="54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12"/>
      <c r="J46" s="53"/>
      <c r="K46" s="72"/>
      <c r="L46" s="54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53"/>
      <c r="K47" s="72"/>
      <c r="L47" s="54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53"/>
      <c r="K48" s="72"/>
      <c r="L48" s="54"/>
      <c r="M48" s="75"/>
      <c r="N48" s="73"/>
      <c r="O48" s="15"/>
    </row>
    <row r="49" spans="1:15" x14ac:dyDescent="0.25">
      <c r="A49" s="16"/>
      <c r="B49" s="49"/>
      <c r="C49" s="17"/>
      <c r="D49" s="13"/>
      <c r="E49" s="70"/>
      <c r="F49" s="14"/>
      <c r="G49" s="11"/>
      <c r="H49" s="67"/>
      <c r="I49" s="12"/>
      <c r="J49" s="53"/>
      <c r="K49" s="72"/>
      <c r="L49" s="54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53"/>
      <c r="K50" s="72"/>
      <c r="L50" s="54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53"/>
      <c r="K51" s="72"/>
      <c r="L51" s="54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53"/>
      <c r="K52" s="72"/>
      <c r="L52" s="54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53"/>
      <c r="K53" s="72"/>
      <c r="L53" s="54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2"/>
      <c r="J54" s="53"/>
      <c r="K54" s="72"/>
      <c r="L54" s="54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69"/>
      <c r="G55" s="11"/>
      <c r="H55" s="67"/>
      <c r="I55" s="12"/>
      <c r="J55" s="53"/>
      <c r="K55" s="72"/>
      <c r="L55" s="54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14"/>
      <c r="G56" s="11"/>
      <c r="H56" s="67"/>
      <c r="I56" s="12"/>
      <c r="J56" s="53"/>
      <c r="K56" s="72"/>
      <c r="L56" s="54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53"/>
      <c r="K57" s="72"/>
      <c r="L57" s="87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53"/>
      <c r="K58" s="72"/>
      <c r="L58" s="54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53"/>
      <c r="K59" s="72"/>
      <c r="L59" s="54"/>
      <c r="M59" s="75"/>
      <c r="N59" s="73"/>
      <c r="O59" s="15"/>
    </row>
    <row r="60" spans="1:15" x14ac:dyDescent="0.25">
      <c r="A60" s="16"/>
      <c r="B60" s="49"/>
      <c r="C60" s="85"/>
      <c r="D60" s="13"/>
      <c r="E60" s="70"/>
      <c r="F60" s="14"/>
      <c r="G60" s="11"/>
      <c r="H60" s="67"/>
      <c r="I60" s="12"/>
      <c r="J60" s="53"/>
      <c r="K60" s="72"/>
      <c r="L60" s="54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53"/>
      <c r="K61" s="72"/>
      <c r="L61" s="54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2"/>
      <c r="J62" s="53"/>
      <c r="K62" s="72"/>
      <c r="L62" s="54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53"/>
      <c r="K63" s="72"/>
      <c r="L63" s="54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53"/>
      <c r="K64" s="72"/>
      <c r="L64" s="54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53"/>
      <c r="K65" s="72"/>
      <c r="L65" s="54"/>
      <c r="M65" s="75"/>
      <c r="N65" s="73"/>
      <c r="O65" s="15"/>
    </row>
    <row r="66" spans="1:15" x14ac:dyDescent="0.25">
      <c r="A66" s="16"/>
      <c r="B66" s="49"/>
      <c r="C66" s="115"/>
      <c r="D66" s="13"/>
      <c r="E66" s="70"/>
      <c r="F66" s="14"/>
      <c r="G66" s="11"/>
      <c r="H66" s="67"/>
      <c r="I66" s="12"/>
      <c r="J66" s="53"/>
      <c r="K66" s="72"/>
      <c r="L66" s="54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53"/>
      <c r="K67" s="72"/>
      <c r="L67" s="54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2"/>
      <c r="J68" s="53"/>
      <c r="K68" s="72"/>
      <c r="L68" s="54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53"/>
      <c r="K69" s="72"/>
      <c r="L69" s="54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53"/>
      <c r="K70" s="72"/>
      <c r="L70" s="54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53"/>
      <c r="K71" s="72"/>
      <c r="L71" s="54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4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53"/>
      <c r="K133" s="72"/>
      <c r="L133" s="54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53"/>
      <c r="K134" s="72"/>
      <c r="L134" s="54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53"/>
      <c r="K135" s="72"/>
      <c r="L135" s="54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53"/>
      <c r="K136" s="72"/>
      <c r="L136" s="54"/>
      <c r="M136" s="75"/>
      <c r="N136" s="73"/>
      <c r="O136" s="15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53"/>
      <c r="K137" s="72"/>
      <c r="L137" s="54"/>
      <c r="M137" s="75"/>
      <c r="N137" s="73"/>
      <c r="O137" s="15"/>
    </row>
    <row r="138" spans="1:15" x14ac:dyDescent="0.25">
      <c r="A138" s="16"/>
      <c r="B138" s="49"/>
      <c r="C138" s="17"/>
      <c r="D138" s="13"/>
      <c r="E138" s="70"/>
      <c r="F138" s="14"/>
      <c r="G138" s="11"/>
      <c r="H138" s="67"/>
      <c r="I138" s="12"/>
      <c r="J138" s="53"/>
      <c r="K138" s="72"/>
      <c r="L138" s="54"/>
      <c r="M138" s="75"/>
      <c r="N138" s="73"/>
      <c r="O138" s="15"/>
    </row>
    <row r="139" spans="1:15" x14ac:dyDescent="0.25">
      <c r="A139" s="16"/>
      <c r="B139" s="49"/>
      <c r="C139" s="17"/>
      <c r="D139" s="13"/>
      <c r="E139" s="70"/>
      <c r="F139" s="14"/>
      <c r="G139" s="11"/>
      <c r="H139" s="67"/>
      <c r="I139" s="12"/>
      <c r="J139" s="53"/>
      <c r="K139" s="72"/>
      <c r="L139" s="54"/>
      <c r="M139" s="75"/>
      <c r="N139" s="73"/>
      <c r="O139" s="15"/>
    </row>
    <row r="140" spans="1:15" x14ac:dyDescent="0.25">
      <c r="A140" s="16"/>
      <c r="B140" s="49"/>
      <c r="C140" s="17"/>
      <c r="D140" s="13"/>
      <c r="E140" s="70"/>
      <c r="F140" s="14"/>
      <c r="G140" s="11"/>
      <c r="H140" s="67"/>
      <c r="I140" s="12"/>
      <c r="J140" s="53"/>
      <c r="K140" s="72"/>
      <c r="L140" s="54"/>
      <c r="M140" s="75"/>
      <c r="N140" s="73"/>
      <c r="O140" s="15"/>
    </row>
    <row r="141" spans="1:15" x14ac:dyDescent="0.25">
      <c r="A141" s="16"/>
      <c r="B141" s="49"/>
      <c r="C141" s="17"/>
      <c r="D141" s="13"/>
      <c r="E141" s="70"/>
      <c r="F141" s="14"/>
      <c r="G141" s="11"/>
      <c r="H141" s="67"/>
      <c r="I141" s="12"/>
      <c r="J141" s="53"/>
      <c r="K141" s="72"/>
      <c r="L141" s="54"/>
      <c r="M141" s="75"/>
      <c r="N141" s="73"/>
      <c r="O141" s="15"/>
    </row>
    <row r="142" spans="1:15" x14ac:dyDescent="0.25">
      <c r="A142" s="16"/>
      <c r="B142" s="49"/>
      <c r="C142" s="17"/>
      <c r="D142" s="13"/>
      <c r="E142" s="70"/>
      <c r="F142" s="14"/>
      <c r="G142" s="11"/>
      <c r="H142" s="67"/>
      <c r="I142" s="12"/>
      <c r="J142" s="53"/>
      <c r="K142" s="72"/>
      <c r="L142" s="54"/>
      <c r="M142" s="75"/>
      <c r="N142" s="73"/>
      <c r="O142" s="15"/>
    </row>
    <row r="143" spans="1:15" x14ac:dyDescent="0.25">
      <c r="A143" s="16"/>
      <c r="B143" s="49"/>
      <c r="C143" s="17"/>
      <c r="D143" s="13"/>
      <c r="E143" s="70"/>
      <c r="F143" s="14"/>
      <c r="G143" s="11"/>
      <c r="H143" s="67"/>
      <c r="I143" s="12"/>
      <c r="J143" s="53"/>
      <c r="K143" s="72"/>
      <c r="L143" s="54"/>
      <c r="M143" s="75"/>
      <c r="N143" s="73"/>
      <c r="O143" s="15"/>
    </row>
    <row r="144" spans="1:15" x14ac:dyDescent="0.25">
      <c r="A144" s="16"/>
      <c r="B144" s="49"/>
      <c r="C144" s="17"/>
      <c r="D144" s="13"/>
      <c r="E144" s="70"/>
      <c r="F144" s="14"/>
      <c r="G144" s="11"/>
      <c r="H144" s="67"/>
      <c r="I144" s="12"/>
      <c r="J144" s="53"/>
      <c r="K144" s="72"/>
      <c r="L144" s="54"/>
      <c r="M144" s="75"/>
      <c r="N144" s="73"/>
      <c r="O144" s="15"/>
    </row>
    <row r="145" spans="1:15" x14ac:dyDescent="0.25">
      <c r="A145" s="16"/>
      <c r="B145" s="49"/>
      <c r="C145" s="17"/>
      <c r="D145" s="13"/>
      <c r="E145" s="70"/>
      <c r="F145" s="14"/>
      <c r="G145" s="11"/>
      <c r="H145" s="67"/>
      <c r="I145" s="12"/>
      <c r="J145" s="53"/>
      <c r="K145" s="72"/>
      <c r="L145" s="54"/>
      <c r="M145" s="75"/>
      <c r="N145" s="73"/>
      <c r="O145" s="15"/>
    </row>
    <row r="146" spans="1:15" x14ac:dyDescent="0.25">
      <c r="A146" s="16"/>
      <c r="B146" s="49"/>
      <c r="C146" s="17"/>
      <c r="D146" s="13"/>
      <c r="E146" s="70"/>
      <c r="F146" s="14"/>
      <c r="G146" s="11"/>
      <c r="H146" s="67"/>
      <c r="I146" s="12"/>
      <c r="J146" s="53"/>
      <c r="K146" s="72"/>
      <c r="L146" s="54"/>
      <c r="M146" s="75"/>
      <c r="N146" s="73"/>
      <c r="O146" s="15"/>
    </row>
    <row r="147" spans="1:15" x14ac:dyDescent="0.25">
      <c r="A147" s="16"/>
      <c r="B147" s="49"/>
      <c r="C147" s="17"/>
      <c r="D147" s="13"/>
      <c r="E147" s="70"/>
      <c r="F147" s="14"/>
      <c r="G147" s="11"/>
      <c r="H147" s="67"/>
      <c r="I147" s="12"/>
      <c r="J147" s="53"/>
      <c r="K147" s="72"/>
      <c r="L147" s="54"/>
      <c r="M147" s="75"/>
      <c r="N147" s="73"/>
      <c r="O147" s="15"/>
    </row>
    <row r="148" spans="1:15" x14ac:dyDescent="0.25">
      <c r="A148" s="16"/>
      <c r="B148" s="49"/>
      <c r="C148" s="17"/>
      <c r="D148" s="13"/>
      <c r="E148" s="70"/>
      <c r="F148" s="14"/>
      <c r="G148" s="11"/>
      <c r="H148" s="67"/>
      <c r="I148" s="12"/>
      <c r="J148" s="53"/>
      <c r="K148" s="72"/>
      <c r="L148" s="54"/>
      <c r="M148" s="75"/>
      <c r="N148" s="73"/>
      <c r="O148" s="15"/>
    </row>
    <row r="149" spans="1:15" x14ac:dyDescent="0.25">
      <c r="A149" s="16"/>
      <c r="B149" s="49"/>
      <c r="C149" s="17"/>
      <c r="D149" s="13"/>
      <c r="E149" s="70"/>
      <c r="F149" s="14"/>
      <c r="G149" s="11"/>
      <c r="H149" s="67"/>
      <c r="I149" s="12"/>
      <c r="J149" s="53"/>
      <c r="K149" s="72"/>
      <c r="L149" s="54"/>
      <c r="M149" s="75"/>
      <c r="N149" s="73"/>
      <c r="O149" s="15"/>
    </row>
    <row r="150" spans="1:15" x14ac:dyDescent="0.25">
      <c r="A150" s="26"/>
      <c r="B150" s="26"/>
      <c r="C150" s="58"/>
      <c r="D150" s="26"/>
      <c r="E150" s="74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7"/>
  <sheetViews>
    <sheetView topLeftCell="C5" workbookViewId="0">
      <pane ySplit="3" topLeftCell="A8" activePane="bottomLeft" state="frozen"/>
      <selection activeCell="A5" sqref="A5"/>
      <selection pane="bottomLeft" activeCell="O7" sqref="O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7" t="s">
        <v>6</v>
      </c>
      <c r="K5" s="147"/>
      <c r="L5" s="147"/>
      <c r="M5" s="135" t="s">
        <v>12</v>
      </c>
      <c r="N5" s="135"/>
      <c r="O5" s="135"/>
      <c r="Q5" s="144" t="s">
        <v>13</v>
      </c>
      <c r="R5" s="144"/>
    </row>
    <row r="6" spans="1:18" x14ac:dyDescent="0.25">
      <c r="A6" s="8">
        <f>SUBTOTAL(3,A8:A120)</f>
        <v>0</v>
      </c>
      <c r="B6" s="8">
        <f>SUBTOTAL(9,B8:B120)</f>
        <v>0</v>
      </c>
      <c r="C6" s="35">
        <v>44654</v>
      </c>
      <c r="D6" s="8">
        <f>SUBTOTAL(3,D8:D121)</f>
        <v>0</v>
      </c>
      <c r="E6" s="1">
        <f>SUBTOTAL(9,E8:E121)</f>
        <v>0</v>
      </c>
      <c r="F6" s="38">
        <v>44661</v>
      </c>
      <c r="G6" s="8">
        <f>SUBTOTAL(3,G8:G123)</f>
        <v>0</v>
      </c>
      <c r="H6" s="1">
        <f>SUBTOTAL(9,H8:H123)</f>
        <v>0</v>
      </c>
      <c r="I6" s="39">
        <v>44668</v>
      </c>
      <c r="J6" s="8">
        <f>SUBTOTAL(3,J8:J110)</f>
        <v>0</v>
      </c>
      <c r="K6" s="1">
        <f>SUBTOTAL(9,K8:K110)</f>
        <v>0</v>
      </c>
      <c r="L6" s="63">
        <v>44675</v>
      </c>
      <c r="M6" s="1">
        <f>SUBTOTAL(3,M8:M120)</f>
        <v>0</v>
      </c>
      <c r="N6" s="1">
        <f>SUBTOTAL(9,N8:N120)</f>
        <v>0</v>
      </c>
      <c r="O6" s="82"/>
      <c r="Q6" s="30">
        <f>+A6+D6+G6+J6+M6</f>
        <v>0</v>
      </c>
      <c r="R6" s="29">
        <f>+B6+E6+H6+K6+N6</f>
        <v>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/>
      <c r="B8" s="49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106"/>
      <c r="O8" s="15"/>
      <c r="Q8" s="32"/>
      <c r="R8" s="32"/>
    </row>
    <row r="9" spans="1:18" x14ac:dyDescent="0.25">
      <c r="A9" s="16"/>
      <c r="B9" s="49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15"/>
    </row>
    <row r="12" spans="1:18" x14ac:dyDescent="0.25">
      <c r="A12" s="16"/>
      <c r="B12" s="49"/>
      <c r="C12" s="17"/>
      <c r="D12" s="13"/>
      <c r="E12" s="70"/>
      <c r="F12" s="14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5"/>
    </row>
    <row r="14" spans="1:18" ht="15" customHeight="1" x14ac:dyDescent="0.25">
      <c r="A14" s="16"/>
      <c r="B14" s="49"/>
      <c r="C14" s="17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111"/>
    </row>
    <row r="15" spans="1:18" hidden="1" x14ac:dyDescent="0.25">
      <c r="A15" s="16"/>
      <c r="B15" s="49"/>
      <c r="C15" s="17"/>
      <c r="D15" s="13"/>
      <c r="E15" s="70"/>
      <c r="F15" s="14"/>
      <c r="G15" s="11"/>
      <c r="H15" s="67"/>
      <c r="I15" s="12"/>
      <c r="J15" s="61"/>
      <c r="K15" s="71"/>
      <c r="L15" s="88"/>
      <c r="M15" s="75"/>
      <c r="N15" s="73"/>
      <c r="O15" s="15"/>
    </row>
    <row r="16" spans="1:18" x14ac:dyDescent="0.25">
      <c r="A16" s="16"/>
      <c r="B16" s="49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14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14"/>
      <c r="G18" s="11"/>
      <c r="H18" s="67"/>
      <c r="I18" s="12"/>
      <c r="J18" s="61"/>
      <c r="K18" s="71"/>
      <c r="L18" s="62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33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49"/>
      <c r="C21" s="17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5"/>
    </row>
    <row r="23" spans="1:15" x14ac:dyDescent="0.25">
      <c r="A23" s="16"/>
      <c r="B23" s="49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15"/>
    </row>
    <row r="25" spans="1:15" x14ac:dyDescent="0.25">
      <c r="A25" s="16"/>
      <c r="B25" s="49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31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15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31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61"/>
      <c r="K38" s="71"/>
      <c r="L38" s="68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49"/>
      <c r="C42" s="17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99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85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96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8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8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8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8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8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8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8" x14ac:dyDescent="0.25">
      <c r="D535" s="26"/>
      <c r="E535" s="58"/>
      <c r="F535" s="58"/>
      <c r="G535" s="26"/>
      <c r="H535" s="58"/>
      <c r="I535" s="58"/>
    </row>
    <row r="536" spans="1:18" x14ac:dyDescent="0.25">
      <c r="G536" s="26"/>
      <c r="H536" s="58"/>
      <c r="I536" s="58"/>
      <c r="R536" t="s">
        <v>14</v>
      </c>
    </row>
    <row r="537" spans="1:18" x14ac:dyDescent="0.25">
      <c r="G537" s="26"/>
      <c r="H537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35"/>
  <sheetViews>
    <sheetView topLeftCell="C5" zoomScale="98" zoomScaleNormal="98" workbookViewId="0">
      <pane ySplit="3" topLeftCell="A8" activePane="bottomLeft" state="frozen"/>
      <selection activeCell="A5" sqref="A5"/>
      <selection pane="bottomLeft" activeCell="O7" sqref="O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50" t="s">
        <v>0</v>
      </c>
      <c r="B5" s="150"/>
      <c r="C5" s="150"/>
      <c r="D5" s="151" t="s">
        <v>4</v>
      </c>
      <c r="E5" s="151"/>
      <c r="F5" s="151"/>
      <c r="G5" s="152" t="s">
        <v>5</v>
      </c>
      <c r="H5" s="152"/>
      <c r="I5" s="152"/>
      <c r="J5" s="153" t="s">
        <v>6</v>
      </c>
      <c r="K5" s="153"/>
      <c r="L5" s="153"/>
      <c r="M5" s="154" t="s">
        <v>12</v>
      </c>
      <c r="N5" s="154"/>
      <c r="O5" s="154"/>
      <c r="Q5" s="144" t="s">
        <v>13</v>
      </c>
      <c r="R5" s="144"/>
    </row>
    <row r="6" spans="1:18" x14ac:dyDescent="0.25">
      <c r="A6" s="8">
        <f>SUBTOTAL(3,A8:A121)</f>
        <v>0</v>
      </c>
      <c r="B6" s="8">
        <f>SUBTOTAL(9,B8:B121)</f>
        <v>0</v>
      </c>
      <c r="C6" s="35">
        <v>44682</v>
      </c>
      <c r="D6" s="8">
        <f>SUBTOTAL(3,D8:D119)</f>
        <v>0</v>
      </c>
      <c r="E6" s="1">
        <f>SUBTOTAL(9,E8:E119)</f>
        <v>0</v>
      </c>
      <c r="F6" s="38">
        <v>44689</v>
      </c>
      <c r="G6" s="8">
        <f>SUBTOTAL(3,G8:G120)</f>
        <v>0</v>
      </c>
      <c r="H6" s="1">
        <f>SUBTOTAL(9,H8:H120)</f>
        <v>0</v>
      </c>
      <c r="I6" s="39">
        <v>44696</v>
      </c>
      <c r="J6" s="8">
        <f>SUBTOTAL(3,J8:J110)</f>
        <v>0</v>
      </c>
      <c r="K6" s="1">
        <f>SUBTOTAL(9,K8:K110)</f>
        <v>0</v>
      </c>
      <c r="L6" s="63">
        <v>44703</v>
      </c>
      <c r="M6" s="8">
        <f>SUBTOTAL(3,M8:M110)</f>
        <v>0</v>
      </c>
      <c r="N6" s="1">
        <f>SUBTOTAL(9,N8:N110)</f>
        <v>0</v>
      </c>
      <c r="O6" s="81">
        <v>44710</v>
      </c>
      <c r="Q6" s="30">
        <f>+A6+D6+G6+J6+M6</f>
        <v>0</v>
      </c>
      <c r="R6" s="29">
        <f>+B6+E6+H6+K6+N6</f>
        <v>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2" t="s">
        <v>1</v>
      </c>
      <c r="N7" s="92" t="s">
        <v>3</v>
      </c>
      <c r="O7" s="92" t="s">
        <v>2</v>
      </c>
      <c r="Q7" s="28" t="s">
        <v>9</v>
      </c>
      <c r="R7" s="28" t="s">
        <v>3</v>
      </c>
    </row>
    <row r="8" spans="1:18" x14ac:dyDescent="0.25">
      <c r="A8" s="16"/>
      <c r="B8" s="49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  <c r="Q8" s="32"/>
      <c r="R8" s="32"/>
    </row>
    <row r="9" spans="1:18" x14ac:dyDescent="0.25">
      <c r="A9" s="16"/>
      <c r="B9" s="49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15"/>
    </row>
    <row r="12" spans="1:18" x14ac:dyDescent="0.25">
      <c r="A12" s="16"/>
      <c r="B12" s="49"/>
      <c r="C12" s="17"/>
      <c r="D12" s="13"/>
      <c r="E12" s="70"/>
      <c r="F12" s="14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5"/>
    </row>
    <row r="14" spans="1:18" x14ac:dyDescent="0.25">
      <c r="A14" s="16"/>
      <c r="B14" s="49"/>
      <c r="C14" s="17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15"/>
    </row>
    <row r="15" spans="1:18" x14ac:dyDescent="0.25">
      <c r="A15" s="16"/>
      <c r="B15" s="49"/>
      <c r="C15" s="17"/>
      <c r="D15" s="13"/>
      <c r="E15" s="70"/>
      <c r="F15" s="14"/>
      <c r="G15" s="11"/>
      <c r="H15" s="67"/>
      <c r="I15" s="12"/>
      <c r="J15" s="61"/>
      <c r="K15" s="71"/>
      <c r="L15" s="62"/>
      <c r="M15" s="75"/>
      <c r="N15" s="73"/>
      <c r="O15" s="93"/>
    </row>
    <row r="16" spans="1:18" x14ac:dyDescent="0.25">
      <c r="A16" s="16"/>
      <c r="B16" s="49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33"/>
      <c r="G17" s="11"/>
      <c r="H17" s="67"/>
      <c r="I17" s="12"/>
      <c r="J17" s="61"/>
      <c r="K17" s="71"/>
      <c r="L17" s="88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14"/>
      <c r="G18" s="11"/>
      <c r="H18" s="67"/>
      <c r="I18" s="94"/>
      <c r="J18" s="61"/>
      <c r="K18" s="71"/>
      <c r="L18" s="62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49"/>
      <c r="C21" s="17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27"/>
    </row>
    <row r="23" spans="1:15" x14ac:dyDescent="0.25">
      <c r="A23" s="16"/>
      <c r="B23" s="49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127"/>
    </row>
    <row r="25" spans="1:15" x14ac:dyDescent="0.25">
      <c r="A25" s="16"/>
      <c r="B25" s="49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15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15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15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49"/>
      <c r="C42" s="17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94"/>
      <c r="J46" s="61"/>
      <c r="K46" s="71"/>
      <c r="L46" s="62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14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07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75"/>
      <c r="N120" s="73"/>
      <c r="O120" s="1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34"/>
  <sheetViews>
    <sheetView zoomScaleNormal="100" workbookViewId="0">
      <pane ySplit="4" topLeftCell="A5" activePane="bottomLeft" state="frozen"/>
      <selection pane="bottomLeft" activeCell="L4" sqref="L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4.855468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2.25" customHeight="1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x14ac:dyDescent="0.25">
      <c r="A2" s="140" t="s">
        <v>0</v>
      </c>
      <c r="B2" s="140"/>
      <c r="C2" s="140"/>
      <c r="D2" s="141" t="s">
        <v>4</v>
      </c>
      <c r="E2" s="141"/>
      <c r="F2" s="141"/>
      <c r="G2" s="142" t="s">
        <v>5</v>
      </c>
      <c r="H2" s="142"/>
      <c r="I2" s="142"/>
      <c r="J2" s="147"/>
      <c r="K2" s="147"/>
      <c r="L2" s="147"/>
      <c r="M2" s="135" t="s">
        <v>12</v>
      </c>
      <c r="N2" s="135"/>
      <c r="O2" s="135"/>
      <c r="Q2" s="144" t="s">
        <v>13</v>
      </c>
      <c r="R2" s="144"/>
    </row>
    <row r="3" spans="1:18" x14ac:dyDescent="0.25">
      <c r="A3" s="8">
        <f>SUBTOTAL(3,A5:A118)</f>
        <v>0</v>
      </c>
      <c r="B3" s="8">
        <f>SUBTOTAL(9,B5:B118)</f>
        <v>0</v>
      </c>
      <c r="C3" s="35" t="s">
        <v>16</v>
      </c>
      <c r="D3" s="8">
        <f>SUBTOTAL(3,D5:D117)</f>
        <v>0</v>
      </c>
      <c r="E3" s="1">
        <f>SUBTOTAL(9,E5:E155)</f>
        <v>0</v>
      </c>
      <c r="F3" s="38">
        <v>44724</v>
      </c>
      <c r="G3" s="8">
        <f>SUBTOTAL(3,G5:G119)</f>
        <v>0</v>
      </c>
      <c r="H3" s="1">
        <f>SUBTOTAL(9,H5:H160)</f>
        <v>0</v>
      </c>
      <c r="I3" s="39">
        <v>44731</v>
      </c>
      <c r="J3" s="8">
        <f>SUBTOTAL(3,J5:J107)</f>
        <v>0</v>
      </c>
      <c r="K3" s="1">
        <f>SUBTOTAL(9,K5:K107)</f>
        <v>0</v>
      </c>
      <c r="L3" s="63">
        <v>44738</v>
      </c>
      <c r="M3" s="1">
        <f>SUBTOTAL(3,M5:M117)</f>
        <v>0</v>
      </c>
      <c r="N3" s="1">
        <f>SUBTOTAL(9,N5:N117)</f>
        <v>0</v>
      </c>
      <c r="O3" s="81"/>
      <c r="Q3" s="30">
        <f>+A3+D3+G3+J3+M3</f>
        <v>0</v>
      </c>
      <c r="R3" s="29">
        <f>+B3+E3+H3+K3+N3</f>
        <v>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/>
      <c r="B5" s="49"/>
      <c r="C5" s="17"/>
      <c r="D5" s="13"/>
      <c r="E5" s="70"/>
      <c r="F5" s="14"/>
      <c r="G5" s="11"/>
      <c r="H5" s="67"/>
      <c r="I5" s="12"/>
      <c r="J5" s="61"/>
      <c r="K5" s="71"/>
      <c r="L5" s="62"/>
      <c r="M5" s="75"/>
      <c r="N5" s="73"/>
      <c r="O5" s="15"/>
      <c r="Q5" s="32"/>
      <c r="R5" s="32"/>
    </row>
    <row r="6" spans="1:18" x14ac:dyDescent="0.25">
      <c r="A6" s="16"/>
      <c r="B6" s="49"/>
      <c r="C6" s="17"/>
      <c r="D6" s="13"/>
      <c r="E6" s="70"/>
      <c r="F6" s="14"/>
      <c r="G6" s="11"/>
      <c r="H6" s="67"/>
      <c r="I6" s="12"/>
      <c r="J6" s="61"/>
      <c r="K6" s="71"/>
      <c r="L6" s="62"/>
      <c r="M6" s="75"/>
      <c r="N6" s="73"/>
      <c r="O6" s="15"/>
    </row>
    <row r="7" spans="1:18" x14ac:dyDescent="0.25">
      <c r="A7" s="16"/>
      <c r="B7" s="49"/>
      <c r="C7" s="108"/>
      <c r="D7" s="13"/>
      <c r="E7" s="70"/>
      <c r="F7" s="14"/>
      <c r="G7" s="11"/>
      <c r="H7" s="67"/>
      <c r="I7" s="12"/>
      <c r="J7" s="61"/>
      <c r="K7" s="71"/>
      <c r="L7" s="62"/>
      <c r="M7" s="75"/>
      <c r="N7" s="73"/>
      <c r="O7" s="15"/>
    </row>
    <row r="8" spans="1:18" x14ac:dyDescent="0.25">
      <c r="A8" s="16"/>
      <c r="B8" s="49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</row>
    <row r="9" spans="1:18" x14ac:dyDescent="0.25">
      <c r="A9" s="16"/>
      <c r="B9" s="49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114"/>
      <c r="J11" s="61"/>
      <c r="K11" s="71"/>
      <c r="L11" s="62"/>
      <c r="M11" s="75"/>
      <c r="N11" s="73"/>
      <c r="O11" s="31"/>
    </row>
    <row r="12" spans="1:18" x14ac:dyDescent="0.25">
      <c r="A12" s="16"/>
      <c r="B12" s="49"/>
      <c r="C12" s="17"/>
      <c r="D12" s="13"/>
      <c r="E12" s="70"/>
      <c r="F12" s="14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5"/>
    </row>
    <row r="14" spans="1:18" x14ac:dyDescent="0.25">
      <c r="A14" s="16"/>
      <c r="B14" s="49"/>
      <c r="C14" s="17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15"/>
    </row>
    <row r="15" spans="1:18" x14ac:dyDescent="0.25">
      <c r="A15" s="16"/>
      <c r="B15" s="49"/>
      <c r="C15" s="17"/>
      <c r="D15" s="13"/>
      <c r="E15" s="70"/>
      <c r="F15" s="33"/>
      <c r="G15" s="11"/>
      <c r="H15" s="67"/>
      <c r="I15" s="12"/>
      <c r="J15" s="61"/>
      <c r="K15" s="71"/>
      <c r="L15" s="89"/>
      <c r="M15" s="75"/>
      <c r="N15" s="73"/>
      <c r="O15" s="15"/>
    </row>
    <row r="16" spans="1:18" x14ac:dyDescent="0.25">
      <c r="A16" s="16"/>
      <c r="B16" s="49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14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14"/>
      <c r="G18" s="11"/>
      <c r="H18" s="67"/>
      <c r="I18" s="12"/>
      <c r="J18" s="61"/>
      <c r="K18" s="71"/>
      <c r="L18" s="62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49"/>
      <c r="C21" s="17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5"/>
    </row>
    <row r="23" spans="1:15" x14ac:dyDescent="0.25">
      <c r="A23" s="16"/>
      <c r="B23" s="49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31"/>
    </row>
    <row r="25" spans="1:15" x14ac:dyDescent="0.25">
      <c r="A25" s="16"/>
      <c r="B25" s="49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15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95"/>
      <c r="J29" s="61"/>
      <c r="K29" s="71"/>
      <c r="L29" s="62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31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15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61"/>
      <c r="K40" s="71"/>
      <c r="L40" s="68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49"/>
      <c r="C42" s="85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2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2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2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2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2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2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2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2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2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2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2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2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2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  <c r="Q109" s="58"/>
      <c r="R109" s="58"/>
      <c r="S109" s="58"/>
      <c r="T109" s="58"/>
      <c r="U109" s="58"/>
      <c r="V109" s="58"/>
      <c r="W109" s="58"/>
      <c r="X109" s="58"/>
      <c r="Y109" s="58"/>
    </row>
    <row r="110" spans="1:25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58"/>
      <c r="N110" s="74"/>
      <c r="O110" s="58"/>
      <c r="P110" s="58"/>
    </row>
    <row r="111" spans="1:25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  <c r="P111" s="58"/>
    </row>
    <row r="112" spans="1:25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74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74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74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74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74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74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74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G533" s="26"/>
      <c r="H533" s="58"/>
      <c r="I533" s="58"/>
    </row>
    <row r="534" spans="1:15" x14ac:dyDescent="0.25">
      <c r="G534" s="26"/>
      <c r="H534" s="58"/>
      <c r="I534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36"/>
  <sheetViews>
    <sheetView topLeftCell="E5" zoomScale="110" zoomScaleNormal="110" workbookViewId="0">
      <pane ySplit="3" topLeftCell="A8" activePane="bottomLeft" state="frozen"/>
      <selection activeCell="A5" sqref="A5"/>
      <selection pane="bottomLeft" activeCell="O7" sqref="O7"/>
    </sheetView>
  </sheetViews>
  <sheetFormatPr baseColWidth="10" defaultRowHeight="15" x14ac:dyDescent="0.25"/>
  <cols>
    <col min="1" max="1" width="7.7109375" style="6" customWidth="1"/>
    <col min="2" max="2" width="9" style="6" customWidth="1"/>
    <col min="3" max="3" width="23.71093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7" t="s">
        <v>6</v>
      </c>
      <c r="K5" s="147"/>
      <c r="L5" s="147"/>
      <c r="M5" s="135" t="s">
        <v>12</v>
      </c>
      <c r="N5" s="135"/>
      <c r="O5" s="135"/>
      <c r="Q5" s="144" t="s">
        <v>13</v>
      </c>
      <c r="R5" s="144"/>
    </row>
    <row r="6" spans="1:18" x14ac:dyDescent="0.25">
      <c r="A6" s="8">
        <f>SUBTOTAL(3,A8:A121)</f>
        <v>0</v>
      </c>
      <c r="B6" s="123">
        <f>SUBTOTAL(9,B8:B180)</f>
        <v>0</v>
      </c>
      <c r="C6" s="35">
        <v>44745</v>
      </c>
      <c r="D6" s="8">
        <f>SUBTOTAL(3,D8:D120)</f>
        <v>0</v>
      </c>
      <c r="E6" s="122">
        <f>SUBTOTAL(9,E8:E205)</f>
        <v>0</v>
      </c>
      <c r="F6" s="38">
        <v>44752</v>
      </c>
      <c r="G6" s="8">
        <f>SUBTOTAL(3,G8:G121)</f>
        <v>0</v>
      </c>
      <c r="H6" s="1">
        <f>SUBTOTAL(9,H8:H148)</f>
        <v>0</v>
      </c>
      <c r="I6" s="39">
        <v>44759</v>
      </c>
      <c r="J6" s="8">
        <f>SUBTOTAL(3,J8:J110)</f>
        <v>0</v>
      </c>
      <c r="K6" s="1">
        <f>SUBTOTAL(9,K8:K110)</f>
        <v>0</v>
      </c>
      <c r="L6" s="63">
        <v>44766</v>
      </c>
      <c r="M6" s="1">
        <f>SUBTOTAL(3,M8:M120)</f>
        <v>0</v>
      </c>
      <c r="N6" s="1">
        <f>SUBTOTAL(9,N8:N120)</f>
        <v>0</v>
      </c>
      <c r="O6" s="81">
        <v>44773</v>
      </c>
      <c r="P6" s="15"/>
      <c r="Q6" s="30">
        <f>+A6+D6+G6+J6+M6</f>
        <v>0</v>
      </c>
      <c r="R6" s="29">
        <f>+B6+E6+H6+K6+N6</f>
        <v>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>
        <v>0</v>
      </c>
      <c r="P7" s="27"/>
      <c r="Q7" s="42" t="s">
        <v>9</v>
      </c>
      <c r="R7" s="42" t="s">
        <v>3</v>
      </c>
    </row>
    <row r="8" spans="1:18" x14ac:dyDescent="0.25">
      <c r="A8" s="16"/>
      <c r="B8" s="124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  <c r="Q8" s="32"/>
      <c r="R8" s="32"/>
    </row>
    <row r="9" spans="1:18" x14ac:dyDescent="0.25">
      <c r="A9" s="16"/>
      <c r="B9" s="124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124"/>
      <c r="C10" s="17"/>
      <c r="D10" s="13"/>
      <c r="E10" s="70"/>
      <c r="F10" s="109"/>
      <c r="G10" s="11"/>
      <c r="H10" s="67"/>
      <c r="I10" s="12"/>
      <c r="J10" s="61"/>
      <c r="K10" s="71"/>
      <c r="L10" s="129"/>
      <c r="M10" s="75"/>
      <c r="N10" s="73"/>
      <c r="O10" s="15"/>
    </row>
    <row r="11" spans="1:18" x14ac:dyDescent="0.25">
      <c r="A11" s="16"/>
      <c r="B11" s="124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15"/>
    </row>
    <row r="12" spans="1:18" x14ac:dyDescent="0.25">
      <c r="A12" s="16"/>
      <c r="B12" s="124"/>
      <c r="C12" s="17"/>
      <c r="D12" s="13"/>
      <c r="E12" s="70"/>
      <c r="F12" s="109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124"/>
      <c r="C13" s="17"/>
      <c r="D13" s="13"/>
      <c r="E13" s="70"/>
      <c r="F13" s="101"/>
      <c r="G13" s="11"/>
      <c r="H13" s="67"/>
      <c r="I13" s="12"/>
      <c r="J13" s="61"/>
      <c r="K13" s="71"/>
      <c r="L13" s="62"/>
      <c r="M13" s="75"/>
      <c r="N13" s="73"/>
      <c r="O13" s="15"/>
    </row>
    <row r="14" spans="1:18" x14ac:dyDescent="0.25">
      <c r="A14" s="16"/>
      <c r="B14" s="124"/>
      <c r="C14" s="115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31"/>
    </row>
    <row r="15" spans="1:18" x14ac:dyDescent="0.25">
      <c r="A15" s="16"/>
      <c r="B15" s="124"/>
      <c r="C15" s="17"/>
      <c r="D15" s="13"/>
      <c r="E15" s="70"/>
      <c r="F15" s="14"/>
      <c r="G15" s="11"/>
      <c r="H15" s="67"/>
      <c r="I15" s="12"/>
      <c r="J15" s="61"/>
      <c r="K15" s="71"/>
      <c r="L15" s="62"/>
      <c r="M15" s="75"/>
      <c r="N15" s="73"/>
      <c r="O15" s="15"/>
    </row>
    <row r="16" spans="1:18" x14ac:dyDescent="0.25">
      <c r="A16" s="16"/>
      <c r="B16" s="124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124"/>
      <c r="C17" s="17"/>
      <c r="D17" s="13"/>
      <c r="E17" s="70"/>
      <c r="F17" s="128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124"/>
      <c r="C18" s="17"/>
      <c r="D18" s="13"/>
      <c r="E18" s="70"/>
      <c r="F18" s="33"/>
      <c r="G18" s="11"/>
      <c r="H18" s="67"/>
      <c r="I18" s="12"/>
      <c r="J18" s="61"/>
      <c r="K18" s="71"/>
      <c r="L18" s="68"/>
      <c r="M18" s="75"/>
      <c r="N18" s="73"/>
      <c r="O18" s="15"/>
    </row>
    <row r="19" spans="1:15" x14ac:dyDescent="0.25">
      <c r="A19" s="16"/>
      <c r="B19" s="124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124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124"/>
      <c r="C21" s="17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31"/>
    </row>
    <row r="22" spans="1:15" x14ac:dyDescent="0.25">
      <c r="A22" s="16"/>
      <c r="B22" s="124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5"/>
    </row>
    <row r="23" spans="1:15" x14ac:dyDescent="0.25">
      <c r="A23" s="16"/>
      <c r="B23" s="124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124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15"/>
    </row>
    <row r="25" spans="1:15" x14ac:dyDescent="0.25">
      <c r="A25" s="16"/>
      <c r="B25" s="124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124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124"/>
      <c r="C27" s="115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31"/>
    </row>
    <row r="28" spans="1:15" x14ac:dyDescent="0.25">
      <c r="A28" s="16"/>
      <c r="B28" s="124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124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124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124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15"/>
    </row>
    <row r="32" spans="1:15" x14ac:dyDescent="0.25">
      <c r="A32" s="16"/>
      <c r="B32" s="124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124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124"/>
      <c r="C34" s="115"/>
      <c r="D34" s="97"/>
      <c r="E34" s="70"/>
      <c r="F34" s="14"/>
      <c r="G34" s="11"/>
      <c r="H34" s="67"/>
      <c r="I34" s="96"/>
      <c r="J34" s="61"/>
      <c r="K34" s="71"/>
      <c r="L34" s="62"/>
      <c r="M34" s="75"/>
      <c r="N34" s="73"/>
      <c r="O34" s="31"/>
    </row>
    <row r="35" spans="1:15" x14ac:dyDescent="0.25">
      <c r="A35" s="16"/>
      <c r="B35" s="124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124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124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124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124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124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124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124"/>
      <c r="C42" s="17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124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124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124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124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124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124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124"/>
      <c r="C49" s="17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124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124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124"/>
      <c r="C52" s="17"/>
      <c r="D52" s="13"/>
      <c r="E52" s="70"/>
      <c r="F52" s="14"/>
      <c r="G52" s="11"/>
      <c r="H52" s="67"/>
      <c r="I52" s="12"/>
      <c r="J52" s="61"/>
      <c r="K52" s="71"/>
      <c r="L52" s="68"/>
      <c r="M52" s="75"/>
      <c r="N52" s="73"/>
      <c r="O52" s="15"/>
    </row>
    <row r="53" spans="1:15" x14ac:dyDescent="0.25">
      <c r="A53" s="16"/>
      <c r="B53" s="124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124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124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124"/>
      <c r="C56" s="17"/>
      <c r="D56" s="13"/>
      <c r="E56" s="70"/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124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124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124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124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124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124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124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124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124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124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124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124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124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124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124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124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124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124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124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124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124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124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124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124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124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124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124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124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124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124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124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124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124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124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124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124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124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124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124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124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124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124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124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124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124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124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124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124"/>
      <c r="C104" s="17"/>
      <c r="D104" s="13"/>
      <c r="E104" s="70"/>
      <c r="F104" s="14"/>
      <c r="G104" s="11"/>
      <c r="H104" s="67"/>
      <c r="I104" s="12"/>
      <c r="J104" s="61"/>
      <c r="K104" s="71"/>
      <c r="L104" s="129"/>
      <c r="M104" s="75"/>
      <c r="N104" s="73"/>
      <c r="O104" s="15"/>
    </row>
    <row r="105" spans="1:15" x14ac:dyDescent="0.25">
      <c r="A105" s="16"/>
      <c r="B105" s="124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124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124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124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124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124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124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124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124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124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16"/>
      <c r="B115" s="124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</row>
    <row r="116" spans="1:15" x14ac:dyDescent="0.25">
      <c r="A116" s="16"/>
      <c r="B116" s="124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</row>
    <row r="117" spans="1:15" x14ac:dyDescent="0.25">
      <c r="A117" s="16"/>
      <c r="B117" s="124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75"/>
      <c r="N117" s="73"/>
      <c r="O117" s="15"/>
    </row>
    <row r="118" spans="1:15" x14ac:dyDescent="0.25">
      <c r="A118" s="16"/>
      <c r="B118" s="124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75"/>
      <c r="N118" s="73"/>
      <c r="O118" s="15"/>
    </row>
    <row r="119" spans="1:15" x14ac:dyDescent="0.25">
      <c r="A119" s="16"/>
      <c r="B119" s="124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75"/>
      <c r="N119" s="73"/>
      <c r="O119" s="15"/>
    </row>
    <row r="120" spans="1:15" x14ac:dyDescent="0.25">
      <c r="A120" s="16"/>
      <c r="B120" s="124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75"/>
      <c r="N120" s="73"/>
      <c r="O120" s="15"/>
    </row>
    <row r="121" spans="1:15" x14ac:dyDescent="0.25">
      <c r="A121" s="16"/>
      <c r="B121" s="124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75"/>
      <c r="N121" s="73"/>
      <c r="O121" s="15"/>
    </row>
    <row r="122" spans="1:15" x14ac:dyDescent="0.25">
      <c r="A122" s="16"/>
      <c r="B122" s="124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75"/>
      <c r="N122" s="73"/>
      <c r="O122" s="15"/>
    </row>
    <row r="123" spans="1:15" x14ac:dyDescent="0.25">
      <c r="A123" s="16"/>
      <c r="B123" s="124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75"/>
      <c r="N123" s="73"/>
      <c r="O123" s="15"/>
    </row>
    <row r="124" spans="1:15" x14ac:dyDescent="0.25">
      <c r="A124" s="16"/>
      <c r="B124" s="124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75"/>
      <c r="N124" s="73"/>
      <c r="O124" s="15"/>
    </row>
    <row r="125" spans="1:15" x14ac:dyDescent="0.25">
      <c r="A125" s="16"/>
      <c r="B125" s="124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75"/>
      <c r="N125" s="73"/>
      <c r="O125" s="15"/>
    </row>
    <row r="126" spans="1:15" x14ac:dyDescent="0.25">
      <c r="A126" s="16"/>
      <c r="B126" s="124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75"/>
      <c r="N126" s="73"/>
      <c r="O126" s="15"/>
    </row>
    <row r="127" spans="1:15" x14ac:dyDescent="0.25">
      <c r="A127" s="16"/>
      <c r="B127" s="124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75"/>
      <c r="N127" s="73"/>
      <c r="O127" s="15"/>
    </row>
    <row r="128" spans="1:15" x14ac:dyDescent="0.25">
      <c r="A128" s="16"/>
      <c r="B128" s="124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75"/>
      <c r="N128" s="73"/>
      <c r="O128" s="15"/>
    </row>
    <row r="129" spans="1:15" x14ac:dyDescent="0.25">
      <c r="A129" s="16"/>
      <c r="B129" s="124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75"/>
      <c r="N129" s="73"/>
      <c r="O129" s="15"/>
    </row>
    <row r="130" spans="1:15" x14ac:dyDescent="0.25">
      <c r="A130" s="16"/>
      <c r="B130" s="124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75"/>
      <c r="N130" s="73"/>
      <c r="O130" s="15"/>
    </row>
    <row r="131" spans="1:15" x14ac:dyDescent="0.25">
      <c r="A131" s="16"/>
      <c r="B131" s="124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75"/>
      <c r="N131" s="73"/>
      <c r="O131" s="15"/>
    </row>
    <row r="132" spans="1:15" x14ac:dyDescent="0.25">
      <c r="A132" s="16"/>
      <c r="B132" s="124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75"/>
      <c r="N132" s="73"/>
      <c r="O132" s="15"/>
    </row>
    <row r="133" spans="1:15" x14ac:dyDescent="0.25">
      <c r="A133" s="16"/>
      <c r="B133" s="124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75"/>
      <c r="N133" s="73"/>
      <c r="O133" s="15"/>
    </row>
    <row r="134" spans="1:15" x14ac:dyDescent="0.25">
      <c r="A134" s="16"/>
      <c r="B134" s="124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75"/>
      <c r="N134" s="73"/>
      <c r="O134" s="15"/>
    </row>
    <row r="135" spans="1:15" x14ac:dyDescent="0.25">
      <c r="A135" s="16"/>
      <c r="B135" s="124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75"/>
      <c r="N135" s="73"/>
      <c r="O135" s="15"/>
    </row>
    <row r="136" spans="1:15" x14ac:dyDescent="0.25">
      <c r="A136" s="16"/>
      <c r="B136" s="124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75"/>
      <c r="N136" s="73"/>
      <c r="O136" s="15"/>
    </row>
    <row r="137" spans="1:15" x14ac:dyDescent="0.25">
      <c r="A137" s="16"/>
      <c r="B137" s="124"/>
      <c r="C137" s="17"/>
      <c r="D137" s="13"/>
      <c r="E137" s="70"/>
      <c r="F137" s="14"/>
      <c r="G137" s="11"/>
      <c r="H137" s="67"/>
      <c r="I137" s="12"/>
      <c r="J137" s="61"/>
      <c r="K137" s="71"/>
      <c r="L137" s="62"/>
      <c r="M137" s="75"/>
      <c r="N137" s="73"/>
      <c r="O137" s="15"/>
    </row>
    <row r="138" spans="1:15" x14ac:dyDescent="0.25">
      <c r="A138" s="16"/>
      <c r="B138" s="124"/>
      <c r="C138" s="17"/>
      <c r="D138" s="13"/>
      <c r="E138" s="70"/>
      <c r="F138" s="14"/>
      <c r="G138" s="11"/>
      <c r="H138" s="67"/>
      <c r="I138" s="12"/>
      <c r="J138" s="61"/>
      <c r="K138" s="71"/>
      <c r="L138" s="62"/>
      <c r="M138" s="75"/>
      <c r="N138" s="73"/>
      <c r="O138" s="15"/>
    </row>
    <row r="139" spans="1:15" x14ac:dyDescent="0.25">
      <c r="A139" s="16"/>
      <c r="B139" s="124"/>
      <c r="C139" s="17"/>
      <c r="D139" s="13"/>
      <c r="E139" s="70"/>
      <c r="F139" s="14"/>
      <c r="G139" s="11"/>
      <c r="H139" s="67"/>
      <c r="I139" s="12"/>
      <c r="J139" s="61"/>
      <c r="K139" s="71"/>
      <c r="L139" s="62"/>
      <c r="M139" s="75"/>
      <c r="N139" s="73"/>
      <c r="O139" s="15"/>
    </row>
    <row r="140" spans="1:15" x14ac:dyDescent="0.25">
      <c r="A140" s="16"/>
      <c r="B140" s="124"/>
      <c r="C140" s="17"/>
      <c r="D140" s="13"/>
      <c r="E140" s="70"/>
      <c r="F140" s="14"/>
      <c r="G140" s="11"/>
      <c r="H140" s="67"/>
      <c r="I140" s="12"/>
      <c r="J140" s="61"/>
      <c r="K140" s="71"/>
      <c r="L140" s="62"/>
      <c r="M140" s="75"/>
      <c r="N140" s="73"/>
      <c r="O140" s="15"/>
    </row>
    <row r="141" spans="1:15" x14ac:dyDescent="0.25">
      <c r="A141" s="16"/>
      <c r="B141" s="124"/>
      <c r="C141" s="17"/>
      <c r="D141" s="13"/>
      <c r="E141" s="70"/>
      <c r="F141" s="14"/>
      <c r="G141" s="11"/>
      <c r="H141" s="67"/>
      <c r="I141" s="12"/>
      <c r="J141" s="61"/>
      <c r="K141" s="71"/>
      <c r="L141" s="62"/>
      <c r="M141" s="75"/>
      <c r="N141" s="73"/>
      <c r="O141" s="15"/>
    </row>
    <row r="142" spans="1:15" x14ac:dyDescent="0.25">
      <c r="A142" s="16"/>
      <c r="B142" s="124"/>
      <c r="C142" s="17"/>
      <c r="D142" s="13"/>
      <c r="E142" s="70"/>
      <c r="F142" s="14"/>
      <c r="G142" s="11"/>
      <c r="H142" s="67"/>
      <c r="I142" s="12"/>
      <c r="J142" s="61"/>
      <c r="K142" s="71"/>
      <c r="L142" s="62"/>
      <c r="M142" s="75"/>
      <c r="N142" s="73"/>
      <c r="O142" s="15"/>
    </row>
    <row r="143" spans="1:15" x14ac:dyDescent="0.25">
      <c r="A143" s="16"/>
      <c r="B143" s="124"/>
      <c r="C143" s="17"/>
      <c r="D143" s="13"/>
      <c r="E143" s="70"/>
      <c r="F143" s="14"/>
      <c r="G143" s="11"/>
      <c r="H143" s="67"/>
      <c r="I143" s="12"/>
      <c r="J143" s="61"/>
      <c r="K143" s="71"/>
      <c r="L143" s="62"/>
      <c r="M143" s="75"/>
      <c r="N143" s="73"/>
      <c r="O143" s="15"/>
    </row>
    <row r="144" spans="1:15" x14ac:dyDescent="0.25">
      <c r="A144" s="16"/>
      <c r="B144" s="124"/>
      <c r="C144" s="17"/>
      <c r="D144" s="13"/>
      <c r="E144" s="70"/>
      <c r="F144" s="14"/>
      <c r="G144" s="11"/>
      <c r="H144" s="67"/>
      <c r="I144" s="12"/>
      <c r="J144" s="61"/>
      <c r="K144" s="71"/>
      <c r="L144" s="62"/>
      <c r="M144" s="75"/>
      <c r="N144" s="73"/>
      <c r="O144" s="15"/>
    </row>
    <row r="145" spans="1:15" x14ac:dyDescent="0.25">
      <c r="A145" s="16"/>
      <c r="B145" s="124"/>
      <c r="C145" s="17"/>
      <c r="D145" s="13"/>
      <c r="E145" s="70"/>
      <c r="F145" s="14"/>
      <c r="G145" s="11"/>
      <c r="H145" s="67"/>
      <c r="I145" s="12"/>
      <c r="J145" s="61"/>
      <c r="K145" s="71"/>
      <c r="L145" s="62"/>
      <c r="M145" s="75"/>
      <c r="N145" s="73"/>
      <c r="O145" s="15"/>
    </row>
    <row r="146" spans="1:15" x14ac:dyDescent="0.25">
      <c r="A146" s="16"/>
      <c r="B146" s="124"/>
      <c r="C146" s="17"/>
      <c r="D146" s="13"/>
      <c r="E146" s="70"/>
      <c r="F146" s="14"/>
      <c r="G146" s="11"/>
      <c r="H146" s="67"/>
      <c r="I146" s="12"/>
      <c r="J146" s="61"/>
      <c r="K146" s="71"/>
      <c r="L146" s="62"/>
      <c r="M146" s="75"/>
      <c r="N146" s="73"/>
      <c r="O146" s="15"/>
    </row>
    <row r="147" spans="1:15" x14ac:dyDescent="0.25">
      <c r="A147" s="16"/>
      <c r="B147" s="124"/>
      <c r="C147" s="17"/>
      <c r="D147" s="13"/>
      <c r="E147" s="70"/>
      <c r="F147" s="14"/>
      <c r="G147" s="11"/>
      <c r="H147" s="67"/>
      <c r="I147" s="12"/>
      <c r="J147" s="61"/>
      <c r="K147" s="71"/>
      <c r="L147" s="62"/>
      <c r="M147" s="75"/>
      <c r="N147" s="73"/>
      <c r="O147" s="15"/>
    </row>
    <row r="148" spans="1:15" x14ac:dyDescent="0.25">
      <c r="A148" s="16"/>
      <c r="B148" s="124"/>
      <c r="C148" s="17"/>
      <c r="D148" s="13"/>
      <c r="E148" s="70"/>
      <c r="F148" s="14"/>
      <c r="G148" s="11"/>
      <c r="H148" s="67"/>
      <c r="I148" s="12"/>
      <c r="J148" s="61"/>
      <c r="K148" s="71"/>
      <c r="L148" s="62"/>
      <c r="M148" s="75"/>
      <c r="N148" s="73"/>
      <c r="O148" s="15"/>
    </row>
    <row r="149" spans="1:15" x14ac:dyDescent="0.25">
      <c r="A149" s="16"/>
      <c r="B149" s="124"/>
      <c r="C149" s="17"/>
      <c r="D149" s="13"/>
      <c r="E149" s="70"/>
      <c r="F149" s="14"/>
      <c r="G149" s="11"/>
      <c r="H149" s="67"/>
      <c r="I149" s="12"/>
      <c r="J149" s="61"/>
      <c r="K149" s="71"/>
      <c r="L149" s="62"/>
      <c r="M149" s="75"/>
      <c r="N149" s="73"/>
      <c r="O149" s="15"/>
    </row>
    <row r="150" spans="1:15" x14ac:dyDescent="0.25">
      <c r="A150" s="16"/>
      <c r="B150" s="124"/>
      <c r="C150" s="17"/>
      <c r="D150" s="13"/>
      <c r="E150" s="70"/>
      <c r="F150" s="14"/>
      <c r="G150" s="11"/>
      <c r="H150" s="67"/>
      <c r="I150" s="12"/>
      <c r="J150" s="61"/>
      <c r="K150" s="71"/>
      <c r="L150" s="62"/>
      <c r="M150" s="75"/>
      <c r="N150" s="73"/>
      <c r="O150" s="15"/>
    </row>
    <row r="151" spans="1:15" x14ac:dyDescent="0.25">
      <c r="A151" s="16"/>
      <c r="B151" s="124"/>
      <c r="C151" s="17"/>
      <c r="D151" s="13"/>
      <c r="E151" s="70"/>
      <c r="F151" s="14"/>
      <c r="G151" s="11"/>
      <c r="H151" s="67"/>
      <c r="I151" s="12"/>
      <c r="J151" s="61"/>
      <c r="K151" s="71"/>
      <c r="L151" s="62"/>
      <c r="M151" s="75"/>
      <c r="N151" s="73"/>
      <c r="O151" s="15"/>
    </row>
    <row r="152" spans="1:15" x14ac:dyDescent="0.25">
      <c r="A152" s="16"/>
      <c r="B152" s="124"/>
      <c r="C152" s="17"/>
      <c r="D152" s="13"/>
      <c r="E152" s="70"/>
      <c r="F152" s="14"/>
      <c r="G152" s="11"/>
      <c r="H152" s="67"/>
      <c r="I152" s="12"/>
      <c r="J152" s="61"/>
      <c r="K152" s="71"/>
      <c r="L152" s="62"/>
      <c r="M152" s="75"/>
      <c r="N152" s="73"/>
      <c r="O152" s="15"/>
    </row>
    <row r="153" spans="1:15" x14ac:dyDescent="0.25">
      <c r="A153" s="16"/>
      <c r="B153" s="124"/>
      <c r="C153" s="17"/>
      <c r="D153" s="13"/>
      <c r="E153" s="70"/>
      <c r="F153" s="14"/>
      <c r="G153" s="11"/>
      <c r="H153" s="67"/>
      <c r="I153" s="12"/>
      <c r="J153" s="61"/>
      <c r="K153" s="71"/>
      <c r="L153" s="62"/>
      <c r="M153" s="75"/>
      <c r="N153" s="73"/>
      <c r="O153" s="15"/>
    </row>
    <row r="154" spans="1:15" x14ac:dyDescent="0.25">
      <c r="A154" s="16"/>
      <c r="B154" s="124"/>
      <c r="C154" s="17"/>
      <c r="D154" s="13"/>
      <c r="E154" s="70"/>
      <c r="F154" s="14"/>
      <c r="G154" s="11"/>
      <c r="H154" s="67"/>
      <c r="I154" s="12"/>
      <c r="J154" s="61"/>
      <c r="K154" s="71"/>
      <c r="L154" s="62"/>
      <c r="M154" s="75"/>
      <c r="N154" s="73"/>
      <c r="O154" s="15"/>
    </row>
    <row r="155" spans="1:15" x14ac:dyDescent="0.25">
      <c r="A155" s="16"/>
      <c r="B155" s="124"/>
      <c r="C155" s="17"/>
      <c r="D155" s="13"/>
      <c r="E155" s="70"/>
      <c r="F155" s="14"/>
      <c r="G155" s="11"/>
      <c r="H155" s="67"/>
      <c r="I155" s="12"/>
      <c r="J155" s="61"/>
      <c r="K155" s="71"/>
      <c r="L155" s="62"/>
      <c r="M155" s="75"/>
      <c r="N155" s="73"/>
      <c r="O155" s="15"/>
    </row>
    <row r="156" spans="1:15" x14ac:dyDescent="0.25">
      <c r="A156" s="16"/>
      <c r="B156" s="124"/>
      <c r="C156" s="17"/>
      <c r="D156" s="13"/>
      <c r="E156" s="70"/>
      <c r="F156" s="14"/>
      <c r="G156" s="11"/>
      <c r="H156" s="67"/>
      <c r="I156" s="12"/>
      <c r="J156" s="61"/>
      <c r="K156" s="71"/>
      <c r="L156" s="62"/>
      <c r="M156" s="75"/>
      <c r="N156" s="73"/>
      <c r="O156" s="15"/>
    </row>
    <row r="157" spans="1:15" x14ac:dyDescent="0.25">
      <c r="A157" s="16"/>
      <c r="B157" s="124"/>
      <c r="C157" s="17"/>
      <c r="D157" s="13"/>
      <c r="E157" s="70"/>
      <c r="F157" s="14"/>
      <c r="G157" s="11"/>
      <c r="H157" s="67"/>
      <c r="I157" s="12"/>
      <c r="J157" s="61"/>
      <c r="K157" s="71"/>
      <c r="L157" s="62"/>
      <c r="M157" s="75"/>
      <c r="N157" s="73"/>
      <c r="O157" s="15"/>
    </row>
    <row r="158" spans="1:15" x14ac:dyDescent="0.25">
      <c r="A158" s="16"/>
      <c r="B158" s="124"/>
      <c r="C158" s="17"/>
      <c r="D158" s="13"/>
      <c r="E158" s="70"/>
      <c r="F158" s="14"/>
      <c r="G158" s="11"/>
      <c r="H158" s="67"/>
      <c r="I158" s="12"/>
      <c r="J158" s="61"/>
      <c r="K158" s="71"/>
      <c r="L158" s="62"/>
      <c r="M158" s="75"/>
      <c r="N158" s="73"/>
      <c r="O158" s="15"/>
    </row>
    <row r="159" spans="1:15" x14ac:dyDescent="0.25">
      <c r="A159" s="16"/>
      <c r="B159" s="124"/>
      <c r="C159" s="17"/>
      <c r="D159" s="13"/>
      <c r="E159" s="70"/>
      <c r="F159" s="14"/>
      <c r="G159" s="11"/>
      <c r="H159" s="67"/>
      <c r="I159" s="12"/>
      <c r="J159" s="61"/>
      <c r="K159" s="71"/>
      <c r="L159" s="62"/>
      <c r="M159" s="75"/>
      <c r="N159" s="73"/>
      <c r="O159" s="15"/>
    </row>
    <row r="160" spans="1:15" x14ac:dyDescent="0.25">
      <c r="A160" s="16"/>
      <c r="B160" s="124"/>
      <c r="C160" s="17"/>
      <c r="D160" s="13"/>
      <c r="E160" s="70"/>
      <c r="F160" s="14"/>
      <c r="G160" s="11"/>
      <c r="H160" s="67"/>
      <c r="I160" s="12"/>
      <c r="J160" s="61"/>
      <c r="K160" s="71"/>
      <c r="L160" s="62"/>
      <c r="M160" s="75"/>
      <c r="N160" s="73"/>
      <c r="O160" s="15"/>
    </row>
    <row r="161" spans="1:15" x14ac:dyDescent="0.25">
      <c r="A161" s="16"/>
      <c r="B161" s="124"/>
      <c r="C161" s="17"/>
      <c r="D161" s="13"/>
      <c r="E161" s="70"/>
      <c r="F161" s="14"/>
      <c r="G161" s="11"/>
      <c r="H161" s="67"/>
      <c r="I161" s="12"/>
      <c r="J161" s="61"/>
      <c r="K161" s="71"/>
      <c r="L161" s="62"/>
      <c r="M161" s="75"/>
      <c r="N161" s="73"/>
      <c r="O161" s="15"/>
    </row>
    <row r="162" spans="1:15" x14ac:dyDescent="0.25">
      <c r="A162" s="16"/>
      <c r="B162" s="124"/>
      <c r="C162" s="17"/>
      <c r="D162" s="13"/>
      <c r="E162" s="70"/>
      <c r="F162" s="14"/>
      <c r="G162" s="11"/>
      <c r="H162" s="67"/>
      <c r="I162" s="12"/>
      <c r="J162" s="61"/>
      <c r="K162" s="71"/>
      <c r="L162" s="62"/>
      <c r="M162" s="75"/>
      <c r="N162" s="73"/>
      <c r="O162" s="15"/>
    </row>
    <row r="163" spans="1:15" x14ac:dyDescent="0.25">
      <c r="A163" s="16"/>
      <c r="B163" s="124"/>
      <c r="C163" s="17"/>
      <c r="D163" s="13"/>
      <c r="E163" s="70"/>
      <c r="F163" s="14"/>
      <c r="G163" s="11"/>
      <c r="H163" s="67"/>
      <c r="I163" s="12"/>
      <c r="J163" s="61"/>
      <c r="K163" s="71"/>
      <c r="L163" s="62"/>
      <c r="M163" s="75"/>
      <c r="N163" s="73"/>
      <c r="O163" s="15"/>
    </row>
    <row r="164" spans="1:15" x14ac:dyDescent="0.25">
      <c r="A164" s="16"/>
      <c r="B164" s="124"/>
      <c r="C164" s="17"/>
      <c r="D164" s="13"/>
      <c r="E164" s="70"/>
      <c r="F164" s="14"/>
      <c r="G164" s="11"/>
      <c r="H164" s="67"/>
      <c r="I164" s="12"/>
      <c r="J164" s="61"/>
      <c r="K164" s="71"/>
      <c r="L164" s="62"/>
      <c r="M164" s="75"/>
      <c r="N164" s="73"/>
      <c r="O164" s="15"/>
    </row>
    <row r="165" spans="1:15" x14ac:dyDescent="0.25">
      <c r="A165" s="16"/>
      <c r="B165" s="124"/>
      <c r="C165" s="17"/>
      <c r="D165" s="13"/>
      <c r="E165" s="70"/>
      <c r="F165" s="14"/>
      <c r="G165" s="11"/>
      <c r="H165" s="67"/>
      <c r="I165" s="12"/>
      <c r="J165" s="61"/>
      <c r="K165" s="71"/>
      <c r="L165" s="62"/>
      <c r="M165" s="75"/>
      <c r="N165" s="73"/>
      <c r="O165" s="15"/>
    </row>
    <row r="166" spans="1:15" x14ac:dyDescent="0.25">
      <c r="A166" s="16"/>
      <c r="B166" s="124"/>
      <c r="C166" s="17"/>
      <c r="D166" s="13"/>
      <c r="E166" s="70"/>
      <c r="F166" s="14"/>
      <c r="G166" s="11"/>
      <c r="H166" s="67"/>
      <c r="I166" s="12"/>
      <c r="J166" s="61"/>
      <c r="K166" s="71"/>
      <c r="L166" s="62"/>
      <c r="M166" s="75"/>
      <c r="N166" s="73"/>
      <c r="O166" s="15"/>
    </row>
    <row r="167" spans="1:15" x14ac:dyDescent="0.25">
      <c r="A167" s="16"/>
      <c r="B167" s="124"/>
      <c r="C167" s="17"/>
      <c r="D167" s="13"/>
      <c r="E167" s="70"/>
      <c r="F167" s="14"/>
      <c r="G167" s="11"/>
      <c r="H167" s="67"/>
      <c r="I167" s="12"/>
      <c r="J167" s="61"/>
      <c r="K167" s="71"/>
      <c r="L167" s="62"/>
      <c r="M167" s="75"/>
      <c r="N167" s="73"/>
      <c r="O167" s="15"/>
    </row>
    <row r="168" spans="1:15" x14ac:dyDescent="0.25">
      <c r="A168" s="16"/>
      <c r="B168" s="124"/>
      <c r="C168" s="17"/>
      <c r="D168" s="13"/>
      <c r="E168" s="70"/>
      <c r="F168" s="14"/>
      <c r="G168" s="11"/>
      <c r="H168" s="67"/>
      <c r="I168" s="12"/>
      <c r="J168" s="61"/>
      <c r="K168" s="71"/>
      <c r="L168" s="62"/>
      <c r="M168" s="75"/>
      <c r="N168" s="73"/>
      <c r="O168" s="15"/>
    </row>
    <row r="169" spans="1:15" x14ac:dyDescent="0.25">
      <c r="A169" s="16"/>
      <c r="B169" s="124"/>
      <c r="C169" s="17"/>
      <c r="D169" s="13"/>
      <c r="E169" s="70"/>
      <c r="F169" s="14"/>
      <c r="G169" s="11"/>
      <c r="H169" s="67"/>
      <c r="I169" s="12"/>
      <c r="J169" s="61"/>
      <c r="K169" s="71"/>
      <c r="L169" s="62"/>
      <c r="M169" s="75"/>
      <c r="N169" s="73"/>
      <c r="O169" s="15"/>
    </row>
    <row r="170" spans="1:15" x14ac:dyDescent="0.25">
      <c r="A170" s="16"/>
      <c r="B170" s="124"/>
      <c r="C170" s="17"/>
      <c r="D170" s="13"/>
      <c r="E170" s="70"/>
      <c r="F170" s="14"/>
      <c r="G170" s="11"/>
      <c r="H170" s="67"/>
      <c r="I170" s="12"/>
      <c r="J170" s="61"/>
      <c r="K170" s="71"/>
      <c r="L170" s="62"/>
      <c r="M170" s="75"/>
      <c r="N170" s="73"/>
      <c r="O170" s="15"/>
    </row>
    <row r="171" spans="1:15" x14ac:dyDescent="0.25">
      <c r="A171" s="16"/>
      <c r="B171" s="124"/>
      <c r="C171" s="17"/>
      <c r="D171" s="13"/>
      <c r="E171" s="70"/>
      <c r="F171" s="14"/>
      <c r="G171" s="11"/>
      <c r="H171" s="67"/>
      <c r="I171" s="12"/>
      <c r="J171" s="61"/>
      <c r="K171" s="71"/>
      <c r="L171" s="62"/>
      <c r="M171" s="75"/>
      <c r="N171" s="73"/>
      <c r="O171" s="15"/>
    </row>
    <row r="172" spans="1:15" x14ac:dyDescent="0.25">
      <c r="A172" s="16"/>
      <c r="B172" s="124"/>
      <c r="C172" s="17"/>
      <c r="D172" s="13"/>
      <c r="E172" s="70"/>
      <c r="F172" s="14"/>
      <c r="G172" s="11"/>
      <c r="H172" s="67"/>
      <c r="I172" s="12"/>
      <c r="J172" s="61"/>
      <c r="K172" s="71"/>
      <c r="L172" s="62"/>
      <c r="M172" s="75"/>
      <c r="N172" s="73"/>
      <c r="O172" s="15"/>
    </row>
    <row r="173" spans="1:15" x14ac:dyDescent="0.25">
      <c r="A173" s="16"/>
      <c r="B173" s="124"/>
      <c r="C173" s="17"/>
      <c r="D173" s="13"/>
      <c r="E173" s="70"/>
      <c r="F173" s="14"/>
      <c r="G173" s="11"/>
      <c r="H173" s="67"/>
      <c r="I173" s="12"/>
      <c r="J173" s="61"/>
      <c r="K173" s="71"/>
      <c r="L173" s="62"/>
      <c r="M173" s="75"/>
      <c r="N173" s="73"/>
      <c r="O173" s="15"/>
    </row>
    <row r="174" spans="1:15" x14ac:dyDescent="0.25">
      <c r="A174" s="16"/>
      <c r="B174" s="124"/>
      <c r="C174" s="17"/>
      <c r="D174" s="13"/>
      <c r="E174" s="70"/>
      <c r="F174" s="14"/>
      <c r="G174" s="11"/>
      <c r="H174" s="67"/>
      <c r="I174" s="12"/>
      <c r="J174" s="61"/>
      <c r="K174" s="71"/>
      <c r="L174" s="62"/>
      <c r="M174" s="75"/>
      <c r="N174" s="73"/>
      <c r="O174" s="15"/>
    </row>
    <row r="175" spans="1:15" x14ac:dyDescent="0.25">
      <c r="A175" s="16"/>
      <c r="B175" s="124"/>
      <c r="C175" s="17"/>
      <c r="D175" s="13"/>
      <c r="E175" s="70"/>
      <c r="F175" s="14"/>
      <c r="G175" s="11"/>
      <c r="H175" s="67"/>
      <c r="I175" s="12"/>
      <c r="J175" s="61"/>
      <c r="K175" s="71"/>
      <c r="L175" s="62"/>
      <c r="M175" s="75"/>
      <c r="N175" s="73"/>
      <c r="O175" s="15"/>
    </row>
    <row r="176" spans="1:15" x14ac:dyDescent="0.25">
      <c r="A176" s="16"/>
      <c r="B176" s="124"/>
      <c r="C176" s="17"/>
      <c r="D176" s="13"/>
      <c r="E176" s="70"/>
      <c r="F176" s="14"/>
      <c r="G176" s="11"/>
      <c r="H176" s="67"/>
      <c r="I176" s="12"/>
      <c r="J176" s="61"/>
      <c r="K176" s="71"/>
      <c r="L176" s="62"/>
      <c r="M176" s="75"/>
      <c r="N176" s="73"/>
      <c r="O176" s="15"/>
    </row>
    <row r="177" spans="1:15" x14ac:dyDescent="0.25">
      <c r="A177" s="16"/>
      <c r="B177" s="124"/>
      <c r="C177" s="17"/>
      <c r="D177" s="13"/>
      <c r="E177" s="70"/>
      <c r="F177" s="14"/>
      <c r="G177" s="11"/>
      <c r="H177" s="67"/>
      <c r="I177" s="12"/>
      <c r="J177" s="61"/>
      <c r="K177" s="71"/>
      <c r="L177" s="62"/>
      <c r="M177" s="75"/>
      <c r="N177" s="73"/>
      <c r="O177" s="15"/>
    </row>
    <row r="178" spans="1:15" x14ac:dyDescent="0.25">
      <c r="A178" s="16"/>
      <c r="B178" s="124"/>
      <c r="C178" s="17"/>
      <c r="D178" s="13"/>
      <c r="E178" s="70"/>
      <c r="F178" s="14"/>
      <c r="G178" s="11"/>
      <c r="H178" s="67"/>
      <c r="I178" s="12"/>
      <c r="J178" s="61"/>
      <c r="K178" s="71"/>
      <c r="L178" s="62"/>
      <c r="M178" s="75"/>
      <c r="N178" s="73"/>
      <c r="O178" s="15"/>
    </row>
    <row r="179" spans="1:15" x14ac:dyDescent="0.25">
      <c r="A179" s="16"/>
      <c r="B179" s="124"/>
      <c r="C179" s="17"/>
      <c r="D179" s="13"/>
      <c r="E179" s="70"/>
      <c r="F179" s="14"/>
      <c r="G179" s="11"/>
      <c r="H179" s="67"/>
      <c r="I179" s="12"/>
      <c r="J179" s="61"/>
      <c r="K179" s="71"/>
      <c r="L179" s="62"/>
      <c r="M179" s="75"/>
      <c r="N179" s="73"/>
      <c r="O179" s="15"/>
    </row>
    <row r="180" spans="1:15" x14ac:dyDescent="0.25">
      <c r="A180" s="16"/>
      <c r="B180" s="124"/>
      <c r="C180" s="17"/>
      <c r="D180" s="13"/>
      <c r="E180" s="70"/>
      <c r="F180" s="14"/>
      <c r="G180" s="11"/>
      <c r="H180" s="67"/>
      <c r="I180" s="12"/>
      <c r="J180" s="61"/>
      <c r="K180" s="71"/>
      <c r="L180" s="62"/>
      <c r="M180" s="75"/>
      <c r="N180" s="73"/>
      <c r="O180" s="15"/>
    </row>
    <row r="181" spans="1:15" x14ac:dyDescent="0.25">
      <c r="A181" s="16"/>
      <c r="B181" s="124"/>
      <c r="C181" s="17"/>
      <c r="D181" s="13"/>
      <c r="E181" s="70"/>
      <c r="F181" s="14"/>
      <c r="G181" s="11"/>
      <c r="H181" s="67"/>
      <c r="I181" s="12"/>
      <c r="J181" s="61"/>
      <c r="K181" s="71"/>
      <c r="L181" s="62"/>
      <c r="M181" s="75"/>
      <c r="N181" s="73"/>
      <c r="O181" s="15"/>
    </row>
    <row r="182" spans="1:15" x14ac:dyDescent="0.25">
      <c r="A182" s="16"/>
      <c r="B182" s="124"/>
      <c r="C182" s="17"/>
      <c r="D182" s="13"/>
      <c r="E182" s="70"/>
      <c r="F182" s="14"/>
      <c r="G182" s="11"/>
      <c r="H182" s="67"/>
      <c r="I182" s="12"/>
      <c r="J182" s="61"/>
      <c r="K182" s="71"/>
      <c r="L182" s="62"/>
      <c r="M182" s="75"/>
      <c r="N182" s="73"/>
      <c r="O182" s="15"/>
    </row>
    <row r="183" spans="1:15" x14ac:dyDescent="0.25">
      <c r="A183" s="16"/>
      <c r="B183" s="124"/>
      <c r="C183" s="17"/>
      <c r="D183" s="13"/>
      <c r="E183" s="70"/>
      <c r="F183" s="14"/>
      <c r="G183" s="11"/>
      <c r="H183" s="67"/>
      <c r="I183" s="12"/>
      <c r="J183" s="61"/>
      <c r="K183" s="71"/>
      <c r="L183" s="62"/>
      <c r="M183" s="75"/>
      <c r="N183" s="73"/>
      <c r="O183" s="15"/>
    </row>
    <row r="184" spans="1:15" x14ac:dyDescent="0.25">
      <c r="A184" s="16"/>
      <c r="B184" s="124"/>
      <c r="C184" s="17"/>
      <c r="D184" s="13"/>
      <c r="E184" s="70"/>
      <c r="F184" s="14"/>
      <c r="G184" s="11"/>
      <c r="H184" s="67"/>
      <c r="I184" s="12"/>
      <c r="J184" s="61"/>
      <c r="K184" s="71"/>
      <c r="L184" s="62"/>
      <c r="M184" s="75"/>
      <c r="N184" s="73"/>
      <c r="O184" s="15"/>
    </row>
    <row r="185" spans="1:15" x14ac:dyDescent="0.25">
      <c r="A185" s="16"/>
      <c r="B185" s="124"/>
      <c r="C185" s="17"/>
      <c r="D185" s="13"/>
      <c r="E185" s="70"/>
      <c r="F185" s="14"/>
      <c r="G185" s="11"/>
      <c r="H185" s="67"/>
      <c r="I185" s="12"/>
      <c r="J185" s="61"/>
      <c r="K185" s="71"/>
      <c r="L185" s="62"/>
      <c r="M185" s="75"/>
      <c r="N185" s="73"/>
      <c r="O185" s="15"/>
    </row>
    <row r="186" spans="1:15" x14ac:dyDescent="0.25">
      <c r="A186" s="16"/>
      <c r="B186" s="124"/>
      <c r="C186" s="17"/>
      <c r="D186" s="13"/>
      <c r="E186" s="70"/>
      <c r="F186" s="14"/>
      <c r="G186" s="11"/>
      <c r="H186" s="67"/>
      <c r="I186" s="12"/>
      <c r="J186" s="61"/>
      <c r="K186" s="71"/>
      <c r="L186" s="62"/>
      <c r="M186" s="75"/>
      <c r="N186" s="73"/>
      <c r="O186" s="15"/>
    </row>
    <row r="187" spans="1:15" x14ac:dyDescent="0.25">
      <c r="A187" s="16"/>
      <c r="B187" s="124"/>
      <c r="C187" s="17"/>
      <c r="D187" s="13"/>
      <c r="E187" s="70"/>
      <c r="F187" s="14"/>
      <c r="G187" s="11"/>
      <c r="H187" s="67"/>
      <c r="I187" s="12"/>
      <c r="J187" s="61"/>
      <c r="K187" s="71"/>
      <c r="L187" s="62"/>
      <c r="M187" s="75"/>
      <c r="N187" s="73"/>
      <c r="O187" s="15"/>
    </row>
    <row r="188" spans="1:15" x14ac:dyDescent="0.25">
      <c r="A188" s="16"/>
      <c r="B188" s="124"/>
      <c r="C188" s="17"/>
      <c r="D188" s="13"/>
      <c r="E188" s="70"/>
      <c r="F188" s="14"/>
      <c r="G188" s="11"/>
      <c r="H188" s="67"/>
      <c r="I188" s="12"/>
      <c r="J188" s="61"/>
      <c r="K188" s="71"/>
      <c r="L188" s="62"/>
      <c r="M188" s="75"/>
      <c r="N188" s="73"/>
      <c r="O188" s="15"/>
    </row>
    <row r="189" spans="1:15" x14ac:dyDescent="0.25">
      <c r="A189" s="16"/>
      <c r="B189" s="124"/>
      <c r="C189" s="17"/>
      <c r="D189" s="13"/>
      <c r="E189" s="70"/>
      <c r="F189" s="14"/>
      <c r="G189" s="11"/>
      <c r="H189" s="67"/>
      <c r="I189" s="12"/>
      <c r="J189" s="61"/>
      <c r="K189" s="71"/>
      <c r="L189" s="62"/>
      <c r="M189" s="75"/>
      <c r="N189" s="73"/>
      <c r="O189" s="15"/>
    </row>
    <row r="190" spans="1:15" x14ac:dyDescent="0.25">
      <c r="A190" s="16"/>
      <c r="B190" s="124"/>
      <c r="C190" s="17"/>
      <c r="D190" s="13"/>
      <c r="E190" s="70"/>
      <c r="F190" s="14"/>
      <c r="G190" s="11"/>
      <c r="H190" s="67"/>
      <c r="I190" s="12"/>
      <c r="J190" s="61"/>
      <c r="K190" s="71"/>
      <c r="L190" s="62"/>
      <c r="M190" s="75"/>
      <c r="N190" s="73"/>
      <c r="O190" s="15"/>
    </row>
    <row r="191" spans="1:15" x14ac:dyDescent="0.25">
      <c r="A191" s="16"/>
      <c r="B191" s="124"/>
      <c r="C191" s="17"/>
      <c r="D191" s="13"/>
      <c r="E191" s="70"/>
      <c r="F191" s="14"/>
      <c r="G191" s="11"/>
      <c r="H191" s="67"/>
      <c r="I191" s="12"/>
      <c r="J191" s="61"/>
      <c r="K191" s="71"/>
      <c r="L191" s="62"/>
      <c r="M191" s="75"/>
      <c r="N191" s="73"/>
      <c r="O191" s="15"/>
    </row>
    <row r="192" spans="1:15" x14ac:dyDescent="0.25">
      <c r="A192" s="16"/>
      <c r="B192" s="124"/>
      <c r="C192" s="17"/>
      <c r="D192" s="13"/>
      <c r="E192" s="70"/>
      <c r="F192" s="14"/>
      <c r="G192" s="11"/>
      <c r="H192" s="67"/>
      <c r="I192" s="12"/>
      <c r="J192" s="61"/>
      <c r="K192" s="71"/>
      <c r="L192" s="62"/>
      <c r="M192" s="75"/>
      <c r="N192" s="73"/>
      <c r="O192" s="15"/>
    </row>
    <row r="193" spans="1:15" x14ac:dyDescent="0.25">
      <c r="A193" s="16"/>
      <c r="B193" s="124"/>
      <c r="C193" s="17"/>
      <c r="D193" s="13"/>
      <c r="E193" s="70"/>
      <c r="F193" s="14"/>
      <c r="G193" s="11"/>
      <c r="H193" s="67"/>
      <c r="I193" s="12"/>
      <c r="J193" s="61"/>
      <c r="K193" s="71"/>
      <c r="L193" s="62"/>
      <c r="M193" s="75"/>
      <c r="N193" s="73"/>
      <c r="O193" s="15"/>
    </row>
    <row r="194" spans="1:15" x14ac:dyDescent="0.25">
      <c r="A194" s="16"/>
      <c r="B194" s="124"/>
      <c r="C194" s="17"/>
      <c r="D194" s="13"/>
      <c r="E194" s="70"/>
      <c r="F194" s="14"/>
      <c r="G194" s="11"/>
      <c r="H194" s="67"/>
      <c r="I194" s="12"/>
      <c r="J194" s="61"/>
      <c r="K194" s="71"/>
      <c r="L194" s="62"/>
      <c r="M194" s="75"/>
      <c r="N194" s="73"/>
      <c r="O194" s="15"/>
    </row>
    <row r="195" spans="1:15" x14ac:dyDescent="0.25">
      <c r="A195" s="16"/>
      <c r="B195" s="124"/>
      <c r="C195" s="17"/>
      <c r="D195" s="13"/>
      <c r="E195" s="70"/>
      <c r="F195" s="14"/>
      <c r="G195" s="11"/>
      <c r="H195" s="67"/>
      <c r="I195" s="12"/>
      <c r="J195" s="61"/>
      <c r="K195" s="71"/>
      <c r="L195" s="62"/>
      <c r="M195" s="75"/>
      <c r="N195" s="73"/>
      <c r="O195" s="15"/>
    </row>
    <row r="196" spans="1:15" x14ac:dyDescent="0.25">
      <c r="A196" s="16"/>
      <c r="B196" s="124"/>
      <c r="C196" s="17"/>
      <c r="D196" s="13"/>
      <c r="E196" s="70"/>
      <c r="F196" s="14"/>
      <c r="G196" s="11"/>
      <c r="H196" s="67"/>
      <c r="I196" s="12"/>
      <c r="J196" s="61"/>
      <c r="K196" s="71"/>
      <c r="L196" s="62"/>
      <c r="M196" s="75"/>
      <c r="N196" s="73"/>
      <c r="O196" s="15"/>
    </row>
    <row r="197" spans="1:15" x14ac:dyDescent="0.25">
      <c r="A197" s="16"/>
      <c r="B197" s="124"/>
      <c r="C197" s="17"/>
      <c r="D197" s="13"/>
      <c r="E197" s="70"/>
      <c r="F197" s="14"/>
      <c r="G197" s="11"/>
      <c r="H197" s="67"/>
      <c r="I197" s="12"/>
      <c r="J197" s="61"/>
      <c r="K197" s="71"/>
      <c r="L197" s="62"/>
      <c r="M197" s="75"/>
      <c r="N197" s="73"/>
      <c r="O197" s="15"/>
    </row>
    <row r="198" spans="1:15" x14ac:dyDescent="0.25">
      <c r="A198" s="16"/>
      <c r="B198" s="124"/>
      <c r="C198" s="17"/>
      <c r="D198" s="13"/>
      <c r="E198" s="70"/>
      <c r="F198" s="14"/>
      <c r="G198" s="11"/>
      <c r="H198" s="67"/>
      <c r="I198" s="12"/>
      <c r="J198" s="61"/>
      <c r="K198" s="71"/>
      <c r="L198" s="62"/>
      <c r="M198" s="75"/>
      <c r="N198" s="73"/>
      <c r="O198" s="15"/>
    </row>
    <row r="199" spans="1:15" x14ac:dyDescent="0.25">
      <c r="A199" s="16"/>
      <c r="B199" s="124"/>
      <c r="C199" s="17"/>
      <c r="D199" s="13"/>
      <c r="E199" s="70"/>
      <c r="F199" s="14"/>
      <c r="G199" s="11"/>
      <c r="H199" s="67"/>
      <c r="I199" s="12"/>
      <c r="J199" s="61"/>
      <c r="K199" s="71"/>
      <c r="L199" s="62"/>
      <c r="M199" s="75"/>
      <c r="N199" s="73"/>
      <c r="O199" s="15"/>
    </row>
    <row r="200" spans="1:15" x14ac:dyDescent="0.25">
      <c r="A200" s="16"/>
      <c r="B200" s="124"/>
      <c r="C200" s="17"/>
      <c r="D200" s="13"/>
      <c r="E200" s="70"/>
      <c r="F200" s="14"/>
      <c r="G200" s="11"/>
      <c r="H200" s="67"/>
      <c r="I200" s="12"/>
      <c r="J200" s="61"/>
      <c r="K200" s="71"/>
      <c r="L200" s="62"/>
      <c r="M200" s="75"/>
      <c r="N200" s="73"/>
      <c r="O200" s="15"/>
    </row>
    <row r="201" spans="1:15" x14ac:dyDescent="0.25">
      <c r="A201" s="16"/>
      <c r="B201" s="124"/>
      <c r="C201" s="17"/>
      <c r="D201" s="13"/>
      <c r="E201" s="70"/>
      <c r="F201" s="14"/>
      <c r="G201" s="11"/>
      <c r="H201" s="67"/>
      <c r="I201" s="12"/>
      <c r="J201" s="61"/>
      <c r="K201" s="71"/>
      <c r="L201" s="62"/>
      <c r="M201" s="75"/>
      <c r="N201" s="73"/>
      <c r="O201" s="15"/>
    </row>
    <row r="202" spans="1:15" x14ac:dyDescent="0.25">
      <c r="A202" s="16"/>
      <c r="B202" s="124"/>
      <c r="C202" s="17"/>
      <c r="D202" s="13"/>
      <c r="E202" s="70"/>
      <c r="F202" s="14"/>
      <c r="G202" s="11"/>
      <c r="H202" s="67"/>
      <c r="I202" s="12"/>
      <c r="J202" s="61"/>
      <c r="K202" s="71"/>
      <c r="L202" s="62"/>
      <c r="M202" s="75"/>
      <c r="N202" s="73"/>
      <c r="O202" s="15"/>
    </row>
    <row r="203" spans="1:15" x14ac:dyDescent="0.25">
      <c r="A203" s="16"/>
      <c r="B203" s="124"/>
      <c r="C203" s="17"/>
      <c r="D203" s="13"/>
      <c r="E203" s="70"/>
      <c r="F203" s="14"/>
      <c r="G203" s="11"/>
      <c r="H203" s="67"/>
      <c r="I203" s="12"/>
      <c r="J203" s="61"/>
      <c r="K203" s="71"/>
      <c r="L203" s="62"/>
      <c r="M203" s="75"/>
      <c r="N203" s="73"/>
      <c r="O203" s="15"/>
    </row>
    <row r="204" spans="1:15" x14ac:dyDescent="0.25">
      <c r="A204" s="16"/>
      <c r="B204" s="124"/>
      <c r="C204" s="17"/>
      <c r="D204" s="13"/>
      <c r="E204" s="70"/>
      <c r="F204" s="14"/>
      <c r="G204" s="11"/>
      <c r="H204" s="67"/>
      <c r="I204" s="12"/>
      <c r="J204" s="61"/>
      <c r="K204" s="71"/>
      <c r="L204" s="62"/>
      <c r="M204" s="75"/>
      <c r="N204" s="73"/>
      <c r="O204" s="15"/>
    </row>
    <row r="205" spans="1:15" x14ac:dyDescent="0.25">
      <c r="A205" s="16"/>
      <c r="B205" s="124"/>
      <c r="C205" s="17"/>
      <c r="D205" s="13"/>
      <c r="E205" s="70"/>
      <c r="F205" s="14"/>
      <c r="G205" s="11"/>
      <c r="H205" s="67"/>
      <c r="I205" s="12"/>
      <c r="J205" s="61"/>
      <c r="K205" s="71"/>
      <c r="L205" s="62"/>
      <c r="M205" s="75"/>
      <c r="N205" s="73"/>
      <c r="O205" s="15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36"/>
  <sheetViews>
    <sheetView topLeftCell="D5" workbookViewId="0">
      <pane ySplit="3" topLeftCell="A8" activePane="bottomLeft" state="frozen"/>
      <selection activeCell="A5" sqref="A5"/>
      <selection pane="bottomLeft" activeCell="I15" sqref="I15"/>
    </sheetView>
  </sheetViews>
  <sheetFormatPr baseColWidth="10" defaultRowHeight="15" x14ac:dyDescent="0.25"/>
  <cols>
    <col min="1" max="1" width="7.7109375" style="6" customWidth="1"/>
    <col min="2" max="2" width="9.7109375" style="6" customWidth="1"/>
    <col min="3" max="3" width="23.7109375" customWidth="1"/>
    <col min="4" max="4" width="7.85546875" style="6" customWidth="1"/>
    <col min="5" max="5" width="9.85546875" customWidth="1"/>
    <col min="6" max="6" width="24.5703125" customWidth="1"/>
    <col min="7" max="7" width="7.7109375" style="6" customWidth="1"/>
    <col min="8" max="8" width="10" customWidth="1"/>
    <col min="9" max="9" width="23.7109375" customWidth="1"/>
    <col min="10" max="10" width="7.7109375" style="6" customWidth="1"/>
    <col min="11" max="11" width="10" customWidth="1"/>
    <col min="12" max="12" width="23.7109375" customWidth="1"/>
    <col min="13" max="13" width="7.7109375" customWidth="1"/>
    <col min="14" max="14" width="10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7" t="s">
        <v>6</v>
      </c>
      <c r="K5" s="147"/>
      <c r="L5" s="147"/>
      <c r="M5" s="135" t="s">
        <v>12</v>
      </c>
      <c r="N5" s="135"/>
      <c r="O5" s="135"/>
      <c r="Q5" s="144" t="s">
        <v>13</v>
      </c>
      <c r="R5" s="144"/>
    </row>
    <row r="6" spans="1:18" x14ac:dyDescent="0.25">
      <c r="A6" s="8">
        <f>SUBTOTAL(3,A9:A122)</f>
        <v>0</v>
      </c>
      <c r="B6" s="123">
        <f>SUBTOTAL(9,B8:B122)</f>
        <v>0</v>
      </c>
      <c r="C6" s="35">
        <v>44780</v>
      </c>
      <c r="D6" s="8">
        <f>SUBTOTAL(3,D8:D120)</f>
        <v>0</v>
      </c>
      <c r="E6" s="123">
        <f>SUBTOTAL(9,E8:E122)</f>
        <v>0</v>
      </c>
      <c r="F6" s="38">
        <v>44787</v>
      </c>
      <c r="G6" s="8">
        <f>SUBTOTAL(3,G8:G121)</f>
        <v>0</v>
      </c>
      <c r="H6" s="123">
        <f>SUBTOTAL(9,H8:H122)</f>
        <v>0</v>
      </c>
      <c r="I6" s="39">
        <v>44794</v>
      </c>
      <c r="J6" s="8">
        <f>SUBTOTAL(3,J8:J111)</f>
        <v>0</v>
      </c>
      <c r="K6" s="123">
        <f>SUBTOTAL(9,K8:K122)</f>
        <v>0</v>
      </c>
      <c r="L6" s="63">
        <v>44801</v>
      </c>
      <c r="M6" s="1">
        <f>SUBTOTAL(3,M8:M120)</f>
        <v>0</v>
      </c>
      <c r="N6" s="123">
        <f>SUBTOTAL(9,N8:N122)</f>
        <v>0</v>
      </c>
      <c r="O6" s="81"/>
      <c r="Q6" s="30">
        <f>+A6+D6+G6+J6+M6</f>
        <v>0</v>
      </c>
      <c r="R6" s="29">
        <f>+B6+E6+H6+K6+N6</f>
        <v>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12"/>
      <c r="B8" s="49"/>
      <c r="C8" s="113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  <c r="Q8" s="32"/>
      <c r="R8" s="32"/>
    </row>
    <row r="9" spans="1:18" x14ac:dyDescent="0.25">
      <c r="A9" s="16"/>
      <c r="B9" s="49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15"/>
    </row>
    <row r="12" spans="1:18" x14ac:dyDescent="0.25">
      <c r="A12" s="16"/>
      <c r="B12" s="49"/>
      <c r="C12" s="17"/>
      <c r="D12" s="13"/>
      <c r="E12" s="70"/>
      <c r="F12" s="14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31"/>
    </row>
    <row r="14" spans="1:18" x14ac:dyDescent="0.25">
      <c r="A14" s="16"/>
      <c r="B14" s="49"/>
      <c r="C14" s="17"/>
      <c r="D14" s="13"/>
      <c r="E14" s="70"/>
      <c r="F14" s="109"/>
      <c r="G14" s="11"/>
      <c r="H14" s="67"/>
      <c r="I14" s="12"/>
      <c r="J14" s="61"/>
      <c r="K14" s="71"/>
      <c r="L14" s="62"/>
      <c r="M14" s="75"/>
      <c r="N14" s="73"/>
      <c r="O14" s="31"/>
    </row>
    <row r="15" spans="1:18" x14ac:dyDescent="0.25">
      <c r="A15" s="16"/>
      <c r="B15" s="49"/>
      <c r="C15" s="17"/>
      <c r="D15" s="13"/>
      <c r="E15" s="70"/>
      <c r="F15" s="14"/>
      <c r="G15" s="11"/>
      <c r="H15" s="67"/>
      <c r="I15" s="12"/>
      <c r="J15" s="61"/>
      <c r="K15" s="71"/>
      <c r="L15" s="62"/>
      <c r="M15" s="75"/>
      <c r="N15" s="73"/>
      <c r="O15" s="15"/>
    </row>
    <row r="16" spans="1:18" x14ac:dyDescent="0.25">
      <c r="A16" s="16"/>
      <c r="B16" s="49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14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33"/>
      <c r="G18" s="11"/>
      <c r="H18" s="67"/>
      <c r="I18" s="12"/>
      <c r="J18" s="61"/>
      <c r="K18" s="71"/>
      <c r="L18" s="62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49"/>
      <c r="C21" s="17"/>
      <c r="D21" s="13"/>
      <c r="E21" s="70"/>
      <c r="F21" s="14"/>
      <c r="G21" s="11"/>
      <c r="H21" s="67"/>
      <c r="I21" s="12"/>
      <c r="J21" s="61"/>
      <c r="K21" s="71"/>
      <c r="L21" s="68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96"/>
      <c r="J22" s="61"/>
      <c r="K22" s="71"/>
      <c r="L22" s="62"/>
      <c r="M22" s="75"/>
      <c r="N22" s="73"/>
      <c r="O22" s="15"/>
    </row>
    <row r="23" spans="1:15" x14ac:dyDescent="0.25">
      <c r="A23" s="16"/>
      <c r="B23" s="49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15"/>
    </row>
    <row r="25" spans="1:15" x14ac:dyDescent="0.25">
      <c r="A25" s="16"/>
      <c r="B25" s="49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69"/>
      <c r="G27" s="11"/>
      <c r="H27" s="67"/>
      <c r="I27" s="12"/>
      <c r="J27" s="61"/>
      <c r="K27" s="71"/>
      <c r="L27" s="62"/>
      <c r="M27" s="75"/>
      <c r="N27" s="73"/>
      <c r="O27" s="31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96"/>
      <c r="J28" s="61"/>
      <c r="K28" s="71"/>
      <c r="L28" s="62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15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31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49"/>
      <c r="C42" s="108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03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/>
      <c r="D49" s="13"/>
      <c r="E49" s="70"/>
      <c r="F49" s="14"/>
      <c r="G49" s="11"/>
      <c r="H49" s="67"/>
      <c r="I49" s="130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6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6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6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6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6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6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6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6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6" x14ac:dyDescent="0.25">
      <c r="A105" s="26"/>
      <c r="B105" s="66"/>
      <c r="C105" s="58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  <c r="P105" s="58"/>
    </row>
    <row r="106" spans="1:16" x14ac:dyDescent="0.25">
      <c r="A106" s="26"/>
      <c r="B106" s="66"/>
      <c r="C106" s="58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  <c r="P106" s="58"/>
    </row>
    <row r="107" spans="1:16" x14ac:dyDescent="0.25">
      <c r="A107" s="26"/>
      <c r="B107" s="66"/>
      <c r="C107" s="58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  <c r="P107" s="58"/>
    </row>
    <row r="108" spans="1:16" x14ac:dyDescent="0.25">
      <c r="A108" s="26"/>
      <c r="B108" s="66"/>
      <c r="C108" s="58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  <c r="P108" s="58"/>
    </row>
    <row r="109" spans="1:16" x14ac:dyDescent="0.25">
      <c r="A109" s="26"/>
      <c r="B109" s="66"/>
      <c r="C109" s="58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  <c r="P109" s="58"/>
    </row>
    <row r="110" spans="1:16" x14ac:dyDescent="0.25">
      <c r="A110" s="26"/>
      <c r="B110" s="66"/>
      <c r="C110" s="58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  <c r="P110" s="58"/>
    </row>
    <row r="111" spans="1:16" x14ac:dyDescent="0.25">
      <c r="A111" s="26"/>
      <c r="B111" s="66"/>
      <c r="C111" s="58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  <c r="P111" s="58"/>
    </row>
    <row r="112" spans="1:16" x14ac:dyDescent="0.25">
      <c r="A112" s="26"/>
      <c r="B112" s="66"/>
      <c r="C112" s="58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  <c r="P112" s="58"/>
    </row>
    <row r="113" spans="1:16" x14ac:dyDescent="0.25">
      <c r="A113" s="26"/>
      <c r="B113" s="66"/>
      <c r="C113" s="58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  <c r="P113" s="58"/>
    </row>
    <row r="114" spans="1:16" x14ac:dyDescent="0.25">
      <c r="A114" s="26"/>
      <c r="B114" s="66"/>
      <c r="C114" s="58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  <c r="P114" s="58"/>
    </row>
    <row r="115" spans="1:16" x14ac:dyDescent="0.25">
      <c r="A115" s="26"/>
      <c r="B115" s="66"/>
      <c r="C115" s="58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  <c r="P115" s="58"/>
    </row>
    <row r="116" spans="1:16" x14ac:dyDescent="0.25">
      <c r="A116" s="26"/>
      <c r="B116" s="66"/>
      <c r="C116" s="58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74"/>
      <c r="O118" s="58"/>
      <c r="P118" s="58"/>
    </row>
    <row r="119" spans="1:16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6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36"/>
  <sheetViews>
    <sheetView topLeftCell="A5" zoomScaleNormal="100" workbookViewId="0">
      <pane ySplit="3" topLeftCell="A8" activePane="bottomLeft" state="frozen"/>
      <selection activeCell="A5" sqref="A5"/>
      <selection pane="bottomLeft" activeCell="I18" sqref="I18"/>
    </sheetView>
  </sheetViews>
  <sheetFormatPr baseColWidth="10" defaultRowHeight="15" x14ac:dyDescent="0.25"/>
  <cols>
    <col min="1" max="1" width="7.7109375" style="6" customWidth="1"/>
    <col min="2" max="2" width="9.140625" style="6" customWidth="1"/>
    <col min="3" max="3" width="24.42578125" customWidth="1"/>
    <col min="4" max="4" width="7.7109375" style="6" customWidth="1"/>
    <col min="5" max="5" width="9.140625" customWidth="1"/>
    <col min="6" max="6" width="25" customWidth="1"/>
    <col min="7" max="7" width="7.7109375" style="6" customWidth="1"/>
    <col min="8" max="8" width="9.140625" customWidth="1"/>
    <col min="9" max="9" width="23.7109375" customWidth="1"/>
    <col min="10" max="10" width="7.7109375" style="6" customWidth="1"/>
    <col min="11" max="11" width="9.14062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7" t="s">
        <v>6</v>
      </c>
      <c r="K5" s="147"/>
      <c r="L5" s="147"/>
      <c r="M5" s="135" t="s">
        <v>12</v>
      </c>
      <c r="N5" s="135"/>
      <c r="O5" s="135"/>
      <c r="Q5" s="144" t="s">
        <v>13</v>
      </c>
      <c r="R5" s="144"/>
    </row>
    <row r="6" spans="1:18" x14ac:dyDescent="0.25">
      <c r="A6" s="8">
        <f>SUBTOTAL(3,A8:A121)</f>
        <v>0</v>
      </c>
      <c r="B6" s="123">
        <f>SUBTOTAL(9,B8:B121)</f>
        <v>0</v>
      </c>
      <c r="C6" s="35">
        <v>44808</v>
      </c>
      <c r="D6" s="8">
        <f>SUBTOTAL(3,D8:D120)</f>
        <v>0</v>
      </c>
      <c r="E6" s="125">
        <f>SUBTOTAL(9,E8:E126)</f>
        <v>0</v>
      </c>
      <c r="F6" s="38">
        <v>44815</v>
      </c>
      <c r="G6" s="8">
        <f>SUBTOTAL(3,G8:G120)</f>
        <v>0</v>
      </c>
      <c r="H6" s="125">
        <f>SUBTOTAL(9,H8:H126)</f>
        <v>0</v>
      </c>
      <c r="I6" s="39">
        <v>44822</v>
      </c>
      <c r="J6" s="8">
        <f>SUBTOTAL(3,J8:J111)</f>
        <v>0</v>
      </c>
      <c r="K6" s="125">
        <f>SUBTOTAL(9,K8:K126)</f>
        <v>0</v>
      </c>
      <c r="L6" s="63">
        <v>44829</v>
      </c>
      <c r="M6" s="1">
        <f>SUBTOTAL(3,M8:M120)</f>
        <v>0</v>
      </c>
      <c r="N6" s="125">
        <f>SUBTOTAL(9,N8:N126)</f>
        <v>0</v>
      </c>
      <c r="O6" s="81">
        <v>44101</v>
      </c>
      <c r="Q6" s="30">
        <f>+A6+D6+G6+J6+M6</f>
        <v>0</v>
      </c>
      <c r="R6" s="29">
        <f>+B6+E6+H6+K6+N6</f>
        <v>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/>
      <c r="B8" s="124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  <c r="Q8" s="32"/>
      <c r="R8" s="32"/>
    </row>
    <row r="9" spans="1:18" x14ac:dyDescent="0.25">
      <c r="A9" s="16"/>
      <c r="B9" s="124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124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124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15"/>
    </row>
    <row r="12" spans="1:18" x14ac:dyDescent="0.25">
      <c r="A12" s="16"/>
      <c r="B12" s="124"/>
      <c r="C12" s="17"/>
      <c r="D12" s="13"/>
      <c r="E12" s="70"/>
      <c r="F12" s="14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124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5"/>
    </row>
    <row r="14" spans="1:18" x14ac:dyDescent="0.25">
      <c r="A14" s="16"/>
      <c r="B14" s="124"/>
      <c r="C14" s="17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31"/>
    </row>
    <row r="15" spans="1:18" x14ac:dyDescent="0.25">
      <c r="A15" s="16"/>
      <c r="B15" s="124"/>
      <c r="C15" s="17"/>
      <c r="D15" s="13"/>
      <c r="E15" s="70"/>
      <c r="F15" s="14"/>
      <c r="G15" s="11"/>
      <c r="H15" s="67"/>
      <c r="I15" s="12"/>
      <c r="J15" s="61"/>
      <c r="K15" s="71"/>
      <c r="L15" s="68"/>
      <c r="M15" s="75"/>
      <c r="N15" s="73"/>
      <c r="O15" s="15"/>
    </row>
    <row r="16" spans="1:18" x14ac:dyDescent="0.25">
      <c r="A16" s="16"/>
      <c r="B16" s="124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124"/>
      <c r="C17" s="17"/>
      <c r="D17" s="13"/>
      <c r="E17" s="70"/>
      <c r="F17" s="14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124"/>
      <c r="C18" s="17"/>
      <c r="D18" s="13"/>
      <c r="E18" s="70"/>
      <c r="F18" s="33"/>
      <c r="G18" s="11"/>
      <c r="H18" s="67"/>
      <c r="I18" s="12"/>
      <c r="J18" s="61"/>
      <c r="K18" s="71"/>
      <c r="L18" s="62"/>
      <c r="M18" s="75"/>
      <c r="N18" s="73"/>
      <c r="O18" s="15"/>
    </row>
    <row r="19" spans="1:15" x14ac:dyDescent="0.25">
      <c r="A19" s="16"/>
      <c r="B19" s="124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124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124"/>
      <c r="C21" s="17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15"/>
    </row>
    <row r="22" spans="1:15" x14ac:dyDescent="0.25">
      <c r="A22" s="16"/>
      <c r="B22" s="124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5"/>
    </row>
    <row r="23" spans="1:15" x14ac:dyDescent="0.25">
      <c r="A23" s="16"/>
      <c r="B23" s="124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124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15"/>
    </row>
    <row r="25" spans="1:15" x14ac:dyDescent="0.25">
      <c r="A25" s="16"/>
      <c r="B25" s="124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124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124"/>
      <c r="C27" s="17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31"/>
    </row>
    <row r="28" spans="1:15" x14ac:dyDescent="0.25">
      <c r="A28" s="16"/>
      <c r="B28" s="124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124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124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124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15"/>
    </row>
    <row r="32" spans="1:15" x14ac:dyDescent="0.25">
      <c r="A32" s="16"/>
      <c r="B32" s="124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124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124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31"/>
    </row>
    <row r="35" spans="1:15" x14ac:dyDescent="0.25">
      <c r="A35" s="16"/>
      <c r="B35" s="124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124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124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124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124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124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124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124"/>
      <c r="C42" s="17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124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124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124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124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124"/>
      <c r="C47" s="85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124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124"/>
      <c r="C49" s="17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124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124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124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124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124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124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124"/>
      <c r="C56" s="17"/>
      <c r="D56" s="13"/>
      <c r="E56" s="70"/>
      <c r="F56" s="14"/>
      <c r="G56" s="11"/>
      <c r="H56" s="67"/>
      <c r="I56" s="12"/>
      <c r="J56" s="61"/>
      <c r="K56" s="71"/>
      <c r="L56" s="68"/>
      <c r="M56" s="75"/>
      <c r="N56" s="73"/>
      <c r="O56" s="15"/>
    </row>
    <row r="57" spans="1:15" x14ac:dyDescent="0.25">
      <c r="A57" s="16"/>
      <c r="B57" s="124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124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124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124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124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124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124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124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124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124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124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124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124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124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124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124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124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124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124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124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124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124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124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124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6" x14ac:dyDescent="0.25">
      <c r="A81" s="16"/>
      <c r="B81" s="124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6" x14ac:dyDescent="0.25">
      <c r="A82" s="16"/>
      <c r="B82" s="124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6" x14ac:dyDescent="0.25">
      <c r="A83" s="16"/>
      <c r="B83" s="124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  <c r="P83" s="58"/>
    </row>
    <row r="84" spans="1:16" x14ac:dyDescent="0.25">
      <c r="A84" s="16"/>
      <c r="B84" s="124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  <c r="P84" s="58"/>
    </row>
    <row r="85" spans="1:16" x14ac:dyDescent="0.25">
      <c r="A85" s="16"/>
      <c r="B85" s="124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  <c r="P85" s="58"/>
    </row>
    <row r="86" spans="1:16" x14ac:dyDescent="0.25">
      <c r="A86" s="16"/>
      <c r="B86" s="124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26"/>
      <c r="N86" s="74"/>
      <c r="O86" s="58"/>
      <c r="P86" s="58"/>
    </row>
    <row r="87" spans="1:16" x14ac:dyDescent="0.25">
      <c r="A87" s="16"/>
      <c r="B87" s="124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26"/>
      <c r="N87" s="74"/>
      <c r="O87" s="58"/>
      <c r="P87" s="58"/>
    </row>
    <row r="88" spans="1:16" x14ac:dyDescent="0.25">
      <c r="A88" s="16"/>
      <c r="B88" s="124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26"/>
      <c r="N88" s="74"/>
      <c r="O88" s="58"/>
      <c r="P88" s="58"/>
    </row>
    <row r="89" spans="1:16" x14ac:dyDescent="0.25">
      <c r="A89" s="16"/>
      <c r="B89" s="124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26"/>
      <c r="N89" s="74"/>
      <c r="O89" s="58"/>
      <c r="P89" s="58"/>
    </row>
    <row r="90" spans="1:16" x14ac:dyDescent="0.25">
      <c r="A90" s="16"/>
      <c r="B90" s="124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26"/>
      <c r="N90" s="74"/>
      <c r="O90" s="58"/>
      <c r="P90" s="58"/>
    </row>
    <row r="91" spans="1:16" x14ac:dyDescent="0.25">
      <c r="A91" s="16"/>
      <c r="B91" s="124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26"/>
      <c r="N91" s="74"/>
      <c r="O91" s="58"/>
      <c r="P91" s="58"/>
    </row>
    <row r="92" spans="1:16" x14ac:dyDescent="0.25">
      <c r="A92" s="16"/>
      <c r="B92" s="124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26"/>
      <c r="N92" s="74"/>
      <c r="O92" s="58"/>
      <c r="P92" s="58"/>
    </row>
    <row r="93" spans="1:16" x14ac:dyDescent="0.25">
      <c r="A93" s="16"/>
      <c r="B93" s="124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26"/>
      <c r="N93" s="74"/>
      <c r="O93" s="58"/>
      <c r="P93" s="58"/>
    </row>
    <row r="94" spans="1:16" x14ac:dyDescent="0.25">
      <c r="A94" s="16"/>
      <c r="B94" s="124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26"/>
      <c r="N94" s="74"/>
      <c r="O94" s="58"/>
      <c r="P94" s="58"/>
    </row>
    <row r="95" spans="1:16" x14ac:dyDescent="0.25">
      <c r="A95" s="16"/>
      <c r="B95" s="124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26"/>
      <c r="N95" s="74"/>
      <c r="O95" s="58"/>
      <c r="P95" s="58"/>
    </row>
    <row r="96" spans="1:16" x14ac:dyDescent="0.25">
      <c r="A96" s="16"/>
      <c r="B96" s="124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26"/>
      <c r="N137" s="74"/>
      <c r="O137" s="58"/>
      <c r="P137" s="58"/>
    </row>
    <row r="138" spans="1:16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26"/>
      <c r="N138" s="74"/>
      <c r="O138" s="58"/>
      <c r="P138" s="58"/>
    </row>
    <row r="139" spans="1:16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26"/>
      <c r="N139" s="74"/>
      <c r="O139" s="58"/>
      <c r="P139" s="58"/>
    </row>
    <row r="140" spans="1:16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26"/>
      <c r="N140" s="74"/>
      <c r="O140" s="58"/>
      <c r="P140" s="58"/>
    </row>
    <row r="141" spans="1:16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26"/>
      <c r="N141" s="74"/>
      <c r="O141" s="58"/>
      <c r="P141" s="58"/>
    </row>
    <row r="142" spans="1:16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26"/>
      <c r="N142" s="74"/>
      <c r="O142" s="58"/>
      <c r="P142" s="58"/>
    </row>
    <row r="143" spans="1:16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26"/>
      <c r="N143" s="74"/>
      <c r="O143" s="58"/>
      <c r="P143" s="58"/>
    </row>
    <row r="144" spans="1:16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26"/>
      <c r="N144" s="74"/>
      <c r="O144" s="58"/>
      <c r="P144" s="58"/>
    </row>
    <row r="145" spans="1:16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26"/>
      <c r="N145" s="74"/>
      <c r="O145" s="58"/>
      <c r="P145" s="58"/>
    </row>
    <row r="146" spans="1:16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26"/>
      <c r="N146" s="74"/>
      <c r="O146" s="58"/>
      <c r="P146" s="58"/>
    </row>
    <row r="147" spans="1:16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26"/>
      <c r="N147" s="74"/>
      <c r="O147" s="58"/>
      <c r="P147" s="58"/>
    </row>
    <row r="148" spans="1:16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26"/>
      <c r="N148" s="74"/>
      <c r="O148" s="58"/>
      <c r="P148" s="58"/>
    </row>
    <row r="149" spans="1:16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26"/>
      <c r="N149" s="74"/>
      <c r="O149" s="58"/>
      <c r="P149" s="58"/>
    </row>
    <row r="150" spans="1:16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26"/>
      <c r="N150" s="74"/>
      <c r="O150" s="58"/>
      <c r="P150" s="58"/>
    </row>
    <row r="151" spans="1:16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26"/>
      <c r="N151" s="74"/>
      <c r="O151" s="58"/>
      <c r="P151" s="58"/>
    </row>
    <row r="152" spans="1:16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26"/>
      <c r="N152" s="74"/>
      <c r="O152" s="58"/>
      <c r="P152" s="58"/>
    </row>
    <row r="153" spans="1:16" x14ac:dyDescent="0.25">
      <c r="A153" s="26"/>
      <c r="B153" s="66"/>
      <c r="C153" s="58"/>
      <c r="D153" s="26"/>
      <c r="E153" s="74"/>
      <c r="F153" s="58"/>
      <c r="G153" s="26"/>
      <c r="H153" s="74"/>
      <c r="I153" s="58"/>
      <c r="J153" s="26"/>
      <c r="K153" s="74"/>
      <c r="L153" s="58"/>
      <c r="M153" s="26"/>
      <c r="N153" s="74"/>
      <c r="O153" s="58"/>
      <c r="P153" s="58"/>
    </row>
    <row r="154" spans="1:16" x14ac:dyDescent="0.25">
      <c r="A154" s="26"/>
      <c r="B154" s="66"/>
      <c r="C154" s="58"/>
      <c r="D154" s="26"/>
      <c r="E154" s="74"/>
      <c r="F154" s="58"/>
      <c r="G154" s="26"/>
      <c r="H154" s="74"/>
      <c r="I154" s="58"/>
      <c r="J154" s="26"/>
      <c r="K154" s="74"/>
      <c r="L154" s="58"/>
      <c r="M154" s="26"/>
      <c r="N154" s="74"/>
      <c r="O154" s="58"/>
      <c r="P154" s="58"/>
    </row>
    <row r="155" spans="1:16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26"/>
      <c r="N155" s="74"/>
      <c r="O155" s="58"/>
      <c r="P155" s="58"/>
    </row>
    <row r="156" spans="1:16" x14ac:dyDescent="0.25">
      <c r="A156" s="26"/>
      <c r="B156" s="66"/>
      <c r="C156" s="58"/>
      <c r="D156" s="26"/>
      <c r="E156" s="74"/>
      <c r="F156" s="58"/>
      <c r="G156" s="26"/>
      <c r="H156" s="74"/>
      <c r="I156" s="58"/>
      <c r="J156" s="26"/>
      <c r="K156" s="74"/>
      <c r="L156" s="58"/>
      <c r="M156" s="26"/>
      <c r="N156" s="74"/>
      <c r="O156" s="58"/>
      <c r="P156" s="58"/>
    </row>
    <row r="157" spans="1:16" x14ac:dyDescent="0.25">
      <c r="A157" s="26"/>
      <c r="B157" s="66"/>
      <c r="C157" s="58"/>
      <c r="D157" s="26"/>
      <c r="E157" s="74"/>
      <c r="F157" s="58"/>
      <c r="G157" s="26"/>
      <c r="H157" s="74"/>
      <c r="I157" s="58"/>
      <c r="J157" s="26"/>
      <c r="K157" s="74"/>
      <c r="L157" s="58"/>
      <c r="M157" s="26"/>
      <c r="N157" s="74"/>
      <c r="O157" s="58"/>
      <c r="P157" s="58"/>
    </row>
    <row r="158" spans="1:16" x14ac:dyDescent="0.25">
      <c r="A158" s="26"/>
      <c r="B158" s="66"/>
      <c r="C158" s="58"/>
      <c r="D158" s="26"/>
      <c r="E158" s="74"/>
      <c r="F158" s="58"/>
      <c r="G158" s="26"/>
      <c r="H158" s="74"/>
      <c r="I158" s="58"/>
      <c r="J158" s="26"/>
      <c r="K158" s="74"/>
      <c r="L158" s="58"/>
      <c r="M158" s="26"/>
      <c r="N158" s="74"/>
      <c r="O158" s="58"/>
      <c r="P158" s="58"/>
    </row>
    <row r="159" spans="1:16" x14ac:dyDescent="0.25">
      <c r="A159" s="26"/>
      <c r="B159" s="66"/>
      <c r="C159" s="58"/>
      <c r="D159" s="26"/>
      <c r="E159" s="74"/>
      <c r="F159" s="58"/>
      <c r="G159" s="26"/>
      <c r="H159" s="74"/>
      <c r="I159" s="58"/>
      <c r="J159" s="26"/>
      <c r="K159" s="74"/>
      <c r="L159" s="58"/>
      <c r="M159" s="26"/>
      <c r="N159" s="74"/>
      <c r="O159" s="58"/>
      <c r="P159" s="58"/>
    </row>
    <row r="160" spans="1:16" x14ac:dyDescent="0.25">
      <c r="A160" s="26"/>
      <c r="B160" s="66"/>
      <c r="C160" s="58"/>
      <c r="D160" s="26"/>
      <c r="E160" s="74"/>
      <c r="F160" s="58"/>
      <c r="G160" s="26"/>
      <c r="H160" s="74"/>
      <c r="I160" s="58"/>
      <c r="J160" s="26"/>
      <c r="K160" s="74"/>
      <c r="L160" s="58"/>
      <c r="M160" s="26"/>
      <c r="N160" s="74"/>
      <c r="O160" s="58"/>
      <c r="P160" s="58"/>
    </row>
    <row r="161" spans="1:16" x14ac:dyDescent="0.25">
      <c r="A161" s="26"/>
      <c r="B161" s="66"/>
      <c r="C161" s="58"/>
      <c r="D161" s="26"/>
      <c r="E161" s="74"/>
      <c r="F161" s="58"/>
      <c r="G161" s="26"/>
      <c r="H161" s="74"/>
      <c r="I161" s="58"/>
      <c r="J161" s="26"/>
      <c r="K161" s="74"/>
      <c r="L161" s="58"/>
      <c r="M161" s="26"/>
      <c r="N161" s="74"/>
      <c r="O161" s="58"/>
      <c r="P161" s="58"/>
    </row>
    <row r="162" spans="1:16" x14ac:dyDescent="0.25">
      <c r="A162" s="26"/>
      <c r="B162" s="66"/>
      <c r="C162" s="58"/>
      <c r="D162" s="26"/>
      <c r="E162" s="74"/>
      <c r="F162" s="58"/>
      <c r="G162" s="26"/>
      <c r="H162" s="74"/>
      <c r="I162" s="58"/>
      <c r="J162" s="26"/>
      <c r="K162" s="74"/>
      <c r="L162" s="58"/>
      <c r="M162" s="26"/>
      <c r="N162" s="74"/>
      <c r="O162" s="58"/>
      <c r="P162" s="58"/>
    </row>
    <row r="163" spans="1:16" x14ac:dyDescent="0.25">
      <c r="A163" s="26"/>
      <c r="B163" s="66"/>
      <c r="C163" s="58"/>
      <c r="D163" s="26"/>
      <c r="E163" s="74"/>
      <c r="F163" s="58"/>
      <c r="G163" s="26"/>
      <c r="H163" s="74"/>
      <c r="I163" s="58"/>
      <c r="J163" s="26"/>
      <c r="K163" s="74"/>
      <c r="L163" s="58"/>
      <c r="M163" s="26"/>
      <c r="N163" s="74"/>
      <c r="O163" s="58"/>
      <c r="P163" s="58"/>
    </row>
    <row r="164" spans="1:16" x14ac:dyDescent="0.25">
      <c r="A164" s="26"/>
      <c r="B164" s="66"/>
      <c r="C164" s="58"/>
      <c r="D164" s="26"/>
      <c r="E164" s="74"/>
      <c r="F164" s="58"/>
      <c r="G164" s="26"/>
      <c r="H164" s="74"/>
      <c r="I164" s="58"/>
      <c r="J164" s="26"/>
      <c r="K164" s="74"/>
      <c r="L164" s="58"/>
      <c r="M164" s="26"/>
      <c r="N164" s="74"/>
      <c r="O164" s="58"/>
      <c r="P164" s="58"/>
    </row>
    <row r="165" spans="1:16" x14ac:dyDescent="0.25">
      <c r="A165" s="26"/>
      <c r="B165" s="66"/>
      <c r="C165" s="58"/>
      <c r="D165" s="26"/>
      <c r="E165" s="74"/>
      <c r="F165" s="58"/>
      <c r="G165" s="26"/>
      <c r="H165" s="74"/>
      <c r="I165" s="58"/>
      <c r="J165" s="26"/>
      <c r="K165" s="74"/>
      <c r="L165" s="58"/>
      <c r="M165" s="26"/>
      <c r="N165" s="74"/>
      <c r="O165" s="58"/>
      <c r="P165" s="58"/>
    </row>
    <row r="166" spans="1:16" x14ac:dyDescent="0.25">
      <c r="A166" s="26"/>
      <c r="B166" s="66"/>
      <c r="C166" s="58"/>
      <c r="D166" s="26"/>
      <c r="E166" s="74"/>
      <c r="F166" s="58"/>
      <c r="G166" s="26"/>
      <c r="H166" s="74"/>
      <c r="I166" s="58"/>
      <c r="J166" s="26"/>
      <c r="K166" s="74"/>
      <c r="L166" s="58"/>
      <c r="M166" s="26"/>
      <c r="N166" s="74"/>
      <c r="O166" s="58"/>
      <c r="P166" s="58"/>
    </row>
    <row r="167" spans="1:16" x14ac:dyDescent="0.25">
      <c r="A167" s="26"/>
      <c r="B167" s="66"/>
      <c r="C167" s="58"/>
      <c r="D167" s="26"/>
      <c r="E167" s="74"/>
      <c r="F167" s="58"/>
      <c r="G167" s="26"/>
      <c r="H167" s="74"/>
      <c r="I167" s="58"/>
      <c r="J167" s="26"/>
      <c r="K167" s="74"/>
      <c r="L167" s="58"/>
      <c r="M167" s="26"/>
      <c r="N167" s="74"/>
      <c r="O167" s="58"/>
      <c r="P167" s="58"/>
    </row>
    <row r="168" spans="1:16" x14ac:dyDescent="0.25">
      <c r="A168" s="26"/>
      <c r="B168" s="66"/>
      <c r="C168" s="58"/>
      <c r="D168" s="26"/>
      <c r="E168" s="74"/>
      <c r="F168" s="58"/>
      <c r="G168" s="26"/>
      <c r="H168" s="74"/>
      <c r="I168" s="58"/>
      <c r="J168" s="26"/>
      <c r="K168" s="74"/>
      <c r="L168" s="58"/>
      <c r="M168" s="26"/>
      <c r="N168" s="74"/>
      <c r="O168" s="58"/>
      <c r="P168" s="58"/>
    </row>
    <row r="169" spans="1:16" x14ac:dyDescent="0.25">
      <c r="A169" s="26"/>
      <c r="B169" s="66"/>
      <c r="C169" s="58"/>
      <c r="D169" s="26"/>
      <c r="E169" s="74"/>
      <c r="F169" s="58"/>
      <c r="G169" s="26"/>
      <c r="H169" s="74"/>
      <c r="I169" s="58"/>
      <c r="J169" s="26"/>
      <c r="K169" s="74"/>
      <c r="L169" s="58"/>
      <c r="M169" s="26"/>
      <c r="N169" s="74"/>
      <c r="O169" s="58"/>
      <c r="P169" s="58"/>
    </row>
    <row r="170" spans="1:16" x14ac:dyDescent="0.25">
      <c r="A170" s="26"/>
      <c r="B170" s="66"/>
      <c r="C170" s="58"/>
      <c r="D170" s="26"/>
      <c r="E170" s="74"/>
      <c r="F170" s="58"/>
      <c r="G170" s="26"/>
      <c r="H170" s="74"/>
      <c r="I170" s="58"/>
      <c r="J170" s="26"/>
      <c r="K170" s="74"/>
      <c r="L170" s="58"/>
      <c r="M170" s="26"/>
      <c r="N170" s="74"/>
      <c r="O170" s="58"/>
      <c r="P170" s="58"/>
    </row>
    <row r="171" spans="1:16" x14ac:dyDescent="0.25">
      <c r="A171" s="26"/>
      <c r="B171" s="66"/>
      <c r="C171" s="58"/>
      <c r="D171" s="26"/>
      <c r="E171" s="74"/>
      <c r="F171" s="58"/>
      <c r="G171" s="26"/>
      <c r="H171" s="74"/>
      <c r="I171" s="58"/>
      <c r="J171" s="26"/>
      <c r="K171" s="74"/>
      <c r="L171" s="58"/>
      <c r="M171" s="26"/>
      <c r="N171" s="74"/>
      <c r="O171" s="58"/>
      <c r="P171" s="58"/>
    </row>
    <row r="172" spans="1:16" x14ac:dyDescent="0.25">
      <c r="A172" s="26"/>
      <c r="B172" s="66"/>
      <c r="C172" s="58"/>
      <c r="D172" s="26"/>
      <c r="E172" s="74"/>
      <c r="F172" s="58"/>
      <c r="G172" s="26"/>
      <c r="H172" s="74"/>
      <c r="I172" s="58"/>
      <c r="J172" s="26"/>
      <c r="K172" s="74"/>
      <c r="L172" s="58"/>
      <c r="M172" s="26"/>
      <c r="N172" s="74"/>
      <c r="O172" s="58"/>
      <c r="P172" s="58"/>
    </row>
    <row r="173" spans="1:16" x14ac:dyDescent="0.25">
      <c r="A173" s="26"/>
      <c r="B173" s="66"/>
      <c r="C173" s="58"/>
      <c r="D173" s="26"/>
      <c r="E173" s="74"/>
      <c r="F173" s="58"/>
      <c r="G173" s="26"/>
      <c r="H173" s="74"/>
      <c r="I173" s="58"/>
      <c r="J173" s="26"/>
      <c r="K173" s="74"/>
      <c r="L173" s="58"/>
      <c r="M173" s="26"/>
      <c r="N173" s="74"/>
      <c r="O173" s="58"/>
      <c r="P173" s="58"/>
    </row>
    <row r="174" spans="1:16" x14ac:dyDescent="0.25">
      <c r="A174" s="26"/>
      <c r="B174" s="66"/>
      <c r="C174" s="58"/>
      <c r="D174" s="26"/>
      <c r="E174" s="74"/>
      <c r="F174" s="58"/>
      <c r="G174" s="26"/>
      <c r="H174" s="74"/>
      <c r="I174" s="58"/>
      <c r="J174" s="26"/>
      <c r="K174" s="74"/>
      <c r="L174" s="58"/>
      <c r="M174" s="26"/>
      <c r="N174" s="74"/>
      <c r="O174" s="58"/>
      <c r="P174" s="58"/>
    </row>
    <row r="175" spans="1:16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  <c r="P175" s="58"/>
    </row>
    <row r="176" spans="1:16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  <c r="P176" s="58"/>
    </row>
    <row r="177" spans="1:16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  <c r="P177" s="58"/>
    </row>
    <row r="178" spans="1:16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6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6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6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6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6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6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6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6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6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6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6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6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6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6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36"/>
  <sheetViews>
    <sheetView topLeftCell="A5" zoomScale="90" zoomScaleNormal="90" workbookViewId="0">
      <pane ySplit="3" topLeftCell="A8" activePane="bottomLeft" state="frozen"/>
      <selection activeCell="A5" sqref="A5"/>
      <selection pane="bottomLeft" activeCell="O7" sqref="O7"/>
    </sheetView>
  </sheetViews>
  <sheetFormatPr baseColWidth="10" defaultRowHeight="15" x14ac:dyDescent="0.25"/>
  <cols>
    <col min="1" max="1" width="7.7109375" style="6" customWidth="1"/>
    <col min="2" max="2" width="9.140625" style="6" customWidth="1"/>
    <col min="3" max="3" width="23.7109375" customWidth="1"/>
    <col min="4" max="4" width="7.7109375" style="6" customWidth="1"/>
    <col min="5" max="5" width="9.28515625" customWidth="1"/>
    <col min="6" max="6" width="23.7109375" customWidth="1"/>
    <col min="7" max="7" width="7.7109375" style="6" customWidth="1"/>
    <col min="8" max="8" width="9.140625" customWidth="1"/>
    <col min="9" max="9" width="23.7109375" customWidth="1"/>
    <col min="10" max="10" width="7.7109375" style="6" customWidth="1"/>
    <col min="11" max="11" width="9.14062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>
        <v>2336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7" t="s">
        <v>6</v>
      </c>
      <c r="K5" s="147"/>
      <c r="L5" s="147"/>
      <c r="M5" s="135" t="s">
        <v>12</v>
      </c>
      <c r="N5" s="135"/>
      <c r="O5" s="135"/>
      <c r="Q5" s="144" t="s">
        <v>13</v>
      </c>
      <c r="R5" s="144"/>
    </row>
    <row r="6" spans="1:18" x14ac:dyDescent="0.25">
      <c r="A6" s="8">
        <f>SUBTOTAL(3,A8:A122)</f>
        <v>0</v>
      </c>
      <c r="B6" s="126">
        <f>SUBTOTAL(9,B8:B122)</f>
        <v>0</v>
      </c>
      <c r="C6" s="35">
        <v>44836</v>
      </c>
      <c r="D6" s="8">
        <f>SUBTOTAL(3,D8:D91)</f>
        <v>0</v>
      </c>
      <c r="E6" s="126">
        <f>SUBTOTAL(9,E8:E122)</f>
        <v>0</v>
      </c>
      <c r="F6" s="38">
        <v>44843</v>
      </c>
      <c r="G6" s="8">
        <f>SUBTOTAL(3,G8:G120)</f>
        <v>0</v>
      </c>
      <c r="H6" s="126">
        <f>SUBTOTAL(9,H8:H122)</f>
        <v>0</v>
      </c>
      <c r="I6" s="39">
        <v>44850</v>
      </c>
      <c r="J6" s="8">
        <f>SUBTOTAL(3,J8:J111)</f>
        <v>0</v>
      </c>
      <c r="K6" s="126">
        <f>SUBTOTAL(9,K8:K122)</f>
        <v>0</v>
      </c>
      <c r="L6" s="63">
        <v>44857</v>
      </c>
      <c r="M6" s="8">
        <f>SUBTOTAL(3,M8:M120)</f>
        <v>0</v>
      </c>
      <c r="N6" s="126">
        <f>SUBTOTAL(9,N8:N122)</f>
        <v>0</v>
      </c>
      <c r="O6" s="81">
        <v>44864</v>
      </c>
      <c r="Q6" s="30">
        <f>+A6+D6+G6+J6+M6</f>
        <v>0</v>
      </c>
      <c r="R6" s="29">
        <f>+B6+E6+H6+K6+N6</f>
        <v>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98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/>
      <c r="B8" s="49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  <c r="Q8" s="32"/>
      <c r="R8" s="32"/>
    </row>
    <row r="9" spans="1:18" x14ac:dyDescent="0.25">
      <c r="A9" s="16"/>
      <c r="B9" s="49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15"/>
    </row>
    <row r="12" spans="1:18" x14ac:dyDescent="0.25">
      <c r="A12" s="16"/>
      <c r="B12" s="49"/>
      <c r="C12" s="17"/>
      <c r="D12" s="13"/>
      <c r="E12" s="70"/>
      <c r="F12" s="109"/>
      <c r="G12" s="11"/>
      <c r="H12" s="67"/>
      <c r="I12" s="12"/>
      <c r="J12" s="61"/>
      <c r="K12" s="71"/>
      <c r="L12" s="62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5"/>
    </row>
    <row r="14" spans="1:18" x14ac:dyDescent="0.25">
      <c r="A14" s="16"/>
      <c r="B14" s="49"/>
      <c r="C14" s="17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31"/>
    </row>
    <row r="15" spans="1:18" x14ac:dyDescent="0.25">
      <c r="A15" s="16"/>
      <c r="B15" s="49"/>
      <c r="C15" s="17"/>
      <c r="D15" s="13"/>
      <c r="E15" s="70"/>
      <c r="F15" s="14"/>
      <c r="G15" s="11"/>
      <c r="H15" s="67"/>
      <c r="I15" s="12"/>
      <c r="J15" s="61"/>
      <c r="K15" s="71"/>
      <c r="L15" s="62"/>
      <c r="M15" s="75"/>
      <c r="N15" s="73"/>
      <c r="O15" s="15"/>
    </row>
    <row r="16" spans="1:18" x14ac:dyDescent="0.25">
      <c r="A16" s="16"/>
      <c r="B16" s="49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14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14"/>
      <c r="G18" s="11"/>
      <c r="H18" s="67"/>
      <c r="I18" s="12"/>
      <c r="J18" s="61"/>
      <c r="K18" s="71"/>
      <c r="L18" s="62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49"/>
      <c r="C21" s="85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5"/>
    </row>
    <row r="23" spans="1:15" x14ac:dyDescent="0.25">
      <c r="A23" s="16"/>
      <c r="B23" s="49"/>
      <c r="C23" s="17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15"/>
    </row>
    <row r="25" spans="1:15" x14ac:dyDescent="0.25">
      <c r="A25" s="16"/>
      <c r="B25" s="49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31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15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31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11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49"/>
      <c r="C42" s="17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32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83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26"/>
      <c r="B115" s="66"/>
      <c r="C115" s="58"/>
      <c r="D115" s="26"/>
      <c r="E115" s="74"/>
      <c r="F115" s="58"/>
      <c r="G115" s="26"/>
      <c r="H115" s="58"/>
      <c r="I115" s="58"/>
      <c r="J115" s="26"/>
      <c r="K115" s="74"/>
      <c r="L115" s="58"/>
      <c r="M115" s="26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74"/>
      <c r="L116" s="58"/>
      <c r="M116" s="26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74"/>
      <c r="L117" s="58"/>
      <c r="M117" s="26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74"/>
      <c r="L118" s="58"/>
      <c r="M118" s="26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74"/>
      <c r="L119" s="58"/>
      <c r="M119" s="26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74"/>
      <c r="L120" s="58"/>
      <c r="M120" s="26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74"/>
      <c r="L121" s="58"/>
      <c r="M121" s="26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74"/>
      <c r="L122" s="58"/>
      <c r="M122" s="26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74"/>
      <c r="L123" s="58"/>
      <c r="M123" s="26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74"/>
      <c r="L124" s="58"/>
      <c r="M124" s="26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74"/>
      <c r="L125" s="58"/>
      <c r="M125" s="26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74"/>
      <c r="L126" s="58"/>
      <c r="M126" s="26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74"/>
      <c r="L127" s="58"/>
      <c r="M127" s="26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74"/>
      <c r="L128" s="58"/>
      <c r="M128" s="26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74"/>
      <c r="L129" s="58"/>
      <c r="M129" s="26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74"/>
      <c r="L130" s="58"/>
      <c r="M130" s="26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74"/>
      <c r="L131" s="58"/>
      <c r="M131" s="26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74"/>
      <c r="L132" s="58"/>
      <c r="M132" s="26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74"/>
      <c r="L133" s="58"/>
      <c r="M133" s="26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74"/>
      <c r="L134" s="58"/>
      <c r="M134" s="26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74"/>
      <c r="L135" s="58"/>
      <c r="M135" s="26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74"/>
      <c r="L136" s="58"/>
      <c r="M136" s="26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74"/>
      <c r="L137" s="58"/>
      <c r="M137" s="26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74"/>
      <c r="L138" s="58"/>
      <c r="M138" s="26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74"/>
      <c r="L139" s="58"/>
      <c r="M139" s="26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74"/>
      <c r="L140" s="58"/>
      <c r="M140" s="26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74"/>
      <c r="L141" s="58"/>
      <c r="M141" s="26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74"/>
      <c r="L142" s="58"/>
      <c r="M142" s="26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74"/>
      <c r="L143" s="58"/>
      <c r="M143" s="26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74"/>
      <c r="L144" s="58"/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74"/>
      <c r="L145" s="58"/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74"/>
      <c r="L146" s="58"/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74"/>
      <c r="L147" s="58"/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74"/>
      <c r="L148" s="58"/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74"/>
      <c r="L149" s="58"/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74"/>
      <c r="L150" s="58"/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74"/>
      <c r="L151" s="58"/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74"/>
      <c r="L152" s="58"/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74"/>
      <c r="L153" s="58"/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74"/>
      <c r="L154" s="58"/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74"/>
      <c r="L155" s="58"/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74"/>
      <c r="L156" s="58"/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74"/>
      <c r="L157" s="58"/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74"/>
      <c r="L158" s="58"/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74"/>
      <c r="L159" s="58"/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74"/>
      <c r="L160" s="58"/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74"/>
      <c r="L161" s="58"/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74"/>
      <c r="L162" s="58"/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74"/>
      <c r="L163" s="58"/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74"/>
      <c r="L164" s="58"/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74"/>
      <c r="L165" s="58"/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74"/>
      <c r="L166" s="58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74"/>
      <c r="L167" s="58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A536" s="26"/>
      <c r="B536" s="66"/>
      <c r="C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60"/>
  <sheetViews>
    <sheetView zoomScaleNormal="100" workbookViewId="0">
      <pane ySplit="4" topLeftCell="A5" activePane="bottomLeft" state="frozen"/>
      <selection pane="bottomLeft" activeCell="L4" sqref="L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7.285156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 t="s">
        <v>10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x14ac:dyDescent="0.25">
      <c r="A2" s="140" t="s">
        <v>0</v>
      </c>
      <c r="B2" s="140"/>
      <c r="C2" s="140"/>
      <c r="D2" s="141"/>
      <c r="E2" s="141"/>
      <c r="F2" s="141"/>
      <c r="G2" s="142" t="s">
        <v>5</v>
      </c>
      <c r="H2" s="142"/>
      <c r="I2" s="142"/>
      <c r="J2" s="147" t="s">
        <v>6</v>
      </c>
      <c r="K2" s="147"/>
      <c r="L2" s="147"/>
      <c r="M2" s="135" t="s">
        <v>12</v>
      </c>
      <c r="N2" s="135"/>
      <c r="O2" s="135"/>
      <c r="Q2" s="144" t="s">
        <v>13</v>
      </c>
      <c r="R2" s="144"/>
    </row>
    <row r="3" spans="1:18" x14ac:dyDescent="0.25">
      <c r="A3" s="8">
        <f>SUBTOTAL(3,A5:A124)</f>
        <v>0</v>
      </c>
      <c r="B3" s="8">
        <f>SUBTOTAL(9,B5:B124)</f>
        <v>0</v>
      </c>
      <c r="C3" s="35">
        <v>44871</v>
      </c>
      <c r="D3" s="8">
        <f>SUBTOTAL(3,D5:D117)</f>
        <v>0</v>
      </c>
      <c r="E3" s="1">
        <f>SUBTOTAL(9,E5:E137)</f>
        <v>0</v>
      </c>
      <c r="F3" s="38">
        <v>44878</v>
      </c>
      <c r="G3" s="8">
        <f>SUBTOTAL(3,G5:G118)</f>
        <v>0</v>
      </c>
      <c r="H3" s="1">
        <f>SUBTOTAL(9,H5:H118)</f>
        <v>0</v>
      </c>
      <c r="I3" s="39">
        <v>44885</v>
      </c>
      <c r="J3" s="8">
        <f>SUBTOTAL(3,J5:J559)</f>
        <v>0</v>
      </c>
      <c r="K3" s="1">
        <f>SUBTOTAL(9,K5:K559)</f>
        <v>0</v>
      </c>
      <c r="L3" s="63">
        <v>44892</v>
      </c>
      <c r="M3" s="1">
        <f>SUBTOTAL(3,M5:M117)</f>
        <v>0</v>
      </c>
      <c r="N3" s="1">
        <f>SUBTOTAL(9,N5:N117)</f>
        <v>0</v>
      </c>
      <c r="O3" s="81"/>
      <c r="Q3" s="30">
        <f>+A3+D3+G3+J3+M3</f>
        <v>0</v>
      </c>
      <c r="R3" s="29">
        <f>+B3+E3+H3+K3+N3</f>
        <v>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/>
      <c r="B5" s="49"/>
      <c r="C5" s="17"/>
      <c r="D5" s="13"/>
      <c r="E5" s="70"/>
      <c r="F5" s="14"/>
      <c r="G5" s="11"/>
      <c r="H5" s="67"/>
      <c r="I5" s="12"/>
      <c r="J5" s="61"/>
      <c r="K5" s="71"/>
      <c r="L5" s="62"/>
      <c r="M5" s="75"/>
      <c r="N5" s="73"/>
      <c r="O5" s="15"/>
      <c r="Q5" s="32"/>
      <c r="R5" s="32"/>
    </row>
    <row r="6" spans="1:18" x14ac:dyDescent="0.25">
      <c r="A6" s="16"/>
      <c r="B6" s="49"/>
      <c r="C6" s="17"/>
      <c r="D6" s="13"/>
      <c r="E6" s="70"/>
      <c r="F6" s="14"/>
      <c r="G6" s="11"/>
      <c r="H6" s="67"/>
      <c r="I6" s="12"/>
      <c r="J6" s="61"/>
      <c r="K6" s="71"/>
      <c r="L6" s="62"/>
      <c r="M6" s="75"/>
      <c r="N6" s="73"/>
      <c r="O6" s="15"/>
    </row>
    <row r="7" spans="1:18" x14ac:dyDescent="0.25">
      <c r="A7" s="16"/>
      <c r="B7" s="49"/>
      <c r="C7" s="17"/>
      <c r="D7" s="13"/>
      <c r="E7" s="70"/>
      <c r="F7" s="14"/>
      <c r="G7" s="11"/>
      <c r="H7" s="67"/>
      <c r="I7" s="12"/>
      <c r="J7" s="61"/>
      <c r="K7" s="71"/>
      <c r="L7" s="62"/>
      <c r="M7" s="75"/>
      <c r="N7" s="73"/>
      <c r="O7" s="15"/>
    </row>
    <row r="8" spans="1:18" x14ac:dyDescent="0.25">
      <c r="A8" s="16"/>
      <c r="B8" s="49"/>
      <c r="C8" s="17"/>
      <c r="D8" s="13"/>
      <c r="E8" s="70"/>
      <c r="F8" s="14"/>
      <c r="G8" s="11"/>
      <c r="H8" s="67"/>
      <c r="I8" s="12"/>
      <c r="J8" s="61"/>
      <c r="K8" s="71"/>
      <c r="L8" s="62"/>
      <c r="M8" s="75"/>
      <c r="N8" s="73"/>
      <c r="O8" s="15"/>
    </row>
    <row r="9" spans="1:18" x14ac:dyDescent="0.25">
      <c r="A9" s="16"/>
      <c r="B9" s="49"/>
      <c r="C9" s="17"/>
      <c r="D9" s="13"/>
      <c r="E9" s="70"/>
      <c r="F9" s="14"/>
      <c r="G9" s="11"/>
      <c r="H9" s="67"/>
      <c r="I9" s="12"/>
      <c r="J9" s="61"/>
      <c r="K9" s="71"/>
      <c r="L9" s="62"/>
      <c r="M9" s="75"/>
      <c r="N9" s="73"/>
      <c r="O9" s="15"/>
    </row>
    <row r="10" spans="1:18" x14ac:dyDescent="0.25">
      <c r="A10" s="16"/>
      <c r="B10" s="49"/>
      <c r="C10" s="17"/>
      <c r="D10" s="13"/>
      <c r="E10" s="70"/>
      <c r="F10" s="14"/>
      <c r="G10" s="11"/>
      <c r="H10" s="67"/>
      <c r="I10" s="12"/>
      <c r="J10" s="61"/>
      <c r="K10" s="71"/>
      <c r="L10" s="62"/>
      <c r="M10" s="75"/>
      <c r="N10" s="73"/>
      <c r="O10" s="15"/>
    </row>
    <row r="11" spans="1:18" x14ac:dyDescent="0.25">
      <c r="A11" s="16"/>
      <c r="B11" s="49"/>
      <c r="C11" s="17"/>
      <c r="D11" s="13"/>
      <c r="E11" s="70"/>
      <c r="F11" s="14"/>
      <c r="G11" s="11"/>
      <c r="H11" s="67"/>
      <c r="I11" s="12"/>
      <c r="J11" s="61"/>
      <c r="K11" s="71"/>
      <c r="L11" s="62"/>
      <c r="M11" s="75"/>
      <c r="N11" s="73"/>
      <c r="O11" s="31"/>
    </row>
    <row r="12" spans="1:18" x14ac:dyDescent="0.25">
      <c r="A12" s="16"/>
      <c r="B12" s="49"/>
      <c r="C12" s="17"/>
      <c r="D12" s="13"/>
      <c r="E12" s="70"/>
      <c r="F12" s="99"/>
      <c r="G12" s="11"/>
      <c r="H12" s="67"/>
      <c r="I12" s="114"/>
      <c r="J12" s="61"/>
      <c r="K12" s="71"/>
      <c r="L12" s="62"/>
      <c r="M12" s="75"/>
      <c r="N12" s="73"/>
      <c r="O12" s="15"/>
    </row>
    <row r="13" spans="1:18" x14ac:dyDescent="0.25">
      <c r="A13" s="16"/>
      <c r="B13" s="49"/>
      <c r="C13" s="17"/>
      <c r="D13" s="13"/>
      <c r="E13" s="70"/>
      <c r="F13" s="14"/>
      <c r="G13" s="11"/>
      <c r="H13" s="67"/>
      <c r="I13" s="12"/>
      <c r="J13" s="61"/>
      <c r="K13" s="71"/>
      <c r="L13" s="62"/>
      <c r="M13" s="75"/>
      <c r="N13" s="73"/>
      <c r="O13" s="15"/>
    </row>
    <row r="14" spans="1:18" x14ac:dyDescent="0.25">
      <c r="A14" s="16"/>
      <c r="B14" s="49"/>
      <c r="C14" s="17"/>
      <c r="D14" s="13"/>
      <c r="E14" s="70"/>
      <c r="F14" s="14"/>
      <c r="G14" s="11"/>
      <c r="H14" s="67"/>
      <c r="I14" s="12"/>
      <c r="J14" s="61"/>
      <c r="K14" s="71"/>
      <c r="L14" s="62"/>
      <c r="M14" s="75"/>
      <c r="N14" s="73"/>
      <c r="O14" s="15"/>
    </row>
    <row r="15" spans="1:18" x14ac:dyDescent="0.25">
      <c r="A15" s="16"/>
      <c r="B15" s="49"/>
      <c r="C15" s="17"/>
      <c r="D15" s="13"/>
      <c r="E15" s="70"/>
      <c r="F15" s="33"/>
      <c r="G15" s="11"/>
      <c r="H15" s="67"/>
      <c r="I15" s="12"/>
      <c r="J15" s="61"/>
      <c r="K15" s="71"/>
      <c r="L15" s="62"/>
      <c r="M15" s="75"/>
      <c r="N15" s="73"/>
      <c r="O15" s="15"/>
    </row>
    <row r="16" spans="1:18" x14ac:dyDescent="0.25">
      <c r="A16" s="16"/>
      <c r="B16" s="49"/>
      <c r="C16" s="17"/>
      <c r="D16" s="13"/>
      <c r="E16" s="70"/>
      <c r="F16" s="14"/>
      <c r="G16" s="11"/>
      <c r="H16" s="67"/>
      <c r="I16" s="12"/>
      <c r="J16" s="61"/>
      <c r="K16" s="71"/>
      <c r="L16" s="62"/>
      <c r="M16" s="75"/>
      <c r="N16" s="73"/>
      <c r="O16" s="15"/>
    </row>
    <row r="17" spans="1:15" x14ac:dyDescent="0.25">
      <c r="A17" s="16"/>
      <c r="B17" s="49"/>
      <c r="C17" s="17"/>
      <c r="D17" s="13"/>
      <c r="E17" s="70"/>
      <c r="F17" s="14"/>
      <c r="G17" s="11"/>
      <c r="H17" s="67"/>
      <c r="I17" s="12"/>
      <c r="J17" s="61"/>
      <c r="K17" s="71"/>
      <c r="L17" s="62"/>
      <c r="M17" s="75"/>
      <c r="N17" s="73"/>
      <c r="O17" s="15"/>
    </row>
    <row r="18" spans="1:15" x14ac:dyDescent="0.25">
      <c r="A18" s="16"/>
      <c r="B18" s="49"/>
      <c r="C18" s="17"/>
      <c r="D18" s="13"/>
      <c r="E18" s="70"/>
      <c r="F18" s="14"/>
      <c r="G18" s="11"/>
      <c r="H18" s="67"/>
      <c r="I18" s="12"/>
      <c r="J18" s="61"/>
      <c r="K18" s="71"/>
      <c r="L18" s="62"/>
      <c r="M18" s="75"/>
      <c r="N18" s="73"/>
      <c r="O18" s="15"/>
    </row>
    <row r="19" spans="1:15" x14ac:dyDescent="0.25">
      <c r="A19" s="16"/>
      <c r="B19" s="49"/>
      <c r="C19" s="17"/>
      <c r="D19" s="13"/>
      <c r="E19" s="70"/>
      <c r="F19" s="14"/>
      <c r="G19" s="11"/>
      <c r="H19" s="67"/>
      <c r="I19" s="12"/>
      <c r="J19" s="61"/>
      <c r="K19" s="71"/>
      <c r="L19" s="62"/>
      <c r="M19" s="75"/>
      <c r="N19" s="73"/>
      <c r="O19" s="15"/>
    </row>
    <row r="20" spans="1:15" x14ac:dyDescent="0.25">
      <c r="A20" s="16"/>
      <c r="B20" s="49"/>
      <c r="C20" s="17"/>
      <c r="D20" s="13"/>
      <c r="E20" s="70"/>
      <c r="F20" s="14"/>
      <c r="G20" s="11"/>
      <c r="H20" s="67"/>
      <c r="I20" s="12"/>
      <c r="J20" s="61"/>
      <c r="K20" s="71"/>
      <c r="L20" s="62"/>
      <c r="M20" s="75"/>
      <c r="N20" s="73"/>
      <c r="O20" s="15"/>
    </row>
    <row r="21" spans="1:15" x14ac:dyDescent="0.25">
      <c r="A21" s="16"/>
      <c r="B21" s="49"/>
      <c r="C21" s="17"/>
      <c r="D21" s="13"/>
      <c r="E21" s="70"/>
      <c r="F21" s="14"/>
      <c r="G21" s="11"/>
      <c r="H21" s="67"/>
      <c r="I21" s="12"/>
      <c r="J21" s="61"/>
      <c r="K21" s="71"/>
      <c r="L21" s="62"/>
      <c r="M21" s="75"/>
      <c r="N21" s="73"/>
      <c r="O21" s="15"/>
    </row>
    <row r="22" spans="1:15" x14ac:dyDescent="0.25">
      <c r="A22" s="16"/>
      <c r="B22" s="49"/>
      <c r="C22" s="17"/>
      <c r="D22" s="13"/>
      <c r="E22" s="70"/>
      <c r="F22" s="14"/>
      <c r="G22" s="11"/>
      <c r="H22" s="67"/>
      <c r="I22" s="12"/>
      <c r="J22" s="61"/>
      <c r="K22" s="71"/>
      <c r="L22" s="62"/>
      <c r="M22" s="75"/>
      <c r="N22" s="73"/>
      <c r="O22" s="15"/>
    </row>
    <row r="23" spans="1:15" x14ac:dyDescent="0.25">
      <c r="A23" s="16"/>
      <c r="B23" s="49"/>
      <c r="C23" s="115"/>
      <c r="D23" s="13"/>
      <c r="E23" s="70"/>
      <c r="F23" s="14"/>
      <c r="G23" s="11"/>
      <c r="H23" s="67"/>
      <c r="I23" s="12"/>
      <c r="J23" s="61"/>
      <c r="K23" s="71"/>
      <c r="L23" s="62"/>
      <c r="M23" s="75"/>
      <c r="N23" s="73"/>
      <c r="O23" s="15"/>
    </row>
    <row r="24" spans="1:15" x14ac:dyDescent="0.25">
      <c r="A24" s="16"/>
      <c r="B24" s="49"/>
      <c r="C24" s="17"/>
      <c r="D24" s="13"/>
      <c r="E24" s="70"/>
      <c r="F24" s="14"/>
      <c r="G24" s="11"/>
      <c r="H24" s="67"/>
      <c r="I24" s="12"/>
      <c r="J24" s="61"/>
      <c r="K24" s="71"/>
      <c r="L24" s="62"/>
      <c r="M24" s="75"/>
      <c r="N24" s="73"/>
      <c r="O24" s="31"/>
    </row>
    <row r="25" spans="1:15" x14ac:dyDescent="0.25">
      <c r="A25" s="16"/>
      <c r="B25" s="49"/>
      <c r="C25" s="17"/>
      <c r="D25" s="13"/>
      <c r="E25" s="70"/>
      <c r="F25" s="14"/>
      <c r="G25" s="11"/>
      <c r="H25" s="67"/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49"/>
      <c r="C26" s="17"/>
      <c r="D26" s="13"/>
      <c r="E26" s="70"/>
      <c r="F26" s="14"/>
      <c r="G26" s="11"/>
      <c r="H26" s="67"/>
      <c r="I26" s="12"/>
      <c r="J26" s="61"/>
      <c r="K26" s="71"/>
      <c r="L26" s="62"/>
      <c r="M26" s="75"/>
      <c r="N26" s="73"/>
      <c r="O26" s="15"/>
    </row>
    <row r="27" spans="1:15" x14ac:dyDescent="0.25">
      <c r="A27" s="16"/>
      <c r="B27" s="49"/>
      <c r="C27" s="17"/>
      <c r="D27" s="13"/>
      <c r="E27" s="70"/>
      <c r="F27" s="14"/>
      <c r="G27" s="11"/>
      <c r="H27" s="67"/>
      <c r="I27" s="12"/>
      <c r="J27" s="61"/>
      <c r="K27" s="71"/>
      <c r="L27" s="62"/>
      <c r="M27" s="75"/>
      <c r="N27" s="73"/>
      <c r="O27" s="15"/>
    </row>
    <row r="28" spans="1:15" x14ac:dyDescent="0.25">
      <c r="A28" s="16"/>
      <c r="B28" s="49"/>
      <c r="C28" s="17"/>
      <c r="D28" s="13"/>
      <c r="E28" s="70"/>
      <c r="F28" s="14"/>
      <c r="G28" s="11"/>
      <c r="H28" s="67"/>
      <c r="I28" s="12"/>
      <c r="J28" s="61"/>
      <c r="K28" s="71"/>
      <c r="L28" s="62"/>
      <c r="M28" s="75"/>
      <c r="N28" s="73"/>
      <c r="O28" s="15"/>
    </row>
    <row r="29" spans="1:15" x14ac:dyDescent="0.25">
      <c r="A29" s="16"/>
      <c r="B29" s="49"/>
      <c r="C29" s="17"/>
      <c r="D29" s="13"/>
      <c r="E29" s="70"/>
      <c r="F29" s="14"/>
      <c r="G29" s="11"/>
      <c r="H29" s="67"/>
      <c r="I29" s="12"/>
      <c r="J29" s="61"/>
      <c r="K29" s="71"/>
      <c r="L29" s="62"/>
      <c r="M29" s="75"/>
      <c r="N29" s="73"/>
      <c r="O29" s="15"/>
    </row>
    <row r="30" spans="1:15" x14ac:dyDescent="0.25">
      <c r="A30" s="16"/>
      <c r="B30" s="49"/>
      <c r="C30" s="17"/>
      <c r="D30" s="13"/>
      <c r="E30" s="70"/>
      <c r="F30" s="14"/>
      <c r="G30" s="11"/>
      <c r="H30" s="67"/>
      <c r="I30" s="12"/>
      <c r="J30" s="61"/>
      <c r="K30" s="71"/>
      <c r="L30" s="62"/>
      <c r="M30" s="75"/>
      <c r="N30" s="73"/>
      <c r="O30" s="15"/>
    </row>
    <row r="31" spans="1:15" x14ac:dyDescent="0.25">
      <c r="A31" s="16"/>
      <c r="B31" s="49"/>
      <c r="C31" s="17"/>
      <c r="D31" s="13"/>
      <c r="E31" s="70"/>
      <c r="F31" s="14"/>
      <c r="G31" s="11"/>
      <c r="H31" s="67"/>
      <c r="I31" s="12"/>
      <c r="J31" s="61"/>
      <c r="K31" s="71"/>
      <c r="L31" s="62"/>
      <c r="M31" s="75"/>
      <c r="N31" s="73"/>
      <c r="O31" s="31"/>
    </row>
    <row r="32" spans="1:15" x14ac:dyDescent="0.25">
      <c r="A32" s="16"/>
      <c r="B32" s="49"/>
      <c r="C32" s="17"/>
      <c r="D32" s="13"/>
      <c r="E32" s="70"/>
      <c r="F32" s="14"/>
      <c r="G32" s="11"/>
      <c r="H32" s="67"/>
      <c r="I32" s="12"/>
      <c r="J32" s="61"/>
      <c r="K32" s="71"/>
      <c r="L32" s="62"/>
      <c r="M32" s="75"/>
      <c r="N32" s="73"/>
      <c r="O32" s="15"/>
    </row>
    <row r="33" spans="1:15" x14ac:dyDescent="0.25">
      <c r="A33" s="16"/>
      <c r="B33" s="49"/>
      <c r="C33" s="17"/>
      <c r="D33" s="13"/>
      <c r="E33" s="70"/>
      <c r="F33" s="14"/>
      <c r="G33" s="11"/>
      <c r="H33" s="67"/>
      <c r="I33" s="12"/>
      <c r="J33" s="61"/>
      <c r="K33" s="71"/>
      <c r="L33" s="62"/>
      <c r="M33" s="75"/>
      <c r="N33" s="73"/>
      <c r="O33" s="15"/>
    </row>
    <row r="34" spans="1:15" x14ac:dyDescent="0.25">
      <c r="A34" s="16"/>
      <c r="B34" s="49"/>
      <c r="C34" s="17"/>
      <c r="D34" s="13"/>
      <c r="E34" s="70"/>
      <c r="F34" s="14"/>
      <c r="G34" s="11"/>
      <c r="H34" s="67"/>
      <c r="I34" s="12"/>
      <c r="J34" s="61"/>
      <c r="K34" s="71"/>
      <c r="L34" s="62"/>
      <c r="M34" s="75"/>
      <c r="N34" s="73"/>
      <c r="O34" s="15"/>
    </row>
    <row r="35" spans="1:15" x14ac:dyDescent="0.25">
      <c r="A35" s="16"/>
      <c r="B35" s="49"/>
      <c r="C35" s="17"/>
      <c r="D35" s="13"/>
      <c r="E35" s="70"/>
      <c r="F35" s="14"/>
      <c r="G35" s="11"/>
      <c r="H35" s="67"/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49"/>
      <c r="C36" s="17"/>
      <c r="D36" s="13"/>
      <c r="E36" s="70"/>
      <c r="F36" s="14"/>
      <c r="G36" s="11"/>
      <c r="H36" s="67"/>
      <c r="I36" s="12"/>
      <c r="J36" s="61"/>
      <c r="K36" s="71"/>
      <c r="L36" s="62"/>
      <c r="M36" s="75"/>
      <c r="N36" s="73"/>
      <c r="O36" s="15"/>
    </row>
    <row r="37" spans="1:15" x14ac:dyDescent="0.25">
      <c r="A37" s="16"/>
      <c r="B37" s="49"/>
      <c r="C37" s="17"/>
      <c r="D37" s="13"/>
      <c r="E37" s="70"/>
      <c r="F37" s="14"/>
      <c r="G37" s="11"/>
      <c r="H37" s="67"/>
      <c r="I37" s="12"/>
      <c r="J37" s="61"/>
      <c r="K37" s="71"/>
      <c r="L37" s="62"/>
      <c r="M37" s="75"/>
      <c r="N37" s="73"/>
      <c r="O37" s="15"/>
    </row>
    <row r="38" spans="1:15" x14ac:dyDescent="0.25">
      <c r="A38" s="16"/>
      <c r="B38" s="49"/>
      <c r="C38" s="17"/>
      <c r="D38" s="13"/>
      <c r="E38" s="70"/>
      <c r="F38" s="14"/>
      <c r="G38" s="11"/>
      <c r="H38" s="67"/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49"/>
      <c r="C39" s="17"/>
      <c r="D39" s="13"/>
      <c r="E39" s="70"/>
      <c r="F39" s="14"/>
      <c r="G39" s="11"/>
      <c r="H39" s="67"/>
      <c r="I39" s="12"/>
      <c r="J39" s="61"/>
      <c r="K39" s="71"/>
      <c r="L39" s="62"/>
      <c r="M39" s="75"/>
      <c r="N39" s="73"/>
      <c r="O39" s="15"/>
    </row>
    <row r="40" spans="1:15" x14ac:dyDescent="0.25">
      <c r="A40" s="16"/>
      <c r="B40" s="49"/>
      <c r="C40" s="17"/>
      <c r="D40" s="13"/>
      <c r="E40" s="70"/>
      <c r="F40" s="14"/>
      <c r="G40" s="11"/>
      <c r="H40" s="67"/>
      <c r="I40" s="12"/>
      <c r="J40" s="61"/>
      <c r="K40" s="71"/>
      <c r="L40" s="62"/>
      <c r="M40" s="75"/>
      <c r="N40" s="73"/>
      <c r="O40" s="15"/>
    </row>
    <row r="41" spans="1:15" x14ac:dyDescent="0.25">
      <c r="A41" s="16"/>
      <c r="B41" s="49"/>
      <c r="C41" s="17"/>
      <c r="D41" s="13"/>
      <c r="E41" s="70"/>
      <c r="F41" s="14"/>
      <c r="G41" s="11"/>
      <c r="H41" s="67"/>
      <c r="I41" s="12"/>
      <c r="J41" s="61"/>
      <c r="K41" s="71"/>
      <c r="L41" s="62"/>
      <c r="M41" s="75"/>
      <c r="N41" s="73"/>
      <c r="O41" s="15"/>
    </row>
    <row r="42" spans="1:15" x14ac:dyDescent="0.25">
      <c r="A42" s="16"/>
      <c r="B42" s="49"/>
      <c r="C42" s="17"/>
      <c r="D42" s="13"/>
      <c r="E42" s="70"/>
      <c r="F42" s="14"/>
      <c r="G42" s="11"/>
      <c r="H42" s="67"/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/>
      <c r="D43" s="13"/>
      <c r="E43" s="70"/>
      <c r="F43" s="14"/>
      <c r="G43" s="11"/>
      <c r="H43" s="67"/>
      <c r="I43" s="12"/>
      <c r="J43" s="61"/>
      <c r="K43" s="71"/>
      <c r="L43" s="62"/>
      <c r="M43" s="75"/>
      <c r="N43" s="73"/>
      <c r="O43" s="15"/>
    </row>
    <row r="44" spans="1:15" x14ac:dyDescent="0.25">
      <c r="A44" s="16"/>
      <c r="B44" s="49"/>
      <c r="C44" s="17"/>
      <c r="D44" s="13"/>
      <c r="E44" s="70"/>
      <c r="F44" s="14"/>
      <c r="G44" s="11"/>
      <c r="H44" s="67"/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7"/>
      <c r="D45" s="13"/>
      <c r="E45" s="70"/>
      <c r="F45" s="14"/>
      <c r="G45" s="11"/>
      <c r="H45" s="67"/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/>
      <c r="D46" s="13"/>
      <c r="E46" s="70"/>
      <c r="F46" s="14"/>
      <c r="G46" s="11"/>
      <c r="H46" s="67"/>
      <c r="I46" s="12"/>
      <c r="J46" s="61"/>
      <c r="K46" s="71"/>
      <c r="L46" s="62"/>
      <c r="M46" s="75"/>
      <c r="N46" s="73"/>
      <c r="O46" s="15"/>
    </row>
    <row r="47" spans="1:15" x14ac:dyDescent="0.25">
      <c r="A47" s="16"/>
      <c r="B47" s="49"/>
      <c r="C47" s="17"/>
      <c r="D47" s="13"/>
      <c r="E47" s="70"/>
      <c r="F47" s="14"/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/>
      <c r="D48" s="13"/>
      <c r="E48" s="70"/>
      <c r="F48" s="14"/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15"/>
      <c r="D49" s="13"/>
      <c r="E49" s="70"/>
      <c r="F49" s="14"/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/>
      <c r="D50" s="13"/>
      <c r="E50" s="70"/>
      <c r="F50" s="14"/>
      <c r="G50" s="11"/>
      <c r="H50" s="67"/>
      <c r="I50" s="12"/>
      <c r="J50" s="61"/>
      <c r="K50" s="71"/>
      <c r="L50" s="68"/>
      <c r="M50" s="75"/>
      <c r="N50" s="73"/>
      <c r="O50" s="15"/>
    </row>
    <row r="51" spans="1:15" x14ac:dyDescent="0.25">
      <c r="A51" s="16"/>
      <c r="B51" s="49"/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/>
      <c r="D53" s="13"/>
      <c r="E53" s="70"/>
      <c r="F53" s="14"/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/>
      <c r="B54" s="49"/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/>
      <c r="D55" s="13"/>
      <c r="E55" s="70"/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/>
      <c r="D56" s="13"/>
      <c r="E56" s="70"/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/>
      <c r="B57" s="49"/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/>
      <c r="E62" s="70"/>
      <c r="F62" s="14"/>
      <c r="G62" s="11"/>
      <c r="H62" s="67"/>
      <c r="I62" s="114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58"/>
      <c r="N92" s="58"/>
      <c r="O92" s="58"/>
    </row>
    <row r="93" spans="1:15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58"/>
      <c r="N93" s="58"/>
      <c r="O93" s="58"/>
    </row>
    <row r="94" spans="1:15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58"/>
      <c r="N94" s="58"/>
      <c r="O94" s="58"/>
    </row>
    <row r="95" spans="1:15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58"/>
      <c r="N95" s="58"/>
      <c r="O95" s="58"/>
    </row>
    <row r="96" spans="1:15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74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74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74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74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74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74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74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74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74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74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74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74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74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74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74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74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74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74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74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74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74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74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74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74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74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74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74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74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74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74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74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74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74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74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74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74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74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74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74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74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74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74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74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74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74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74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74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74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74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74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74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74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74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74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74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74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74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74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74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74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74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74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74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74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74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74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74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74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74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74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74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74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74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74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74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74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74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74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74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74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74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74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74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74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74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74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74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74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74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74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74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74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74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74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74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74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74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74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74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74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74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74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74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74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74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74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74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74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74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74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74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74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74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74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74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74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74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74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74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74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74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74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74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74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74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74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74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74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74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74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74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74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74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74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74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74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74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74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74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74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74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74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74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74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74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74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74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74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74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74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74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74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74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74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74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74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74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74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74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74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74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74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74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74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74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74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74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74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74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74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74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74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74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74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74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74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74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74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74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74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74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74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74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74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74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74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74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74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74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74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74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74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74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74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74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74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74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74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74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74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74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74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74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74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74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74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74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74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74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74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74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74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74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74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74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74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74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74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74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74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74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74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74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74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74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74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74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74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74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74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74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74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74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74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74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74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74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74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74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74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74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74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74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74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74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74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74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74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74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74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74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74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74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74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74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74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74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74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74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74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74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74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74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74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74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74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74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74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74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74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74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74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74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74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74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74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74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74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74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74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74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74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74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74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74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74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74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74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74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74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74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74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74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74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74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74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74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74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74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74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74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74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74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74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74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74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74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74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74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74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74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74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74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74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74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74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74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74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74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74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74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74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74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74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74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74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74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74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74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74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74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74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74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74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74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74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74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74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74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74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74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74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74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74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74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74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74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74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74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74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74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74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74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74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74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74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74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74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74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74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74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74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74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74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74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74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74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74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74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74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74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74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74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74"/>
      <c r="L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74"/>
      <c r="L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74"/>
      <c r="L535" s="58"/>
    </row>
    <row r="536" spans="1:15" x14ac:dyDescent="0.25">
      <c r="A536" s="26"/>
      <c r="B536" s="66"/>
      <c r="C536" s="58"/>
      <c r="D536" s="26"/>
      <c r="E536" s="58"/>
      <c r="F536" s="58"/>
      <c r="G536" s="26"/>
      <c r="H536" s="58"/>
      <c r="I536" s="58"/>
      <c r="J536" s="26"/>
      <c r="K536" s="74"/>
      <c r="L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74"/>
      <c r="L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74"/>
      <c r="L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74"/>
      <c r="L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74"/>
      <c r="L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74"/>
      <c r="L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74"/>
      <c r="L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74"/>
      <c r="L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74"/>
      <c r="L544" s="58"/>
    </row>
    <row r="545" spans="1:12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74"/>
      <c r="L545" s="58"/>
    </row>
    <row r="546" spans="1:12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74"/>
      <c r="L546" s="58"/>
    </row>
    <row r="547" spans="1:12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74"/>
      <c r="L547" s="58"/>
    </row>
    <row r="548" spans="1:12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74"/>
      <c r="L548" s="58"/>
    </row>
    <row r="549" spans="1:12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74"/>
      <c r="L549" s="58"/>
    </row>
    <row r="550" spans="1:12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74"/>
      <c r="L550" s="58"/>
    </row>
    <row r="551" spans="1:12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74"/>
      <c r="L551" s="58"/>
    </row>
    <row r="552" spans="1:12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74"/>
      <c r="L552" s="58"/>
    </row>
    <row r="553" spans="1:12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74"/>
      <c r="L553" s="58"/>
    </row>
    <row r="554" spans="1:12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74"/>
      <c r="L554" s="58"/>
    </row>
    <row r="555" spans="1:12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74"/>
      <c r="L555" s="58"/>
    </row>
    <row r="556" spans="1:12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74"/>
      <c r="L556" s="58"/>
    </row>
    <row r="557" spans="1:12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74"/>
      <c r="L557" s="58"/>
    </row>
    <row r="558" spans="1:12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74"/>
      <c r="L558" s="58"/>
    </row>
    <row r="559" spans="1:12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74"/>
      <c r="L559" s="58"/>
    </row>
    <row r="560" spans="1:12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36"/>
  <sheetViews>
    <sheetView topLeftCell="A5" workbookViewId="0">
      <pane ySplit="3" topLeftCell="A8" activePane="bottomLeft" state="frozen"/>
      <selection activeCell="A5" sqref="A5"/>
      <selection pane="bottomLeft" sqref="A1:K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855468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4" width="7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 t="s">
        <v>11</v>
      </c>
      <c r="M1" s="138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9" t="s">
        <v>8</v>
      </c>
      <c r="D3" s="139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0" t="s">
        <v>0</v>
      </c>
      <c r="B5" s="140"/>
      <c r="C5" s="140"/>
      <c r="D5" s="141" t="s">
        <v>4</v>
      </c>
      <c r="E5" s="141"/>
      <c r="F5" s="141"/>
      <c r="G5" s="142" t="s">
        <v>5</v>
      </c>
      <c r="H5" s="142"/>
      <c r="I5" s="142"/>
      <c r="J5" s="147" t="s">
        <v>6</v>
      </c>
      <c r="K5" s="147"/>
      <c r="L5" s="147"/>
      <c r="M5" s="135" t="s">
        <v>12</v>
      </c>
      <c r="N5" s="135"/>
      <c r="O5" s="135"/>
      <c r="Q5" s="144" t="s">
        <v>13</v>
      </c>
      <c r="R5" s="144"/>
    </row>
    <row r="6" spans="1:18" x14ac:dyDescent="0.25">
      <c r="A6" s="8">
        <f>SUBTOTAL(3,A8:A122)</f>
        <v>0</v>
      </c>
      <c r="B6" s="8">
        <f>SUBTOTAL(9,B8:B122)</f>
        <v>0</v>
      </c>
      <c r="C6" s="35">
        <v>44899</v>
      </c>
      <c r="D6" s="8">
        <f>SUBTOTAL(3,D8:D120)</f>
        <v>0</v>
      </c>
      <c r="E6" s="1">
        <f>SUBTOTAL(9,E8:E120)</f>
        <v>0</v>
      </c>
      <c r="F6" s="38">
        <v>44906</v>
      </c>
      <c r="G6" s="8">
        <f>SUBTOTAL(3,G8:G121)</f>
        <v>0</v>
      </c>
      <c r="H6" s="1">
        <f>SUBTOTAL(9,H8:H121)</f>
        <v>0</v>
      </c>
      <c r="I6" s="39">
        <v>44913</v>
      </c>
      <c r="J6" s="8">
        <f>SUBTOTAL(3,J8:J110)</f>
        <v>0</v>
      </c>
      <c r="K6" s="1">
        <f>SUBTOTAL(9,K8:K110)</f>
        <v>0</v>
      </c>
      <c r="L6" s="63">
        <v>44920</v>
      </c>
      <c r="M6" s="1">
        <f>SUBTOTAL(3,M8:M120)</f>
        <v>0</v>
      </c>
      <c r="N6" s="1">
        <f>SUBTOTAL(9,N8:N120)</f>
        <v>0</v>
      </c>
      <c r="O6" s="81"/>
      <c r="Q6" s="30">
        <f>+A6+D6+G6+J6+M6</f>
        <v>0</v>
      </c>
      <c r="R6" s="29">
        <f>+B6+E6+H6+K6+N6</f>
        <v>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15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/>
      <c r="B8" s="49"/>
      <c r="C8" s="17"/>
      <c r="D8" s="13"/>
      <c r="E8" s="100"/>
      <c r="F8" s="14"/>
      <c r="G8" s="11"/>
      <c r="H8" s="67"/>
      <c r="I8" s="12"/>
      <c r="J8" s="61"/>
      <c r="K8" s="72"/>
      <c r="L8" s="62"/>
      <c r="M8" s="15"/>
      <c r="N8" s="15"/>
      <c r="O8" s="15"/>
      <c r="Q8" s="32"/>
      <c r="R8" s="32"/>
    </row>
    <row r="9" spans="1:18" x14ac:dyDescent="0.25">
      <c r="A9" s="16"/>
      <c r="B9" s="49"/>
      <c r="C9" s="17"/>
      <c r="D9" s="13"/>
      <c r="E9" s="100"/>
      <c r="F9" s="14"/>
      <c r="G9" s="11"/>
      <c r="H9" s="67"/>
      <c r="I9" s="12"/>
      <c r="J9" s="61"/>
      <c r="K9" s="72"/>
      <c r="L9" s="62"/>
      <c r="M9" s="15"/>
      <c r="N9" s="15"/>
      <c r="O9" s="15"/>
    </row>
    <row r="10" spans="1:18" x14ac:dyDescent="0.25">
      <c r="A10" s="16"/>
      <c r="B10" s="49"/>
      <c r="C10" s="17"/>
      <c r="D10" s="13"/>
      <c r="E10" s="100"/>
      <c r="F10" s="14"/>
      <c r="G10" s="11"/>
      <c r="H10" s="67"/>
      <c r="I10" s="12"/>
      <c r="J10" s="61"/>
      <c r="K10" s="72"/>
      <c r="L10" s="62"/>
      <c r="M10" s="15"/>
      <c r="N10" s="15"/>
      <c r="O10" s="15"/>
    </row>
    <row r="11" spans="1:18" x14ac:dyDescent="0.25">
      <c r="A11" s="16"/>
      <c r="B11" s="49"/>
      <c r="C11" s="17"/>
      <c r="D11" s="13"/>
      <c r="E11" s="100"/>
      <c r="F11" s="14"/>
      <c r="G11" s="11"/>
      <c r="H11" s="67"/>
      <c r="I11" s="12"/>
      <c r="J11" s="61"/>
      <c r="K11" s="72"/>
      <c r="L11" s="62"/>
      <c r="M11" s="15"/>
      <c r="N11" s="15"/>
      <c r="O11" s="15"/>
    </row>
    <row r="12" spans="1:18" x14ac:dyDescent="0.25">
      <c r="A12" s="16"/>
      <c r="B12" s="49"/>
      <c r="C12" s="17"/>
      <c r="D12" s="13"/>
      <c r="E12" s="100"/>
      <c r="F12" s="14"/>
      <c r="G12" s="11"/>
      <c r="H12" s="67"/>
      <c r="I12" s="12"/>
      <c r="J12" s="61"/>
      <c r="K12" s="72"/>
      <c r="L12" s="62"/>
      <c r="M12" s="15"/>
      <c r="N12" s="15"/>
      <c r="O12" s="15"/>
    </row>
    <row r="13" spans="1:18" x14ac:dyDescent="0.25">
      <c r="A13" s="16"/>
      <c r="B13" s="49"/>
      <c r="C13" s="17"/>
      <c r="D13" s="13"/>
      <c r="E13" s="100"/>
      <c r="F13" s="14"/>
      <c r="G13" s="11"/>
      <c r="H13" s="67"/>
      <c r="I13" s="95"/>
      <c r="J13" s="61"/>
      <c r="K13" s="72"/>
      <c r="L13" s="62"/>
      <c r="M13" s="15"/>
      <c r="N13" s="15"/>
      <c r="O13" s="15"/>
    </row>
    <row r="14" spans="1:18" x14ac:dyDescent="0.25">
      <c r="A14" s="16"/>
      <c r="B14" s="49"/>
      <c r="C14" s="17"/>
      <c r="D14" s="13"/>
      <c r="E14" s="100"/>
      <c r="F14" s="14"/>
      <c r="G14" s="11"/>
      <c r="H14" s="67"/>
      <c r="I14" s="12"/>
      <c r="J14" s="61"/>
      <c r="K14" s="72"/>
      <c r="L14" s="62"/>
      <c r="M14" s="15"/>
      <c r="N14" s="15"/>
      <c r="O14" s="31"/>
    </row>
    <row r="15" spans="1:18" x14ac:dyDescent="0.25">
      <c r="A15" s="16"/>
      <c r="B15" s="49"/>
      <c r="C15" s="17"/>
      <c r="D15" s="13"/>
      <c r="E15" s="100"/>
      <c r="F15" s="14"/>
      <c r="G15" s="11"/>
      <c r="H15" s="67"/>
      <c r="I15" s="12"/>
      <c r="J15" s="61"/>
      <c r="K15" s="72"/>
      <c r="L15" s="62"/>
      <c r="M15" s="15"/>
      <c r="N15" s="15"/>
      <c r="O15" s="15"/>
    </row>
    <row r="16" spans="1:18" x14ac:dyDescent="0.25">
      <c r="A16" s="16"/>
      <c r="B16" s="49"/>
      <c r="C16" s="17"/>
      <c r="D16" s="13"/>
      <c r="E16" s="100"/>
      <c r="F16" s="14"/>
      <c r="G16" s="11"/>
      <c r="H16" s="67"/>
      <c r="I16" s="12"/>
      <c r="J16" s="61"/>
      <c r="K16" s="72"/>
      <c r="L16" s="62"/>
      <c r="M16" s="15"/>
      <c r="N16" s="15"/>
      <c r="O16" s="15"/>
    </row>
    <row r="17" spans="1:15" x14ac:dyDescent="0.25">
      <c r="A17" s="16"/>
      <c r="B17" s="49"/>
      <c r="C17" s="17"/>
      <c r="D17" s="13"/>
      <c r="E17" s="100"/>
      <c r="F17" s="14"/>
      <c r="G17" s="11"/>
      <c r="H17" s="67"/>
      <c r="I17" s="12"/>
      <c r="J17" s="61"/>
      <c r="K17" s="72"/>
      <c r="L17" s="62"/>
      <c r="M17" s="15"/>
      <c r="N17" s="15"/>
      <c r="O17" s="15"/>
    </row>
    <row r="18" spans="1:15" x14ac:dyDescent="0.25">
      <c r="A18" s="16"/>
      <c r="B18" s="49"/>
      <c r="C18" s="17"/>
      <c r="D18" s="13"/>
      <c r="E18" s="100"/>
      <c r="F18" s="33"/>
      <c r="G18" s="11"/>
      <c r="H18" s="67"/>
      <c r="I18" s="12"/>
      <c r="J18" s="61"/>
      <c r="K18" s="72"/>
      <c r="L18" s="62"/>
      <c r="M18" s="15"/>
      <c r="N18" s="15"/>
      <c r="O18" s="15"/>
    </row>
    <row r="19" spans="1:15" x14ac:dyDescent="0.25">
      <c r="A19" s="16"/>
      <c r="B19" s="49"/>
      <c r="C19" s="17"/>
      <c r="D19" s="13"/>
      <c r="E19" s="100"/>
      <c r="F19" s="14"/>
      <c r="G19" s="11"/>
      <c r="H19" s="67"/>
      <c r="I19" s="12"/>
      <c r="J19" s="61"/>
      <c r="K19" s="72"/>
      <c r="L19" s="133"/>
      <c r="M19" s="15"/>
      <c r="N19" s="15"/>
      <c r="O19" s="15"/>
    </row>
    <row r="20" spans="1:15" x14ac:dyDescent="0.25">
      <c r="A20" s="16"/>
      <c r="B20" s="49"/>
      <c r="C20" s="17"/>
      <c r="D20" s="13"/>
      <c r="E20" s="100"/>
      <c r="F20" s="14"/>
      <c r="G20" s="11"/>
      <c r="H20" s="67"/>
      <c r="I20" s="12"/>
      <c r="J20" s="61"/>
      <c r="K20" s="72"/>
      <c r="L20" s="62"/>
      <c r="M20" s="15"/>
      <c r="N20" s="15"/>
      <c r="O20" s="15"/>
    </row>
    <row r="21" spans="1:15" x14ac:dyDescent="0.25">
      <c r="A21" s="16"/>
      <c r="B21" s="49"/>
      <c r="C21" s="17"/>
      <c r="D21" s="13"/>
      <c r="E21" s="100"/>
      <c r="F21" s="14"/>
      <c r="G21" s="11"/>
      <c r="H21" s="67"/>
      <c r="I21" s="12"/>
      <c r="J21" s="61"/>
      <c r="K21" s="72"/>
      <c r="L21" s="62"/>
      <c r="M21" s="15"/>
      <c r="N21" s="15"/>
      <c r="O21" s="15"/>
    </row>
    <row r="22" spans="1:15" x14ac:dyDescent="0.25">
      <c r="A22" s="16"/>
      <c r="B22" s="49"/>
      <c r="C22" s="17"/>
      <c r="D22" s="13"/>
      <c r="E22" s="100"/>
      <c r="F22" s="14"/>
      <c r="G22" s="11"/>
      <c r="H22" s="67"/>
      <c r="I22" s="12"/>
      <c r="J22" s="61"/>
      <c r="K22" s="72"/>
      <c r="L22" s="62"/>
      <c r="M22" s="15"/>
      <c r="N22" s="15"/>
      <c r="O22" s="15"/>
    </row>
    <row r="23" spans="1:15" x14ac:dyDescent="0.25">
      <c r="A23" s="16"/>
      <c r="B23" s="49"/>
      <c r="C23" s="17"/>
      <c r="D23" s="13"/>
      <c r="E23" s="100"/>
      <c r="F23" s="14"/>
      <c r="G23" s="11"/>
      <c r="H23" s="67"/>
      <c r="I23" s="12"/>
      <c r="J23" s="61"/>
      <c r="K23" s="72"/>
      <c r="L23" s="62"/>
      <c r="M23" s="15"/>
      <c r="N23" s="15"/>
      <c r="O23" s="15"/>
    </row>
    <row r="24" spans="1:15" x14ac:dyDescent="0.25">
      <c r="A24" s="16"/>
      <c r="B24" s="49"/>
      <c r="C24" s="17"/>
      <c r="D24" s="13"/>
      <c r="E24" s="100"/>
      <c r="F24" s="14"/>
      <c r="G24" s="11"/>
      <c r="H24" s="67"/>
      <c r="I24" s="12"/>
      <c r="J24" s="61"/>
      <c r="K24" s="72"/>
      <c r="L24" s="62"/>
      <c r="M24" s="15"/>
      <c r="N24" s="15"/>
      <c r="O24" s="15"/>
    </row>
    <row r="25" spans="1:15" x14ac:dyDescent="0.25">
      <c r="A25" s="16"/>
      <c r="B25" s="49"/>
      <c r="C25" s="17"/>
      <c r="D25" s="13"/>
      <c r="E25" s="100"/>
      <c r="F25" s="14"/>
      <c r="G25" s="11"/>
      <c r="H25" s="67"/>
      <c r="I25" s="12"/>
      <c r="J25" s="61"/>
      <c r="K25" s="72"/>
      <c r="L25" s="62"/>
      <c r="M25" s="15"/>
      <c r="N25" s="15"/>
      <c r="O25" s="15"/>
    </row>
    <row r="26" spans="1:15" x14ac:dyDescent="0.25">
      <c r="A26" s="16"/>
      <c r="B26" s="49"/>
      <c r="C26" s="17"/>
      <c r="D26" s="13"/>
      <c r="E26" s="100"/>
      <c r="F26" s="14"/>
      <c r="G26" s="11"/>
      <c r="H26" s="67"/>
      <c r="I26" s="12"/>
      <c r="J26" s="61"/>
      <c r="K26" s="72"/>
      <c r="L26" s="62"/>
      <c r="M26" s="15"/>
      <c r="N26" s="15"/>
      <c r="O26" s="15"/>
    </row>
    <row r="27" spans="1:15" x14ac:dyDescent="0.25">
      <c r="A27" s="16"/>
      <c r="B27" s="49"/>
      <c r="C27" s="17"/>
      <c r="D27" s="13"/>
      <c r="E27" s="100"/>
      <c r="F27" s="14"/>
      <c r="G27" s="11"/>
      <c r="H27" s="67"/>
      <c r="I27" s="12"/>
      <c r="J27" s="61"/>
      <c r="K27" s="72"/>
      <c r="L27" s="62"/>
      <c r="M27" s="15"/>
      <c r="N27" s="15"/>
      <c r="O27" s="31"/>
    </row>
    <row r="28" spans="1:15" x14ac:dyDescent="0.25">
      <c r="A28" s="16"/>
      <c r="B28" s="49"/>
      <c r="C28" s="17"/>
      <c r="D28" s="13"/>
      <c r="E28" s="100"/>
      <c r="F28" s="91"/>
      <c r="G28" s="11"/>
      <c r="H28" s="67"/>
      <c r="I28" s="12"/>
      <c r="J28" s="61"/>
      <c r="K28" s="72"/>
      <c r="L28" s="62"/>
      <c r="M28" s="15"/>
      <c r="N28" s="15"/>
      <c r="O28" s="15"/>
    </row>
    <row r="29" spans="1:15" x14ac:dyDescent="0.25">
      <c r="A29" s="16"/>
      <c r="B29" s="49"/>
      <c r="C29" s="17"/>
      <c r="D29" s="13"/>
      <c r="E29" s="100"/>
      <c r="F29" s="14"/>
      <c r="G29" s="11"/>
      <c r="H29" s="67"/>
      <c r="I29" s="12"/>
      <c r="J29" s="61"/>
      <c r="K29" s="72"/>
      <c r="L29" s="62"/>
      <c r="M29" s="15"/>
      <c r="N29" s="15"/>
      <c r="O29" s="15"/>
    </row>
    <row r="30" spans="1:15" x14ac:dyDescent="0.25">
      <c r="A30" s="16"/>
      <c r="B30" s="49"/>
      <c r="C30" s="17"/>
      <c r="D30" s="13"/>
      <c r="E30" s="100"/>
      <c r="F30" s="14"/>
      <c r="G30" s="11"/>
      <c r="H30" s="67"/>
      <c r="I30" s="12"/>
      <c r="J30" s="61"/>
      <c r="K30" s="72"/>
      <c r="L30" s="62"/>
      <c r="M30" s="15"/>
      <c r="N30" s="15"/>
      <c r="O30" s="15"/>
    </row>
    <row r="31" spans="1:15" x14ac:dyDescent="0.25">
      <c r="A31" s="16"/>
      <c r="B31" s="49"/>
      <c r="C31" s="17"/>
      <c r="D31" s="13"/>
      <c r="E31" s="100"/>
      <c r="F31" s="14"/>
      <c r="G31" s="11"/>
      <c r="H31" s="67"/>
      <c r="I31" s="12"/>
      <c r="J31" s="61"/>
      <c r="K31" s="72"/>
      <c r="L31" s="62"/>
      <c r="M31" s="15"/>
      <c r="N31" s="15"/>
      <c r="O31" s="15"/>
    </row>
    <row r="32" spans="1:15" x14ac:dyDescent="0.25">
      <c r="A32" s="16"/>
      <c r="B32" s="49"/>
      <c r="C32" s="17"/>
      <c r="D32" s="13"/>
      <c r="E32" s="100"/>
      <c r="F32" s="14"/>
      <c r="G32" s="11"/>
      <c r="H32" s="67"/>
      <c r="I32" s="12"/>
      <c r="J32" s="61"/>
      <c r="K32" s="72"/>
      <c r="L32" s="62"/>
      <c r="M32" s="15"/>
      <c r="N32" s="15"/>
      <c r="O32" s="15"/>
    </row>
    <row r="33" spans="1:15" x14ac:dyDescent="0.25">
      <c r="A33" s="16"/>
      <c r="B33" s="49"/>
      <c r="C33" s="17"/>
      <c r="D33" s="13"/>
      <c r="E33" s="100"/>
      <c r="F33" s="14"/>
      <c r="G33" s="11"/>
      <c r="H33" s="67"/>
      <c r="I33" s="12"/>
      <c r="J33" s="61"/>
      <c r="K33" s="72"/>
      <c r="L33" s="62"/>
      <c r="M33" s="15"/>
      <c r="N33" s="15"/>
      <c r="O33" s="15"/>
    </row>
    <row r="34" spans="1:15" x14ac:dyDescent="0.25">
      <c r="A34" s="16"/>
      <c r="B34" s="49"/>
      <c r="C34" s="115"/>
      <c r="D34" s="13"/>
      <c r="E34" s="100"/>
      <c r="F34" s="14"/>
      <c r="G34" s="11"/>
      <c r="H34" s="67"/>
      <c r="I34" s="12"/>
      <c r="J34" s="61"/>
      <c r="K34" s="72"/>
      <c r="L34" s="62"/>
      <c r="M34" s="15"/>
      <c r="N34" s="15"/>
      <c r="O34" s="31"/>
    </row>
    <row r="35" spans="1:15" x14ac:dyDescent="0.25">
      <c r="A35" s="16"/>
      <c r="B35" s="49"/>
      <c r="C35" s="17"/>
      <c r="D35" s="13"/>
      <c r="E35" s="100"/>
      <c r="F35" s="14"/>
      <c r="G35" s="11"/>
      <c r="H35" s="67"/>
      <c r="I35" s="12"/>
      <c r="J35" s="61"/>
      <c r="K35" s="72"/>
      <c r="L35" s="62"/>
      <c r="M35" s="15"/>
      <c r="N35" s="15"/>
      <c r="O35" s="15"/>
    </row>
    <row r="36" spans="1:15" x14ac:dyDescent="0.25">
      <c r="A36" s="16"/>
      <c r="B36" s="49"/>
      <c r="C36" s="17"/>
      <c r="D36" s="13"/>
      <c r="E36" s="100"/>
      <c r="F36" s="14"/>
      <c r="G36" s="11"/>
      <c r="H36" s="67"/>
      <c r="I36" s="12"/>
      <c r="J36" s="61"/>
      <c r="K36" s="72"/>
      <c r="L36" s="62"/>
      <c r="M36" s="15"/>
      <c r="N36" s="15"/>
      <c r="O36" s="15"/>
    </row>
    <row r="37" spans="1:15" x14ac:dyDescent="0.25">
      <c r="A37" s="16"/>
      <c r="B37" s="49"/>
      <c r="C37" s="17"/>
      <c r="D37" s="13"/>
      <c r="E37" s="100"/>
      <c r="F37" s="14"/>
      <c r="G37" s="11"/>
      <c r="H37" s="67"/>
      <c r="I37" s="12"/>
      <c r="J37" s="61"/>
      <c r="K37" s="72"/>
      <c r="L37" s="62"/>
      <c r="M37" s="15"/>
      <c r="N37" s="15"/>
      <c r="O37" s="15"/>
    </row>
    <row r="38" spans="1:15" x14ac:dyDescent="0.25">
      <c r="A38" s="16"/>
      <c r="B38" s="49"/>
      <c r="C38" s="17"/>
      <c r="D38" s="13"/>
      <c r="E38" s="100"/>
      <c r="F38" s="14"/>
      <c r="G38" s="11"/>
      <c r="H38" s="67"/>
      <c r="I38" s="12"/>
      <c r="J38" s="61"/>
      <c r="K38" s="72"/>
      <c r="L38" s="62"/>
      <c r="M38" s="15"/>
      <c r="N38" s="15"/>
      <c r="O38" s="15"/>
    </row>
    <row r="39" spans="1:15" x14ac:dyDescent="0.25">
      <c r="A39" s="16"/>
      <c r="B39" s="49"/>
      <c r="C39" s="17"/>
      <c r="D39" s="13"/>
      <c r="E39" s="100"/>
      <c r="F39" s="14"/>
      <c r="G39" s="11"/>
      <c r="H39" s="67"/>
      <c r="I39" s="12"/>
      <c r="J39" s="61"/>
      <c r="K39" s="72"/>
      <c r="L39" s="62"/>
      <c r="M39" s="15"/>
      <c r="N39" s="15"/>
      <c r="O39" s="15"/>
    </row>
    <row r="40" spans="1:15" x14ac:dyDescent="0.25">
      <c r="A40" s="16"/>
      <c r="B40" s="49"/>
      <c r="C40" s="17"/>
      <c r="D40" s="13"/>
      <c r="E40" s="100"/>
      <c r="F40" s="14"/>
      <c r="G40" s="11"/>
      <c r="H40" s="67"/>
      <c r="I40" s="12"/>
      <c r="J40" s="61"/>
      <c r="K40" s="72"/>
      <c r="L40" s="62"/>
      <c r="M40" s="15"/>
      <c r="N40" s="15"/>
      <c r="O40" s="15"/>
    </row>
    <row r="41" spans="1:15" x14ac:dyDescent="0.25">
      <c r="A41" s="16"/>
      <c r="B41" s="49"/>
      <c r="C41" s="17"/>
      <c r="D41" s="13"/>
      <c r="E41" s="100"/>
      <c r="F41" s="14"/>
      <c r="G41" s="11"/>
      <c r="H41" s="67"/>
      <c r="I41" s="12"/>
      <c r="J41" s="61"/>
      <c r="K41" s="72"/>
      <c r="L41" s="62"/>
      <c r="M41" s="15"/>
      <c r="N41" s="15"/>
      <c r="O41" s="15"/>
    </row>
    <row r="42" spans="1:15" x14ac:dyDescent="0.25">
      <c r="A42" s="16"/>
      <c r="B42" s="49"/>
      <c r="C42" s="17"/>
      <c r="D42" s="13"/>
      <c r="E42" s="100"/>
      <c r="F42" s="14"/>
      <c r="G42" s="11"/>
      <c r="H42" s="67"/>
      <c r="I42" s="12"/>
      <c r="J42" s="61"/>
      <c r="K42" s="72"/>
      <c r="L42" s="62"/>
      <c r="M42" s="15"/>
      <c r="N42" s="15"/>
      <c r="O42" s="15"/>
    </row>
    <row r="43" spans="1:15" x14ac:dyDescent="0.25">
      <c r="A43" s="16"/>
      <c r="B43" s="49"/>
      <c r="C43" s="17"/>
      <c r="D43" s="13"/>
      <c r="E43" s="100"/>
      <c r="F43" s="14"/>
      <c r="G43" s="11"/>
      <c r="H43" s="67"/>
      <c r="I43" s="12"/>
      <c r="J43" s="61"/>
      <c r="K43" s="72"/>
      <c r="L43" s="62"/>
      <c r="M43" s="15"/>
      <c r="N43" s="15"/>
      <c r="O43" s="15"/>
    </row>
    <row r="44" spans="1:15" x14ac:dyDescent="0.25">
      <c r="A44" s="16"/>
      <c r="B44" s="49"/>
      <c r="C44" s="17"/>
      <c r="D44" s="13"/>
      <c r="E44" s="100"/>
      <c r="F44" s="14"/>
      <c r="G44" s="11"/>
      <c r="H44" s="67"/>
      <c r="I44" s="12"/>
      <c r="J44" s="61"/>
      <c r="K44" s="72"/>
      <c r="L44" s="62"/>
      <c r="M44" s="15"/>
      <c r="N44" s="15"/>
      <c r="O44" s="15"/>
    </row>
    <row r="45" spans="1:15" x14ac:dyDescent="0.25">
      <c r="A45" s="16"/>
      <c r="B45" s="49"/>
      <c r="C45" s="17"/>
      <c r="D45" s="13"/>
      <c r="E45" s="100"/>
      <c r="F45" s="14"/>
      <c r="G45" s="11"/>
      <c r="H45" s="67"/>
      <c r="I45" s="12"/>
      <c r="J45" s="61"/>
      <c r="K45" s="72"/>
      <c r="L45" s="62"/>
      <c r="M45" s="15"/>
      <c r="N45" s="15"/>
      <c r="O45" s="15"/>
    </row>
    <row r="46" spans="1:15" x14ac:dyDescent="0.25">
      <c r="A46" s="16"/>
      <c r="B46" s="49"/>
      <c r="C46" s="17"/>
      <c r="D46" s="13"/>
      <c r="E46" s="100"/>
      <c r="F46" s="14"/>
      <c r="G46" s="11"/>
      <c r="H46" s="67"/>
      <c r="I46" s="12"/>
      <c r="J46" s="61"/>
      <c r="K46" s="72"/>
      <c r="L46" s="62"/>
      <c r="M46" s="15"/>
      <c r="N46" s="15"/>
      <c r="O46" s="15"/>
    </row>
    <row r="47" spans="1:15" x14ac:dyDescent="0.25">
      <c r="A47" s="16"/>
      <c r="B47" s="49"/>
      <c r="C47" s="17"/>
      <c r="D47" s="13"/>
      <c r="E47" s="100"/>
      <c r="F47" s="14"/>
      <c r="G47" s="11"/>
      <c r="H47" s="67"/>
      <c r="I47" s="12"/>
      <c r="J47" s="61"/>
      <c r="K47" s="72"/>
      <c r="L47" s="62"/>
      <c r="M47" s="15"/>
      <c r="N47" s="15"/>
      <c r="O47" s="15"/>
    </row>
    <row r="48" spans="1:15" x14ac:dyDescent="0.25">
      <c r="A48" s="16"/>
      <c r="B48" s="49"/>
      <c r="C48" s="17"/>
      <c r="D48" s="13"/>
      <c r="E48" s="100"/>
      <c r="F48" s="91"/>
      <c r="G48" s="11"/>
      <c r="H48" s="67"/>
      <c r="I48" s="12"/>
      <c r="J48" s="61"/>
      <c r="K48" s="72"/>
      <c r="L48" s="62"/>
      <c r="M48" s="15"/>
      <c r="N48" s="15"/>
      <c r="O48" s="15"/>
    </row>
    <row r="49" spans="1:15" x14ac:dyDescent="0.25">
      <c r="A49" s="16"/>
      <c r="B49" s="49"/>
      <c r="C49" s="17"/>
      <c r="D49" s="13"/>
      <c r="E49" s="100"/>
      <c r="F49" s="14"/>
      <c r="G49" s="11"/>
      <c r="H49" s="67"/>
      <c r="I49" s="12"/>
      <c r="J49" s="61"/>
      <c r="K49" s="72"/>
      <c r="L49" s="62"/>
      <c r="M49" s="15"/>
      <c r="N49" s="15"/>
      <c r="O49" s="15"/>
    </row>
    <row r="50" spans="1:15" x14ac:dyDescent="0.25">
      <c r="A50" s="16"/>
      <c r="B50" s="49"/>
      <c r="C50" s="17"/>
      <c r="D50" s="13"/>
      <c r="E50" s="100"/>
      <c r="F50" s="14"/>
      <c r="G50" s="11"/>
      <c r="H50" s="67"/>
      <c r="I50" s="95"/>
      <c r="J50" s="61"/>
      <c r="K50" s="72"/>
      <c r="L50" s="62"/>
      <c r="M50" s="15"/>
      <c r="N50" s="15"/>
      <c r="O50" s="15"/>
    </row>
    <row r="51" spans="1:15" x14ac:dyDescent="0.25">
      <c r="A51" s="16"/>
      <c r="B51" s="49"/>
      <c r="C51" s="17"/>
      <c r="D51" s="13"/>
      <c r="E51" s="100"/>
      <c r="F51" s="14"/>
      <c r="G51" s="11"/>
      <c r="H51" s="67"/>
      <c r="I51" s="12"/>
      <c r="J51" s="61"/>
      <c r="K51" s="72"/>
      <c r="L51" s="62"/>
      <c r="M51" s="15"/>
      <c r="N51" s="15"/>
      <c r="O51" s="15"/>
    </row>
    <row r="52" spans="1:15" x14ac:dyDescent="0.25">
      <c r="A52" s="16"/>
      <c r="B52" s="49"/>
      <c r="C52" s="17"/>
      <c r="D52" s="13"/>
      <c r="E52" s="100"/>
      <c r="F52" s="14"/>
      <c r="G52" s="11"/>
      <c r="H52" s="67"/>
      <c r="I52" s="12"/>
      <c r="J52" s="61"/>
      <c r="K52" s="72"/>
      <c r="L52" s="62"/>
      <c r="M52" s="15"/>
      <c r="N52" s="15"/>
      <c r="O52" s="15"/>
    </row>
    <row r="53" spans="1:15" x14ac:dyDescent="0.25">
      <c r="A53" s="16"/>
      <c r="B53" s="49"/>
      <c r="C53" s="17"/>
      <c r="D53" s="13"/>
      <c r="E53" s="100"/>
      <c r="F53" s="14"/>
      <c r="G53" s="11"/>
      <c r="H53" s="67"/>
      <c r="I53" s="12"/>
      <c r="J53" s="61"/>
      <c r="K53" s="72"/>
      <c r="L53" s="62"/>
      <c r="M53" s="15"/>
      <c r="N53" s="15"/>
      <c r="O53" s="15"/>
    </row>
    <row r="54" spans="1:15" x14ac:dyDescent="0.25">
      <c r="A54" s="16"/>
      <c r="B54" s="49"/>
      <c r="C54" s="17"/>
      <c r="D54" s="13"/>
      <c r="E54" s="100"/>
      <c r="F54" s="14"/>
      <c r="G54" s="11"/>
      <c r="H54" s="67"/>
      <c r="I54" s="12"/>
      <c r="J54" s="61"/>
      <c r="K54" s="72"/>
      <c r="L54" s="62"/>
      <c r="M54" s="15"/>
      <c r="N54" s="15"/>
      <c r="O54" s="15"/>
    </row>
    <row r="55" spans="1:15" x14ac:dyDescent="0.25">
      <c r="A55" s="16"/>
      <c r="B55" s="49"/>
      <c r="C55" s="17"/>
      <c r="D55" s="13"/>
      <c r="E55" s="100"/>
      <c r="F55" s="14"/>
      <c r="G55" s="11"/>
      <c r="H55" s="67"/>
      <c r="I55" s="12"/>
      <c r="J55" s="61"/>
      <c r="K55" s="72"/>
      <c r="L55" s="62"/>
      <c r="M55" s="15"/>
      <c r="N55" s="15"/>
      <c r="O55" s="15"/>
    </row>
    <row r="56" spans="1:15" x14ac:dyDescent="0.25">
      <c r="A56" s="16"/>
      <c r="B56" s="49"/>
      <c r="C56" s="17"/>
      <c r="D56" s="13"/>
      <c r="E56" s="100"/>
      <c r="F56" s="14"/>
      <c r="G56" s="11"/>
      <c r="H56" s="67"/>
      <c r="I56" s="12"/>
      <c r="J56" s="61"/>
      <c r="K56" s="72"/>
      <c r="L56" s="62"/>
      <c r="M56" s="15"/>
      <c r="N56" s="15"/>
      <c r="O56" s="15"/>
    </row>
    <row r="57" spans="1:15" x14ac:dyDescent="0.25">
      <c r="A57" s="16"/>
      <c r="B57" s="49"/>
      <c r="C57" s="17"/>
      <c r="D57" s="13"/>
      <c r="E57" s="100"/>
      <c r="F57" s="14"/>
      <c r="G57" s="11"/>
      <c r="H57" s="67"/>
      <c r="I57" s="12"/>
      <c r="J57" s="61"/>
      <c r="K57" s="72"/>
      <c r="L57" s="62"/>
      <c r="M57" s="15"/>
      <c r="N57" s="15"/>
      <c r="O57" s="15"/>
    </row>
    <row r="58" spans="1:15" x14ac:dyDescent="0.25">
      <c r="A58" s="16"/>
      <c r="B58" s="49"/>
      <c r="C58" s="17"/>
      <c r="D58" s="13"/>
      <c r="E58" s="100"/>
      <c r="F58" s="14"/>
      <c r="G58" s="11"/>
      <c r="H58" s="67"/>
      <c r="I58" s="12"/>
      <c r="J58" s="61"/>
      <c r="K58" s="72"/>
      <c r="L58" s="62"/>
      <c r="M58" s="15"/>
      <c r="N58" s="15"/>
      <c r="O58" s="15"/>
    </row>
    <row r="59" spans="1:15" x14ac:dyDescent="0.25">
      <c r="A59" s="16"/>
      <c r="B59" s="49"/>
      <c r="C59" s="17"/>
      <c r="D59" s="13"/>
      <c r="E59" s="100"/>
      <c r="F59" s="14"/>
      <c r="G59" s="11"/>
      <c r="H59" s="67"/>
      <c r="I59" s="12"/>
      <c r="J59" s="61"/>
      <c r="K59" s="72"/>
      <c r="L59" s="62"/>
      <c r="M59" s="15"/>
      <c r="N59" s="15"/>
      <c r="O59" s="15"/>
    </row>
    <row r="60" spans="1:15" x14ac:dyDescent="0.25">
      <c r="A60" s="16"/>
      <c r="B60" s="49"/>
      <c r="C60" s="17"/>
      <c r="D60" s="13"/>
      <c r="E60" s="100"/>
      <c r="F60" s="14"/>
      <c r="G60" s="11"/>
      <c r="H60" s="67"/>
      <c r="I60" s="12"/>
      <c r="J60" s="61"/>
      <c r="K60" s="72"/>
      <c r="L60" s="133"/>
      <c r="M60" s="15"/>
      <c r="N60" s="15"/>
      <c r="O60" s="15"/>
    </row>
    <row r="61" spans="1:15" x14ac:dyDescent="0.25">
      <c r="A61" s="16"/>
      <c r="B61" s="49"/>
      <c r="C61" s="17"/>
      <c r="D61" s="13"/>
      <c r="E61" s="100"/>
      <c r="F61" s="14"/>
      <c r="G61" s="11"/>
      <c r="H61" s="67"/>
      <c r="I61" s="12"/>
      <c r="J61" s="61"/>
      <c r="K61" s="72"/>
      <c r="L61" s="62"/>
      <c r="M61" s="15"/>
      <c r="N61" s="15"/>
      <c r="O61" s="15"/>
    </row>
    <row r="62" spans="1:15" x14ac:dyDescent="0.25">
      <c r="A62" s="16"/>
      <c r="B62" s="49"/>
      <c r="C62" s="17"/>
      <c r="D62" s="13"/>
      <c r="E62" s="100"/>
      <c r="F62" s="14"/>
      <c r="G62" s="11"/>
      <c r="H62" s="67"/>
      <c r="I62" s="12"/>
      <c r="J62" s="61"/>
      <c r="K62" s="72"/>
      <c r="L62" s="62"/>
      <c r="M62" s="15"/>
      <c r="N62" s="15"/>
      <c r="O62" s="15"/>
    </row>
    <row r="63" spans="1:15" x14ac:dyDescent="0.25">
      <c r="A63" s="16"/>
      <c r="B63" s="49"/>
      <c r="C63" s="17"/>
      <c r="D63" s="13"/>
      <c r="E63" s="100"/>
      <c r="F63" s="14"/>
      <c r="G63" s="11"/>
      <c r="H63" s="67"/>
      <c r="I63" s="12"/>
      <c r="J63" s="61"/>
      <c r="K63" s="72"/>
      <c r="L63" s="62"/>
      <c r="M63" s="15"/>
      <c r="N63" s="15"/>
      <c r="O63" s="15"/>
    </row>
    <row r="64" spans="1:15" x14ac:dyDescent="0.25">
      <c r="A64" s="16"/>
      <c r="B64" s="49"/>
      <c r="C64" s="17"/>
      <c r="D64" s="13"/>
      <c r="E64" s="100"/>
      <c r="F64" s="14"/>
      <c r="G64" s="11"/>
      <c r="H64" s="67"/>
      <c r="I64" s="12"/>
      <c r="J64" s="61"/>
      <c r="K64" s="72"/>
      <c r="L64" s="62"/>
      <c r="M64" s="15"/>
      <c r="N64" s="15"/>
      <c r="O64" s="15"/>
    </row>
    <row r="65" spans="1:15" x14ac:dyDescent="0.25">
      <c r="A65" s="16"/>
      <c r="B65" s="49"/>
      <c r="C65" s="17"/>
      <c r="D65" s="13"/>
      <c r="E65" s="100"/>
      <c r="F65" s="14"/>
      <c r="G65" s="11"/>
      <c r="H65" s="67"/>
      <c r="I65" s="12"/>
      <c r="J65" s="61"/>
      <c r="K65" s="72"/>
      <c r="L65" s="62"/>
      <c r="M65" s="15"/>
      <c r="N65" s="15"/>
      <c r="O65" s="15"/>
    </row>
    <row r="66" spans="1:15" x14ac:dyDescent="0.25">
      <c r="A66" s="16"/>
      <c r="B66" s="49"/>
      <c r="C66" s="17"/>
      <c r="D66" s="13"/>
      <c r="E66" s="100"/>
      <c r="F66" s="14"/>
      <c r="G66" s="11"/>
      <c r="H66" s="67"/>
      <c r="I66" s="12"/>
      <c r="J66" s="61"/>
      <c r="K66" s="72"/>
      <c r="L66" s="62"/>
      <c r="M66" s="15"/>
      <c r="N66" s="15"/>
      <c r="O66" s="15"/>
    </row>
    <row r="67" spans="1:15" x14ac:dyDescent="0.25">
      <c r="A67" s="16"/>
      <c r="B67" s="49"/>
      <c r="C67" s="17"/>
      <c r="D67" s="13"/>
      <c r="E67" s="100"/>
      <c r="F67" s="14"/>
      <c r="G67" s="11"/>
      <c r="H67" s="67"/>
      <c r="I67" s="12"/>
      <c r="J67" s="61"/>
      <c r="K67" s="72"/>
      <c r="L67" s="62"/>
      <c r="M67" s="15"/>
      <c r="N67" s="15"/>
      <c r="O67" s="15"/>
    </row>
    <row r="68" spans="1:15" x14ac:dyDescent="0.25">
      <c r="A68" s="16"/>
      <c r="B68" s="49"/>
      <c r="C68" s="17"/>
      <c r="D68" s="13"/>
      <c r="E68" s="100"/>
      <c r="F68" s="14"/>
      <c r="G68" s="11"/>
      <c r="H68" s="67"/>
      <c r="I68" s="12"/>
      <c r="J68" s="61"/>
      <c r="K68" s="72"/>
      <c r="L68" s="62"/>
      <c r="M68" s="15"/>
      <c r="N68" s="15"/>
      <c r="O68" s="15"/>
    </row>
    <row r="69" spans="1:15" x14ac:dyDescent="0.25">
      <c r="A69" s="16"/>
      <c r="B69" s="49"/>
      <c r="C69" s="17"/>
      <c r="D69" s="13"/>
      <c r="E69" s="100"/>
      <c r="F69" s="14"/>
      <c r="G69" s="11"/>
      <c r="H69" s="67"/>
      <c r="I69" s="12"/>
      <c r="J69" s="61"/>
      <c r="K69" s="72"/>
      <c r="L69" s="62"/>
      <c r="M69" s="15"/>
      <c r="N69" s="15"/>
      <c r="O69" s="15"/>
    </row>
    <row r="70" spans="1:15" x14ac:dyDescent="0.25">
      <c r="A70" s="16"/>
      <c r="B70" s="49"/>
      <c r="C70" s="17"/>
      <c r="D70" s="13"/>
      <c r="E70" s="100"/>
      <c r="F70" s="14"/>
      <c r="G70" s="11"/>
      <c r="H70" s="67"/>
      <c r="I70" s="12"/>
      <c r="J70" s="61"/>
      <c r="K70" s="72"/>
      <c r="L70" s="62"/>
      <c r="M70" s="15"/>
      <c r="N70" s="15"/>
      <c r="O70" s="15"/>
    </row>
    <row r="71" spans="1:15" x14ac:dyDescent="0.25">
      <c r="A71" s="16"/>
      <c r="B71" s="49"/>
      <c r="C71" s="17"/>
      <c r="D71" s="13"/>
      <c r="E71" s="100"/>
      <c r="F71" s="14"/>
      <c r="G71" s="11"/>
      <c r="H71" s="67"/>
      <c r="I71" s="12"/>
      <c r="J71" s="61"/>
      <c r="K71" s="72"/>
      <c r="L71" s="62"/>
      <c r="M71" s="15"/>
      <c r="N71" s="15"/>
      <c r="O71" s="15"/>
    </row>
    <row r="72" spans="1:15" x14ac:dyDescent="0.25">
      <c r="A72" s="16"/>
      <c r="B72" s="49"/>
      <c r="C72" s="17"/>
      <c r="D72" s="13"/>
      <c r="E72" s="100"/>
      <c r="F72" s="14"/>
      <c r="G72" s="11"/>
      <c r="H72" s="67"/>
      <c r="I72" s="12"/>
      <c r="J72" s="61"/>
      <c r="K72" s="72"/>
      <c r="L72" s="62"/>
      <c r="M72" s="15"/>
      <c r="N72" s="15"/>
      <c r="O72" s="15"/>
    </row>
    <row r="73" spans="1:15" x14ac:dyDescent="0.25">
      <c r="A73" s="16"/>
      <c r="B73" s="49"/>
      <c r="C73" s="17"/>
      <c r="D73" s="13"/>
      <c r="E73" s="100"/>
      <c r="F73" s="14"/>
      <c r="G73" s="11"/>
      <c r="H73" s="67"/>
      <c r="I73" s="12"/>
      <c r="J73" s="61"/>
      <c r="K73" s="72"/>
      <c r="L73" s="62"/>
      <c r="M73" s="15"/>
      <c r="N73" s="15"/>
      <c r="O73" s="15"/>
    </row>
    <row r="74" spans="1:15" x14ac:dyDescent="0.25">
      <c r="A74" s="16"/>
      <c r="B74" s="49"/>
      <c r="C74" s="17"/>
      <c r="D74" s="13"/>
      <c r="E74" s="100"/>
      <c r="F74" s="14"/>
      <c r="G74" s="11"/>
      <c r="H74" s="67"/>
      <c r="I74" s="12"/>
      <c r="J74" s="61"/>
      <c r="K74" s="72"/>
      <c r="L74" s="62"/>
      <c r="M74" s="15"/>
      <c r="N74" s="15"/>
      <c r="O74" s="15"/>
    </row>
    <row r="75" spans="1:15" x14ac:dyDescent="0.25">
      <c r="A75" s="16"/>
      <c r="B75" s="49"/>
      <c r="C75" s="17"/>
      <c r="D75" s="13"/>
      <c r="E75" s="100"/>
      <c r="F75" s="14"/>
      <c r="G75" s="11"/>
      <c r="H75" s="67"/>
      <c r="I75" s="12"/>
      <c r="J75" s="61"/>
      <c r="K75" s="72"/>
      <c r="L75" s="62"/>
      <c r="M75" s="15"/>
      <c r="N75" s="15"/>
      <c r="O75" s="15"/>
    </row>
    <row r="76" spans="1:15" x14ac:dyDescent="0.25">
      <c r="A76" s="16"/>
      <c r="B76" s="49"/>
      <c r="C76" s="17"/>
      <c r="D76" s="13"/>
      <c r="E76" s="100"/>
      <c r="F76" s="14"/>
      <c r="G76" s="11"/>
      <c r="H76" s="67"/>
      <c r="I76" s="12"/>
      <c r="J76" s="61"/>
      <c r="K76" s="72"/>
      <c r="L76" s="62"/>
      <c r="M76" s="15"/>
      <c r="N76" s="15"/>
      <c r="O76" s="15"/>
    </row>
    <row r="77" spans="1:15" x14ac:dyDescent="0.25">
      <c r="A77" s="16"/>
      <c r="B77" s="49"/>
      <c r="C77" s="17"/>
      <c r="D77" s="13"/>
      <c r="E77" s="100"/>
      <c r="F77" s="14"/>
      <c r="G77" s="11"/>
      <c r="H77" s="67"/>
      <c r="I77" s="12"/>
      <c r="J77" s="61"/>
      <c r="K77" s="72"/>
      <c r="L77" s="62"/>
      <c r="M77" s="15"/>
      <c r="N77" s="15"/>
      <c r="O77" s="15"/>
    </row>
    <row r="78" spans="1:15" x14ac:dyDescent="0.25">
      <c r="A78" s="16"/>
      <c r="B78" s="49"/>
      <c r="C78" s="17"/>
      <c r="D78" s="13"/>
      <c r="E78" s="100"/>
      <c r="F78" s="14"/>
      <c r="G78" s="11"/>
      <c r="H78" s="67"/>
      <c r="I78" s="12"/>
      <c r="J78" s="61"/>
      <c r="K78" s="72"/>
      <c r="L78" s="62"/>
      <c r="M78" s="15"/>
      <c r="N78" s="15"/>
      <c r="O78" s="15"/>
    </row>
    <row r="79" spans="1:15" x14ac:dyDescent="0.25">
      <c r="A79" s="16"/>
      <c r="B79" s="49"/>
      <c r="C79" s="17"/>
      <c r="D79" s="13"/>
      <c r="E79" s="100"/>
      <c r="F79" s="14"/>
      <c r="G79" s="11"/>
      <c r="H79" s="67"/>
      <c r="I79" s="12"/>
      <c r="J79" s="61"/>
      <c r="K79" s="72"/>
      <c r="L79" s="62"/>
      <c r="M79" s="15"/>
      <c r="N79" s="15"/>
      <c r="O79" s="15"/>
    </row>
    <row r="80" spans="1:15" x14ac:dyDescent="0.25">
      <c r="A80" s="16"/>
      <c r="B80" s="49"/>
      <c r="C80" s="17"/>
      <c r="D80" s="13"/>
      <c r="E80" s="100"/>
      <c r="F80" s="14"/>
      <c r="G80" s="11"/>
      <c r="H80" s="67"/>
      <c r="I80" s="12"/>
      <c r="J80" s="61"/>
      <c r="K80" s="72"/>
      <c r="L80" s="62"/>
      <c r="M80" s="15"/>
      <c r="N80" s="15"/>
      <c r="O80" s="15"/>
    </row>
    <row r="81" spans="1:19" x14ac:dyDescent="0.25">
      <c r="A81" s="16"/>
      <c r="B81" s="49"/>
      <c r="C81" s="17"/>
      <c r="D81" s="13"/>
      <c r="E81" s="100"/>
      <c r="F81" s="14"/>
      <c r="G81" s="11"/>
      <c r="H81" s="67"/>
      <c r="I81" s="12"/>
      <c r="J81" s="61"/>
      <c r="K81" s="72"/>
      <c r="L81" s="62"/>
      <c r="M81" s="15"/>
      <c r="N81" s="15"/>
      <c r="O81" s="15"/>
    </row>
    <row r="82" spans="1:19" x14ac:dyDescent="0.25">
      <c r="A82" s="16"/>
      <c r="B82" s="49"/>
      <c r="C82" s="17"/>
      <c r="D82" s="13"/>
      <c r="E82" s="100"/>
      <c r="F82" s="14"/>
      <c r="G82" s="11"/>
      <c r="H82" s="67"/>
      <c r="I82" s="12"/>
      <c r="J82" s="61"/>
      <c r="K82" s="72"/>
      <c r="L82" s="62"/>
      <c r="M82" s="15"/>
      <c r="N82" s="15"/>
      <c r="O82" s="15"/>
    </row>
    <row r="83" spans="1:19" x14ac:dyDescent="0.25">
      <c r="A83" s="16"/>
      <c r="B83" s="49"/>
      <c r="C83" s="17"/>
      <c r="D83" s="13"/>
      <c r="E83" s="100"/>
      <c r="F83" s="14"/>
      <c r="G83" s="11"/>
      <c r="H83" s="67"/>
      <c r="I83" s="12"/>
      <c r="J83" s="61"/>
      <c r="K83" s="72"/>
      <c r="L83" s="62"/>
      <c r="M83" s="15"/>
      <c r="N83" s="15"/>
      <c r="O83" s="15"/>
    </row>
    <row r="84" spans="1:19" x14ac:dyDescent="0.25">
      <c r="A84" s="16"/>
      <c r="B84" s="49"/>
      <c r="C84" s="17"/>
      <c r="D84" s="13"/>
      <c r="E84" s="100"/>
      <c r="F84" s="14"/>
      <c r="G84" s="11"/>
      <c r="H84" s="67"/>
      <c r="I84" s="12"/>
      <c r="J84" s="61"/>
      <c r="K84" s="72"/>
      <c r="L84" s="62"/>
      <c r="M84" s="15"/>
      <c r="N84" s="15"/>
      <c r="O84" s="15"/>
    </row>
    <row r="85" spans="1:19" x14ac:dyDescent="0.25">
      <c r="A85" s="16"/>
      <c r="B85" s="49"/>
      <c r="C85" s="17"/>
      <c r="D85" s="13"/>
      <c r="E85" s="100"/>
      <c r="F85" s="14"/>
      <c r="G85" s="11"/>
      <c r="H85" s="67"/>
      <c r="I85" s="12"/>
      <c r="J85" s="61"/>
      <c r="K85" s="72"/>
      <c r="L85" s="62"/>
      <c r="M85" s="15"/>
      <c r="N85" s="15"/>
      <c r="O85" s="15"/>
    </row>
    <row r="86" spans="1:19" x14ac:dyDescent="0.25">
      <c r="A86" s="16"/>
      <c r="B86" s="49"/>
      <c r="C86" s="17"/>
      <c r="D86" s="13"/>
      <c r="E86" s="100"/>
      <c r="F86" s="14"/>
      <c r="G86" s="11"/>
      <c r="H86" s="67"/>
      <c r="I86" s="12"/>
      <c r="J86" s="61"/>
      <c r="K86" s="72"/>
      <c r="L86" s="62"/>
      <c r="M86" s="15"/>
      <c r="N86" s="15"/>
      <c r="O86" s="15"/>
    </row>
    <row r="87" spans="1:19" x14ac:dyDescent="0.25">
      <c r="A87" s="16"/>
      <c r="B87" s="49"/>
      <c r="C87" s="17"/>
      <c r="D87" s="13"/>
      <c r="E87" s="100"/>
      <c r="F87" s="14"/>
      <c r="G87" s="11"/>
      <c r="H87" s="67"/>
      <c r="I87" s="12"/>
      <c r="J87" s="61"/>
      <c r="K87" s="72"/>
      <c r="L87" s="62"/>
      <c r="M87" s="15"/>
      <c r="N87" s="15"/>
      <c r="O87" s="15"/>
    </row>
    <row r="88" spans="1:19" x14ac:dyDescent="0.25">
      <c r="A88" s="16"/>
      <c r="B88" s="49"/>
      <c r="C88" s="17"/>
      <c r="D88" s="13"/>
      <c r="E88" s="100"/>
      <c r="F88" s="14"/>
      <c r="G88" s="11"/>
      <c r="H88" s="67"/>
      <c r="I88" s="12"/>
      <c r="J88" s="61"/>
      <c r="K88" s="72"/>
      <c r="L88" s="62"/>
      <c r="M88" s="15"/>
      <c r="N88" s="15"/>
      <c r="O88" s="15"/>
    </row>
    <row r="89" spans="1:19" x14ac:dyDescent="0.25">
      <c r="A89" s="16"/>
      <c r="B89" s="49"/>
      <c r="C89" s="17"/>
      <c r="D89" s="13"/>
      <c r="E89" s="100"/>
      <c r="F89" s="14"/>
      <c r="G89" s="11"/>
      <c r="H89" s="67"/>
      <c r="I89" s="12"/>
      <c r="J89" s="61"/>
      <c r="K89" s="72"/>
      <c r="L89" s="62"/>
      <c r="M89" s="15"/>
      <c r="N89" s="15"/>
      <c r="O89" s="15"/>
    </row>
    <row r="90" spans="1:19" x14ac:dyDescent="0.25">
      <c r="A90" s="16"/>
      <c r="B90" s="49"/>
      <c r="C90" s="17"/>
      <c r="D90" s="13"/>
      <c r="E90" s="100"/>
      <c r="F90" s="14"/>
      <c r="G90" s="11"/>
      <c r="H90" s="67"/>
      <c r="I90" s="12"/>
      <c r="J90" s="61"/>
      <c r="K90" s="72"/>
      <c r="L90" s="62"/>
      <c r="M90" s="15"/>
      <c r="N90" s="15"/>
      <c r="O90" s="15"/>
    </row>
    <row r="91" spans="1:19" x14ac:dyDescent="0.25">
      <c r="A91" s="16"/>
      <c r="B91" s="49"/>
      <c r="C91" s="17"/>
      <c r="D91" s="13"/>
      <c r="E91" s="100"/>
      <c r="F91" s="14"/>
      <c r="G91" s="11"/>
      <c r="H91" s="67"/>
      <c r="I91" s="12"/>
      <c r="J91" s="61"/>
      <c r="K91" s="72"/>
      <c r="L91" s="62"/>
      <c r="M91" s="15"/>
      <c r="N91" s="15"/>
      <c r="O91" s="15"/>
    </row>
    <row r="92" spans="1:19" x14ac:dyDescent="0.25">
      <c r="A92" s="16"/>
      <c r="B92" s="49"/>
      <c r="C92" s="17"/>
      <c r="D92" s="13"/>
      <c r="E92" s="100"/>
      <c r="F92" s="14"/>
      <c r="G92" s="11"/>
      <c r="H92" s="67"/>
      <c r="I92" s="12"/>
      <c r="J92" s="61"/>
      <c r="K92" s="72"/>
      <c r="L92" s="62"/>
      <c r="M92" s="15"/>
      <c r="N92" s="15"/>
      <c r="O92" s="15"/>
    </row>
    <row r="93" spans="1:19" x14ac:dyDescent="0.25">
      <c r="A93" s="16"/>
      <c r="B93" s="49"/>
      <c r="C93" s="17"/>
      <c r="D93" s="13"/>
      <c r="E93" s="100"/>
      <c r="F93" s="14"/>
      <c r="G93" s="11"/>
      <c r="H93" s="67"/>
      <c r="I93" s="12"/>
      <c r="J93" s="61"/>
      <c r="K93" s="72"/>
      <c r="L93" s="62"/>
      <c r="M93" s="15"/>
      <c r="N93" s="15"/>
      <c r="O93" s="15"/>
      <c r="P93" s="58"/>
      <c r="Q93" s="58"/>
      <c r="R93" s="58"/>
      <c r="S93" s="58"/>
    </row>
    <row r="94" spans="1:19" x14ac:dyDescent="0.25">
      <c r="A94" s="16"/>
      <c r="B94" s="49"/>
      <c r="C94" s="17"/>
      <c r="D94" s="13"/>
      <c r="E94" s="100"/>
      <c r="F94" s="14"/>
      <c r="G94" s="11"/>
      <c r="H94" s="67"/>
      <c r="I94" s="12"/>
      <c r="J94" s="61"/>
      <c r="K94" s="72"/>
      <c r="L94" s="62"/>
      <c r="M94" s="15"/>
      <c r="N94" s="15"/>
      <c r="O94" s="15"/>
      <c r="P94" s="58"/>
      <c r="Q94" s="58"/>
      <c r="R94" s="58"/>
      <c r="S94" s="58"/>
    </row>
    <row r="95" spans="1:19" x14ac:dyDescent="0.25">
      <c r="A95" s="16"/>
      <c r="B95" s="49"/>
      <c r="C95" s="17"/>
      <c r="D95" s="13"/>
      <c r="E95" s="100"/>
      <c r="F95" s="14"/>
      <c r="G95" s="11"/>
      <c r="H95" s="67"/>
      <c r="I95" s="12"/>
      <c r="J95" s="61"/>
      <c r="K95" s="72"/>
      <c r="L95" s="62"/>
      <c r="M95" s="15"/>
      <c r="N95" s="15"/>
      <c r="O95" s="15"/>
      <c r="P95" s="58"/>
      <c r="Q95" s="58"/>
      <c r="R95" s="58"/>
      <c r="S95" s="58"/>
    </row>
    <row r="96" spans="1:19" x14ac:dyDescent="0.25">
      <c r="A96" s="16"/>
      <c r="B96" s="49"/>
      <c r="C96" s="17"/>
      <c r="D96" s="13"/>
      <c r="E96" s="100"/>
      <c r="F96" s="14"/>
      <c r="G96" s="11"/>
      <c r="H96" s="67"/>
      <c r="I96" s="12"/>
      <c r="J96" s="61"/>
      <c r="K96" s="72"/>
      <c r="L96" s="62"/>
      <c r="M96" s="15"/>
      <c r="N96" s="15"/>
      <c r="O96" s="15"/>
      <c r="P96" s="58"/>
      <c r="Q96" s="58"/>
      <c r="R96" s="58"/>
      <c r="S96" s="58"/>
    </row>
    <row r="97" spans="1:19" x14ac:dyDescent="0.25">
      <c r="A97" s="16"/>
      <c r="B97" s="49"/>
      <c r="C97" s="17"/>
      <c r="D97" s="13"/>
      <c r="E97" s="100"/>
      <c r="F97" s="14"/>
      <c r="G97" s="11"/>
      <c r="H97" s="67"/>
      <c r="I97" s="12"/>
      <c r="J97" s="61"/>
      <c r="K97" s="72"/>
      <c r="L97" s="62"/>
      <c r="M97" s="15"/>
      <c r="N97" s="15"/>
      <c r="O97" s="15"/>
      <c r="P97" s="58"/>
      <c r="Q97" s="58"/>
      <c r="R97" s="58"/>
      <c r="S97" s="58"/>
    </row>
    <row r="98" spans="1:19" x14ac:dyDescent="0.25">
      <c r="A98" s="16"/>
      <c r="B98" s="49"/>
      <c r="C98" s="17"/>
      <c r="D98" s="13"/>
      <c r="E98" s="100"/>
      <c r="F98" s="14"/>
      <c r="G98" s="11"/>
      <c r="H98" s="67"/>
      <c r="I98" s="12"/>
      <c r="J98" s="61"/>
      <c r="K98" s="72"/>
      <c r="L98" s="62"/>
      <c r="M98" s="15"/>
      <c r="N98" s="15"/>
      <c r="O98" s="15"/>
      <c r="P98" s="58"/>
      <c r="Q98" s="58"/>
      <c r="R98" s="58"/>
      <c r="S98" s="58"/>
    </row>
    <row r="99" spans="1:19" x14ac:dyDescent="0.25">
      <c r="A99" s="16"/>
      <c r="B99" s="49"/>
      <c r="C99" s="17"/>
      <c r="D99" s="13"/>
      <c r="E99" s="100"/>
      <c r="F99" s="14"/>
      <c r="G99" s="11"/>
      <c r="H99" s="67"/>
      <c r="I99" s="12"/>
      <c r="J99" s="61"/>
      <c r="K99" s="72"/>
      <c r="L99" s="62"/>
      <c r="M99" s="15"/>
      <c r="N99" s="15"/>
      <c r="O99" s="15"/>
      <c r="P99" s="58"/>
      <c r="Q99" s="58"/>
      <c r="R99" s="58"/>
      <c r="S99" s="58"/>
    </row>
    <row r="100" spans="1:19" x14ac:dyDescent="0.25">
      <c r="A100" s="16"/>
      <c r="B100" s="49"/>
      <c r="C100" s="17"/>
      <c r="D100" s="13"/>
      <c r="E100" s="100"/>
      <c r="F100" s="14"/>
      <c r="G100" s="11"/>
      <c r="H100" s="67"/>
      <c r="I100" s="12"/>
      <c r="J100" s="61"/>
      <c r="K100" s="72"/>
      <c r="L100" s="62"/>
      <c r="M100" s="15"/>
      <c r="N100" s="15"/>
      <c r="O100" s="15"/>
      <c r="P100" s="58"/>
      <c r="Q100" s="58"/>
      <c r="R100" s="58"/>
      <c r="S100" s="58"/>
    </row>
    <row r="101" spans="1:19" x14ac:dyDescent="0.25">
      <c r="A101" s="16"/>
      <c r="B101" s="49"/>
      <c r="C101" s="17"/>
      <c r="D101" s="13"/>
      <c r="E101" s="100"/>
      <c r="F101" s="14"/>
      <c r="G101" s="11"/>
      <c r="H101" s="67"/>
      <c r="I101" s="12"/>
      <c r="J101" s="61"/>
      <c r="K101" s="72"/>
      <c r="L101" s="62"/>
      <c r="M101" s="15"/>
      <c r="N101" s="15"/>
      <c r="O101" s="15"/>
      <c r="P101" s="58"/>
      <c r="Q101" s="58"/>
      <c r="R101" s="58"/>
      <c r="S101" s="58"/>
    </row>
    <row r="102" spans="1:19" x14ac:dyDescent="0.25">
      <c r="A102" s="16"/>
      <c r="B102" s="49"/>
      <c r="C102" s="17"/>
      <c r="D102" s="13"/>
      <c r="E102" s="100"/>
      <c r="F102" s="14"/>
      <c r="G102" s="11"/>
      <c r="H102" s="67"/>
      <c r="I102" s="12"/>
      <c r="J102" s="61"/>
      <c r="K102" s="72"/>
      <c r="L102" s="62"/>
      <c r="M102" s="15"/>
      <c r="N102" s="15"/>
      <c r="O102" s="15"/>
      <c r="P102" s="58"/>
      <c r="Q102" s="58"/>
      <c r="R102" s="58"/>
      <c r="S102" s="58"/>
    </row>
    <row r="103" spans="1:19" x14ac:dyDescent="0.25">
      <c r="A103" s="16"/>
      <c r="B103" s="49"/>
      <c r="C103" s="17"/>
      <c r="D103" s="13"/>
      <c r="E103" s="100"/>
      <c r="F103" s="14"/>
      <c r="G103" s="11"/>
      <c r="H103" s="67"/>
      <c r="I103" s="12"/>
      <c r="J103" s="61"/>
      <c r="K103" s="72"/>
      <c r="L103" s="62"/>
      <c r="M103" s="15"/>
      <c r="N103" s="15"/>
      <c r="O103" s="15"/>
      <c r="P103" s="58"/>
      <c r="Q103" s="58"/>
      <c r="R103" s="58"/>
      <c r="S103" s="58"/>
    </row>
    <row r="104" spans="1:19" x14ac:dyDescent="0.25">
      <c r="A104" s="16"/>
      <c r="B104" s="49"/>
      <c r="C104" s="17"/>
      <c r="D104" s="13"/>
      <c r="E104" s="100"/>
      <c r="F104" s="14"/>
      <c r="G104" s="11"/>
      <c r="H104" s="67"/>
      <c r="I104" s="12"/>
      <c r="J104" s="61"/>
      <c r="K104" s="72"/>
      <c r="L104" s="62"/>
      <c r="M104" s="15"/>
      <c r="N104" s="15"/>
      <c r="O104" s="15"/>
      <c r="P104" s="58"/>
      <c r="Q104" s="58"/>
      <c r="R104" s="58"/>
      <c r="S104" s="58"/>
    </row>
    <row r="105" spans="1:19" x14ac:dyDescent="0.25">
      <c r="A105" s="16"/>
      <c r="B105" s="49"/>
      <c r="C105" s="17"/>
      <c r="D105" s="13"/>
      <c r="E105" s="100"/>
      <c r="F105" s="14"/>
      <c r="G105" s="11"/>
      <c r="H105" s="67"/>
      <c r="I105" s="12"/>
      <c r="J105" s="61"/>
      <c r="K105" s="72"/>
      <c r="L105" s="62"/>
      <c r="M105" s="15"/>
      <c r="N105" s="15"/>
      <c r="O105" s="15"/>
      <c r="P105" s="58"/>
      <c r="Q105" s="58"/>
      <c r="R105" s="58"/>
      <c r="S105" s="58"/>
    </row>
    <row r="106" spans="1:19" x14ac:dyDescent="0.25">
      <c r="A106" s="16"/>
      <c r="B106" s="49"/>
      <c r="C106" s="17"/>
      <c r="D106" s="13"/>
      <c r="E106" s="100"/>
      <c r="F106" s="14"/>
      <c r="G106" s="11"/>
      <c r="H106" s="67"/>
      <c r="I106" s="12"/>
      <c r="J106" s="61"/>
      <c r="K106" s="72"/>
      <c r="L106" s="62"/>
      <c r="M106" s="15"/>
      <c r="N106" s="15"/>
      <c r="O106" s="15"/>
      <c r="P106" s="58"/>
      <c r="Q106" s="58"/>
      <c r="R106" s="58"/>
      <c r="S106" s="58"/>
    </row>
    <row r="107" spans="1:19" x14ac:dyDescent="0.25">
      <c r="A107" s="16"/>
      <c r="B107" s="49"/>
      <c r="C107" s="17"/>
      <c r="D107" s="13"/>
      <c r="E107" s="100"/>
      <c r="F107" s="14"/>
      <c r="G107" s="11"/>
      <c r="H107" s="67"/>
      <c r="I107" s="12"/>
      <c r="J107" s="61"/>
      <c r="K107" s="72"/>
      <c r="L107" s="62"/>
      <c r="M107" s="15"/>
      <c r="N107" s="15"/>
      <c r="O107" s="15"/>
      <c r="P107" s="58"/>
      <c r="Q107" s="58"/>
      <c r="R107" s="58"/>
      <c r="S107" s="58"/>
    </row>
    <row r="108" spans="1:19" x14ac:dyDescent="0.25">
      <c r="A108" s="16"/>
      <c r="B108" s="49"/>
      <c r="C108" s="17"/>
      <c r="D108" s="13"/>
      <c r="E108" s="100"/>
      <c r="F108" s="14"/>
      <c r="G108" s="11"/>
      <c r="H108" s="67"/>
      <c r="I108" s="12"/>
      <c r="J108" s="61"/>
      <c r="K108" s="72"/>
      <c r="L108" s="62"/>
      <c r="M108" s="15"/>
      <c r="N108" s="15"/>
      <c r="O108" s="15"/>
      <c r="P108" s="58"/>
      <c r="Q108" s="58"/>
      <c r="R108" s="58"/>
      <c r="S108" s="58"/>
    </row>
    <row r="109" spans="1:19" x14ac:dyDescent="0.25">
      <c r="A109" s="16"/>
      <c r="B109" s="49"/>
      <c r="C109" s="17"/>
      <c r="D109" s="13"/>
      <c r="E109" s="100"/>
      <c r="F109" s="14"/>
      <c r="G109" s="11"/>
      <c r="H109" s="67"/>
      <c r="I109" s="12"/>
      <c r="J109" s="61"/>
      <c r="K109" s="72"/>
      <c r="L109" s="62"/>
      <c r="M109" s="15"/>
      <c r="N109" s="15"/>
      <c r="O109" s="15"/>
      <c r="P109" s="58"/>
      <c r="Q109" s="58"/>
      <c r="R109" s="58"/>
      <c r="S109" s="58"/>
    </row>
    <row r="110" spans="1:19" x14ac:dyDescent="0.25">
      <c r="A110" s="16"/>
      <c r="B110" s="49"/>
      <c r="C110" s="17"/>
      <c r="D110" s="13"/>
      <c r="E110" s="100"/>
      <c r="F110" s="14"/>
      <c r="G110" s="11"/>
      <c r="H110" s="67"/>
      <c r="I110" s="12"/>
      <c r="J110" s="61"/>
      <c r="K110" s="72"/>
      <c r="L110" s="62"/>
      <c r="M110" s="15"/>
      <c r="N110" s="15"/>
      <c r="O110" s="15"/>
      <c r="P110" s="58"/>
      <c r="Q110" s="58"/>
      <c r="R110" s="58"/>
      <c r="S110" s="58"/>
    </row>
    <row r="111" spans="1:19" x14ac:dyDescent="0.25">
      <c r="A111" s="16"/>
      <c r="B111" s="49"/>
      <c r="C111" s="17"/>
      <c r="D111" s="13"/>
      <c r="E111" s="100"/>
      <c r="F111" s="14"/>
      <c r="G111" s="11"/>
      <c r="H111" s="67"/>
      <c r="I111" s="12"/>
      <c r="J111" s="61"/>
      <c r="K111" s="72"/>
      <c r="L111" s="62"/>
      <c r="M111" s="15"/>
      <c r="N111" s="15"/>
      <c r="O111" s="15"/>
    </row>
    <row r="112" spans="1:19" x14ac:dyDescent="0.25">
      <c r="A112" s="16"/>
      <c r="B112" s="49"/>
      <c r="C112" s="17"/>
      <c r="D112" s="13"/>
      <c r="E112" s="100"/>
      <c r="F112" s="14"/>
      <c r="G112" s="11"/>
      <c r="H112" s="67"/>
      <c r="I112" s="12"/>
      <c r="J112" s="61"/>
      <c r="K112" s="72"/>
      <c r="L112" s="62"/>
      <c r="M112" s="15"/>
      <c r="N112" s="15"/>
      <c r="O112" s="15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C C Aportaciones ENE 22</vt:lpstr>
      <vt:lpstr>C C Aportaciones FEB 22</vt:lpstr>
      <vt:lpstr>C C Aportacines MAR 22</vt:lpstr>
      <vt:lpstr>C C Aportaciones ABR 22</vt:lpstr>
      <vt:lpstr>C C Aportaciones MAY 22</vt:lpstr>
      <vt:lpstr>C C Aportaciones JUN 22</vt:lpstr>
      <vt:lpstr>C C Aportaciones JUL 22   </vt:lpstr>
      <vt:lpstr>C C Aportaciones AGO 22   </vt:lpstr>
      <vt:lpstr>C C Aportaciones SEP 22</vt:lpstr>
      <vt:lpstr>C C Aportaciones OCT 22 </vt:lpstr>
      <vt:lpstr>C C Aportaciones NOV 22   </vt:lpstr>
      <vt:lpstr>C C Aportaciones DIC 22  </vt:lpstr>
      <vt:lpstr>'C C Aportacines MAR 22'!Área_de_impresión</vt:lpstr>
      <vt:lpstr>'C C Aportaciones ABR 22'!Área_de_impresión</vt:lpstr>
      <vt:lpstr>'C C Aportaciones AGO 22   '!Área_de_impresión</vt:lpstr>
      <vt:lpstr>'C C Aportaciones DIC 22  '!Área_de_impresión</vt:lpstr>
      <vt:lpstr>'C C Aportaciones ENE 22'!Área_de_impresión</vt:lpstr>
      <vt:lpstr>'C C Aportaciones FEB 22'!Área_de_impresión</vt:lpstr>
      <vt:lpstr>'C C Aportaciones JUL 22   '!Área_de_impresión</vt:lpstr>
      <vt:lpstr>'C C Aportaciones JUN 22'!Área_de_impresión</vt:lpstr>
      <vt:lpstr>'C C Aportaciones MAY 22'!Área_de_impresión</vt:lpstr>
      <vt:lpstr>'C C Aportaciones NOV 22   '!Área_de_impresión</vt:lpstr>
      <vt:lpstr>'C C Aportaciones OCT 22 '!Área_de_impresión</vt:lpstr>
      <vt:lpstr>'C C Aportaciones SEP 22'!Área_de_impresión</vt:lpstr>
      <vt:lpstr>'C C Aportacines MAR 22'!Títulos_a_imprimir</vt:lpstr>
      <vt:lpstr>'C C Aportaciones ABR 22'!Títulos_a_imprimir</vt:lpstr>
      <vt:lpstr>'C C Aportaciones AGO 22   '!Títulos_a_imprimir</vt:lpstr>
      <vt:lpstr>'C C Aportaciones DIC 22  '!Títulos_a_imprimir</vt:lpstr>
      <vt:lpstr>'C C Aportaciones ENE 22'!Títulos_a_imprimir</vt:lpstr>
      <vt:lpstr>'C C Aportaciones FEB 22'!Títulos_a_imprimir</vt:lpstr>
      <vt:lpstr>'C C Aportaciones JUL 22   '!Títulos_a_imprimir</vt:lpstr>
      <vt:lpstr>'C C Aportaciones JUN 22'!Títulos_a_imprimir</vt:lpstr>
      <vt:lpstr>'C C Aportaciones MAY 22'!Títulos_a_imprimir</vt:lpstr>
      <vt:lpstr>'C C Aportaciones NOV 22   '!Títulos_a_imprimir</vt:lpstr>
      <vt:lpstr>'C C Aportaciones OCT 22 '!Títulos_a_imprimir</vt:lpstr>
      <vt:lpstr>'C C Aportaciones SEP 22'!Títulos_a_imprimir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Gloria</cp:lastModifiedBy>
  <cp:lastPrinted>2021-03-02T03:19:40Z</cp:lastPrinted>
  <dcterms:created xsi:type="dcterms:W3CDTF">2013-12-30T22:30:56Z</dcterms:created>
  <dcterms:modified xsi:type="dcterms:W3CDTF">2022-02-23T02:18:26Z</dcterms:modified>
</cp:coreProperties>
</file>