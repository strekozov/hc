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codeName="ThisWorkbook" defaultThemeVersion="124226"/>
  <bookViews>
    <workbookView xWindow="-120" yWindow="-120" windowWidth="20730" windowHeight="11160" firstSheet="5" activeTab="11"/>
  </bookViews>
  <sheets>
    <sheet name="ENERO-20 " sheetId="15" r:id="rId1"/>
    <sheet name="FEBRERO-20 " sheetId="28" r:id="rId2"/>
    <sheet name="MARZO-20" sheetId="18" r:id="rId3"/>
    <sheet name="ABRIL-20" sheetId="21" r:id="rId4"/>
    <sheet name="MAYO-20" sheetId="26" r:id="rId5"/>
    <sheet name="JUNIO-20" sheetId="9" r:id="rId6"/>
    <sheet name="JULIO-20" sheetId="10" r:id="rId7"/>
    <sheet name="AGOSTO-20" sheetId="11" r:id="rId8"/>
    <sheet name="SEPTIEMBRE-20 " sheetId="35" r:id="rId9"/>
    <sheet name="OCTUBRE-20" sheetId="34" r:id="rId10"/>
    <sheet name="NOVIEMBRE-20" sheetId="33" r:id="rId11"/>
    <sheet name="DICIEMBRE-20" sheetId="32" r:id="rId12"/>
    <sheet name="Hoja1" sheetId="31" r:id="rId13"/>
  </sheets>
  <definedNames>
    <definedName name="_xlnm.Print_Area" localSheetId="3">'ABRIL-20'!$B$2:$L$163</definedName>
    <definedName name="_xlnm.Print_Area" localSheetId="7">'AGOSTO-20'!$B$1:$L$144</definedName>
    <definedName name="_xlnm.Print_Area" localSheetId="11">'DICIEMBRE-20'!$B$1:$L$124</definedName>
    <definedName name="_xlnm.Print_Area" localSheetId="0">'ENERO-20 '!$B$1:$K$123</definedName>
    <definedName name="_xlnm.Print_Area" localSheetId="1">'FEBRERO-20 '!$B$1:$L$120</definedName>
    <definedName name="_xlnm.Print_Area" localSheetId="6">'JULIO-20'!$B$1:$L$128</definedName>
    <definedName name="_xlnm.Print_Area" localSheetId="5">'JUNIO-20'!$B$1:$L$112</definedName>
    <definedName name="_xlnm.Print_Area" localSheetId="2">'MARZO-20'!$A$2:$L$128</definedName>
    <definedName name="_xlnm.Print_Area" localSheetId="4">'MAYO-20'!$A$1:$L$117</definedName>
    <definedName name="_xlnm.Print_Area" localSheetId="10">'NOVIEMBRE-20'!$B$1:$L$123</definedName>
    <definedName name="_xlnm.Print_Area" localSheetId="9">'OCTUBRE-20'!$B$1:$L$118</definedName>
    <definedName name="_xlnm.Print_Area" localSheetId="8">'SEPTIEMBRE-20 '!$B$1:$L$134</definedName>
  </definedNames>
  <calcPr calcId="144525"/>
</workbook>
</file>

<file path=xl/calcChain.xml><?xml version="1.0" encoding="utf-8"?>
<calcChain xmlns="http://schemas.openxmlformats.org/spreadsheetml/2006/main">
  <c r="J57" i="32" l="1"/>
  <c r="J58" i="32"/>
  <c r="J59" i="32"/>
  <c r="J60" i="32"/>
  <c r="J61" i="32"/>
  <c r="J62" i="32"/>
  <c r="J63" i="32"/>
  <c r="J64" i="32"/>
  <c r="J65" i="32"/>
  <c r="J66" i="32"/>
  <c r="J67" i="32"/>
  <c r="J68" i="32"/>
  <c r="J69" i="32"/>
  <c r="J70" i="32"/>
  <c r="J71" i="32"/>
  <c r="J72" i="32"/>
  <c r="J73" i="32"/>
  <c r="J74" i="32"/>
  <c r="J75" i="32"/>
  <c r="J76" i="32"/>
  <c r="J77" i="32"/>
  <c r="J78" i="32"/>
  <c r="J79" i="32"/>
  <c r="J80" i="32"/>
  <c r="J81" i="32"/>
  <c r="J82" i="32"/>
  <c r="J83" i="32"/>
  <c r="J84" i="32"/>
  <c r="J85" i="32"/>
  <c r="J86" i="32"/>
  <c r="J87" i="32"/>
  <c r="J88" i="32"/>
  <c r="J89" i="32"/>
  <c r="J90" i="32"/>
  <c r="J91" i="32"/>
  <c r="J92" i="32"/>
  <c r="J93" i="32"/>
  <c r="J94" i="32"/>
  <c r="J95" i="32"/>
  <c r="J96" i="32"/>
  <c r="J97" i="32"/>
  <c r="J98" i="32"/>
  <c r="J99" i="32"/>
  <c r="J100" i="32"/>
  <c r="J101" i="32"/>
  <c r="J102" i="32"/>
  <c r="J103" i="32"/>
  <c r="J6" i="32"/>
  <c r="K6" i="32"/>
  <c r="J7" i="32"/>
  <c r="K7" i="32"/>
  <c r="J8" i="32"/>
  <c r="K8" i="32"/>
  <c r="J9" i="32"/>
  <c r="K9" i="32"/>
  <c r="J10" i="32"/>
  <c r="K10" i="32"/>
  <c r="J11" i="32"/>
  <c r="K11" i="32"/>
  <c r="J12" i="32"/>
  <c r="K12" i="32"/>
  <c r="J13" i="32"/>
  <c r="K13" i="32"/>
  <c r="J14" i="32"/>
  <c r="K14" i="32"/>
  <c r="J15" i="32"/>
  <c r="K15" i="32"/>
  <c r="J16" i="32"/>
  <c r="K16" i="32"/>
  <c r="J17" i="32"/>
  <c r="K17" i="32"/>
  <c r="J18" i="32"/>
  <c r="K18" i="32"/>
  <c r="J19" i="32"/>
  <c r="K19" i="32"/>
  <c r="J20" i="32"/>
  <c r="K20" i="32"/>
  <c r="J21" i="32"/>
  <c r="K21" i="32"/>
  <c r="J22" i="32"/>
  <c r="K22" i="32"/>
  <c r="J23" i="32"/>
  <c r="K23" i="32"/>
  <c r="J24" i="32"/>
  <c r="K24" i="32"/>
  <c r="J25" i="32"/>
  <c r="K25" i="32"/>
  <c r="J26" i="32"/>
  <c r="K26" i="32"/>
  <c r="J27" i="32"/>
  <c r="K27" i="32"/>
  <c r="J28" i="32"/>
  <c r="K28" i="32"/>
  <c r="J29" i="32"/>
  <c r="K29" i="32"/>
  <c r="J30" i="32"/>
  <c r="K30" i="32"/>
  <c r="J31" i="32"/>
  <c r="K31" i="32"/>
  <c r="J32" i="32"/>
  <c r="K32" i="32"/>
  <c r="J33" i="32"/>
  <c r="K33" i="32"/>
  <c r="J34" i="32"/>
  <c r="K34" i="32"/>
  <c r="J35" i="32"/>
  <c r="K35" i="32"/>
  <c r="J36" i="32"/>
  <c r="K36" i="32"/>
  <c r="J37" i="32"/>
  <c r="K37" i="32"/>
  <c r="K38" i="32" s="1"/>
  <c r="K39" i="32" s="1"/>
  <c r="K40" i="32" s="1"/>
  <c r="K41" i="32" s="1"/>
  <c r="K42" i="32" s="1"/>
  <c r="K43" i="32" s="1"/>
  <c r="K44" i="32" s="1"/>
  <c r="K45" i="32" s="1"/>
  <c r="K46" i="32" s="1"/>
  <c r="K47" i="32" s="1"/>
  <c r="K48" i="32" s="1"/>
  <c r="K49" i="32" s="1"/>
  <c r="K50" i="32" s="1"/>
  <c r="K51" i="32" s="1"/>
  <c r="J38" i="32"/>
  <c r="J39" i="32"/>
  <c r="J40" i="32"/>
  <c r="J41" i="32"/>
  <c r="J42" i="32"/>
  <c r="J43" i="32"/>
  <c r="J44" i="32"/>
  <c r="J45" i="32"/>
  <c r="J46" i="32"/>
  <c r="J47" i="32"/>
  <c r="J48" i="32"/>
  <c r="J49" i="32"/>
  <c r="J50" i="32"/>
  <c r="J51" i="32"/>
  <c r="H122" i="32"/>
  <c r="H104" i="32"/>
  <c r="H52" i="32"/>
  <c r="J56" i="32" l="1"/>
  <c r="K56" i="32"/>
  <c r="K57" i="32" s="1"/>
  <c r="K58" i="32" s="1"/>
  <c r="K59" i="32" s="1"/>
  <c r="K60" i="32" s="1"/>
  <c r="K61" i="32" s="1"/>
  <c r="K62" i="32" s="1"/>
  <c r="K63" i="32" s="1"/>
  <c r="K64" i="32" s="1"/>
  <c r="K65" i="32" s="1"/>
  <c r="K66" i="32" s="1"/>
  <c r="K67" i="32" s="1"/>
  <c r="K68" i="32" s="1"/>
  <c r="K69" i="32" s="1"/>
  <c r="K70" i="32" s="1"/>
  <c r="K71" i="32" s="1"/>
  <c r="K72" i="32" s="1"/>
  <c r="K73" i="32" s="1"/>
  <c r="K74" i="32" s="1"/>
  <c r="K75" i="32" s="1"/>
  <c r="K76" i="32" s="1"/>
  <c r="K77" i="32" s="1"/>
  <c r="K78" i="32" s="1"/>
  <c r="K79" i="32" s="1"/>
  <c r="K80" i="32" s="1"/>
  <c r="K81" i="32" s="1"/>
  <c r="K82" i="32" s="1"/>
  <c r="K83" i="32" s="1"/>
  <c r="K84" i="32" s="1"/>
  <c r="K85" i="32" s="1"/>
  <c r="K86" i="32" s="1"/>
  <c r="K87" i="32" s="1"/>
  <c r="K88" i="32" s="1"/>
  <c r="K89" i="32" s="1"/>
  <c r="K90" i="32" s="1"/>
  <c r="K91" i="32" s="1"/>
  <c r="K92" i="32" s="1"/>
  <c r="K93" i="32" s="1"/>
  <c r="K94" i="32" s="1"/>
  <c r="K95" i="32" s="1"/>
  <c r="K96" i="32" s="1"/>
  <c r="K97" i="32" s="1"/>
  <c r="K98" i="32" s="1"/>
  <c r="K99" i="32" s="1"/>
  <c r="K100" i="32" s="1"/>
  <c r="K101" i="32" s="1"/>
  <c r="K102" i="32" s="1"/>
  <c r="K103" i="32" s="1"/>
  <c r="K5" i="32" l="1"/>
  <c r="J4" i="32"/>
  <c r="J5" i="32" s="1"/>
  <c r="J56" i="34" l="1"/>
  <c r="J57" i="34" s="1"/>
  <c r="J58" i="34" s="1"/>
  <c r="J59" i="34" s="1"/>
  <c r="J60" i="34" s="1"/>
  <c r="J61" i="34" s="1"/>
  <c r="J62" i="34" s="1"/>
  <c r="J63" i="34" s="1"/>
  <c r="J64" i="34" s="1"/>
  <c r="J65" i="34" s="1"/>
  <c r="J66" i="34" s="1"/>
  <c r="J67" i="34" s="1"/>
  <c r="J68" i="34" s="1"/>
  <c r="J69" i="34" s="1"/>
  <c r="J70" i="34" s="1"/>
  <c r="J71" i="34" s="1"/>
  <c r="J72" i="34" s="1"/>
  <c r="J73" i="34" s="1"/>
  <c r="J74" i="34" s="1"/>
  <c r="J75" i="34" s="1"/>
  <c r="J76" i="34" s="1"/>
  <c r="J77" i="34" s="1"/>
  <c r="J78" i="34" s="1"/>
  <c r="J79" i="34" s="1"/>
  <c r="J80" i="34" s="1"/>
  <c r="J81" i="34" s="1"/>
  <c r="J82" i="34" s="1"/>
  <c r="J83" i="34" s="1"/>
  <c r="J84" i="34" s="1"/>
  <c r="J85" i="34" s="1"/>
  <c r="J86" i="34" s="1"/>
  <c r="J87" i="34" s="1"/>
  <c r="J88" i="34" s="1"/>
  <c r="J89" i="34" s="1"/>
  <c r="J90" i="34" s="1"/>
  <c r="J91" i="34" s="1"/>
  <c r="J92" i="34" s="1"/>
  <c r="J93" i="34" s="1"/>
  <c r="J94" i="34" s="1"/>
  <c r="J95" i="34" s="1"/>
  <c r="J96" i="34" s="1"/>
  <c r="J97" i="34" s="1"/>
  <c r="J98" i="34" s="1"/>
  <c r="J99" i="34" s="1"/>
  <c r="J100" i="34" s="1"/>
  <c r="J101" i="34" s="1"/>
  <c r="J102" i="34" s="1"/>
  <c r="J103" i="34" s="1"/>
  <c r="K56" i="34"/>
  <c r="K57" i="34" s="1"/>
  <c r="K58" i="34" s="1"/>
  <c r="K59" i="34" s="1"/>
  <c r="K60" i="34" s="1"/>
  <c r="K61" i="34" s="1"/>
  <c r="K62" i="34" s="1"/>
  <c r="K63" i="34" s="1"/>
  <c r="K64" i="34" s="1"/>
  <c r="K65" i="34" s="1"/>
  <c r="K66" i="34" s="1"/>
  <c r="K67" i="34" s="1"/>
  <c r="K68" i="34" s="1"/>
  <c r="K69" i="34" s="1"/>
  <c r="K70" i="34" s="1"/>
  <c r="K71" i="34" s="1"/>
  <c r="K72" i="34" s="1"/>
  <c r="K73" i="34" s="1"/>
  <c r="K74" i="34" s="1"/>
  <c r="K75" i="34" s="1"/>
  <c r="K76" i="34" s="1"/>
  <c r="K77" i="34" s="1"/>
  <c r="K78" i="34" s="1"/>
  <c r="K79" i="34" s="1"/>
  <c r="K80" i="34" s="1"/>
  <c r="K81" i="34" s="1"/>
  <c r="K82" i="34" s="1"/>
  <c r="K83" i="34" s="1"/>
  <c r="K84" i="34" s="1"/>
  <c r="K85" i="34" s="1"/>
  <c r="K86" i="34" s="1"/>
  <c r="K87" i="34" s="1"/>
  <c r="K88" i="34" s="1"/>
  <c r="K89" i="34" s="1"/>
  <c r="K90" i="34" s="1"/>
  <c r="K91" i="34" s="1"/>
  <c r="K92" i="34" s="1"/>
  <c r="K93" i="34" s="1"/>
  <c r="K94" i="34" s="1"/>
  <c r="K95" i="34" s="1"/>
  <c r="K96" i="34" s="1"/>
  <c r="K97" i="34" s="1"/>
  <c r="K98" i="34" s="1"/>
  <c r="K99" i="34" s="1"/>
  <c r="K100" i="34" s="1"/>
  <c r="K101" i="34" s="1"/>
  <c r="K102" i="34" s="1"/>
  <c r="K103" i="34" s="1"/>
  <c r="K108" i="34"/>
  <c r="K109" i="34" s="1"/>
  <c r="K110" i="34" s="1"/>
  <c r="K111" i="34" s="1"/>
  <c r="K112" i="34" s="1"/>
  <c r="K113" i="34" s="1"/>
  <c r="K114" i="34" s="1"/>
  <c r="K115" i="34" s="1"/>
  <c r="J108" i="34"/>
  <c r="J109" i="34" s="1"/>
  <c r="J110" i="34" s="1"/>
  <c r="J111" i="34" s="1"/>
  <c r="J112" i="34" s="1"/>
  <c r="J113" i="34" s="1"/>
  <c r="J114" i="34" s="1"/>
  <c r="J115" i="34" s="1"/>
  <c r="H116" i="34"/>
  <c r="G116" i="34"/>
  <c r="E116" i="34"/>
  <c r="D116" i="34"/>
  <c r="F55" i="34" l="1"/>
  <c r="H52" i="34" l="1"/>
  <c r="H104" i="34"/>
  <c r="G104" i="34"/>
  <c r="E104" i="34"/>
  <c r="D104" i="34"/>
  <c r="F104" i="34" l="1"/>
  <c r="I104" i="34"/>
  <c r="J57" i="35"/>
  <c r="K57" i="35"/>
  <c r="J58" i="35"/>
  <c r="K58" i="35"/>
  <c r="J59" i="35"/>
  <c r="K59" i="35"/>
  <c r="J60" i="35"/>
  <c r="K60" i="35"/>
  <c r="J61" i="35"/>
  <c r="K61" i="35"/>
  <c r="J62" i="35"/>
  <c r="K62" i="35"/>
  <c r="K63" i="35" s="1"/>
  <c r="K64" i="35" s="1"/>
  <c r="K65" i="35" s="1"/>
  <c r="K66" i="35" s="1"/>
  <c r="K67" i="35" s="1"/>
  <c r="K68" i="35" s="1"/>
  <c r="K69" i="35" s="1"/>
  <c r="K70" i="35" s="1"/>
  <c r="K71" i="35" s="1"/>
  <c r="K72" i="35" s="1"/>
  <c r="K73" i="35" s="1"/>
  <c r="K74" i="35" s="1"/>
  <c r="K75" i="35" s="1"/>
  <c r="K76" i="35" s="1"/>
  <c r="K77" i="35" s="1"/>
  <c r="K78" i="35" s="1"/>
  <c r="K79" i="35" s="1"/>
  <c r="K80" i="35" s="1"/>
  <c r="K81" i="35" s="1"/>
  <c r="K82" i="35" s="1"/>
  <c r="K83" i="35" s="1"/>
  <c r="K84" i="35" s="1"/>
  <c r="K85" i="35" s="1"/>
  <c r="K86" i="35" s="1"/>
  <c r="K87" i="35" s="1"/>
  <c r="K88" i="35" s="1"/>
  <c r="K89" i="35" s="1"/>
  <c r="K90" i="35" s="1"/>
  <c r="K91" i="35" s="1"/>
  <c r="K92" i="35" s="1"/>
  <c r="K93" i="35" s="1"/>
  <c r="K94" i="35" s="1"/>
  <c r="K95" i="35" s="1"/>
  <c r="K96" i="35" s="1"/>
  <c r="K97" i="35" s="1"/>
  <c r="K98" i="35" s="1"/>
  <c r="K99" i="35" s="1"/>
  <c r="K100" i="35" s="1"/>
  <c r="K101" i="35" s="1"/>
  <c r="K102" i="35" s="1"/>
  <c r="K103" i="35" s="1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6" i="35"/>
  <c r="K6" i="35"/>
  <c r="J7" i="35"/>
  <c r="K7" i="35"/>
  <c r="J8" i="35"/>
  <c r="K8" i="35"/>
  <c r="J9" i="35"/>
  <c r="K9" i="35"/>
  <c r="J10" i="35"/>
  <c r="K10" i="35"/>
  <c r="J11" i="35"/>
  <c r="K11" i="35"/>
  <c r="J12" i="35"/>
  <c r="K12" i="35"/>
  <c r="J13" i="35"/>
  <c r="K13" i="35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J29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J42" i="35"/>
  <c r="K42" i="35"/>
  <c r="J43" i="35"/>
  <c r="K43" i="35"/>
  <c r="J44" i="35"/>
  <c r="K44" i="35"/>
  <c r="J45" i="35"/>
  <c r="K45" i="35"/>
  <c r="J46" i="35"/>
  <c r="K46" i="35"/>
  <c r="J47" i="35"/>
  <c r="K47" i="35"/>
  <c r="J48" i="35"/>
  <c r="K48" i="35"/>
  <c r="J49" i="35"/>
  <c r="K49" i="35"/>
  <c r="J50" i="35"/>
  <c r="K50" i="35"/>
  <c r="J51" i="35"/>
  <c r="K51" i="35"/>
  <c r="I55" i="32" l="1"/>
  <c r="K123" i="33"/>
  <c r="F107" i="34"/>
  <c r="K134" i="35"/>
  <c r="H132" i="35"/>
  <c r="G132" i="35"/>
  <c r="E132" i="35"/>
  <c r="D132" i="35"/>
  <c r="K108" i="35"/>
  <c r="K109" i="35" s="1"/>
  <c r="K110" i="35" s="1"/>
  <c r="K111" i="35" s="1"/>
  <c r="K112" i="35" s="1"/>
  <c r="K113" i="35" s="1"/>
  <c r="K114" i="35" s="1"/>
  <c r="K115" i="35" s="1"/>
  <c r="K116" i="35" s="1"/>
  <c r="K117" i="35" s="1"/>
  <c r="K118" i="35" s="1"/>
  <c r="K119" i="35" s="1"/>
  <c r="K120" i="35" s="1"/>
  <c r="K121" i="35" s="1"/>
  <c r="K122" i="35" s="1"/>
  <c r="K123" i="35" s="1"/>
  <c r="K124" i="35" s="1"/>
  <c r="K125" i="35" s="1"/>
  <c r="K126" i="35" s="1"/>
  <c r="K127" i="35" s="1"/>
  <c r="K128" i="35" s="1"/>
  <c r="K129" i="35" s="1"/>
  <c r="K130" i="35" s="1"/>
  <c r="K131" i="35" s="1"/>
  <c r="J108" i="35"/>
  <c r="J109" i="35" s="1"/>
  <c r="J110" i="35" s="1"/>
  <c r="J111" i="35" s="1"/>
  <c r="J112" i="35" s="1"/>
  <c r="J113" i="35" s="1"/>
  <c r="J114" i="35" s="1"/>
  <c r="J115" i="35" s="1"/>
  <c r="J116" i="35" s="1"/>
  <c r="J117" i="35" s="1"/>
  <c r="J118" i="35" s="1"/>
  <c r="J119" i="35" s="1"/>
  <c r="J120" i="35" s="1"/>
  <c r="J121" i="35" s="1"/>
  <c r="J122" i="35" s="1"/>
  <c r="J123" i="35" s="1"/>
  <c r="J124" i="35" s="1"/>
  <c r="J125" i="35" s="1"/>
  <c r="J126" i="35" s="1"/>
  <c r="J127" i="35" s="1"/>
  <c r="J128" i="35" s="1"/>
  <c r="J129" i="35" s="1"/>
  <c r="J130" i="35" s="1"/>
  <c r="J131" i="35" s="1"/>
  <c r="I107" i="35"/>
  <c r="F107" i="35"/>
  <c r="H104" i="35"/>
  <c r="G104" i="35"/>
  <c r="E104" i="35"/>
  <c r="D104" i="35"/>
  <c r="K56" i="35"/>
  <c r="J56" i="35"/>
  <c r="I55" i="35"/>
  <c r="F55" i="35"/>
  <c r="H52" i="35"/>
  <c r="G52" i="35"/>
  <c r="E52" i="35"/>
  <c r="D52" i="35"/>
  <c r="K5" i="35"/>
  <c r="J5" i="35"/>
  <c r="K118" i="34"/>
  <c r="I116" i="34"/>
  <c r="F116" i="34"/>
  <c r="I107" i="34"/>
  <c r="I55" i="34"/>
  <c r="G52" i="34"/>
  <c r="E52" i="34"/>
  <c r="D52" i="34"/>
  <c r="K5" i="34"/>
  <c r="K6" i="34" s="1"/>
  <c r="K7" i="34" s="1"/>
  <c r="K8" i="34" s="1"/>
  <c r="K9" i="34" s="1"/>
  <c r="K10" i="34" s="1"/>
  <c r="K11" i="34" s="1"/>
  <c r="K12" i="34" s="1"/>
  <c r="K13" i="34" s="1"/>
  <c r="K14" i="34" s="1"/>
  <c r="K15" i="34" s="1"/>
  <c r="K16" i="34" s="1"/>
  <c r="K17" i="34" s="1"/>
  <c r="K18" i="34" s="1"/>
  <c r="K19" i="34" s="1"/>
  <c r="K20" i="34" s="1"/>
  <c r="K21" i="34" s="1"/>
  <c r="K22" i="34" s="1"/>
  <c r="K23" i="34" s="1"/>
  <c r="K24" i="34" s="1"/>
  <c r="K25" i="34" s="1"/>
  <c r="K26" i="34" s="1"/>
  <c r="K27" i="34" s="1"/>
  <c r="K28" i="34" s="1"/>
  <c r="K29" i="34" s="1"/>
  <c r="K30" i="34" s="1"/>
  <c r="K31" i="34" s="1"/>
  <c r="K32" i="34" s="1"/>
  <c r="K33" i="34" s="1"/>
  <c r="K34" i="34" s="1"/>
  <c r="K35" i="34" s="1"/>
  <c r="K36" i="34" s="1"/>
  <c r="K37" i="34" s="1"/>
  <c r="K38" i="34" s="1"/>
  <c r="K39" i="34" s="1"/>
  <c r="K40" i="34" s="1"/>
  <c r="K41" i="34" s="1"/>
  <c r="K42" i="34" s="1"/>
  <c r="K43" i="34" s="1"/>
  <c r="K44" i="34" s="1"/>
  <c r="K45" i="34" s="1"/>
  <c r="K46" i="34" s="1"/>
  <c r="K47" i="34" s="1"/>
  <c r="K48" i="34" s="1"/>
  <c r="K49" i="34" s="1"/>
  <c r="K50" i="34" s="1"/>
  <c r="K51" i="34" s="1"/>
  <c r="J5" i="34"/>
  <c r="J6" i="34" s="1"/>
  <c r="J7" i="34" s="1"/>
  <c r="J8" i="34" s="1"/>
  <c r="J9" i="34" s="1"/>
  <c r="J10" i="34" s="1"/>
  <c r="J11" i="34" s="1"/>
  <c r="J12" i="34" s="1"/>
  <c r="J13" i="34" s="1"/>
  <c r="J14" i="34" s="1"/>
  <c r="J15" i="34" s="1"/>
  <c r="J16" i="34" s="1"/>
  <c r="J17" i="34" s="1"/>
  <c r="J18" i="34" s="1"/>
  <c r="J19" i="34" s="1"/>
  <c r="J20" i="34" s="1"/>
  <c r="J21" i="34" s="1"/>
  <c r="J22" i="34" s="1"/>
  <c r="J23" i="34" s="1"/>
  <c r="J24" i="34" s="1"/>
  <c r="J25" i="34" s="1"/>
  <c r="J26" i="34" s="1"/>
  <c r="J27" i="34" s="1"/>
  <c r="J28" i="34" s="1"/>
  <c r="J29" i="34" s="1"/>
  <c r="J30" i="34" s="1"/>
  <c r="J31" i="34" s="1"/>
  <c r="J32" i="34" s="1"/>
  <c r="J33" i="34" s="1"/>
  <c r="J34" i="34" s="1"/>
  <c r="J35" i="34" s="1"/>
  <c r="J36" i="34" s="1"/>
  <c r="J37" i="34" s="1"/>
  <c r="J38" i="34" s="1"/>
  <c r="J39" i="34" s="1"/>
  <c r="J40" i="34" s="1"/>
  <c r="J41" i="34" s="1"/>
  <c r="J42" i="34" s="1"/>
  <c r="J43" i="34" s="1"/>
  <c r="J44" i="34" s="1"/>
  <c r="J45" i="34" s="1"/>
  <c r="J46" i="34" s="1"/>
  <c r="J47" i="34" s="1"/>
  <c r="J48" i="34" s="1"/>
  <c r="J49" i="34" s="1"/>
  <c r="J50" i="34" s="1"/>
  <c r="J51" i="34" s="1"/>
  <c r="H121" i="33"/>
  <c r="G121" i="33"/>
  <c r="E121" i="33"/>
  <c r="D121" i="33"/>
  <c r="K108" i="33"/>
  <c r="K109" i="33" s="1"/>
  <c r="K110" i="33" s="1"/>
  <c r="K111" i="33" s="1"/>
  <c r="K112" i="33" s="1"/>
  <c r="K113" i="33" s="1"/>
  <c r="K114" i="33" s="1"/>
  <c r="K115" i="33" s="1"/>
  <c r="K116" i="33" s="1"/>
  <c r="K117" i="33" s="1"/>
  <c r="K118" i="33" s="1"/>
  <c r="K119" i="33" s="1"/>
  <c r="K120" i="33" s="1"/>
  <c r="J108" i="33"/>
  <c r="J109" i="33" s="1"/>
  <c r="J110" i="33" s="1"/>
  <c r="J111" i="33" s="1"/>
  <c r="J112" i="33" s="1"/>
  <c r="J113" i="33" s="1"/>
  <c r="J114" i="33" s="1"/>
  <c r="J115" i="33" s="1"/>
  <c r="J116" i="33" s="1"/>
  <c r="J117" i="33" s="1"/>
  <c r="J118" i="33" s="1"/>
  <c r="J119" i="33" s="1"/>
  <c r="J120" i="33" s="1"/>
  <c r="I107" i="33"/>
  <c r="F107" i="33"/>
  <c r="H104" i="33"/>
  <c r="G104" i="33"/>
  <c r="E104" i="33"/>
  <c r="D104" i="33"/>
  <c r="K56" i="33"/>
  <c r="K57" i="33" s="1"/>
  <c r="K58" i="33" s="1"/>
  <c r="K59" i="33" s="1"/>
  <c r="K60" i="33" s="1"/>
  <c r="K61" i="33" s="1"/>
  <c r="K62" i="33" s="1"/>
  <c r="K63" i="33" s="1"/>
  <c r="K64" i="33" s="1"/>
  <c r="K65" i="33" s="1"/>
  <c r="K66" i="33" s="1"/>
  <c r="K67" i="33" s="1"/>
  <c r="K68" i="33" s="1"/>
  <c r="K69" i="33" s="1"/>
  <c r="K70" i="33" s="1"/>
  <c r="K71" i="33" s="1"/>
  <c r="K72" i="33" s="1"/>
  <c r="K73" i="33" s="1"/>
  <c r="K74" i="33" s="1"/>
  <c r="K75" i="33" s="1"/>
  <c r="K76" i="33" s="1"/>
  <c r="K77" i="33" s="1"/>
  <c r="K78" i="33" s="1"/>
  <c r="K79" i="33" s="1"/>
  <c r="K80" i="33" s="1"/>
  <c r="K81" i="33" s="1"/>
  <c r="K82" i="33" s="1"/>
  <c r="K83" i="33" s="1"/>
  <c r="K84" i="33" s="1"/>
  <c r="K85" i="33" s="1"/>
  <c r="K86" i="33" s="1"/>
  <c r="K87" i="33" s="1"/>
  <c r="K88" i="33" s="1"/>
  <c r="K89" i="33" s="1"/>
  <c r="K90" i="33" s="1"/>
  <c r="K91" i="33" s="1"/>
  <c r="K92" i="33" s="1"/>
  <c r="K93" i="33" s="1"/>
  <c r="K94" i="33" s="1"/>
  <c r="K95" i="33" s="1"/>
  <c r="K96" i="33" s="1"/>
  <c r="K97" i="33" s="1"/>
  <c r="K98" i="33" s="1"/>
  <c r="K99" i="33" s="1"/>
  <c r="K100" i="33" s="1"/>
  <c r="K101" i="33" s="1"/>
  <c r="K102" i="33" s="1"/>
  <c r="K103" i="33" s="1"/>
  <c r="J56" i="33"/>
  <c r="J57" i="33" s="1"/>
  <c r="J58" i="33" s="1"/>
  <c r="J59" i="33" s="1"/>
  <c r="J60" i="33" s="1"/>
  <c r="J61" i="33" s="1"/>
  <c r="J62" i="33" s="1"/>
  <c r="J63" i="33" s="1"/>
  <c r="J64" i="33" s="1"/>
  <c r="J65" i="33" s="1"/>
  <c r="J66" i="33" s="1"/>
  <c r="J67" i="33" s="1"/>
  <c r="J68" i="33" s="1"/>
  <c r="J69" i="33" s="1"/>
  <c r="J70" i="33" s="1"/>
  <c r="J71" i="33" s="1"/>
  <c r="J72" i="33" s="1"/>
  <c r="J73" i="33" s="1"/>
  <c r="J74" i="33" s="1"/>
  <c r="J75" i="33" s="1"/>
  <c r="J76" i="33" s="1"/>
  <c r="J77" i="33" s="1"/>
  <c r="J78" i="33" s="1"/>
  <c r="J79" i="33" s="1"/>
  <c r="J80" i="33" s="1"/>
  <c r="J81" i="33" s="1"/>
  <c r="J82" i="33" s="1"/>
  <c r="J83" i="33" s="1"/>
  <c r="J84" i="33" s="1"/>
  <c r="J85" i="33" s="1"/>
  <c r="J86" i="33" s="1"/>
  <c r="J87" i="33" s="1"/>
  <c r="J88" i="33" s="1"/>
  <c r="J89" i="33" s="1"/>
  <c r="J90" i="33" s="1"/>
  <c r="J91" i="33" s="1"/>
  <c r="J92" i="33" s="1"/>
  <c r="J93" i="33" s="1"/>
  <c r="J94" i="33" s="1"/>
  <c r="J95" i="33" s="1"/>
  <c r="J96" i="33" s="1"/>
  <c r="J97" i="33" s="1"/>
  <c r="J98" i="33" s="1"/>
  <c r="J99" i="33" s="1"/>
  <c r="J100" i="33" s="1"/>
  <c r="J101" i="33" s="1"/>
  <c r="J102" i="33" s="1"/>
  <c r="J103" i="33" s="1"/>
  <c r="I55" i="33"/>
  <c r="F55" i="33"/>
  <c r="H52" i="33"/>
  <c r="G52" i="33"/>
  <c r="E52" i="33"/>
  <c r="D52" i="33"/>
  <c r="K5" i="33"/>
  <c r="K6" i="33" s="1"/>
  <c r="K7" i="33" s="1"/>
  <c r="K8" i="33" s="1"/>
  <c r="K9" i="33" s="1"/>
  <c r="K10" i="33" s="1"/>
  <c r="K11" i="33" s="1"/>
  <c r="K12" i="33" s="1"/>
  <c r="K13" i="33" s="1"/>
  <c r="K14" i="33" s="1"/>
  <c r="K15" i="33" s="1"/>
  <c r="K16" i="33" s="1"/>
  <c r="K17" i="33" s="1"/>
  <c r="K18" i="33" s="1"/>
  <c r="K19" i="33" s="1"/>
  <c r="K20" i="33" s="1"/>
  <c r="K21" i="33" s="1"/>
  <c r="K22" i="33" s="1"/>
  <c r="K23" i="33" s="1"/>
  <c r="K24" i="33" s="1"/>
  <c r="K25" i="33" s="1"/>
  <c r="K26" i="33" s="1"/>
  <c r="K27" i="33" s="1"/>
  <c r="K28" i="33" s="1"/>
  <c r="K29" i="33" s="1"/>
  <c r="K30" i="33" s="1"/>
  <c r="K31" i="33" s="1"/>
  <c r="K32" i="33" s="1"/>
  <c r="K33" i="33" s="1"/>
  <c r="K34" i="33" s="1"/>
  <c r="K35" i="33" s="1"/>
  <c r="K36" i="33" s="1"/>
  <c r="K37" i="33" s="1"/>
  <c r="K38" i="33" s="1"/>
  <c r="K39" i="33" s="1"/>
  <c r="K40" i="33" s="1"/>
  <c r="K41" i="33" s="1"/>
  <c r="K42" i="33" s="1"/>
  <c r="K43" i="33" s="1"/>
  <c r="K44" i="33" s="1"/>
  <c r="K45" i="33" s="1"/>
  <c r="K46" i="33" s="1"/>
  <c r="K47" i="33" s="1"/>
  <c r="K48" i="33" s="1"/>
  <c r="K49" i="33" s="1"/>
  <c r="K50" i="33" s="1"/>
  <c r="K51" i="33" s="1"/>
  <c r="J5" i="33"/>
  <c r="J6" i="33" s="1"/>
  <c r="J7" i="33" s="1"/>
  <c r="J8" i="33" s="1"/>
  <c r="J9" i="33" s="1"/>
  <c r="J10" i="33" s="1"/>
  <c r="J11" i="33" s="1"/>
  <c r="J12" i="33" s="1"/>
  <c r="J13" i="33" s="1"/>
  <c r="J14" i="33" s="1"/>
  <c r="J15" i="33" s="1"/>
  <c r="J16" i="33" s="1"/>
  <c r="J17" i="33" s="1"/>
  <c r="J18" i="33" s="1"/>
  <c r="J19" i="33" s="1"/>
  <c r="J20" i="33" s="1"/>
  <c r="J21" i="33" s="1"/>
  <c r="J22" i="33" s="1"/>
  <c r="J23" i="33" s="1"/>
  <c r="J24" i="33" s="1"/>
  <c r="J25" i="33" s="1"/>
  <c r="J26" i="33" s="1"/>
  <c r="J27" i="33" s="1"/>
  <c r="J28" i="33" s="1"/>
  <c r="J29" i="33" s="1"/>
  <c r="J30" i="33" s="1"/>
  <c r="J31" i="33" s="1"/>
  <c r="J32" i="33" s="1"/>
  <c r="J33" i="33" s="1"/>
  <c r="J34" i="33" s="1"/>
  <c r="J35" i="33" s="1"/>
  <c r="J36" i="33" s="1"/>
  <c r="J37" i="33" s="1"/>
  <c r="J38" i="33" s="1"/>
  <c r="J39" i="33" s="1"/>
  <c r="J40" i="33" s="1"/>
  <c r="J41" i="33" s="1"/>
  <c r="J42" i="33" s="1"/>
  <c r="J43" i="33" s="1"/>
  <c r="J44" i="33" s="1"/>
  <c r="J45" i="33" s="1"/>
  <c r="J46" i="33" s="1"/>
  <c r="J47" i="33" s="1"/>
  <c r="J48" i="33" s="1"/>
  <c r="J49" i="33" s="1"/>
  <c r="J50" i="33" s="1"/>
  <c r="J51" i="33" s="1"/>
  <c r="K124" i="32"/>
  <c r="G122" i="32"/>
  <c r="E122" i="32"/>
  <c r="D122" i="32"/>
  <c r="K108" i="32"/>
  <c r="K109" i="32" s="1"/>
  <c r="K110" i="32" s="1"/>
  <c r="K111" i="32" s="1"/>
  <c r="K112" i="32" s="1"/>
  <c r="K113" i="32" s="1"/>
  <c r="K114" i="32" s="1"/>
  <c r="K115" i="32" s="1"/>
  <c r="K116" i="32" s="1"/>
  <c r="K117" i="32" s="1"/>
  <c r="K118" i="32" s="1"/>
  <c r="K119" i="32" s="1"/>
  <c r="K120" i="32" s="1"/>
  <c r="K121" i="32" s="1"/>
  <c r="J108" i="32"/>
  <c r="J109" i="32" s="1"/>
  <c r="J110" i="32" s="1"/>
  <c r="J111" i="32" s="1"/>
  <c r="J112" i="32" s="1"/>
  <c r="J113" i="32" s="1"/>
  <c r="J114" i="32" s="1"/>
  <c r="J115" i="32" s="1"/>
  <c r="J116" i="32" s="1"/>
  <c r="J117" i="32" s="1"/>
  <c r="J118" i="32" s="1"/>
  <c r="J119" i="32" s="1"/>
  <c r="J120" i="32" s="1"/>
  <c r="J121" i="32" s="1"/>
  <c r="I107" i="32"/>
  <c r="F107" i="32"/>
  <c r="G104" i="32"/>
  <c r="E104" i="32"/>
  <c r="D104" i="32"/>
  <c r="F55" i="32"/>
  <c r="G52" i="32"/>
  <c r="E52" i="32"/>
  <c r="D52" i="32"/>
  <c r="F52" i="33" l="1"/>
  <c r="F52" i="34"/>
  <c r="F132" i="35"/>
  <c r="M104" i="35"/>
  <c r="I132" i="35"/>
  <c r="I104" i="35"/>
  <c r="F52" i="35"/>
  <c r="I104" i="32"/>
  <c r="M104" i="32"/>
  <c r="I121" i="33"/>
  <c r="I52" i="35"/>
  <c r="F104" i="35"/>
  <c r="I52" i="34"/>
  <c r="F104" i="33"/>
  <c r="I52" i="33"/>
  <c r="I104" i="33"/>
  <c r="F121" i="33"/>
  <c r="F122" i="32"/>
  <c r="I122" i="32"/>
  <c r="F52" i="32"/>
  <c r="I52" i="32"/>
  <c r="F104" i="32"/>
  <c r="F55" i="11"/>
  <c r="K144" i="11" l="1"/>
  <c r="D142" i="11"/>
  <c r="H142" i="11" l="1"/>
  <c r="E142" i="11"/>
  <c r="K108" i="11"/>
  <c r="I107" i="11"/>
  <c r="G142" i="11" l="1"/>
  <c r="I142" i="11" s="1"/>
  <c r="H104" i="11"/>
  <c r="G104" i="11"/>
  <c r="E104" i="11"/>
  <c r="D104" i="11"/>
  <c r="E52" i="11"/>
  <c r="D52" i="11"/>
  <c r="J108" i="1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K109" i="11"/>
  <c r="K110" i="11" s="1"/>
  <c r="K111" i="11" s="1"/>
  <c r="K112" i="11" s="1"/>
  <c r="K113" i="11" s="1"/>
  <c r="K114" i="11" s="1"/>
  <c r="K115" i="11" s="1"/>
  <c r="K116" i="11" s="1"/>
  <c r="K117" i="11" s="1"/>
  <c r="K118" i="11" s="1"/>
  <c r="K119" i="11" s="1"/>
  <c r="K120" i="11" s="1"/>
  <c r="K121" i="11" s="1"/>
  <c r="K122" i="11" s="1"/>
  <c r="K123" i="11" s="1"/>
  <c r="K124" i="11" s="1"/>
  <c r="K125" i="11" s="1"/>
  <c r="K126" i="11" s="1"/>
  <c r="K127" i="11" s="1"/>
  <c r="K128" i="11" s="1"/>
  <c r="K129" i="11" s="1"/>
  <c r="K130" i="11" s="1"/>
  <c r="K131" i="11" s="1"/>
  <c r="K132" i="11" s="1"/>
  <c r="K133" i="11" s="1"/>
  <c r="K134" i="11" s="1"/>
  <c r="K135" i="11" s="1"/>
  <c r="K136" i="11" s="1"/>
  <c r="K137" i="11" s="1"/>
  <c r="K138" i="11" s="1"/>
  <c r="K139" i="11" s="1"/>
  <c r="K140" i="11" s="1"/>
  <c r="K141" i="11" s="1"/>
  <c r="M104" i="11" l="1"/>
  <c r="F52" i="11"/>
  <c r="K128" i="10"/>
  <c r="E94" i="10" l="1"/>
  <c r="D94" i="10"/>
  <c r="H126" i="10"/>
  <c r="G126" i="10"/>
  <c r="E126" i="10"/>
  <c r="D126" i="10"/>
  <c r="F126" i="10" l="1"/>
  <c r="I126" i="10"/>
  <c r="H47" i="10"/>
  <c r="G47" i="10"/>
  <c r="I47" i="10" s="1"/>
  <c r="E47" i="10"/>
  <c r="D47" i="10"/>
  <c r="F47" i="10" s="1"/>
  <c r="I97" i="10" l="1"/>
  <c r="F50" i="10" l="1"/>
  <c r="K98" i="10" l="1"/>
  <c r="K99" i="10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K123" i="10" s="1"/>
  <c r="K124" i="10" s="1"/>
  <c r="K125" i="10" s="1"/>
  <c r="J98" i="10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H94" i="10"/>
  <c r="G94" i="10"/>
  <c r="I50" i="10"/>
  <c r="F94" i="10" l="1"/>
  <c r="I94" i="10"/>
  <c r="J106" i="9"/>
  <c r="J107" i="9"/>
  <c r="J108" i="9"/>
  <c r="H109" i="9"/>
  <c r="G109" i="9"/>
  <c r="E109" i="9"/>
  <c r="D109" i="9"/>
  <c r="F109" i="9" s="1"/>
  <c r="I97" i="9" l="1"/>
  <c r="E94" i="9"/>
  <c r="E47" i="9"/>
  <c r="G114" i="26" l="1"/>
  <c r="E114" i="26"/>
  <c r="F114" i="26" s="1"/>
  <c r="D114" i="26"/>
  <c r="H114" i="26"/>
  <c r="I114" i="26" s="1"/>
  <c r="K117" i="26"/>
  <c r="I103" i="26" l="1"/>
  <c r="H100" i="26"/>
  <c r="G100" i="26" l="1"/>
  <c r="E100" i="26"/>
  <c r="D100" i="26"/>
  <c r="H50" i="26"/>
  <c r="G50" i="26"/>
  <c r="E50" i="26"/>
  <c r="D50" i="26"/>
  <c r="I50" i="26" l="1"/>
  <c r="I100" i="26"/>
  <c r="F100" i="26"/>
  <c r="F50" i="26"/>
  <c r="H87" i="21"/>
  <c r="G87" i="21"/>
  <c r="E87" i="21"/>
  <c r="D87" i="21"/>
  <c r="J59" i="21"/>
  <c r="K59" i="21"/>
  <c r="J60" i="21"/>
  <c r="K60" i="21"/>
  <c r="J61" i="21"/>
  <c r="K61" i="21"/>
  <c r="J62" i="21"/>
  <c r="K62" i="21"/>
  <c r="J63" i="21"/>
  <c r="K63" i="21"/>
  <c r="J64" i="21"/>
  <c r="K64" i="21"/>
  <c r="J65" i="21"/>
  <c r="K65" i="21"/>
  <c r="J66" i="21"/>
  <c r="K66" i="21"/>
  <c r="J67" i="21"/>
  <c r="K67" i="21"/>
  <c r="J68" i="21"/>
  <c r="K68" i="21"/>
  <c r="J69" i="21"/>
  <c r="K69" i="21"/>
  <c r="J70" i="21"/>
  <c r="K70" i="21"/>
  <c r="J71" i="21"/>
  <c r="K71" i="21"/>
  <c r="J72" i="21"/>
  <c r="K72" i="21"/>
  <c r="J73" i="21"/>
  <c r="K73" i="21"/>
  <c r="J74" i="21"/>
  <c r="K74" i="21"/>
  <c r="J75" i="21"/>
  <c r="K75" i="21"/>
  <c r="J76" i="21"/>
  <c r="K76" i="21"/>
  <c r="J77" i="21"/>
  <c r="K77" i="21"/>
  <c r="J78" i="21"/>
  <c r="K78" i="21"/>
  <c r="J79" i="21"/>
  <c r="K79" i="21"/>
  <c r="J80" i="21"/>
  <c r="K80" i="21"/>
  <c r="J81" i="21"/>
  <c r="K81" i="21"/>
  <c r="J82" i="21"/>
  <c r="K82" i="21"/>
  <c r="J83" i="21"/>
  <c r="K83" i="21"/>
  <c r="J84" i="21"/>
  <c r="K84" i="21"/>
  <c r="J85" i="21"/>
  <c r="K85" i="21"/>
  <c r="J86" i="21"/>
  <c r="K86" i="21"/>
  <c r="I51" i="21"/>
  <c r="F51" i="21"/>
  <c r="H48" i="21"/>
  <c r="I48" i="21" s="1"/>
  <c r="G48" i="21"/>
  <c r="E48" i="21"/>
  <c r="F48" i="21" s="1"/>
  <c r="D48" i="21"/>
  <c r="J5" i="21" l="1"/>
  <c r="J6" i="21" s="1"/>
  <c r="J7" i="21" s="1"/>
  <c r="J8" i="21" s="1"/>
  <c r="J9" i="21" s="1"/>
  <c r="J10" i="21" s="1"/>
  <c r="J11" i="21" s="1"/>
  <c r="J12" i="21" s="1"/>
  <c r="J13" i="21" s="1"/>
  <c r="J14" i="21" s="1"/>
  <c r="J15" i="21" s="1"/>
  <c r="J16" i="21" s="1"/>
  <c r="J17" i="21" s="1"/>
  <c r="J18" i="21" s="1"/>
  <c r="J19" i="21" s="1"/>
  <c r="J20" i="21" s="1"/>
  <c r="J21" i="21" s="1"/>
  <c r="J22" i="21" s="1"/>
  <c r="J23" i="21" s="1"/>
  <c r="J24" i="21" s="1"/>
  <c r="J25" i="21" s="1"/>
  <c r="J26" i="21" s="1"/>
  <c r="J27" i="21" s="1"/>
  <c r="J28" i="21" s="1"/>
  <c r="J29" i="21" s="1"/>
  <c r="J30" i="21" s="1"/>
  <c r="J31" i="21" s="1"/>
  <c r="J32" i="21" s="1"/>
  <c r="J33" i="21" s="1"/>
  <c r="J34" i="21" s="1"/>
  <c r="J35" i="21" s="1"/>
  <c r="J36" i="21" s="1"/>
  <c r="J37" i="21" s="1"/>
  <c r="J38" i="21" s="1"/>
  <c r="J39" i="21" s="1"/>
  <c r="J40" i="21" s="1"/>
  <c r="J41" i="21" s="1"/>
  <c r="J42" i="21" s="1"/>
  <c r="J43" i="21" s="1"/>
  <c r="J44" i="21" s="1"/>
  <c r="J45" i="21" s="1"/>
  <c r="J46" i="21" s="1"/>
  <c r="J47" i="21" s="1"/>
  <c r="J52" i="21" s="1"/>
  <c r="J53" i="21" s="1"/>
  <c r="J54" i="21" s="1"/>
  <c r="J55" i="21" s="1"/>
  <c r="J56" i="21" s="1"/>
  <c r="J57" i="21" s="1"/>
  <c r="J58" i="21" s="1"/>
  <c r="K5" i="21"/>
  <c r="K6" i="21" s="1"/>
  <c r="K7" i="21" s="1"/>
  <c r="K8" i="21" s="1"/>
  <c r="K9" i="21" s="1"/>
  <c r="K10" i="21" s="1"/>
  <c r="K11" i="21" s="1"/>
  <c r="K12" i="21" s="1"/>
  <c r="K13" i="21" s="1"/>
  <c r="K14" i="21" s="1"/>
  <c r="K15" i="21" s="1"/>
  <c r="K16" i="21" s="1"/>
  <c r="K17" i="21" s="1"/>
  <c r="K18" i="21" s="1"/>
  <c r="K19" i="21" s="1"/>
  <c r="K20" i="21" s="1"/>
  <c r="K21" i="21" s="1"/>
  <c r="K22" i="21" s="1"/>
  <c r="K23" i="21" s="1"/>
  <c r="K24" i="21" s="1"/>
  <c r="K25" i="21" s="1"/>
  <c r="K26" i="21" s="1"/>
  <c r="K27" i="21" s="1"/>
  <c r="K28" i="21" s="1"/>
  <c r="K29" i="21" s="1"/>
  <c r="K30" i="21" s="1"/>
  <c r="K31" i="21" s="1"/>
  <c r="K32" i="21" s="1"/>
  <c r="K33" i="21" s="1"/>
  <c r="K34" i="21" s="1"/>
  <c r="K35" i="21" s="1"/>
  <c r="K36" i="21" s="1"/>
  <c r="K37" i="21" s="1"/>
  <c r="K38" i="21" s="1"/>
  <c r="K39" i="21" s="1"/>
  <c r="K40" i="21" s="1"/>
  <c r="K41" i="21" s="1"/>
  <c r="K42" i="21" s="1"/>
  <c r="K43" i="21" s="1"/>
  <c r="K44" i="21" s="1"/>
  <c r="K45" i="21" s="1"/>
  <c r="K46" i="21" s="1"/>
  <c r="K47" i="21" s="1"/>
  <c r="K52" i="21" s="1"/>
  <c r="K53" i="21" s="1"/>
  <c r="K54" i="21" s="1"/>
  <c r="K55" i="21" s="1"/>
  <c r="K56" i="21" s="1"/>
  <c r="K57" i="21" s="1"/>
  <c r="K58" i="21" s="1"/>
  <c r="F87" i="21" l="1"/>
  <c r="H95" i="18"/>
  <c r="G95" i="18"/>
  <c r="E95" i="18"/>
  <c r="D95" i="18"/>
  <c r="F95" i="18" s="1"/>
  <c r="H47" i="18"/>
  <c r="D47" i="18"/>
  <c r="J99" i="18"/>
  <c r="J100" i="18" s="1"/>
  <c r="J101" i="18" s="1"/>
  <c r="J102" i="18" s="1"/>
  <c r="J103" i="18" s="1"/>
  <c r="J104" i="18" s="1"/>
  <c r="J105" i="18" s="1"/>
  <c r="J106" i="18" s="1"/>
  <c r="J107" i="18" s="1"/>
  <c r="J108" i="18" s="1"/>
  <c r="J109" i="18" s="1"/>
  <c r="J110" i="18" s="1"/>
  <c r="J111" i="18" s="1"/>
  <c r="J112" i="18" s="1"/>
  <c r="J113" i="18" s="1"/>
  <c r="J114" i="18" s="1"/>
  <c r="J115" i="18" s="1"/>
  <c r="J116" i="18" s="1"/>
  <c r="J117" i="18" s="1"/>
  <c r="J118" i="18" s="1"/>
  <c r="J119" i="18" s="1"/>
  <c r="J120" i="18" s="1"/>
  <c r="J121" i="18" s="1"/>
  <c r="J122" i="18" s="1"/>
  <c r="J123" i="18" s="1"/>
  <c r="J124" i="18" s="1"/>
  <c r="K99" i="18"/>
  <c r="K100" i="18" s="1"/>
  <c r="K101" i="18" s="1"/>
  <c r="K102" i="18" s="1"/>
  <c r="K103" i="18" s="1"/>
  <c r="K104" i="18" s="1"/>
  <c r="K105" i="18" s="1"/>
  <c r="K106" i="18" s="1"/>
  <c r="K107" i="18" s="1"/>
  <c r="K108" i="18" s="1"/>
  <c r="K109" i="18" s="1"/>
  <c r="K110" i="18" s="1"/>
  <c r="K111" i="18" s="1"/>
  <c r="K112" i="18" s="1"/>
  <c r="K113" i="18" s="1"/>
  <c r="K114" i="18" s="1"/>
  <c r="K115" i="18" s="1"/>
  <c r="K116" i="18" s="1"/>
  <c r="K117" i="18" s="1"/>
  <c r="K118" i="18" s="1"/>
  <c r="K119" i="18" s="1"/>
  <c r="K120" i="18" s="1"/>
  <c r="K121" i="18" s="1"/>
  <c r="K122" i="18" s="1"/>
  <c r="K123" i="18" s="1"/>
  <c r="K124" i="18" s="1"/>
  <c r="F52" i="18"/>
  <c r="I52" i="18"/>
  <c r="I95" i="18" l="1"/>
  <c r="H125" i="18"/>
  <c r="G125" i="18"/>
  <c r="E125" i="18"/>
  <c r="D125" i="18"/>
  <c r="G47" i="18"/>
  <c r="E47" i="18"/>
  <c r="I98" i="18"/>
  <c r="F98" i="18"/>
  <c r="I47" i="18" l="1"/>
  <c r="I125" i="18"/>
  <c r="F47" i="18"/>
  <c r="H94" i="28"/>
  <c r="G94" i="28"/>
  <c r="I94" i="28" s="1"/>
  <c r="F94" i="28"/>
  <c r="E94" i="28"/>
  <c r="D94" i="28"/>
  <c r="H47" i="28"/>
  <c r="G47" i="28"/>
  <c r="E47" i="28"/>
  <c r="D47" i="28"/>
  <c r="F47" i="28" s="1"/>
  <c r="H106" i="28" l="1"/>
  <c r="E106" i="28"/>
  <c r="D106" i="28"/>
  <c r="I97" i="28" l="1"/>
  <c r="F97" i="28"/>
  <c r="I50" i="28"/>
  <c r="F50" i="28"/>
  <c r="I47" i="28"/>
  <c r="G106" i="28" l="1"/>
  <c r="I106" i="28" s="1"/>
  <c r="K5" i="28"/>
  <c r="K6" i="28" s="1"/>
  <c r="K7" i="28" s="1"/>
  <c r="K8" i="28" s="1"/>
  <c r="K9" i="28" s="1"/>
  <c r="K10" i="28" s="1"/>
  <c r="K11" i="28" s="1"/>
  <c r="K12" i="28" s="1"/>
  <c r="K13" i="28" s="1"/>
  <c r="K14" i="28" s="1"/>
  <c r="K15" i="28" s="1"/>
  <c r="K16" i="28" s="1"/>
  <c r="K17" i="28" s="1"/>
  <c r="K18" i="28" s="1"/>
  <c r="K19" i="28" s="1"/>
  <c r="K20" i="28" s="1"/>
  <c r="K21" i="28" s="1"/>
  <c r="K22" i="28" s="1"/>
  <c r="K23" i="28" s="1"/>
  <c r="K24" i="28" s="1"/>
  <c r="K25" i="28" s="1"/>
  <c r="K26" i="28" s="1"/>
  <c r="K27" i="28" s="1"/>
  <c r="K28" i="28" s="1"/>
  <c r="K29" i="28" s="1"/>
  <c r="K30" i="28" s="1"/>
  <c r="K31" i="28" s="1"/>
  <c r="K32" i="28" s="1"/>
  <c r="K33" i="28" s="1"/>
  <c r="K34" i="28" s="1"/>
  <c r="K35" i="28" s="1"/>
  <c r="K36" i="28" s="1"/>
  <c r="K37" i="28" s="1"/>
  <c r="K38" i="28" s="1"/>
  <c r="K39" i="28" s="1"/>
  <c r="K40" i="28" s="1"/>
  <c r="K41" i="28" s="1"/>
  <c r="K42" i="28" s="1"/>
  <c r="K43" i="28" s="1"/>
  <c r="K44" i="28" s="1"/>
  <c r="K45" i="28" s="1"/>
  <c r="K46" i="28" s="1"/>
  <c r="K51" i="28" s="1"/>
  <c r="K52" i="28" l="1"/>
  <c r="K53" i="28" s="1"/>
  <c r="K54" i="28" s="1"/>
  <c r="K55" i="28" s="1"/>
  <c r="K56" i="28" s="1"/>
  <c r="K57" i="28" s="1"/>
  <c r="K58" i="28" s="1"/>
  <c r="K59" i="28" s="1"/>
  <c r="K60" i="28" s="1"/>
  <c r="K61" i="28" s="1"/>
  <c r="K62" i="28" s="1"/>
  <c r="K63" i="28" s="1"/>
  <c r="K64" i="28" s="1"/>
  <c r="K65" i="28" s="1"/>
  <c r="K66" i="28" s="1"/>
  <c r="K67" i="28" s="1"/>
  <c r="K68" i="28" s="1"/>
  <c r="K69" i="28" s="1"/>
  <c r="K70" i="28" s="1"/>
  <c r="K71" i="28" s="1"/>
  <c r="K72" i="28" s="1"/>
  <c r="K73" i="28" s="1"/>
  <c r="K74" i="28" s="1"/>
  <c r="K75" i="28" s="1"/>
  <c r="K76" i="28" s="1"/>
  <c r="K77" i="28" s="1"/>
  <c r="K78" i="28" s="1"/>
  <c r="K79" i="28" s="1"/>
  <c r="K80" i="28" s="1"/>
  <c r="K81" i="28" s="1"/>
  <c r="K82" i="28" s="1"/>
  <c r="K83" i="28" s="1"/>
  <c r="K84" i="28" s="1"/>
  <c r="K85" i="28" s="1"/>
  <c r="K86" i="28" s="1"/>
  <c r="K87" i="28" s="1"/>
  <c r="K88" i="28" s="1"/>
  <c r="K89" i="28" s="1"/>
  <c r="K90" i="28" s="1"/>
  <c r="K91" i="28" s="1"/>
  <c r="K92" i="28" s="1"/>
  <c r="K93" i="28" s="1"/>
  <c r="F106" i="28"/>
  <c r="K98" i="28" l="1"/>
  <c r="K99" i="28" s="1"/>
  <c r="K100" i="28" s="1"/>
  <c r="K101" i="28" s="1"/>
  <c r="K102" i="28" s="1"/>
  <c r="K103" i="28" s="1"/>
  <c r="K104" i="28" s="1"/>
  <c r="K105" i="28" s="1"/>
  <c r="J110" i="15"/>
  <c r="K110" i="15"/>
  <c r="J111" i="15"/>
  <c r="K111" i="15"/>
  <c r="J112" i="15"/>
  <c r="K112" i="15"/>
  <c r="J113" i="15"/>
  <c r="K113" i="15"/>
  <c r="J114" i="15"/>
  <c r="K114" i="15"/>
  <c r="J115" i="15"/>
  <c r="K115" i="15"/>
  <c r="J116" i="15"/>
  <c r="K116" i="15"/>
  <c r="J117" i="15"/>
  <c r="K117" i="15"/>
  <c r="J118" i="15"/>
  <c r="K118" i="15"/>
  <c r="J119" i="15"/>
  <c r="K119" i="15"/>
  <c r="H45" i="15"/>
  <c r="K94" i="15" l="1"/>
  <c r="K95" i="15" s="1"/>
  <c r="K96" i="15" s="1"/>
  <c r="K97" i="15" s="1"/>
  <c r="K98" i="15" s="1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J94" i="15"/>
  <c r="J95" i="15" s="1"/>
  <c r="J96" i="15" s="1"/>
  <c r="J97" i="15" s="1"/>
  <c r="J98" i="15" s="1"/>
  <c r="J99" i="15" s="1"/>
  <c r="J100" i="15" s="1"/>
  <c r="J101" i="15" s="1"/>
  <c r="J102" i="15" s="1"/>
  <c r="J103" i="15" s="1"/>
  <c r="J104" i="15" s="1"/>
  <c r="J105" i="15" s="1"/>
  <c r="J106" i="15" s="1"/>
  <c r="J107" i="15" s="1"/>
  <c r="J108" i="15" s="1"/>
  <c r="J109" i="15" s="1"/>
  <c r="E120" i="15"/>
  <c r="D120" i="15"/>
  <c r="H90" i="15"/>
  <c r="G90" i="15"/>
  <c r="E90" i="15"/>
  <c r="D90" i="15"/>
  <c r="K49" i="15"/>
  <c r="K50" i="15" s="1"/>
  <c r="K51" i="15" s="1"/>
  <c r="K52" i="15" s="1"/>
  <c r="K53" i="15" s="1"/>
  <c r="K54" i="15" s="1"/>
  <c r="K55" i="15" s="1"/>
  <c r="K56" i="15" s="1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J49" i="15"/>
  <c r="J50" i="15" s="1"/>
  <c r="J51" i="15" s="1"/>
  <c r="J52" i="15" s="1"/>
  <c r="J53" i="15" s="1"/>
  <c r="J54" i="15" s="1"/>
  <c r="J55" i="15" s="1"/>
  <c r="J56" i="15" s="1"/>
  <c r="J57" i="15" s="1"/>
  <c r="J58" i="15" s="1"/>
  <c r="J59" i="15" s="1"/>
  <c r="J60" i="15" s="1"/>
  <c r="J61" i="15" s="1"/>
  <c r="J62" i="15" s="1"/>
  <c r="J63" i="15" s="1"/>
  <c r="J64" i="15" s="1"/>
  <c r="J65" i="15" s="1"/>
  <c r="J66" i="15" s="1"/>
  <c r="J67" i="15" s="1"/>
  <c r="J68" i="15" s="1"/>
  <c r="J69" i="15" s="1"/>
  <c r="J70" i="15" s="1"/>
  <c r="J71" i="15" s="1"/>
  <c r="J72" i="15" s="1"/>
  <c r="J73" i="15" s="1"/>
  <c r="J74" i="15" s="1"/>
  <c r="J75" i="15" s="1"/>
  <c r="J76" i="15" s="1"/>
  <c r="J77" i="15" s="1"/>
  <c r="J78" i="15" s="1"/>
  <c r="J79" i="15" s="1"/>
  <c r="J80" i="15" s="1"/>
  <c r="J81" i="15" s="1"/>
  <c r="J82" i="15" s="1"/>
  <c r="J83" i="15" s="1"/>
  <c r="J84" i="15" s="1"/>
  <c r="J85" i="15" s="1"/>
  <c r="J86" i="15" s="1"/>
  <c r="J87" i="15" s="1"/>
  <c r="J88" i="15" s="1"/>
  <c r="J89" i="15" s="1"/>
  <c r="G45" i="15"/>
  <c r="I90" i="15" s="1"/>
  <c r="E45" i="15"/>
  <c r="D45" i="15"/>
  <c r="F45" i="15" l="1"/>
  <c r="F90" i="15"/>
  <c r="I45" i="15"/>
  <c r="G120" i="15"/>
  <c r="K5" i="15" l="1"/>
  <c r="K6" i="15" s="1"/>
  <c r="K7" i="15" s="1"/>
  <c r="K8" i="15" s="1"/>
  <c r="K9" i="15" s="1"/>
  <c r="K10" i="15" s="1"/>
  <c r="K11" i="15" s="1"/>
  <c r="K12" i="15" s="1"/>
  <c r="K13" i="15" s="1"/>
  <c r="K14" i="15" s="1"/>
  <c r="K15" i="15" s="1"/>
  <c r="K16" i="15" s="1"/>
  <c r="K17" i="15" s="1"/>
  <c r="K18" i="15" s="1"/>
  <c r="K19" i="15" s="1"/>
  <c r="K20" i="15" s="1"/>
  <c r="K21" i="15" s="1"/>
  <c r="K22" i="15" s="1"/>
  <c r="K23" i="15" s="1"/>
  <c r="K24" i="15" s="1"/>
  <c r="K25" i="15" s="1"/>
  <c r="K26" i="15" s="1"/>
  <c r="K27" i="15" s="1"/>
  <c r="K28" i="15" s="1"/>
  <c r="K29" i="15" s="1"/>
  <c r="K30" i="15" s="1"/>
  <c r="K31" i="15" s="1"/>
  <c r="K32" i="15" s="1"/>
  <c r="K33" i="15" s="1"/>
  <c r="K34" i="15" s="1"/>
  <c r="K35" i="15" s="1"/>
  <c r="K36" i="15" s="1"/>
  <c r="K37" i="15" s="1"/>
  <c r="K38" i="15" s="1"/>
  <c r="K39" i="15" s="1"/>
  <c r="K40" i="15" s="1"/>
  <c r="K41" i="15" s="1"/>
  <c r="K42" i="15" s="1"/>
  <c r="K43" i="15" s="1"/>
  <c r="K44" i="15" s="1"/>
  <c r="H120" i="15"/>
  <c r="K123" i="15" l="1"/>
  <c r="I120" i="15"/>
  <c r="I93" i="15"/>
  <c r="F93" i="15"/>
  <c r="I48" i="15"/>
  <c r="F48" i="15"/>
  <c r="F120" i="15" l="1"/>
  <c r="K112" i="9" l="1"/>
  <c r="K98" i="9"/>
  <c r="K99" i="9" s="1"/>
  <c r="K100" i="9" s="1"/>
  <c r="K101" i="9" s="1"/>
  <c r="K102" i="9" s="1"/>
  <c r="K103" i="9" s="1"/>
  <c r="K104" i="9" s="1"/>
  <c r="K105" i="9" s="1"/>
  <c r="K106" i="9" s="1"/>
  <c r="K107" i="9" s="1"/>
  <c r="K108" i="9" s="1"/>
  <c r="J98" i="9"/>
  <c r="J99" i="9" s="1"/>
  <c r="J100" i="9" s="1"/>
  <c r="J101" i="9" s="1"/>
  <c r="J102" i="9" s="1"/>
  <c r="J103" i="9" s="1"/>
  <c r="J104" i="9" s="1"/>
  <c r="J105" i="9" s="1"/>
  <c r="F97" i="9"/>
  <c r="H94" i="9"/>
  <c r="G94" i="9"/>
  <c r="D94" i="9"/>
  <c r="K51" i="9"/>
  <c r="K52" i="9" s="1"/>
  <c r="K53" i="9" s="1"/>
  <c r="K54" i="9" s="1"/>
  <c r="K55" i="9" s="1"/>
  <c r="K56" i="9" s="1"/>
  <c r="K57" i="9" s="1"/>
  <c r="K58" i="9" s="1"/>
  <c r="K59" i="9" s="1"/>
  <c r="K60" i="9" s="1"/>
  <c r="K61" i="9" s="1"/>
  <c r="K62" i="9" s="1"/>
  <c r="K63" i="9" s="1"/>
  <c r="K64" i="9" s="1"/>
  <c r="K65" i="9" s="1"/>
  <c r="K66" i="9" s="1"/>
  <c r="K67" i="9" s="1"/>
  <c r="K68" i="9" s="1"/>
  <c r="K69" i="9" s="1"/>
  <c r="K70" i="9" s="1"/>
  <c r="K71" i="9" s="1"/>
  <c r="K72" i="9" s="1"/>
  <c r="K73" i="9" s="1"/>
  <c r="K74" i="9" s="1"/>
  <c r="K75" i="9" s="1"/>
  <c r="K76" i="9" s="1"/>
  <c r="K77" i="9" s="1"/>
  <c r="K78" i="9" s="1"/>
  <c r="K79" i="9" s="1"/>
  <c r="K80" i="9" s="1"/>
  <c r="K81" i="9" s="1"/>
  <c r="K82" i="9" s="1"/>
  <c r="K83" i="9" s="1"/>
  <c r="K84" i="9" s="1"/>
  <c r="K85" i="9" s="1"/>
  <c r="K86" i="9" s="1"/>
  <c r="K87" i="9" s="1"/>
  <c r="K88" i="9" s="1"/>
  <c r="K89" i="9" s="1"/>
  <c r="K90" i="9" s="1"/>
  <c r="K91" i="9" s="1"/>
  <c r="K92" i="9" s="1"/>
  <c r="K93" i="9" s="1"/>
  <c r="J51" i="9"/>
  <c r="J52" i="9" s="1"/>
  <c r="J53" i="9" s="1"/>
  <c r="J54" i="9" s="1"/>
  <c r="J55" i="9" s="1"/>
  <c r="J56" i="9" s="1"/>
  <c r="J57" i="9" s="1"/>
  <c r="J58" i="9" s="1"/>
  <c r="J59" i="9" s="1"/>
  <c r="J60" i="9" s="1"/>
  <c r="J61" i="9" s="1"/>
  <c r="J62" i="9" s="1"/>
  <c r="J63" i="9" s="1"/>
  <c r="J64" i="9" s="1"/>
  <c r="J65" i="9" s="1"/>
  <c r="J66" i="9" s="1"/>
  <c r="J67" i="9" s="1"/>
  <c r="J68" i="9" s="1"/>
  <c r="J69" i="9" s="1"/>
  <c r="J70" i="9" s="1"/>
  <c r="J71" i="9" s="1"/>
  <c r="J72" i="9" s="1"/>
  <c r="J73" i="9" s="1"/>
  <c r="J74" i="9" s="1"/>
  <c r="J75" i="9" s="1"/>
  <c r="J76" i="9" s="1"/>
  <c r="J77" i="9" s="1"/>
  <c r="J78" i="9" s="1"/>
  <c r="J79" i="9" s="1"/>
  <c r="J80" i="9" s="1"/>
  <c r="J81" i="9" s="1"/>
  <c r="J82" i="9" s="1"/>
  <c r="J83" i="9" s="1"/>
  <c r="J84" i="9" s="1"/>
  <c r="J85" i="9" s="1"/>
  <c r="J86" i="9" s="1"/>
  <c r="J87" i="9" s="1"/>
  <c r="J88" i="9" s="1"/>
  <c r="J89" i="9" s="1"/>
  <c r="J90" i="9" s="1"/>
  <c r="J91" i="9" s="1"/>
  <c r="J92" i="9" s="1"/>
  <c r="J93" i="9" s="1"/>
  <c r="I50" i="9"/>
  <c r="F50" i="9"/>
  <c r="H47" i="9"/>
  <c r="G47" i="9"/>
  <c r="D47" i="9"/>
  <c r="K5" i="9"/>
  <c r="K6" i="9" s="1"/>
  <c r="K7" i="9" s="1"/>
  <c r="K8" i="9" s="1"/>
  <c r="K9" i="9" s="1"/>
  <c r="K10" i="9" s="1"/>
  <c r="K11" i="9" s="1"/>
  <c r="K12" i="9" s="1"/>
  <c r="K13" i="9" s="1"/>
  <c r="K14" i="9" s="1"/>
  <c r="K15" i="9" s="1"/>
  <c r="K16" i="9" s="1"/>
  <c r="K17" i="9" s="1"/>
  <c r="K18" i="9" s="1"/>
  <c r="K19" i="9" s="1"/>
  <c r="K20" i="9" s="1"/>
  <c r="K21" i="9" s="1"/>
  <c r="K22" i="9" s="1"/>
  <c r="K23" i="9" s="1"/>
  <c r="K24" i="9" s="1"/>
  <c r="K25" i="9" s="1"/>
  <c r="K26" i="9" s="1"/>
  <c r="K27" i="9" s="1"/>
  <c r="K28" i="9" s="1"/>
  <c r="K29" i="9" s="1"/>
  <c r="K30" i="9" s="1"/>
  <c r="K31" i="9" s="1"/>
  <c r="K32" i="9" s="1"/>
  <c r="K33" i="9" s="1"/>
  <c r="K34" i="9" s="1"/>
  <c r="K35" i="9" s="1"/>
  <c r="K36" i="9" s="1"/>
  <c r="K37" i="9" s="1"/>
  <c r="K38" i="9" s="1"/>
  <c r="K39" i="9" s="1"/>
  <c r="K40" i="9" s="1"/>
  <c r="K41" i="9" s="1"/>
  <c r="K42" i="9" s="1"/>
  <c r="K43" i="9" s="1"/>
  <c r="K44" i="9" s="1"/>
  <c r="K45" i="9" s="1"/>
  <c r="K46" i="9" s="1"/>
  <c r="J5" i="9"/>
  <c r="J6" i="9" s="1"/>
  <c r="J7" i="9" s="1"/>
  <c r="J8" i="9" s="1"/>
  <c r="J9" i="9" s="1"/>
  <c r="J10" i="9" s="1"/>
  <c r="J11" i="9" s="1"/>
  <c r="J12" i="9" s="1"/>
  <c r="J13" i="9" s="1"/>
  <c r="J14" i="9" s="1"/>
  <c r="J15" i="9" s="1"/>
  <c r="J16" i="9" s="1"/>
  <c r="J17" i="9" s="1"/>
  <c r="J18" i="9" s="1"/>
  <c r="J19" i="9" s="1"/>
  <c r="J20" i="9" s="1"/>
  <c r="J21" i="9" s="1"/>
  <c r="J22" i="9" s="1"/>
  <c r="J23" i="9" s="1"/>
  <c r="J24" i="9" s="1"/>
  <c r="J25" i="9" s="1"/>
  <c r="J26" i="9" s="1"/>
  <c r="J27" i="9" s="1"/>
  <c r="J28" i="9" s="1"/>
  <c r="J29" i="9" s="1"/>
  <c r="J30" i="9" s="1"/>
  <c r="J31" i="9" s="1"/>
  <c r="J32" i="9" s="1"/>
  <c r="J33" i="9" s="1"/>
  <c r="J34" i="9" s="1"/>
  <c r="J35" i="9" s="1"/>
  <c r="J36" i="9" s="1"/>
  <c r="J37" i="9" s="1"/>
  <c r="J38" i="9" s="1"/>
  <c r="J39" i="9" s="1"/>
  <c r="J40" i="9" s="1"/>
  <c r="J41" i="9" s="1"/>
  <c r="J42" i="9" s="1"/>
  <c r="J43" i="9" s="1"/>
  <c r="J44" i="9" s="1"/>
  <c r="J45" i="9" s="1"/>
  <c r="J46" i="9" s="1"/>
  <c r="K104" i="26"/>
  <c r="K105" i="26" s="1"/>
  <c r="K106" i="26" s="1"/>
  <c r="K107" i="26" s="1"/>
  <c r="K108" i="26" s="1"/>
  <c r="K109" i="26" s="1"/>
  <c r="K110" i="26" s="1"/>
  <c r="K111" i="26" s="1"/>
  <c r="K112" i="26" s="1"/>
  <c r="K113" i="26" s="1"/>
  <c r="J105" i="26"/>
  <c r="J106" i="26" s="1"/>
  <c r="J107" i="26" s="1"/>
  <c r="J108" i="26" s="1"/>
  <c r="J109" i="26" s="1"/>
  <c r="J110" i="26" s="1"/>
  <c r="J111" i="26" s="1"/>
  <c r="J112" i="26" s="1"/>
  <c r="J113" i="26" s="1"/>
  <c r="F103" i="26"/>
  <c r="K54" i="26"/>
  <c r="K55" i="26" s="1"/>
  <c r="K56" i="26" s="1"/>
  <c r="K57" i="26" s="1"/>
  <c r="K58" i="26" s="1"/>
  <c r="K59" i="26" s="1"/>
  <c r="K60" i="26" s="1"/>
  <c r="K61" i="26" s="1"/>
  <c r="K62" i="26" s="1"/>
  <c r="K63" i="26" s="1"/>
  <c r="K64" i="26" s="1"/>
  <c r="J54" i="26"/>
  <c r="J55" i="26" s="1"/>
  <c r="J56" i="26" s="1"/>
  <c r="J57" i="26" s="1"/>
  <c r="J58" i="26" s="1"/>
  <c r="J59" i="26" s="1"/>
  <c r="J60" i="26" s="1"/>
  <c r="J61" i="26" s="1"/>
  <c r="I53" i="26"/>
  <c r="F53" i="26"/>
  <c r="K5" i="26"/>
  <c r="K6" i="26" s="1"/>
  <c r="K7" i="26" s="1"/>
  <c r="K8" i="26" s="1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J5" i="26"/>
  <c r="J6" i="26" s="1"/>
  <c r="J7" i="26" s="1"/>
  <c r="J8" i="26" s="1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K90" i="21"/>
  <c r="K128" i="18"/>
  <c r="K5" i="18"/>
  <c r="K6" i="18" s="1"/>
  <c r="K7" i="18" s="1"/>
  <c r="K8" i="18" s="1"/>
  <c r="K9" i="18" s="1"/>
  <c r="K10" i="18" s="1"/>
  <c r="K11" i="18" s="1"/>
  <c r="K12" i="18" s="1"/>
  <c r="K13" i="18" s="1"/>
  <c r="K14" i="18" s="1"/>
  <c r="K15" i="18" s="1"/>
  <c r="K16" i="18" s="1"/>
  <c r="K17" i="18" s="1"/>
  <c r="K18" i="18" s="1"/>
  <c r="K19" i="18" s="1"/>
  <c r="K20" i="18" s="1"/>
  <c r="K21" i="18" s="1"/>
  <c r="K22" i="18" s="1"/>
  <c r="K23" i="18" s="1"/>
  <c r="K24" i="18" s="1"/>
  <c r="K25" i="18" s="1"/>
  <c r="K26" i="18" s="1"/>
  <c r="K27" i="18" s="1"/>
  <c r="K28" i="18" s="1"/>
  <c r="K29" i="18" s="1"/>
  <c r="K30" i="18" s="1"/>
  <c r="K31" i="18" s="1"/>
  <c r="K32" i="18" s="1"/>
  <c r="J5" i="18"/>
  <c r="J6" i="18" s="1"/>
  <c r="J7" i="18" s="1"/>
  <c r="J8" i="18" s="1"/>
  <c r="J9" i="18" s="1"/>
  <c r="J10" i="18" s="1"/>
  <c r="J11" i="18" s="1"/>
  <c r="J12" i="18" s="1"/>
  <c r="J13" i="18" s="1"/>
  <c r="J14" i="18" s="1"/>
  <c r="J15" i="18" s="1"/>
  <c r="J16" i="18" s="1"/>
  <c r="J17" i="18" s="1"/>
  <c r="J18" i="18" s="1"/>
  <c r="J19" i="18" s="1"/>
  <c r="J20" i="18" s="1"/>
  <c r="J21" i="18" s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F107" i="11"/>
  <c r="I104" i="11"/>
  <c r="F104" i="11"/>
  <c r="K56" i="11"/>
  <c r="K57" i="11" s="1"/>
  <c r="K58" i="11" s="1"/>
  <c r="K59" i="11" s="1"/>
  <c r="K60" i="11" s="1"/>
  <c r="K61" i="11" s="1"/>
  <c r="K62" i="11" s="1"/>
  <c r="K63" i="11" s="1"/>
  <c r="K64" i="11" s="1"/>
  <c r="K65" i="11" s="1"/>
  <c r="K66" i="11" s="1"/>
  <c r="K67" i="11" s="1"/>
  <c r="K68" i="11" s="1"/>
  <c r="K69" i="11" s="1"/>
  <c r="K70" i="11" s="1"/>
  <c r="K71" i="11" s="1"/>
  <c r="K72" i="11" s="1"/>
  <c r="K73" i="11" s="1"/>
  <c r="K74" i="11" s="1"/>
  <c r="K75" i="11" s="1"/>
  <c r="K76" i="11" s="1"/>
  <c r="K77" i="11" s="1"/>
  <c r="K78" i="11" s="1"/>
  <c r="K79" i="11" s="1"/>
  <c r="K80" i="11" s="1"/>
  <c r="K81" i="11" s="1"/>
  <c r="K82" i="11" s="1"/>
  <c r="K83" i="11" s="1"/>
  <c r="K84" i="11" s="1"/>
  <c r="K85" i="11" s="1"/>
  <c r="K86" i="11" s="1"/>
  <c r="K87" i="11" s="1"/>
  <c r="K88" i="11" s="1"/>
  <c r="K89" i="11" s="1"/>
  <c r="K90" i="11" s="1"/>
  <c r="K91" i="11" s="1"/>
  <c r="K92" i="11" s="1"/>
  <c r="K93" i="11" s="1"/>
  <c r="K94" i="11" s="1"/>
  <c r="K95" i="11" s="1"/>
  <c r="K96" i="11" s="1"/>
  <c r="K97" i="11" s="1"/>
  <c r="K98" i="11" s="1"/>
  <c r="K99" i="11" s="1"/>
  <c r="K100" i="11" s="1"/>
  <c r="K101" i="11" s="1"/>
  <c r="K102" i="11" s="1"/>
  <c r="K103" i="11" s="1"/>
  <c r="J56" i="1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I55" i="11"/>
  <c r="H52" i="11"/>
  <c r="G52" i="11"/>
  <c r="K5" i="11"/>
  <c r="K6" i="11" s="1"/>
  <c r="K7" i="11" s="1"/>
  <c r="K8" i="11" s="1"/>
  <c r="K9" i="11" s="1"/>
  <c r="K10" i="11" s="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K28" i="11" s="1"/>
  <c r="K29" i="11" s="1"/>
  <c r="K30" i="11" s="1"/>
  <c r="K31" i="11" s="1"/>
  <c r="K32" i="11" s="1"/>
  <c r="K33" i="11" s="1"/>
  <c r="K34" i="11" s="1"/>
  <c r="K35" i="11" s="1"/>
  <c r="K36" i="11" s="1"/>
  <c r="K37" i="11" s="1"/>
  <c r="K38" i="11" s="1"/>
  <c r="K39" i="11" s="1"/>
  <c r="K40" i="11" s="1"/>
  <c r="K41" i="11" s="1"/>
  <c r="K42" i="11" s="1"/>
  <c r="K43" i="11" s="1"/>
  <c r="K44" i="11" s="1"/>
  <c r="K45" i="11" s="1"/>
  <c r="K46" i="11" s="1"/>
  <c r="K47" i="11" s="1"/>
  <c r="K48" i="11" s="1"/>
  <c r="K49" i="11" s="1"/>
  <c r="K50" i="11" s="1"/>
  <c r="K51" i="11" s="1"/>
  <c r="J5" i="1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F97" i="10"/>
  <c r="K5" i="10"/>
  <c r="K6" i="10" s="1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J5" i="10"/>
  <c r="J5" i="28"/>
  <c r="J6" i="28" s="1"/>
  <c r="J7" i="28" s="1"/>
  <c r="J8" i="28" s="1"/>
  <c r="J9" i="28" s="1"/>
  <c r="J10" i="28" s="1"/>
  <c r="J11" i="28" s="1"/>
  <c r="J12" i="28" s="1"/>
  <c r="J13" i="28" s="1"/>
  <c r="J14" i="28" s="1"/>
  <c r="J15" i="28" s="1"/>
  <c r="J16" i="28" s="1"/>
  <c r="J17" i="28" s="1"/>
  <c r="J18" i="28" s="1"/>
  <c r="J19" i="28" s="1"/>
  <c r="J20" i="28" s="1"/>
  <c r="J21" i="28" s="1"/>
  <c r="J22" i="28" s="1"/>
  <c r="J23" i="28" s="1"/>
  <c r="J24" i="28" s="1"/>
  <c r="J25" i="28" s="1"/>
  <c r="J26" i="28" s="1"/>
  <c r="J27" i="28" s="1"/>
  <c r="J28" i="28" s="1"/>
  <c r="J29" i="28" s="1"/>
  <c r="J30" i="28" s="1"/>
  <c r="J31" i="28" s="1"/>
  <c r="J32" i="28" s="1"/>
  <c r="J33" i="28" s="1"/>
  <c r="J34" i="28" s="1"/>
  <c r="J35" i="28" s="1"/>
  <c r="J36" i="28" s="1"/>
  <c r="J37" i="28" s="1"/>
  <c r="J38" i="28" s="1"/>
  <c r="J39" i="28" s="1"/>
  <c r="J40" i="28" s="1"/>
  <c r="J41" i="28" s="1"/>
  <c r="J42" i="28" s="1"/>
  <c r="J43" i="28" s="1"/>
  <c r="J44" i="28" s="1"/>
  <c r="J45" i="28" s="1"/>
  <c r="J46" i="28" s="1"/>
  <c r="J5" i="15"/>
  <c r="I52" i="11" l="1"/>
  <c r="F142" i="11"/>
  <c r="J6" i="10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K51" i="10"/>
  <c r="F94" i="9"/>
  <c r="F47" i="9"/>
  <c r="I47" i="9"/>
  <c r="I94" i="9"/>
  <c r="J62" i="26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K65" i="26"/>
  <c r="K66" i="26" s="1"/>
  <c r="K67" i="26" s="1"/>
  <c r="K68" i="26" s="1"/>
  <c r="K69" i="26" s="1"/>
  <c r="K70" i="26" s="1"/>
  <c r="I87" i="21"/>
  <c r="J33" i="18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J78" i="18" s="1"/>
  <c r="J79" i="18" s="1"/>
  <c r="J80" i="18" s="1"/>
  <c r="J81" i="18" s="1"/>
  <c r="J82" i="18" s="1"/>
  <c r="J83" i="18" s="1"/>
  <c r="J84" i="18" s="1"/>
  <c r="J85" i="18" s="1"/>
  <c r="J86" i="18" s="1"/>
  <c r="J87" i="18" s="1"/>
  <c r="J88" i="18" s="1"/>
  <c r="J89" i="18" s="1"/>
  <c r="J90" i="18" s="1"/>
  <c r="J91" i="18" s="1"/>
  <c r="J92" i="18" s="1"/>
  <c r="J93" i="18" s="1"/>
  <c r="J94" i="18" s="1"/>
  <c r="K33" i="18"/>
  <c r="K34" i="18" s="1"/>
  <c r="K35" i="18" s="1"/>
  <c r="K36" i="18" s="1"/>
  <c r="K37" i="18" s="1"/>
  <c r="K38" i="18" s="1"/>
  <c r="K39" i="18" s="1"/>
  <c r="K40" i="18" s="1"/>
  <c r="K41" i="18" s="1"/>
  <c r="K42" i="18" s="1"/>
  <c r="K43" i="18" s="1"/>
  <c r="K44" i="18" s="1"/>
  <c r="K45" i="18" s="1"/>
  <c r="K46" i="18" s="1"/>
  <c r="K53" i="18" s="1"/>
  <c r="K54" i="18" s="1"/>
  <c r="K55" i="18" s="1"/>
  <c r="K56" i="18" s="1"/>
  <c r="K57" i="18" s="1"/>
  <c r="K58" i="18" s="1"/>
  <c r="K59" i="18" s="1"/>
  <c r="K60" i="18" s="1"/>
  <c r="K61" i="18" s="1"/>
  <c r="K62" i="18" s="1"/>
  <c r="K63" i="18" s="1"/>
  <c r="K64" i="18" s="1"/>
  <c r="K65" i="18" s="1"/>
  <c r="K66" i="18" s="1"/>
  <c r="K67" i="18" s="1"/>
  <c r="K68" i="18" s="1"/>
  <c r="K69" i="18" s="1"/>
  <c r="K70" i="18" s="1"/>
  <c r="K71" i="18" s="1"/>
  <c r="K72" i="18" s="1"/>
  <c r="K73" i="18" s="1"/>
  <c r="K74" i="18" s="1"/>
  <c r="K75" i="18" s="1"/>
  <c r="K76" i="18" s="1"/>
  <c r="K77" i="18" s="1"/>
  <c r="K78" i="18" s="1"/>
  <c r="K79" i="18" s="1"/>
  <c r="K80" i="18" s="1"/>
  <c r="K81" i="18" s="1"/>
  <c r="K82" i="18" s="1"/>
  <c r="K83" i="18" s="1"/>
  <c r="K84" i="18" s="1"/>
  <c r="K85" i="18" s="1"/>
  <c r="K86" i="18" s="1"/>
  <c r="K87" i="18" s="1"/>
  <c r="K88" i="18" s="1"/>
  <c r="K89" i="18" s="1"/>
  <c r="K90" i="18" s="1"/>
  <c r="K91" i="18" s="1"/>
  <c r="K92" i="18" s="1"/>
  <c r="K93" i="18" s="1"/>
  <c r="K94" i="18" s="1"/>
  <c r="F125" i="18"/>
  <c r="J51" i="28"/>
  <c r="J52" i="28" s="1"/>
  <c r="J53" i="28" s="1"/>
  <c r="J54" i="28" s="1"/>
  <c r="J55" i="28" s="1"/>
  <c r="J56" i="28" s="1"/>
  <c r="J57" i="28" s="1"/>
  <c r="J58" i="28" s="1"/>
  <c r="J59" i="28" s="1"/>
  <c r="J60" i="28" s="1"/>
  <c r="J61" i="28" s="1"/>
  <c r="J62" i="28" s="1"/>
  <c r="J63" i="28" s="1"/>
  <c r="J64" i="28" s="1"/>
  <c r="J65" i="28" s="1"/>
  <c r="J66" i="28" s="1"/>
  <c r="J67" i="28" s="1"/>
  <c r="J68" i="28" s="1"/>
  <c r="J69" i="28" s="1"/>
  <c r="J70" i="28" s="1"/>
  <c r="J71" i="28" s="1"/>
  <c r="J72" i="28" s="1"/>
  <c r="J73" i="28" s="1"/>
  <c r="J74" i="28" s="1"/>
  <c r="J75" i="28" s="1"/>
  <c r="J76" i="28" s="1"/>
  <c r="J77" i="28" s="1"/>
  <c r="J78" i="28" s="1"/>
  <c r="J79" i="28" s="1"/>
  <c r="J80" i="28" s="1"/>
  <c r="J81" i="28" s="1"/>
  <c r="J82" i="28" s="1"/>
  <c r="J83" i="28" s="1"/>
  <c r="J84" i="28" s="1"/>
  <c r="J85" i="28" s="1"/>
  <c r="J86" i="28" s="1"/>
  <c r="J87" i="28" s="1"/>
  <c r="J88" i="28" s="1"/>
  <c r="J89" i="28" s="1"/>
  <c r="J90" i="28" s="1"/>
  <c r="J91" i="28" s="1"/>
  <c r="J92" i="28" s="1"/>
  <c r="J93" i="28" s="1"/>
  <c r="J98" i="28" s="1"/>
  <c r="J99" i="28" s="1"/>
  <c r="J100" i="28" s="1"/>
  <c r="J101" i="28" s="1"/>
  <c r="J102" i="28" s="1"/>
  <c r="J103" i="28" s="1"/>
  <c r="J104" i="28" s="1"/>
  <c r="J105" i="28" s="1"/>
  <c r="J6" i="15"/>
  <c r="J7" i="15" s="1"/>
  <c r="J8" i="15" s="1"/>
  <c r="J9" i="15" s="1"/>
  <c r="J10" i="15" s="1"/>
  <c r="J11" i="15" s="1"/>
  <c r="J12" i="15" s="1"/>
  <c r="J13" i="15" s="1"/>
  <c r="J14" i="15" s="1"/>
  <c r="J15" i="15" s="1"/>
  <c r="J16" i="15" s="1"/>
  <c r="J17" i="15" s="1"/>
  <c r="J18" i="15" s="1"/>
  <c r="J19" i="15" s="1"/>
  <c r="J20" i="15" s="1"/>
  <c r="J21" i="15" s="1"/>
  <c r="J22" i="15" s="1"/>
  <c r="J23" i="15" s="1"/>
  <c r="J24" i="15" s="1"/>
  <c r="J25" i="15" s="1"/>
  <c r="J26" i="15" s="1"/>
  <c r="J27" i="15" s="1"/>
  <c r="J28" i="15" s="1"/>
  <c r="J29" i="15" s="1"/>
  <c r="J30" i="15" s="1"/>
  <c r="J31" i="15" s="1"/>
  <c r="J32" i="15" s="1"/>
  <c r="J33" i="15" s="1"/>
  <c r="J34" i="15" s="1"/>
  <c r="J35" i="15" s="1"/>
  <c r="J36" i="15" s="1"/>
  <c r="J37" i="15" s="1"/>
  <c r="J38" i="15" s="1"/>
  <c r="J39" i="15" s="1"/>
  <c r="J40" i="15" s="1"/>
  <c r="J41" i="15" s="1"/>
  <c r="J42" i="15" s="1"/>
  <c r="J43" i="15" s="1"/>
  <c r="J44" i="15" s="1"/>
  <c r="K52" i="10" l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71" i="26"/>
  <c r="K72" i="26" s="1"/>
  <c r="K73" i="26" s="1"/>
  <c r="K74" i="26" s="1"/>
  <c r="K75" i="26" s="1"/>
  <c r="L59" i="15"/>
  <c r="L89" i="15"/>
  <c r="L87" i="15"/>
  <c r="K76" i="26" l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K109" i="28" l="1"/>
  <c r="I109" i="9" l="1"/>
</calcChain>
</file>

<file path=xl/sharedStrings.xml><?xml version="1.0" encoding="utf-8"?>
<sst xmlns="http://schemas.openxmlformats.org/spreadsheetml/2006/main" count="1921" uniqueCount="961">
  <si>
    <t>TOTAL</t>
  </si>
  <si>
    <t>FECHA</t>
  </si>
  <si>
    <t>CONCEPTO</t>
  </si>
  <si>
    <t>INGRESOS</t>
  </si>
  <si>
    <t>EGRESOS</t>
  </si>
  <si>
    <t>EFECTIVO</t>
  </si>
  <si>
    <t>CAJA</t>
  </si>
  <si>
    <t>BANCO</t>
  </si>
  <si>
    <t>SUMA</t>
  </si>
  <si>
    <t>EGRESO</t>
  </si>
  <si>
    <t>ENERO  2020</t>
  </si>
  <si>
    <t>Saldo del mes de Diciembre/19</t>
  </si>
  <si>
    <t>FEBRERO    2020</t>
  </si>
  <si>
    <t>Saldo del mes de Marzo/20</t>
  </si>
  <si>
    <t>Saldo del mes de Enero/20</t>
  </si>
  <si>
    <t>Saldo del mes de Mayo/20</t>
  </si>
  <si>
    <t>Marzo    2020</t>
  </si>
  <si>
    <t>Saldo del mes de Abril/20</t>
  </si>
  <si>
    <t>Saldo del mes de Febrero/20</t>
  </si>
  <si>
    <t>Mayo    2020</t>
  </si>
  <si>
    <t>Junio    2020</t>
  </si>
  <si>
    <t>Julio    2020</t>
  </si>
  <si>
    <t>Saldo del mes de Julio/20</t>
  </si>
  <si>
    <t>Saldo del mes de Junio/20</t>
  </si>
  <si>
    <t>Agosto    2020</t>
  </si>
  <si>
    <t>Saldo del mes de Agosto/20</t>
  </si>
  <si>
    <t>Septiembre    2020</t>
  </si>
  <si>
    <t>Saldo del mes de Septiembre/20</t>
  </si>
  <si>
    <t>Noviembre    2020</t>
  </si>
  <si>
    <t>Saldo del mes de Octubre/20</t>
  </si>
  <si>
    <t>Saldo del mes de Noviembre/20</t>
  </si>
  <si>
    <t>Diciembre    2020</t>
  </si>
  <si>
    <t>Compra de cadena, Tlapalería y Ferretería La Economica</t>
  </si>
  <si>
    <t>Compra de Colchoneta para casetas, Telas Miramontes</t>
  </si>
  <si>
    <t>Transferencia Bancaría de UP_46 Fam. Fuentes pago Enero/20</t>
  </si>
  <si>
    <t>Gratificación por recolección de basura en fin de semana, Pedro Bazzan,</t>
  </si>
  <si>
    <t>Gratificación por rondines en todo el fraccionamiento, Mario Lazaro patrulla</t>
  </si>
  <si>
    <t>Recaudación de cuotas del primer Domingo Enero/20</t>
  </si>
  <si>
    <t>Gratificación por rondines en todo el fraccionamiento, Morales, patrulla</t>
  </si>
  <si>
    <t>Gratificación por cambio de varias luminarías de CL y UP, Israel García</t>
  </si>
  <si>
    <t>Compra de 2 garrafones de agua para casetas, Electropura, S. de R.L. de C.V.</t>
  </si>
  <si>
    <t>Compra de 50 tarjetas electrónicas, Lenix Security Alarm</t>
  </si>
  <si>
    <t>Compra de gasolina para poda pasto, Cualli Pemex</t>
  </si>
  <si>
    <t>Compra de gasolina para varias diligencia del fraccionamiento, Cualli Pemex</t>
  </si>
  <si>
    <t>Pago mano de obra  por cambio de contraseña en DVR, Lenix Security Alarm</t>
  </si>
  <si>
    <t>Pago de kit DVR, bobina cable, reparación contraseña e instalación de 2 cam</t>
  </si>
  <si>
    <t xml:space="preserve">Pago de telefono del mes de Diciembre del fracc. Telefonos de México, </t>
  </si>
  <si>
    <t xml:space="preserve">Compra de calendario para caseta, Lic. Olivia Villaneda </t>
  </si>
  <si>
    <t>Compra de comida para vigilancia Domingo</t>
  </si>
  <si>
    <t>Compra de café para Mesa de Cobranza Domingo, Cadena Comercial Oxxo</t>
  </si>
  <si>
    <t>Compra de cartulinas, Papelería</t>
  </si>
  <si>
    <t>Pago de honorarios por captura de datos, Gloria Mazzón Soto</t>
  </si>
  <si>
    <t>Compensación en su labor como Presidente del fracc. Lic. Olivia Villaneda</t>
  </si>
  <si>
    <t>Pago de vigilancia de la 1er quincena de Enero/20</t>
  </si>
  <si>
    <t>Junta mesa directiva, Tradición en Pastelería, S.A. de C.V.</t>
  </si>
  <si>
    <t>Compra de pan para vigilancia, Tradición en Pastelería, S.A. de C.V.</t>
  </si>
  <si>
    <t>Compra de camisa para vigilante, Uniformes y Artículos paa Policía Charly´s</t>
  </si>
  <si>
    <t>Gratificación por recolección de basura en todo el fracc. 1er quincena, Pedro</t>
  </si>
  <si>
    <t>Compensación por incidente dentro del fracc. Sr Oscar Guzmán</t>
  </si>
  <si>
    <t>Comida para vigilantes 2da. Semana de enero, Sabina Pérez</t>
  </si>
  <si>
    <t>320 copias para informe al fraccionamieno, Centro de Copiado y Papeleria</t>
  </si>
  <si>
    <t>Gratificación por rondines en todo el fracc. Toda la semana, Morales</t>
  </si>
  <si>
    <t>Reparación de reja ZB y reparación e instalar chapa EP. Herreria en General</t>
  </si>
  <si>
    <t>Gratificación por rondines en todo el fracc. toda la semana, Lazaro</t>
  </si>
  <si>
    <t>Compra de comida para vigilancia 1er semana Enero, Sabina Pérez</t>
  </si>
  <si>
    <t>Siegrist Contadores Públicos, Pago de honorarios profesionales  Ch. # 272</t>
  </si>
  <si>
    <t>SAT Servicio de Administración Tributaria, Pago reteción IVA Colegio Ch #272</t>
  </si>
  <si>
    <t>Pago de varios trabajos en el fraccionamiento, Loth Miranda Guzmán</t>
  </si>
  <si>
    <t>Recaudación de cuotas del segundo Domingo Enero/20</t>
  </si>
  <si>
    <t>Recaudación de cuotas del tercer Domingo Enero/20</t>
  </si>
  <si>
    <t>Recaudación de cuotas del cuarto  Domingo Enero/20</t>
  </si>
  <si>
    <t>Transferencia Bancaría Fam. Correa ZB_40 pago de feb a Jul/20 y 2 T.E.#65Y23</t>
  </si>
  <si>
    <t>Transferencia Bancaría Fam. Vega Sanchez CL_29 pago enero/20</t>
  </si>
  <si>
    <t>Transferencia Bancaría Fam. Lopez EZ_121 pago sep a Dic/19 y Ene/20</t>
  </si>
  <si>
    <t>Transferencia Bancaría Fam. Morales LD_15 pago anualidad 2020</t>
  </si>
  <si>
    <t>Deposito de cheque Fam. Atilano Limón RV_183 Pago anualidad 2020 $ 500</t>
  </si>
  <si>
    <t>Deposito de cheque Fam. Salazar CL_141 Pago anualidad 2020 $ 500</t>
  </si>
  <si>
    <t>Transferencia Bancaria Fam. Rivera UP_50 Pago de reparación de plumas</t>
  </si>
  <si>
    <t>Deposito Cheque Fam Salazar UP_26 Pago Anualidad 2020 A/C</t>
  </si>
  <si>
    <t>Deposito Cheque Fam Salazar UP_26 Pago Anualidad 2020 Liq.</t>
  </si>
  <si>
    <t>Deposito de cheque Colegio Carmel pago mantenimiento Enero/20</t>
  </si>
  <si>
    <t>Transferencia Bancaria Fam. Montes de Oca UP_10 pago Dic y Ene</t>
  </si>
  <si>
    <t xml:space="preserve">Comida para vigilantes 3er Domingo Enero/20 </t>
  </si>
  <si>
    <t xml:space="preserve">Junta Mesa Directiva, Comercializadora Vips S. de R,L. de C.V. </t>
  </si>
  <si>
    <t>Compra de café para vigilancia, Comercial City Fresko, S de R.L. de C.V.</t>
  </si>
  <si>
    <t xml:space="preserve"> Compra de pan para vigilancia, Distribuidora El Bollo Cafetales, S.A. de C.V.</t>
  </si>
  <si>
    <t>Papelería Office Depot de México S.A. de C.V.</t>
  </si>
  <si>
    <t>Pago por mantenimiento de áreas verdes del fracc. Diego Vázquez Neblina</t>
  </si>
  <si>
    <t>Cortinas para caseta de ZB, Junco, S.A.</t>
  </si>
  <si>
    <t>Compra de varios materiales para casetas, Home Depot México, S. de R.L. de</t>
  </si>
  <si>
    <t>Compra de pega azulejo para casetas,  Home Center Casa Blanca</t>
  </si>
  <si>
    <t>Compra de pintura para casetas</t>
  </si>
  <si>
    <t>Compra de materiales de limpieza para casetas, Tienda Chedraui, S.A. de</t>
  </si>
  <si>
    <t xml:space="preserve">Compra de materiales de limpieza para casetas, Home Depot México, S. de </t>
  </si>
  <si>
    <t>Pago de comida para vigilantes 3ra semana Enero/20, Sabina Pérez</t>
  </si>
  <si>
    <t>Pago de comida para vigilantes 4to Domingo Enero/20</t>
  </si>
  <si>
    <t>Junta Directiva, Operadora Vips S. de R.L. de C.V.</t>
  </si>
  <si>
    <t>Pago por lavar colchas de vigilancia, Tintoreria Nagyl</t>
  </si>
  <si>
    <t>Comida para vigilancia 4ta. Semana, Sabina Pérez</t>
  </si>
  <si>
    <t>Compra de materiales para pintar lockers, Comercializadora Caspin, S.A. DE</t>
  </si>
  <si>
    <t>Gasolina varias diligencias, Pemex Cualli</t>
  </si>
  <si>
    <t>Pago por reparación de varias luminarías, Israel García</t>
  </si>
  <si>
    <t>Gratificación por recolección de basura en todo el fracc. 2da quincena, Pedro</t>
  </si>
  <si>
    <t>Gratificación por barrer todo el fracc. Mes de Enero/20</t>
  </si>
  <si>
    <t>Compensación por trabajo de presidente y gastos de organización, Lic. Olvia</t>
  </si>
  <si>
    <t>Pago de honorarios contables y captura de datos 2da. Quincena, Gloria Mazzo</t>
  </si>
  <si>
    <t>Pago de vigilancia de la 2da. Quincena</t>
  </si>
  <si>
    <t>Recaudación de cuotas ultima semana de Enero/20</t>
  </si>
  <si>
    <t>Cobro renta Token Bep</t>
  </si>
  <si>
    <t>I.V.A. por rentaToken Bep</t>
  </si>
  <si>
    <t>Comisión cheque expedido</t>
  </si>
  <si>
    <t>I.V.A. por comisión cheque expedido</t>
  </si>
  <si>
    <t>Consulta Médica, Dra. Lourdes López Ramos</t>
  </si>
  <si>
    <t>Electropura, S. de R.L. de C.V. compra de 3 garrafones de agua para casetas</t>
  </si>
  <si>
    <t>Herrería, Pago por reparación de puerta de Landero y retiro de barandal,</t>
  </si>
  <si>
    <t>Lenix Security Alarm, Pago de reubicación de dos camaras.</t>
  </si>
  <si>
    <t>Lenix Security Alarm, pago de pluma para barreras vehicular.</t>
  </si>
  <si>
    <t>Electropura, S.de R.L de C.V. compra de 4 garrafones para casetas</t>
  </si>
  <si>
    <t>Lenix,Pago de reparación y mant. De plumas, recuperación contraseña etc.</t>
  </si>
  <si>
    <t>Lenix Security Alarm, pago de kit para camaras.</t>
  </si>
  <si>
    <t>Trabajos en caseta de Zinampa colocación de piso y pintura</t>
  </si>
  <si>
    <t>Liquadora para caseta vigilancia,  Tiendas Chedraui, S.A. de C.V.</t>
  </si>
  <si>
    <t>Imprenta: 1000 recibos de cobranza, Directo a Placa</t>
  </si>
  <si>
    <t>Herrería en General Janiel A/C de trabajos en caseta de Zinampa de Herrería</t>
  </si>
  <si>
    <t xml:space="preserve">Papelería: copias y un engargolado para control de acceso en caseta </t>
  </si>
  <si>
    <t>Electropura, S. de R.L. de C.V. Compra de 2 garrafones de agua para casetas</t>
  </si>
  <si>
    <t xml:space="preserve">Lenix Security Alarm, mantenimiento de plumas automaticas </t>
  </si>
  <si>
    <t>Cerrajería: 20 llaves para puertas de acceso peatonal, Israel Galán Quintín</t>
  </si>
  <si>
    <t>Pago de mano de obra  por pintal lockers de caseta Zinampa, Enrique Alvarez</t>
  </si>
  <si>
    <t>2do pago por instalación de techo caseta Zinampa, Ing. Rafael Bautizta</t>
  </si>
  <si>
    <t>Finiquito por instalación de techo caseta Zinampa, Ing. Rafael Bautizta</t>
  </si>
  <si>
    <t>Poda pasto, Diego Vasquez Neblina</t>
  </si>
  <si>
    <t>Pago por configuración de alta y baja de tarjetas electrónicas.</t>
  </si>
  <si>
    <t>Gratificación por recolección de basura en fin de semana, Pedro Bazzan</t>
  </si>
  <si>
    <t>Electropura, S. de R.L. de C.V. compra de 2 garrafones para casetas vigilancia</t>
  </si>
  <si>
    <t>Best Buy Stores, S. de R.L. de C.V., compra de un monitor para caseta fracc.</t>
  </si>
  <si>
    <t>Estacionamiento compra pantalla, Kanver, S.A. de C.V.</t>
  </si>
  <si>
    <t>Sr. Pablo, cambio de instalaclión eléctrica caseta Romeral</t>
  </si>
  <si>
    <t>Sr. Enrique Alvarez, pago por trabajos en caseta de Estopila</t>
  </si>
  <si>
    <t>Tradición en Pastelerías, S.A. de C.V. junta Mesa Directiva</t>
  </si>
  <si>
    <t>Oscar Gutiérrez, pago de taxi para recoger uniformes para vigilantes</t>
  </si>
  <si>
    <t>Tlapalería, compra de materiales para intalación eléctrica en caseta Romeral</t>
  </si>
  <si>
    <t>Lenix Security Alarm, compra bullet epcom para caseta Cuchilla</t>
  </si>
  <si>
    <t>Lenix Security Alarm, recuperación de video caseta Zinampa</t>
  </si>
  <si>
    <t>Comercializadora Caspin, S.A. de C.V. compra de materiales para pintar banq</t>
  </si>
  <si>
    <t>Telefonos de México, S.A.B. de C.V. pago de telefono casetas fracc Ene/20</t>
  </si>
  <si>
    <t>Telefonos de México, S.A.B. de C.V. pago de telefono casetas fracc Feb/20</t>
  </si>
  <si>
    <t xml:space="preserve">Pemex Cualli, gasolina para poda pasto </t>
  </si>
  <si>
    <t>Pemex Cualli, gasolina varias diligencias</t>
  </si>
  <si>
    <t>Comida vigilancia 1er Semana, Sabina Pérez</t>
  </si>
  <si>
    <t>Servicio por cubrir turno, Enrique Alvarez</t>
  </si>
  <si>
    <t>Compensación en su labor como presidente del fracc, Lic. Olivia Villaneda G</t>
  </si>
  <si>
    <t xml:space="preserve">Grupo Alguacil Dorado En Seguridad Privada, S.A. de C.V. pago 1er quincena </t>
  </si>
  <si>
    <t>Grupo Alguacil Dorado En Seguridad Privada, S.A. de C.V. pago 7 camisas vigi</t>
  </si>
  <si>
    <t xml:space="preserve">Lenix Secutiry Alarm, reubicación de 2 camaras y transformador </t>
  </si>
  <si>
    <t>Deposito de cheque Colegio Carmel pago mantenimiento febrero/20</t>
  </si>
  <si>
    <t xml:space="preserve">Café mesa de cobranza, Cadena Comercial Oxxo, S.A. de C.V. </t>
  </si>
  <si>
    <t>Compra de materiales de limpieza, Tiendas Chedraui, S.A. de C.V.</t>
  </si>
  <si>
    <t>Gratificación por cambio de varias luminarías de CL, Israel García</t>
  </si>
  <si>
    <t>Siegrist Contadores Públicos, Pago de honorarios profesionales  Ch. # 275</t>
  </si>
  <si>
    <t>SAT Servicio de Administración Tributaria, Pago reteción IVA Colegio Ch #275</t>
  </si>
  <si>
    <t xml:space="preserve">Comida para vigilancia 4to domindo </t>
  </si>
  <si>
    <t>Pedro Bazzan, gratificación por recolección de basura 4to domingo</t>
  </si>
  <si>
    <t>Compra de café para mesa de cobranza, Cadena Comercial Oxxo, S.A. de C.V.</t>
  </si>
  <si>
    <t>Recuperación de video Landero #89, Loth Miranda Guzmán</t>
  </si>
  <si>
    <t>Lenix Security Alarm, compra 4m Hikvisión y ballon HD Epcom</t>
  </si>
  <si>
    <t>Materiales para ampliación de caseta Zinampa, Materiales y Tlapalería Metro</t>
  </si>
  <si>
    <t>Pago por organización administrativa del fraccionamiento Lic. Olivia Villaneda</t>
  </si>
  <si>
    <t>Transferencia Bancaría, UP_46 Fam. Fuentes paga mes de Febrero</t>
  </si>
  <si>
    <t>Transferencia Bancaría, UP_46 Fam. Fuentes liq. Mes de enero y febrero/20</t>
  </si>
  <si>
    <t>Pago por varios trabajos de supervisión en distintas áreas, Loth Guzman M.</t>
  </si>
  <si>
    <t>Transferencia Bancaría CL_29 Fam. Sanches Vega paga mes febrero/20</t>
  </si>
  <si>
    <t>Pago por cubrir tuno extra vigilancia, Eduardo Rivera Y.</t>
  </si>
  <si>
    <t>Transferencia Bancaria EZ_5B Fam. Juarez Guerrero pago enero</t>
  </si>
  <si>
    <t>Transferencia Bancaría EZ_5B Fam. Juarez Guerrero pago febrero</t>
  </si>
  <si>
    <t>Transferencia Bancaria EZ_15_A  Fam. Gonzalez pago enero/20</t>
  </si>
  <si>
    <t>Deposito b.Ez_9A Fam. Castañeda oct/nov/dic/19$ 200 x mes ene/feb/20 $250</t>
  </si>
  <si>
    <t xml:space="preserve">Deposito bancario EZ_9A Fam. Castañeda pago 1 tarjeta electronica liq. </t>
  </si>
  <si>
    <t>Ing. Rafael Bautista Chaul, pago total  por intalacilón rejilla pluvial ZB y C.H</t>
  </si>
  <si>
    <t>Compra de aceite desengrasante para puertas del fracc. Tlapalería Atlas</t>
  </si>
  <si>
    <t>Enrique Alvarez, pago mano de obra por diversos trabajos, pintura y reparació</t>
  </si>
  <si>
    <t>Pago por trabajos contables 1er quincena febrero , Gloria Mazzón Soto</t>
  </si>
  <si>
    <t xml:space="preserve">Patrulla (Morales) gratificación por rondines en todo el fraccionamiento </t>
  </si>
  <si>
    <t>Electropura, S. de R.L. de C.V. 3 garrafones de agua para casetas</t>
  </si>
  <si>
    <t>Papelería Omega</t>
  </si>
  <si>
    <t>Patrulla (Lazaro) gratificación de rondines en todo el fraccionamiento 3er sem</t>
  </si>
  <si>
    <t>Pharma Plus, S.A. de  C.V. compra de medicamentos para botiquin</t>
  </si>
  <si>
    <t>Diego Vasquez Neblina, mantenimiento de áreas verdes del parque</t>
  </si>
  <si>
    <t>Diego Vasquez Neblina, mantenimiento de áreas verdes  del parque día 2 y 3</t>
  </si>
  <si>
    <t>Electropura, S. de R.L. de C.V. Compra de 4 garrafones de agua para casetas</t>
  </si>
  <si>
    <t>Patrulla (Morales) gratificación por rondines en toda la colonia 4ta. Semana</t>
  </si>
  <si>
    <t xml:space="preserve">Compensación en asignación de tarjetas electrónicas a todo el frac. </t>
  </si>
  <si>
    <t>Patrulla (Lazaro) gratificación por rondines en el fracc 1er semana</t>
  </si>
  <si>
    <t>Cadena Comercial Oxxo, S.A. de C.V. café para mesa de cobranza 1er domingo</t>
  </si>
  <si>
    <t>Patrulla (Morales) gratificación por rondines en el fracc. 1er semana</t>
  </si>
  <si>
    <t xml:space="preserve">Pemex Cualli, gasolina para poda parque </t>
  </si>
  <si>
    <t>Pedro Bazzan, pago por recolección de basura en domingo</t>
  </si>
  <si>
    <t>Comida vigilancia 2da. Semana febrero, Sabine Pérez</t>
  </si>
  <si>
    <t xml:space="preserve">Pedro Bazzan, pago por recolección de basura 3er domingo </t>
  </si>
  <si>
    <t xml:space="preserve">Recaudación de cobranza 3er domingo </t>
  </si>
  <si>
    <t>Comida para vigilancia 3er semana, Sabina Pérez</t>
  </si>
  <si>
    <t xml:space="preserve">Gratificación en apoyo de cobranza 4to domingo, Gloria Mazzón </t>
  </si>
  <si>
    <t>Recaudación de cuotas 4ta. Semana</t>
  </si>
  <si>
    <t>Comida para vigilancia 4ta semana, Sabina Pérez Gónzalez</t>
  </si>
  <si>
    <t xml:space="preserve">Gloria Mazzón Soto, pago en apoyo de cobranza primer domingo </t>
  </si>
  <si>
    <t>Vigilancia, comida 1er domingo</t>
  </si>
  <si>
    <t>Recaudación de cobranza 1er Domingo</t>
  </si>
  <si>
    <t xml:space="preserve">Vigilancia, comida 2do domingo </t>
  </si>
  <si>
    <t xml:space="preserve">Recaudación de cobranza 2do domingo </t>
  </si>
  <si>
    <t xml:space="preserve">Gratificación en apoyo cobranza 3er domingo  Elena Osorio </t>
  </si>
  <si>
    <t xml:space="preserve">Comida vigilancia 3er domingo </t>
  </si>
  <si>
    <t xml:space="preserve">Pedro Bazzan, pago por recolección de basura 2da quincena </t>
  </si>
  <si>
    <t xml:space="preserve">Roberto Miranda, pago por barrer todo el fracc. 2da quincena </t>
  </si>
  <si>
    <t>Grupo Alguacil Dorado En Seguridad Privada, S.A. de C.V. pago 2da quincena</t>
  </si>
  <si>
    <t>Pago de consultas para viglantes, Dr. Oscar Roldan</t>
  </si>
  <si>
    <t>Comida vigilancia 1er domingo</t>
  </si>
  <si>
    <t>Compra de café para mesa de cobranza 1er domingo, Starbucks Coffee</t>
  </si>
  <si>
    <t>Tiempo aire para vigilancia, Cadena Comercial Oxxo, S.A. de C.V.</t>
  </si>
  <si>
    <t>Patrulla (Lazaro) gratificación por rondines 1er semana a todo el fraccionami</t>
  </si>
  <si>
    <t>Electropura, S. de R.L. de C.V. compra de 4 garrafones de agua para casetas</t>
  </si>
  <si>
    <t>Materiales para remodelación de caseta Zinampa, Materiales y tlapalería</t>
  </si>
  <si>
    <t>Materiales para remodelación de caseta Zinampa, Maderas y Cimbras Coapa</t>
  </si>
  <si>
    <t>Materiales para remodelación de caseta Zinampa, Comercializadora Gu-So</t>
  </si>
  <si>
    <t>Comida vigilancia 3,4 y 5 de marzo</t>
  </si>
  <si>
    <t>Compra de un monitor y cable para camaras de Recoveco, Office Depot</t>
  </si>
  <si>
    <t>Lenix Security Alarm, pago de revisión y reparación lector control acceso</t>
  </si>
  <si>
    <t>Reparación de puerta de Estanzuella y Cuchilla, Herreria en General Janiel</t>
  </si>
  <si>
    <t>Patrulla (Morales) gratificación por rondines en toda la colonia 1er Semana</t>
  </si>
  <si>
    <t>Compra de café para mesa de cobranza 2do domingo</t>
  </si>
  <si>
    <t xml:space="preserve">Diego Vasquez Neblina, mantenimiento de áreas verdes  del parque </t>
  </si>
  <si>
    <t>Gratificación por cobranza 2do domingo, Loth Guzmán Miranda</t>
  </si>
  <si>
    <t xml:space="preserve">Comida vigilancia </t>
  </si>
  <si>
    <t>Pago de flete para materiales de remodelación de caseta Zinampa</t>
  </si>
  <si>
    <t>Papelería, Office Depot</t>
  </si>
  <si>
    <t>Recaudacion de cuotas 2do domingo</t>
  </si>
  <si>
    <t>Materiales para remodelación de caseta Zinampa, Angel Villegas Juan Manue</t>
  </si>
  <si>
    <t>Lenix Security Alarm, pago de servicio caseta Recoveco</t>
  </si>
  <si>
    <t>Mantenimiento a bicicletas, Mofles Cafetales</t>
  </si>
  <si>
    <t>Materiales para remodelación de casetas Zinampa, Home Depot Mexico, S. de</t>
  </si>
  <si>
    <t>Pago de plomería y revisión en instalación sanitaría caseta Zinampa, Sr. Pablo</t>
  </si>
  <si>
    <t>Medicamentos botiquin, Comercializadora Farmaceutica de Chiapas SAPI de</t>
  </si>
  <si>
    <t>Cheque deposito # 6642, CL_134 Fam. Moreno Sanchez pago de enero a mayo</t>
  </si>
  <si>
    <t>Pago por honorarios de trabajos contables 2da quincena, Gloria Mazzón Soto</t>
  </si>
  <si>
    <t>Pago por honorarios de trabajos contables 1er quincena, Gloria Mazzón Soto</t>
  </si>
  <si>
    <t>Siegrist Contadores Públicos, Pago de honorarios profesionales  Ch. # 278</t>
  </si>
  <si>
    <t>SAT Servicio de Administración Tributaria, Pago reteción IVA Colegio Ch #278</t>
  </si>
  <si>
    <t>Roberto Miranda, gratificación por barrer el fracc. 1er quincena</t>
  </si>
  <si>
    <t>Café mesa de cobranza, Cadena Comercial Oxxo, S.A. de C.V.</t>
  </si>
  <si>
    <t>Pedro Bazzan, pago por recolección de basura en todo el fracc. 1er quincena</t>
  </si>
  <si>
    <t>Santos Arellano Morales, pago por varios trabajos de mantenimiento en fracc</t>
  </si>
  <si>
    <t>Grupo Alguacil Dorado en Seguridad Privada, S.A. de C.V. A/C 1er quincena</t>
  </si>
  <si>
    <t>Grupo Alguacil Dorado en Seguridad Privada, S.A. de C.V. Liq. 1er quincena</t>
  </si>
  <si>
    <t>Recaudacion de cuotas 3er domingo</t>
  </si>
  <si>
    <t>Medicamentos botiquin, Farmacia Plus, S.A. de C.V.</t>
  </si>
  <si>
    <t>Materiales para remodelación de caseta Zinampa,Tlapalería El Angel</t>
  </si>
  <si>
    <t>Materiales para remodelación de caseta Zinampa, Materiales para Construcci</t>
  </si>
  <si>
    <t>Materiales para remodelación de caseta Zinampa, Tlapalería El Angel</t>
  </si>
  <si>
    <t>Pago de mano de obra y diseño de remodelación caseta Zianampa, Arcicastro</t>
  </si>
  <si>
    <t>Electropura, S. de R.L. de C.V.  4 garrafones de agua para casetas</t>
  </si>
  <si>
    <t>Electropura, S. de R.L. de C.V. 4 garrafones de agua para casetas</t>
  </si>
  <si>
    <t>3 vidrios para caseta Zinampa, Procesado Aluinio Vidrio, S.A. de C.V.</t>
  </si>
  <si>
    <t>Vigilancia, comida</t>
  </si>
  <si>
    <t>Recaudacion de cuotas 4to.  domingo</t>
  </si>
  <si>
    <t>Santos Arellano Morales, pago por cubri turno del día 17,19 y 21 de marzo</t>
  </si>
  <si>
    <t>Materiales para remodelación de casetas Zinampa, Comercializadora Gu-So</t>
  </si>
  <si>
    <t>Materiales para remodelación de caseta Zinampa, Tlapalería La Palma</t>
  </si>
  <si>
    <t>Azuca y Café para casetas, Tiendas Chedraui, S.A. de C.V.</t>
  </si>
  <si>
    <t>Materiales de limpieza, Bolsas y Desechables del Sur</t>
  </si>
  <si>
    <t>Materiales de limpieza, Tiendas Chedaui, S.A. de C.V.</t>
  </si>
  <si>
    <t xml:space="preserve">Materiales para cortina de caseta Zinampa, Telas Junco, S.A. </t>
  </si>
  <si>
    <t>Patrulla (Morales) gratificación por rondines en toda la colonia 3er Semana</t>
  </si>
  <si>
    <t>Grupo Alguacil Dorado en Seguridad Privada, S.A. de C.V. A/C 2da quincena</t>
  </si>
  <si>
    <t>Grupo Alguacil Dorado en Seguridad Privada, S.A. de C.V. Liq. 2da quincena</t>
  </si>
  <si>
    <t>Transferencia bancaría, CL_62 Fam. Frias paga mes febrero</t>
  </si>
  <si>
    <t>Transferencia bancaría, CL_29 Fam. Vega Sanchez paga mes marzo</t>
  </si>
  <si>
    <t>Transferencia bancaría, UP_46 Fam. Fuentes paga mes marzo</t>
  </si>
  <si>
    <t>Transferencia bancaría,EZ_15_A  Fam. Gonzalez paga mes de febrero</t>
  </si>
  <si>
    <t>Transferencia bancaría, UP_116 Fam. Zenteno Pérez, paga mes ene/feb/mar</t>
  </si>
  <si>
    <t>Loth Guzmán Miranda, pago por recuperación de video por insidente en Cuch</t>
  </si>
  <si>
    <t>Loth Guzmán Miranda, gratificación en apoyo cobranza 3er Domingo</t>
  </si>
  <si>
    <t>Recaudación de cuotas 1er domingo</t>
  </si>
  <si>
    <t xml:space="preserve">Materiales para remodelación de caseta Zinampa, Home Dept Mexico, S. de </t>
  </si>
  <si>
    <t>Materiales para remodelación de caseta Zinampa, Materiales y Tlapalería</t>
  </si>
  <si>
    <t>Loth Guzman Miranda, pago por supervisión de trabajos diversos en el fracc.</t>
  </si>
  <si>
    <t>Comida para vigilancia domingo</t>
  </si>
  <si>
    <t>Gratificación por recolección de basura 5to domingo, Pedro Bazzan</t>
  </si>
  <si>
    <t>Pago por daños a vehiculo residente</t>
  </si>
  <si>
    <t>Pedro Bazzan, pago por recolección de basura en todo el fracc. 2da. quincena</t>
  </si>
  <si>
    <t xml:space="preserve">Israel García, cambio y reparaciónn de varias luminiras del fraccionamiento </t>
  </si>
  <si>
    <t>Loth Guzmán Miranda, gratificación por diversos trabjaso de manteniniento</t>
  </si>
  <si>
    <t>Brian Alexis Rangel Arellano, pago por cubir turnos del 25 al 31 de marzo</t>
  </si>
  <si>
    <t>Compensación por configuración alta y baja de tarjetas electrónicas</t>
  </si>
  <si>
    <t>Gratificación por cobranza 1er domingo, Helena Osorio</t>
  </si>
  <si>
    <t>Oscar Gutierrez compensación extraordinaria y finiquito</t>
  </si>
  <si>
    <t>Pintura  para remodelación de caseta Zinampa, Comex</t>
  </si>
  <si>
    <t>Pintura para remodelación de caseta Zinampa, Comex</t>
  </si>
  <si>
    <t>Gratificación en apoyo cobranza por primera quincena marzo, Helena Osorio</t>
  </si>
  <si>
    <t xml:space="preserve">Pintura  para remodelación de caseta Zinampa, Comex </t>
  </si>
  <si>
    <t>Aldan Electrónica, S.A. de C.V. Aire comprimido para limpieza de camaras</t>
  </si>
  <si>
    <t>Bono de puntualidad de asistencia y apoyo para transporte, vigilancia</t>
  </si>
  <si>
    <t>Recaudación de cuotas 5to. Domingo</t>
  </si>
  <si>
    <t>Deposito de cheque # 9004 Colegio Carmel pago mantenimiento Marzo/20</t>
  </si>
  <si>
    <t>Gratificación en apoyo cobranza por segunda quincena marzo, Helena Osorio</t>
  </si>
  <si>
    <t>Pago por organización administrativa del fracc. Lic. Olivia Villaneda</t>
  </si>
  <si>
    <t>Patrulla (Lazaro) gratificación por rondines 2da. semana a todo el fracc.</t>
  </si>
  <si>
    <t>Transferencia bancaría Fam Frías CL # 62 paga abril/20</t>
  </si>
  <si>
    <t>Transferencia bancaría Fam. Gonzalez EZ_15_A paga marzo/20</t>
  </si>
  <si>
    <t>Transferencia bancaria Fam. Fuentes UP_46 paga abril/20</t>
  </si>
  <si>
    <t xml:space="preserve">Cheque Fam. Roy ZB_10 paga de marzo a junio $ 400 por mes </t>
  </si>
  <si>
    <t>Transferencia bancaria Fam. López EZ_121 paga feb/mar/abr/20</t>
  </si>
  <si>
    <t>Cheque Fam. Siegrist UP_118 paga ene/feb/mar/abr/20</t>
  </si>
  <si>
    <t>Transferencia bancaria Fam. Cuervo LD_86_ paga anualidad 2020 $ 300 x mes</t>
  </si>
  <si>
    <t>Transferencia bancaria Fam. Escamilla LD_25 paga abril/20</t>
  </si>
  <si>
    <t>Pago por retiro de cascajo y limpieza de caseta Zinampa, Thelma Carrillo</t>
  </si>
  <si>
    <t>Electropura, S. de R.L. de C.V., 3 garrafones para casetas</t>
  </si>
  <si>
    <t>Pemex Cualli, gasolina para varias diligencias</t>
  </si>
  <si>
    <t>Patrulla (Lázaro) gratificación por rondines en toda la colonia 1er Semana</t>
  </si>
  <si>
    <t>Patrulla (Morales) gratificación por rondines en toda la colonia 2da. Semana</t>
  </si>
  <si>
    <t>Materiales para remodelación de caseta Zinampa, Empresa Casa Blanca, S.A.</t>
  </si>
  <si>
    <t xml:space="preserve">Materiales para remodelación de caseta Zinampa, Materiales y Tlapalería </t>
  </si>
  <si>
    <t>Café para casetas de vigilancia, Nueva Walmart de México, S de R.L. de .C.V.</t>
  </si>
  <si>
    <t>Lenix Security Alamr, reparación de cableado para camara</t>
  </si>
  <si>
    <t>Pedro Bazzan, gratificación por recolección de basura 1er y 2do domingo</t>
  </si>
  <si>
    <t>Recaudación de cuotas 2do domingo</t>
  </si>
  <si>
    <t>Gratificación en apoyo cobranza 2do.domingo, Loth Guzmán Miranda</t>
  </si>
  <si>
    <t>Grupo Alguacil Dorado en Seguridad Privada, S.A. de C.V.  1er quincena</t>
  </si>
  <si>
    <t>Gratificación en apoyo cobranza por primera quincena abril, Helena Osorio</t>
  </si>
  <si>
    <t>Comida vigilancia en diferentes días de la semana</t>
  </si>
  <si>
    <t>Sifar, S.A. de C.V. compra de medicamentos para botiquin de casetas</t>
  </si>
  <si>
    <t>Cáfe  mesa de cobranza, Cadena Comercial Oxxo, S.A. de C.V.</t>
  </si>
  <si>
    <t>Pedro Bazzan, pago por recolección de basura en todo el fracc.  3er domingo</t>
  </si>
  <si>
    <t>Patrulla (Lázaro) gratificación por rondines en toda la colonia 3er Semana</t>
  </si>
  <si>
    <t>Comida vigilancia 3er domingo, Saul Gallegos</t>
  </si>
  <si>
    <t>Abril   2020</t>
  </si>
  <si>
    <t>Depósito de cheque # 9004 Colegio Carmel pago mantenimiento Abril/20</t>
  </si>
  <si>
    <t>Papelería Omega, copias</t>
  </si>
  <si>
    <t>Pedro Bazzan, gratificación por recolección de basura 3er domingo</t>
  </si>
  <si>
    <t>Vigilancia, comida 3er domingo</t>
  </si>
  <si>
    <t>Herrería en General Janiel, 2do pago por material y mano de obra plumas RM</t>
  </si>
  <si>
    <t>Recaudación de cuotas 3er domingo</t>
  </si>
  <si>
    <t>Recaudación de cuotas 4to. Domingo</t>
  </si>
  <si>
    <t>Transferencia bancaria Fam. Juarez Guerrero EZ_5_B paga abril y mayo</t>
  </si>
  <si>
    <t>Transferencia bancaria Fam. Ugarte LD_76 paga abril y mayo</t>
  </si>
  <si>
    <t>Transferencia bancaria Fam. Cabello EZ_37 paga abril</t>
  </si>
  <si>
    <t>Trasnferencia bancaria Fam. De La Rosa paga marzo y abril</t>
  </si>
  <si>
    <t>Transferencia bancaria Fam. Escamilla Martines LD_25 paga febrero/marzo</t>
  </si>
  <si>
    <t>Pemex Cualli, gasolina para poda de pasto parque</t>
  </si>
  <si>
    <t>Israel García, pago por reparación de luminarias en varias calle del fracc.</t>
  </si>
  <si>
    <t>Israel García, pago por instalación de cableado en acceso Zinampa</t>
  </si>
  <si>
    <t>Cable para instalación eléctrica caseta Zinampa, Materiales y Tlapalería M.</t>
  </si>
  <si>
    <t>Pedro Bazzan, pago segunda quincena por recolección de basura en fracc.</t>
  </si>
  <si>
    <t>Sistemas y Cómputo, pago por configuración alta y baja de tarjetas electrón</t>
  </si>
  <si>
    <t>Pago en apoyo cobranza y supervisión de trabajos diversos, Elena Osorio</t>
  </si>
  <si>
    <t>Pago por trabajos de mantenimiento y poda de pasto, Brian Alexis Rangel</t>
  </si>
  <si>
    <t>Grupo Alguacil Dorado en Seguridad Privada, S.A. de C.V. a/c 2da quincena</t>
  </si>
  <si>
    <t>Siegrist Contadores Públicos, Pago de honorarios profesionales  Ch. # 281</t>
  </si>
  <si>
    <t>SAT Servicio de Administración Tributaria, Pago reteción IVA Colegio Ch #281</t>
  </si>
  <si>
    <t>Pago por supervición y trabajos diversos en fracionamiento, Loth Guzmán</t>
  </si>
  <si>
    <t>Electropura, S. de R.L. de C.V., 2 garrafones para casetas</t>
  </si>
  <si>
    <t>Sr. Marcos pago por revisión de instalación eléctrica en caseta Zinampa</t>
  </si>
  <si>
    <t>Roberto Miranda, pago de 1er y 2da quincena de abril por barrer todo el fra</t>
  </si>
  <si>
    <t>Pago  honorarios de trabajos contables 2da quincena, Gloria Mazzón Soto</t>
  </si>
  <si>
    <t>Compensación por organización administrativa del fracc. Lic. Olivia Villaned</t>
  </si>
  <si>
    <t>Pago honorarios de trabajos contables 1er quincena, Gloria Mazzón Soto</t>
  </si>
  <si>
    <t>Electropura, S. de R.L. de C.V., 4 garrafones para casetas</t>
  </si>
  <si>
    <t>Pago por reperaciòn de instalaciòn electrica caseta Zinampa, Sr. Marcos</t>
  </si>
  <si>
    <t>Lenix Security Alarm, Diagnostico de cableado reparaciònde camaras Zinamp</t>
  </si>
  <si>
    <t>Telefonos de México, S.A.B. de C.V. pago de telefono marzo y abril/20</t>
  </si>
  <si>
    <t>Compra guantes de electricista para fracc. Home Center Casa Blanca</t>
  </si>
  <si>
    <t>Servicio El Hueso, S.A. de C.V. gasolina para poda pasto parque</t>
  </si>
  <si>
    <t>Transferencia bancaria Fam. Frias  CL_62 paga mayo/20</t>
  </si>
  <si>
    <t>Transferencia bancaria Fam. Miranda CL_116 paga mayo/20</t>
  </si>
  <si>
    <t>Compra de 2 No break para camaras, Amazon</t>
  </si>
  <si>
    <t>Compra de cafè para mesa de cobranza, Cadena Comercial Oxxo, S.A. de C.V.</t>
  </si>
  <si>
    <t>Patrulla (Morales) gratificación por rondines en toda la colonia 1er. Semana</t>
  </si>
  <si>
    <t>Comida para vigilancia 1er domingo</t>
  </si>
  <si>
    <t>Material para sistema elèctrico del acceso Recoveco, Home Depot, S. de R.L.</t>
  </si>
  <si>
    <t>Material para sistema elèctrico del acceso Zinampa, Home Depot, S. de R.L.</t>
  </si>
  <si>
    <t>Materiales para reconecciòn de instalaciòn camaras Zinamapa, Tlapalerìa</t>
  </si>
  <si>
    <t>Materiales para reconecciòn de instalaciòn camaras Recoveco, Tlapalerìa</t>
  </si>
  <si>
    <t>Servicio Robledo, S.A. de C.V. gasolina poda pasto parque</t>
  </si>
  <si>
    <t>Materiales para reconección de instalación camaras Zinampa, Home Center</t>
  </si>
  <si>
    <t>Materiales para reconección de instalación camaras Zinampa, Tlapalería</t>
  </si>
  <si>
    <t>2 recargas de extintor para caseta Zinampa, Grupo D &amp; K</t>
  </si>
  <si>
    <t>Materiales de limpieza para casetas, Tiendas Chedraui, S.A. de C.V.</t>
  </si>
  <si>
    <t>Revisiòn y reconecciòn de instalaciòn camaras Recoveco, Gabriel Avila Hdez.</t>
  </si>
  <si>
    <t>Revisiòn y reconecciòn de instalaciòn camaras Romeral, Gabriel Avila Hdez.</t>
  </si>
  <si>
    <t>Comida para vigilancia 2do. domingo</t>
  </si>
  <si>
    <t>Patrulla (Lazaro) gratificación por rondines en toda la colonia 2da. Semana</t>
  </si>
  <si>
    <t>Lenix Security Alarm, Reparación cableado camaras de Zinampa</t>
  </si>
  <si>
    <t>Recaudación de cuotas 2do. domingo</t>
  </si>
  <si>
    <t>Transferencia bancaria, Fam. Juarez RM_33 paga abril/mayo/20</t>
  </si>
  <si>
    <t>Transferencia bancaria, Fam. Zenteno UP_116 paga abril/mayo/20</t>
  </si>
  <si>
    <t>Compra de hilo para desbrozadora poda pasto, Home Center Casa Blanca</t>
  </si>
  <si>
    <t>Tintoreria Nagyl, lavado de 3 cobijas vigilancia</t>
  </si>
  <si>
    <t>Tintoreria Nagyl, lavado de 4 cobijas vigilancia</t>
  </si>
  <si>
    <t>Copias para informe a todo el fraccionamiento, Centro de copiado y papeler</t>
  </si>
  <si>
    <t>Compra de botas para vigilante, Coppel, S.A. de C.V.</t>
  </si>
  <si>
    <t>Materiales para casetas, Home Center Casa Blanca</t>
  </si>
  <si>
    <t>Israel García, reparación de luminarias calle Upacuaro</t>
  </si>
  <si>
    <t>Lenix Security Alarm, reinstalación de 2 camaras caseta Recoveco</t>
  </si>
  <si>
    <t>Finiquito de reparación de pluma de acceso Romeral, Herrerería En General</t>
  </si>
  <si>
    <t>Israel García, cambio de luminarias del parque y calle Upacuaro</t>
  </si>
  <si>
    <t>Gratificación en apoyo cobranza por primera quincena Mayo, Helena Osorio</t>
  </si>
  <si>
    <t>Grupo Alguacil Dorado en Seguridad Privada, S.A. de C.V.  A/C 1er quincena</t>
  </si>
  <si>
    <t>Fam. Olguin Zinampa # 46 reembolso de 1 tarjeta eléctronica</t>
  </si>
  <si>
    <t>Patrulla (Morales) gratificación por rondines en toda la colonia 3er. Semana</t>
  </si>
  <si>
    <t>Lenix Security Alarm, instalaciión programa control de acceso</t>
  </si>
  <si>
    <t>Compra de thiner para arreglo de casetas, Comex</t>
  </si>
  <si>
    <t>Electropura, S. de R.L. de C.V. 2 garrafones de agua</t>
  </si>
  <si>
    <t>Transferencia bancaria, Fam. González EZ_15_A paga abril</t>
  </si>
  <si>
    <t>Papelería, Raúl Cornejo Pérez</t>
  </si>
  <si>
    <t>Compra de café soluble para vigilancia, Nueva Walmart de México, S de R.L.</t>
  </si>
  <si>
    <t>Hilo para dezbrozadora para podadora, Home Center Casa Blanca</t>
  </si>
  <si>
    <t>Patrulla (Morales) gratificación por rondines en toda la colonia 4ta semana</t>
  </si>
  <si>
    <t>Patrulla (Lazaro) gratificación por rondines en toda la colonia 3er semana</t>
  </si>
  <si>
    <t>Reembolso por tarjeta electrónica devuelta por vecino EZ_15_A Fam. Gonzal</t>
  </si>
  <si>
    <t>Electropura, S. de R.L. de C.V. 4 garrafones de agua</t>
  </si>
  <si>
    <t>Comida para vgilancia 4to domingo</t>
  </si>
  <si>
    <t>Comida para vigilancia 5to domingo</t>
  </si>
  <si>
    <t>Pedro Bazzan, pago del mes  por recolección de basura en fracc.</t>
  </si>
  <si>
    <t>Depósito de cheque # 9004 Colegio Carmel pago mantenimiento Mayo/20</t>
  </si>
  <si>
    <t>Pago por supervisión y trabajos de mantenimiento, Loth Guzmán Miranda</t>
  </si>
  <si>
    <t>Transferencia bancaria Fam. Fuentes UP_46 paga mayo/20</t>
  </si>
  <si>
    <t>Transferencia bancaria Fam. Vega Sanchez CL_29 paga mayo/20</t>
  </si>
  <si>
    <t>Transferencia bancaria Fam. Flores UP_95 paga abril/20</t>
  </si>
  <si>
    <t>Transferencia bancaria, Fam. Miranda CL_116 paga 2 tarjetas electrónicas</t>
  </si>
  <si>
    <t>Transferencia bancaria Fam. Juarez Guerrero EZ_5_B paga juniio/julio/20</t>
  </si>
  <si>
    <t>Recaudación de cuotas 3er. domingo</t>
  </si>
  <si>
    <t>Recaudación de cuotas 5to domingo</t>
  </si>
  <si>
    <t>Transferencia bancaria, Fam. Cabello EZ_37 paga mayo/20</t>
  </si>
  <si>
    <t>Transferecnia bancaria, Fam. Cabello EZ_37 paga junio/20</t>
  </si>
  <si>
    <t>Pedro Bazzan, pago por recolección de basura 5to domingo</t>
  </si>
  <si>
    <t>Café para mesa de cobranza, Cadena Comercial Oxxo, S.A. de C.V.</t>
  </si>
  <si>
    <t>Recaudación de cuotas del 2do domingo</t>
  </si>
  <si>
    <t>Transferencia bancaria Fam. Flores  UP_95 paga mayo/20</t>
  </si>
  <si>
    <t>Transferencia bancaria Fam. Frias CL_62 paga junio/20</t>
  </si>
  <si>
    <t>Transferencia bancaria Fam. Rivera ZB_68 paga junio/20</t>
  </si>
  <si>
    <t>Transferencia bancaria Fam. Miranda CL_116 paga junio/20</t>
  </si>
  <si>
    <t>Transferencia bancaria Fam. Fuentes UP_46 paga junio/20</t>
  </si>
  <si>
    <t>Transferencia bancaria Fam. Flores  UP_95 paga junio/20</t>
  </si>
  <si>
    <t>Transferencia bancaria Fam. Vega Sáchez CL_29 paga junio/20</t>
  </si>
  <si>
    <t>Transferencia bancaria Fam. García De La Rosa UP_74 paga mayo/junio/20</t>
  </si>
  <si>
    <t>Transferencia bancaria Fam. Ugarte LD_76 paga junio/julio/20</t>
  </si>
  <si>
    <t>Transferencia bancaria Fam. Silva EZ_159 paga mayo/20</t>
  </si>
  <si>
    <t>Transferencia bancaria Fam. Mac Kinney CL_42 paga mayo/junio/20</t>
  </si>
  <si>
    <t>Transferencia bancaria Fam. Moreno EP_44_1 paga enero a junio  y T.E.#477</t>
  </si>
  <si>
    <t>Transferencia bancaria Fam. Juarez RM_33 paga junio/20</t>
  </si>
  <si>
    <t>Transferencia bancaria Fam. López EZ_121 paga mayo/junio/20</t>
  </si>
  <si>
    <t>Siegrist Contadores Públicos, Pago de honorarios profesionales  Ch. # 288</t>
  </si>
  <si>
    <t>SAT Servicio de Administración Tributaria, Pago reteción IVA Colegio Ch #288</t>
  </si>
  <si>
    <t>Telefonos de México, S.A.B. de C.V. pago de telefono mayo/20</t>
  </si>
  <si>
    <t xml:space="preserve">Servicio El Hueso, S.A. de C.V. gasolina poda pasto parque </t>
  </si>
  <si>
    <t>Home Center Casa Blanca, aceite 3 tiempos para podadora</t>
  </si>
  <si>
    <t>Home Center Casa Blanca, compra de bomba para bicicletas</t>
  </si>
  <si>
    <t>Pharma Plus S.A. de C.V. Medicamentos para botiquin</t>
  </si>
  <si>
    <t>Nueva Walmart de México, S. de R.L. de C.V. Medicamentos para botiquin</t>
  </si>
  <si>
    <t>Herreria En General Janiel, Instalación de protector, mano de obra y ajuste</t>
  </si>
  <si>
    <t>Pemex Cualli, gasolina varias diligencias del fraccionamiento</t>
  </si>
  <si>
    <t>Pedro Bazzan, pago por recolección de basura 1er domingo</t>
  </si>
  <si>
    <t>Electropura, S. de R.L. de C.V. 4 garrafones casetas</t>
  </si>
  <si>
    <t>Israel Galan Quintin, compra de 2 llaves para puerta de acceso Zinampa</t>
  </si>
  <si>
    <t>Compra material de limpieza para casetas, The Home Depot México, S. de R.</t>
  </si>
  <si>
    <t>Compra materiales para reparación caseta Zinampa, The Home Depot Méxic</t>
  </si>
  <si>
    <t>Tlapalería, compra de un recogedor para caseta</t>
  </si>
  <si>
    <t>Patrulla (Lazaro ) gratificación por rondines en toda la colonia 2da. Semana</t>
  </si>
  <si>
    <t>Electropura, S. de R.L. de C.V. 3 garrafones casetas</t>
  </si>
  <si>
    <t>Lenix Security Alarm, pago de servicio para control de acceso Zinamapa</t>
  </si>
  <si>
    <t>Esteban Alejo, compra de 1 bicicleta para rondines del fraccionamiento</t>
  </si>
  <si>
    <t>Pedro Bazzan, pago por recolección de basura 2do. Domingo</t>
  </si>
  <si>
    <t>Gratificación en apoyo cobranza por primera quincena Junio, Helena Osorio</t>
  </si>
  <si>
    <t>Gratificación por desazolve en la calle de Zinampa, Rubén Torres</t>
  </si>
  <si>
    <t>Transferencia bancaria Fam. Cruz ZB_20 paga mayo/juio/20</t>
  </si>
  <si>
    <t>Transferencia bancaria Fam. Los Del Río  UP_80 paga junio/20</t>
  </si>
  <si>
    <t>Transferencia bancaría Fam. Escamilla  LD_25 paga junio/julio/29</t>
  </si>
  <si>
    <t>Transferencia bancaria Fam. Hernández LD_2_2 paga junio/julio/20</t>
  </si>
  <si>
    <t>Transferencia bancaria Fam Flores UP_95 paga julio</t>
  </si>
  <si>
    <t>Transferencia bancaria Fam. Zenteno UP_116 paga junio/jul/20</t>
  </si>
  <si>
    <t>Grupo Alguacil Dorado en Seguridad Privada, S.A. de C.V.  A/C 2da quincena</t>
  </si>
  <si>
    <t>Spei # 2110 Colegio Carmel pago mantenimiento Junio/20</t>
  </si>
  <si>
    <t>Vigilancia, comida para vigilancia 3er domingo</t>
  </si>
  <si>
    <t>Patrulla (Lazaro ) gratificación por rondines en toda la colonia 4ta. semana</t>
  </si>
  <si>
    <t>Pedro Bazzan, pago por recolección de basura 3er. domingo</t>
  </si>
  <si>
    <t>Vigilancia, comida para vigilancia 4to. domingo</t>
  </si>
  <si>
    <t>Herreria En General Janiel, 2do. Pago de instalación de techo en caseta ZB</t>
  </si>
  <si>
    <t>SEMAR ES 3994, gasolina poda pasto parque</t>
  </si>
  <si>
    <t>Gratificación en apoyo cobranza por segunda quincena Junio, Helena Osorio</t>
  </si>
  <si>
    <t>Gratificación por cubrir turno el día 24 del mes, Esteban Alejo Hernández</t>
  </si>
  <si>
    <t>Pedro Bazzan, pago por recolección de basura 4to. domingo</t>
  </si>
  <si>
    <t>Pedro Bazzan, pago por recolección de basura entre semana mes de Junio</t>
  </si>
  <si>
    <t>Gratificación especial trabajo extraordinario en fracc. Juan Carlos Martínez</t>
  </si>
  <si>
    <t>Compra de cordòn para podadora, Home Center Casa Blanca</t>
  </si>
  <si>
    <t xml:space="preserve">Gratificación por cubrir turno el día 24 del mes, Juan Carlos Montiel </t>
  </si>
  <si>
    <t>Herrería en General Janiel, 3er pago para techo de caseta Zinamapa</t>
  </si>
  <si>
    <t>Herrería en General Janiel, 1er pago para techo de caseta Zinamapa</t>
  </si>
  <si>
    <t xml:space="preserve">Compra tiempo aire para jefe de turno Esteban Alejo  de vigilancia, AT&amp;T </t>
  </si>
  <si>
    <t>Compra tiempo aire para jefe de turno Juan Carlos Montiel de vigilancia, Tel</t>
  </si>
  <si>
    <t>Comida para vigilancia, Esteban Alejo, vigilancia, de 1er y 2do domingo</t>
  </si>
  <si>
    <t xml:space="preserve">Israel Galán Quilntin, compra e instalación de chapa nueva </t>
  </si>
  <si>
    <t xml:space="preserve">Monito V226hQL21.5 pulgadas para caseta </t>
  </si>
  <si>
    <t>Cable para HDMI, para camaras office Depot de México, S.A. de C.V.</t>
  </si>
  <si>
    <t>Transferencia bancaria Fam. Hernández UP_46 paga mayo y junio</t>
  </si>
  <si>
    <t>Transferencia bancaria Fam. Rivera ZB_68 paga julio</t>
  </si>
  <si>
    <t xml:space="preserve">Transferencia bancaria Fam. Frias CL_62 paga julio </t>
  </si>
  <si>
    <t>Transferencia bancaria Fam. Fuentes UP_46 paga julio</t>
  </si>
  <si>
    <t>Transferencia bancaria Fam. González paga Junio</t>
  </si>
  <si>
    <t>Recaudación de cuotas 2do. Domingo</t>
  </si>
  <si>
    <t>Transferencia bancaria Fam. Vega Sanchez CL_29 paga julio</t>
  </si>
  <si>
    <t>Cheque Fam. Siegrist UP_118 paga mayo, junio y julio</t>
  </si>
  <si>
    <t>Transferencia bancaria Fam. De Los Rios UP_80 paga julio</t>
  </si>
  <si>
    <t xml:space="preserve">Spei # 2110 Colegio Carmel pago mantenimiento julio </t>
  </si>
  <si>
    <t>Transferencia bancaria Fam. Juarez EZ_5_B paga agosto y septiembre</t>
  </si>
  <si>
    <t xml:space="preserve">Comida para vigilancia, Esteban Alejo, vigilancia, de 1er </t>
  </si>
  <si>
    <t>Telefonos de México, S.A.B. de C.V. pago de telefono junio/20</t>
  </si>
  <si>
    <t>Pintura blanca para casetas, Comex</t>
  </si>
  <si>
    <t>Brocha para pintar casetas, Comex</t>
  </si>
  <si>
    <t>Materiales para reparaciónes casetas, Home Depot México, S. de R.L. de C.V.</t>
  </si>
  <si>
    <t>Material de limpieza, Materiales y Tlapalaería La Palma</t>
  </si>
  <si>
    <t>Plastico para casetas</t>
  </si>
  <si>
    <t xml:space="preserve">Papelería, office Depot de México, S.A. de C.V. </t>
  </si>
  <si>
    <t>Semar, gasolina varias diligencias para el fraccionamiento</t>
  </si>
  <si>
    <t>Servicio El Hueso, S.A. de C.V. gasolina para poda pasto del parque</t>
  </si>
  <si>
    <t>Aceite 2 tiempos para podadora, Materiales y Tlaplaleria La Palma</t>
  </si>
  <si>
    <t>Material de limpieza, Soriana</t>
  </si>
  <si>
    <t>Pago por trabajos de mantenimiento y poda de pasto, Alfredo Ubaldo Villalba</t>
  </si>
  <si>
    <t>Pedro Bazzan, pago por recolección de basura 2do. domingo</t>
  </si>
  <si>
    <t>Devolución de tarjeta # 760 de Landero # 89 Sra. Maricuz Del Pozo Solis</t>
  </si>
  <si>
    <t>Vigilancia, comida para vigilancia 2do. Domingo, Juan Carlos Montiel</t>
  </si>
  <si>
    <t>Vigilancia, comida de lunes a sabado 1er quincena</t>
  </si>
  <si>
    <t>Gratificación en apoyo cobranza por primera quincena Julio, Helena Osorio</t>
  </si>
  <si>
    <t>Grupo Alguacil Dorado en Seguridad Privada, S.A. de C.V. pago 3 pares botas</t>
  </si>
  <si>
    <t>Semar, gasolina poda pasto del parque</t>
  </si>
  <si>
    <t>Pedro Bazzan, pago por recolección de basura entre semana 1er quincena Jul</t>
  </si>
  <si>
    <t>Compra de teclado usado para caseta Zinamapa</t>
  </si>
  <si>
    <t>Tlapalerìa, 3 mts. De tubo cromado para caseta Zinampa</t>
  </si>
  <si>
    <t>Nueva Walmart de Mèxico, S. de R.L. de C.V. Lona para caseta Romeral</t>
  </si>
  <si>
    <t>Vigilancia, comida 3er domingo, Sr. Juan Carlos</t>
  </si>
  <si>
    <t>Pedro Bazzan, pago por recolección de basura 3r. domingo</t>
  </si>
  <si>
    <t>Recaudación de cuotas 3er. Domingo</t>
  </si>
  <si>
    <t>Lenix Security Alarm, compra cama Hikwision Bullet, transformador y mano o.</t>
  </si>
  <si>
    <t>Ruedas para puerta de casetas, Home Depot, S. de R.L. de C.V.</t>
  </si>
  <si>
    <t>Materiales y Tlapalerìa La Palma, armellas para colocaciòn de lona Romeral</t>
  </si>
  <si>
    <t>Materials y Tlapalerìa La Palma, espuma</t>
  </si>
  <si>
    <t xml:space="preserve">Cafè para mesa cobranza, Distribuidora Liverpool, S.A. de C.V. </t>
  </si>
  <si>
    <t>Home Center Casa Blanca, aceite 2 tiempos para podadora</t>
  </si>
  <si>
    <t>Materiales y Tlapalerìa La Palma, materiales para caseta de Zinamapa</t>
  </si>
  <si>
    <t>Mano de obra por instalaciòn electrica en caseta Zinamapa, Marco Antonio B</t>
  </si>
  <si>
    <t>Lenix Security Alarm, Camara Bullet Hd para caseta y servicio CCTV</t>
  </si>
  <si>
    <t>Pago por trabajos de mantenimineto y poda de pasto, Enrique Garcìa Leòn</t>
  </si>
  <si>
    <t>Gratificación en apoyo cobranza por segunda quincena Julio, Helena Osorio</t>
  </si>
  <si>
    <t>Poda pasto y mant. áreas verdes del 25 al 29 de julio, Enrique García Léon</t>
  </si>
  <si>
    <t>Agua mesa de cobranza, Cadena Comercial Oxxo, S.A. de C.V.</t>
  </si>
  <si>
    <t>Cáfe mesa de cobranza, Cadena Comercial Oxxo, S.A. de C.V.</t>
  </si>
  <si>
    <t>Home Center Casa Blanca, cincel corte frio material para casetas</t>
  </si>
  <si>
    <t>Recaudación cuotas 4to. Domingo</t>
  </si>
  <si>
    <t>Materiales para caseta Romeral, Materiales y Tlapalería La Palma</t>
  </si>
  <si>
    <t>Trabajos de mant. en caseta Romeral, techo e impermeabilización, Enrique G.</t>
  </si>
  <si>
    <t>Pedro Bazzan, pago por recolección de basura entre semana 2da quincena Jul</t>
  </si>
  <si>
    <t>Patrulla (Lazaro) gratificación por rondines en toda la colonia 4to. Semana</t>
  </si>
  <si>
    <t>Vigilancia, comida 4to. Domingo Juan Carlos Montiel</t>
  </si>
  <si>
    <t>Patrulla (Lázaro) gratificación por rondines en toda la colonia 2da.. Semana</t>
  </si>
  <si>
    <t xml:space="preserve">Patrulla (Morales) gratificación por rondines en toda la colonia </t>
  </si>
  <si>
    <t>Vigilancia, comida de la 2da quincena del 16 al 31 de julio</t>
  </si>
  <si>
    <t>Recibos de cobranza vecinal, Directo a Placa</t>
  </si>
  <si>
    <t>Transferencia bancaria, Fam. Escamilla paga agosto</t>
  </si>
  <si>
    <t>Transferencia bancaria, Fam. Domínguez Canudas paga julio y agosto</t>
  </si>
  <si>
    <t>Transferencia bancaria, Fam. Almaguer Mireles paga junio y julio</t>
  </si>
  <si>
    <t>Transferencia bancaria, Fam. Cabello, EZ_37 paga julio y agosto</t>
  </si>
  <si>
    <t>Transferencia bancaria Fam. Miranda CL_116 pago Julio</t>
  </si>
  <si>
    <t>Siegrist Contadores Públicos, Pago de honorarios profesionales  Ch. # 292</t>
  </si>
  <si>
    <t>SAT Servicio de Administración Tributaria, Pago reteción IVA Colegio Ch #292</t>
  </si>
  <si>
    <t>Grupo Alguacil Dorado en Seguridad Privada, S.A. de C.V.   a/c 1er quincena</t>
  </si>
  <si>
    <t>Grupo Alguacil Dorado en Seguridad Privada, S.A. de C.V.   Liq. Che. #294</t>
  </si>
  <si>
    <t>Transferencia bancaria Fam. Rivera Villacaña ZB_68 paga agosto</t>
  </si>
  <si>
    <t>Transferencia bancaria Fam. Frias CL_62 paga agosto</t>
  </si>
  <si>
    <t>Transferencia bancaria Fam. Miranda CL_116 paga agosto</t>
  </si>
  <si>
    <t>Transferencia bancaria Fam. Fuentres UP_46 paga agosto</t>
  </si>
  <si>
    <t>Transferencia bancaria Fam. Flores UP_95 paga agosto</t>
  </si>
  <si>
    <t>Transferencia bancaria Fam. Juarez Alva RM_33 paga jul/ago</t>
  </si>
  <si>
    <t>Transferencia bancaria Fam. González paga EZ_15_A paga julio</t>
  </si>
  <si>
    <t>Transferencia bancaria Fam. Silva EZ_159 paga julio</t>
  </si>
  <si>
    <t>Transferencia bancaria Fam. Vega Sànchez CL_29 paga agosto</t>
  </si>
  <si>
    <t>Transferencia bancaria Fam. Velasco LD_20 paga julio</t>
  </si>
  <si>
    <t>Transferencia bancaria Fam. Ugarte LD_76 paga ago/sept</t>
  </si>
  <si>
    <t>Transferencia bancaria Fam. Lòpez EZ_121 paga de a jul a dic. $ 400 por mes</t>
  </si>
  <si>
    <t>Transferencia bancaria Fam. De Los Rios UP_80 paga agosto</t>
  </si>
  <si>
    <t>Transferencia bancaria Fam. Frias UP_99 paga de jul a dic $ 300 por mes</t>
  </si>
  <si>
    <t>Transferencia bancaria Fam. Correa ZB_40 paga de ago a dic $ 300 por mes</t>
  </si>
  <si>
    <t>Transferencia bancaria Fam. Hernàndez UP_106 paga julio</t>
  </si>
  <si>
    <t>Recaudaciòn de cuotas  3er domingo</t>
  </si>
  <si>
    <t>Transferencia bancaria Fam. Millàn UP_88 paga de may a dic $ 500 por mes</t>
  </si>
  <si>
    <t>Transferencia bancaria Fam. De la Rosa UP_74 paga jul/ago/sept/ $ 500 x mes</t>
  </si>
  <si>
    <t>Transferencia bancaria Fam. Hernàndez LD_2_2 paga jul/ago $ 250 por mes</t>
  </si>
  <si>
    <t>Gratificaciòn a personal de parques y jardines por cortar àrboles , Sr. Roman</t>
  </si>
  <si>
    <t>Telefonos de México, S.A.B. de C.V. pago de telefono julio/20</t>
  </si>
  <si>
    <t>Materiales para reparaciónes casetas, Comercializadora GU SO, S.A. de C.V.</t>
  </si>
  <si>
    <t>Patrulla (Lázaro) gratificación por rondines en toda la colonia 1er semana</t>
  </si>
  <si>
    <t>Materiales para pintar caseta Romeral, Comex</t>
  </si>
  <si>
    <t>Copias para informe al fraccionamiento, Office Depot</t>
  </si>
  <si>
    <t xml:space="preserve">Refrescos para vigilancia, Cadena Comercial Oxxo, S.A. de C.V. </t>
  </si>
  <si>
    <t>Lona informativa para kiosco, Consultorìa y Publicidad  Anga</t>
  </si>
  <si>
    <t>Trabajos de pintura e impermealizaciòn caseta RM, Enrique Alvarez Garcìa</t>
  </si>
  <si>
    <t>Compensaciòn por haber extraviado su credencial, Irwin David Piña Lara</t>
  </si>
  <si>
    <t>Electropura, S. de R.L. de C.V. 2 garrafones casetas</t>
  </si>
  <si>
    <t>Lenix Security Alarm, compra de camra Bulled Epcom Had SMP ultra</t>
  </si>
  <si>
    <t>Lenix Security Alarm, compra de cable Utp late</t>
  </si>
  <si>
    <t>Lenix Security Alarm, servicio a cctv</t>
  </si>
  <si>
    <t>Poda pasto y mantenimiento de àreas verdes del 6 a 7, Enrique Garcìa Leòn</t>
  </si>
  <si>
    <t>Pago por reparaciòn de plumas electrònicas, Loth Guzmán Miranda</t>
  </si>
  <si>
    <t>Compra de herramienta para el fracc, Comercializador Gu So, S.A. de C.V.</t>
  </si>
  <si>
    <t>Semar, gasolina poda de pasto fraccionamiento</t>
  </si>
  <si>
    <t>5 duplicados de llaves, Israel Galan Quintiìn</t>
  </si>
  <si>
    <t>Servicio de cerrajerìa, Israel Galan Quintìn</t>
  </si>
  <si>
    <t>Poda pasto y mantenimiento de àreas verdes del 8 al 12, Enrique Garcìa Leòn</t>
  </si>
  <si>
    <t>papelerìa, Copyfaz Digital</t>
  </si>
  <si>
    <t>Spei # 4452 Colegio Carmel pago mantenimiento agosto</t>
  </si>
  <si>
    <t>Pedro Bazzan, pago por recolección de basura entre semana 1er quincena ago.</t>
  </si>
  <si>
    <t>Gratificación en apoyo cobranza por primera quincena ago. Helena Osorio</t>
  </si>
  <si>
    <t>Pago por cubrir turno sabado 15 agosto, Enrique Garcìa Leòn</t>
  </si>
  <si>
    <t>Vigilancia, comida para vigilancia 3er. Domingo, Juan Carlos Montiel</t>
  </si>
  <si>
    <t>Pan para vigilancia, Tradiciòn Pasteleria, S.A. de C.V.</t>
  </si>
  <si>
    <t>Pago de 25 folios, Federico Siegrist Hernández</t>
  </si>
  <si>
    <t>Brochas para pintar casetas, Comex</t>
  </si>
  <si>
    <t>Materiales para casetas, Materiales y Tlapalerìa La Palma</t>
  </si>
  <si>
    <t>Lenix Security Alarm, Camara Bullet HD Epcom 5 mp CCTV</t>
  </si>
  <si>
    <t>Lenix Security Alarm, DVR Epcom,</t>
  </si>
  <si>
    <t>Reparaciòn de luminarias Upacuaro y Estopila, Israel Garcìa</t>
  </si>
  <si>
    <t>Hilo desbrozadora para podadora, Comercializadora GU-SO, S.A. de C.V.</t>
  </si>
  <si>
    <t>Pago por cubrir turno en vigilancia, Enrique Garcia Lèon</t>
  </si>
  <si>
    <t>Materiales de limpieza para casetas, Comercial City Fresko, S. de R.L. de C.V.</t>
  </si>
  <si>
    <t>Vigilancia, comida para vigilancia 4to. Domingo, Esteban Alejo</t>
  </si>
  <si>
    <t>Cafè soluble para vigilancia, Nueva Walmart de Mèxico, S. de R.L. de C.V.</t>
  </si>
  <si>
    <t>Aceite 4 tiempos para podadora, Home Depot Mèxico, S. de R.L. de C.V.</t>
  </si>
  <si>
    <t>Cafè cobranza, Cadena Comercial Oxxo, S.A. de C.V.</t>
  </si>
  <si>
    <t>Pedro Bazzan, pago por recolección de basura 5to.. domingo</t>
  </si>
  <si>
    <t>Vigilancia, comida para vigilancia 5to. Domingo, Esteban Alejo</t>
  </si>
  <si>
    <t>Compensaciòn por cobranza 5to domingo, Loth Guzmàn Miranda</t>
  </si>
  <si>
    <t>Compensaciòn por cobranza 5to domingo, Gloria Mazzòn Soto</t>
  </si>
  <si>
    <t>Pago honorarios de trabajos contables 2da.  quincena, Gloria Mazzón Soto</t>
  </si>
  <si>
    <t>Recaudaciòn de cobranza 5to. Domingo</t>
  </si>
  <si>
    <t>Patrulla (Morales ) gratificación por rondines en toda la colonia 2da. Semana</t>
  </si>
  <si>
    <t>Patrulla (Lázaro) gratificación por rondines en toda la colonia   4to semana</t>
  </si>
  <si>
    <t>Transferencia bancaria Fam. Astorga CL_118 paga julio y agosto $ 500 por mes</t>
  </si>
  <si>
    <t>Transferencia bancaria Fam. Moreno EP_44 paga de ago a dic/20 $ 250 x mes</t>
  </si>
  <si>
    <t>Transferencia bancaria Fam. Escamilla LD_25 paga septiembre</t>
  </si>
  <si>
    <t>Recaudación de coutas 4to. Domingo</t>
  </si>
  <si>
    <t>Poda de pasto y mantenimiento de àreas verde 3er semana Enrique Garcìa</t>
  </si>
  <si>
    <t>Refrescos para personal de alcadía, por deszasolve fraccionamiento</t>
  </si>
  <si>
    <t>Comida para vigilancia 2da. Quincena, Vigilancia</t>
  </si>
  <si>
    <t>Consulta vigilancia, Dr. Oscar Roldan</t>
  </si>
  <si>
    <t xml:space="preserve">Medicamentos para vigilancia </t>
  </si>
  <si>
    <t>Poda de pasto y mantenimiento de àreas verdes 3er semana Enrique Garcìa</t>
  </si>
  <si>
    <t>Gratificación en apoyo cobranza por segunda quincena agosto. Helena Osorio</t>
  </si>
  <si>
    <t>Electropura, S. de R.L. de C.V. 1 garrafon casetas</t>
  </si>
  <si>
    <t>Compra Rotomartillo Truper Industrial para el fraccionamiento., Truper</t>
  </si>
  <si>
    <t>Pedro Bazzan, pago por recolección de basura entre semana 2da quincena ago.</t>
  </si>
  <si>
    <t>Reconexiòn de cableado eléctrico y trabajos de albañilerìa caseta RM, Enrique</t>
  </si>
  <si>
    <t>Patrulla (Morales ) gratificación por rondines en toda la colonia 3ra. Semana</t>
  </si>
  <si>
    <t xml:space="preserve">Pago en apoyo de vigilancia 2da. Quincena, Brian Alexis Rangel Arellano </t>
  </si>
  <si>
    <t>Octubre    2020</t>
  </si>
  <si>
    <t>Transferencia bancaria Fam. Frias CL_62 paga septiembre</t>
  </si>
  <si>
    <t>Transferencia bancaria Fam. Rivera Villicaña ZB_68 paga septiembre</t>
  </si>
  <si>
    <t>Transferencia bancaria Fam. Fuentes UP_96 paga septiembre</t>
  </si>
  <si>
    <t>Transferencia bancaria Fam. Flores UP_95 paga septiembre</t>
  </si>
  <si>
    <t>Transferencia bancaria Fam. Gonzalez EZ_ 15_A paga agosto</t>
  </si>
  <si>
    <t>Transferencia bancaria Fam. Miranda CL_116 paga septiembre</t>
  </si>
  <si>
    <t>Transferencia bancaria Fam. Velasco LD_20 paga septiembre</t>
  </si>
  <si>
    <t>Transferencia bancaria Fam. Velasco LD_20 paga agosto</t>
  </si>
  <si>
    <t>Reparación chapa Recoveco</t>
  </si>
  <si>
    <t>Pan vigilancia, Tradición en Pastelerías, S.A. de C.V.</t>
  </si>
  <si>
    <t>Trafitambo, compra a vecina Fam. Yolanda Vargas ZB_10</t>
  </si>
  <si>
    <t>Patrulla (Morales) gratificación por rondines en toda la colinia 1er semana</t>
  </si>
  <si>
    <t>Estación de Servicio 3994, gasolina poda pasto</t>
  </si>
  <si>
    <t>1 par de botas para vigilante, Uniformes y Artículos para Policia Charly´S</t>
  </si>
  <si>
    <t>Café cobranza 1er domingo</t>
  </si>
  <si>
    <t>Pintura y materiales para pintar plumas, Comex</t>
  </si>
  <si>
    <t>Telefonos de México, S.A.B. de C.V. pago de telefono agosto/20</t>
  </si>
  <si>
    <t>Refacciones para bicicleta rondines, Bicicletas y Refacciones Colula</t>
  </si>
  <si>
    <t>Pago por reparación bicicleta rondines, Alexis Rangel Arellano</t>
  </si>
  <si>
    <t>Aceite de 2 tiempos para podadora, Comercializadora GU-SO, S.A. de C.V.</t>
  </si>
  <si>
    <t>Transferencia bancaria Fam. Vega Sánchez CL_29 paga septiembre</t>
  </si>
  <si>
    <t>Transferencia bancaria Fam. Hernández LD_2_2 paga septiembre</t>
  </si>
  <si>
    <t>Transferencia bancaria Fam. Zenteno UP_116 paga ago/sept/</t>
  </si>
  <si>
    <t>Transferencia bancaria Fam. Silva EZ_159 paga septiembre</t>
  </si>
  <si>
    <t>Spei # 0014 Colegio Carmel pago mantenimiento septiembre</t>
  </si>
  <si>
    <t>Consulta medica, Hilario Sebastian Franco, vigilante</t>
  </si>
  <si>
    <t>Servicio 3994, gasolina poda pasto fraccionamiento</t>
  </si>
  <si>
    <t>Servicio 3994, gasolina varias diligencia</t>
  </si>
  <si>
    <t>Poda pasto y mantenimiento de àreas verdes del 9 Y 10 Brian Alexis Rangel</t>
  </si>
  <si>
    <t>Café cobranza 2do domingo, Cadena Comercial Oxxo, S.A. de C.V.</t>
  </si>
  <si>
    <t>Vigilancia, comida para vigilancia 2do. Domingo, Esteban Alejo</t>
  </si>
  <si>
    <t>Recaudación de cuotas 2do  domingo</t>
  </si>
  <si>
    <t>Reparación de podadora, Brian Alexis Rangel Arellano</t>
  </si>
  <si>
    <t>Sueldo 1er quincena como vigilante, Brian Alexis Rangel Arellano</t>
  </si>
  <si>
    <t>Refacciones para podadora,</t>
  </si>
  <si>
    <t>Pago en apoyo cobranza 2do. Domingo, Loth Guzmán Miranda</t>
  </si>
  <si>
    <t>Materiales para reparaciones de casetas, Materiales y Tlapalería La Palma</t>
  </si>
  <si>
    <t>Sueldo 1er quincena como vigilante, Víctor Manuel López Pérez</t>
  </si>
  <si>
    <t>Gratificación en apoyo cobranza por primera quincena sept Helena Osorio</t>
  </si>
  <si>
    <t>Grupo Alguacil Dorado en Seguridad Privada, S.A. de C.V.   1er quincena vigilan</t>
  </si>
  <si>
    <t>Lavado de 7 cobertores de casetas vigilancia, Tintoreria Perc Klin</t>
  </si>
  <si>
    <t>Comida para vigilancia, Esteban Alejo, vigilancia, de 1er  domingo</t>
  </si>
  <si>
    <t xml:space="preserve">Pedro Bazzan, pago por recolecciòn basura entre semana 1er quincena, </t>
  </si>
  <si>
    <t>Recaudaciòn de cobranza 3er domingo</t>
  </si>
  <si>
    <t>Transferencia bancaria Fam. Juarez EZ_5_B paga oct/nov/20 $ 250 por mes</t>
  </si>
  <si>
    <t>Transferencia bancaria Fam. Hernàndez UP_106 paga agosto</t>
  </si>
  <si>
    <t>Transferencia bancaria Fam. Almaguer LD_40 pago ago/sep/20 $ 500 por mes</t>
  </si>
  <si>
    <t>Transferencia bancaria Fam. Cruz ZB_20 paga ago/sep/oct/20 $ 500 por mes</t>
  </si>
  <si>
    <t>Transferencia bancaria Fam. Ugarte LD_76 paga de oct a mar $ 500 por mes</t>
  </si>
  <si>
    <t>Transferencia bancaria Fam. De Los Rios UP_80 paga sep/oct/nov $ 500 por mes</t>
  </si>
  <si>
    <t>Patrulla (Morales ) gratificación por rondines en toda la colonia 3er. Semana</t>
  </si>
  <si>
    <t>Materiales de limpieza para casetas, Comercial City Fresko S. de R.L. de C.V.</t>
  </si>
  <si>
    <t>Soporte para pantalla casetas, Nueva Walmart de Mèxico, S.A. de C.V.</t>
  </si>
  <si>
    <t>Medicina para botiquin, Distribuidora Edifre, S.A. de C.V.</t>
  </si>
  <si>
    <t>Pago por cubrir turno en vigilancia, Víctor Manuel Pérez López</t>
  </si>
  <si>
    <t>Refacciones para podadora, Autozone de México, S. de R.L. de C.V.</t>
  </si>
  <si>
    <t>Pago poda pasto y mantenimiento de áreas verdes, Brian Alexis Rangel Arella</t>
  </si>
  <si>
    <t>Servicio El Hueso, S.A. de C.V. gasolina para podadora</t>
  </si>
  <si>
    <t>Refacciones para podadora, Servicio Alexis</t>
  </si>
  <si>
    <t>Electropura, S. de R.L. de C.V. 1 garrafon de agua casetas</t>
  </si>
  <si>
    <t>Pedro Bazzan, pago por recolección de basura 4 to. domingo</t>
  </si>
  <si>
    <t>Vigilancia, comida para vigilancia 4to domingo</t>
  </si>
  <si>
    <t>Café cobranza 4to. domingo, Cadena Comercial Oxxo, S.A. de C.V.</t>
  </si>
  <si>
    <t>Servicio general a podadora, Juan Carlos Montiel</t>
  </si>
  <si>
    <t>Patrulla (Lázaro) gratificación por rondines en toda la colonia 4tasemana</t>
  </si>
  <si>
    <t>Gratificación por reparación de línea en Upacuaro, C.F.E.</t>
  </si>
  <si>
    <t>Recaudaciòn de cobranza 4to domingo</t>
  </si>
  <si>
    <t>Transferencia bancaria, Fam. Flores UP_95, paga octubre</t>
  </si>
  <si>
    <t>Transferencia bancaria, Fam. Eduardo Cabello EZ_37, paga sep/oct/20</t>
  </si>
  <si>
    <t>Camisa para vigilante Promoprendas</t>
  </si>
  <si>
    <t>Café junta Mesa Directiva, Tradición en pastelerías, S.A. de C.V.</t>
  </si>
  <si>
    <t>Gratificación por reparación de luminarias Upacuaro y Estanzuela, Israel García</t>
  </si>
  <si>
    <t>Lenix Security Alarm, compra de 3 camaras Bullet HP Epcom</t>
  </si>
  <si>
    <t>Lenix Security Alarm,  Servicio CCTV 3 camaras</t>
  </si>
  <si>
    <t>Bobina de cable UTP CAT 8A, Valentin Sebastian Torres Rayón</t>
  </si>
  <si>
    <t>Pago por recolección de basura en todo el fracc. 2da. Quincena, Pedro Bazzan</t>
  </si>
  <si>
    <t>Pan vigilancia, 2da. Quincena</t>
  </si>
  <si>
    <t>Gratificación en apoyo cobranza por segunda quincena de sep. Helena Osorio</t>
  </si>
  <si>
    <t>Pago comisión por pago de telefono, Cadena Comercial Oxxo, S.A. de C.V.</t>
  </si>
  <si>
    <t>Siegrist Contadores Públicos, Pago de honorarios profesionales  Ch. # 297</t>
  </si>
  <si>
    <t>SAT Servicio de Administración Tributaria, Pago reteción IVA Colegio Ch #297</t>
  </si>
  <si>
    <t>Pan vigilancia, 1er.  Quincena</t>
  </si>
  <si>
    <t>1 par de Botas para vigilante, Zapatería Brenda</t>
  </si>
  <si>
    <t>Bulto de cemento para reparación caseta, Materiales y Tlapalería La Palma</t>
  </si>
  <si>
    <t>Poda pasto y mantenimiento de àreas verdes del 1 al 3, Brian Alexis Rangel</t>
  </si>
  <si>
    <t>Servicio El Hueso, S.A. de C.V. gasolina para poda pasto</t>
  </si>
  <si>
    <t xml:space="preserve">Servicio 3994, gasolina varias diligencias </t>
  </si>
  <si>
    <t>Café para mesa de cobranza, cadena comercial Oxxo, S.A. de c.v.</t>
  </si>
  <si>
    <t>Comida para vigilancia, Juan Carlos Montiel, de 1er  domingo</t>
  </si>
  <si>
    <t>Patrulla (Morales) gratificación por rondines en toda la colonia 1er semana</t>
  </si>
  <si>
    <t>Patrulla (Lazáro) gratificación por rondines en toda la colinia 1er semana</t>
  </si>
  <si>
    <t>Grapas para cables de casetas Comercializadora GU-SO, S.A. de C.V.</t>
  </si>
  <si>
    <t>Papelería, Office Depot de México, S.A. de C.V.</t>
  </si>
  <si>
    <t>Estacionamiento compra papelería, Cuemanco</t>
  </si>
  <si>
    <t>Hilo desbrozadora, Comercializadora GU-SO, S.A. de C.V.</t>
  </si>
  <si>
    <t>10 duplicados llaves para puerta peatonal, Israel Galán Quintin</t>
  </si>
  <si>
    <t>Poda de pasto y mantenimiento de áreas verdes del 4 al 6, Alexis Rangel Arell</t>
  </si>
  <si>
    <t xml:space="preserve">Poda de pasto y mantenimiento de áreas verdes del 4 al 6, Eduardo Rivera </t>
  </si>
  <si>
    <t>Café junta directiva, Tradición en Pastelería, S.A. de C.V.</t>
  </si>
  <si>
    <t>Estación de Servicio 3994, gasolina varias diligencias</t>
  </si>
  <si>
    <t>Aceite dos tiempos podadora, Comercializadora GU-SO, S.A. de C.V.</t>
  </si>
  <si>
    <t>Café junta directiva, Tradición en Pastelerías, S.A. de C.V.</t>
  </si>
  <si>
    <t>Telefonos de México, S.A.B. de C.V. pago de telefono septiembre /20</t>
  </si>
  <si>
    <t>Poda pasto y mantenimiento de áreas verdes, Eduardo Rivera Yañez</t>
  </si>
  <si>
    <t>Café para cobranza, Cadena Comercial Oxxo, S.A. de C.V.</t>
  </si>
  <si>
    <t>Pedro Bazzan, pago por recolección de basura 2do domingo</t>
  </si>
  <si>
    <t>Comida para vigilancia, Esteban Alejo, de 2do  domingo</t>
  </si>
  <si>
    <t>Paraguas para mesa de cobranza, Elena Osorio</t>
  </si>
  <si>
    <t xml:space="preserve">Recaudación de cuotas 2do. Domingo </t>
  </si>
  <si>
    <t>Poda pasto y mantenimiento de áreas verdes, Brian Alexis Rangel Arellano</t>
  </si>
  <si>
    <t>Junta Mesa Directiva, Tradición en Pastelerías, S.A. de C.V.</t>
  </si>
  <si>
    <t>Servicio Eje 6, S.A. de C.V. gasolina poda pasto</t>
  </si>
  <si>
    <t>Gratificación especial (finiquito por trabajo como vigilante)Francisco Domíngu</t>
  </si>
  <si>
    <t>Pago 1ra quincena como vigilante y finiquito,, Alexis Rangel Arellano</t>
  </si>
  <si>
    <t xml:space="preserve">Grupo Alguacil Dorado en Seguridad Privada, S.A. de C.V. a/c  1er quincena </t>
  </si>
  <si>
    <t xml:space="preserve">Grupo Alguacil Dorado en Seguridad Privada, S.A. de C.V.  Liq 1er quincena </t>
  </si>
  <si>
    <t>Lenix Security Alarm, Ballon HR Epcom para CCTV</t>
  </si>
  <si>
    <t>Pedro Bazzan, pago por recolección de basura 3er domingo</t>
  </si>
  <si>
    <t>Comida para vigilancia, Juan Carlos, de 3er  domingo</t>
  </si>
  <si>
    <t>Café para cobranza, Tradición en Pastelería, S.A. de C.V.</t>
  </si>
  <si>
    <t>Empanadas Mesa de Cobranza, Fabiola</t>
  </si>
  <si>
    <t xml:space="preserve">Recaudación de cuotas 3er. Domingo </t>
  </si>
  <si>
    <t>Patrulla (Morales) gratificación por rondines en toda la colonia 2da semana</t>
  </si>
  <si>
    <t>Compra tiempo aire para jefe de turno Juan Carlos de vigilancia, Telcel</t>
  </si>
  <si>
    <t>Patrulla (Lazáro) gratificación por rondines en toda la colonia 3er semana</t>
  </si>
  <si>
    <t>Sueldo 2da quincena como vigilante, Alexis Rangel Arellano</t>
  </si>
  <si>
    <t>Lenix Security Alarm, Servicio CCTV. Recuperación de video</t>
  </si>
  <si>
    <t>Electropura, S. de R.L. de C.V. 1 garrafones de agua</t>
  </si>
  <si>
    <t>Pago en apoyo cobranza 4to domingo, Gloria Mazzón Soto</t>
  </si>
  <si>
    <t>Transferencia bancaria Colegio Carmel pago mes de Octubre cheq. #633</t>
  </si>
  <si>
    <t>Siegrist Contadores Públicos, Pago de honorarios profesionales  Ch. # 300</t>
  </si>
  <si>
    <t>SAT Servicio de Administración Tributaria, Pago reteción IVA Colegio Ch #300</t>
  </si>
  <si>
    <t>Transferencia bancaria Fam. Cabello EZ_37 paga nov/dic/20 $500 por mes</t>
  </si>
  <si>
    <t>Transferencia bancaria Fam. Aguirre UP_15 paga de enero a dic. $ 500 por mes</t>
  </si>
  <si>
    <t>Transferencia bancaria Fam. Fuentes UP_46 paga octubre</t>
  </si>
  <si>
    <t>Transferencia bancaria Fam. Vega CL_29 paga octubre</t>
  </si>
  <si>
    <t>Transferencia bancaria Fam. Hernández LD_2_2 paga octubre</t>
  </si>
  <si>
    <t xml:space="preserve">Transferencia bancaria Fam. Dominguez CL_110 pago sep/oct/nov/20 </t>
  </si>
  <si>
    <t>Lavado de 10 cobertores vigilancia, Tintoreria Perc Klin</t>
  </si>
  <si>
    <t>Electropura, S. de R.L. de C.V.  3 garrafones</t>
  </si>
  <si>
    <t>Pago vigilancia 2da. Quincena, Vìctor Manuel Lòpez Pèrez</t>
  </si>
  <si>
    <t>Reparaciòn de bicicleta, Marcos Berumen</t>
  </si>
  <si>
    <t>Poda pasto y mantenimiento de áreas verdes, Juan Carlos Montiel</t>
  </si>
  <si>
    <t>Pago por cubrir turnos, Juan Carlos Montiel</t>
  </si>
  <si>
    <t>30 mts. Cable para reparación luz caseta, Materiales y Tlapalería La Palma</t>
  </si>
  <si>
    <t>Pago por reparación luz en caseta, Electricista</t>
  </si>
  <si>
    <t>Pago por supervisión de reparación luz, Juan Carlos Montiel</t>
  </si>
  <si>
    <t>Recibo 23333 de Fam. Sanchez pago sep/oct/20 $ 250 por mes</t>
  </si>
  <si>
    <t>Cierre de cuenta bancaria</t>
  </si>
  <si>
    <t>Efectivo en caja de cuenta bancaria</t>
  </si>
  <si>
    <t>Servicio del Hueso, S.A. de C.V. gasolina poda pasto</t>
  </si>
  <si>
    <t>Pago por barrer banquetas 2da. Quincena de octubre, Roberto Miranda</t>
  </si>
  <si>
    <t>Comida vigilancia 1er domingo, Juan Carlos Montiel</t>
  </si>
  <si>
    <t>Reparación de la entrada caseta Romeral</t>
  </si>
  <si>
    <t>Recaudaciòn de cuotas 1er domingo</t>
  </si>
  <si>
    <t>Lenix Security Alarm, recuperación de 2 videos</t>
  </si>
  <si>
    <t>Apoyo para compra de medicamentos, Esteban Alejo Hernàndez</t>
  </si>
  <si>
    <t>No Break Koblenz para casetas, Best Buy Stores, S. de R.L. de C.V.</t>
  </si>
  <si>
    <t>Pan para vigilancia, Tradiciòn en Pastelerìas, S.A. de C.V.</t>
  </si>
  <si>
    <t>Estaciòn de Servicio 3994, gasolina para poda pasto parque</t>
  </si>
  <si>
    <t>apoyo para compra de medicamentos, Esteban Alejo Hernàndez</t>
  </si>
  <si>
    <t>Banorte, importe total de depositos</t>
  </si>
  <si>
    <t>Patrulla (Gustavo) gratificación por rondines en toda la colonia 1er semana</t>
  </si>
  <si>
    <t>Revisión y reconexión de instalación eléctrica caseta EP, Gabriel Avila Hndez.</t>
  </si>
  <si>
    <t>Pedro Bazzan, pago por recolecciòn de basura en fin de sanama, 2da.</t>
  </si>
  <si>
    <t>Comida vigilancia 2do domingo, Esteban Alejo Hernández</t>
  </si>
  <si>
    <t>Telefonos de México, S.A.B. de C.V. pago de telefono  octubre/20</t>
  </si>
  <si>
    <t>Compra de disco duro para DVR, 1 eliminador y servicio a camaras, Gabriel Avil</t>
  </si>
  <si>
    <t>Electropura, S. de R.L. de C.V. 3 garrafones para casetas</t>
  </si>
  <si>
    <t>Pantallas para varias casetas, Nueva Wal Mart de México, S. de R.L. de C.V.</t>
  </si>
  <si>
    <t>Poda pasto y mantenimiento de àreas verdes del 2 al 8, Eduardo Rivera Yañez</t>
  </si>
  <si>
    <t>Pago por cubrir turno de vigilancia, Esteban Alejo Hernández</t>
  </si>
  <si>
    <t>Cable para monitores, Aldan Electronica, S.A. de C.V.</t>
  </si>
  <si>
    <t>Gel antibacterial, Sifar, S.A. de C.V.</t>
  </si>
  <si>
    <t xml:space="preserve">Pago por cubrir turno de vigilancia, Hilario Sebastian Franco </t>
  </si>
  <si>
    <t>Materiales para arreglo de monitores en casetas, Home Depot México, S. de R.</t>
  </si>
  <si>
    <t>Pedro Bazzan, pago por recolección de basura fin de semana, 3er domingo</t>
  </si>
  <si>
    <t>Comida para vigilncia 3er domingo, Juan Carlos Montiel</t>
  </si>
  <si>
    <t>Pan para vigilancia, 1er quincena</t>
  </si>
  <si>
    <t>Café para mesa de cobranza, Tradición en Pastelería, S.A. de C.V.</t>
  </si>
  <si>
    <t>Pago por vigilancia 1er quincena de noviembre, Víctor Manuel López Pérez</t>
  </si>
  <si>
    <t>Pago por cubri turno en vigilancia, Esteban Alejo Hernández</t>
  </si>
  <si>
    <t>Pago por vigilancia 1er quincena de noviembre, Brian Alexis Rangel Arellano</t>
  </si>
  <si>
    <t>Pago poda pasto y manteniminento de áreas verdes, Eduardo Rivera Yañez</t>
  </si>
  <si>
    <t>2,200 recibos de cobranza vecinos, Directo a Placa</t>
  </si>
  <si>
    <t>Electropura, S. de R.L. de C.V. 2 garrafones para casetas</t>
  </si>
  <si>
    <t xml:space="preserve">Siegrist Contadores Públicos, Pago de honorarios profesionales </t>
  </si>
  <si>
    <t>Reparación e instalación eléctrica y cableado en caseta EP y reparación de lum</t>
  </si>
  <si>
    <t>Reparación de dos luminarias en RM y UP, Israel García</t>
  </si>
  <si>
    <t>Pedro Bazzan, pago por recolección de basura 4to domingo</t>
  </si>
  <si>
    <t>Servicio de mantenimiento a camaras de caseta EP y ZB, Gabriel Avila Hndez.</t>
  </si>
  <si>
    <t>Comida para vigilncia 4to. domingo, Esteban Alejo Hernàndez</t>
  </si>
  <si>
    <t>Bolsas para basura, Bolsas y Desechables del Sur.</t>
  </si>
  <si>
    <t>Pago por cubrir turno de vigilancia del 16 al 18 de noviembre, Víctor M. López</t>
  </si>
  <si>
    <t>Lenix Security Alarm, servicio a camaras y compra de 1 transformador</t>
  </si>
  <si>
    <t>Café para mesa directiva, Tradición en Pastelería, S.A. de C.V.</t>
  </si>
  <si>
    <t>1 Par de botas para vigilancia, Zapatería Leo</t>
  </si>
  <si>
    <t>1 Arreglo floral para miembro de mesa directiva, Florería Alicia</t>
  </si>
  <si>
    <t>Estacionamiento varias compras, Ranver, S.A. de C.V.</t>
  </si>
  <si>
    <t>Materiales para limpieza casetas, Esteban Alejó Hernández</t>
  </si>
  <si>
    <t>Material para acceso de caseta Zinampa, Juan Carlos Montiel</t>
  </si>
  <si>
    <t>1000 Marbetes vehiculares, Directo a Placa</t>
  </si>
  <si>
    <t>Ibushak, S.A. de C.V., compra de 1 pantalla para casetas</t>
  </si>
  <si>
    <t>Ibushak, S.A. de C.V., pago de envio de pantalla</t>
  </si>
  <si>
    <t>Comida para vigilncia 5to. domingo, Juan Carlos Montiel</t>
  </si>
  <si>
    <t>Poda de árboles, Eduardo Rivera Yañez</t>
  </si>
  <si>
    <t>Pago de vigilancia 2da. Quincena de noviembre, Brian Alexis Rangel Arellano</t>
  </si>
  <si>
    <t>Pago por cubrir turno, Hilario Sebastian Franco</t>
  </si>
  <si>
    <t>Patrulla (Morales) gratificación por rondines en toda la colonia 5ta semana</t>
  </si>
  <si>
    <t>Gratificación por barrer todo el frac. 2da quincena, Roberto Miranda</t>
  </si>
  <si>
    <t xml:space="preserve">Pago en apoyo de cobranza 5to domingo, Gloria Mazzón </t>
  </si>
  <si>
    <t>Grupo Alguacil Dorado en Seguridad Privada, S.A. de C.V.   2da quincena</t>
  </si>
  <si>
    <t>Grupo Alguacil Dorado en Seguridad Privada, S.A. de C.V.  Pago mant. Colegio</t>
  </si>
  <si>
    <t>Compensación por organización administrativa del fracc. Lic. Olivia Villaneda</t>
  </si>
  <si>
    <t>Lenix Security Alarm, servicio de camaras</t>
  </si>
  <si>
    <t>Lenix Security Alarm, compra de 1 camara 5 mp alta resolución</t>
  </si>
  <si>
    <t>Gratificación en apoyo cobranza por segunda quincena de nov. Helena Osorio</t>
  </si>
  <si>
    <t>Gratificación en apoyo cobranza por segunda quincena de oct. Helena Osorio</t>
  </si>
  <si>
    <t>Reparación e instalación eléctrica y cableado en acceso ZB, Gabriel Avila Hndez</t>
  </si>
  <si>
    <t>Recaudación de cuotas 5ta semana</t>
  </si>
  <si>
    <t xml:space="preserve">Pago mantenimiento mes de noviembre ,  Colegio Carmel </t>
  </si>
  <si>
    <t>Ranver, S.A. de C.V. estacionamiento compra de No Break</t>
  </si>
  <si>
    <t>Pedro Bazzan, pago por recolecciòn de basura en fin de semana, 1ra.</t>
  </si>
  <si>
    <t>Pago por barrer banquetas 1er quincena de noviembre, Roberto Miranda</t>
  </si>
  <si>
    <t>Pago por recolección de basura 1er quincena noviembre, Pedro Bazzan</t>
  </si>
  <si>
    <t>Gratificación en apoyo cobranza por primera quincena octubre, Helena Osorio</t>
  </si>
  <si>
    <t xml:space="preserve">Grupo Alguacil Dorado en Seguridad Privada, S.A. de C.V. pago 1er quincena </t>
  </si>
  <si>
    <t>Sistemas y Cómputo, pago por configuración alta y baja de tarjetas electrónica</t>
  </si>
  <si>
    <t>Pedro Bazzan, pago por recolección de basura en fin de semana 4to domingo</t>
  </si>
  <si>
    <t>Pago de mantenimiento a cámaras de caseta Zinamapa, Gabriel Avila Hndez.</t>
  </si>
  <si>
    <t>Patrulla (Lázaro)  gratificación por rondines en toda la colonia 1er semana</t>
  </si>
  <si>
    <t xml:space="preserve">Compra de 3 alcancias para vigilancia, </t>
  </si>
  <si>
    <t>Electropura, S. de R.L. de C.V. 4 garrafones para casetas</t>
  </si>
  <si>
    <t>Reparación de instalación eléctrica en caseta Zinampa, Gabriel Ávila Hndez</t>
  </si>
  <si>
    <t>Cinta de aislar para instalación eléctrica caseta ZB, Materiales y Tlapalaería La</t>
  </si>
  <si>
    <t>Café para mesa de cobranza , Tradiciòn en Pastelerìas, S.A. de C.V.</t>
  </si>
  <si>
    <t>Comida vigilancia 1er domingo, Esteban Alejo Hernández</t>
  </si>
  <si>
    <t>Papelería, mesa directiva</t>
  </si>
  <si>
    <t>Recaudación de cobranza 1er domingo</t>
  </si>
  <si>
    <t>Telefonos de México, S.A.B. de C.V. pago de telefono  noviembre/20</t>
  </si>
  <si>
    <t>Café para casetas, Nueva Walmart de México, S.A. de C.V.</t>
  </si>
  <si>
    <t>Material de limpieza para casetas, Nueva Walmart de México, S.A. de C.V.</t>
  </si>
  <si>
    <t>Pintura para señalamientos en fraccionamiento, Comex</t>
  </si>
  <si>
    <t>Herramienta para fraccionamiento Focos y Siste de Alumbrado, S.A. de C.V.</t>
  </si>
  <si>
    <t>Lenix Security Alarm, 3 camaras Bullet Epcom HD 5 MP, para fraccionaiento</t>
  </si>
  <si>
    <t>10 duplicados  de llaves puertas acceso peatonal, Israel Galán Quintin</t>
  </si>
  <si>
    <t>Istalación eléctrica subterránea para acceso Zinampa, Gabril Avila Hernández</t>
  </si>
  <si>
    <t>Café para mesa de cobranza y vigilancia, Cadena Comercial Oxxo, S.A. de C.V.</t>
  </si>
  <si>
    <t>Comida vigilancia 2do domingo, Juan Carlos Montiel</t>
  </si>
  <si>
    <t>Patrulla (Molares) gratificación por rondines en todo el fracc, 2da semana</t>
  </si>
  <si>
    <t>700 copias informe, Papelería Omega</t>
  </si>
  <si>
    <t>Pan para vigilancia, Tradición en Pastelerías, S.A. de C.V.</t>
  </si>
  <si>
    <t>Patrulla (Lázaro) gratificación por rondines en todo el fracc, 2da semana</t>
  </si>
  <si>
    <t>Limpia azulejo, Comex</t>
  </si>
  <si>
    <t>Pago como vigilante 1er quincena, Abuyani Noé González</t>
  </si>
  <si>
    <t>Pago como vigilante 1er quincena, Brian Alexis Rangel Arellano</t>
  </si>
  <si>
    <t>Configuración de alta y baja de tarjetas electrónicas</t>
  </si>
  <si>
    <t>Compra de arena y cemento para reparación de caseta Zinampa, Juan C. Monti</t>
  </si>
  <si>
    <t xml:space="preserve">Compra de machete, material para el fracc. Comercializadora GU-SO, S.A. de </t>
  </si>
  <si>
    <t>Lenix Security Alarm, transformador 12 V 2A</t>
  </si>
  <si>
    <t>Lenix Security Alarm, Servicio de mano de obra colocaciòn transformador</t>
  </si>
  <si>
    <t>Lenix Security Alarm, servicio de mano de obra por colocación de 3 camaras</t>
  </si>
  <si>
    <t>Poda de àrboles y mantenimineto àreas verdes, Brian Alexis Rangel Arellano</t>
  </si>
  <si>
    <t>Poda de àrboles y mantenimiento àreas verdes, Eduardo Rivera Yañez</t>
  </si>
  <si>
    <t>Electropura, S. de R.L. de C.V. 2 garrafones de agua para casetas</t>
  </si>
  <si>
    <t>Cambio y arreglo de luminarias, Israel Garcìa</t>
  </si>
  <si>
    <t>Recaudaciòn de cuotas 3er domingo</t>
  </si>
  <si>
    <t>Cafè para mesa de cobranza, Cadena Comercial Oxxo, S.A. de C.V.</t>
  </si>
  <si>
    <t>Pedro Bazzan, pago por recolecciòn de basura en fin de sanama, 3er. Domingo</t>
  </si>
  <si>
    <t>Comida vigilancia 3er domingo, Esteban Alejo Hernandez</t>
  </si>
  <si>
    <t>Patrulla (Molares) gratificación por rondines en todo el fracc. 3er.  semana</t>
  </si>
  <si>
    <t>Patrulla (Lazaro) gratificaciòn por rondines en todo el fracc. 3er semana</t>
  </si>
  <si>
    <t>Pintura y materiales para pintar àreas en fraccionamiento, Comex</t>
  </si>
  <si>
    <t>Materiales para pintar àreas en fraccionamiento, Comex</t>
  </si>
  <si>
    <t>Lenix Security Alarm, Servicio a CCTV</t>
  </si>
  <si>
    <t>Electropura, S. de R.L. 2 garrafones de agua para casetas</t>
  </si>
  <si>
    <t>Cena navidad para vigilancia, Tiendas Chedraui, S.A. de C.V.</t>
  </si>
  <si>
    <t>Pintura y materiales para pintar àreas en fracc. Home Depot Mèxico, S. de R.L.</t>
  </si>
  <si>
    <t>Recaudaciòn de cuotas 4 to. domingo</t>
  </si>
  <si>
    <t>Herramientas y materiales para fraccionamiento, Tlapaleria La Virgen</t>
  </si>
  <si>
    <t>Materiales para pintar àreas en fraccionamiento, Home Depto México, S. de R.</t>
  </si>
  <si>
    <t>Materiales para pintar áreas en fraccionamiento, Home Depto México, S. de R.</t>
  </si>
  <si>
    <t>Materiales para pintar áreas en fraccionamiento, Comex</t>
  </si>
  <si>
    <t xml:space="preserve">Consulta Medica, </t>
  </si>
  <si>
    <t xml:space="preserve">Poda de pasto, Brian Alexis Rangel Arellano </t>
  </si>
  <si>
    <t>Reparación de bicicleta y refacciones, Brian Alexis Rangel Arellano</t>
  </si>
  <si>
    <t>Papelería, Abastecedora Lumen, S.A. de C.V.</t>
  </si>
  <si>
    <t>Reparación de pluma vehicular caseta Romeral, Luis Hernández Maya</t>
  </si>
  <si>
    <t>Gratificación en apoyo cobranza por 2da quincena octubre, Helena Osorio</t>
  </si>
  <si>
    <t>Pago de vigilancia 2da quincena, 1 y 2 de enero 2021, Brian Alexis Rangel A</t>
  </si>
  <si>
    <t>Pago de vigilancia del 19 al 23 de diciembre, Leonel Moreno Sandoval</t>
  </si>
  <si>
    <t>Pago en apoyo de cobranza, Gloria Mazzón Soto</t>
  </si>
  <si>
    <t>Mano de obra por pintar topes, banquetas y andador parque, Santos Arellano</t>
  </si>
  <si>
    <t xml:space="preserve">Vigilancia, cena fin de año </t>
  </si>
  <si>
    <t>Gratificación estraordinara anual aguinaldo, vigilancia</t>
  </si>
  <si>
    <t>Office 2019, licencia office para laptop de Mesa directiva (sistema de tarjetas)</t>
  </si>
  <si>
    <t>Pago de vigilancia por cubrir turnos de diciembre, Leonel Moreno Sandoval</t>
  </si>
  <si>
    <t>31/11/2020</t>
  </si>
  <si>
    <t>Pago por pintar topes y señalamientos de acceso peatona, Esteban Alejo Hndez</t>
  </si>
  <si>
    <t>Lenix Security Alarm, 1 DVR Epcom HD 5 MP y 3 cámaras Bullet Epcom HD</t>
  </si>
  <si>
    <t>Comida vigilancia 4 to. domingo, Esteban Alejó Hernández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</si>
</sst>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* #,##0.00_-;\-&quot;$&quot;* #,##0.00_-;_-&quot;$&quot;* &quot;-&quot;??_-;_-@_-"/>
    <numFmt numFmtId="164" formatCode="#,##0.00;[Red]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4" fontId="2" fillId="0" borderId="0" applyFont="0" applyFill="0" applyBorder="0" applyAlignment="0" applyProtection="0"/>
  </cellStyleXfs>
  <cellXfs count="94">
    <xf numFmtId="0" fontId="0" fillId="0" borderId="0" xfId="0"/>
    <xf numFmtId="4" fontId="0" fillId="0" borderId="0" xfId="0" applyNumberFormat="1"/>
    <xf numFmtId="4" fontId="1" fillId="0" borderId="8" xfId="0" applyNumberFormat="1" applyFont="1" applyBorder="1"/>
    <xf numFmtId="4" fontId="1" fillId="0" borderId="4" xfId="0" applyNumberFormat="1" applyFont="1" applyBorder="1"/>
    <xf numFmtId="0" fontId="0" fillId="2" borderId="0" xfId="0" applyFill="1"/>
    <xf numFmtId="164" fontId="0" fillId="0" borderId="0" xfId="0" applyNumberFormat="1"/>
    <xf numFmtId="0" fontId="0" fillId="0" borderId="0" xfId="0" applyFill="1"/>
    <xf numFmtId="0" fontId="4" fillId="0" borderId="0" xfId="0" applyFont="1"/>
    <xf numFmtId="49" fontId="3" fillId="0" borderId="4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6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4" fontId="4" fillId="0" borderId="5" xfId="0" applyNumberFormat="1" applyFont="1" applyBorder="1" applyAlignment="1">
      <alignment horizontal="right"/>
    </xf>
    <xf numFmtId="4" fontId="4" fillId="0" borderId="13" xfId="0" applyNumberFormat="1" applyFont="1" applyBorder="1" applyAlignment="1">
      <alignment horizontal="right"/>
    </xf>
    <xf numFmtId="4" fontId="3" fillId="0" borderId="5" xfId="0" applyNumberFormat="1" applyFont="1" applyBorder="1" applyAlignment="1">
      <alignment horizontal="right"/>
    </xf>
    <xf numFmtId="0" fontId="4" fillId="0" borderId="4" xfId="0" applyFont="1" applyBorder="1" applyAlignment="1">
      <alignment horizontal="left"/>
    </xf>
    <xf numFmtId="4" fontId="4" fillId="0" borderId="4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4" fontId="4" fillId="0" borderId="4" xfId="0" applyNumberFormat="1" applyFont="1" applyBorder="1"/>
    <xf numFmtId="0" fontId="4" fillId="0" borderId="4" xfId="0" applyFont="1" applyBorder="1"/>
    <xf numFmtId="14" fontId="4" fillId="0" borderId="4" xfId="0" applyNumberFormat="1" applyFont="1" applyBorder="1" applyAlignment="1">
      <alignment horizontal="center"/>
    </xf>
    <xf numFmtId="4" fontId="4" fillId="0" borderId="4" xfId="0" applyNumberFormat="1" applyFont="1" applyFill="1" applyBorder="1" applyAlignment="1">
      <alignment horizontal="right"/>
    </xf>
    <xf numFmtId="0" fontId="4" fillId="0" borderId="4" xfId="0" applyFont="1" applyFill="1" applyBorder="1" applyAlignment="1">
      <alignment horizontal="left"/>
    </xf>
    <xf numFmtId="14" fontId="4" fillId="0" borderId="1" xfId="0" applyNumberFormat="1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4" fontId="3" fillId="0" borderId="8" xfId="0" applyNumberFormat="1" applyFont="1" applyBorder="1" applyAlignment="1">
      <alignment horizontal="right"/>
    </xf>
    <xf numFmtId="4" fontId="3" fillId="0" borderId="3" xfId="0" applyNumberFormat="1" applyFont="1" applyBorder="1" applyAlignment="1">
      <alignment horizontal="right"/>
    </xf>
    <xf numFmtId="4" fontId="5" fillId="0" borderId="8" xfId="0" applyNumberFormat="1" applyFont="1" applyBorder="1" applyAlignment="1">
      <alignment horizontal="right"/>
    </xf>
    <xf numFmtId="4" fontId="6" fillId="0" borderId="8" xfId="0" applyNumberFormat="1" applyFont="1" applyBorder="1" applyAlignment="1">
      <alignment horizontal="right"/>
    </xf>
    <xf numFmtId="4" fontId="3" fillId="0" borderId="8" xfId="0" applyNumberFormat="1" applyFont="1" applyBorder="1"/>
    <xf numFmtId="15" fontId="4" fillId="0" borderId="9" xfId="0" applyNumberFormat="1" applyFont="1" applyFill="1" applyBorder="1" applyAlignment="1">
      <alignment vertical="center"/>
    </xf>
    <xf numFmtId="15" fontId="4" fillId="0" borderId="4" xfId="0" applyNumberFormat="1" applyFont="1" applyFill="1" applyBorder="1" applyAlignment="1">
      <alignment vertical="center"/>
    </xf>
    <xf numFmtId="4" fontId="4" fillId="0" borderId="4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right"/>
    </xf>
    <xf numFmtId="4" fontId="3" fillId="0" borderId="5" xfId="0" applyNumberFormat="1" applyFont="1" applyBorder="1"/>
    <xf numFmtId="4" fontId="4" fillId="0" borderId="8" xfId="0" applyNumberFormat="1" applyFont="1" applyBorder="1" applyAlignment="1">
      <alignment horizontal="right"/>
    </xf>
    <xf numFmtId="17" fontId="3" fillId="0" borderId="0" xfId="0" applyNumberFormat="1" applyFont="1" applyAlignment="1">
      <alignment horizontal="center"/>
    </xf>
    <xf numFmtId="0" fontId="4" fillId="0" borderId="14" xfId="0" applyFont="1" applyBorder="1" applyAlignment="1">
      <alignment horizontal="left"/>
    </xf>
    <xf numFmtId="0" fontId="4" fillId="0" borderId="4" xfId="0" applyFont="1" applyFill="1" applyBorder="1"/>
    <xf numFmtId="14" fontId="4" fillId="0" borderId="4" xfId="0" applyNumberFormat="1" applyFont="1" applyFill="1" applyBorder="1" applyAlignment="1">
      <alignment horizontal="center" vertical="center"/>
    </xf>
    <xf numFmtId="15" fontId="4" fillId="0" borderId="5" xfId="0" applyNumberFormat="1" applyFont="1" applyFill="1" applyBorder="1" applyAlignment="1">
      <alignment vertical="center"/>
    </xf>
    <xf numFmtId="14" fontId="4" fillId="0" borderId="11" xfId="0" applyNumberFormat="1" applyFont="1" applyFill="1" applyBorder="1" applyAlignment="1">
      <alignment horizontal="center" vertical="center"/>
    </xf>
    <xf numFmtId="14" fontId="4" fillId="0" borderId="10" xfId="0" applyNumberFormat="1" applyFont="1" applyBorder="1" applyAlignment="1">
      <alignment horizontal="center" vertical="center"/>
    </xf>
    <xf numFmtId="14" fontId="4" fillId="0" borderId="10" xfId="0" applyNumberFormat="1" applyFont="1" applyFill="1" applyBorder="1" applyAlignment="1">
      <alignment horizontal="center" vertical="center"/>
    </xf>
    <xf numFmtId="14" fontId="4" fillId="0" borderId="5" xfId="0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4" fillId="0" borderId="7" xfId="0" applyNumberFormat="1" applyFont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4" fontId="4" fillId="2" borderId="4" xfId="0" applyNumberFormat="1" applyFont="1" applyFill="1" applyBorder="1" applyAlignment="1">
      <alignment horizontal="right"/>
    </xf>
    <xf numFmtId="0" fontId="4" fillId="0" borderId="4" xfId="0" applyFont="1" applyBorder="1" applyAlignment="1"/>
    <xf numFmtId="4" fontId="4" fillId="0" borderId="5" xfId="0" applyNumberFormat="1" applyFont="1" applyBorder="1"/>
    <xf numFmtId="0" fontId="3" fillId="2" borderId="1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4" fillId="2" borderId="5" xfId="0" applyNumberFormat="1" applyFont="1" applyFill="1" applyBorder="1" applyAlignment="1">
      <alignment horizontal="center"/>
    </xf>
    <xf numFmtId="14" fontId="4" fillId="2" borderId="4" xfId="0" applyNumberFormat="1" applyFont="1" applyFill="1" applyBorder="1" applyAlignment="1">
      <alignment horizontal="center"/>
    </xf>
    <xf numFmtId="0" fontId="4" fillId="0" borderId="5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4" fontId="5" fillId="0" borderId="8" xfId="0" applyNumberFormat="1" applyFont="1" applyBorder="1" applyAlignment="1">
      <alignment horizontal="center"/>
    </xf>
    <xf numFmtId="14" fontId="4" fillId="2" borderId="8" xfId="0" applyNumberFormat="1" applyFont="1" applyFill="1" applyBorder="1" applyAlignment="1">
      <alignment horizontal="center"/>
    </xf>
    <xf numFmtId="4" fontId="4" fillId="0" borderId="4" xfId="0" applyNumberFormat="1" applyFont="1" applyBorder="1" applyAlignment="1"/>
    <xf numFmtId="0" fontId="4" fillId="2" borderId="0" xfId="0" applyFont="1" applyFill="1"/>
    <xf numFmtId="14" fontId="3" fillId="0" borderId="5" xfId="0" applyNumberFormat="1" applyFont="1" applyBorder="1" applyAlignment="1">
      <alignment horizontal="center"/>
    </xf>
    <xf numFmtId="4" fontId="3" fillId="0" borderId="4" xfId="0" applyNumberFormat="1" applyFont="1" applyBorder="1"/>
    <xf numFmtId="14" fontId="3" fillId="2" borderId="5" xfId="0" applyNumberFormat="1" applyFont="1" applyFill="1" applyBorder="1" applyAlignment="1">
      <alignment horizontal="center"/>
    </xf>
    <xf numFmtId="0" fontId="4" fillId="0" borderId="4" xfId="0" applyFont="1" applyFill="1" applyBorder="1" applyAlignment="1"/>
    <xf numFmtId="14" fontId="0" fillId="0" borderId="0" xfId="0" applyNumberFormat="1"/>
    <xf numFmtId="15" fontId="4" fillId="0" borderId="18" xfId="0" applyNumberFormat="1" applyFont="1" applyFill="1" applyBorder="1" applyAlignment="1">
      <alignment vertical="center"/>
    </xf>
    <xf numFmtId="14" fontId="4" fillId="0" borderId="7" xfId="0" applyNumberFormat="1" applyFont="1" applyFill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4" fontId="3" fillId="0" borderId="0" xfId="0" applyNumberFormat="1" applyFont="1" applyBorder="1" applyAlignment="1">
      <alignment horizontal="right"/>
    </xf>
    <xf numFmtId="4" fontId="5" fillId="0" borderId="0" xfId="0" applyNumberFormat="1" applyFont="1" applyBorder="1" applyAlignment="1">
      <alignment horizontal="right"/>
    </xf>
    <xf numFmtId="4" fontId="6" fillId="0" borderId="0" xfId="0" applyNumberFormat="1" applyFont="1" applyBorder="1" applyAlignment="1">
      <alignment horizontal="right"/>
    </xf>
    <xf numFmtId="4" fontId="4" fillId="0" borderId="0" xfId="0" applyNumberFormat="1" applyFont="1" applyBorder="1"/>
    <xf numFmtId="4" fontId="4" fillId="0" borderId="18" xfId="0" applyNumberFormat="1" applyFont="1" applyBorder="1"/>
    <xf numFmtId="4" fontId="4" fillId="0" borderId="7" xfId="0" applyNumberFormat="1" applyFont="1" applyBorder="1"/>
    <xf numFmtId="4" fontId="4" fillId="0" borderId="4" xfId="0" applyNumberFormat="1" applyFont="1" applyFill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4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15" fontId="3" fillId="0" borderId="12" xfId="0" applyNumberFormat="1" applyFont="1" applyFill="1" applyBorder="1" applyAlignment="1">
      <alignment horizontal="center" vertical="center"/>
    </xf>
    <xf numFmtId="14" fontId="4" fillId="0" borderId="4" xfId="0" applyNumberFormat="1" applyFont="1" applyBorder="1" applyAlignment="1">
      <alignment horizontal="left"/>
    </xf>
    <xf numFmtId="0" fontId="0" fillId="0" borderId="0" xfId="0" applyAlignment="1">
      <alignment horizontal="center"/>
    </xf>
  </cellXfs>
  <cellStyles count="3">
    <cellStyle name="Moned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B1:L123"/>
  <sheetViews>
    <sheetView zoomScale="80" zoomScaleNormal="80" workbookViewId="0">
      <pane ySplit="3" topLeftCell="A4" activePane="bottomLeft" state="frozen"/>
      <selection pane="bottomLeft" activeCell="C4" sqref="C4"/>
    </sheetView>
  </sheetViews>
  <sheetFormatPr baseColWidth="10" defaultRowHeight="15" x14ac:dyDescent="0.25"/>
  <cols>
    <col min="1" max="1" width="2.140625" customWidth="1"/>
    <col min="2" max="2" width="13.7109375" customWidth="1"/>
    <col min="3" max="3" width="85.28515625" customWidth="1"/>
    <col min="4" max="10" width="13" customWidth="1"/>
    <col min="11" max="11" width="12.7109375" customWidth="1"/>
  </cols>
  <sheetData>
    <row r="1" spans="2:11" ht="19.5" thickBot="1" x14ac:dyDescent="0.35">
      <c r="B1" s="44"/>
      <c r="C1" s="8" t="s">
        <v>10</v>
      </c>
      <c r="D1" s="7"/>
      <c r="E1" s="7"/>
      <c r="F1" s="7"/>
      <c r="G1" s="7"/>
      <c r="H1" s="7"/>
      <c r="I1" s="7"/>
      <c r="J1" s="7"/>
      <c r="K1" s="7"/>
    </row>
    <row r="2" spans="2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1">
        <v>43830</v>
      </c>
      <c r="C4" s="14" t="s">
        <v>11</v>
      </c>
      <c r="D4" s="15"/>
      <c r="E4" s="16"/>
      <c r="F4" s="16"/>
      <c r="G4" s="16"/>
      <c r="H4" s="17"/>
      <c r="I4" s="18"/>
      <c r="J4" s="72">
        <v>28487</v>
      </c>
      <c r="K4" s="42">
        <v>17740.14</v>
      </c>
    </row>
    <row r="5" spans="2:11" ht="18.75" x14ac:dyDescent="0.3">
      <c r="B5" s="13">
        <v>43831</v>
      </c>
      <c r="C5" s="45" t="s">
        <v>32</v>
      </c>
      <c r="D5" s="15"/>
      <c r="E5" s="16"/>
      <c r="F5" s="16"/>
      <c r="G5" s="16"/>
      <c r="H5" s="17">
        <v>99</v>
      </c>
      <c r="I5" s="18"/>
      <c r="J5" s="23">
        <f>+J4+E5-G5</f>
        <v>28487</v>
      </c>
      <c r="K5" s="23">
        <f>+K4+D5-H5</f>
        <v>17641.14</v>
      </c>
    </row>
    <row r="6" spans="2:11" ht="18.75" x14ac:dyDescent="0.3">
      <c r="B6" s="13">
        <v>43832</v>
      </c>
      <c r="C6" s="20" t="s">
        <v>33</v>
      </c>
      <c r="D6" s="37"/>
      <c r="E6" s="21"/>
      <c r="F6" s="21"/>
      <c r="G6" s="21"/>
      <c r="H6" s="21">
        <v>950</v>
      </c>
      <c r="I6" s="22"/>
      <c r="J6" s="23">
        <f t="shared" ref="J6:J44" si="0">+J5+E6-G6</f>
        <v>28487</v>
      </c>
      <c r="K6" s="23">
        <f t="shared" ref="K6:K44" si="1">+K5+D6-H6</f>
        <v>16691.14</v>
      </c>
    </row>
    <row r="7" spans="2:11" ht="18.75" x14ac:dyDescent="0.3">
      <c r="B7" s="25">
        <v>43834</v>
      </c>
      <c r="C7" s="24" t="s">
        <v>34</v>
      </c>
      <c r="D7" s="37"/>
      <c r="E7" s="26">
        <v>400.46</v>
      </c>
      <c r="F7" s="21"/>
      <c r="G7" s="21"/>
      <c r="H7" s="21"/>
      <c r="I7" s="22"/>
      <c r="J7" s="23">
        <f t="shared" si="0"/>
        <v>28887.46</v>
      </c>
      <c r="K7" s="23">
        <f t="shared" si="1"/>
        <v>16691.14</v>
      </c>
    </row>
    <row r="8" spans="2:11" ht="18.75" x14ac:dyDescent="0.3">
      <c r="B8" s="25">
        <v>43835</v>
      </c>
      <c r="C8" s="46" t="s">
        <v>35</v>
      </c>
      <c r="D8" s="37"/>
      <c r="E8" s="21"/>
      <c r="F8" s="21"/>
      <c r="G8" s="21"/>
      <c r="H8" s="21">
        <v>100</v>
      </c>
      <c r="I8" s="22"/>
      <c r="J8" s="23">
        <f t="shared" si="0"/>
        <v>28887.46</v>
      </c>
      <c r="K8" s="23">
        <f t="shared" si="1"/>
        <v>16591.14</v>
      </c>
    </row>
    <row r="9" spans="2:11" ht="18.75" x14ac:dyDescent="0.3">
      <c r="B9" s="25">
        <v>43835</v>
      </c>
      <c r="C9" s="24" t="s">
        <v>36</v>
      </c>
      <c r="D9" s="37"/>
      <c r="E9" s="21"/>
      <c r="F9" s="21"/>
      <c r="G9" s="21"/>
      <c r="H9" s="21">
        <v>300</v>
      </c>
      <c r="I9" s="22"/>
      <c r="J9" s="23">
        <f t="shared" si="0"/>
        <v>28887.46</v>
      </c>
      <c r="K9" s="23">
        <f t="shared" si="1"/>
        <v>16291.14</v>
      </c>
    </row>
    <row r="10" spans="2:11" ht="18.75" x14ac:dyDescent="0.3">
      <c r="B10" s="25">
        <v>43835</v>
      </c>
      <c r="C10" s="20" t="s">
        <v>37</v>
      </c>
      <c r="D10" s="37">
        <v>55850</v>
      </c>
      <c r="E10" s="21"/>
      <c r="F10" s="21"/>
      <c r="G10" s="21"/>
      <c r="H10" s="21"/>
      <c r="I10" s="22"/>
      <c r="J10" s="23">
        <f t="shared" si="0"/>
        <v>28887.46</v>
      </c>
      <c r="K10" s="23">
        <f t="shared" si="1"/>
        <v>72141.14</v>
      </c>
    </row>
    <row r="11" spans="2:11" ht="18.75" x14ac:dyDescent="0.3">
      <c r="B11" s="25">
        <v>43836</v>
      </c>
      <c r="C11" s="27" t="s">
        <v>38</v>
      </c>
      <c r="D11" s="37"/>
      <c r="E11" s="21"/>
      <c r="F11" s="21"/>
      <c r="G11" s="21"/>
      <c r="H11" s="21">
        <v>300</v>
      </c>
      <c r="I11" s="22"/>
      <c r="J11" s="23">
        <f t="shared" si="0"/>
        <v>28887.46</v>
      </c>
      <c r="K11" s="23">
        <f t="shared" si="1"/>
        <v>71841.14</v>
      </c>
    </row>
    <row r="12" spans="2:11" ht="18.75" x14ac:dyDescent="0.3">
      <c r="B12" s="25">
        <v>43836</v>
      </c>
      <c r="C12" s="24" t="s">
        <v>39</v>
      </c>
      <c r="D12" s="37"/>
      <c r="E12" s="21"/>
      <c r="F12" s="21"/>
      <c r="G12" s="21"/>
      <c r="H12" s="21">
        <v>2500</v>
      </c>
      <c r="I12" s="22"/>
      <c r="J12" s="23">
        <f t="shared" si="0"/>
        <v>28887.46</v>
      </c>
      <c r="K12" s="23">
        <f t="shared" si="1"/>
        <v>69341.14</v>
      </c>
    </row>
    <row r="13" spans="2:11" ht="18.75" x14ac:dyDescent="0.3">
      <c r="B13" s="25">
        <v>43836</v>
      </c>
      <c r="C13" s="24" t="s">
        <v>40</v>
      </c>
      <c r="D13" s="37"/>
      <c r="E13" s="21"/>
      <c r="F13" s="21"/>
      <c r="G13" s="21"/>
      <c r="H13" s="21">
        <v>78</v>
      </c>
      <c r="I13" s="22"/>
      <c r="J13" s="23">
        <f t="shared" si="0"/>
        <v>28887.46</v>
      </c>
      <c r="K13" s="23">
        <f t="shared" si="1"/>
        <v>69263.14</v>
      </c>
    </row>
    <row r="14" spans="2:11" ht="18.75" x14ac:dyDescent="0.3">
      <c r="B14" s="25">
        <v>43836</v>
      </c>
      <c r="C14" s="24" t="s">
        <v>44</v>
      </c>
      <c r="D14" s="37"/>
      <c r="E14" s="21"/>
      <c r="F14" s="21"/>
      <c r="G14" s="21"/>
      <c r="H14" s="21">
        <v>250</v>
      </c>
      <c r="I14" s="22"/>
      <c r="J14" s="23">
        <f t="shared" si="0"/>
        <v>28887.46</v>
      </c>
      <c r="K14" s="23">
        <f t="shared" si="1"/>
        <v>69013.14</v>
      </c>
    </row>
    <row r="15" spans="2:11" ht="18.75" x14ac:dyDescent="0.3">
      <c r="B15" s="25">
        <v>43837</v>
      </c>
      <c r="C15" s="46" t="s">
        <v>41</v>
      </c>
      <c r="D15" s="37"/>
      <c r="E15" s="21"/>
      <c r="F15" s="21"/>
      <c r="G15" s="21"/>
      <c r="H15" s="21">
        <v>2250</v>
      </c>
      <c r="I15" s="22"/>
      <c r="J15" s="23">
        <f t="shared" si="0"/>
        <v>28887.46</v>
      </c>
      <c r="K15" s="23">
        <f t="shared" si="1"/>
        <v>66763.14</v>
      </c>
    </row>
    <row r="16" spans="2:11" ht="18.75" x14ac:dyDescent="0.3">
      <c r="B16" s="25">
        <v>43837</v>
      </c>
      <c r="C16" s="46" t="s">
        <v>74</v>
      </c>
      <c r="D16" s="37"/>
      <c r="E16" s="26">
        <v>5500.1</v>
      </c>
      <c r="F16" s="21"/>
      <c r="G16" s="21"/>
      <c r="H16" s="21"/>
      <c r="I16" s="22"/>
      <c r="J16" s="23">
        <f t="shared" si="0"/>
        <v>34387.56</v>
      </c>
      <c r="K16" s="23">
        <f t="shared" si="1"/>
        <v>66763.14</v>
      </c>
    </row>
    <row r="17" spans="2:11" ht="18.75" x14ac:dyDescent="0.3">
      <c r="B17" s="25">
        <v>43838</v>
      </c>
      <c r="C17" s="24" t="s">
        <v>42</v>
      </c>
      <c r="D17" s="37"/>
      <c r="E17" s="21"/>
      <c r="F17" s="21"/>
      <c r="G17" s="21"/>
      <c r="H17" s="21">
        <v>885.33</v>
      </c>
      <c r="I17" s="22"/>
      <c r="J17" s="23">
        <f t="shared" si="0"/>
        <v>34387.56</v>
      </c>
      <c r="K17" s="23">
        <f t="shared" si="1"/>
        <v>65877.81</v>
      </c>
    </row>
    <row r="18" spans="2:11" ht="18.75" x14ac:dyDescent="0.3">
      <c r="B18" s="25">
        <v>43838</v>
      </c>
      <c r="C18" s="24" t="s">
        <v>43</v>
      </c>
      <c r="D18" s="37"/>
      <c r="E18" s="21"/>
      <c r="F18" s="21"/>
      <c r="G18" s="21"/>
      <c r="H18" s="21">
        <v>310.35000000000002</v>
      </c>
      <c r="I18" s="22"/>
      <c r="J18" s="23">
        <f t="shared" si="0"/>
        <v>34387.56</v>
      </c>
      <c r="K18" s="23">
        <f t="shared" si="1"/>
        <v>65567.459999999992</v>
      </c>
    </row>
    <row r="19" spans="2:11" ht="18.75" x14ac:dyDescent="0.3">
      <c r="B19" s="25">
        <v>43838</v>
      </c>
      <c r="C19" s="48" t="s">
        <v>87</v>
      </c>
      <c r="D19" s="37"/>
      <c r="E19" s="21"/>
      <c r="F19" s="21"/>
      <c r="G19" s="21"/>
      <c r="H19" s="21">
        <v>800</v>
      </c>
      <c r="I19" s="22"/>
      <c r="J19" s="23">
        <f t="shared" si="0"/>
        <v>34387.56</v>
      </c>
      <c r="K19" s="23">
        <f t="shared" si="1"/>
        <v>64767.459999999992</v>
      </c>
    </row>
    <row r="20" spans="2:11" ht="18.75" x14ac:dyDescent="0.3">
      <c r="B20" s="25">
        <v>43839</v>
      </c>
      <c r="C20" s="24" t="s">
        <v>112</v>
      </c>
      <c r="D20" s="37"/>
      <c r="E20" s="21"/>
      <c r="F20" s="21"/>
      <c r="G20" s="21"/>
      <c r="H20" s="21">
        <v>1200</v>
      </c>
      <c r="I20" s="22"/>
      <c r="J20" s="23">
        <f t="shared" si="0"/>
        <v>34387.56</v>
      </c>
      <c r="K20" s="23">
        <f t="shared" si="1"/>
        <v>63567.459999999992</v>
      </c>
    </row>
    <row r="21" spans="2:11" ht="18.75" x14ac:dyDescent="0.3">
      <c r="B21" s="25">
        <v>43839</v>
      </c>
      <c r="C21" s="24" t="s">
        <v>45</v>
      </c>
      <c r="D21" s="37"/>
      <c r="E21" s="26"/>
      <c r="F21" s="21"/>
      <c r="G21" s="21"/>
      <c r="H21" s="21">
        <v>7100</v>
      </c>
      <c r="I21" s="22"/>
      <c r="J21" s="23">
        <f t="shared" si="0"/>
        <v>34387.56</v>
      </c>
      <c r="K21" s="23">
        <f t="shared" si="1"/>
        <v>56467.459999999992</v>
      </c>
    </row>
    <row r="22" spans="2:11" ht="18.75" x14ac:dyDescent="0.3">
      <c r="B22" s="25">
        <v>43840</v>
      </c>
      <c r="C22" s="24" t="s">
        <v>72</v>
      </c>
      <c r="D22" s="37"/>
      <c r="E22" s="26">
        <v>400.29</v>
      </c>
      <c r="F22" s="21"/>
      <c r="G22" s="21"/>
      <c r="H22" s="21"/>
      <c r="I22" s="22"/>
      <c r="J22" s="23">
        <f t="shared" si="0"/>
        <v>34787.85</v>
      </c>
      <c r="K22" s="23">
        <f t="shared" si="1"/>
        <v>56467.459999999992</v>
      </c>
    </row>
    <row r="23" spans="2:11" ht="18.75" x14ac:dyDescent="0.3">
      <c r="B23" s="25">
        <v>43840</v>
      </c>
      <c r="C23" s="24" t="s">
        <v>46</v>
      </c>
      <c r="D23" s="37"/>
      <c r="E23" s="21"/>
      <c r="F23" s="21"/>
      <c r="G23" s="21"/>
      <c r="H23" s="21">
        <v>794.82</v>
      </c>
      <c r="I23" s="22"/>
      <c r="J23" s="23">
        <f t="shared" si="0"/>
        <v>34787.85</v>
      </c>
      <c r="K23" s="23">
        <f t="shared" si="1"/>
        <v>55672.639999999992</v>
      </c>
    </row>
    <row r="24" spans="2:11" ht="18.75" x14ac:dyDescent="0.3">
      <c r="B24" s="25">
        <v>43840</v>
      </c>
      <c r="C24" s="24" t="s">
        <v>64</v>
      </c>
      <c r="D24" s="37"/>
      <c r="E24" s="37"/>
      <c r="F24" s="21"/>
      <c r="G24" s="21"/>
      <c r="H24" s="21">
        <v>750</v>
      </c>
      <c r="I24" s="22"/>
      <c r="J24" s="23">
        <f t="shared" si="0"/>
        <v>34787.85</v>
      </c>
      <c r="K24" s="23">
        <f t="shared" si="1"/>
        <v>54922.639999999992</v>
      </c>
    </row>
    <row r="25" spans="2:11" ht="18.75" x14ac:dyDescent="0.3">
      <c r="B25" s="25">
        <v>43840</v>
      </c>
      <c r="C25" s="24" t="s">
        <v>47</v>
      </c>
      <c r="D25" s="37"/>
      <c r="E25" s="37"/>
      <c r="F25" s="21"/>
      <c r="G25" s="21"/>
      <c r="H25" s="21">
        <v>60</v>
      </c>
      <c r="I25" s="22"/>
      <c r="J25" s="23">
        <f t="shared" si="0"/>
        <v>34787.85</v>
      </c>
      <c r="K25" s="23">
        <f t="shared" si="1"/>
        <v>54862.639999999992</v>
      </c>
    </row>
    <row r="26" spans="2:11" ht="18.75" x14ac:dyDescent="0.3">
      <c r="B26" s="25">
        <v>43477</v>
      </c>
      <c r="C26" s="24" t="s">
        <v>35</v>
      </c>
      <c r="D26" s="37"/>
      <c r="E26" s="21"/>
      <c r="F26" s="21"/>
      <c r="G26" s="21"/>
      <c r="H26" s="21">
        <v>100</v>
      </c>
      <c r="I26" s="22"/>
      <c r="J26" s="23">
        <f t="shared" si="0"/>
        <v>34787.85</v>
      </c>
      <c r="K26" s="23">
        <f t="shared" si="1"/>
        <v>54762.639999999992</v>
      </c>
    </row>
    <row r="27" spans="2:11" ht="18.75" x14ac:dyDescent="0.3">
      <c r="B27" s="25">
        <v>43842</v>
      </c>
      <c r="C27" s="24" t="s">
        <v>48</v>
      </c>
      <c r="D27" s="37"/>
      <c r="E27" s="21"/>
      <c r="F27" s="21"/>
      <c r="G27" s="21"/>
      <c r="H27" s="21">
        <v>200</v>
      </c>
      <c r="I27" s="22"/>
      <c r="J27" s="23">
        <f t="shared" si="0"/>
        <v>34787.85</v>
      </c>
      <c r="K27" s="23">
        <f t="shared" si="1"/>
        <v>54562.639999999992</v>
      </c>
    </row>
    <row r="28" spans="2:11" ht="18.75" x14ac:dyDescent="0.3">
      <c r="B28" s="47">
        <v>43842</v>
      </c>
      <c r="C28" s="24" t="s">
        <v>49</v>
      </c>
      <c r="D28" s="37"/>
      <c r="E28" s="21"/>
      <c r="F28" s="21"/>
      <c r="G28" s="21"/>
      <c r="H28" s="21">
        <v>50</v>
      </c>
      <c r="I28" s="22"/>
      <c r="J28" s="23">
        <f t="shared" si="0"/>
        <v>34787.85</v>
      </c>
      <c r="K28" s="23">
        <f t="shared" si="1"/>
        <v>54512.639999999992</v>
      </c>
    </row>
    <row r="29" spans="2:11" ht="18.75" x14ac:dyDescent="0.3">
      <c r="B29" s="47">
        <v>43842</v>
      </c>
      <c r="C29" s="20" t="s">
        <v>68</v>
      </c>
      <c r="D29" s="37">
        <v>37400</v>
      </c>
      <c r="E29" s="21"/>
      <c r="F29" s="21"/>
      <c r="G29" s="21"/>
      <c r="H29" s="21"/>
      <c r="I29" s="22"/>
      <c r="J29" s="23">
        <f t="shared" si="0"/>
        <v>34787.85</v>
      </c>
      <c r="K29" s="23">
        <f t="shared" si="1"/>
        <v>91912.639999999985</v>
      </c>
    </row>
    <row r="30" spans="2:11" ht="18.75" x14ac:dyDescent="0.3">
      <c r="B30" s="47">
        <v>43843</v>
      </c>
      <c r="C30" s="36" t="s">
        <v>43</v>
      </c>
      <c r="D30" s="37"/>
      <c r="E30" s="21"/>
      <c r="F30" s="21"/>
      <c r="G30" s="21"/>
      <c r="H30" s="21">
        <v>835.05</v>
      </c>
      <c r="I30" s="22"/>
      <c r="J30" s="23">
        <f t="shared" si="0"/>
        <v>34787.85</v>
      </c>
      <c r="K30" s="23">
        <f t="shared" si="1"/>
        <v>91077.589999999982</v>
      </c>
    </row>
    <row r="31" spans="2:11" ht="18.75" x14ac:dyDescent="0.3">
      <c r="B31" s="47">
        <v>43843</v>
      </c>
      <c r="C31" s="36" t="s">
        <v>113</v>
      </c>
      <c r="D31" s="37"/>
      <c r="E31" s="21"/>
      <c r="F31" s="21"/>
      <c r="G31" s="21"/>
      <c r="H31" s="21">
        <v>117</v>
      </c>
      <c r="I31" s="22"/>
      <c r="J31" s="23">
        <f t="shared" si="0"/>
        <v>34787.85</v>
      </c>
      <c r="K31" s="23">
        <f t="shared" si="1"/>
        <v>90960.589999999982</v>
      </c>
    </row>
    <row r="32" spans="2:11" ht="18.75" x14ac:dyDescent="0.3">
      <c r="B32" s="47">
        <v>43843</v>
      </c>
      <c r="C32" s="36" t="s">
        <v>50</v>
      </c>
      <c r="D32" s="37"/>
      <c r="E32" s="21"/>
      <c r="F32" s="21"/>
      <c r="G32" s="21"/>
      <c r="H32" s="21">
        <v>50</v>
      </c>
      <c r="I32" s="22"/>
      <c r="J32" s="23">
        <f t="shared" si="0"/>
        <v>34787.85</v>
      </c>
      <c r="K32" s="23">
        <f t="shared" si="1"/>
        <v>90910.589999999982</v>
      </c>
    </row>
    <row r="33" spans="2:11" ht="18.75" x14ac:dyDescent="0.3">
      <c r="B33" s="47">
        <v>43843</v>
      </c>
      <c r="C33" s="36" t="s">
        <v>73</v>
      </c>
      <c r="D33" s="37"/>
      <c r="E33" s="26">
        <v>2000</v>
      </c>
      <c r="F33" s="21"/>
      <c r="G33" s="21"/>
      <c r="H33" s="21"/>
      <c r="I33" s="22"/>
      <c r="J33" s="23">
        <f t="shared" si="0"/>
        <v>36787.85</v>
      </c>
      <c r="K33" s="23">
        <f t="shared" si="1"/>
        <v>90910.589999999982</v>
      </c>
    </row>
    <row r="34" spans="2:11" ht="18.75" x14ac:dyDescent="0.3">
      <c r="B34" s="47">
        <v>43843</v>
      </c>
      <c r="C34" s="36" t="s">
        <v>114</v>
      </c>
      <c r="D34" s="37"/>
      <c r="E34" s="21"/>
      <c r="F34" s="21"/>
      <c r="G34" s="21"/>
      <c r="H34" s="21">
        <v>1200</v>
      </c>
      <c r="I34" s="22"/>
      <c r="J34" s="23">
        <f t="shared" si="0"/>
        <v>36787.85</v>
      </c>
      <c r="K34" s="23">
        <f t="shared" si="1"/>
        <v>89710.589999999982</v>
      </c>
    </row>
    <row r="35" spans="2:11" ht="18.75" x14ac:dyDescent="0.3">
      <c r="B35" s="47">
        <v>43844</v>
      </c>
      <c r="C35" s="48" t="s">
        <v>71</v>
      </c>
      <c r="D35" s="37"/>
      <c r="E35" s="26">
        <v>3500</v>
      </c>
      <c r="F35" s="21"/>
      <c r="G35" s="21"/>
      <c r="H35" s="21"/>
      <c r="I35" s="22"/>
      <c r="J35" s="23">
        <f t="shared" si="0"/>
        <v>40287.85</v>
      </c>
      <c r="K35" s="23">
        <f t="shared" si="1"/>
        <v>89710.589999999982</v>
      </c>
    </row>
    <row r="36" spans="2:11" ht="18.75" x14ac:dyDescent="0.3">
      <c r="B36" s="47">
        <v>43844</v>
      </c>
      <c r="C36" s="36" t="s">
        <v>115</v>
      </c>
      <c r="D36" s="37"/>
      <c r="E36" s="21"/>
      <c r="F36" s="21"/>
      <c r="G36" s="21"/>
      <c r="H36" s="21">
        <v>500</v>
      </c>
      <c r="I36" s="22"/>
      <c r="J36" s="23">
        <f t="shared" si="0"/>
        <v>40287.85</v>
      </c>
      <c r="K36" s="23">
        <f t="shared" si="1"/>
        <v>89210.589999999982</v>
      </c>
    </row>
    <row r="37" spans="2:11" ht="18.75" x14ac:dyDescent="0.3">
      <c r="B37" s="49">
        <v>43845</v>
      </c>
      <c r="C37" s="74" t="s">
        <v>65</v>
      </c>
      <c r="D37" s="37"/>
      <c r="E37" s="21"/>
      <c r="F37" s="21"/>
      <c r="G37" s="21">
        <v>1760</v>
      </c>
      <c r="H37" s="21"/>
      <c r="I37" s="22"/>
      <c r="J37" s="23">
        <f t="shared" si="0"/>
        <v>38527.85</v>
      </c>
      <c r="K37" s="23">
        <f t="shared" si="1"/>
        <v>89210.589999999982</v>
      </c>
    </row>
    <row r="38" spans="2:11" ht="18.75" x14ac:dyDescent="0.3">
      <c r="B38" s="47">
        <v>43480</v>
      </c>
      <c r="C38" s="74" t="s">
        <v>66</v>
      </c>
      <c r="D38" s="37"/>
      <c r="E38" s="21"/>
      <c r="F38" s="21"/>
      <c r="G38" s="21">
        <v>1400</v>
      </c>
      <c r="H38" s="21"/>
      <c r="I38" s="22"/>
      <c r="J38" s="23">
        <f t="shared" si="0"/>
        <v>37127.85</v>
      </c>
      <c r="K38" s="23">
        <f t="shared" si="1"/>
        <v>89210.589999999982</v>
      </c>
    </row>
    <row r="39" spans="2:11" ht="18.75" x14ac:dyDescent="0.3">
      <c r="B39" s="49">
        <v>43845</v>
      </c>
      <c r="C39" s="36" t="s">
        <v>51</v>
      </c>
      <c r="D39" s="37"/>
      <c r="E39" s="21"/>
      <c r="F39" s="21"/>
      <c r="G39" s="21"/>
      <c r="H39" s="21">
        <v>3000</v>
      </c>
      <c r="I39" s="22"/>
      <c r="J39" s="23">
        <f t="shared" si="0"/>
        <v>37127.85</v>
      </c>
      <c r="K39" s="23">
        <f t="shared" si="1"/>
        <v>86210.589999999982</v>
      </c>
    </row>
    <row r="40" spans="2:11" ht="18.75" x14ac:dyDescent="0.3">
      <c r="B40" s="47">
        <v>43480</v>
      </c>
      <c r="C40" s="36" t="s">
        <v>52</v>
      </c>
      <c r="D40" s="37"/>
      <c r="E40" s="21"/>
      <c r="F40" s="21"/>
      <c r="G40" s="21"/>
      <c r="H40" s="21">
        <v>6000</v>
      </c>
      <c r="I40" s="22"/>
      <c r="J40" s="23">
        <f t="shared" si="0"/>
        <v>37127.85</v>
      </c>
      <c r="K40" s="23">
        <f t="shared" si="1"/>
        <v>80210.589999999982</v>
      </c>
    </row>
    <row r="41" spans="2:11" ht="18.75" x14ac:dyDescent="0.3">
      <c r="B41" s="50">
        <v>43845</v>
      </c>
      <c r="C41" s="35" t="s">
        <v>53</v>
      </c>
      <c r="D41" s="37"/>
      <c r="E41" s="21"/>
      <c r="F41" s="21"/>
      <c r="G41" s="21"/>
      <c r="H41" s="21">
        <v>40487</v>
      </c>
      <c r="I41" s="22"/>
      <c r="J41" s="23">
        <f t="shared" si="0"/>
        <v>37127.85</v>
      </c>
      <c r="K41" s="23">
        <f t="shared" si="1"/>
        <v>39723.589999999982</v>
      </c>
    </row>
    <row r="42" spans="2:11" ht="18.75" x14ac:dyDescent="0.3">
      <c r="B42" s="49">
        <v>43845</v>
      </c>
      <c r="C42" s="36" t="s">
        <v>54</v>
      </c>
      <c r="D42" s="37"/>
      <c r="E42" s="21"/>
      <c r="F42" s="21"/>
      <c r="G42" s="21"/>
      <c r="H42" s="21">
        <v>96</v>
      </c>
      <c r="I42" s="22"/>
      <c r="J42" s="23">
        <f t="shared" si="0"/>
        <v>37127.85</v>
      </c>
      <c r="K42" s="23">
        <f t="shared" si="1"/>
        <v>39627.589999999982</v>
      </c>
    </row>
    <row r="43" spans="2:11" ht="18.75" x14ac:dyDescent="0.3">
      <c r="B43" s="47">
        <v>43845</v>
      </c>
      <c r="C43" s="36" t="s">
        <v>55</v>
      </c>
      <c r="D43" s="37"/>
      <c r="E43" s="21"/>
      <c r="F43" s="21"/>
      <c r="G43" s="21"/>
      <c r="H43" s="21">
        <v>45</v>
      </c>
      <c r="I43" s="22"/>
      <c r="J43" s="23">
        <f t="shared" si="0"/>
        <v>37127.85</v>
      </c>
      <c r="K43" s="23">
        <f t="shared" si="1"/>
        <v>39582.589999999982</v>
      </c>
    </row>
    <row r="44" spans="2:11" ht="19.5" thickBot="1" x14ac:dyDescent="0.35">
      <c r="B44" s="51">
        <v>43845</v>
      </c>
      <c r="C44" s="36" t="s">
        <v>56</v>
      </c>
      <c r="D44" s="37"/>
      <c r="E44" s="21"/>
      <c r="F44" s="21"/>
      <c r="G44" s="21"/>
      <c r="H44" s="21">
        <v>280</v>
      </c>
      <c r="I44" s="22"/>
      <c r="J44" s="23">
        <f t="shared" si="0"/>
        <v>37127.85</v>
      </c>
      <c r="K44" s="23">
        <f t="shared" si="1"/>
        <v>39302.589999999982</v>
      </c>
    </row>
    <row r="45" spans="2:11" ht="19.5" thickBot="1" x14ac:dyDescent="0.35">
      <c r="B45" s="28"/>
      <c r="C45" s="29" t="s">
        <v>0</v>
      </c>
      <c r="D45" s="30">
        <f>SUM(D4:D44)</f>
        <v>93250</v>
      </c>
      <c r="E45" s="30">
        <f>SUM(E4:E44)</f>
        <v>11800.85</v>
      </c>
      <c r="F45" s="32">
        <f>SUM(D45:E45)</f>
        <v>105050.85</v>
      </c>
      <c r="G45" s="33">
        <f>SUM(G4:G44)</f>
        <v>3160</v>
      </c>
      <c r="H45" s="30">
        <f>SUM(H4:H44)</f>
        <v>71687.55</v>
      </c>
      <c r="I45" s="32">
        <f>SUM(G45:H45)</f>
        <v>74847.55</v>
      </c>
      <c r="J45" s="34"/>
      <c r="K45" s="34"/>
    </row>
    <row r="46" spans="2:11" ht="18.75" x14ac:dyDescent="0.3">
      <c r="B46" s="9" t="s">
        <v>1</v>
      </c>
      <c r="C46" s="9" t="s">
        <v>2</v>
      </c>
      <c r="D46" s="9" t="s">
        <v>3</v>
      </c>
      <c r="E46" s="9" t="s">
        <v>3</v>
      </c>
      <c r="F46" s="9" t="s">
        <v>8</v>
      </c>
      <c r="G46" s="9" t="s">
        <v>9</v>
      </c>
      <c r="H46" s="10" t="s">
        <v>9</v>
      </c>
      <c r="I46" s="10" t="s">
        <v>8</v>
      </c>
      <c r="J46" s="9" t="s">
        <v>7</v>
      </c>
      <c r="K46" s="10" t="s">
        <v>6</v>
      </c>
    </row>
    <row r="47" spans="2:11" ht="19.5" thickBot="1" x14ac:dyDescent="0.35">
      <c r="B47" s="11"/>
      <c r="C47" s="11"/>
      <c r="D47" s="11" t="s">
        <v>5</v>
      </c>
      <c r="E47" s="11" t="s">
        <v>7</v>
      </c>
      <c r="F47" s="11" t="s">
        <v>3</v>
      </c>
      <c r="G47" s="11" t="s">
        <v>7</v>
      </c>
      <c r="H47" s="12" t="s">
        <v>5</v>
      </c>
      <c r="I47" s="12" t="s">
        <v>4</v>
      </c>
      <c r="J47" s="11"/>
      <c r="K47" s="12"/>
    </row>
    <row r="48" spans="2:11" ht="19.5" thickBot="1" x14ac:dyDescent="0.35">
      <c r="B48" s="28"/>
      <c r="C48" s="29"/>
      <c r="D48" s="30">
        <v>93250</v>
      </c>
      <c r="E48" s="31">
        <v>11800.85</v>
      </c>
      <c r="F48" s="32">
        <f>SUM(D48:E48)</f>
        <v>105050.85</v>
      </c>
      <c r="G48" s="33">
        <v>3160</v>
      </c>
      <c r="H48" s="30">
        <v>71687.55</v>
      </c>
      <c r="I48" s="32">
        <f>SUM(G48:H48)</f>
        <v>74847.55</v>
      </c>
      <c r="J48" s="34">
        <v>37127.85</v>
      </c>
      <c r="K48" s="72">
        <v>39302.589999999997</v>
      </c>
    </row>
    <row r="49" spans="2:12" ht="18.75" x14ac:dyDescent="0.3">
      <c r="B49" s="49">
        <v>43845</v>
      </c>
      <c r="C49" s="36" t="s">
        <v>57</v>
      </c>
      <c r="D49" s="37"/>
      <c r="E49" s="21"/>
      <c r="F49" s="21"/>
      <c r="G49" s="21"/>
      <c r="H49" s="21">
        <v>300</v>
      </c>
      <c r="I49" s="22"/>
      <c r="J49" s="23">
        <f>+J48+E49-G49</f>
        <v>37127.85</v>
      </c>
      <c r="K49" s="23">
        <f>+K48+D49-H49</f>
        <v>39002.589999999997</v>
      </c>
    </row>
    <row r="50" spans="2:12" ht="18.75" x14ac:dyDescent="0.3">
      <c r="B50" s="47">
        <v>43847</v>
      </c>
      <c r="C50" s="36" t="s">
        <v>116</v>
      </c>
      <c r="D50" s="37"/>
      <c r="E50" s="21"/>
      <c r="F50" s="21"/>
      <c r="G50" s="21"/>
      <c r="H50" s="21">
        <v>2000</v>
      </c>
      <c r="I50" s="22"/>
      <c r="J50" s="23">
        <f t="shared" ref="J50:J89" si="2">+J49+E50-G50</f>
        <v>37127.85</v>
      </c>
      <c r="K50" s="23">
        <f t="shared" ref="K50:K89" si="3">+K49+D50-H50</f>
        <v>37002.589999999997</v>
      </c>
    </row>
    <row r="51" spans="2:12" ht="18.75" x14ac:dyDescent="0.3">
      <c r="B51" s="47">
        <v>43847</v>
      </c>
      <c r="C51" s="36" t="s">
        <v>58</v>
      </c>
      <c r="D51" s="37"/>
      <c r="E51" s="21"/>
      <c r="F51" s="21"/>
      <c r="G51" s="21"/>
      <c r="H51" s="21">
        <v>500</v>
      </c>
      <c r="I51" s="22"/>
      <c r="J51" s="23">
        <f t="shared" si="2"/>
        <v>37127.85</v>
      </c>
      <c r="K51" s="23">
        <f t="shared" si="3"/>
        <v>36502.589999999997</v>
      </c>
    </row>
    <row r="52" spans="2:12" ht="18.75" x14ac:dyDescent="0.3">
      <c r="B52" s="47">
        <v>43847</v>
      </c>
      <c r="C52" s="36" t="s">
        <v>59</v>
      </c>
      <c r="D52" s="37"/>
      <c r="E52" s="21"/>
      <c r="F52" s="21"/>
      <c r="G52" s="21"/>
      <c r="H52" s="21">
        <v>750</v>
      </c>
      <c r="I52" s="22"/>
      <c r="J52" s="23">
        <f t="shared" si="2"/>
        <v>37127.85</v>
      </c>
      <c r="K52" s="23">
        <f t="shared" si="3"/>
        <v>35752.589999999997</v>
      </c>
    </row>
    <row r="53" spans="2:12" ht="18.75" x14ac:dyDescent="0.3">
      <c r="B53" s="47">
        <v>43847</v>
      </c>
      <c r="C53" s="20" t="s">
        <v>67</v>
      </c>
      <c r="D53" s="37"/>
      <c r="E53" s="21"/>
      <c r="F53" s="21"/>
      <c r="G53" s="21"/>
      <c r="H53" s="21">
        <v>1000</v>
      </c>
      <c r="I53" s="22"/>
      <c r="J53" s="23">
        <f t="shared" si="2"/>
        <v>37127.85</v>
      </c>
      <c r="K53" s="23">
        <f t="shared" si="3"/>
        <v>34752.589999999997</v>
      </c>
    </row>
    <row r="54" spans="2:12" ht="18.75" x14ac:dyDescent="0.3">
      <c r="B54" s="47">
        <v>43848</v>
      </c>
      <c r="C54" s="20" t="s">
        <v>60</v>
      </c>
      <c r="D54" s="37"/>
      <c r="E54" s="21"/>
      <c r="F54" s="21"/>
      <c r="G54" s="21"/>
      <c r="H54" s="21">
        <v>325</v>
      </c>
      <c r="I54" s="22"/>
      <c r="J54" s="23">
        <f t="shared" si="2"/>
        <v>37127.85</v>
      </c>
      <c r="K54" s="23">
        <f t="shared" si="3"/>
        <v>34427.589999999997</v>
      </c>
    </row>
    <row r="55" spans="2:12" ht="18.75" x14ac:dyDescent="0.3">
      <c r="B55" s="47">
        <v>43848</v>
      </c>
      <c r="C55" s="36" t="s">
        <v>61</v>
      </c>
      <c r="D55" s="37"/>
      <c r="E55" s="21"/>
      <c r="F55" s="21"/>
      <c r="G55" s="21"/>
      <c r="H55" s="21">
        <v>300</v>
      </c>
      <c r="I55" s="22"/>
      <c r="J55" s="23">
        <f t="shared" si="2"/>
        <v>37127.85</v>
      </c>
      <c r="K55" s="23">
        <f t="shared" si="3"/>
        <v>34127.589999999997</v>
      </c>
    </row>
    <row r="56" spans="2:12" ht="18.75" x14ac:dyDescent="0.3">
      <c r="B56" s="52">
        <v>43849</v>
      </c>
      <c r="C56" s="36" t="s">
        <v>82</v>
      </c>
      <c r="D56" s="37"/>
      <c r="E56" s="37"/>
      <c r="F56" s="37"/>
      <c r="G56" s="37"/>
      <c r="H56" s="21">
        <v>120</v>
      </c>
      <c r="I56" s="22"/>
      <c r="J56" s="23">
        <f t="shared" si="2"/>
        <v>37127.85</v>
      </c>
      <c r="K56" s="23">
        <f t="shared" si="3"/>
        <v>34007.589999999997</v>
      </c>
    </row>
    <row r="57" spans="2:12" ht="18.75" x14ac:dyDescent="0.3">
      <c r="B57" s="52">
        <v>43849</v>
      </c>
      <c r="C57" s="36" t="s">
        <v>35</v>
      </c>
      <c r="D57" s="37"/>
      <c r="E57" s="37"/>
      <c r="F57" s="37"/>
      <c r="G57" s="21"/>
      <c r="H57" s="21">
        <v>100</v>
      </c>
      <c r="I57" s="22"/>
      <c r="J57" s="23">
        <f t="shared" si="2"/>
        <v>37127.85</v>
      </c>
      <c r="K57" s="23">
        <f t="shared" si="3"/>
        <v>33907.589999999997</v>
      </c>
    </row>
    <row r="58" spans="2:12" ht="18.75" x14ac:dyDescent="0.3">
      <c r="B58" s="49">
        <v>43849</v>
      </c>
      <c r="C58" s="20" t="s">
        <v>69</v>
      </c>
      <c r="D58" s="37">
        <v>54350</v>
      </c>
      <c r="E58" s="21"/>
      <c r="F58" s="37"/>
      <c r="G58" s="37"/>
      <c r="H58" s="21"/>
      <c r="I58" s="22"/>
      <c r="J58" s="23">
        <f t="shared" si="2"/>
        <v>37127.85</v>
      </c>
      <c r="K58" s="23">
        <f t="shared" si="3"/>
        <v>88257.59</v>
      </c>
    </row>
    <row r="59" spans="2:12" ht="18.75" x14ac:dyDescent="0.3">
      <c r="B59" s="25">
        <v>43849</v>
      </c>
      <c r="C59" s="24" t="s">
        <v>83</v>
      </c>
      <c r="D59" s="21"/>
      <c r="E59" s="21"/>
      <c r="F59" s="21"/>
      <c r="G59" s="21"/>
      <c r="H59" s="21">
        <v>165</v>
      </c>
      <c r="I59" s="22"/>
      <c r="J59" s="23">
        <f t="shared" si="2"/>
        <v>37127.85</v>
      </c>
      <c r="K59" s="23">
        <f t="shared" si="3"/>
        <v>88092.59</v>
      </c>
      <c r="L59" s="1">
        <f>SUM(J59:K59)</f>
        <v>125220.44</v>
      </c>
    </row>
    <row r="60" spans="2:12" ht="18.75" x14ac:dyDescent="0.3">
      <c r="B60" s="25">
        <v>43849</v>
      </c>
      <c r="C60" s="24" t="s">
        <v>84</v>
      </c>
      <c r="D60" s="21"/>
      <c r="E60" s="21"/>
      <c r="F60" s="21"/>
      <c r="G60" s="21"/>
      <c r="H60" s="21">
        <v>121.8</v>
      </c>
      <c r="I60" s="22"/>
      <c r="J60" s="23">
        <f t="shared" si="2"/>
        <v>37127.85</v>
      </c>
      <c r="K60" s="23">
        <f t="shared" si="3"/>
        <v>87970.79</v>
      </c>
    </row>
    <row r="61" spans="2:12" ht="18.75" x14ac:dyDescent="0.3">
      <c r="B61" s="47">
        <v>43850</v>
      </c>
      <c r="C61" s="48" t="s">
        <v>85</v>
      </c>
      <c r="D61" s="21"/>
      <c r="E61" s="21"/>
      <c r="F61" s="21"/>
      <c r="G61" s="21"/>
      <c r="H61" s="26">
        <v>30</v>
      </c>
      <c r="I61" s="22"/>
      <c r="J61" s="23">
        <f t="shared" si="2"/>
        <v>37127.85</v>
      </c>
      <c r="K61" s="23">
        <f t="shared" si="3"/>
        <v>87940.79</v>
      </c>
    </row>
    <row r="62" spans="2:12" ht="18.75" x14ac:dyDescent="0.3">
      <c r="B62" s="25">
        <v>43850</v>
      </c>
      <c r="C62" s="24" t="s">
        <v>75</v>
      </c>
      <c r="D62" s="21"/>
      <c r="E62" s="21">
        <v>5000</v>
      </c>
      <c r="F62" s="21"/>
      <c r="G62" s="21"/>
      <c r="H62" s="21"/>
      <c r="I62" s="22"/>
      <c r="J62" s="23">
        <f t="shared" si="2"/>
        <v>42127.85</v>
      </c>
      <c r="K62" s="23">
        <f t="shared" si="3"/>
        <v>87940.79</v>
      </c>
    </row>
    <row r="63" spans="2:12" ht="18.75" x14ac:dyDescent="0.3">
      <c r="B63" s="25">
        <v>43850</v>
      </c>
      <c r="C63" s="24" t="s">
        <v>76</v>
      </c>
      <c r="D63" s="21"/>
      <c r="E63" s="21">
        <v>5000</v>
      </c>
      <c r="F63" s="21"/>
      <c r="G63" s="21"/>
      <c r="H63" s="21"/>
      <c r="I63" s="22"/>
      <c r="J63" s="23">
        <f t="shared" si="2"/>
        <v>47127.85</v>
      </c>
      <c r="K63" s="23">
        <f t="shared" si="3"/>
        <v>87940.79</v>
      </c>
    </row>
    <row r="64" spans="2:12" ht="18.75" x14ac:dyDescent="0.3">
      <c r="B64" s="47">
        <v>43850</v>
      </c>
      <c r="C64" s="48" t="s">
        <v>62</v>
      </c>
      <c r="D64" s="21"/>
      <c r="E64" s="21"/>
      <c r="F64" s="21"/>
      <c r="G64" s="21"/>
      <c r="H64" s="26">
        <v>4000</v>
      </c>
      <c r="I64" s="22"/>
      <c r="J64" s="23">
        <f t="shared" si="2"/>
        <v>47127.85</v>
      </c>
      <c r="K64" s="23">
        <f t="shared" si="3"/>
        <v>83940.79</v>
      </c>
    </row>
    <row r="65" spans="2:11" ht="18.75" x14ac:dyDescent="0.3">
      <c r="B65" s="47">
        <v>43850</v>
      </c>
      <c r="C65" s="36" t="s">
        <v>117</v>
      </c>
      <c r="D65" s="21"/>
      <c r="E65" s="21"/>
      <c r="F65" s="21"/>
      <c r="G65" s="21"/>
      <c r="H65" s="21">
        <v>156</v>
      </c>
      <c r="I65" s="22"/>
      <c r="J65" s="23">
        <f t="shared" si="2"/>
        <v>47127.85</v>
      </c>
      <c r="K65" s="23">
        <f t="shared" si="3"/>
        <v>83784.789999999994</v>
      </c>
    </row>
    <row r="66" spans="2:11" ht="18.75" x14ac:dyDescent="0.3">
      <c r="B66" s="47">
        <v>43485</v>
      </c>
      <c r="C66" s="36" t="s">
        <v>63</v>
      </c>
      <c r="D66" s="21"/>
      <c r="E66" s="21"/>
      <c r="F66" s="21"/>
      <c r="G66" s="21"/>
      <c r="H66" s="21">
        <v>300</v>
      </c>
      <c r="I66" s="22"/>
      <c r="J66" s="23">
        <f t="shared" si="2"/>
        <v>47127.85</v>
      </c>
      <c r="K66" s="23">
        <f t="shared" si="3"/>
        <v>83484.789999999994</v>
      </c>
    </row>
    <row r="67" spans="2:11" ht="18.75" x14ac:dyDescent="0.3">
      <c r="B67" s="47">
        <v>43850</v>
      </c>
      <c r="C67" s="48" t="s">
        <v>86</v>
      </c>
      <c r="D67" s="21"/>
      <c r="E67" s="21"/>
      <c r="F67" s="21"/>
      <c r="G67" s="21"/>
      <c r="H67" s="21">
        <v>248</v>
      </c>
      <c r="I67" s="22"/>
      <c r="J67" s="23">
        <f t="shared" si="2"/>
        <v>47127.85</v>
      </c>
      <c r="K67" s="23">
        <f t="shared" si="3"/>
        <v>83236.789999999994</v>
      </c>
    </row>
    <row r="68" spans="2:11" ht="18.75" x14ac:dyDescent="0.3">
      <c r="B68" s="47">
        <v>43850</v>
      </c>
      <c r="C68" s="48" t="s">
        <v>87</v>
      </c>
      <c r="D68" s="21"/>
      <c r="E68" s="21"/>
      <c r="F68" s="21"/>
      <c r="G68" s="21"/>
      <c r="H68" s="21">
        <v>800</v>
      </c>
      <c r="I68" s="22"/>
      <c r="J68" s="23">
        <f t="shared" si="2"/>
        <v>47127.85</v>
      </c>
      <c r="K68" s="23">
        <f t="shared" si="3"/>
        <v>82436.789999999994</v>
      </c>
    </row>
    <row r="69" spans="2:11" ht="18.75" x14ac:dyDescent="0.3">
      <c r="B69" s="47">
        <v>43850</v>
      </c>
      <c r="C69" s="48" t="s">
        <v>88</v>
      </c>
      <c r="D69" s="21"/>
      <c r="E69" s="21"/>
      <c r="F69" s="21"/>
      <c r="G69" s="21"/>
      <c r="H69" s="21">
        <v>697.92</v>
      </c>
      <c r="I69" s="22"/>
      <c r="J69" s="23">
        <f t="shared" si="2"/>
        <v>47127.85</v>
      </c>
      <c r="K69" s="23">
        <f t="shared" si="3"/>
        <v>81738.87</v>
      </c>
    </row>
    <row r="70" spans="2:11" ht="18.75" x14ac:dyDescent="0.3">
      <c r="B70" s="47">
        <v>43851</v>
      </c>
      <c r="C70" s="48" t="s">
        <v>89</v>
      </c>
      <c r="D70" s="21"/>
      <c r="E70" s="21"/>
      <c r="F70" s="21"/>
      <c r="G70" s="21"/>
      <c r="H70" s="21">
        <v>1823.55</v>
      </c>
      <c r="I70" s="22"/>
      <c r="J70" s="23">
        <f t="shared" si="2"/>
        <v>47127.85</v>
      </c>
      <c r="K70" s="23">
        <f t="shared" si="3"/>
        <v>79915.319999999992</v>
      </c>
    </row>
    <row r="71" spans="2:11" ht="18.75" x14ac:dyDescent="0.3">
      <c r="B71" s="47">
        <v>43851</v>
      </c>
      <c r="C71" s="48" t="s">
        <v>90</v>
      </c>
      <c r="D71" s="21"/>
      <c r="E71" s="21"/>
      <c r="F71" s="21"/>
      <c r="G71" s="21"/>
      <c r="H71" s="21">
        <v>79.510000000000005</v>
      </c>
      <c r="I71" s="22"/>
      <c r="J71" s="23">
        <f t="shared" si="2"/>
        <v>47127.85</v>
      </c>
      <c r="K71" s="23">
        <f t="shared" si="3"/>
        <v>79835.81</v>
      </c>
    </row>
    <row r="72" spans="2:11" ht="18.75" x14ac:dyDescent="0.3">
      <c r="B72" s="47">
        <v>43851</v>
      </c>
      <c r="C72" s="36" t="s">
        <v>91</v>
      </c>
      <c r="D72" s="21"/>
      <c r="E72" s="21"/>
      <c r="F72" s="21"/>
      <c r="G72" s="21"/>
      <c r="H72" s="21">
        <v>690</v>
      </c>
      <c r="I72" s="22"/>
      <c r="J72" s="23">
        <f t="shared" si="2"/>
        <v>47127.85</v>
      </c>
      <c r="K72" s="23">
        <f t="shared" si="3"/>
        <v>79145.81</v>
      </c>
    </row>
    <row r="73" spans="2:11" ht="18.75" x14ac:dyDescent="0.3">
      <c r="B73" s="47">
        <v>43852</v>
      </c>
      <c r="C73" s="36" t="s">
        <v>118</v>
      </c>
      <c r="D73" s="37"/>
      <c r="E73" s="21"/>
      <c r="F73" s="21"/>
      <c r="G73" s="21"/>
      <c r="H73" s="21">
        <v>1850</v>
      </c>
      <c r="I73" s="22"/>
      <c r="J73" s="23">
        <f t="shared" si="2"/>
        <v>47127.85</v>
      </c>
      <c r="K73" s="23">
        <f t="shared" si="3"/>
        <v>77295.81</v>
      </c>
    </row>
    <row r="74" spans="2:11" ht="18.75" x14ac:dyDescent="0.3">
      <c r="B74" s="52">
        <v>43852</v>
      </c>
      <c r="C74" s="36" t="s">
        <v>119</v>
      </c>
      <c r="D74" s="37"/>
      <c r="E74" s="37"/>
      <c r="F74" s="37"/>
      <c r="G74" s="37"/>
      <c r="H74" s="21">
        <v>4800</v>
      </c>
      <c r="I74" s="22"/>
      <c r="J74" s="23">
        <f t="shared" si="2"/>
        <v>47127.85</v>
      </c>
      <c r="K74" s="23">
        <f t="shared" si="3"/>
        <v>72495.81</v>
      </c>
    </row>
    <row r="75" spans="2:11" ht="18.75" x14ac:dyDescent="0.3">
      <c r="B75" s="47">
        <v>43853</v>
      </c>
      <c r="C75" s="48" t="s">
        <v>77</v>
      </c>
      <c r="D75" s="21"/>
      <c r="E75" s="21">
        <v>2000</v>
      </c>
      <c r="F75" s="21"/>
      <c r="G75" s="21"/>
      <c r="H75" s="21"/>
      <c r="I75" s="22"/>
      <c r="J75" s="23">
        <f t="shared" si="2"/>
        <v>49127.85</v>
      </c>
      <c r="K75" s="23">
        <f t="shared" si="3"/>
        <v>72495.81</v>
      </c>
    </row>
    <row r="76" spans="2:11" ht="18.75" x14ac:dyDescent="0.3">
      <c r="B76" s="47">
        <v>43853</v>
      </c>
      <c r="C76" s="48" t="s">
        <v>81</v>
      </c>
      <c r="D76" s="21"/>
      <c r="E76" s="21">
        <v>900.1</v>
      </c>
      <c r="F76" s="21"/>
      <c r="G76" s="21"/>
      <c r="H76" s="21"/>
      <c r="I76" s="22"/>
      <c r="J76" s="23">
        <f t="shared" si="2"/>
        <v>50027.95</v>
      </c>
      <c r="K76" s="23">
        <f t="shared" si="3"/>
        <v>72495.81</v>
      </c>
    </row>
    <row r="77" spans="2:11" ht="18.75" x14ac:dyDescent="0.3">
      <c r="B77" s="47">
        <v>43853</v>
      </c>
      <c r="C77" s="48" t="s">
        <v>80</v>
      </c>
      <c r="D77" s="21"/>
      <c r="E77" s="21">
        <v>12760</v>
      </c>
      <c r="F77" s="21"/>
      <c r="G77" s="21"/>
      <c r="H77" s="21"/>
      <c r="I77" s="22"/>
      <c r="J77" s="23">
        <f t="shared" si="2"/>
        <v>62787.95</v>
      </c>
      <c r="K77" s="23">
        <f t="shared" si="3"/>
        <v>72495.81</v>
      </c>
    </row>
    <row r="78" spans="2:11" ht="18.75" x14ac:dyDescent="0.3">
      <c r="B78" s="52">
        <v>43853</v>
      </c>
      <c r="C78" s="36" t="s">
        <v>120</v>
      </c>
      <c r="D78" s="37"/>
      <c r="E78" s="21"/>
      <c r="F78" s="21"/>
      <c r="G78" s="21"/>
      <c r="H78" s="21">
        <v>1500</v>
      </c>
      <c r="I78" s="22"/>
      <c r="J78" s="23">
        <f t="shared" si="2"/>
        <v>62787.95</v>
      </c>
      <c r="K78" s="23">
        <f t="shared" si="3"/>
        <v>70995.81</v>
      </c>
    </row>
    <row r="79" spans="2:11" ht="18.75" x14ac:dyDescent="0.3">
      <c r="B79" s="53">
        <v>43853</v>
      </c>
      <c r="C79" s="20" t="s">
        <v>121</v>
      </c>
      <c r="D79" s="37"/>
      <c r="E79" s="21"/>
      <c r="F79" s="21"/>
      <c r="G79" s="21"/>
      <c r="H79" s="21">
        <v>495</v>
      </c>
      <c r="I79" s="22"/>
      <c r="J79" s="23">
        <f t="shared" si="2"/>
        <v>62787.95</v>
      </c>
      <c r="K79" s="23">
        <f t="shared" si="3"/>
        <v>70500.81</v>
      </c>
    </row>
    <row r="80" spans="2:11" ht="18.75" x14ac:dyDescent="0.3">
      <c r="B80" s="53">
        <v>43853</v>
      </c>
      <c r="C80" s="20" t="s">
        <v>122</v>
      </c>
      <c r="D80" s="37"/>
      <c r="E80" s="21"/>
      <c r="F80" s="21"/>
      <c r="G80" s="21"/>
      <c r="H80" s="21">
        <v>1800</v>
      </c>
      <c r="I80" s="22"/>
      <c r="J80" s="23">
        <f t="shared" si="2"/>
        <v>62787.95</v>
      </c>
      <c r="K80" s="23">
        <f t="shared" si="3"/>
        <v>68700.81</v>
      </c>
    </row>
    <row r="81" spans="2:12" ht="18.75" x14ac:dyDescent="0.3">
      <c r="B81" s="53">
        <v>43853</v>
      </c>
      <c r="C81" s="20" t="s">
        <v>96</v>
      </c>
      <c r="D81" s="37"/>
      <c r="E81" s="21"/>
      <c r="F81" s="21"/>
      <c r="G81" s="21"/>
      <c r="H81" s="21">
        <v>343</v>
      </c>
      <c r="I81" s="22"/>
      <c r="J81" s="23">
        <f t="shared" si="2"/>
        <v>62787.95</v>
      </c>
      <c r="K81" s="23">
        <f t="shared" si="3"/>
        <v>68357.81</v>
      </c>
    </row>
    <row r="82" spans="2:12" ht="18.75" x14ac:dyDescent="0.3">
      <c r="B82" s="53">
        <v>43854</v>
      </c>
      <c r="C82" s="20" t="s">
        <v>92</v>
      </c>
      <c r="D82" s="37"/>
      <c r="E82" s="21"/>
      <c r="F82" s="21"/>
      <c r="G82" s="21"/>
      <c r="H82" s="21">
        <v>62.02</v>
      </c>
      <c r="I82" s="22"/>
      <c r="J82" s="23">
        <f t="shared" si="2"/>
        <v>62787.95</v>
      </c>
      <c r="K82" s="23">
        <f t="shared" si="3"/>
        <v>68295.789999999994</v>
      </c>
    </row>
    <row r="83" spans="2:12" ht="18.75" x14ac:dyDescent="0.3">
      <c r="B83" s="53">
        <v>43854</v>
      </c>
      <c r="C83" s="27" t="s">
        <v>93</v>
      </c>
      <c r="D83" s="37"/>
      <c r="E83" s="21"/>
      <c r="F83" s="21"/>
      <c r="G83" s="21"/>
      <c r="H83" s="21">
        <v>338.5</v>
      </c>
      <c r="I83" s="22"/>
      <c r="J83" s="23">
        <f t="shared" si="2"/>
        <v>62787.95</v>
      </c>
      <c r="K83" s="23">
        <f t="shared" si="3"/>
        <v>67957.289999999994</v>
      </c>
    </row>
    <row r="84" spans="2:12" ht="18.75" x14ac:dyDescent="0.3">
      <c r="B84" s="54">
        <v>43854</v>
      </c>
      <c r="C84" s="20" t="s">
        <v>123</v>
      </c>
      <c r="D84" s="55"/>
      <c r="E84" s="21"/>
      <c r="F84" s="21"/>
      <c r="G84" s="21"/>
      <c r="H84" s="21">
        <v>4000</v>
      </c>
      <c r="I84" s="22"/>
      <c r="J84" s="23">
        <f t="shared" si="2"/>
        <v>62787.95</v>
      </c>
      <c r="K84" s="23">
        <f t="shared" si="3"/>
        <v>63957.289999999994</v>
      </c>
    </row>
    <row r="85" spans="2:12" ht="18.75" x14ac:dyDescent="0.3">
      <c r="B85" s="54">
        <v>43854</v>
      </c>
      <c r="C85" s="24" t="s">
        <v>132</v>
      </c>
      <c r="D85" s="37"/>
      <c r="E85" s="21"/>
      <c r="F85" s="21"/>
      <c r="G85" s="21"/>
      <c r="H85" s="21">
        <v>3000</v>
      </c>
      <c r="I85" s="22"/>
      <c r="J85" s="23">
        <f t="shared" si="2"/>
        <v>62787.95</v>
      </c>
      <c r="K85" s="23">
        <f t="shared" si="3"/>
        <v>60957.289999999994</v>
      </c>
    </row>
    <row r="86" spans="2:12" ht="18.75" x14ac:dyDescent="0.3">
      <c r="B86" s="54">
        <v>43854</v>
      </c>
      <c r="C86" s="24" t="s">
        <v>94</v>
      </c>
      <c r="D86" s="37"/>
      <c r="E86" s="21"/>
      <c r="F86" s="21"/>
      <c r="G86" s="21"/>
      <c r="H86" s="21">
        <v>750</v>
      </c>
      <c r="I86" s="22"/>
      <c r="J86" s="23">
        <f t="shared" si="2"/>
        <v>62787.95</v>
      </c>
      <c r="K86" s="23">
        <f t="shared" si="3"/>
        <v>60207.289999999994</v>
      </c>
    </row>
    <row r="87" spans="2:12" ht="18.75" x14ac:dyDescent="0.3">
      <c r="B87" s="54">
        <v>43856</v>
      </c>
      <c r="C87" s="24" t="s">
        <v>95</v>
      </c>
      <c r="D87" s="37"/>
      <c r="E87" s="21"/>
      <c r="F87" s="21"/>
      <c r="G87" s="21"/>
      <c r="H87" s="21">
        <v>200</v>
      </c>
      <c r="I87" s="22"/>
      <c r="J87" s="23">
        <f t="shared" si="2"/>
        <v>62787.95</v>
      </c>
      <c r="K87" s="23">
        <f t="shared" si="3"/>
        <v>60007.289999999994</v>
      </c>
      <c r="L87" s="1">
        <f>SUM(J87:K87)</f>
        <v>122795.23999999999</v>
      </c>
    </row>
    <row r="88" spans="2:12" ht="18.75" x14ac:dyDescent="0.3">
      <c r="B88" s="54">
        <v>43856</v>
      </c>
      <c r="C88" s="24" t="s">
        <v>133</v>
      </c>
      <c r="D88" s="37"/>
      <c r="E88" s="21"/>
      <c r="F88" s="21"/>
      <c r="G88" s="21"/>
      <c r="H88" s="21">
        <v>100</v>
      </c>
      <c r="I88" s="22"/>
      <c r="J88" s="23">
        <f t="shared" si="2"/>
        <v>62787.95</v>
      </c>
      <c r="K88" s="23">
        <f t="shared" si="3"/>
        <v>59907.289999999994</v>
      </c>
    </row>
    <row r="89" spans="2:12" ht="19.5" thickBot="1" x14ac:dyDescent="0.35">
      <c r="B89" s="54">
        <v>43856</v>
      </c>
      <c r="C89" s="20" t="s">
        <v>70</v>
      </c>
      <c r="D89" s="37">
        <v>43400</v>
      </c>
      <c r="E89" s="37"/>
      <c r="F89" s="37"/>
      <c r="G89" s="21"/>
      <c r="H89" s="21"/>
      <c r="I89" s="22"/>
      <c r="J89" s="23">
        <f t="shared" si="2"/>
        <v>62787.95</v>
      </c>
      <c r="K89" s="23">
        <f t="shared" si="3"/>
        <v>103307.29</v>
      </c>
      <c r="L89" s="1">
        <f>SUM(J89:K89)</f>
        <v>166095.24</v>
      </c>
    </row>
    <row r="90" spans="2:12" ht="19.5" thickBot="1" x14ac:dyDescent="0.35">
      <c r="B90" s="28"/>
      <c r="C90" s="29" t="s">
        <v>0</v>
      </c>
      <c r="D90" s="30">
        <f>SUM(D48:D89)</f>
        <v>191000</v>
      </c>
      <c r="E90" s="30">
        <f>SUM(E48:E89)</f>
        <v>37460.949999999997</v>
      </c>
      <c r="F90" s="32">
        <f>SUM(D90:E90)</f>
        <v>228460.95</v>
      </c>
      <c r="G90" s="33">
        <f>SUM(G48:G89)</f>
        <v>3160</v>
      </c>
      <c r="H90" s="30">
        <f>SUM(H48:H89)</f>
        <v>105432.85</v>
      </c>
      <c r="I90" s="32">
        <f>SUM(G90:H90)</f>
        <v>108592.85</v>
      </c>
      <c r="J90" s="34">
        <v>0</v>
      </c>
      <c r="K90" s="34">
        <v>0</v>
      </c>
    </row>
    <row r="91" spans="2:12" ht="18.75" x14ac:dyDescent="0.3">
      <c r="B91" s="9" t="s">
        <v>1</v>
      </c>
      <c r="C91" s="9" t="s">
        <v>2</v>
      </c>
      <c r="D91" s="9" t="s">
        <v>3</v>
      </c>
      <c r="E91" s="9" t="s">
        <v>3</v>
      </c>
      <c r="F91" s="9" t="s">
        <v>8</v>
      </c>
      <c r="G91" s="9" t="s">
        <v>9</v>
      </c>
      <c r="H91" s="10" t="s">
        <v>9</v>
      </c>
      <c r="I91" s="10" t="s">
        <v>8</v>
      </c>
      <c r="J91" s="9" t="s">
        <v>7</v>
      </c>
      <c r="K91" s="10" t="s">
        <v>6</v>
      </c>
    </row>
    <row r="92" spans="2:12" ht="19.5" thickBot="1" x14ac:dyDescent="0.35">
      <c r="B92" s="11"/>
      <c r="C92" s="11"/>
      <c r="D92" s="11" t="s">
        <v>5</v>
      </c>
      <c r="E92" s="11" t="s">
        <v>7</v>
      </c>
      <c r="F92" s="11" t="s">
        <v>3</v>
      </c>
      <c r="G92" s="11" t="s">
        <v>7</v>
      </c>
      <c r="H92" s="12" t="s">
        <v>5</v>
      </c>
      <c r="I92" s="12" t="s">
        <v>4</v>
      </c>
      <c r="J92" s="11"/>
      <c r="K92" s="12"/>
    </row>
    <row r="93" spans="2:12" ht="19.5" thickBot="1" x14ac:dyDescent="0.35">
      <c r="B93" s="28"/>
      <c r="C93" s="29"/>
      <c r="D93" s="30">
        <v>191000</v>
      </c>
      <c r="E93" s="31">
        <v>37460.949999999997</v>
      </c>
      <c r="F93" s="32">
        <f>SUM(D93:E93)</f>
        <v>228460.95</v>
      </c>
      <c r="G93" s="33">
        <v>3160</v>
      </c>
      <c r="H93" s="30">
        <v>105432.85</v>
      </c>
      <c r="I93" s="32">
        <f>SUM(G93:H93)</f>
        <v>108592.85</v>
      </c>
      <c r="J93" s="34">
        <v>62787.95</v>
      </c>
      <c r="K93" s="72">
        <v>103307.29</v>
      </c>
    </row>
    <row r="94" spans="2:12" ht="18.75" x14ac:dyDescent="0.3">
      <c r="B94" s="47">
        <v>43857</v>
      </c>
      <c r="C94" s="48" t="s">
        <v>97</v>
      </c>
      <c r="D94" s="21"/>
      <c r="E94" s="21"/>
      <c r="F94" s="21"/>
      <c r="G94" s="21"/>
      <c r="H94" s="21">
        <v>210</v>
      </c>
      <c r="I94" s="22"/>
      <c r="J94" s="23">
        <f>+J93+E94-G94</f>
        <v>62787.95</v>
      </c>
      <c r="K94" s="23">
        <f>+K93+D94-H94</f>
        <v>103097.29</v>
      </c>
    </row>
    <row r="95" spans="2:12" ht="18.75" x14ac:dyDescent="0.3">
      <c r="B95" s="47">
        <v>43857</v>
      </c>
      <c r="C95" s="48" t="s">
        <v>125</v>
      </c>
      <c r="D95" s="21"/>
      <c r="E95" s="21"/>
      <c r="F95" s="37"/>
      <c r="G95" s="21"/>
      <c r="H95" s="21">
        <v>78</v>
      </c>
      <c r="I95" s="22"/>
      <c r="J95" s="23">
        <f t="shared" ref="J95:J109" si="4">+J94+E95-G95</f>
        <v>62787.95</v>
      </c>
      <c r="K95" s="23">
        <f t="shared" ref="K95:K109" si="5">+K94+D95-H95</f>
        <v>103019.29</v>
      </c>
    </row>
    <row r="96" spans="2:12" ht="18.75" x14ac:dyDescent="0.3">
      <c r="B96" s="47">
        <v>43857</v>
      </c>
      <c r="C96" s="48" t="s">
        <v>124</v>
      </c>
      <c r="D96" s="21"/>
      <c r="E96" s="21"/>
      <c r="F96" s="21"/>
      <c r="G96" s="21"/>
      <c r="H96" s="21">
        <v>100</v>
      </c>
      <c r="I96" s="22"/>
      <c r="J96" s="23">
        <f t="shared" si="4"/>
        <v>62787.95</v>
      </c>
      <c r="K96" s="23">
        <f t="shared" si="5"/>
        <v>102919.29</v>
      </c>
    </row>
    <row r="97" spans="2:11" ht="18.75" x14ac:dyDescent="0.3">
      <c r="B97" s="47">
        <v>43858</v>
      </c>
      <c r="C97" s="48" t="s">
        <v>126</v>
      </c>
      <c r="D97" s="21"/>
      <c r="E97" s="21"/>
      <c r="F97" s="21"/>
      <c r="G97" s="21"/>
      <c r="H97" s="21">
        <v>3000</v>
      </c>
      <c r="I97" s="22"/>
      <c r="J97" s="23">
        <f t="shared" si="4"/>
        <v>62787.95</v>
      </c>
      <c r="K97" s="23">
        <f t="shared" si="5"/>
        <v>99919.29</v>
      </c>
    </row>
    <row r="98" spans="2:11" ht="18.75" x14ac:dyDescent="0.3">
      <c r="B98" s="54">
        <v>43859</v>
      </c>
      <c r="C98" s="24" t="s">
        <v>127</v>
      </c>
      <c r="D98" s="37"/>
      <c r="E98" s="21"/>
      <c r="F98" s="21"/>
      <c r="G98" s="21"/>
      <c r="H98" s="21">
        <v>5600</v>
      </c>
      <c r="I98" s="22"/>
      <c r="J98" s="23">
        <f t="shared" si="4"/>
        <v>62787.95</v>
      </c>
      <c r="K98" s="23">
        <f t="shared" si="5"/>
        <v>94319.29</v>
      </c>
    </row>
    <row r="99" spans="2:11" ht="18.75" x14ac:dyDescent="0.3">
      <c r="B99" s="47">
        <v>43859</v>
      </c>
      <c r="C99" s="48" t="s">
        <v>78</v>
      </c>
      <c r="D99" s="37"/>
      <c r="E99" s="21">
        <v>5000</v>
      </c>
      <c r="F99" s="21"/>
      <c r="G99" s="21"/>
      <c r="H99" s="21"/>
      <c r="I99" s="22"/>
      <c r="J99" s="23">
        <f t="shared" si="4"/>
        <v>67787.95</v>
      </c>
      <c r="K99" s="23">
        <f t="shared" si="5"/>
        <v>94319.29</v>
      </c>
    </row>
    <row r="100" spans="2:11" ht="18.75" x14ac:dyDescent="0.3">
      <c r="B100" s="47">
        <v>43859</v>
      </c>
      <c r="C100" s="48" t="s">
        <v>79</v>
      </c>
      <c r="D100" s="21"/>
      <c r="E100" s="21">
        <v>500</v>
      </c>
      <c r="F100" s="37"/>
      <c r="G100" s="21"/>
      <c r="H100" s="21"/>
      <c r="I100" s="22"/>
      <c r="J100" s="23">
        <f t="shared" si="4"/>
        <v>68287.95</v>
      </c>
      <c r="K100" s="23">
        <f t="shared" si="5"/>
        <v>94319.29</v>
      </c>
    </row>
    <row r="101" spans="2:11" ht="18.75" x14ac:dyDescent="0.3">
      <c r="B101" s="54">
        <v>43859</v>
      </c>
      <c r="C101" s="24" t="s">
        <v>128</v>
      </c>
      <c r="D101" s="37"/>
      <c r="E101" s="21"/>
      <c r="F101" s="21"/>
      <c r="G101" s="21"/>
      <c r="H101" s="21">
        <v>400</v>
      </c>
      <c r="I101" s="22"/>
      <c r="J101" s="23">
        <f t="shared" si="4"/>
        <v>68287.95</v>
      </c>
      <c r="K101" s="23">
        <f t="shared" si="5"/>
        <v>93919.29</v>
      </c>
    </row>
    <row r="102" spans="2:11" ht="18.75" x14ac:dyDescent="0.3">
      <c r="B102" s="54">
        <v>43859</v>
      </c>
      <c r="C102" s="20" t="s">
        <v>108</v>
      </c>
      <c r="D102" s="21"/>
      <c r="E102" s="21"/>
      <c r="F102" s="21"/>
      <c r="G102" s="21">
        <v>200</v>
      </c>
      <c r="H102" s="21"/>
      <c r="I102" s="22"/>
      <c r="J102" s="23">
        <f t="shared" si="4"/>
        <v>68087.95</v>
      </c>
      <c r="K102" s="23">
        <f t="shared" si="5"/>
        <v>93919.29</v>
      </c>
    </row>
    <row r="103" spans="2:11" ht="18.75" x14ac:dyDescent="0.3">
      <c r="B103" s="54">
        <v>43859</v>
      </c>
      <c r="C103" s="24" t="s">
        <v>109</v>
      </c>
      <c r="D103" s="21"/>
      <c r="E103" s="21"/>
      <c r="F103" s="21"/>
      <c r="G103" s="21">
        <v>32</v>
      </c>
      <c r="H103" s="21"/>
      <c r="I103" s="22"/>
      <c r="J103" s="23">
        <f t="shared" si="4"/>
        <v>68055.95</v>
      </c>
      <c r="K103" s="23">
        <f t="shared" si="5"/>
        <v>93919.29</v>
      </c>
    </row>
    <row r="104" spans="2:11" ht="18.75" x14ac:dyDescent="0.3">
      <c r="B104" s="54">
        <v>43860</v>
      </c>
      <c r="C104" s="20" t="s">
        <v>129</v>
      </c>
      <c r="D104" s="37"/>
      <c r="E104" s="21"/>
      <c r="F104" s="21"/>
      <c r="G104" s="21">
        <v>30000</v>
      </c>
      <c r="H104" s="21"/>
      <c r="I104" s="22"/>
      <c r="J104" s="23">
        <f t="shared" si="4"/>
        <v>38055.949999999997</v>
      </c>
      <c r="K104" s="23">
        <f t="shared" si="5"/>
        <v>93919.29</v>
      </c>
    </row>
    <row r="105" spans="2:11" ht="18.75" x14ac:dyDescent="0.3">
      <c r="B105" s="47">
        <v>43860</v>
      </c>
      <c r="C105" s="48" t="s">
        <v>130</v>
      </c>
      <c r="D105" s="21"/>
      <c r="E105" s="21"/>
      <c r="F105" s="21"/>
      <c r="G105" s="21"/>
      <c r="H105" s="21">
        <v>13750</v>
      </c>
      <c r="I105" s="22"/>
      <c r="J105" s="23">
        <f t="shared" si="4"/>
        <v>38055.949999999997</v>
      </c>
      <c r="K105" s="23">
        <f t="shared" si="5"/>
        <v>80169.289999999994</v>
      </c>
    </row>
    <row r="106" spans="2:11" ht="18.75" x14ac:dyDescent="0.3">
      <c r="B106" s="47">
        <v>43861</v>
      </c>
      <c r="C106" s="48" t="s">
        <v>98</v>
      </c>
      <c r="D106" s="21"/>
      <c r="E106" s="21"/>
      <c r="F106" s="37"/>
      <c r="G106" s="21"/>
      <c r="H106" s="21">
        <v>750</v>
      </c>
      <c r="I106" s="22"/>
      <c r="J106" s="23">
        <f t="shared" si="4"/>
        <v>38055.949999999997</v>
      </c>
      <c r="K106" s="23">
        <f t="shared" si="5"/>
        <v>79419.289999999994</v>
      </c>
    </row>
    <row r="107" spans="2:11" ht="18.75" x14ac:dyDescent="0.3">
      <c r="B107" s="47">
        <v>43861</v>
      </c>
      <c r="C107" s="48" t="s">
        <v>99</v>
      </c>
      <c r="D107" s="21"/>
      <c r="E107" s="21"/>
      <c r="F107" s="21"/>
      <c r="G107" s="21"/>
      <c r="H107" s="21">
        <v>144</v>
      </c>
      <c r="I107" s="22"/>
      <c r="J107" s="23">
        <f t="shared" si="4"/>
        <v>38055.949999999997</v>
      </c>
      <c r="K107" s="23">
        <f t="shared" si="5"/>
        <v>79275.289999999994</v>
      </c>
    </row>
    <row r="108" spans="2:11" ht="18.75" x14ac:dyDescent="0.3">
      <c r="B108" s="47">
        <v>43861</v>
      </c>
      <c r="C108" s="48" t="s">
        <v>100</v>
      </c>
      <c r="D108" s="21"/>
      <c r="E108" s="21"/>
      <c r="F108" s="21"/>
      <c r="G108" s="21"/>
      <c r="H108" s="21">
        <v>1070.32</v>
      </c>
      <c r="I108" s="22"/>
      <c r="J108" s="23">
        <f t="shared" si="4"/>
        <v>38055.949999999997</v>
      </c>
      <c r="K108" s="23">
        <f t="shared" si="5"/>
        <v>78204.969999999987</v>
      </c>
    </row>
    <row r="109" spans="2:11" ht="18.75" x14ac:dyDescent="0.3">
      <c r="B109" s="47">
        <v>43861</v>
      </c>
      <c r="C109" s="48" t="s">
        <v>131</v>
      </c>
      <c r="D109" s="21"/>
      <c r="E109" s="21"/>
      <c r="F109" s="21"/>
      <c r="G109" s="21"/>
      <c r="H109" s="21">
        <v>800</v>
      </c>
      <c r="I109" s="22"/>
      <c r="J109" s="23">
        <f t="shared" si="4"/>
        <v>38055.949999999997</v>
      </c>
      <c r="K109" s="23">
        <f t="shared" si="5"/>
        <v>77404.969999999987</v>
      </c>
    </row>
    <row r="110" spans="2:11" ht="18.75" x14ac:dyDescent="0.3">
      <c r="B110" s="47">
        <v>43861</v>
      </c>
      <c r="C110" s="20" t="s">
        <v>67</v>
      </c>
      <c r="D110" s="21"/>
      <c r="E110" s="21"/>
      <c r="F110" s="21"/>
      <c r="G110" s="21"/>
      <c r="H110" s="21">
        <v>1000</v>
      </c>
      <c r="I110" s="22"/>
      <c r="J110" s="23">
        <f t="shared" ref="J110:J119" si="6">+J109+E110-G110</f>
        <v>38055.949999999997</v>
      </c>
      <c r="K110" s="23">
        <f t="shared" ref="K110:K119" si="7">+K109+D110-H110</f>
        <v>76404.969999999987</v>
      </c>
    </row>
    <row r="111" spans="2:11" ht="18.75" x14ac:dyDescent="0.3">
      <c r="B111" s="47">
        <v>43861</v>
      </c>
      <c r="C111" s="48" t="s">
        <v>101</v>
      </c>
      <c r="D111" s="21"/>
      <c r="E111" s="21"/>
      <c r="F111" s="21"/>
      <c r="G111" s="21"/>
      <c r="H111" s="21">
        <v>3000</v>
      </c>
      <c r="I111" s="22"/>
      <c r="J111" s="23">
        <f t="shared" si="6"/>
        <v>38055.949999999997</v>
      </c>
      <c r="K111" s="23">
        <f t="shared" si="7"/>
        <v>73404.969999999987</v>
      </c>
    </row>
    <row r="112" spans="2:11" ht="18.75" x14ac:dyDescent="0.3">
      <c r="B112" s="47">
        <v>43861</v>
      </c>
      <c r="C112" s="48" t="s">
        <v>102</v>
      </c>
      <c r="D112" s="21"/>
      <c r="E112" s="21"/>
      <c r="F112" s="21"/>
      <c r="G112" s="21"/>
      <c r="H112" s="21">
        <v>300</v>
      </c>
      <c r="I112" s="22"/>
      <c r="J112" s="23">
        <f t="shared" si="6"/>
        <v>38055.949999999997</v>
      </c>
      <c r="K112" s="23">
        <f t="shared" si="7"/>
        <v>73104.969999999987</v>
      </c>
    </row>
    <row r="113" spans="2:11" ht="18.75" x14ac:dyDescent="0.3">
      <c r="B113" s="47">
        <v>43861</v>
      </c>
      <c r="C113" s="48" t="s">
        <v>103</v>
      </c>
      <c r="D113" s="21"/>
      <c r="E113" s="21"/>
      <c r="F113" s="37"/>
      <c r="G113" s="21"/>
      <c r="H113" s="21">
        <v>700</v>
      </c>
      <c r="I113" s="22"/>
      <c r="J113" s="23">
        <f t="shared" si="6"/>
        <v>38055.949999999997</v>
      </c>
      <c r="K113" s="23">
        <f t="shared" si="7"/>
        <v>72404.969999999987</v>
      </c>
    </row>
    <row r="114" spans="2:11" ht="18.75" x14ac:dyDescent="0.3">
      <c r="B114" s="47">
        <v>43861</v>
      </c>
      <c r="C114" s="48" t="s">
        <v>104</v>
      </c>
      <c r="D114" s="21"/>
      <c r="E114" s="21"/>
      <c r="F114" s="21"/>
      <c r="G114" s="21"/>
      <c r="H114" s="21">
        <v>3000</v>
      </c>
      <c r="I114" s="22"/>
      <c r="J114" s="23">
        <f t="shared" si="6"/>
        <v>38055.949999999997</v>
      </c>
      <c r="K114" s="23">
        <f t="shared" si="7"/>
        <v>69404.969999999987</v>
      </c>
    </row>
    <row r="115" spans="2:11" ht="18.75" x14ac:dyDescent="0.3">
      <c r="B115" s="47">
        <v>43861</v>
      </c>
      <c r="C115" s="48" t="s">
        <v>105</v>
      </c>
      <c r="D115" s="21"/>
      <c r="E115" s="21"/>
      <c r="F115" s="37"/>
      <c r="G115" s="21"/>
      <c r="H115" s="21">
        <v>3000</v>
      </c>
      <c r="I115" s="22"/>
      <c r="J115" s="23">
        <f t="shared" si="6"/>
        <v>38055.949999999997</v>
      </c>
      <c r="K115" s="23">
        <f t="shared" si="7"/>
        <v>66404.969999999987</v>
      </c>
    </row>
    <row r="116" spans="2:11" ht="18.75" x14ac:dyDescent="0.3">
      <c r="B116" s="47">
        <v>43861</v>
      </c>
      <c r="C116" s="48" t="s">
        <v>106</v>
      </c>
      <c r="D116" s="21"/>
      <c r="E116" s="21"/>
      <c r="F116" s="21"/>
      <c r="G116" s="21"/>
      <c r="H116" s="21">
        <v>36270</v>
      </c>
      <c r="I116" s="22"/>
      <c r="J116" s="23">
        <f t="shared" si="6"/>
        <v>38055.949999999997</v>
      </c>
      <c r="K116" s="23">
        <f t="shared" si="7"/>
        <v>30134.969999999987</v>
      </c>
    </row>
    <row r="117" spans="2:11" ht="18.75" x14ac:dyDescent="0.3">
      <c r="B117" s="47">
        <v>43861</v>
      </c>
      <c r="C117" s="48" t="s">
        <v>107</v>
      </c>
      <c r="D117" s="21">
        <v>3050</v>
      </c>
      <c r="E117" s="21"/>
      <c r="F117" s="21"/>
      <c r="G117" s="21"/>
      <c r="H117" s="21"/>
      <c r="I117" s="22"/>
      <c r="J117" s="23">
        <f t="shared" si="6"/>
        <v>38055.949999999997</v>
      </c>
      <c r="K117" s="23">
        <f t="shared" si="7"/>
        <v>33184.969999999987</v>
      </c>
    </row>
    <row r="118" spans="2:11" ht="18.75" x14ac:dyDescent="0.3">
      <c r="B118" s="47">
        <v>43861</v>
      </c>
      <c r="C118" s="20" t="s">
        <v>110</v>
      </c>
      <c r="D118" s="21"/>
      <c r="E118" s="21"/>
      <c r="F118" s="21"/>
      <c r="G118" s="21">
        <v>36</v>
      </c>
      <c r="H118" s="21"/>
      <c r="I118" s="22"/>
      <c r="J118" s="23">
        <f t="shared" si="6"/>
        <v>38019.949999999997</v>
      </c>
      <c r="K118" s="23">
        <f t="shared" si="7"/>
        <v>33184.969999999987</v>
      </c>
    </row>
    <row r="119" spans="2:11" ht="19.5" thickBot="1" x14ac:dyDescent="0.35">
      <c r="B119" s="47">
        <v>43861</v>
      </c>
      <c r="C119" s="24" t="s">
        <v>111</v>
      </c>
      <c r="D119" s="21"/>
      <c r="E119" s="21"/>
      <c r="F119" s="21"/>
      <c r="G119" s="21">
        <v>5.76</v>
      </c>
      <c r="H119" s="21"/>
      <c r="I119" s="22"/>
      <c r="J119" s="23">
        <f t="shared" si="6"/>
        <v>38014.189999999995</v>
      </c>
      <c r="K119" s="23">
        <f t="shared" si="7"/>
        <v>33184.969999999987</v>
      </c>
    </row>
    <row r="120" spans="2:11" ht="19.5" thickBot="1" x14ac:dyDescent="0.35">
      <c r="B120" s="28"/>
      <c r="C120" s="29" t="s">
        <v>0</v>
      </c>
      <c r="D120" s="30">
        <f>SUM(D93:D119)</f>
        <v>194050</v>
      </c>
      <c r="E120" s="30">
        <f>SUM(E93:E119)</f>
        <v>42960.95</v>
      </c>
      <c r="F120" s="32">
        <f>SUM(D120:E120)</f>
        <v>237010.95</v>
      </c>
      <c r="G120" s="33">
        <f>SUM(G93:G119)</f>
        <v>33433.760000000002</v>
      </c>
      <c r="H120" s="30">
        <f>SUM(H93:H119)</f>
        <v>178605.17</v>
      </c>
      <c r="I120" s="32">
        <f>SUM(G120:H120)</f>
        <v>212038.93000000002</v>
      </c>
      <c r="J120" s="34">
        <v>0</v>
      </c>
      <c r="K120" s="34">
        <v>0</v>
      </c>
    </row>
    <row r="121" spans="2:11" ht="19.5" thickBot="1" x14ac:dyDescent="0.35"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2:11" ht="19.5" thickBot="1" x14ac:dyDescent="0.35">
      <c r="B122" s="7"/>
      <c r="C122" s="7"/>
      <c r="D122" s="7"/>
      <c r="E122" s="7"/>
      <c r="F122" s="7"/>
      <c r="G122" s="7"/>
      <c r="H122" s="7"/>
      <c r="I122" s="38" t="s">
        <v>7</v>
      </c>
      <c r="J122" s="38" t="s">
        <v>6</v>
      </c>
      <c r="K122" s="39" t="s">
        <v>0</v>
      </c>
    </row>
    <row r="123" spans="2:11" ht="19.5" thickBot="1" x14ac:dyDescent="0.35">
      <c r="B123" s="7"/>
      <c r="C123" s="7"/>
      <c r="D123" s="7"/>
      <c r="E123" s="7"/>
      <c r="F123" s="7"/>
      <c r="G123" s="7"/>
      <c r="H123" s="7"/>
      <c r="I123" s="40">
        <v>38014.19</v>
      </c>
      <c r="J123" s="40">
        <v>33184.97</v>
      </c>
      <c r="K123" s="34">
        <f>SUM(I123:J123)</f>
        <v>71199.16</v>
      </c>
    </row>
  </sheetData>
  <printOptions verticalCentered="1"/>
  <pageMargins left="0.11811023622047245" right="0.70866141732283472" top="0" bottom="0.35433070866141736" header="0.31496062992125984" footer="0.31496062992125984"/>
  <pageSetup paperSize="9" scale="6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2"/>
  <sheetViews>
    <sheetView zoomScale="80" zoomScaleNormal="80" workbookViewId="0">
      <pane ySplit="3" topLeftCell="A89" activePane="bottomLeft" state="frozen"/>
      <selection pane="bottomLeft" activeCell="C25" sqref="C25"/>
    </sheetView>
  </sheetViews>
  <sheetFormatPr baseColWidth="10" defaultRowHeight="15" x14ac:dyDescent="0.25"/>
  <cols>
    <col min="1" max="1" width="0.85546875" customWidth="1"/>
    <col min="2" max="2" width="13.7109375" customWidth="1"/>
    <col min="3" max="3" width="85.85546875" customWidth="1"/>
    <col min="4" max="11" width="13" customWidth="1"/>
    <col min="12" max="12" width="11.85546875" customWidth="1"/>
  </cols>
  <sheetData>
    <row r="1" spans="2:11" ht="19.5" thickBot="1" x14ac:dyDescent="0.35">
      <c r="B1" s="44"/>
      <c r="C1" s="8" t="s">
        <v>12</v>
      </c>
      <c r="D1" s="7"/>
      <c r="E1" s="7"/>
      <c r="F1" s="7"/>
      <c r="G1" s="7"/>
      <c r="H1" s="7"/>
      <c r="I1" s="7"/>
      <c r="J1" s="7"/>
      <c r="K1" s="7"/>
    </row>
    <row r="2" spans="2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1">
        <v>43861</v>
      </c>
      <c r="C4" s="14" t="s">
        <v>14</v>
      </c>
      <c r="D4" s="15"/>
      <c r="E4" s="16"/>
      <c r="F4" s="16"/>
      <c r="G4" s="16"/>
      <c r="H4" s="17"/>
      <c r="I4" s="18"/>
      <c r="J4" s="72">
        <v>38014.19</v>
      </c>
      <c r="K4" s="72">
        <v>33184.97</v>
      </c>
    </row>
    <row r="5" spans="2:11" ht="18.75" x14ac:dyDescent="0.3">
      <c r="B5" s="13">
        <v>43862</v>
      </c>
      <c r="C5" s="45" t="s">
        <v>178</v>
      </c>
      <c r="D5" s="15"/>
      <c r="E5" s="16"/>
      <c r="F5" s="16"/>
      <c r="G5" s="16"/>
      <c r="H5" s="17">
        <v>2500</v>
      </c>
      <c r="I5" s="18"/>
      <c r="J5" s="23">
        <f>+J4+E5-G5</f>
        <v>38014.19</v>
      </c>
      <c r="K5" s="23">
        <f>+K4+D5-H5</f>
        <v>30684.97</v>
      </c>
    </row>
    <row r="6" spans="2:11" ht="18.75" x14ac:dyDescent="0.3">
      <c r="B6" s="13">
        <v>43862</v>
      </c>
      <c r="C6" s="20" t="s">
        <v>192</v>
      </c>
      <c r="D6" s="37"/>
      <c r="E6" s="21"/>
      <c r="F6" s="21"/>
      <c r="G6" s="21"/>
      <c r="H6" s="21">
        <v>300</v>
      </c>
      <c r="I6" s="22"/>
      <c r="J6" s="23">
        <f t="shared" ref="J6:J46" si="0">+J5+E6-G6</f>
        <v>38014.19</v>
      </c>
      <c r="K6" s="23">
        <f t="shared" ref="K6:K46" si="1">+K5+D6-H6</f>
        <v>30384.97</v>
      </c>
    </row>
    <row r="7" spans="2:11" ht="18.75" x14ac:dyDescent="0.3">
      <c r="B7" s="25">
        <v>43863</v>
      </c>
      <c r="C7" s="24" t="s">
        <v>204</v>
      </c>
      <c r="D7" s="37"/>
      <c r="E7" s="21"/>
      <c r="F7" s="21"/>
      <c r="G7" s="21"/>
      <c r="H7" s="21">
        <v>400</v>
      </c>
      <c r="I7" s="22"/>
      <c r="J7" s="23">
        <f t="shared" si="0"/>
        <v>38014.19</v>
      </c>
      <c r="K7" s="23">
        <f t="shared" si="1"/>
        <v>29984.97</v>
      </c>
    </row>
    <row r="8" spans="2:11" ht="18.75" x14ac:dyDescent="0.3">
      <c r="B8" s="25">
        <v>43863</v>
      </c>
      <c r="C8" s="46" t="s">
        <v>205</v>
      </c>
      <c r="D8" s="37"/>
      <c r="E8" s="21"/>
      <c r="F8" s="21"/>
      <c r="G8" s="21"/>
      <c r="H8" s="21">
        <v>200</v>
      </c>
      <c r="I8" s="22"/>
      <c r="J8" s="23">
        <f t="shared" si="0"/>
        <v>38014.19</v>
      </c>
      <c r="K8" s="23">
        <f t="shared" si="1"/>
        <v>29784.97</v>
      </c>
    </row>
    <row r="9" spans="2:11" ht="18.75" x14ac:dyDescent="0.3">
      <c r="B9" s="25">
        <v>43863</v>
      </c>
      <c r="C9" s="24" t="s">
        <v>193</v>
      </c>
      <c r="D9" s="37"/>
      <c r="E9" s="21"/>
      <c r="F9" s="21"/>
      <c r="G9" s="21"/>
      <c r="H9" s="21">
        <v>32.5</v>
      </c>
      <c r="I9" s="22"/>
      <c r="J9" s="23">
        <f t="shared" si="0"/>
        <v>38014.19</v>
      </c>
      <c r="K9" s="23">
        <f t="shared" si="1"/>
        <v>29752.47</v>
      </c>
    </row>
    <row r="10" spans="2:11" ht="18.75" x14ac:dyDescent="0.3">
      <c r="B10" s="25">
        <v>43863</v>
      </c>
      <c r="C10" s="24" t="s">
        <v>206</v>
      </c>
      <c r="D10" s="37">
        <v>33190</v>
      </c>
      <c r="E10" s="21"/>
      <c r="F10" s="21"/>
      <c r="G10" s="21"/>
      <c r="H10" s="21"/>
      <c r="I10" s="22"/>
      <c r="J10" s="23">
        <f t="shared" si="0"/>
        <v>38014.19</v>
      </c>
      <c r="K10" s="23">
        <f t="shared" si="1"/>
        <v>62942.47</v>
      </c>
    </row>
    <row r="11" spans="2:11" ht="18.75" x14ac:dyDescent="0.3">
      <c r="B11" s="25">
        <v>43864</v>
      </c>
      <c r="C11" s="46" t="s">
        <v>194</v>
      </c>
      <c r="D11" s="37"/>
      <c r="E11" s="21"/>
      <c r="F11" s="21"/>
      <c r="G11" s="21"/>
      <c r="H11" s="21">
        <v>300</v>
      </c>
      <c r="I11" s="22"/>
      <c r="J11" s="23">
        <f t="shared" si="0"/>
        <v>38014.19</v>
      </c>
      <c r="K11" s="23">
        <f t="shared" si="1"/>
        <v>62642.47</v>
      </c>
    </row>
    <row r="12" spans="2:11" ht="18.75" x14ac:dyDescent="0.3">
      <c r="B12" s="25">
        <v>43864</v>
      </c>
      <c r="C12" s="27" t="s">
        <v>134</v>
      </c>
      <c r="D12" s="37"/>
      <c r="E12" s="21"/>
      <c r="F12" s="21"/>
      <c r="G12" s="21"/>
      <c r="H12" s="21">
        <v>78</v>
      </c>
      <c r="I12" s="22"/>
      <c r="J12" s="23">
        <f t="shared" si="0"/>
        <v>38014.19</v>
      </c>
      <c r="K12" s="23">
        <f t="shared" si="1"/>
        <v>62564.47</v>
      </c>
    </row>
    <row r="13" spans="2:11" ht="18.75" x14ac:dyDescent="0.3">
      <c r="B13" s="25">
        <v>43864</v>
      </c>
      <c r="C13" s="24" t="s">
        <v>188</v>
      </c>
      <c r="D13" s="37"/>
      <c r="E13" s="21"/>
      <c r="F13" s="21"/>
      <c r="G13" s="21"/>
      <c r="H13" s="21">
        <v>1600</v>
      </c>
      <c r="I13" s="22"/>
      <c r="J13" s="23">
        <f t="shared" si="0"/>
        <v>38014.19</v>
      </c>
      <c r="K13" s="23">
        <f t="shared" si="1"/>
        <v>60964.47</v>
      </c>
    </row>
    <row r="14" spans="2:11" ht="18.75" x14ac:dyDescent="0.3">
      <c r="B14" s="25">
        <v>43865</v>
      </c>
      <c r="C14" s="24" t="s">
        <v>135</v>
      </c>
      <c r="D14" s="37"/>
      <c r="E14" s="21"/>
      <c r="F14" s="21"/>
      <c r="G14" s="21"/>
      <c r="H14" s="21">
        <v>2399.1999999999998</v>
      </c>
      <c r="I14" s="22"/>
      <c r="J14" s="23">
        <f t="shared" si="0"/>
        <v>38014.19</v>
      </c>
      <c r="K14" s="23">
        <f t="shared" si="1"/>
        <v>58565.270000000004</v>
      </c>
    </row>
    <row r="15" spans="2:11" ht="18.75" x14ac:dyDescent="0.3">
      <c r="B15" s="25">
        <v>43865</v>
      </c>
      <c r="C15" s="24" t="s">
        <v>136</v>
      </c>
      <c r="D15" s="37"/>
      <c r="E15" s="21"/>
      <c r="F15" s="21"/>
      <c r="G15" s="21"/>
      <c r="H15" s="21">
        <v>30</v>
      </c>
      <c r="I15" s="22"/>
      <c r="J15" s="23">
        <f t="shared" si="0"/>
        <v>38014.19</v>
      </c>
      <c r="K15" s="23">
        <f t="shared" si="1"/>
        <v>58535.270000000004</v>
      </c>
    </row>
    <row r="16" spans="2:11" ht="18.75" x14ac:dyDescent="0.3">
      <c r="B16" s="25">
        <v>43866</v>
      </c>
      <c r="C16" s="46" t="s">
        <v>137</v>
      </c>
      <c r="D16" s="37"/>
      <c r="E16" s="21"/>
      <c r="F16" s="21"/>
      <c r="G16" s="21"/>
      <c r="H16" s="21">
        <v>350</v>
      </c>
      <c r="I16" s="22"/>
      <c r="J16" s="23">
        <f t="shared" si="0"/>
        <v>38014.19</v>
      </c>
      <c r="K16" s="23">
        <f t="shared" si="1"/>
        <v>58185.270000000004</v>
      </c>
    </row>
    <row r="17" spans="2:11" ht="18.75" x14ac:dyDescent="0.3">
      <c r="B17" s="25">
        <v>43866</v>
      </c>
      <c r="C17" s="24" t="s">
        <v>138</v>
      </c>
      <c r="D17" s="37"/>
      <c r="E17" s="21"/>
      <c r="F17" s="21"/>
      <c r="G17" s="21"/>
      <c r="H17" s="21">
        <v>500</v>
      </c>
      <c r="I17" s="22"/>
      <c r="J17" s="23">
        <f t="shared" si="0"/>
        <v>38014.19</v>
      </c>
      <c r="K17" s="23">
        <f t="shared" si="1"/>
        <v>57685.270000000004</v>
      </c>
    </row>
    <row r="18" spans="2:11" ht="18.75" x14ac:dyDescent="0.3">
      <c r="B18" s="25">
        <v>43866</v>
      </c>
      <c r="C18" s="24" t="s">
        <v>139</v>
      </c>
      <c r="D18" s="37"/>
      <c r="E18" s="21"/>
      <c r="F18" s="21"/>
      <c r="G18" s="21"/>
      <c r="H18" s="21">
        <v>116</v>
      </c>
      <c r="I18" s="22"/>
      <c r="J18" s="23">
        <f t="shared" si="0"/>
        <v>38014.19</v>
      </c>
      <c r="K18" s="23">
        <f t="shared" si="1"/>
        <v>57569.270000000004</v>
      </c>
    </row>
    <row r="19" spans="2:11" ht="18.75" x14ac:dyDescent="0.3">
      <c r="B19" s="25">
        <v>43866</v>
      </c>
      <c r="C19" s="24" t="s">
        <v>140</v>
      </c>
      <c r="D19" s="37"/>
      <c r="E19" s="21"/>
      <c r="F19" s="21"/>
      <c r="G19" s="21"/>
      <c r="H19" s="21">
        <v>260</v>
      </c>
      <c r="I19" s="22"/>
      <c r="J19" s="23">
        <f t="shared" si="0"/>
        <v>38014.19</v>
      </c>
      <c r="K19" s="23">
        <f t="shared" si="1"/>
        <v>57309.270000000004</v>
      </c>
    </row>
    <row r="20" spans="2:11" ht="18.75" x14ac:dyDescent="0.3">
      <c r="B20" s="25">
        <v>43866</v>
      </c>
      <c r="C20" s="24" t="s">
        <v>141</v>
      </c>
      <c r="D20" s="37"/>
      <c r="E20" s="21"/>
      <c r="F20" s="21"/>
      <c r="G20" s="21"/>
      <c r="H20" s="21">
        <v>485</v>
      </c>
      <c r="I20" s="22"/>
      <c r="J20" s="23">
        <f t="shared" si="0"/>
        <v>38014.19</v>
      </c>
      <c r="K20" s="23">
        <f t="shared" si="1"/>
        <v>56824.270000000004</v>
      </c>
    </row>
    <row r="21" spans="2:11" ht="18.75" x14ac:dyDescent="0.3">
      <c r="B21" s="25">
        <v>43866</v>
      </c>
      <c r="C21" s="24" t="s">
        <v>142</v>
      </c>
      <c r="D21" s="37"/>
      <c r="E21" s="21"/>
      <c r="F21" s="21"/>
      <c r="G21" s="21"/>
      <c r="H21" s="21">
        <v>1800</v>
      </c>
      <c r="I21" s="22"/>
      <c r="J21" s="23">
        <f t="shared" si="0"/>
        <v>38014.19</v>
      </c>
      <c r="K21" s="23">
        <f t="shared" si="1"/>
        <v>55024.270000000004</v>
      </c>
    </row>
    <row r="22" spans="2:11" ht="18.75" x14ac:dyDescent="0.3">
      <c r="B22" s="25">
        <v>43866</v>
      </c>
      <c r="C22" s="24" t="s">
        <v>143</v>
      </c>
      <c r="D22" s="37"/>
      <c r="E22" s="21"/>
      <c r="F22" s="21"/>
      <c r="G22" s="21"/>
      <c r="H22" s="21">
        <v>200</v>
      </c>
      <c r="I22" s="22"/>
      <c r="J22" s="23">
        <f t="shared" si="0"/>
        <v>38014.19</v>
      </c>
      <c r="K22" s="23">
        <f t="shared" si="1"/>
        <v>54824.270000000004</v>
      </c>
    </row>
    <row r="23" spans="2:11" ht="18.75" x14ac:dyDescent="0.3">
      <c r="B23" s="25">
        <v>43867</v>
      </c>
      <c r="C23" s="24" t="s">
        <v>144</v>
      </c>
      <c r="D23" s="37"/>
      <c r="E23" s="21"/>
      <c r="F23" s="21"/>
      <c r="G23" s="21"/>
      <c r="H23" s="21">
        <v>1825.01</v>
      </c>
      <c r="I23" s="22"/>
      <c r="J23" s="23">
        <f t="shared" si="0"/>
        <v>38014.19</v>
      </c>
      <c r="K23" s="23">
        <f t="shared" si="1"/>
        <v>52999.26</v>
      </c>
    </row>
    <row r="24" spans="2:11" ht="18.75" x14ac:dyDescent="0.3">
      <c r="B24" s="25">
        <v>43867</v>
      </c>
      <c r="C24" s="24" t="s">
        <v>145</v>
      </c>
      <c r="D24" s="37"/>
      <c r="E24" s="37"/>
      <c r="F24" s="21"/>
      <c r="G24" s="21"/>
      <c r="H24" s="21">
        <v>778</v>
      </c>
      <c r="I24" s="22"/>
      <c r="J24" s="23">
        <f t="shared" si="0"/>
        <v>38014.19</v>
      </c>
      <c r="K24" s="23">
        <f t="shared" si="1"/>
        <v>52221.26</v>
      </c>
    </row>
    <row r="25" spans="2:11" ht="18.75" x14ac:dyDescent="0.3">
      <c r="B25" s="25">
        <v>43867</v>
      </c>
      <c r="C25" s="24" t="s">
        <v>146</v>
      </c>
      <c r="D25" s="37"/>
      <c r="E25" s="37"/>
      <c r="F25" s="21"/>
      <c r="G25" s="21"/>
      <c r="H25" s="21">
        <v>778</v>
      </c>
      <c r="I25" s="22"/>
      <c r="J25" s="23">
        <f t="shared" si="0"/>
        <v>38014.19</v>
      </c>
      <c r="K25" s="23">
        <f t="shared" si="1"/>
        <v>51443.26</v>
      </c>
    </row>
    <row r="26" spans="2:11" ht="18.75" x14ac:dyDescent="0.3">
      <c r="B26" s="47">
        <v>43867</v>
      </c>
      <c r="C26" s="24" t="s">
        <v>148</v>
      </c>
      <c r="D26" s="37"/>
      <c r="E26" s="37"/>
      <c r="F26" s="21"/>
      <c r="G26" s="21"/>
      <c r="H26" s="21">
        <v>845.11</v>
      </c>
      <c r="I26" s="22"/>
      <c r="J26" s="23">
        <f t="shared" si="0"/>
        <v>38014.19</v>
      </c>
      <c r="K26" s="23">
        <f t="shared" si="1"/>
        <v>50598.15</v>
      </c>
    </row>
    <row r="27" spans="2:11" ht="18.75" x14ac:dyDescent="0.3">
      <c r="B27" s="51">
        <v>43867</v>
      </c>
      <c r="C27" s="24" t="s">
        <v>147</v>
      </c>
      <c r="D27" s="37"/>
      <c r="E27" s="37"/>
      <c r="F27" s="37"/>
      <c r="G27" s="21"/>
      <c r="H27" s="21">
        <v>544.75</v>
      </c>
      <c r="I27" s="22"/>
      <c r="J27" s="23">
        <f t="shared" si="0"/>
        <v>38014.19</v>
      </c>
      <c r="K27" s="23">
        <f t="shared" si="1"/>
        <v>50053.4</v>
      </c>
    </row>
    <row r="28" spans="2:11" ht="18.75" x14ac:dyDescent="0.3">
      <c r="B28" s="49">
        <v>43869</v>
      </c>
      <c r="C28" s="36" t="s">
        <v>179</v>
      </c>
      <c r="D28" s="37"/>
      <c r="E28" s="37"/>
      <c r="F28" s="37"/>
      <c r="G28" s="37"/>
      <c r="H28" s="21">
        <v>160</v>
      </c>
      <c r="I28" s="22"/>
      <c r="J28" s="23">
        <f t="shared" si="0"/>
        <v>38014.19</v>
      </c>
      <c r="K28" s="23">
        <f t="shared" si="1"/>
        <v>49893.4</v>
      </c>
    </row>
    <row r="29" spans="2:11" ht="18.75" x14ac:dyDescent="0.3">
      <c r="B29" s="47">
        <v>43869</v>
      </c>
      <c r="C29" s="36" t="s">
        <v>180</v>
      </c>
      <c r="D29" s="37"/>
      <c r="E29" s="21"/>
      <c r="F29" s="21"/>
      <c r="G29" s="21"/>
      <c r="H29" s="21">
        <v>1600</v>
      </c>
      <c r="I29" s="22"/>
      <c r="J29" s="23">
        <f t="shared" si="0"/>
        <v>38014.19</v>
      </c>
      <c r="K29" s="23">
        <f t="shared" si="1"/>
        <v>48293.4</v>
      </c>
    </row>
    <row r="30" spans="2:11" ht="18.75" x14ac:dyDescent="0.3">
      <c r="B30" s="47">
        <v>43869</v>
      </c>
      <c r="C30" s="48" t="s">
        <v>187</v>
      </c>
      <c r="D30" s="37"/>
      <c r="E30" s="21"/>
      <c r="F30" s="21"/>
      <c r="G30" s="21"/>
      <c r="H30" s="21">
        <v>800</v>
      </c>
      <c r="I30" s="22"/>
      <c r="J30" s="23">
        <f t="shared" si="0"/>
        <v>38014.19</v>
      </c>
      <c r="K30" s="23">
        <f t="shared" si="1"/>
        <v>47493.4</v>
      </c>
    </row>
    <row r="31" spans="2:11" ht="18.75" x14ac:dyDescent="0.3">
      <c r="B31" s="47">
        <v>43869</v>
      </c>
      <c r="C31" s="36" t="s">
        <v>195</v>
      </c>
      <c r="D31" s="37"/>
      <c r="E31" s="21"/>
      <c r="F31" s="21"/>
      <c r="G31" s="21"/>
      <c r="H31" s="21">
        <v>207.9</v>
      </c>
      <c r="I31" s="22"/>
      <c r="J31" s="23">
        <f t="shared" si="0"/>
        <v>38014.19</v>
      </c>
      <c r="K31" s="23">
        <f t="shared" si="1"/>
        <v>47285.5</v>
      </c>
    </row>
    <row r="32" spans="2:11" ht="18.75" x14ac:dyDescent="0.3">
      <c r="B32" s="47">
        <v>43869</v>
      </c>
      <c r="C32" s="36" t="s">
        <v>149</v>
      </c>
      <c r="D32" s="37"/>
      <c r="E32" s="21"/>
      <c r="F32" s="21"/>
      <c r="G32" s="21"/>
      <c r="H32" s="21">
        <v>630</v>
      </c>
      <c r="I32" s="22"/>
      <c r="J32" s="23">
        <f t="shared" si="0"/>
        <v>38014.19</v>
      </c>
      <c r="K32" s="23">
        <f t="shared" si="1"/>
        <v>46655.5</v>
      </c>
    </row>
    <row r="33" spans="2:11" ht="18.75" x14ac:dyDescent="0.3">
      <c r="B33" s="47">
        <v>43869</v>
      </c>
      <c r="C33" s="36" t="s">
        <v>207</v>
      </c>
      <c r="D33" s="37"/>
      <c r="E33" s="21"/>
      <c r="F33" s="21"/>
      <c r="G33" s="21"/>
      <c r="H33" s="21">
        <v>200</v>
      </c>
      <c r="I33" s="22"/>
      <c r="J33" s="23">
        <f t="shared" si="0"/>
        <v>38014.19</v>
      </c>
      <c r="K33" s="23">
        <f t="shared" si="1"/>
        <v>46455.5</v>
      </c>
    </row>
    <row r="34" spans="2:11" ht="18.75" x14ac:dyDescent="0.3">
      <c r="B34" s="54">
        <v>43869</v>
      </c>
      <c r="C34" s="58" t="s">
        <v>196</v>
      </c>
      <c r="D34" s="37"/>
      <c r="E34" s="21"/>
      <c r="F34" s="21"/>
      <c r="G34" s="21"/>
      <c r="H34" s="21">
        <v>100</v>
      </c>
      <c r="I34" s="22"/>
      <c r="J34" s="23">
        <f t="shared" si="0"/>
        <v>38014.19</v>
      </c>
      <c r="K34" s="23">
        <f t="shared" si="1"/>
        <v>46355.5</v>
      </c>
    </row>
    <row r="35" spans="2:11" ht="18.75" x14ac:dyDescent="0.3">
      <c r="B35" s="47">
        <v>43869</v>
      </c>
      <c r="C35" s="36" t="s">
        <v>193</v>
      </c>
      <c r="D35" s="37"/>
      <c r="E35" s="21"/>
      <c r="F35" s="21"/>
      <c r="G35" s="21"/>
      <c r="H35" s="21">
        <v>30</v>
      </c>
      <c r="I35" s="22"/>
      <c r="J35" s="23">
        <f t="shared" si="0"/>
        <v>38014.19</v>
      </c>
      <c r="K35" s="23">
        <f t="shared" si="1"/>
        <v>46325.5</v>
      </c>
    </row>
    <row r="36" spans="2:11" ht="18.75" x14ac:dyDescent="0.3">
      <c r="B36" s="77">
        <v>43869</v>
      </c>
      <c r="C36" s="48" t="s">
        <v>208</v>
      </c>
      <c r="D36" s="37">
        <v>45700</v>
      </c>
      <c r="E36" s="21"/>
      <c r="F36" s="21"/>
      <c r="G36" s="21"/>
      <c r="H36" s="21"/>
      <c r="I36" s="22"/>
      <c r="J36" s="23">
        <f t="shared" si="0"/>
        <v>38014.19</v>
      </c>
      <c r="K36" s="23">
        <f t="shared" si="1"/>
        <v>92025.5</v>
      </c>
    </row>
    <row r="37" spans="2:11" ht="18.75" x14ac:dyDescent="0.3">
      <c r="B37" s="47">
        <v>43871</v>
      </c>
      <c r="C37" s="76" t="s">
        <v>183</v>
      </c>
      <c r="D37" s="37"/>
      <c r="E37" s="21"/>
      <c r="F37" s="21"/>
      <c r="G37" s="21"/>
      <c r="H37" s="21">
        <v>117</v>
      </c>
      <c r="I37" s="22"/>
      <c r="J37" s="23">
        <f t="shared" si="0"/>
        <v>38014.19</v>
      </c>
      <c r="K37" s="23">
        <f t="shared" si="1"/>
        <v>91908.5</v>
      </c>
    </row>
    <row r="38" spans="2:11" ht="18.75" x14ac:dyDescent="0.3">
      <c r="B38" s="52">
        <v>43872</v>
      </c>
      <c r="C38" s="36" t="s">
        <v>150</v>
      </c>
      <c r="D38" s="37"/>
      <c r="E38" s="21"/>
      <c r="F38" s="21"/>
      <c r="G38" s="21"/>
      <c r="H38" s="21">
        <v>400</v>
      </c>
      <c r="I38" s="22"/>
      <c r="J38" s="23">
        <f t="shared" si="0"/>
        <v>38014.19</v>
      </c>
      <c r="K38" s="23">
        <f t="shared" si="1"/>
        <v>91508.5</v>
      </c>
    </row>
    <row r="39" spans="2:11" ht="18.75" x14ac:dyDescent="0.3">
      <c r="B39" s="47">
        <v>43875</v>
      </c>
      <c r="C39" s="36" t="s">
        <v>197</v>
      </c>
      <c r="D39" s="37"/>
      <c r="E39" s="21"/>
      <c r="F39" s="21"/>
      <c r="G39" s="21"/>
      <c r="H39" s="21">
        <v>750</v>
      </c>
      <c r="I39" s="22"/>
      <c r="J39" s="23">
        <f t="shared" si="0"/>
        <v>38014.19</v>
      </c>
      <c r="K39" s="23">
        <f t="shared" si="1"/>
        <v>90758.5</v>
      </c>
    </row>
    <row r="40" spans="2:11" ht="18.75" x14ac:dyDescent="0.3">
      <c r="B40" s="50">
        <v>43876</v>
      </c>
      <c r="C40" s="35" t="s">
        <v>181</v>
      </c>
      <c r="D40" s="37"/>
      <c r="E40" s="21"/>
      <c r="F40" s="21"/>
      <c r="G40" s="21"/>
      <c r="H40" s="21">
        <v>3000</v>
      </c>
      <c r="I40" s="22"/>
      <c r="J40" s="23">
        <f t="shared" si="0"/>
        <v>38014.19</v>
      </c>
      <c r="K40" s="23">
        <f t="shared" si="1"/>
        <v>87758.5</v>
      </c>
    </row>
    <row r="41" spans="2:11" ht="18.75" x14ac:dyDescent="0.3">
      <c r="B41" s="49">
        <v>43876</v>
      </c>
      <c r="C41" s="36" t="s">
        <v>151</v>
      </c>
      <c r="D41" s="37"/>
      <c r="E41" s="21"/>
      <c r="F41" s="21"/>
      <c r="G41" s="21"/>
      <c r="H41" s="21">
        <v>6000</v>
      </c>
      <c r="I41" s="22"/>
      <c r="J41" s="23">
        <f t="shared" si="0"/>
        <v>38014.19</v>
      </c>
      <c r="K41" s="23">
        <f t="shared" si="1"/>
        <v>81758.5</v>
      </c>
    </row>
    <row r="42" spans="2:11" ht="18.75" x14ac:dyDescent="0.3">
      <c r="B42" s="47">
        <v>43876</v>
      </c>
      <c r="C42" s="36" t="s">
        <v>152</v>
      </c>
      <c r="D42" s="37"/>
      <c r="E42" s="21"/>
      <c r="F42" s="21"/>
      <c r="G42" s="21"/>
      <c r="H42" s="21">
        <v>40370</v>
      </c>
      <c r="I42" s="22"/>
      <c r="J42" s="23">
        <f t="shared" si="0"/>
        <v>38014.19</v>
      </c>
      <c r="K42" s="23">
        <f t="shared" si="1"/>
        <v>41388.5</v>
      </c>
    </row>
    <row r="43" spans="2:11" ht="18.75" x14ac:dyDescent="0.3">
      <c r="B43" s="51">
        <v>43876</v>
      </c>
      <c r="C43" s="36" t="s">
        <v>182</v>
      </c>
      <c r="D43" s="37"/>
      <c r="E43" s="21"/>
      <c r="F43" s="21"/>
      <c r="G43" s="21"/>
      <c r="H43" s="21">
        <v>300</v>
      </c>
      <c r="I43" s="22"/>
      <c r="J43" s="23">
        <f t="shared" si="0"/>
        <v>38014.19</v>
      </c>
      <c r="K43" s="23">
        <f t="shared" si="1"/>
        <v>41088.5</v>
      </c>
    </row>
    <row r="44" spans="2:11" ht="18.75" x14ac:dyDescent="0.3">
      <c r="B44" s="49">
        <v>43877</v>
      </c>
      <c r="C44" s="36" t="s">
        <v>156</v>
      </c>
      <c r="D44" s="37"/>
      <c r="E44" s="21"/>
      <c r="F44" s="21"/>
      <c r="G44" s="21"/>
      <c r="H44" s="21">
        <v>17.5</v>
      </c>
      <c r="I44" s="22"/>
      <c r="J44" s="23">
        <f t="shared" si="0"/>
        <v>38014.19</v>
      </c>
      <c r="K44" s="23">
        <f t="shared" si="1"/>
        <v>41071</v>
      </c>
    </row>
    <row r="45" spans="2:11" ht="18.75" x14ac:dyDescent="0.3">
      <c r="B45" s="51">
        <v>43877</v>
      </c>
      <c r="C45" s="36" t="s">
        <v>209</v>
      </c>
      <c r="D45" s="37"/>
      <c r="E45" s="21"/>
      <c r="F45" s="21"/>
      <c r="G45" s="21"/>
      <c r="H45" s="21">
        <v>500</v>
      </c>
      <c r="I45" s="22"/>
      <c r="J45" s="23">
        <f t="shared" si="0"/>
        <v>38014.19</v>
      </c>
      <c r="K45" s="23">
        <f t="shared" si="1"/>
        <v>40571</v>
      </c>
    </row>
    <row r="46" spans="2:11" ht="19.5" thickBot="1" x14ac:dyDescent="0.35">
      <c r="B46" s="49">
        <v>43877</v>
      </c>
      <c r="C46" s="36" t="s">
        <v>210</v>
      </c>
      <c r="D46" s="37"/>
      <c r="E46" s="21"/>
      <c r="F46" s="21"/>
      <c r="G46" s="21"/>
      <c r="H46" s="21">
        <v>200</v>
      </c>
      <c r="I46" s="22"/>
      <c r="J46" s="23">
        <f t="shared" si="0"/>
        <v>38014.19</v>
      </c>
      <c r="K46" s="23">
        <f t="shared" si="1"/>
        <v>40371</v>
      </c>
    </row>
    <row r="47" spans="2:11" ht="19.5" thickBot="1" x14ac:dyDescent="0.35">
      <c r="B47" s="28"/>
      <c r="C47" s="29" t="s">
        <v>0</v>
      </c>
      <c r="D47" s="30">
        <f>SUM(D4:D46)</f>
        <v>78890</v>
      </c>
      <c r="E47" s="31">
        <f>SUM(E4:E46)</f>
        <v>0</v>
      </c>
      <c r="F47" s="32">
        <f>SUM(D47:E47)</f>
        <v>78890</v>
      </c>
      <c r="G47" s="33">
        <f>SUM(G4:G46)</f>
        <v>0</v>
      </c>
      <c r="H47" s="30">
        <f>SUM(H4:H46)</f>
        <v>71703.97</v>
      </c>
      <c r="I47" s="32">
        <f>SUM(G47:H47)</f>
        <v>71703.97</v>
      </c>
      <c r="J47" s="23"/>
      <c r="K47" s="23"/>
    </row>
    <row r="48" spans="2:11" ht="18.75" x14ac:dyDescent="0.3">
      <c r="B48" s="9" t="s">
        <v>1</v>
      </c>
      <c r="C48" s="9" t="s">
        <v>2</v>
      </c>
      <c r="D48" s="9" t="s">
        <v>3</v>
      </c>
      <c r="E48" s="9" t="s">
        <v>3</v>
      </c>
      <c r="F48" s="9" t="s">
        <v>8</v>
      </c>
      <c r="G48" s="9" t="s">
        <v>9</v>
      </c>
      <c r="H48" s="10" t="s">
        <v>9</v>
      </c>
      <c r="I48" s="10" t="s">
        <v>8</v>
      </c>
      <c r="J48" s="9" t="s">
        <v>7</v>
      </c>
      <c r="K48" s="10" t="s">
        <v>6</v>
      </c>
    </row>
    <row r="49" spans="2:11" ht="19.5" thickBot="1" x14ac:dyDescent="0.35">
      <c r="B49" s="11"/>
      <c r="C49" s="11"/>
      <c r="D49" s="11" t="s">
        <v>5</v>
      </c>
      <c r="E49" s="11" t="s">
        <v>7</v>
      </c>
      <c r="F49" s="11" t="s">
        <v>3</v>
      </c>
      <c r="G49" s="11" t="s">
        <v>7</v>
      </c>
      <c r="H49" s="12" t="s">
        <v>5</v>
      </c>
      <c r="I49" s="12" t="s">
        <v>4</v>
      </c>
      <c r="J49" s="11"/>
      <c r="K49" s="12"/>
    </row>
    <row r="50" spans="2:11" ht="19.5" thickBot="1" x14ac:dyDescent="0.35">
      <c r="B50" s="28"/>
      <c r="C50" s="29"/>
      <c r="D50" s="30">
        <v>78890</v>
      </c>
      <c r="E50" s="31">
        <v>0</v>
      </c>
      <c r="F50" s="32">
        <f>SUM(D50:E50)</f>
        <v>78890</v>
      </c>
      <c r="G50" s="33">
        <v>0</v>
      </c>
      <c r="H50" s="30">
        <v>71703.97</v>
      </c>
      <c r="I50" s="32">
        <f>SUM(G50:H50)</f>
        <v>71703.97</v>
      </c>
      <c r="J50" s="72">
        <v>38014.19</v>
      </c>
      <c r="K50" s="72">
        <v>40371</v>
      </c>
    </row>
    <row r="51" spans="2:11" ht="18.75" x14ac:dyDescent="0.3">
      <c r="B51" s="47">
        <v>43877</v>
      </c>
      <c r="C51" s="36" t="s">
        <v>198</v>
      </c>
      <c r="D51" s="37"/>
      <c r="E51" s="21"/>
      <c r="F51" s="21"/>
      <c r="G51" s="21"/>
      <c r="H51" s="21">
        <v>100</v>
      </c>
      <c r="I51" s="22"/>
      <c r="J51" s="23">
        <f>+J46+E51-G51</f>
        <v>38014.19</v>
      </c>
      <c r="K51" s="23">
        <f>+K46+D51-H51</f>
        <v>40271</v>
      </c>
    </row>
    <row r="52" spans="2:11" ht="18.75" x14ac:dyDescent="0.3">
      <c r="B52" s="47">
        <v>43877</v>
      </c>
      <c r="C52" s="20" t="s">
        <v>199</v>
      </c>
      <c r="D52" s="37">
        <v>45800</v>
      </c>
      <c r="E52" s="21"/>
      <c r="F52" s="21"/>
      <c r="G52" s="21"/>
      <c r="H52" s="21"/>
      <c r="I52" s="22"/>
      <c r="J52" s="23">
        <f>+J51+E52-G52</f>
        <v>38014.19</v>
      </c>
      <c r="K52" s="23">
        <f>+K51+D52-H52</f>
        <v>86071</v>
      </c>
    </row>
    <row r="53" spans="2:11" ht="18.75" x14ac:dyDescent="0.3">
      <c r="B53" s="25">
        <v>43878</v>
      </c>
      <c r="C53" s="24" t="s">
        <v>183</v>
      </c>
      <c r="D53" s="37"/>
      <c r="E53" s="21"/>
      <c r="F53" s="21"/>
      <c r="G53" s="21"/>
      <c r="H53" s="21">
        <v>117</v>
      </c>
      <c r="I53" s="22"/>
      <c r="J53" s="23">
        <f t="shared" ref="J53:J99" si="2">+J52+E53-G53</f>
        <v>38014.19</v>
      </c>
      <c r="K53" s="23">
        <f t="shared" ref="K53:K99" si="3">+K52+D53-H53</f>
        <v>85954</v>
      </c>
    </row>
    <row r="54" spans="2:11" ht="18.75" x14ac:dyDescent="0.3">
      <c r="B54" s="47">
        <v>43879</v>
      </c>
      <c r="C54" s="36" t="s">
        <v>148</v>
      </c>
      <c r="D54" s="37"/>
      <c r="E54" s="37"/>
      <c r="F54" s="37"/>
      <c r="G54" s="37"/>
      <c r="H54" s="21">
        <v>900</v>
      </c>
      <c r="I54" s="22"/>
      <c r="J54" s="23">
        <f t="shared" si="2"/>
        <v>38014.19</v>
      </c>
      <c r="K54" s="23">
        <f t="shared" si="3"/>
        <v>85054</v>
      </c>
    </row>
    <row r="55" spans="2:11" ht="18.75" x14ac:dyDescent="0.3">
      <c r="B55" s="52">
        <v>43879</v>
      </c>
      <c r="C55" s="36" t="s">
        <v>153</v>
      </c>
      <c r="D55" s="37"/>
      <c r="E55" s="37"/>
      <c r="F55" s="37"/>
      <c r="G55" s="21"/>
      <c r="H55" s="21">
        <v>1309</v>
      </c>
      <c r="I55" s="22"/>
      <c r="J55" s="23">
        <f t="shared" si="2"/>
        <v>38014.19</v>
      </c>
      <c r="K55" s="23">
        <f t="shared" si="3"/>
        <v>83745</v>
      </c>
    </row>
    <row r="56" spans="2:11" ht="18.75" x14ac:dyDescent="0.3">
      <c r="B56" s="52">
        <v>43879</v>
      </c>
      <c r="C56" s="36" t="s">
        <v>157</v>
      </c>
      <c r="D56" s="37"/>
      <c r="E56" s="37"/>
      <c r="F56" s="37"/>
      <c r="G56" s="37"/>
      <c r="H56" s="21">
        <v>422.1</v>
      </c>
      <c r="I56" s="22"/>
      <c r="J56" s="23">
        <f t="shared" si="2"/>
        <v>38014.19</v>
      </c>
      <c r="K56" s="23">
        <f t="shared" si="3"/>
        <v>83322.899999999994</v>
      </c>
    </row>
    <row r="57" spans="2:11" ht="18.75" x14ac:dyDescent="0.3">
      <c r="B57" s="52">
        <v>43879</v>
      </c>
      <c r="C57" s="36" t="s">
        <v>184</v>
      </c>
      <c r="D57" s="37"/>
      <c r="E57" s="37"/>
      <c r="F57" s="37"/>
      <c r="G57" s="37"/>
      <c r="H57" s="21">
        <v>112</v>
      </c>
      <c r="I57" s="22"/>
      <c r="J57" s="23">
        <f t="shared" si="2"/>
        <v>38014.19</v>
      </c>
      <c r="K57" s="23">
        <f t="shared" si="3"/>
        <v>83210.899999999994</v>
      </c>
    </row>
    <row r="58" spans="2:11" ht="18.75" x14ac:dyDescent="0.3">
      <c r="B58" s="52">
        <v>43879</v>
      </c>
      <c r="C58" s="36" t="s">
        <v>154</v>
      </c>
      <c r="D58" s="37"/>
      <c r="E58" s="37"/>
      <c r="F58" s="37"/>
      <c r="G58" s="37"/>
      <c r="H58" s="21">
        <v>650</v>
      </c>
      <c r="I58" s="22"/>
      <c r="J58" s="23">
        <f t="shared" si="2"/>
        <v>38014.19</v>
      </c>
      <c r="K58" s="23">
        <f t="shared" si="3"/>
        <v>82560.899999999994</v>
      </c>
    </row>
    <row r="59" spans="2:11" ht="18.75" x14ac:dyDescent="0.3">
      <c r="B59" s="25">
        <v>43879</v>
      </c>
      <c r="C59" s="24" t="s">
        <v>185</v>
      </c>
      <c r="D59" s="21"/>
      <c r="E59" s="21"/>
      <c r="F59" s="21"/>
      <c r="G59" s="21"/>
      <c r="H59" s="21">
        <v>300</v>
      </c>
      <c r="I59" s="22"/>
      <c r="J59" s="23">
        <f t="shared" si="2"/>
        <v>38014.19</v>
      </c>
      <c r="K59" s="23">
        <f t="shared" si="3"/>
        <v>82260.899999999994</v>
      </c>
    </row>
    <row r="60" spans="2:11" ht="18.75" x14ac:dyDescent="0.3">
      <c r="B60" s="47">
        <v>43879</v>
      </c>
      <c r="C60" s="48" t="s">
        <v>155</v>
      </c>
      <c r="D60" s="21"/>
      <c r="E60" s="21">
        <v>12760</v>
      </c>
      <c r="F60" s="21"/>
      <c r="G60" s="21"/>
      <c r="H60" s="21"/>
      <c r="I60" s="22"/>
      <c r="J60" s="23">
        <f t="shared" si="2"/>
        <v>50774.19</v>
      </c>
      <c r="K60" s="23">
        <f t="shared" si="3"/>
        <v>82260.899999999994</v>
      </c>
    </row>
    <row r="61" spans="2:11" ht="18.75" x14ac:dyDescent="0.3">
      <c r="B61" s="49">
        <v>43879</v>
      </c>
      <c r="C61" s="74" t="s">
        <v>159</v>
      </c>
      <c r="D61" s="37"/>
      <c r="E61" s="21"/>
      <c r="F61" s="21"/>
      <c r="G61" s="21">
        <v>1760</v>
      </c>
      <c r="H61" s="21"/>
      <c r="I61" s="22"/>
      <c r="J61" s="23">
        <f t="shared" si="2"/>
        <v>49014.19</v>
      </c>
      <c r="K61" s="23">
        <f t="shared" si="3"/>
        <v>82260.899999999994</v>
      </c>
    </row>
    <row r="62" spans="2:11" ht="18.75" x14ac:dyDescent="0.3">
      <c r="B62" s="47">
        <v>43879</v>
      </c>
      <c r="C62" s="74" t="s">
        <v>160</v>
      </c>
      <c r="D62" s="37"/>
      <c r="E62" s="21"/>
      <c r="F62" s="21"/>
      <c r="G62" s="21">
        <v>1600</v>
      </c>
      <c r="H62" s="21"/>
      <c r="I62" s="22"/>
      <c r="J62" s="23">
        <f t="shared" si="2"/>
        <v>47414.19</v>
      </c>
      <c r="K62" s="23">
        <f t="shared" si="3"/>
        <v>82260.899999999994</v>
      </c>
    </row>
    <row r="63" spans="2:11" ht="18.75" x14ac:dyDescent="0.3">
      <c r="B63" s="49">
        <v>43881</v>
      </c>
      <c r="C63" s="74" t="s">
        <v>186</v>
      </c>
      <c r="D63" s="37"/>
      <c r="E63" s="21"/>
      <c r="F63" s="21"/>
      <c r="G63" s="21"/>
      <c r="H63" s="21">
        <v>294.5</v>
      </c>
      <c r="I63" s="22"/>
      <c r="J63" s="23">
        <f t="shared" si="2"/>
        <v>47414.19</v>
      </c>
      <c r="K63" s="23">
        <f t="shared" si="3"/>
        <v>81966.399999999994</v>
      </c>
    </row>
    <row r="64" spans="2:11" ht="18.75" x14ac:dyDescent="0.3">
      <c r="B64" s="47">
        <v>43881</v>
      </c>
      <c r="C64" s="74" t="s">
        <v>186</v>
      </c>
      <c r="D64" s="37"/>
      <c r="E64" s="21"/>
      <c r="F64" s="21"/>
      <c r="G64" s="21"/>
      <c r="H64" s="21">
        <v>510.5</v>
      </c>
      <c r="I64" s="22"/>
      <c r="J64" s="23">
        <f t="shared" si="2"/>
        <v>47414.19</v>
      </c>
      <c r="K64" s="23">
        <f t="shared" si="3"/>
        <v>81455.899999999994</v>
      </c>
    </row>
    <row r="65" spans="2:11" ht="18.75" x14ac:dyDescent="0.3">
      <c r="B65" s="47">
        <v>43882</v>
      </c>
      <c r="C65" s="24" t="s">
        <v>158</v>
      </c>
      <c r="D65" s="21"/>
      <c r="E65" s="21"/>
      <c r="F65" s="21"/>
      <c r="G65" s="21"/>
      <c r="H65" s="21">
        <v>2000</v>
      </c>
      <c r="I65" s="22"/>
      <c r="J65" s="23">
        <f t="shared" si="2"/>
        <v>47414.19</v>
      </c>
      <c r="K65" s="23">
        <f t="shared" si="3"/>
        <v>79455.899999999994</v>
      </c>
    </row>
    <row r="66" spans="2:11" ht="18.75" x14ac:dyDescent="0.3">
      <c r="B66" s="47">
        <v>43882</v>
      </c>
      <c r="C66" s="48" t="s">
        <v>200</v>
      </c>
      <c r="D66" s="21"/>
      <c r="E66" s="21"/>
      <c r="F66" s="21"/>
      <c r="G66" s="21"/>
      <c r="H66" s="21">
        <v>750</v>
      </c>
      <c r="I66" s="22"/>
      <c r="J66" s="23">
        <f t="shared" si="2"/>
        <v>47414.19</v>
      </c>
      <c r="K66" s="23">
        <f t="shared" si="3"/>
        <v>78705.899999999994</v>
      </c>
    </row>
    <row r="67" spans="2:11" ht="18.75" x14ac:dyDescent="0.3">
      <c r="B67" s="47">
        <v>43884</v>
      </c>
      <c r="C67" s="48" t="s">
        <v>187</v>
      </c>
      <c r="D67" s="21"/>
      <c r="E67" s="21"/>
      <c r="F67" s="21"/>
      <c r="G67" s="21"/>
      <c r="H67" s="21">
        <v>800</v>
      </c>
      <c r="I67" s="22"/>
      <c r="J67" s="23">
        <f t="shared" si="2"/>
        <v>47414.19</v>
      </c>
      <c r="K67" s="23">
        <f t="shared" si="3"/>
        <v>77905.899999999994</v>
      </c>
    </row>
    <row r="68" spans="2:11" ht="18.75" x14ac:dyDescent="0.3">
      <c r="B68" s="47">
        <v>43884</v>
      </c>
      <c r="C68" s="48" t="s">
        <v>161</v>
      </c>
      <c r="D68" s="21"/>
      <c r="E68" s="21"/>
      <c r="F68" s="21"/>
      <c r="G68" s="21"/>
      <c r="H68" s="21">
        <v>200</v>
      </c>
      <c r="I68" s="22"/>
      <c r="J68" s="23">
        <f t="shared" si="2"/>
        <v>47414.19</v>
      </c>
      <c r="K68" s="23">
        <f t="shared" si="3"/>
        <v>77705.899999999994</v>
      </c>
    </row>
    <row r="69" spans="2:11" ht="18.75" x14ac:dyDescent="0.3">
      <c r="B69" s="47">
        <v>43884</v>
      </c>
      <c r="C69" s="48" t="s">
        <v>162</v>
      </c>
      <c r="D69" s="21"/>
      <c r="E69" s="21"/>
      <c r="F69" s="21"/>
      <c r="G69" s="21"/>
      <c r="H69" s="21">
        <v>100</v>
      </c>
      <c r="I69" s="22"/>
      <c r="J69" s="23">
        <f t="shared" si="2"/>
        <v>47414.19</v>
      </c>
      <c r="K69" s="23">
        <f t="shared" si="3"/>
        <v>77605.899999999994</v>
      </c>
    </row>
    <row r="70" spans="2:11" ht="18.75" x14ac:dyDescent="0.3">
      <c r="B70" s="47">
        <v>43884</v>
      </c>
      <c r="C70" s="48" t="s">
        <v>163</v>
      </c>
      <c r="D70" s="21"/>
      <c r="E70" s="21"/>
      <c r="F70" s="21"/>
      <c r="G70" s="21"/>
      <c r="H70" s="21">
        <v>49</v>
      </c>
      <c r="I70" s="22"/>
      <c r="J70" s="23">
        <f t="shared" si="2"/>
        <v>47414.19</v>
      </c>
      <c r="K70" s="23">
        <f t="shared" si="3"/>
        <v>77556.899999999994</v>
      </c>
    </row>
    <row r="71" spans="2:11" ht="18.75" x14ac:dyDescent="0.3">
      <c r="B71" s="47">
        <v>43885</v>
      </c>
      <c r="C71" s="36" t="s">
        <v>189</v>
      </c>
      <c r="D71" s="21"/>
      <c r="E71" s="21"/>
      <c r="F71" s="21"/>
      <c r="G71" s="21"/>
      <c r="H71" s="21">
        <v>156</v>
      </c>
      <c r="I71" s="22"/>
      <c r="J71" s="23">
        <f t="shared" si="2"/>
        <v>47414.19</v>
      </c>
      <c r="K71" s="23">
        <f t="shared" si="3"/>
        <v>77400.899999999994</v>
      </c>
    </row>
    <row r="72" spans="2:11" ht="18.75" x14ac:dyDescent="0.3">
      <c r="B72" s="51">
        <v>43885</v>
      </c>
      <c r="C72" s="48" t="s">
        <v>164</v>
      </c>
      <c r="D72" s="21"/>
      <c r="E72" s="21"/>
      <c r="F72" s="21"/>
      <c r="G72" s="21"/>
      <c r="H72" s="21">
        <v>300</v>
      </c>
      <c r="I72" s="22"/>
      <c r="J72" s="23">
        <f t="shared" si="2"/>
        <v>47414.19</v>
      </c>
      <c r="K72" s="23">
        <f t="shared" si="3"/>
        <v>77100.899999999994</v>
      </c>
    </row>
    <row r="73" spans="2:11" ht="18.75" x14ac:dyDescent="0.3">
      <c r="B73" s="25">
        <v>40233</v>
      </c>
      <c r="C73" s="36" t="s">
        <v>201</v>
      </c>
      <c r="D73" s="21"/>
      <c r="E73" s="21"/>
      <c r="F73" s="21"/>
      <c r="G73" s="21"/>
      <c r="H73" s="21">
        <v>400</v>
      </c>
      <c r="I73" s="22"/>
      <c r="J73" s="23">
        <f t="shared" si="2"/>
        <v>47414.19</v>
      </c>
      <c r="K73" s="23">
        <f t="shared" si="3"/>
        <v>76700.899999999994</v>
      </c>
    </row>
    <row r="74" spans="2:11" ht="18.75" x14ac:dyDescent="0.3">
      <c r="B74" s="25">
        <v>43887</v>
      </c>
      <c r="C74" s="58" t="s">
        <v>165</v>
      </c>
      <c r="D74" s="37"/>
      <c r="E74" s="21"/>
      <c r="F74" s="21"/>
      <c r="G74" s="21"/>
      <c r="H74" s="21">
        <v>4900</v>
      </c>
      <c r="I74" s="22"/>
      <c r="J74" s="23">
        <f t="shared" si="2"/>
        <v>47414.19</v>
      </c>
      <c r="K74" s="23">
        <f t="shared" si="3"/>
        <v>71800.899999999994</v>
      </c>
    </row>
    <row r="75" spans="2:11" ht="18.75" x14ac:dyDescent="0.3">
      <c r="B75" s="49">
        <v>43887</v>
      </c>
      <c r="C75" s="58" t="s">
        <v>190</v>
      </c>
      <c r="D75" s="37"/>
      <c r="E75" s="21"/>
      <c r="F75" s="21"/>
      <c r="G75" s="21"/>
      <c r="H75" s="21">
        <v>300</v>
      </c>
      <c r="I75" s="22"/>
      <c r="J75" s="23">
        <f t="shared" si="2"/>
        <v>47414.19</v>
      </c>
      <c r="K75" s="23">
        <f t="shared" si="3"/>
        <v>71500.899999999994</v>
      </c>
    </row>
    <row r="76" spans="2:11" ht="18.75" x14ac:dyDescent="0.3">
      <c r="B76" s="52">
        <v>43887</v>
      </c>
      <c r="C76" s="48" t="s">
        <v>202</v>
      </c>
      <c r="D76" s="37">
        <v>31750</v>
      </c>
      <c r="E76" s="21"/>
      <c r="F76" s="21"/>
      <c r="G76" s="21"/>
      <c r="H76" s="21"/>
      <c r="I76" s="22"/>
      <c r="J76" s="23">
        <f t="shared" si="2"/>
        <v>47414.19</v>
      </c>
      <c r="K76" s="23">
        <f t="shared" si="3"/>
        <v>103250.9</v>
      </c>
    </row>
    <row r="77" spans="2:11" ht="18.75" x14ac:dyDescent="0.3">
      <c r="B77" s="52">
        <v>43889</v>
      </c>
      <c r="C77" s="48" t="s">
        <v>172</v>
      </c>
      <c r="D77" s="37"/>
      <c r="E77" s="21"/>
      <c r="F77" s="21"/>
      <c r="G77" s="21"/>
      <c r="H77" s="21">
        <v>250</v>
      </c>
      <c r="I77" s="22"/>
      <c r="J77" s="23">
        <f t="shared" si="2"/>
        <v>47414.19</v>
      </c>
      <c r="K77" s="23">
        <f t="shared" si="3"/>
        <v>103000.9</v>
      </c>
    </row>
    <row r="78" spans="2:11" ht="18.75" x14ac:dyDescent="0.3">
      <c r="B78" s="52">
        <v>43889</v>
      </c>
      <c r="C78" s="24" t="s">
        <v>148</v>
      </c>
      <c r="D78" s="37"/>
      <c r="E78" s="21"/>
      <c r="F78" s="21"/>
      <c r="G78" s="21"/>
      <c r="H78" s="21">
        <v>840.01</v>
      </c>
      <c r="I78" s="22"/>
      <c r="J78" s="23">
        <f t="shared" si="2"/>
        <v>47414.19</v>
      </c>
      <c r="K78" s="23">
        <f t="shared" si="3"/>
        <v>102160.89</v>
      </c>
    </row>
    <row r="79" spans="2:11" ht="18.75" x14ac:dyDescent="0.3">
      <c r="B79" s="52">
        <v>43890</v>
      </c>
      <c r="C79" s="48" t="s">
        <v>203</v>
      </c>
      <c r="D79" s="37"/>
      <c r="E79" s="21"/>
      <c r="F79" s="21"/>
      <c r="G79" s="21"/>
      <c r="H79" s="21">
        <v>750</v>
      </c>
      <c r="I79" s="22"/>
      <c r="J79" s="23">
        <f t="shared" si="2"/>
        <v>47414.19</v>
      </c>
      <c r="K79" s="23">
        <f t="shared" si="3"/>
        <v>101410.89</v>
      </c>
    </row>
    <row r="80" spans="2:11" ht="18.75" x14ac:dyDescent="0.3">
      <c r="B80" s="52">
        <v>43890</v>
      </c>
      <c r="C80" s="48" t="s">
        <v>211</v>
      </c>
      <c r="D80" s="37"/>
      <c r="E80" s="21"/>
      <c r="F80" s="21"/>
      <c r="G80" s="21"/>
      <c r="H80" s="21">
        <v>300</v>
      </c>
      <c r="I80" s="22"/>
      <c r="J80" s="23">
        <f t="shared" si="2"/>
        <v>47414.19</v>
      </c>
      <c r="K80" s="23">
        <f t="shared" si="3"/>
        <v>101110.89</v>
      </c>
    </row>
    <row r="81" spans="1:11" ht="18.75" x14ac:dyDescent="0.3">
      <c r="B81" s="52">
        <v>43890</v>
      </c>
      <c r="C81" s="48" t="s">
        <v>212</v>
      </c>
      <c r="D81" s="37"/>
      <c r="E81" s="21"/>
      <c r="F81" s="21"/>
      <c r="G81" s="21"/>
      <c r="H81" s="21">
        <v>300</v>
      </c>
      <c r="I81" s="22"/>
      <c r="J81" s="23">
        <f t="shared" si="2"/>
        <v>47414.19</v>
      </c>
      <c r="K81" s="23">
        <f t="shared" si="3"/>
        <v>100810.89</v>
      </c>
    </row>
    <row r="82" spans="1:11" ht="18.75" x14ac:dyDescent="0.3">
      <c r="B82" s="52">
        <v>43890</v>
      </c>
      <c r="C82" s="48" t="s">
        <v>170</v>
      </c>
      <c r="D82" s="37"/>
      <c r="E82" s="21"/>
      <c r="F82" s="21"/>
      <c r="G82" s="21"/>
      <c r="H82" s="21">
        <v>1000</v>
      </c>
      <c r="I82" s="22"/>
      <c r="J82" s="23">
        <f t="shared" si="2"/>
        <v>47414.19</v>
      </c>
      <c r="K82" s="23">
        <f t="shared" si="3"/>
        <v>99810.89</v>
      </c>
    </row>
    <row r="83" spans="1:11" ht="18.75" x14ac:dyDescent="0.3">
      <c r="B83" s="52">
        <v>43890</v>
      </c>
      <c r="C83" s="48" t="s">
        <v>166</v>
      </c>
      <c r="D83" s="37"/>
      <c r="E83" s="21"/>
      <c r="F83" s="21"/>
      <c r="G83" s="21"/>
      <c r="H83" s="21">
        <v>6275</v>
      </c>
      <c r="I83" s="22"/>
      <c r="J83" s="23">
        <f t="shared" si="2"/>
        <v>47414.19</v>
      </c>
      <c r="K83" s="23">
        <f t="shared" si="3"/>
        <v>93535.89</v>
      </c>
    </row>
    <row r="84" spans="1:11" ht="18.75" x14ac:dyDescent="0.3">
      <c r="B84" s="52">
        <v>43890</v>
      </c>
      <c r="C84" s="48" t="s">
        <v>166</v>
      </c>
      <c r="D84" s="37"/>
      <c r="E84" s="21"/>
      <c r="F84" s="21"/>
      <c r="G84" s="21"/>
      <c r="H84" s="21">
        <v>104</v>
      </c>
      <c r="I84" s="22"/>
      <c r="J84" s="23">
        <f t="shared" si="2"/>
        <v>47414.19</v>
      </c>
      <c r="K84" s="23">
        <f t="shared" si="3"/>
        <v>93431.89</v>
      </c>
    </row>
    <row r="85" spans="1:11" ht="18.75" x14ac:dyDescent="0.3">
      <c r="B85" s="53">
        <v>43890</v>
      </c>
      <c r="C85" s="24" t="s">
        <v>167</v>
      </c>
      <c r="D85" s="37"/>
      <c r="E85" s="21"/>
      <c r="F85" s="21"/>
      <c r="G85" s="21"/>
      <c r="H85" s="21">
        <v>3000</v>
      </c>
      <c r="I85" s="22"/>
      <c r="J85" s="23">
        <f t="shared" si="2"/>
        <v>47414.19</v>
      </c>
      <c r="K85" s="23">
        <f t="shared" si="3"/>
        <v>90431.89</v>
      </c>
    </row>
    <row r="86" spans="1:11" ht="18.75" x14ac:dyDescent="0.3">
      <c r="A86" s="75"/>
      <c r="B86" s="53">
        <v>43890</v>
      </c>
      <c r="C86" s="24" t="s">
        <v>242</v>
      </c>
      <c r="D86" s="37"/>
      <c r="E86" s="21"/>
      <c r="F86" s="21"/>
      <c r="G86" s="21"/>
      <c r="H86" s="21">
        <v>3000</v>
      </c>
      <c r="I86" s="22"/>
      <c r="J86" s="23">
        <f t="shared" si="2"/>
        <v>47414.19</v>
      </c>
      <c r="K86" s="23">
        <f t="shared" si="3"/>
        <v>87431.89</v>
      </c>
    </row>
    <row r="87" spans="1:11" ht="18.75" x14ac:dyDescent="0.3">
      <c r="B87" s="53">
        <v>43890</v>
      </c>
      <c r="C87" s="20" t="s">
        <v>191</v>
      </c>
      <c r="D87" s="37"/>
      <c r="E87" s="21"/>
      <c r="F87" s="21"/>
      <c r="G87" s="21"/>
      <c r="H87" s="21">
        <v>3000</v>
      </c>
      <c r="I87" s="22"/>
      <c r="J87" s="23">
        <f t="shared" si="2"/>
        <v>47414.19</v>
      </c>
      <c r="K87" s="23">
        <f t="shared" si="3"/>
        <v>84431.89</v>
      </c>
    </row>
    <row r="88" spans="1:11" ht="18.75" x14ac:dyDescent="0.3">
      <c r="B88" s="54">
        <v>43890</v>
      </c>
      <c r="C88" s="20" t="s">
        <v>213</v>
      </c>
      <c r="D88" s="55"/>
      <c r="E88" s="21"/>
      <c r="F88" s="21"/>
      <c r="G88" s="21"/>
      <c r="H88" s="21">
        <v>50950</v>
      </c>
      <c r="I88" s="22"/>
      <c r="J88" s="23">
        <f t="shared" si="2"/>
        <v>47414.19</v>
      </c>
      <c r="K88" s="23">
        <f t="shared" si="3"/>
        <v>33481.89</v>
      </c>
    </row>
    <row r="89" spans="1:11" ht="18.75" x14ac:dyDescent="0.3">
      <c r="B89" s="54">
        <v>43866</v>
      </c>
      <c r="C89" s="24" t="s">
        <v>168</v>
      </c>
      <c r="D89" s="37"/>
      <c r="E89" s="21">
        <v>400.46</v>
      </c>
      <c r="F89" s="21"/>
      <c r="G89" s="21"/>
      <c r="H89" s="21"/>
      <c r="I89" s="22"/>
      <c r="J89" s="23">
        <f t="shared" si="2"/>
        <v>47814.65</v>
      </c>
      <c r="K89" s="23">
        <f t="shared" si="3"/>
        <v>33481.89</v>
      </c>
    </row>
    <row r="90" spans="1:11" ht="18.75" x14ac:dyDescent="0.3">
      <c r="B90" s="54">
        <v>43867</v>
      </c>
      <c r="C90" s="24" t="s">
        <v>169</v>
      </c>
      <c r="D90" s="37"/>
      <c r="E90" s="21">
        <v>200</v>
      </c>
      <c r="F90" s="21"/>
      <c r="G90" s="21"/>
      <c r="H90" s="21"/>
      <c r="I90" s="22"/>
      <c r="J90" s="23">
        <f t="shared" si="2"/>
        <v>48014.65</v>
      </c>
      <c r="K90" s="23">
        <f t="shared" si="3"/>
        <v>33481.89</v>
      </c>
    </row>
    <row r="91" spans="1:11" ht="18.75" x14ac:dyDescent="0.3">
      <c r="B91" s="54">
        <v>43868</v>
      </c>
      <c r="C91" s="24" t="s">
        <v>171</v>
      </c>
      <c r="D91" s="37"/>
      <c r="E91" s="21">
        <v>400.29</v>
      </c>
      <c r="F91" s="21"/>
      <c r="G91" s="21"/>
      <c r="H91" s="21"/>
      <c r="I91" s="22"/>
      <c r="J91" s="23">
        <f t="shared" si="2"/>
        <v>48414.94</v>
      </c>
      <c r="K91" s="23">
        <f t="shared" si="3"/>
        <v>33481.89</v>
      </c>
    </row>
    <row r="92" spans="1:11" ht="18.75" x14ac:dyDescent="0.3">
      <c r="B92" s="54">
        <v>43869</v>
      </c>
      <c r="C92" s="24" t="s">
        <v>173</v>
      </c>
      <c r="D92" s="37"/>
      <c r="E92" s="21">
        <v>300.5</v>
      </c>
      <c r="F92" s="21"/>
      <c r="G92" s="21"/>
      <c r="H92" s="21"/>
      <c r="I92" s="22"/>
      <c r="J92" s="23">
        <f t="shared" si="2"/>
        <v>48715.44</v>
      </c>
      <c r="K92" s="23">
        <f t="shared" si="3"/>
        <v>33481.89</v>
      </c>
    </row>
    <row r="93" spans="1:11" ht="19.5" thickBot="1" x14ac:dyDescent="0.35">
      <c r="B93" s="54">
        <v>43869</v>
      </c>
      <c r="C93" s="24" t="s">
        <v>174</v>
      </c>
      <c r="D93" s="37"/>
      <c r="E93" s="21">
        <v>200</v>
      </c>
      <c r="F93" s="37"/>
      <c r="G93" s="21"/>
      <c r="H93" s="21"/>
      <c r="I93" s="22"/>
      <c r="J93" s="23">
        <f t="shared" si="2"/>
        <v>48915.44</v>
      </c>
      <c r="K93" s="23">
        <f t="shared" si="3"/>
        <v>33481.89</v>
      </c>
    </row>
    <row r="94" spans="1:11" ht="19.5" thickBot="1" x14ac:dyDescent="0.35">
      <c r="B94" s="28"/>
      <c r="C94" s="29" t="s">
        <v>0</v>
      </c>
      <c r="D94" s="30">
        <f>SUM(D50:D93)</f>
        <v>156440</v>
      </c>
      <c r="E94" s="31">
        <f>SUM(E50:E93)</f>
        <v>14261.25</v>
      </c>
      <c r="F94" s="32">
        <f>SUM(D94:E94)</f>
        <v>170701.25</v>
      </c>
      <c r="G94" s="33">
        <f>SUM(G50:G93)</f>
        <v>3360</v>
      </c>
      <c r="H94" s="30">
        <f>SUM(H50:H93)</f>
        <v>156143.08000000002</v>
      </c>
      <c r="I94" s="32">
        <f>SUM(G94:H94)</f>
        <v>159503.08000000002</v>
      </c>
      <c r="J94" s="23"/>
      <c r="K94" s="23"/>
    </row>
    <row r="95" spans="1:11" ht="18.75" x14ac:dyDescent="0.3">
      <c r="B95" s="9" t="s">
        <v>1</v>
      </c>
      <c r="C95" s="9" t="s">
        <v>2</v>
      </c>
      <c r="D95" s="9" t="s">
        <v>3</v>
      </c>
      <c r="E95" s="9" t="s">
        <v>3</v>
      </c>
      <c r="F95" s="9" t="s">
        <v>8</v>
      </c>
      <c r="G95" s="9" t="s">
        <v>9</v>
      </c>
      <c r="H95" s="10" t="s">
        <v>9</v>
      </c>
      <c r="I95" s="10" t="s">
        <v>8</v>
      </c>
      <c r="J95" s="9" t="s">
        <v>7</v>
      </c>
      <c r="K95" s="10" t="s">
        <v>6</v>
      </c>
    </row>
    <row r="96" spans="1:11" ht="19.5" thickBot="1" x14ac:dyDescent="0.35">
      <c r="B96" s="11"/>
      <c r="C96" s="11"/>
      <c r="D96" s="11" t="s">
        <v>5</v>
      </c>
      <c r="E96" s="11" t="s">
        <v>7</v>
      </c>
      <c r="F96" s="11" t="s">
        <v>3</v>
      </c>
      <c r="G96" s="11" t="s">
        <v>7</v>
      </c>
      <c r="H96" s="12" t="s">
        <v>5</v>
      </c>
      <c r="I96" s="12" t="s">
        <v>4</v>
      </c>
      <c r="J96" s="11"/>
      <c r="K96" s="12"/>
    </row>
    <row r="97" spans="2:12" ht="19.5" thickBot="1" x14ac:dyDescent="0.35">
      <c r="B97" s="28"/>
      <c r="C97" s="29"/>
      <c r="D97" s="30">
        <v>156440</v>
      </c>
      <c r="E97" s="31">
        <v>14261.25</v>
      </c>
      <c r="F97" s="32">
        <f>SUM(D97:E97)</f>
        <v>170701.25</v>
      </c>
      <c r="G97" s="33">
        <v>3360</v>
      </c>
      <c r="H97" s="30">
        <v>156143.07999999999</v>
      </c>
      <c r="I97" s="32">
        <f>SUM(G97:H97)</f>
        <v>159503.07999999999</v>
      </c>
      <c r="J97" s="72">
        <v>48915.44</v>
      </c>
      <c r="K97" s="72">
        <v>33481.89</v>
      </c>
    </row>
    <row r="98" spans="2:12" ht="18.75" x14ac:dyDescent="0.3">
      <c r="B98" s="54">
        <v>43872</v>
      </c>
      <c r="C98" s="24" t="s">
        <v>175</v>
      </c>
      <c r="D98" s="37"/>
      <c r="E98" s="21">
        <v>250.15</v>
      </c>
      <c r="F98" s="37"/>
      <c r="G98" s="21"/>
      <c r="H98" s="21"/>
      <c r="I98" s="22"/>
      <c r="J98" s="23">
        <f>+J93+E98-G98</f>
        <v>49165.590000000004</v>
      </c>
      <c r="K98" s="23">
        <f>+K93+D98-H98</f>
        <v>33481.89</v>
      </c>
    </row>
    <row r="99" spans="2:12" ht="18.75" x14ac:dyDescent="0.3">
      <c r="B99" s="54">
        <v>43879</v>
      </c>
      <c r="C99" s="24" t="s">
        <v>176</v>
      </c>
      <c r="D99" s="37"/>
      <c r="E99" s="21">
        <v>1300</v>
      </c>
      <c r="F99" s="37"/>
      <c r="G99" s="21"/>
      <c r="H99" s="21"/>
      <c r="I99" s="22"/>
      <c r="J99" s="23">
        <f t="shared" si="2"/>
        <v>50465.590000000004</v>
      </c>
      <c r="K99" s="23">
        <f t="shared" si="3"/>
        <v>33481.89</v>
      </c>
    </row>
    <row r="100" spans="2:12" ht="18.75" x14ac:dyDescent="0.3">
      <c r="B100" s="54">
        <v>43879</v>
      </c>
      <c r="C100" s="24" t="s">
        <v>177</v>
      </c>
      <c r="D100" s="37"/>
      <c r="E100" s="21">
        <v>50</v>
      </c>
      <c r="F100" s="37"/>
      <c r="G100" s="21"/>
      <c r="H100" s="21"/>
      <c r="I100" s="22"/>
      <c r="J100" s="23">
        <f t="shared" ref="J100:J105" si="4">+J99+E100-G100</f>
        <v>50515.590000000004</v>
      </c>
      <c r="K100" s="23">
        <f t="shared" ref="K100:K105" si="5">+K99+D100-H100</f>
        <v>33481.89</v>
      </c>
    </row>
    <row r="101" spans="2:12" ht="18.75" x14ac:dyDescent="0.3">
      <c r="B101" s="54">
        <v>43887</v>
      </c>
      <c r="C101" s="20" t="s">
        <v>108</v>
      </c>
      <c r="D101" s="37"/>
      <c r="E101" s="37"/>
      <c r="F101" s="37"/>
      <c r="G101" s="21">
        <v>200</v>
      </c>
      <c r="H101" s="21"/>
      <c r="I101" s="22"/>
      <c r="J101" s="23">
        <f t="shared" si="4"/>
        <v>50315.590000000004</v>
      </c>
      <c r="K101" s="23">
        <f t="shared" si="5"/>
        <v>33481.89</v>
      </c>
    </row>
    <row r="102" spans="2:12" ht="18.75" x14ac:dyDescent="0.3">
      <c r="B102" s="54">
        <v>43887</v>
      </c>
      <c r="C102" s="24" t="s">
        <v>109</v>
      </c>
      <c r="D102" s="37"/>
      <c r="E102" s="37"/>
      <c r="F102" s="37"/>
      <c r="G102" s="21">
        <v>32</v>
      </c>
      <c r="H102" s="21"/>
      <c r="I102" s="22"/>
      <c r="J102" s="23">
        <f t="shared" si="4"/>
        <v>50283.590000000004</v>
      </c>
      <c r="K102" s="23">
        <f t="shared" si="5"/>
        <v>33481.89</v>
      </c>
    </row>
    <row r="103" spans="2:12" ht="18.75" x14ac:dyDescent="0.3">
      <c r="B103" s="54">
        <v>43889</v>
      </c>
      <c r="C103" s="20" t="s">
        <v>110</v>
      </c>
      <c r="D103" s="37"/>
      <c r="E103" s="21"/>
      <c r="F103" s="21"/>
      <c r="G103" s="21">
        <v>18</v>
      </c>
      <c r="H103" s="21"/>
      <c r="I103" s="22"/>
      <c r="J103" s="23">
        <f t="shared" si="4"/>
        <v>50265.590000000004</v>
      </c>
      <c r="K103" s="23">
        <f t="shared" si="5"/>
        <v>33481.89</v>
      </c>
    </row>
    <row r="104" spans="2:12" ht="18.75" x14ac:dyDescent="0.3">
      <c r="B104" s="54">
        <v>43889</v>
      </c>
      <c r="C104" s="24" t="s">
        <v>111</v>
      </c>
      <c r="D104" s="37"/>
      <c r="E104" s="21"/>
      <c r="F104" s="21"/>
      <c r="G104" s="21">
        <v>2.88</v>
      </c>
      <c r="H104" s="21"/>
      <c r="I104" s="22"/>
      <c r="J104" s="23">
        <f t="shared" si="4"/>
        <v>50262.710000000006</v>
      </c>
      <c r="K104" s="23">
        <f t="shared" si="5"/>
        <v>33481.89</v>
      </c>
    </row>
    <row r="105" spans="2:12" ht="19.5" thickBot="1" x14ac:dyDescent="0.35">
      <c r="B105" s="54"/>
      <c r="C105" s="24"/>
      <c r="D105" s="37"/>
      <c r="E105" s="21"/>
      <c r="F105" s="21"/>
      <c r="G105" s="21"/>
      <c r="H105" s="21"/>
      <c r="I105" s="22"/>
      <c r="J105" s="23">
        <f t="shared" si="4"/>
        <v>50262.710000000006</v>
      </c>
      <c r="K105" s="23">
        <f t="shared" si="5"/>
        <v>33481.89</v>
      </c>
    </row>
    <row r="106" spans="2:12" ht="19.5" thickBot="1" x14ac:dyDescent="0.35">
      <c r="B106" s="28"/>
      <c r="C106" s="29" t="s">
        <v>0</v>
      </c>
      <c r="D106" s="30">
        <f>SUM(D97:D105)</f>
        <v>156440</v>
      </c>
      <c r="E106" s="31">
        <f>SUM(E97:E105)</f>
        <v>15861.4</v>
      </c>
      <c r="F106" s="32">
        <f>SUM(D106:E106)</f>
        <v>172301.4</v>
      </c>
      <c r="G106" s="33">
        <f>SUM(G59:G102)</f>
        <v>10312</v>
      </c>
      <c r="H106" s="30">
        <f>SUM(H97:H105)</f>
        <v>156143.07999999999</v>
      </c>
      <c r="I106" s="32">
        <f>SUM(G106:H106)</f>
        <v>166455.07999999999</v>
      </c>
      <c r="J106" s="34"/>
      <c r="K106" s="34"/>
    </row>
    <row r="107" spans="2:12" ht="19.5" thickBot="1" x14ac:dyDescent="0.35"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spans="2:12" ht="19.5" thickBot="1" x14ac:dyDescent="0.35">
      <c r="B108" s="7"/>
      <c r="C108" s="7"/>
      <c r="D108" s="7"/>
      <c r="E108" s="7"/>
      <c r="F108" s="7"/>
      <c r="G108" s="7"/>
      <c r="H108" s="7"/>
      <c r="I108" s="38" t="s">
        <v>7</v>
      </c>
      <c r="J108" s="38" t="s">
        <v>6</v>
      </c>
      <c r="K108" s="39" t="s">
        <v>0</v>
      </c>
    </row>
    <row r="109" spans="2:12" ht="19.5" thickBot="1" x14ac:dyDescent="0.35">
      <c r="B109" s="7"/>
      <c r="C109" s="7"/>
      <c r="D109" s="7"/>
      <c r="E109" s="7"/>
      <c r="F109" s="7"/>
      <c r="G109" s="7"/>
      <c r="H109" s="7"/>
      <c r="I109" s="40">
        <v>50262.71</v>
      </c>
      <c r="J109" s="40">
        <v>33481.89</v>
      </c>
      <c r="K109" s="34">
        <f>SUM(I109:J109)</f>
        <v>83744.600000000006</v>
      </c>
    </row>
    <row r="112" spans="2:12" x14ac:dyDescent="0.25">
      <c r="L112" s="1"/>
    </row>
  </sheetData>
  <printOptions verticalCentered="1"/>
  <pageMargins left="0.31496062992125984" right="0" top="0" bottom="0" header="0.31496062992125984" footer="0.31496062992125984"/>
  <pageSetup paperSize="9" scale="67" fitToHeight="0" orientation="landscape" r:id="rId1"/>
  <ignoredErrors>
    <ignoredError sqref="F10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B1:L128"/>
  <sheetViews>
    <sheetView zoomScale="80" zoomScaleNormal="80" workbookViewId="0">
      <pane ySplit="3" topLeftCell="A104" activePane="bottomLeft" state="frozen"/>
      <selection activeCell="B1" sqref="B1"/>
      <selection pane="bottomLeft" activeCell="H104" sqref="H104"/>
    </sheetView>
  </sheetViews>
  <sheetFormatPr baseColWidth="10" defaultRowHeight="15" x14ac:dyDescent="0.25"/>
  <cols>
    <col min="1" max="1" width="2" customWidth="1"/>
    <col min="2" max="2" width="13.7109375" customWidth="1"/>
    <col min="3" max="3" width="85.42578125" customWidth="1"/>
    <col min="4" max="7" width="13" customWidth="1"/>
    <col min="8" max="8" width="13.140625" customWidth="1"/>
    <col min="9" max="11" width="13" customWidth="1"/>
  </cols>
  <sheetData>
    <row r="1" spans="2:11" ht="19.5" thickBot="1" x14ac:dyDescent="0.35">
      <c r="B1" s="44"/>
      <c r="C1" s="8" t="s">
        <v>16</v>
      </c>
      <c r="D1" s="7"/>
      <c r="E1" s="7"/>
      <c r="F1" s="7"/>
      <c r="G1" s="7"/>
      <c r="H1" s="7"/>
      <c r="I1" s="7"/>
      <c r="J1" s="7"/>
      <c r="K1" s="7"/>
    </row>
    <row r="2" spans="2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1">
        <v>43890</v>
      </c>
      <c r="C4" s="14" t="s">
        <v>18</v>
      </c>
      <c r="D4" s="15"/>
      <c r="E4" s="16"/>
      <c r="F4" s="16"/>
      <c r="G4" s="16"/>
      <c r="H4" s="17"/>
      <c r="I4" s="18"/>
      <c r="J4" s="72">
        <v>50262.71</v>
      </c>
      <c r="K4" s="72">
        <v>33481.89</v>
      </c>
    </row>
    <row r="5" spans="2:11" ht="18.75" x14ac:dyDescent="0.3">
      <c r="B5" s="13">
        <v>43891</v>
      </c>
      <c r="C5" s="45" t="s">
        <v>280</v>
      </c>
      <c r="D5" s="37">
        <v>36750</v>
      </c>
      <c r="E5" s="16"/>
      <c r="F5" s="16"/>
      <c r="G5" s="16"/>
      <c r="H5" s="17"/>
      <c r="I5" s="18"/>
      <c r="J5" s="23">
        <f t="shared" ref="J5:J59" si="0">+J4+E5-G5</f>
        <v>50262.71</v>
      </c>
      <c r="K5" s="23">
        <f t="shared" ref="K5:K59" si="1">+K4+D5-H5</f>
        <v>70231.89</v>
      </c>
    </row>
    <row r="6" spans="2:11" ht="18.75" x14ac:dyDescent="0.3">
      <c r="B6" s="13">
        <v>43891</v>
      </c>
      <c r="C6" s="45" t="s">
        <v>214</v>
      </c>
      <c r="D6" s="15"/>
      <c r="E6" s="16"/>
      <c r="F6" s="16"/>
      <c r="G6" s="16"/>
      <c r="H6" s="17">
        <v>500</v>
      </c>
      <c r="I6" s="22"/>
      <c r="J6" s="23">
        <f t="shared" si="0"/>
        <v>50262.71</v>
      </c>
      <c r="K6" s="23">
        <f t="shared" si="1"/>
        <v>69731.89</v>
      </c>
    </row>
    <row r="7" spans="2:11" ht="18.75" x14ac:dyDescent="0.3">
      <c r="B7" s="13">
        <v>43891</v>
      </c>
      <c r="C7" s="20" t="s">
        <v>215</v>
      </c>
      <c r="D7" s="37"/>
      <c r="E7" s="21"/>
      <c r="F7" s="21"/>
      <c r="G7" s="21"/>
      <c r="H7" s="21">
        <v>200</v>
      </c>
      <c r="I7" s="22"/>
      <c r="J7" s="23">
        <f t="shared" si="0"/>
        <v>50262.71</v>
      </c>
      <c r="K7" s="23">
        <f t="shared" si="1"/>
        <v>69531.89</v>
      </c>
    </row>
    <row r="8" spans="2:11" ht="18.75" x14ac:dyDescent="0.3">
      <c r="B8" s="25">
        <v>43891</v>
      </c>
      <c r="C8" s="24" t="s">
        <v>292</v>
      </c>
      <c r="D8" s="37"/>
      <c r="E8" s="21"/>
      <c r="F8" s="21"/>
      <c r="G8" s="21"/>
      <c r="H8" s="21">
        <v>400</v>
      </c>
      <c r="I8" s="22"/>
      <c r="J8" s="23">
        <f t="shared" si="0"/>
        <v>50262.71</v>
      </c>
      <c r="K8" s="23">
        <f t="shared" si="1"/>
        <v>69131.89</v>
      </c>
    </row>
    <row r="9" spans="2:11" ht="18.75" x14ac:dyDescent="0.3">
      <c r="B9" s="25">
        <v>43891</v>
      </c>
      <c r="C9" s="46" t="s">
        <v>216</v>
      </c>
      <c r="D9" s="37"/>
      <c r="E9" s="21"/>
      <c r="F9" s="21"/>
      <c r="G9" s="21"/>
      <c r="H9" s="21">
        <v>164</v>
      </c>
      <c r="I9" s="22"/>
      <c r="J9" s="23">
        <f t="shared" si="0"/>
        <v>50262.71</v>
      </c>
      <c r="K9" s="23">
        <f t="shared" si="1"/>
        <v>68967.89</v>
      </c>
    </row>
    <row r="10" spans="2:11" ht="18.75" x14ac:dyDescent="0.3">
      <c r="B10" s="25">
        <v>43892</v>
      </c>
      <c r="C10" s="24" t="s">
        <v>217</v>
      </c>
      <c r="D10" s="37"/>
      <c r="E10" s="21"/>
      <c r="F10" s="21"/>
      <c r="G10" s="21"/>
      <c r="H10" s="21">
        <v>200</v>
      </c>
      <c r="I10" s="22"/>
      <c r="J10" s="23">
        <f t="shared" si="0"/>
        <v>50262.71</v>
      </c>
      <c r="K10" s="23">
        <f t="shared" si="1"/>
        <v>68767.89</v>
      </c>
    </row>
    <row r="11" spans="2:11" ht="18.75" x14ac:dyDescent="0.3">
      <c r="B11" s="25">
        <v>43892</v>
      </c>
      <c r="C11" s="24" t="s">
        <v>218</v>
      </c>
      <c r="D11" s="37"/>
      <c r="E11" s="21"/>
      <c r="F11" s="21"/>
      <c r="G11" s="21"/>
      <c r="H11" s="21">
        <v>300</v>
      </c>
      <c r="I11" s="22"/>
      <c r="J11" s="23">
        <f t="shared" si="0"/>
        <v>50262.71</v>
      </c>
      <c r="K11" s="23">
        <f t="shared" si="1"/>
        <v>68467.89</v>
      </c>
    </row>
    <row r="12" spans="2:11" ht="18.75" x14ac:dyDescent="0.3">
      <c r="B12" s="25">
        <v>43892</v>
      </c>
      <c r="C12" s="46" t="s">
        <v>219</v>
      </c>
      <c r="D12" s="37"/>
      <c r="E12" s="21"/>
      <c r="F12" s="21"/>
      <c r="G12" s="21"/>
      <c r="H12" s="21">
        <v>156</v>
      </c>
      <c r="I12" s="22"/>
      <c r="J12" s="23">
        <f t="shared" si="0"/>
        <v>50262.71</v>
      </c>
      <c r="K12" s="23">
        <f t="shared" si="1"/>
        <v>68311.89</v>
      </c>
    </row>
    <row r="13" spans="2:11" ht="18.75" x14ac:dyDescent="0.3">
      <c r="B13" s="25">
        <v>43892</v>
      </c>
      <c r="C13" s="27" t="s">
        <v>220</v>
      </c>
      <c r="D13" s="37"/>
      <c r="E13" s="21"/>
      <c r="F13" s="21"/>
      <c r="G13" s="21"/>
      <c r="H13" s="21">
        <v>94</v>
      </c>
      <c r="I13" s="22"/>
      <c r="J13" s="23">
        <f t="shared" si="0"/>
        <v>50262.71</v>
      </c>
      <c r="K13" s="23">
        <f t="shared" si="1"/>
        <v>68217.89</v>
      </c>
    </row>
    <row r="14" spans="2:11" ht="18.75" x14ac:dyDescent="0.3">
      <c r="B14" s="25">
        <v>43892</v>
      </c>
      <c r="C14" s="24" t="s">
        <v>220</v>
      </c>
      <c r="D14" s="37"/>
      <c r="E14" s="21"/>
      <c r="F14" s="21"/>
      <c r="G14" s="21"/>
      <c r="H14" s="21">
        <v>495</v>
      </c>
      <c r="I14" s="22"/>
      <c r="J14" s="23">
        <f t="shared" si="0"/>
        <v>50262.71</v>
      </c>
      <c r="K14" s="23">
        <f t="shared" si="1"/>
        <v>67722.89</v>
      </c>
    </row>
    <row r="15" spans="2:11" ht="18.75" x14ac:dyDescent="0.3">
      <c r="B15" s="25">
        <v>43892</v>
      </c>
      <c r="C15" s="24" t="s">
        <v>221</v>
      </c>
      <c r="D15" s="37"/>
      <c r="E15" s="21"/>
      <c r="F15" s="21"/>
      <c r="G15" s="21"/>
      <c r="H15" s="21">
        <v>3060</v>
      </c>
      <c r="I15" s="22"/>
      <c r="J15" s="23">
        <f t="shared" si="0"/>
        <v>50262.71</v>
      </c>
      <c r="K15" s="23">
        <f t="shared" si="1"/>
        <v>64662.89</v>
      </c>
    </row>
    <row r="16" spans="2:11" ht="18.75" x14ac:dyDescent="0.3">
      <c r="B16" s="25">
        <v>43893</v>
      </c>
      <c r="C16" s="24" t="s">
        <v>222</v>
      </c>
      <c r="D16" s="37"/>
      <c r="E16" s="21"/>
      <c r="F16" s="21"/>
      <c r="G16" s="21"/>
      <c r="H16" s="21">
        <v>113.96</v>
      </c>
      <c r="I16" s="22"/>
      <c r="J16" s="23">
        <f t="shared" si="0"/>
        <v>50262.71</v>
      </c>
      <c r="K16" s="23">
        <f t="shared" si="1"/>
        <v>64548.93</v>
      </c>
    </row>
    <row r="17" spans="2:11" ht="18.75" x14ac:dyDescent="0.3">
      <c r="B17" s="25">
        <v>43894</v>
      </c>
      <c r="C17" s="46" t="s">
        <v>223</v>
      </c>
      <c r="D17" s="37"/>
      <c r="E17" s="21"/>
      <c r="F17" s="21"/>
      <c r="G17" s="21"/>
      <c r="H17" s="21">
        <v>300</v>
      </c>
      <c r="I17" s="22"/>
      <c r="J17" s="23">
        <f t="shared" si="0"/>
        <v>50262.71</v>
      </c>
      <c r="K17" s="23">
        <f t="shared" si="1"/>
        <v>64248.93</v>
      </c>
    </row>
    <row r="18" spans="2:11" ht="18.75" x14ac:dyDescent="0.3">
      <c r="B18" s="25">
        <v>43894</v>
      </c>
      <c r="C18" s="24" t="s">
        <v>224</v>
      </c>
      <c r="D18" s="37"/>
      <c r="E18" s="21"/>
      <c r="F18" s="21"/>
      <c r="G18" s="21"/>
      <c r="H18" s="21">
        <v>2438.1</v>
      </c>
      <c r="I18" s="22"/>
      <c r="J18" s="23">
        <f t="shared" si="0"/>
        <v>50262.71</v>
      </c>
      <c r="K18" s="23">
        <f t="shared" si="1"/>
        <v>61810.83</v>
      </c>
    </row>
    <row r="19" spans="2:11" ht="18.75" x14ac:dyDescent="0.3">
      <c r="B19" s="25">
        <v>43894</v>
      </c>
      <c r="C19" s="24" t="s">
        <v>225</v>
      </c>
      <c r="D19" s="37"/>
      <c r="E19" s="21"/>
      <c r="F19" s="21"/>
      <c r="G19" s="21"/>
      <c r="H19" s="21">
        <v>1200</v>
      </c>
      <c r="I19" s="22"/>
      <c r="J19" s="23">
        <f t="shared" si="0"/>
        <v>50262.71</v>
      </c>
      <c r="K19" s="23">
        <f t="shared" si="1"/>
        <v>60610.83</v>
      </c>
    </row>
    <row r="20" spans="2:11" ht="18.75" x14ac:dyDescent="0.3">
      <c r="B20" s="25">
        <v>43894</v>
      </c>
      <c r="C20" s="24" t="s">
        <v>226</v>
      </c>
      <c r="D20" s="37"/>
      <c r="E20" s="21"/>
      <c r="F20" s="21"/>
      <c r="G20" s="21"/>
      <c r="H20" s="21">
        <v>1200</v>
      </c>
      <c r="I20" s="22"/>
      <c r="J20" s="23">
        <f t="shared" si="0"/>
        <v>50262.71</v>
      </c>
      <c r="K20" s="23">
        <f t="shared" si="1"/>
        <v>59410.83</v>
      </c>
    </row>
    <row r="21" spans="2:11" ht="18.75" x14ac:dyDescent="0.3">
      <c r="B21" s="25">
        <v>43895</v>
      </c>
      <c r="C21" s="24" t="s">
        <v>239</v>
      </c>
      <c r="D21" s="37"/>
      <c r="E21" s="21"/>
      <c r="F21" s="21"/>
      <c r="G21" s="21"/>
      <c r="H21" s="21">
        <v>100</v>
      </c>
      <c r="I21" s="22"/>
      <c r="J21" s="23">
        <f t="shared" si="0"/>
        <v>50262.71</v>
      </c>
      <c r="K21" s="23">
        <f t="shared" si="1"/>
        <v>59310.83</v>
      </c>
    </row>
    <row r="22" spans="2:11" ht="18.75" x14ac:dyDescent="0.3">
      <c r="B22" s="25">
        <v>43895</v>
      </c>
      <c r="C22" s="24" t="s">
        <v>220</v>
      </c>
      <c r="D22" s="37"/>
      <c r="E22" s="21"/>
      <c r="F22" s="21"/>
      <c r="G22" s="21"/>
      <c r="H22" s="21">
        <v>668</v>
      </c>
      <c r="I22" s="22"/>
      <c r="J22" s="23">
        <f t="shared" si="0"/>
        <v>50262.71</v>
      </c>
      <c r="K22" s="23">
        <f t="shared" si="1"/>
        <v>58642.83</v>
      </c>
    </row>
    <row r="23" spans="2:11" ht="18.75" x14ac:dyDescent="0.3">
      <c r="B23" s="25">
        <v>43895</v>
      </c>
      <c r="C23" s="24" t="s">
        <v>220</v>
      </c>
      <c r="D23" s="37"/>
      <c r="E23" s="21"/>
      <c r="F23" s="21"/>
      <c r="G23" s="21"/>
      <c r="H23" s="21">
        <v>773</v>
      </c>
      <c r="I23" s="22"/>
      <c r="J23" s="23">
        <f t="shared" si="0"/>
        <v>50262.71</v>
      </c>
      <c r="K23" s="23">
        <f t="shared" si="1"/>
        <v>57869.83</v>
      </c>
    </row>
    <row r="24" spans="2:11" ht="18.75" x14ac:dyDescent="0.3">
      <c r="B24" s="25">
        <v>43896</v>
      </c>
      <c r="C24" s="24" t="s">
        <v>259</v>
      </c>
      <c r="D24" s="37"/>
      <c r="E24" s="37"/>
      <c r="F24" s="21"/>
      <c r="G24" s="21"/>
      <c r="H24" s="21">
        <v>156</v>
      </c>
      <c r="I24" s="22"/>
      <c r="J24" s="23">
        <f t="shared" si="0"/>
        <v>50262.71</v>
      </c>
      <c r="K24" s="23">
        <f t="shared" si="1"/>
        <v>57713.83</v>
      </c>
    </row>
    <row r="25" spans="2:11" ht="18.75" x14ac:dyDescent="0.3">
      <c r="B25" s="25">
        <v>43896</v>
      </c>
      <c r="C25" s="58" t="s">
        <v>227</v>
      </c>
      <c r="D25" s="37"/>
      <c r="E25" s="37"/>
      <c r="F25" s="21"/>
      <c r="G25" s="21"/>
      <c r="H25" s="21">
        <v>300</v>
      </c>
      <c r="I25" s="22"/>
      <c r="J25" s="23">
        <f t="shared" si="0"/>
        <v>50262.71</v>
      </c>
      <c r="K25" s="23">
        <f t="shared" si="1"/>
        <v>57413.83</v>
      </c>
    </row>
    <row r="26" spans="2:11" ht="18.75" x14ac:dyDescent="0.3">
      <c r="B26" s="47">
        <v>43896</v>
      </c>
      <c r="C26" s="24" t="s">
        <v>240</v>
      </c>
      <c r="D26" s="37"/>
      <c r="E26" s="37"/>
      <c r="F26" s="21"/>
      <c r="G26" s="21"/>
      <c r="H26" s="21">
        <v>500</v>
      </c>
      <c r="I26" s="22"/>
      <c r="J26" s="23">
        <f t="shared" si="0"/>
        <v>50262.71</v>
      </c>
      <c r="K26" s="23">
        <f t="shared" si="1"/>
        <v>56913.83</v>
      </c>
    </row>
    <row r="27" spans="2:11" ht="18.75" x14ac:dyDescent="0.3">
      <c r="B27" s="51">
        <v>43896</v>
      </c>
      <c r="C27" s="24" t="s">
        <v>222</v>
      </c>
      <c r="D27" s="37"/>
      <c r="E27" s="37"/>
      <c r="F27" s="37"/>
      <c r="G27" s="21"/>
      <c r="H27" s="21">
        <v>742.62</v>
      </c>
      <c r="I27" s="22"/>
      <c r="J27" s="23">
        <f t="shared" si="0"/>
        <v>50262.71</v>
      </c>
      <c r="K27" s="23">
        <f t="shared" si="1"/>
        <v>56171.21</v>
      </c>
    </row>
    <row r="28" spans="2:11" ht="18.75" x14ac:dyDescent="0.3">
      <c r="B28" s="47">
        <v>43898</v>
      </c>
      <c r="C28" s="36" t="s">
        <v>228</v>
      </c>
      <c r="D28" s="37"/>
      <c r="E28" s="21"/>
      <c r="F28" s="21"/>
      <c r="G28" s="21"/>
      <c r="H28" s="21">
        <v>70</v>
      </c>
      <c r="I28" s="22"/>
      <c r="J28" s="23">
        <f t="shared" si="0"/>
        <v>50262.71</v>
      </c>
      <c r="K28" s="23">
        <f t="shared" si="1"/>
        <v>56101.21</v>
      </c>
    </row>
    <row r="29" spans="2:11" ht="18.75" x14ac:dyDescent="0.3">
      <c r="B29" s="47">
        <v>43898</v>
      </c>
      <c r="C29" s="24" t="s">
        <v>229</v>
      </c>
      <c r="D29" s="37"/>
      <c r="E29" s="21"/>
      <c r="F29" s="21"/>
      <c r="G29" s="21"/>
      <c r="H29" s="21">
        <v>2400</v>
      </c>
      <c r="I29" s="22"/>
      <c r="J29" s="23">
        <f t="shared" si="0"/>
        <v>50262.71</v>
      </c>
      <c r="K29" s="23">
        <f t="shared" si="1"/>
        <v>53701.21</v>
      </c>
    </row>
    <row r="30" spans="2:11" ht="18.75" x14ac:dyDescent="0.3">
      <c r="B30" s="47">
        <v>43898</v>
      </c>
      <c r="C30" s="36" t="s">
        <v>230</v>
      </c>
      <c r="D30" s="37"/>
      <c r="E30" s="21"/>
      <c r="F30" s="21"/>
      <c r="G30" s="21"/>
      <c r="H30" s="21">
        <v>400</v>
      </c>
      <c r="I30" s="22"/>
      <c r="J30" s="23">
        <f t="shared" si="0"/>
        <v>50262.71</v>
      </c>
      <c r="K30" s="23">
        <f t="shared" si="1"/>
        <v>53301.21</v>
      </c>
    </row>
    <row r="31" spans="2:11" ht="18.75" x14ac:dyDescent="0.3">
      <c r="B31" s="47">
        <v>43898</v>
      </c>
      <c r="C31" s="36" t="s">
        <v>234</v>
      </c>
      <c r="D31" s="37">
        <v>49000</v>
      </c>
      <c r="E31" s="21"/>
      <c r="F31" s="21"/>
      <c r="G31" s="21"/>
      <c r="H31" s="21"/>
      <c r="I31" s="22"/>
      <c r="J31" s="23">
        <f t="shared" si="0"/>
        <v>50262.71</v>
      </c>
      <c r="K31" s="23">
        <f t="shared" si="1"/>
        <v>102301.20999999999</v>
      </c>
    </row>
    <row r="32" spans="2:11" ht="18.75" x14ac:dyDescent="0.3">
      <c r="B32" s="47">
        <v>43898</v>
      </c>
      <c r="C32" s="36" t="s">
        <v>241</v>
      </c>
      <c r="D32" s="37"/>
      <c r="E32" s="21">
        <v>3000</v>
      </c>
      <c r="F32" s="21"/>
      <c r="G32" s="21"/>
      <c r="H32" s="21"/>
      <c r="I32" s="22"/>
      <c r="J32" s="23">
        <f t="shared" si="0"/>
        <v>53262.71</v>
      </c>
      <c r="K32" s="23">
        <f t="shared" si="1"/>
        <v>102301.20999999999</v>
      </c>
    </row>
    <row r="33" spans="2:11" ht="18.75" x14ac:dyDescent="0.3">
      <c r="B33" s="47">
        <v>43899</v>
      </c>
      <c r="C33" s="36" t="s">
        <v>231</v>
      </c>
      <c r="D33" s="37"/>
      <c r="E33" s="21"/>
      <c r="F33" s="21"/>
      <c r="G33" s="21"/>
      <c r="H33" s="21">
        <v>150</v>
      </c>
      <c r="I33" s="22"/>
      <c r="J33" s="23">
        <f t="shared" ref="J33:J46" si="2">+J32+E33-G33</f>
        <v>53262.71</v>
      </c>
      <c r="K33" s="23">
        <f t="shared" ref="K33:K46" si="3">+K32+D33-H33</f>
        <v>102151.20999999999</v>
      </c>
    </row>
    <row r="34" spans="2:11" ht="18.75" x14ac:dyDescent="0.3">
      <c r="B34" s="54">
        <v>43900</v>
      </c>
      <c r="C34" s="58" t="s">
        <v>232</v>
      </c>
      <c r="D34" s="37"/>
      <c r="E34" s="21"/>
      <c r="F34" s="21"/>
      <c r="G34" s="21"/>
      <c r="H34" s="21">
        <v>200</v>
      </c>
      <c r="I34" s="22"/>
      <c r="J34" s="23">
        <f t="shared" si="2"/>
        <v>53262.71</v>
      </c>
      <c r="K34" s="23">
        <f t="shared" si="3"/>
        <v>101951.20999999999</v>
      </c>
    </row>
    <row r="35" spans="2:11" ht="18.75" x14ac:dyDescent="0.3">
      <c r="B35" s="47">
        <v>43900</v>
      </c>
      <c r="C35" s="36" t="s">
        <v>148</v>
      </c>
      <c r="D35" s="37"/>
      <c r="E35" s="21"/>
      <c r="F35" s="21"/>
      <c r="G35" s="21"/>
      <c r="H35" s="21">
        <v>590.4</v>
      </c>
      <c r="I35" s="22"/>
      <c r="J35" s="23">
        <f t="shared" si="2"/>
        <v>53262.71</v>
      </c>
      <c r="K35" s="23">
        <f t="shared" si="3"/>
        <v>101360.81</v>
      </c>
    </row>
    <row r="36" spans="2:11" ht="18.75" x14ac:dyDescent="0.3">
      <c r="B36" s="47">
        <v>43900</v>
      </c>
      <c r="C36" s="48" t="s">
        <v>281</v>
      </c>
      <c r="D36" s="37"/>
      <c r="E36" s="21"/>
      <c r="F36" s="21"/>
      <c r="G36" s="21"/>
      <c r="H36" s="21">
        <v>4444.28</v>
      </c>
      <c r="I36" s="22"/>
      <c r="J36" s="23">
        <f t="shared" si="2"/>
        <v>53262.71</v>
      </c>
      <c r="K36" s="23">
        <f t="shared" si="3"/>
        <v>96916.53</v>
      </c>
    </row>
    <row r="37" spans="2:11" ht="18.75" x14ac:dyDescent="0.3">
      <c r="B37" s="51">
        <v>43901</v>
      </c>
      <c r="C37" s="36" t="s">
        <v>282</v>
      </c>
      <c r="D37" s="37"/>
      <c r="E37" s="21"/>
      <c r="F37" s="21"/>
      <c r="G37" s="21"/>
      <c r="H37" s="21">
        <v>585</v>
      </c>
      <c r="I37" s="22"/>
      <c r="J37" s="23">
        <f t="shared" si="2"/>
        <v>53262.71</v>
      </c>
      <c r="K37" s="23">
        <f t="shared" si="3"/>
        <v>96331.53</v>
      </c>
    </row>
    <row r="38" spans="2:11" ht="18.75" x14ac:dyDescent="0.3">
      <c r="B38" s="49">
        <v>43901</v>
      </c>
      <c r="C38" s="36" t="s">
        <v>282</v>
      </c>
      <c r="D38" s="37"/>
      <c r="E38" s="21"/>
      <c r="F38" s="21"/>
      <c r="G38" s="21"/>
      <c r="H38" s="21">
        <v>396</v>
      </c>
      <c r="I38" s="22"/>
      <c r="J38" s="23">
        <f t="shared" si="2"/>
        <v>53262.71</v>
      </c>
      <c r="K38" s="23">
        <f t="shared" si="3"/>
        <v>95935.53</v>
      </c>
    </row>
    <row r="39" spans="2:11" ht="18.75" x14ac:dyDescent="0.3">
      <c r="B39" s="47">
        <v>43901</v>
      </c>
      <c r="C39" s="36" t="s">
        <v>295</v>
      </c>
      <c r="D39" s="37"/>
      <c r="E39" s="21"/>
      <c r="F39" s="21"/>
      <c r="G39" s="21"/>
      <c r="H39" s="21">
        <v>39</v>
      </c>
      <c r="I39" s="22"/>
      <c r="J39" s="23">
        <f t="shared" si="2"/>
        <v>53262.71</v>
      </c>
      <c r="K39" s="23">
        <f t="shared" si="3"/>
        <v>95896.53</v>
      </c>
    </row>
    <row r="40" spans="2:11" ht="18.75" x14ac:dyDescent="0.3">
      <c r="B40" s="50">
        <v>43901</v>
      </c>
      <c r="C40" s="35" t="s">
        <v>233</v>
      </c>
      <c r="D40" s="37"/>
      <c r="E40" s="21"/>
      <c r="F40" s="21"/>
      <c r="G40" s="21"/>
      <c r="H40" s="21">
        <v>350</v>
      </c>
      <c r="I40" s="22"/>
      <c r="J40" s="23">
        <f t="shared" si="2"/>
        <v>53262.71</v>
      </c>
      <c r="K40" s="23">
        <f t="shared" si="3"/>
        <v>95546.53</v>
      </c>
    </row>
    <row r="41" spans="2:11" ht="18.75" x14ac:dyDescent="0.3">
      <c r="B41" s="49">
        <v>43901</v>
      </c>
      <c r="C41" s="36" t="s">
        <v>235</v>
      </c>
      <c r="D41" s="37"/>
      <c r="E41" s="21"/>
      <c r="F41" s="21"/>
      <c r="G41" s="21"/>
      <c r="H41" s="21">
        <v>1137</v>
      </c>
      <c r="I41" s="22"/>
      <c r="J41" s="23">
        <f t="shared" si="2"/>
        <v>53262.71</v>
      </c>
      <c r="K41" s="23">
        <f t="shared" si="3"/>
        <v>94409.53</v>
      </c>
    </row>
    <row r="42" spans="2:11" ht="18.75" x14ac:dyDescent="0.3">
      <c r="B42" s="47">
        <v>43902</v>
      </c>
      <c r="C42" s="36" t="s">
        <v>236</v>
      </c>
      <c r="D42" s="37"/>
      <c r="E42" s="21"/>
      <c r="F42" s="21"/>
      <c r="G42" s="21"/>
      <c r="H42" s="21">
        <v>400</v>
      </c>
      <c r="I42" s="22"/>
      <c r="J42" s="23">
        <f t="shared" si="2"/>
        <v>53262.71</v>
      </c>
      <c r="K42" s="23">
        <f t="shared" si="3"/>
        <v>94009.53</v>
      </c>
    </row>
    <row r="43" spans="2:11" ht="18.75" x14ac:dyDescent="0.3">
      <c r="B43" s="51">
        <v>43902</v>
      </c>
      <c r="C43" s="36" t="s">
        <v>298</v>
      </c>
      <c r="D43" s="37"/>
      <c r="E43" s="21"/>
      <c r="F43" s="21"/>
      <c r="G43" s="21"/>
      <c r="H43" s="21">
        <v>358</v>
      </c>
      <c r="I43" s="22"/>
      <c r="J43" s="23">
        <f t="shared" si="2"/>
        <v>53262.71</v>
      </c>
      <c r="K43" s="23">
        <f t="shared" si="3"/>
        <v>93651.53</v>
      </c>
    </row>
    <row r="44" spans="2:11" ht="18.75" x14ac:dyDescent="0.3">
      <c r="B44" s="49">
        <v>43902</v>
      </c>
      <c r="C44" s="36" t="s">
        <v>297</v>
      </c>
      <c r="D44" s="37"/>
      <c r="E44" s="21"/>
      <c r="F44" s="21"/>
      <c r="G44" s="21"/>
      <c r="H44" s="21">
        <v>1330</v>
      </c>
      <c r="I44" s="22"/>
      <c r="J44" s="23">
        <f t="shared" si="2"/>
        <v>53262.71</v>
      </c>
      <c r="K44" s="23">
        <f t="shared" si="3"/>
        <v>92321.53</v>
      </c>
    </row>
    <row r="45" spans="2:11" ht="18.75" x14ac:dyDescent="0.3">
      <c r="B45" s="47">
        <v>43902</v>
      </c>
      <c r="C45" s="36" t="s">
        <v>237</v>
      </c>
      <c r="D45" s="37"/>
      <c r="E45" s="21"/>
      <c r="F45" s="21"/>
      <c r="G45" s="21"/>
      <c r="H45" s="21">
        <v>150</v>
      </c>
      <c r="I45" s="22"/>
      <c r="J45" s="23">
        <f t="shared" si="2"/>
        <v>53262.71</v>
      </c>
      <c r="K45" s="23">
        <f t="shared" si="3"/>
        <v>92171.53</v>
      </c>
    </row>
    <row r="46" spans="2:11" ht="19.5" thickBot="1" x14ac:dyDescent="0.35">
      <c r="B46" s="47">
        <v>43902</v>
      </c>
      <c r="C46" s="20" t="s">
        <v>237</v>
      </c>
      <c r="D46" s="37"/>
      <c r="E46" s="21"/>
      <c r="F46" s="21"/>
      <c r="G46" s="21"/>
      <c r="H46" s="21">
        <v>440</v>
      </c>
      <c r="I46" s="22"/>
      <c r="J46" s="85">
        <f t="shared" si="2"/>
        <v>53262.71</v>
      </c>
      <c r="K46" s="23">
        <f t="shared" si="3"/>
        <v>91731.53</v>
      </c>
    </row>
    <row r="47" spans="2:11" ht="19.5" thickBot="1" x14ac:dyDescent="0.35">
      <c r="B47" s="28"/>
      <c r="C47" s="29" t="s">
        <v>0</v>
      </c>
      <c r="D47" s="30">
        <f>SUM(D4:D46)</f>
        <v>85750</v>
      </c>
      <c r="E47" s="31">
        <f>SUM(E4:E46)</f>
        <v>3000</v>
      </c>
      <c r="F47" s="32">
        <f>SUM(D47:E47)</f>
        <v>88750</v>
      </c>
      <c r="G47" s="33">
        <f>SUM(G4:G46)</f>
        <v>0</v>
      </c>
      <c r="H47" s="30">
        <f>SUM(H4:H46)</f>
        <v>27500.36</v>
      </c>
      <c r="I47" s="32">
        <f>SUM(G47:H47)</f>
        <v>27500.36</v>
      </c>
      <c r="J47" s="84"/>
      <c r="K47" s="23"/>
    </row>
    <row r="48" spans="2:11" ht="18.75" x14ac:dyDescent="0.3">
      <c r="B48" s="78"/>
      <c r="C48" s="79"/>
      <c r="D48" s="80"/>
      <c r="E48" s="80"/>
      <c r="F48" s="81"/>
      <c r="G48" s="82"/>
      <c r="H48" s="80"/>
      <c r="I48" s="81"/>
      <c r="J48" s="83"/>
      <c r="K48" s="83"/>
    </row>
    <row r="49" spans="2:11" ht="19.5" thickBot="1" x14ac:dyDescent="0.35">
      <c r="B49" s="7"/>
      <c r="C49" s="7"/>
      <c r="D49" s="7"/>
      <c r="E49" s="7"/>
      <c r="F49" s="7"/>
      <c r="G49" s="7"/>
      <c r="H49" s="7"/>
      <c r="I49" s="7"/>
      <c r="J49" s="7"/>
      <c r="K49" s="7"/>
    </row>
    <row r="50" spans="2:11" ht="18.75" x14ac:dyDescent="0.3">
      <c r="B50" s="9" t="s">
        <v>1</v>
      </c>
      <c r="C50" s="9" t="s">
        <v>2</v>
      </c>
      <c r="D50" s="9" t="s">
        <v>3</v>
      </c>
      <c r="E50" s="9" t="s">
        <v>3</v>
      </c>
      <c r="F50" s="9" t="s">
        <v>8</v>
      </c>
      <c r="G50" s="9" t="s">
        <v>9</v>
      </c>
      <c r="H50" s="10" t="s">
        <v>9</v>
      </c>
      <c r="I50" s="10" t="s">
        <v>8</v>
      </c>
      <c r="J50" s="9" t="s">
        <v>7</v>
      </c>
      <c r="K50" s="10" t="s">
        <v>6</v>
      </c>
    </row>
    <row r="51" spans="2:11" ht="19.5" thickBot="1" x14ac:dyDescent="0.35">
      <c r="B51" s="11"/>
      <c r="C51" s="11"/>
      <c r="D51" s="11" t="s">
        <v>5</v>
      </c>
      <c r="E51" s="11" t="s">
        <v>7</v>
      </c>
      <c r="F51" s="11" t="s">
        <v>3</v>
      </c>
      <c r="G51" s="11" t="s">
        <v>7</v>
      </c>
      <c r="H51" s="12" t="s">
        <v>5</v>
      </c>
      <c r="I51" s="12" t="s">
        <v>4</v>
      </c>
      <c r="J51" s="11"/>
      <c r="K51" s="12"/>
    </row>
    <row r="52" spans="2:11" ht="19.5" thickBot="1" x14ac:dyDescent="0.35">
      <c r="B52" s="28"/>
      <c r="C52" s="29"/>
      <c r="D52" s="30">
        <v>85750</v>
      </c>
      <c r="E52" s="31">
        <v>3000</v>
      </c>
      <c r="F52" s="32">
        <f>SUM(D52:E52)</f>
        <v>88750</v>
      </c>
      <c r="G52" s="33">
        <v>0</v>
      </c>
      <c r="H52" s="30">
        <v>27500.36</v>
      </c>
      <c r="I52" s="32">
        <f>SUM(G52:H52)</f>
        <v>27500.36</v>
      </c>
      <c r="J52" s="72">
        <v>53262.71</v>
      </c>
      <c r="K52" s="72">
        <v>91731.53</v>
      </c>
    </row>
    <row r="53" spans="2:11" ht="18.75" x14ac:dyDescent="0.3">
      <c r="B53" s="47">
        <v>43903</v>
      </c>
      <c r="C53" s="20" t="s">
        <v>238</v>
      </c>
      <c r="D53" s="37"/>
      <c r="E53" s="21"/>
      <c r="F53" s="21"/>
      <c r="G53" s="21"/>
      <c r="H53" s="21">
        <v>223.5</v>
      </c>
      <c r="I53" s="22"/>
      <c r="J53" s="23">
        <f>+J46+E53-G53</f>
        <v>53262.71</v>
      </c>
      <c r="K53" s="23">
        <f>+K46+D53-H53</f>
        <v>91508.03</v>
      </c>
    </row>
    <row r="54" spans="2:11" ht="18.75" x14ac:dyDescent="0.3">
      <c r="B54" s="52">
        <v>43903</v>
      </c>
      <c r="C54" s="36" t="s">
        <v>258</v>
      </c>
      <c r="D54" s="37"/>
      <c r="E54" s="37"/>
      <c r="F54" s="37"/>
      <c r="G54" s="21"/>
      <c r="H54" s="21">
        <v>160</v>
      </c>
      <c r="I54" s="22"/>
      <c r="J54" s="23">
        <f t="shared" si="0"/>
        <v>53262.71</v>
      </c>
      <c r="K54" s="23">
        <f t="shared" si="1"/>
        <v>91348.03</v>
      </c>
    </row>
    <row r="55" spans="2:11" ht="18.75" x14ac:dyDescent="0.3">
      <c r="B55" s="52">
        <v>43903</v>
      </c>
      <c r="C55" s="36" t="s">
        <v>148</v>
      </c>
      <c r="D55" s="37"/>
      <c r="E55" s="37"/>
      <c r="F55" s="37"/>
      <c r="G55" s="37"/>
      <c r="H55" s="21">
        <v>734.7</v>
      </c>
      <c r="I55" s="22"/>
      <c r="J55" s="23">
        <f t="shared" si="0"/>
        <v>53262.71</v>
      </c>
      <c r="K55" s="23">
        <f t="shared" si="1"/>
        <v>90613.33</v>
      </c>
    </row>
    <row r="56" spans="2:11" ht="18.75" x14ac:dyDescent="0.3">
      <c r="B56" s="25">
        <v>43904</v>
      </c>
      <c r="C56" s="24" t="s">
        <v>278</v>
      </c>
      <c r="D56" s="21"/>
      <c r="E56" s="21"/>
      <c r="F56" s="21"/>
      <c r="G56" s="21"/>
      <c r="H56" s="21">
        <v>300</v>
      </c>
      <c r="I56" s="22"/>
      <c r="J56" s="23">
        <f t="shared" si="0"/>
        <v>53262.71</v>
      </c>
      <c r="K56" s="23">
        <f t="shared" si="1"/>
        <v>90313.33</v>
      </c>
    </row>
    <row r="57" spans="2:11" ht="18.75" x14ac:dyDescent="0.3">
      <c r="B57" s="25">
        <v>43904</v>
      </c>
      <c r="C57" s="24" t="s">
        <v>294</v>
      </c>
      <c r="D57" s="21"/>
      <c r="E57" s="21"/>
      <c r="F57" s="21"/>
      <c r="G57" s="21"/>
      <c r="H57" s="21">
        <v>713.01</v>
      </c>
      <c r="I57" s="22"/>
      <c r="J57" s="23">
        <f t="shared" si="0"/>
        <v>53262.71</v>
      </c>
      <c r="K57" s="23">
        <f t="shared" si="1"/>
        <v>89600.320000000007</v>
      </c>
    </row>
    <row r="58" spans="2:11" ht="18.75" x14ac:dyDescent="0.3">
      <c r="B58" s="25">
        <v>43904</v>
      </c>
      <c r="C58" s="24" t="s">
        <v>283</v>
      </c>
      <c r="D58" s="21"/>
      <c r="E58" s="21"/>
      <c r="F58" s="21"/>
      <c r="G58" s="21"/>
      <c r="H58" s="21">
        <v>1200</v>
      </c>
      <c r="I58" s="22"/>
      <c r="J58" s="23">
        <f t="shared" si="0"/>
        <v>53262.71</v>
      </c>
      <c r="K58" s="23">
        <f t="shared" si="1"/>
        <v>88400.320000000007</v>
      </c>
    </row>
    <row r="59" spans="2:11" ht="18.75" x14ac:dyDescent="0.3">
      <c r="B59" s="25">
        <v>43905</v>
      </c>
      <c r="C59" s="24" t="s">
        <v>296</v>
      </c>
      <c r="D59" s="21"/>
      <c r="E59" s="21"/>
      <c r="F59" s="21"/>
      <c r="G59" s="21"/>
      <c r="H59" s="21">
        <v>1000</v>
      </c>
      <c r="I59" s="22"/>
      <c r="J59" s="23">
        <f t="shared" si="0"/>
        <v>53262.71</v>
      </c>
      <c r="K59" s="23">
        <f t="shared" si="1"/>
        <v>87400.320000000007</v>
      </c>
    </row>
    <row r="60" spans="2:11" ht="18.75" x14ac:dyDescent="0.3">
      <c r="B60" s="25">
        <v>43905</v>
      </c>
      <c r="C60" s="24" t="s">
        <v>243</v>
      </c>
      <c r="D60" s="21"/>
      <c r="E60" s="21"/>
      <c r="F60" s="21"/>
      <c r="G60" s="21"/>
      <c r="H60" s="21">
        <v>3000</v>
      </c>
      <c r="I60" s="22"/>
      <c r="J60" s="23">
        <f t="shared" ref="J60:J70" si="4">+J59+E60-G60</f>
        <v>53262.71</v>
      </c>
      <c r="K60" s="23">
        <f t="shared" ref="K60:K70" si="5">+K59+D60-H60</f>
        <v>84400.320000000007</v>
      </c>
    </row>
    <row r="61" spans="2:11" ht="18.75" x14ac:dyDescent="0.3">
      <c r="B61" s="52">
        <v>43905</v>
      </c>
      <c r="C61" s="36" t="s">
        <v>151</v>
      </c>
      <c r="D61" s="37"/>
      <c r="E61" s="21"/>
      <c r="F61" s="21"/>
      <c r="G61" s="21"/>
      <c r="H61" s="21">
        <v>6000</v>
      </c>
      <c r="I61" s="22"/>
      <c r="J61" s="23">
        <f t="shared" si="4"/>
        <v>53262.71</v>
      </c>
      <c r="K61" s="23">
        <f t="shared" si="5"/>
        <v>78400.320000000007</v>
      </c>
    </row>
    <row r="62" spans="2:11" ht="18.75" x14ac:dyDescent="0.3">
      <c r="B62" s="52">
        <v>43905</v>
      </c>
      <c r="C62" s="36" t="s">
        <v>246</v>
      </c>
      <c r="D62" s="37"/>
      <c r="E62" s="21"/>
      <c r="F62" s="21"/>
      <c r="G62" s="21"/>
      <c r="H62" s="21">
        <v>300</v>
      </c>
      <c r="I62" s="22"/>
      <c r="J62" s="23">
        <f t="shared" si="4"/>
        <v>53262.71</v>
      </c>
      <c r="K62" s="23">
        <f t="shared" si="5"/>
        <v>78100.320000000007</v>
      </c>
    </row>
    <row r="63" spans="2:11" ht="18.75" x14ac:dyDescent="0.3">
      <c r="B63" s="47">
        <v>43905</v>
      </c>
      <c r="C63" s="20" t="s">
        <v>279</v>
      </c>
      <c r="D63" s="21"/>
      <c r="E63" s="21"/>
      <c r="F63" s="21"/>
      <c r="G63" s="21"/>
      <c r="H63" s="21">
        <v>400</v>
      </c>
      <c r="I63" s="22"/>
      <c r="J63" s="23">
        <f t="shared" si="4"/>
        <v>53262.71</v>
      </c>
      <c r="K63" s="23">
        <f t="shared" si="5"/>
        <v>77700.320000000007</v>
      </c>
    </row>
    <row r="64" spans="2:11" ht="18.75" x14ac:dyDescent="0.3">
      <c r="B64" s="47">
        <v>43905</v>
      </c>
      <c r="C64" s="20" t="s">
        <v>247</v>
      </c>
      <c r="D64" s="21"/>
      <c r="E64" s="21"/>
      <c r="F64" s="21"/>
      <c r="G64" s="21"/>
      <c r="H64" s="21">
        <v>48.5</v>
      </c>
      <c r="I64" s="22"/>
      <c r="J64" s="23">
        <f t="shared" si="4"/>
        <v>53262.71</v>
      </c>
      <c r="K64" s="23">
        <f t="shared" si="5"/>
        <v>77651.820000000007</v>
      </c>
    </row>
    <row r="65" spans="2:11" ht="18.75" x14ac:dyDescent="0.3">
      <c r="B65" s="47">
        <v>43905</v>
      </c>
      <c r="C65" s="27" t="s">
        <v>248</v>
      </c>
      <c r="D65" s="21"/>
      <c r="E65" s="21"/>
      <c r="F65" s="21"/>
      <c r="G65" s="21"/>
      <c r="H65" s="21">
        <v>400</v>
      </c>
      <c r="I65" s="22"/>
      <c r="J65" s="23">
        <f t="shared" si="4"/>
        <v>53262.71</v>
      </c>
      <c r="K65" s="23">
        <f t="shared" si="5"/>
        <v>77251.820000000007</v>
      </c>
    </row>
    <row r="66" spans="2:11" ht="18.75" x14ac:dyDescent="0.3">
      <c r="B66" s="47">
        <v>43905</v>
      </c>
      <c r="C66" s="24" t="s">
        <v>249</v>
      </c>
      <c r="D66" s="21"/>
      <c r="E66" s="21"/>
      <c r="F66" s="21"/>
      <c r="G66" s="21"/>
      <c r="H66" s="21">
        <v>2800</v>
      </c>
      <c r="I66" s="22"/>
      <c r="J66" s="23">
        <f t="shared" si="4"/>
        <v>53262.71</v>
      </c>
      <c r="K66" s="23">
        <f t="shared" si="5"/>
        <v>74451.820000000007</v>
      </c>
    </row>
    <row r="67" spans="2:11" ht="18.75" x14ac:dyDescent="0.3">
      <c r="B67" s="47">
        <v>43905</v>
      </c>
      <c r="C67" s="74" t="s">
        <v>244</v>
      </c>
      <c r="D67" s="21"/>
      <c r="E67" s="21"/>
      <c r="F67" s="21"/>
      <c r="G67" s="21">
        <v>1760</v>
      </c>
      <c r="H67" s="21"/>
      <c r="I67" s="22"/>
      <c r="J67" s="23">
        <f t="shared" si="4"/>
        <v>51502.71</v>
      </c>
      <c r="K67" s="23">
        <f t="shared" si="5"/>
        <v>74451.820000000007</v>
      </c>
    </row>
    <row r="68" spans="2:11" ht="18.75" x14ac:dyDescent="0.3">
      <c r="B68" s="47">
        <v>43905</v>
      </c>
      <c r="C68" s="74" t="s">
        <v>245</v>
      </c>
      <c r="D68" s="21"/>
      <c r="E68" s="21"/>
      <c r="F68" s="21"/>
      <c r="G68" s="21">
        <v>1600</v>
      </c>
      <c r="H68" s="21"/>
      <c r="I68" s="22"/>
      <c r="J68" s="23">
        <f t="shared" si="4"/>
        <v>49902.71</v>
      </c>
      <c r="K68" s="23">
        <f t="shared" si="5"/>
        <v>74451.820000000007</v>
      </c>
    </row>
    <row r="69" spans="2:11" ht="18.75" x14ac:dyDescent="0.3">
      <c r="B69" s="47">
        <v>43905</v>
      </c>
      <c r="C69" s="48" t="s">
        <v>250</v>
      </c>
      <c r="D69" s="21"/>
      <c r="E69" s="21"/>
      <c r="F69" s="21"/>
      <c r="G69" s="21">
        <v>30000</v>
      </c>
      <c r="H69" s="21"/>
      <c r="I69" s="22"/>
      <c r="J69" s="23">
        <f t="shared" si="4"/>
        <v>19902.71</v>
      </c>
      <c r="K69" s="23">
        <f t="shared" si="5"/>
        <v>74451.820000000007</v>
      </c>
    </row>
    <row r="70" spans="2:11" ht="18.75" x14ac:dyDescent="0.3">
      <c r="B70" s="47">
        <v>43905</v>
      </c>
      <c r="C70" s="48" t="s">
        <v>251</v>
      </c>
      <c r="D70" s="21"/>
      <c r="E70" s="21"/>
      <c r="F70" s="21"/>
      <c r="G70" s="21"/>
      <c r="H70" s="21">
        <v>12850</v>
      </c>
      <c r="I70" s="22"/>
      <c r="J70" s="23">
        <f t="shared" si="4"/>
        <v>19902.71</v>
      </c>
      <c r="K70" s="23">
        <f t="shared" si="5"/>
        <v>61601.820000000007</v>
      </c>
    </row>
    <row r="71" spans="2:11" ht="18.75" x14ac:dyDescent="0.3">
      <c r="B71" s="47">
        <v>43905</v>
      </c>
      <c r="C71" s="48" t="s">
        <v>299</v>
      </c>
      <c r="D71" s="21"/>
      <c r="E71" s="21"/>
      <c r="F71" s="21"/>
      <c r="G71" s="21"/>
      <c r="H71" s="21">
        <v>6750</v>
      </c>
      <c r="I71" s="22"/>
      <c r="J71" s="23">
        <f t="shared" ref="J71:J94" si="6">+J70+E71-G71</f>
        <v>19902.71</v>
      </c>
      <c r="K71" s="23">
        <f t="shared" ref="K71:K94" si="7">+K70+D71-H71</f>
        <v>54851.820000000007</v>
      </c>
    </row>
    <row r="72" spans="2:11" ht="18.75" x14ac:dyDescent="0.3">
      <c r="B72" s="47">
        <v>43905</v>
      </c>
      <c r="C72" s="36" t="s">
        <v>252</v>
      </c>
      <c r="D72" s="21">
        <v>15400</v>
      </c>
      <c r="E72" s="21"/>
      <c r="F72" s="21"/>
      <c r="G72" s="21"/>
      <c r="H72" s="21"/>
      <c r="I72" s="22"/>
      <c r="J72" s="23">
        <f t="shared" si="6"/>
        <v>19902.71</v>
      </c>
      <c r="K72" s="23">
        <f t="shared" si="7"/>
        <v>70251.820000000007</v>
      </c>
    </row>
    <row r="73" spans="2:11" ht="18.75" x14ac:dyDescent="0.3">
      <c r="B73" s="47">
        <v>43905</v>
      </c>
      <c r="C73" s="36" t="s">
        <v>253</v>
      </c>
      <c r="D73" s="21"/>
      <c r="E73" s="21"/>
      <c r="F73" s="21"/>
      <c r="G73" s="21"/>
      <c r="H73" s="21">
        <v>98</v>
      </c>
      <c r="I73" s="22"/>
      <c r="J73" s="23">
        <f t="shared" si="6"/>
        <v>19902.71</v>
      </c>
      <c r="K73" s="23">
        <f t="shared" si="7"/>
        <v>70153.820000000007</v>
      </c>
    </row>
    <row r="74" spans="2:11" ht="18.75" x14ac:dyDescent="0.3">
      <c r="B74" s="51">
        <v>43906</v>
      </c>
      <c r="C74" s="48" t="s">
        <v>293</v>
      </c>
      <c r="D74" s="21"/>
      <c r="E74" s="21"/>
      <c r="F74" s="21"/>
      <c r="G74" s="21"/>
      <c r="H74" s="21">
        <v>800</v>
      </c>
      <c r="I74" s="22"/>
      <c r="J74" s="23">
        <f t="shared" si="6"/>
        <v>19902.71</v>
      </c>
      <c r="K74" s="23">
        <f t="shared" si="7"/>
        <v>69353.820000000007</v>
      </c>
    </row>
    <row r="75" spans="2:11" ht="18.75" x14ac:dyDescent="0.3">
      <c r="B75" s="25">
        <v>43906</v>
      </c>
      <c r="C75" s="36" t="s">
        <v>254</v>
      </c>
      <c r="D75" s="21"/>
      <c r="E75" s="21"/>
      <c r="F75" s="21"/>
      <c r="G75" s="21"/>
      <c r="H75" s="21">
        <v>513</v>
      </c>
      <c r="I75" s="22"/>
      <c r="J75" s="23">
        <f t="shared" si="6"/>
        <v>19902.71</v>
      </c>
      <c r="K75" s="23">
        <f t="shared" si="7"/>
        <v>68840.820000000007</v>
      </c>
    </row>
    <row r="76" spans="2:11" ht="18.75" x14ac:dyDescent="0.3">
      <c r="B76" s="25">
        <v>43907</v>
      </c>
      <c r="C76" s="58" t="s">
        <v>255</v>
      </c>
      <c r="D76" s="21"/>
      <c r="E76" s="21"/>
      <c r="F76" s="21"/>
      <c r="G76" s="21"/>
      <c r="H76" s="21">
        <v>849</v>
      </c>
      <c r="I76" s="22"/>
      <c r="J76" s="23">
        <f t="shared" si="6"/>
        <v>19902.71</v>
      </c>
      <c r="K76" s="23">
        <f t="shared" si="7"/>
        <v>67991.820000000007</v>
      </c>
    </row>
    <row r="77" spans="2:11" ht="18.75" x14ac:dyDescent="0.3">
      <c r="B77" s="49">
        <v>43907</v>
      </c>
      <c r="C77" s="58" t="s">
        <v>304</v>
      </c>
      <c r="D77" s="21"/>
      <c r="E77" s="21"/>
      <c r="F77" s="21"/>
      <c r="G77" s="21"/>
      <c r="H77" s="21">
        <v>300</v>
      </c>
      <c r="I77" s="22"/>
      <c r="J77" s="23">
        <f t="shared" si="6"/>
        <v>19902.71</v>
      </c>
      <c r="K77" s="23">
        <f t="shared" si="7"/>
        <v>67691.820000000007</v>
      </c>
    </row>
    <row r="78" spans="2:11" ht="18.75" x14ac:dyDescent="0.3">
      <c r="B78" s="52">
        <v>43907</v>
      </c>
      <c r="C78" s="48" t="s">
        <v>256</v>
      </c>
      <c r="D78" s="37"/>
      <c r="E78" s="21"/>
      <c r="F78" s="21"/>
      <c r="G78" s="21"/>
      <c r="H78" s="21">
        <v>176</v>
      </c>
      <c r="I78" s="22"/>
      <c r="J78" s="23">
        <f t="shared" si="6"/>
        <v>19902.71</v>
      </c>
      <c r="K78" s="23">
        <f t="shared" si="7"/>
        <v>67515.820000000007</v>
      </c>
    </row>
    <row r="79" spans="2:11" ht="18.75" x14ac:dyDescent="0.3">
      <c r="B79" s="52">
        <v>43909</v>
      </c>
      <c r="C79" s="24" t="s">
        <v>257</v>
      </c>
      <c r="D79" s="37"/>
      <c r="E79" s="21"/>
      <c r="F79" s="21"/>
      <c r="G79" s="21"/>
      <c r="H79" s="21">
        <v>24500</v>
      </c>
      <c r="I79" s="22"/>
      <c r="J79" s="23">
        <f t="shared" si="6"/>
        <v>19902.71</v>
      </c>
      <c r="K79" s="23">
        <f t="shared" si="7"/>
        <v>43015.820000000007</v>
      </c>
    </row>
    <row r="80" spans="2:11" ht="18.75" x14ac:dyDescent="0.3">
      <c r="B80" s="52">
        <v>43909</v>
      </c>
      <c r="C80" s="48" t="s">
        <v>264</v>
      </c>
      <c r="D80" s="37"/>
      <c r="E80" s="21"/>
      <c r="F80" s="21"/>
      <c r="G80" s="21"/>
      <c r="H80" s="21">
        <v>47.9</v>
      </c>
      <c r="I80" s="22"/>
      <c r="J80" s="23">
        <f t="shared" si="6"/>
        <v>19902.71</v>
      </c>
      <c r="K80" s="23">
        <f t="shared" si="7"/>
        <v>42967.920000000006</v>
      </c>
    </row>
    <row r="81" spans="2:11" ht="18.75" x14ac:dyDescent="0.3">
      <c r="B81" s="52">
        <v>43910</v>
      </c>
      <c r="C81" s="48" t="s">
        <v>183</v>
      </c>
      <c r="D81" s="37"/>
      <c r="E81" s="21"/>
      <c r="F81" s="21"/>
      <c r="G81" s="21"/>
      <c r="H81" s="21">
        <v>120</v>
      </c>
      <c r="I81" s="22"/>
      <c r="J81" s="23">
        <f t="shared" si="6"/>
        <v>19902.71</v>
      </c>
      <c r="K81" s="23">
        <f t="shared" si="7"/>
        <v>42847.920000000006</v>
      </c>
    </row>
    <row r="82" spans="2:11" ht="18.75" x14ac:dyDescent="0.3">
      <c r="B82" s="53">
        <v>43910</v>
      </c>
      <c r="C82" s="24" t="s">
        <v>260</v>
      </c>
      <c r="D82" s="37"/>
      <c r="E82" s="21"/>
      <c r="F82" s="21"/>
      <c r="G82" s="21"/>
      <c r="H82" s="21">
        <v>468</v>
      </c>
      <c r="I82" s="22"/>
      <c r="J82" s="23">
        <f t="shared" si="6"/>
        <v>19902.71</v>
      </c>
      <c r="K82" s="23">
        <f t="shared" si="7"/>
        <v>42379.920000000006</v>
      </c>
    </row>
    <row r="83" spans="2:11" ht="18.75" x14ac:dyDescent="0.3">
      <c r="B83" s="53">
        <v>43911</v>
      </c>
      <c r="C83" s="24" t="s">
        <v>261</v>
      </c>
      <c r="D83" s="37"/>
      <c r="E83" s="21"/>
      <c r="F83" s="21"/>
      <c r="G83" s="21"/>
      <c r="H83" s="21">
        <v>400</v>
      </c>
      <c r="I83" s="22"/>
      <c r="J83" s="23">
        <f t="shared" si="6"/>
        <v>19902.71</v>
      </c>
      <c r="K83" s="23">
        <f t="shared" si="7"/>
        <v>41979.920000000006</v>
      </c>
    </row>
    <row r="84" spans="2:11" ht="18.75" x14ac:dyDescent="0.3">
      <c r="B84" s="53">
        <v>43911</v>
      </c>
      <c r="C84" s="20" t="s">
        <v>263</v>
      </c>
      <c r="D84" s="37"/>
      <c r="E84" s="21"/>
      <c r="F84" s="21"/>
      <c r="G84" s="21"/>
      <c r="H84" s="21">
        <v>1000</v>
      </c>
      <c r="I84" s="22"/>
      <c r="J84" s="23">
        <f t="shared" si="6"/>
        <v>19902.71</v>
      </c>
      <c r="K84" s="23">
        <f t="shared" si="7"/>
        <v>40979.920000000006</v>
      </c>
    </row>
    <row r="85" spans="2:11" ht="18.75" x14ac:dyDescent="0.3">
      <c r="B85" s="54">
        <v>43911</v>
      </c>
      <c r="C85" s="20" t="s">
        <v>265</v>
      </c>
      <c r="D85" s="37"/>
      <c r="E85" s="21"/>
      <c r="F85" s="21"/>
      <c r="G85" s="21"/>
      <c r="H85" s="21">
        <v>148</v>
      </c>
      <c r="I85" s="22"/>
      <c r="J85" s="23">
        <f t="shared" si="6"/>
        <v>19902.71</v>
      </c>
      <c r="K85" s="23">
        <f t="shared" si="7"/>
        <v>40831.920000000006</v>
      </c>
    </row>
    <row r="86" spans="2:11" ht="18.75" x14ac:dyDescent="0.3">
      <c r="B86" s="54">
        <v>43912</v>
      </c>
      <c r="C86" s="24" t="s">
        <v>247</v>
      </c>
      <c r="D86" s="37"/>
      <c r="E86" s="21"/>
      <c r="F86" s="21"/>
      <c r="G86" s="21"/>
      <c r="H86" s="21">
        <v>104</v>
      </c>
      <c r="I86" s="22"/>
      <c r="J86" s="23">
        <f t="shared" si="6"/>
        <v>19902.71</v>
      </c>
      <c r="K86" s="23">
        <f>+K85+D86-H86</f>
        <v>40727.920000000006</v>
      </c>
    </row>
    <row r="87" spans="2:11" ht="18.75" x14ac:dyDescent="0.3">
      <c r="B87" s="54">
        <v>43912</v>
      </c>
      <c r="C87" s="36" t="s">
        <v>262</v>
      </c>
      <c r="D87" s="55">
        <v>19050</v>
      </c>
      <c r="E87" s="21"/>
      <c r="F87" s="21"/>
      <c r="G87" s="21"/>
      <c r="H87" s="21"/>
      <c r="I87" s="22"/>
      <c r="J87" s="23">
        <f t="shared" si="6"/>
        <v>19902.71</v>
      </c>
      <c r="K87" s="23">
        <f t="shared" si="7"/>
        <v>59777.920000000006</v>
      </c>
    </row>
    <row r="88" spans="2:11" ht="18.75" x14ac:dyDescent="0.3">
      <c r="B88" s="54">
        <v>43915</v>
      </c>
      <c r="C88" s="24" t="s">
        <v>266</v>
      </c>
      <c r="D88" s="37"/>
      <c r="E88" s="21"/>
      <c r="F88" s="21"/>
      <c r="G88" s="21"/>
      <c r="H88" s="21">
        <v>202.6</v>
      </c>
      <c r="I88" s="22"/>
      <c r="J88" s="23">
        <f t="shared" si="6"/>
        <v>19902.71</v>
      </c>
      <c r="K88" s="23">
        <f t="shared" si="7"/>
        <v>59575.320000000007</v>
      </c>
    </row>
    <row r="89" spans="2:11" ht="18.75" x14ac:dyDescent="0.3">
      <c r="B89" s="54">
        <v>43915</v>
      </c>
      <c r="C89" s="24" t="s">
        <v>267</v>
      </c>
      <c r="D89" s="37"/>
      <c r="E89" s="21"/>
      <c r="F89" s="21"/>
      <c r="G89" s="21"/>
      <c r="H89" s="21">
        <v>62.9</v>
      </c>
      <c r="I89" s="22"/>
      <c r="J89" s="23">
        <f t="shared" si="6"/>
        <v>19902.71</v>
      </c>
      <c r="K89" s="23">
        <f t="shared" si="7"/>
        <v>59512.420000000006</v>
      </c>
    </row>
    <row r="90" spans="2:11" ht="18.75" x14ac:dyDescent="0.3">
      <c r="B90" s="54">
        <v>43915</v>
      </c>
      <c r="C90" s="24" t="s">
        <v>268</v>
      </c>
      <c r="D90" s="37"/>
      <c r="E90" s="21"/>
      <c r="F90" s="21"/>
      <c r="G90" s="21"/>
      <c r="H90" s="21">
        <v>151.30000000000001</v>
      </c>
      <c r="I90" s="22"/>
      <c r="J90" s="23">
        <f t="shared" si="6"/>
        <v>19902.71</v>
      </c>
      <c r="K90" s="23">
        <f t="shared" si="7"/>
        <v>59361.120000000003</v>
      </c>
    </row>
    <row r="91" spans="2:11" ht="18.75" x14ac:dyDescent="0.3">
      <c r="B91" s="54">
        <v>43916</v>
      </c>
      <c r="C91" s="24" t="s">
        <v>269</v>
      </c>
      <c r="D91" s="37"/>
      <c r="E91" s="21"/>
      <c r="F91" s="21"/>
      <c r="G91" s="21"/>
      <c r="H91" s="21">
        <v>283.14999999999998</v>
      </c>
      <c r="I91" s="22"/>
      <c r="J91" s="23">
        <f t="shared" si="6"/>
        <v>19902.71</v>
      </c>
      <c r="K91" s="23">
        <f t="shared" si="7"/>
        <v>59077.97</v>
      </c>
    </row>
    <row r="92" spans="2:11" ht="18.75" x14ac:dyDescent="0.3">
      <c r="B92" s="54">
        <v>43917</v>
      </c>
      <c r="C92" s="24" t="s">
        <v>183</v>
      </c>
      <c r="D92" s="37"/>
      <c r="E92" s="37"/>
      <c r="F92" s="37"/>
      <c r="G92" s="21"/>
      <c r="H92" s="21">
        <v>120</v>
      </c>
      <c r="I92" s="22"/>
      <c r="J92" s="23">
        <f t="shared" si="6"/>
        <v>19902.71</v>
      </c>
      <c r="K92" s="23">
        <f t="shared" si="7"/>
        <v>58957.97</v>
      </c>
    </row>
    <row r="93" spans="2:11" ht="18.75" x14ac:dyDescent="0.3">
      <c r="B93" s="54">
        <v>43917</v>
      </c>
      <c r="C93" s="24" t="s">
        <v>270</v>
      </c>
      <c r="D93" s="37"/>
      <c r="E93" s="37"/>
      <c r="F93" s="37"/>
      <c r="G93" s="21"/>
      <c r="H93" s="21">
        <v>300</v>
      </c>
      <c r="I93" s="22"/>
      <c r="J93" s="23">
        <f t="shared" si="6"/>
        <v>19902.71</v>
      </c>
      <c r="K93" s="23">
        <f t="shared" si="7"/>
        <v>58657.97</v>
      </c>
    </row>
    <row r="94" spans="2:11" ht="19.5" thickBot="1" x14ac:dyDescent="0.35">
      <c r="B94" s="54">
        <v>43917</v>
      </c>
      <c r="C94" s="20" t="s">
        <v>291</v>
      </c>
      <c r="D94" s="37"/>
      <c r="E94" s="37"/>
      <c r="F94" s="37"/>
      <c r="G94" s="21"/>
      <c r="H94" s="21">
        <v>3000</v>
      </c>
      <c r="I94" s="22"/>
      <c r="J94" s="23">
        <f t="shared" si="6"/>
        <v>19902.71</v>
      </c>
      <c r="K94" s="23">
        <f t="shared" si="7"/>
        <v>55657.97</v>
      </c>
    </row>
    <row r="95" spans="2:11" ht="19.5" thickBot="1" x14ac:dyDescent="0.35">
      <c r="B95" s="28"/>
      <c r="C95" s="29" t="s">
        <v>0</v>
      </c>
      <c r="D95" s="30">
        <f>SUM(D52:D94)</f>
        <v>120200</v>
      </c>
      <c r="E95" s="31">
        <f>SUM(E52:E94)</f>
        <v>3000</v>
      </c>
      <c r="F95" s="32">
        <f>SUM(D95:E95)</f>
        <v>123200</v>
      </c>
      <c r="G95" s="33">
        <f>SUM(G52:G94)</f>
        <v>33360</v>
      </c>
      <c r="H95" s="30">
        <f>SUM(H52:H94)</f>
        <v>98023.92</v>
      </c>
      <c r="I95" s="32">
        <f>SUM(G95:H95)</f>
        <v>131383.91999999998</v>
      </c>
      <c r="J95" s="23"/>
      <c r="K95" s="23"/>
    </row>
    <row r="96" spans="2:11" ht="18.75" x14ac:dyDescent="0.3">
      <c r="B96" s="9" t="s">
        <v>1</v>
      </c>
      <c r="C96" s="9" t="s">
        <v>2</v>
      </c>
      <c r="D96" s="9" t="s">
        <v>3</v>
      </c>
      <c r="E96" s="9" t="s">
        <v>3</v>
      </c>
      <c r="F96" s="9" t="s">
        <v>8</v>
      </c>
      <c r="G96" s="9" t="s">
        <v>9</v>
      </c>
      <c r="H96" s="10" t="s">
        <v>9</v>
      </c>
      <c r="I96" s="10" t="s">
        <v>8</v>
      </c>
      <c r="J96" s="9" t="s">
        <v>7</v>
      </c>
      <c r="K96" s="10" t="s">
        <v>6</v>
      </c>
    </row>
    <row r="97" spans="2:12" ht="19.5" thickBot="1" x14ac:dyDescent="0.35">
      <c r="B97" s="11"/>
      <c r="C97" s="11"/>
      <c r="D97" s="11" t="s">
        <v>5</v>
      </c>
      <c r="E97" s="11" t="s">
        <v>7</v>
      </c>
      <c r="F97" s="11" t="s">
        <v>3</v>
      </c>
      <c r="G97" s="11" t="s">
        <v>7</v>
      </c>
      <c r="H97" s="12" t="s">
        <v>5</v>
      </c>
      <c r="I97" s="12" t="s">
        <v>4</v>
      </c>
      <c r="J97" s="11"/>
      <c r="K97" s="12"/>
    </row>
    <row r="98" spans="2:12" ht="19.5" thickBot="1" x14ac:dyDescent="0.35">
      <c r="B98" s="28"/>
      <c r="C98" s="29"/>
      <c r="D98" s="30">
        <v>120200</v>
      </c>
      <c r="E98" s="31">
        <v>3000</v>
      </c>
      <c r="F98" s="32">
        <f>SUM(D98:E98)</f>
        <v>123200</v>
      </c>
      <c r="G98" s="33">
        <v>33360</v>
      </c>
      <c r="H98" s="30">
        <v>98023.92</v>
      </c>
      <c r="I98" s="32">
        <f>SUM(G98:H98)</f>
        <v>131383.91999999998</v>
      </c>
      <c r="J98" s="72">
        <v>19902.71</v>
      </c>
      <c r="K98" s="72">
        <v>55657.97</v>
      </c>
    </row>
    <row r="99" spans="2:12" ht="18.75" x14ac:dyDescent="0.3">
      <c r="B99" s="54">
        <v>43921</v>
      </c>
      <c r="C99" s="24" t="s">
        <v>242</v>
      </c>
      <c r="D99" s="37"/>
      <c r="E99" s="37"/>
      <c r="F99" s="37"/>
      <c r="G99" s="21"/>
      <c r="H99" s="21">
        <v>3000</v>
      </c>
      <c r="I99" s="22"/>
      <c r="J99" s="23">
        <f>+J98+E99-G99</f>
        <v>19902.71</v>
      </c>
      <c r="K99" s="23">
        <f>+K98+D99-H99</f>
        <v>52657.97</v>
      </c>
    </row>
    <row r="100" spans="2:12" ht="18.75" x14ac:dyDescent="0.3">
      <c r="B100" s="54">
        <v>43921</v>
      </c>
      <c r="C100" s="24" t="s">
        <v>303</v>
      </c>
      <c r="D100" s="37"/>
      <c r="E100" s="37"/>
      <c r="F100" s="37"/>
      <c r="G100" s="37"/>
      <c r="H100" s="21">
        <v>3000</v>
      </c>
      <c r="I100" s="22"/>
      <c r="J100" s="23">
        <f t="shared" ref="J100:J124" si="8">+J99+E100-G100</f>
        <v>19902.71</v>
      </c>
      <c r="K100" s="23">
        <f t="shared" ref="K100:K124" si="9">+K99+D100-H100</f>
        <v>49657.97</v>
      </c>
    </row>
    <row r="101" spans="2:12" ht="18.75" x14ac:dyDescent="0.3">
      <c r="B101" s="54">
        <v>43919</v>
      </c>
      <c r="C101" s="48" t="s">
        <v>247</v>
      </c>
      <c r="D101" s="37"/>
      <c r="E101" s="21"/>
      <c r="F101" s="21"/>
      <c r="G101" s="21"/>
      <c r="H101" s="21">
        <v>51.5</v>
      </c>
      <c r="I101" s="22"/>
      <c r="J101" s="23">
        <f t="shared" si="8"/>
        <v>19902.71</v>
      </c>
      <c r="K101" s="23">
        <f t="shared" si="9"/>
        <v>49606.47</v>
      </c>
    </row>
    <row r="102" spans="2:12" ht="18.75" x14ac:dyDescent="0.3">
      <c r="B102" s="54">
        <v>43919</v>
      </c>
      <c r="C102" s="48" t="s">
        <v>284</v>
      </c>
      <c r="D102" s="37"/>
      <c r="E102" s="21"/>
      <c r="F102" s="21"/>
      <c r="G102" s="21"/>
      <c r="H102" s="21">
        <v>200</v>
      </c>
      <c r="I102" s="22"/>
      <c r="J102" s="23">
        <f t="shared" si="8"/>
        <v>19902.71</v>
      </c>
      <c r="K102" s="23">
        <f t="shared" si="9"/>
        <v>49406.47</v>
      </c>
      <c r="L102" s="1"/>
    </row>
    <row r="103" spans="2:12" ht="18.75" x14ac:dyDescent="0.3">
      <c r="B103" s="54">
        <v>43919</v>
      </c>
      <c r="C103" s="48" t="s">
        <v>285</v>
      </c>
      <c r="D103" s="37"/>
      <c r="E103" s="21"/>
      <c r="F103" s="21"/>
      <c r="G103" s="21"/>
      <c r="H103" s="21">
        <v>150</v>
      </c>
      <c r="I103" s="22"/>
      <c r="J103" s="23">
        <f t="shared" si="8"/>
        <v>19902.71</v>
      </c>
      <c r="K103" s="23">
        <f t="shared" si="9"/>
        <v>49256.47</v>
      </c>
      <c r="L103" s="1"/>
    </row>
    <row r="104" spans="2:12" ht="18.75" x14ac:dyDescent="0.3">
      <c r="B104" s="54">
        <v>43919</v>
      </c>
      <c r="C104" s="48" t="s">
        <v>286</v>
      </c>
      <c r="D104" s="37"/>
      <c r="E104" s="21"/>
      <c r="F104" s="21"/>
      <c r="G104" s="21"/>
      <c r="H104" s="21">
        <v>500</v>
      </c>
      <c r="I104" s="22"/>
      <c r="J104" s="23">
        <f t="shared" si="8"/>
        <v>19902.71</v>
      </c>
      <c r="K104" s="23">
        <f t="shared" si="9"/>
        <v>48756.47</v>
      </c>
      <c r="L104" s="1"/>
    </row>
    <row r="105" spans="2:12" ht="18.75" x14ac:dyDescent="0.3">
      <c r="B105" s="54">
        <v>43920</v>
      </c>
      <c r="C105" s="48" t="s">
        <v>302</v>
      </c>
      <c r="D105" s="37"/>
      <c r="E105" s="21"/>
      <c r="F105" s="21"/>
      <c r="G105" s="21"/>
      <c r="H105" s="21">
        <v>1000</v>
      </c>
      <c r="I105" s="22"/>
      <c r="J105" s="23">
        <f t="shared" si="8"/>
        <v>19902.71</v>
      </c>
      <c r="K105" s="23">
        <f t="shared" si="9"/>
        <v>47756.47</v>
      </c>
      <c r="L105" s="1"/>
    </row>
    <row r="106" spans="2:12" ht="18.75" x14ac:dyDescent="0.3">
      <c r="B106" s="54">
        <v>43921</v>
      </c>
      <c r="C106" s="48" t="s">
        <v>287</v>
      </c>
      <c r="D106" s="37"/>
      <c r="E106" s="21"/>
      <c r="F106" s="21"/>
      <c r="G106" s="21"/>
      <c r="H106" s="21">
        <v>300</v>
      </c>
      <c r="I106" s="22"/>
      <c r="J106" s="23">
        <f t="shared" si="8"/>
        <v>19902.71</v>
      </c>
      <c r="K106" s="23">
        <f t="shared" si="9"/>
        <v>47456.47</v>
      </c>
      <c r="L106" s="1"/>
    </row>
    <row r="107" spans="2:12" ht="18.75" x14ac:dyDescent="0.3">
      <c r="B107" s="54">
        <v>43921</v>
      </c>
      <c r="C107" s="24" t="s">
        <v>288</v>
      </c>
      <c r="D107" s="37"/>
      <c r="E107" s="21"/>
      <c r="F107" s="21"/>
      <c r="G107" s="21"/>
      <c r="H107" s="21">
        <v>2500</v>
      </c>
      <c r="I107" s="22"/>
      <c r="J107" s="23">
        <f t="shared" si="8"/>
        <v>19902.71</v>
      </c>
      <c r="K107" s="23">
        <f t="shared" si="9"/>
        <v>44956.47</v>
      </c>
      <c r="L107" s="1"/>
    </row>
    <row r="108" spans="2:12" ht="18.75" x14ac:dyDescent="0.3">
      <c r="B108" s="54">
        <v>43921</v>
      </c>
      <c r="C108" s="24" t="s">
        <v>289</v>
      </c>
      <c r="D108" s="37"/>
      <c r="E108" s="21"/>
      <c r="F108" s="21"/>
      <c r="G108" s="21"/>
      <c r="H108" s="21">
        <v>1200</v>
      </c>
      <c r="I108" s="22"/>
      <c r="J108" s="23">
        <f t="shared" si="8"/>
        <v>19902.71</v>
      </c>
      <c r="K108" s="23">
        <f t="shared" si="9"/>
        <v>43756.47</v>
      </c>
    </row>
    <row r="109" spans="2:12" ht="18.75" x14ac:dyDescent="0.3">
      <c r="B109" s="54">
        <v>43921</v>
      </c>
      <c r="C109" s="24" t="s">
        <v>290</v>
      </c>
      <c r="D109" s="37"/>
      <c r="E109" s="21"/>
      <c r="F109" s="21"/>
      <c r="G109" s="21"/>
      <c r="H109" s="21">
        <v>1250</v>
      </c>
      <c r="I109" s="22"/>
      <c r="J109" s="23">
        <f t="shared" si="8"/>
        <v>19902.71</v>
      </c>
      <c r="K109" s="23">
        <f t="shared" si="9"/>
        <v>42506.47</v>
      </c>
    </row>
    <row r="110" spans="2:12" ht="18.75" x14ac:dyDescent="0.3">
      <c r="B110" s="54">
        <v>43921</v>
      </c>
      <c r="C110" s="48" t="s">
        <v>271</v>
      </c>
      <c r="D110" s="37"/>
      <c r="E110" s="37"/>
      <c r="F110" s="37"/>
      <c r="G110" s="37">
        <v>15000</v>
      </c>
      <c r="H110" s="21"/>
      <c r="I110" s="22"/>
      <c r="J110" s="23">
        <f t="shared" si="8"/>
        <v>4902.7099999999991</v>
      </c>
      <c r="K110" s="23">
        <f t="shared" si="9"/>
        <v>42506.47</v>
      </c>
    </row>
    <row r="111" spans="2:12" ht="18.75" x14ac:dyDescent="0.3">
      <c r="B111" s="54">
        <v>43921</v>
      </c>
      <c r="C111" s="48" t="s">
        <v>272</v>
      </c>
      <c r="D111" s="37"/>
      <c r="E111" s="21"/>
      <c r="F111" s="21"/>
      <c r="G111" s="21"/>
      <c r="H111" s="21">
        <v>27850</v>
      </c>
      <c r="I111" s="22"/>
      <c r="J111" s="23">
        <f t="shared" si="8"/>
        <v>4902.7099999999991</v>
      </c>
      <c r="K111" s="23">
        <f t="shared" si="9"/>
        <v>14656.470000000001</v>
      </c>
    </row>
    <row r="112" spans="2:12" ht="18.75" x14ac:dyDescent="0.3">
      <c r="B112" s="54">
        <v>43921</v>
      </c>
      <c r="C112" s="48" t="s">
        <v>299</v>
      </c>
      <c r="D112" s="37"/>
      <c r="E112" s="21"/>
      <c r="F112" s="21"/>
      <c r="G112" s="21"/>
      <c r="H112" s="21">
        <v>5600</v>
      </c>
      <c r="I112" s="22"/>
      <c r="J112" s="23">
        <f t="shared" si="8"/>
        <v>4902.7099999999991</v>
      </c>
      <c r="K112" s="23">
        <f t="shared" si="9"/>
        <v>9056.4700000000012</v>
      </c>
    </row>
    <row r="113" spans="2:11" ht="18.75" x14ac:dyDescent="0.3">
      <c r="B113" s="54">
        <v>43892</v>
      </c>
      <c r="C113" s="24" t="s">
        <v>273</v>
      </c>
      <c r="D113" s="37"/>
      <c r="E113" s="21">
        <v>250.62</v>
      </c>
      <c r="F113" s="21"/>
      <c r="G113" s="21"/>
      <c r="H113" s="21"/>
      <c r="I113" s="22"/>
      <c r="J113" s="23">
        <f t="shared" si="8"/>
        <v>5153.329999999999</v>
      </c>
      <c r="K113" s="23">
        <f t="shared" si="9"/>
        <v>9056.4700000000012</v>
      </c>
    </row>
    <row r="114" spans="2:11" ht="18.75" x14ac:dyDescent="0.3">
      <c r="B114" s="54">
        <v>43893</v>
      </c>
      <c r="C114" s="24" t="s">
        <v>274</v>
      </c>
      <c r="D114" s="37"/>
      <c r="E114" s="21">
        <v>400.29</v>
      </c>
      <c r="F114" s="21"/>
      <c r="G114" s="21"/>
      <c r="H114" s="21"/>
      <c r="I114" s="22"/>
      <c r="J114" s="23">
        <f t="shared" si="8"/>
        <v>5553.619999999999</v>
      </c>
      <c r="K114" s="23">
        <f t="shared" si="9"/>
        <v>9056.4700000000012</v>
      </c>
    </row>
    <row r="115" spans="2:11" ht="18.75" x14ac:dyDescent="0.3">
      <c r="B115" s="54">
        <v>43895</v>
      </c>
      <c r="C115" s="24" t="s">
        <v>275</v>
      </c>
      <c r="D115" s="37"/>
      <c r="E115" s="21">
        <v>500.46</v>
      </c>
      <c r="F115" s="21"/>
      <c r="G115" s="21"/>
      <c r="H115" s="21"/>
      <c r="I115" s="22"/>
      <c r="J115" s="23">
        <f t="shared" si="8"/>
        <v>6054.079999999999</v>
      </c>
      <c r="K115" s="23">
        <f t="shared" si="9"/>
        <v>9056.4700000000012</v>
      </c>
    </row>
    <row r="116" spans="2:11" ht="18.75" x14ac:dyDescent="0.3">
      <c r="B116" s="54">
        <v>43896</v>
      </c>
      <c r="C116" s="24" t="s">
        <v>276</v>
      </c>
      <c r="D116" s="37"/>
      <c r="E116" s="21">
        <v>250.15</v>
      </c>
      <c r="F116" s="21"/>
      <c r="G116" s="21"/>
      <c r="H116" s="21"/>
      <c r="I116" s="22"/>
      <c r="J116" s="23">
        <f t="shared" si="8"/>
        <v>6304.2299999999987</v>
      </c>
      <c r="K116" s="23">
        <f t="shared" si="9"/>
        <v>9056.4700000000012</v>
      </c>
    </row>
    <row r="117" spans="2:11" ht="18.75" x14ac:dyDescent="0.3">
      <c r="B117" s="56">
        <v>43913</v>
      </c>
      <c r="C117" s="36" t="s">
        <v>277</v>
      </c>
      <c r="D117" s="37"/>
      <c r="E117" s="21">
        <v>1000.16</v>
      </c>
      <c r="F117" s="21"/>
      <c r="G117" s="21"/>
      <c r="H117" s="21"/>
      <c r="I117" s="22"/>
      <c r="J117" s="23">
        <f t="shared" si="8"/>
        <v>7304.3899999999985</v>
      </c>
      <c r="K117" s="23">
        <f t="shared" si="9"/>
        <v>9056.4700000000012</v>
      </c>
    </row>
    <row r="118" spans="2:11" ht="18.75" x14ac:dyDescent="0.3">
      <c r="B118" s="56">
        <v>43921</v>
      </c>
      <c r="C118" s="48" t="s">
        <v>301</v>
      </c>
      <c r="D118" s="37"/>
      <c r="E118" s="21">
        <v>12760</v>
      </c>
      <c r="F118" s="21"/>
      <c r="G118" s="21"/>
      <c r="H118" s="21"/>
      <c r="I118" s="22"/>
      <c r="J118" s="23">
        <f t="shared" si="8"/>
        <v>20064.39</v>
      </c>
      <c r="K118" s="23">
        <f t="shared" si="9"/>
        <v>9056.4700000000012</v>
      </c>
    </row>
    <row r="119" spans="2:11" ht="18.75" x14ac:dyDescent="0.3">
      <c r="B119" s="56">
        <v>43920</v>
      </c>
      <c r="C119" s="20" t="s">
        <v>108</v>
      </c>
      <c r="D119" s="37"/>
      <c r="E119" s="37"/>
      <c r="F119" s="37"/>
      <c r="G119" s="21">
        <v>200</v>
      </c>
      <c r="H119" s="21"/>
      <c r="I119" s="22"/>
      <c r="J119" s="23">
        <f t="shared" si="8"/>
        <v>19864.39</v>
      </c>
      <c r="K119" s="23">
        <f t="shared" si="9"/>
        <v>9056.4700000000012</v>
      </c>
    </row>
    <row r="120" spans="2:11" ht="19.5" thickBot="1" x14ac:dyDescent="0.35">
      <c r="B120" s="56">
        <v>43920</v>
      </c>
      <c r="C120" s="24" t="s">
        <v>109</v>
      </c>
      <c r="D120" s="37"/>
      <c r="E120" s="37"/>
      <c r="F120" s="37"/>
      <c r="G120" s="21">
        <v>32</v>
      </c>
      <c r="H120" s="21"/>
      <c r="I120" s="22"/>
      <c r="J120" s="23">
        <f t="shared" si="8"/>
        <v>19832.39</v>
      </c>
      <c r="K120" s="23">
        <f t="shared" si="9"/>
        <v>9056.4700000000012</v>
      </c>
    </row>
    <row r="121" spans="2:11" ht="19.5" thickBot="1" x14ac:dyDescent="0.35">
      <c r="B121" s="56">
        <v>43921</v>
      </c>
      <c r="C121" s="20" t="s">
        <v>110</v>
      </c>
      <c r="D121" s="37"/>
      <c r="E121" s="21"/>
      <c r="F121" s="21"/>
      <c r="G121" s="21">
        <v>54</v>
      </c>
      <c r="H121" s="21"/>
      <c r="I121" s="22"/>
      <c r="J121" s="23">
        <f t="shared" si="8"/>
        <v>19778.39</v>
      </c>
      <c r="K121" s="23">
        <f t="shared" si="9"/>
        <v>9056.4700000000012</v>
      </c>
    </row>
    <row r="122" spans="2:11" ht="19.5" thickBot="1" x14ac:dyDescent="0.35">
      <c r="B122" s="56">
        <v>43921</v>
      </c>
      <c r="C122" s="24" t="s">
        <v>111</v>
      </c>
      <c r="D122" s="37"/>
      <c r="E122" s="21"/>
      <c r="F122" s="21"/>
      <c r="G122" s="21">
        <v>8.64</v>
      </c>
      <c r="H122" s="21"/>
      <c r="I122" s="22"/>
      <c r="J122" s="23">
        <f t="shared" si="8"/>
        <v>19769.75</v>
      </c>
      <c r="K122" s="23">
        <f t="shared" si="9"/>
        <v>9056.4700000000012</v>
      </c>
    </row>
    <row r="123" spans="2:11" ht="19.5" thickBot="1" x14ac:dyDescent="0.35">
      <c r="B123" s="56">
        <v>43921</v>
      </c>
      <c r="C123" s="24" t="s">
        <v>300</v>
      </c>
      <c r="D123" s="37">
        <v>15900</v>
      </c>
      <c r="E123" s="21"/>
      <c r="F123" s="21"/>
      <c r="G123" s="21"/>
      <c r="H123" s="21"/>
      <c r="I123" s="22"/>
      <c r="J123" s="23">
        <f t="shared" si="8"/>
        <v>19769.75</v>
      </c>
      <c r="K123" s="23">
        <f t="shared" si="9"/>
        <v>24956.47</v>
      </c>
    </row>
    <row r="124" spans="2:11" ht="19.5" thickBot="1" x14ac:dyDescent="0.35">
      <c r="B124" s="56"/>
      <c r="C124" s="20"/>
      <c r="D124" s="37"/>
      <c r="E124" s="21"/>
      <c r="F124" s="21"/>
      <c r="G124" s="21"/>
      <c r="H124" s="21"/>
      <c r="I124" s="22"/>
      <c r="J124" s="23">
        <f t="shared" si="8"/>
        <v>19769.75</v>
      </c>
      <c r="K124" s="23">
        <f t="shared" si="9"/>
        <v>24956.47</v>
      </c>
    </row>
    <row r="125" spans="2:11" ht="19.5" thickBot="1" x14ac:dyDescent="0.35">
      <c r="B125" s="28"/>
      <c r="C125" s="29" t="s">
        <v>0</v>
      </c>
      <c r="D125" s="30">
        <f>SUM(D98:D124)</f>
        <v>136100</v>
      </c>
      <c r="E125" s="31">
        <f>SUM(E98:E124)</f>
        <v>18161.68</v>
      </c>
      <c r="F125" s="32">
        <f>SUM(D125:E125)</f>
        <v>154261.68</v>
      </c>
      <c r="G125" s="33">
        <f>SUM(G98:G124)</f>
        <v>48654.64</v>
      </c>
      <c r="H125" s="43">
        <f>SUM(H98:H124)</f>
        <v>144625.41999999998</v>
      </c>
      <c r="I125" s="32">
        <f>SUM(G125:H125)</f>
        <v>193280.06</v>
      </c>
      <c r="J125" s="34"/>
      <c r="K125" s="34"/>
    </row>
    <row r="126" spans="2:11" ht="19.5" thickBot="1" x14ac:dyDescent="0.35">
      <c r="B126" s="7"/>
      <c r="C126" s="7"/>
      <c r="D126" s="7"/>
      <c r="E126" s="7"/>
      <c r="F126" s="7"/>
      <c r="G126" s="7"/>
      <c r="H126" s="7"/>
      <c r="I126" s="7"/>
      <c r="J126" s="7"/>
      <c r="K126" s="7"/>
    </row>
    <row r="127" spans="2:11" ht="19.5" thickBot="1" x14ac:dyDescent="0.35">
      <c r="B127" s="7"/>
      <c r="C127" s="7"/>
      <c r="D127" s="7"/>
      <c r="E127" s="7"/>
      <c r="F127" s="7"/>
      <c r="G127" s="7"/>
      <c r="H127" s="7"/>
      <c r="I127" s="38" t="s">
        <v>7</v>
      </c>
      <c r="J127" s="38" t="s">
        <v>6</v>
      </c>
      <c r="K127" s="39" t="s">
        <v>0</v>
      </c>
    </row>
    <row r="128" spans="2:11" ht="19.5" thickBot="1" x14ac:dyDescent="0.35">
      <c r="B128" s="7"/>
      <c r="C128" s="7"/>
      <c r="D128" s="7"/>
      <c r="E128" s="7"/>
      <c r="F128" s="7"/>
      <c r="G128" s="7"/>
      <c r="H128" s="7"/>
      <c r="I128" s="40">
        <v>19769.75</v>
      </c>
      <c r="J128" s="40">
        <v>24956.47</v>
      </c>
      <c r="K128" s="34">
        <f>SUM(I128:J128)</f>
        <v>44726.22</v>
      </c>
    </row>
  </sheetData>
  <printOptions horizontalCentered="1"/>
  <pageMargins left="0" right="0" top="0" bottom="0" header="0.11811023622047245" footer="0.51181102362204722"/>
  <pageSetup paperSize="9" scale="67" fitToHeight="0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pageSetUpPr fitToPage="1"/>
  </sheetPr>
  <dimension ref="B1:N168"/>
  <sheetViews>
    <sheetView zoomScale="80" zoomScaleNormal="80" workbookViewId="0">
      <pane ySplit="4" topLeftCell="A71" activePane="bottomLeft" state="frozen"/>
      <selection activeCell="C41" sqref="C41"/>
      <selection pane="bottomLeft" activeCell="C90" sqref="C90"/>
    </sheetView>
  </sheetViews>
  <sheetFormatPr baseColWidth="10" defaultRowHeight="15" x14ac:dyDescent="0.25"/>
  <cols>
    <col min="1" max="1" width="2" customWidth="1"/>
    <col min="2" max="2" width="13.7109375" style="4" customWidth="1"/>
    <col min="3" max="3" width="84.5703125" customWidth="1"/>
    <col min="4" max="4" width="13" customWidth="1"/>
    <col min="5" max="5" width="13.140625" customWidth="1"/>
    <col min="6" max="6" width="13.28515625" customWidth="1"/>
    <col min="7" max="10" width="13.140625" customWidth="1"/>
    <col min="11" max="11" width="13" customWidth="1"/>
  </cols>
  <sheetData>
    <row r="1" spans="2:11" ht="19.5" thickBot="1" x14ac:dyDescent="0.35">
      <c r="B1" s="44"/>
      <c r="C1" s="8" t="s">
        <v>333</v>
      </c>
      <c r="D1" s="7"/>
      <c r="E1" s="7"/>
      <c r="F1" s="7"/>
      <c r="G1" s="7"/>
      <c r="H1" s="7"/>
      <c r="I1" s="7"/>
      <c r="J1" s="7"/>
      <c r="K1" s="7"/>
    </row>
    <row r="2" spans="2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1">
        <v>43921</v>
      </c>
      <c r="C4" s="14" t="s">
        <v>13</v>
      </c>
      <c r="D4" s="15"/>
      <c r="E4" s="16"/>
      <c r="F4" s="16"/>
      <c r="G4" s="16"/>
      <c r="H4" s="17"/>
      <c r="I4" s="18"/>
      <c r="J4" s="72">
        <v>19769.75</v>
      </c>
      <c r="K4" s="72">
        <v>24956.47</v>
      </c>
    </row>
    <row r="5" spans="2:11" ht="18.75" x14ac:dyDescent="0.3">
      <c r="B5" s="13">
        <v>43922</v>
      </c>
      <c r="C5" s="45" t="s">
        <v>313</v>
      </c>
      <c r="D5" s="15"/>
      <c r="E5" s="16"/>
      <c r="F5" s="16"/>
      <c r="G5" s="16"/>
      <c r="H5" s="17">
        <v>3350</v>
      </c>
      <c r="I5" s="18"/>
      <c r="J5" s="23">
        <f>+J4+E5-G5</f>
        <v>19769.75</v>
      </c>
      <c r="K5" s="23">
        <f>+K4+D5-H5</f>
        <v>21606.47</v>
      </c>
    </row>
    <row r="6" spans="2:11" ht="18.75" x14ac:dyDescent="0.3">
      <c r="B6" s="13">
        <v>43924</v>
      </c>
      <c r="C6" s="20" t="s">
        <v>314</v>
      </c>
      <c r="D6" s="37"/>
      <c r="E6" s="21"/>
      <c r="F6" s="21"/>
      <c r="G6" s="21"/>
      <c r="H6" s="21">
        <v>120</v>
      </c>
      <c r="I6" s="22"/>
      <c r="J6" s="23">
        <f t="shared" ref="J6:J58" si="0">+J5+E6-G6</f>
        <v>19769.75</v>
      </c>
      <c r="K6" s="23">
        <f t="shared" ref="K6:K58" si="1">+K5+D6-H6</f>
        <v>21486.47</v>
      </c>
    </row>
    <row r="7" spans="2:11" ht="18.75" x14ac:dyDescent="0.3">
      <c r="B7" s="25">
        <v>43924</v>
      </c>
      <c r="C7" s="24" t="s">
        <v>315</v>
      </c>
      <c r="D7" s="37"/>
      <c r="E7" s="21"/>
      <c r="F7" s="21"/>
      <c r="G7" s="21"/>
      <c r="H7" s="21">
        <v>476.53</v>
      </c>
      <c r="I7" s="22"/>
      <c r="J7" s="23">
        <f t="shared" si="0"/>
        <v>19769.75</v>
      </c>
      <c r="K7" s="23">
        <f t="shared" si="1"/>
        <v>21009.940000000002</v>
      </c>
    </row>
    <row r="8" spans="2:11" ht="18.75" x14ac:dyDescent="0.3">
      <c r="B8" s="25">
        <v>43926</v>
      </c>
      <c r="C8" s="20" t="s">
        <v>247</v>
      </c>
      <c r="D8" s="37"/>
      <c r="E8" s="21"/>
      <c r="F8" s="21"/>
      <c r="G8" s="21"/>
      <c r="H8" s="21">
        <v>63.5</v>
      </c>
      <c r="I8" s="22"/>
      <c r="J8" s="23">
        <f t="shared" si="0"/>
        <v>19769.75</v>
      </c>
      <c r="K8" s="23">
        <f t="shared" si="1"/>
        <v>20946.440000000002</v>
      </c>
    </row>
    <row r="9" spans="2:11" ht="18.75" x14ac:dyDescent="0.3">
      <c r="B9" s="25">
        <v>43926</v>
      </c>
      <c r="C9" s="45" t="s">
        <v>280</v>
      </c>
      <c r="D9" s="37">
        <v>32750</v>
      </c>
      <c r="E9" s="21"/>
      <c r="F9" s="21"/>
      <c r="G9" s="21"/>
      <c r="H9" s="21"/>
      <c r="I9" s="22"/>
      <c r="J9" s="23">
        <f t="shared" si="0"/>
        <v>19769.75</v>
      </c>
      <c r="K9" s="23">
        <f t="shared" si="1"/>
        <v>53696.44</v>
      </c>
    </row>
    <row r="10" spans="2:11" ht="18.75" x14ac:dyDescent="0.3">
      <c r="B10" s="25">
        <v>43926</v>
      </c>
      <c r="C10" s="24" t="s">
        <v>307</v>
      </c>
      <c r="D10" s="37"/>
      <c r="E10" s="26">
        <v>500.46</v>
      </c>
      <c r="F10" s="21"/>
      <c r="G10" s="21"/>
      <c r="H10" s="21"/>
      <c r="I10" s="22"/>
      <c r="J10" s="23">
        <f t="shared" si="0"/>
        <v>20270.21</v>
      </c>
      <c r="K10" s="23">
        <f t="shared" si="1"/>
        <v>53696.44</v>
      </c>
    </row>
    <row r="11" spans="2:11" ht="18.75" x14ac:dyDescent="0.3">
      <c r="B11" s="25">
        <v>43926</v>
      </c>
      <c r="C11" s="46" t="s">
        <v>306</v>
      </c>
      <c r="D11" s="37"/>
      <c r="E11" s="26">
        <v>250.15</v>
      </c>
      <c r="F11" s="21"/>
      <c r="G11" s="21"/>
      <c r="H11" s="21"/>
      <c r="I11" s="22"/>
      <c r="J11" s="23">
        <f t="shared" si="0"/>
        <v>20520.36</v>
      </c>
      <c r="K11" s="23">
        <f t="shared" si="1"/>
        <v>53696.44</v>
      </c>
    </row>
    <row r="12" spans="2:11" ht="18.75" x14ac:dyDescent="0.3">
      <c r="B12" s="25">
        <v>43926</v>
      </c>
      <c r="C12" s="27" t="s">
        <v>305</v>
      </c>
      <c r="D12" s="37"/>
      <c r="E12" s="26">
        <v>250.62</v>
      </c>
      <c r="F12" s="21"/>
      <c r="G12" s="21"/>
      <c r="H12" s="21"/>
      <c r="I12" s="22"/>
      <c r="J12" s="23">
        <f t="shared" si="0"/>
        <v>20770.98</v>
      </c>
      <c r="K12" s="23">
        <f t="shared" si="1"/>
        <v>53696.44</v>
      </c>
    </row>
    <row r="13" spans="2:11" ht="18.75" x14ac:dyDescent="0.3">
      <c r="B13" s="25">
        <v>43926</v>
      </c>
      <c r="C13" s="24" t="s">
        <v>215</v>
      </c>
      <c r="D13" s="37"/>
      <c r="E13" s="26"/>
      <c r="F13" s="21"/>
      <c r="G13" s="21"/>
      <c r="H13" s="21">
        <v>200</v>
      </c>
      <c r="I13" s="22"/>
      <c r="J13" s="23">
        <f t="shared" si="0"/>
        <v>20770.98</v>
      </c>
      <c r="K13" s="23">
        <f t="shared" si="1"/>
        <v>53496.44</v>
      </c>
    </row>
    <row r="14" spans="2:11" ht="18.75" x14ac:dyDescent="0.3">
      <c r="B14" s="25">
        <v>43926</v>
      </c>
      <c r="C14" s="24" t="s">
        <v>316</v>
      </c>
      <c r="D14" s="37"/>
      <c r="E14" s="26"/>
      <c r="F14" s="21"/>
      <c r="G14" s="21"/>
      <c r="H14" s="21">
        <v>300</v>
      </c>
      <c r="I14" s="22"/>
      <c r="J14" s="23">
        <f t="shared" si="0"/>
        <v>20770.98</v>
      </c>
      <c r="K14" s="23">
        <f t="shared" si="1"/>
        <v>53196.44</v>
      </c>
    </row>
    <row r="15" spans="2:11" ht="18.75" x14ac:dyDescent="0.3">
      <c r="B15" s="25">
        <v>43926</v>
      </c>
      <c r="C15" s="58" t="s">
        <v>317</v>
      </c>
      <c r="D15" s="37"/>
      <c r="E15" s="26"/>
      <c r="F15" s="21"/>
      <c r="G15" s="21"/>
      <c r="H15" s="21">
        <v>300</v>
      </c>
      <c r="I15" s="22"/>
      <c r="J15" s="23">
        <f t="shared" si="0"/>
        <v>20770.98</v>
      </c>
      <c r="K15" s="23">
        <f t="shared" si="1"/>
        <v>52896.44</v>
      </c>
    </row>
    <row r="16" spans="2:11" ht="18.75" x14ac:dyDescent="0.3">
      <c r="B16" s="25">
        <v>43930</v>
      </c>
      <c r="C16" s="27" t="s">
        <v>318</v>
      </c>
      <c r="D16" s="37"/>
      <c r="E16" s="26"/>
      <c r="F16" s="21"/>
      <c r="G16" s="21"/>
      <c r="H16" s="21">
        <v>28.26</v>
      </c>
      <c r="I16" s="22"/>
      <c r="J16" s="23">
        <f t="shared" si="0"/>
        <v>20770.98</v>
      </c>
      <c r="K16" s="23">
        <f t="shared" si="1"/>
        <v>52868.18</v>
      </c>
    </row>
    <row r="17" spans="2:12" ht="18.75" x14ac:dyDescent="0.3">
      <c r="B17" s="25">
        <v>43930</v>
      </c>
      <c r="C17" s="24" t="s">
        <v>319</v>
      </c>
      <c r="D17" s="37"/>
      <c r="E17" s="26"/>
      <c r="F17" s="21"/>
      <c r="G17" s="21"/>
      <c r="H17" s="21">
        <v>340</v>
      </c>
      <c r="I17" s="22"/>
      <c r="J17" s="23">
        <f t="shared" si="0"/>
        <v>20770.98</v>
      </c>
      <c r="K17" s="23">
        <f t="shared" si="1"/>
        <v>52528.18</v>
      </c>
    </row>
    <row r="18" spans="2:12" ht="18.75" x14ac:dyDescent="0.3">
      <c r="B18" s="25">
        <v>43930</v>
      </c>
      <c r="C18" s="46" t="s">
        <v>315</v>
      </c>
      <c r="D18" s="37"/>
      <c r="E18" s="26"/>
      <c r="F18" s="21"/>
      <c r="G18" s="21"/>
      <c r="H18" s="21">
        <v>530.09</v>
      </c>
      <c r="I18" s="22"/>
      <c r="J18" s="23">
        <f t="shared" si="0"/>
        <v>20770.98</v>
      </c>
      <c r="K18" s="23">
        <f t="shared" si="1"/>
        <v>51998.090000000004</v>
      </c>
    </row>
    <row r="19" spans="2:12" ht="18.75" x14ac:dyDescent="0.3">
      <c r="B19" s="25">
        <v>43931</v>
      </c>
      <c r="C19" s="24" t="s">
        <v>314</v>
      </c>
      <c r="D19" s="37"/>
      <c r="E19" s="26"/>
      <c r="F19" s="21"/>
      <c r="G19" s="21"/>
      <c r="H19" s="21">
        <v>120</v>
      </c>
      <c r="I19" s="22"/>
      <c r="J19" s="23">
        <f t="shared" si="0"/>
        <v>20770.98</v>
      </c>
      <c r="K19" s="23">
        <f t="shared" si="1"/>
        <v>51878.090000000004</v>
      </c>
    </row>
    <row r="20" spans="2:12" ht="18.75" x14ac:dyDescent="0.3">
      <c r="B20" s="25">
        <v>43933</v>
      </c>
      <c r="C20" s="24" t="s">
        <v>320</v>
      </c>
      <c r="D20" s="37"/>
      <c r="E20" s="26"/>
      <c r="F20" s="21"/>
      <c r="G20" s="21"/>
      <c r="H20" s="21">
        <v>245</v>
      </c>
      <c r="I20" s="22"/>
      <c r="J20" s="23">
        <f t="shared" si="0"/>
        <v>20770.98</v>
      </c>
      <c r="K20" s="23">
        <f t="shared" si="1"/>
        <v>51633.090000000004</v>
      </c>
    </row>
    <row r="21" spans="2:12" ht="18.75" x14ac:dyDescent="0.3">
      <c r="B21" s="25">
        <v>43933</v>
      </c>
      <c r="C21" s="24" t="s">
        <v>321</v>
      </c>
      <c r="D21" s="37"/>
      <c r="E21" s="26"/>
      <c r="F21" s="21"/>
      <c r="G21" s="21"/>
      <c r="H21" s="21">
        <v>400</v>
      </c>
      <c r="I21" s="22"/>
      <c r="J21" s="23">
        <f t="shared" si="0"/>
        <v>20770.98</v>
      </c>
      <c r="K21" s="23">
        <f t="shared" si="1"/>
        <v>51233.090000000004</v>
      </c>
    </row>
    <row r="22" spans="2:12" ht="18.75" x14ac:dyDescent="0.3">
      <c r="B22" s="25">
        <v>43933</v>
      </c>
      <c r="C22" s="24" t="s">
        <v>322</v>
      </c>
      <c r="D22" s="37"/>
      <c r="E22" s="26"/>
      <c r="F22" s="21"/>
      <c r="G22" s="21"/>
      <c r="H22" s="21">
        <v>200</v>
      </c>
      <c r="I22" s="22"/>
      <c r="J22" s="23">
        <f t="shared" si="0"/>
        <v>20770.98</v>
      </c>
      <c r="K22" s="23">
        <f t="shared" si="1"/>
        <v>51033.090000000004</v>
      </c>
    </row>
    <row r="23" spans="2:12" ht="18.75" x14ac:dyDescent="0.3">
      <c r="B23" s="25">
        <v>43933</v>
      </c>
      <c r="C23" s="24" t="s">
        <v>323</v>
      </c>
      <c r="D23" s="37">
        <v>24840</v>
      </c>
      <c r="E23" s="26"/>
      <c r="F23" s="21"/>
      <c r="G23" s="21"/>
      <c r="H23" s="21"/>
      <c r="I23" s="22"/>
      <c r="J23" s="23">
        <f t="shared" si="0"/>
        <v>20770.98</v>
      </c>
      <c r="K23" s="23">
        <f t="shared" si="1"/>
        <v>75873.09</v>
      </c>
    </row>
    <row r="24" spans="2:12" ht="18.75" x14ac:dyDescent="0.3">
      <c r="B24" s="25">
        <v>43933</v>
      </c>
      <c r="C24" s="24" t="s">
        <v>308</v>
      </c>
      <c r="D24" s="37"/>
      <c r="E24" s="26">
        <v>2000</v>
      </c>
      <c r="F24" s="21"/>
      <c r="G24" s="21"/>
      <c r="H24" s="21"/>
      <c r="I24" s="22"/>
      <c r="J24" s="23">
        <f t="shared" si="0"/>
        <v>22770.98</v>
      </c>
      <c r="K24" s="23">
        <f t="shared" si="1"/>
        <v>75873.09</v>
      </c>
    </row>
    <row r="25" spans="2:12" ht="18.75" x14ac:dyDescent="0.3">
      <c r="B25" s="25">
        <v>43933</v>
      </c>
      <c r="C25" s="24" t="s">
        <v>324</v>
      </c>
      <c r="D25" s="37"/>
      <c r="E25" s="26"/>
      <c r="F25" s="21"/>
      <c r="G25" s="21"/>
      <c r="H25" s="21">
        <v>400</v>
      </c>
      <c r="I25" s="22"/>
      <c r="J25" s="23">
        <f t="shared" si="0"/>
        <v>22770.98</v>
      </c>
      <c r="K25" s="23">
        <f t="shared" si="1"/>
        <v>75473.09</v>
      </c>
    </row>
    <row r="26" spans="2:12" ht="18.75" x14ac:dyDescent="0.3">
      <c r="B26" s="25">
        <v>43933</v>
      </c>
      <c r="C26" s="74" t="s">
        <v>355</v>
      </c>
      <c r="D26" s="21"/>
      <c r="E26" s="26"/>
      <c r="F26" s="21"/>
      <c r="G26" s="21">
        <v>1760</v>
      </c>
      <c r="H26" s="21"/>
      <c r="I26" s="22"/>
      <c r="J26" s="23">
        <f t="shared" si="0"/>
        <v>21010.98</v>
      </c>
      <c r="K26" s="23">
        <f t="shared" si="1"/>
        <v>75473.09</v>
      </c>
    </row>
    <row r="27" spans="2:12" ht="18.75" x14ac:dyDescent="0.3">
      <c r="B27" s="25">
        <v>43933</v>
      </c>
      <c r="C27" s="74" t="s">
        <v>356</v>
      </c>
      <c r="D27" s="21"/>
      <c r="E27" s="26"/>
      <c r="F27" s="21"/>
      <c r="G27" s="21">
        <v>1600</v>
      </c>
      <c r="H27" s="21"/>
      <c r="I27" s="22"/>
      <c r="J27" s="23">
        <f t="shared" si="0"/>
        <v>19410.98</v>
      </c>
      <c r="K27" s="23">
        <f t="shared" si="1"/>
        <v>75473.09</v>
      </c>
      <c r="L27" s="1"/>
    </row>
    <row r="28" spans="2:12" ht="18.75" x14ac:dyDescent="0.3">
      <c r="B28" s="25">
        <v>43936</v>
      </c>
      <c r="C28" s="24" t="s">
        <v>357</v>
      </c>
      <c r="D28" s="37"/>
      <c r="E28" s="26"/>
      <c r="F28" s="21"/>
      <c r="G28" s="21"/>
      <c r="H28" s="21">
        <v>1200</v>
      </c>
      <c r="I28" s="22"/>
      <c r="J28" s="23">
        <f t="shared" si="0"/>
        <v>19410.98</v>
      </c>
      <c r="K28" s="23">
        <f t="shared" si="1"/>
        <v>74273.09</v>
      </c>
    </row>
    <row r="29" spans="2:12" ht="18.75" x14ac:dyDescent="0.3">
      <c r="B29" s="25">
        <v>43936</v>
      </c>
      <c r="C29" s="24" t="s">
        <v>363</v>
      </c>
      <c r="D29" s="37"/>
      <c r="E29" s="26"/>
      <c r="F29" s="21"/>
      <c r="G29" s="21"/>
      <c r="H29" s="21">
        <v>3000</v>
      </c>
      <c r="I29" s="22"/>
      <c r="J29" s="23">
        <f t="shared" si="0"/>
        <v>19410.98</v>
      </c>
      <c r="K29" s="23">
        <f t="shared" si="1"/>
        <v>71273.09</v>
      </c>
    </row>
    <row r="30" spans="2:12" ht="18.75" x14ac:dyDescent="0.3">
      <c r="B30" s="25">
        <v>43936</v>
      </c>
      <c r="C30" s="36" t="s">
        <v>151</v>
      </c>
      <c r="D30" s="37"/>
      <c r="E30" s="86"/>
      <c r="F30" s="21"/>
      <c r="G30" s="21"/>
      <c r="H30" s="21">
        <v>6000</v>
      </c>
      <c r="I30" s="22"/>
      <c r="J30" s="23">
        <f t="shared" si="0"/>
        <v>19410.98</v>
      </c>
      <c r="K30" s="23">
        <f t="shared" si="1"/>
        <v>65273.09</v>
      </c>
    </row>
    <row r="31" spans="2:12" ht="18.75" x14ac:dyDescent="0.3">
      <c r="B31" s="25">
        <v>43936</v>
      </c>
      <c r="C31" s="20" t="s">
        <v>325</v>
      </c>
      <c r="D31" s="37"/>
      <c r="E31" s="86"/>
      <c r="F31" s="21"/>
      <c r="G31" s="21"/>
      <c r="H31" s="21">
        <v>42850</v>
      </c>
      <c r="I31" s="22"/>
      <c r="J31" s="23">
        <f t="shared" si="0"/>
        <v>19410.98</v>
      </c>
      <c r="K31" s="23">
        <f t="shared" si="1"/>
        <v>22423.089999999997</v>
      </c>
    </row>
    <row r="32" spans="2:12" ht="18.75" x14ac:dyDescent="0.3">
      <c r="B32" s="47">
        <v>43936</v>
      </c>
      <c r="C32" s="48" t="s">
        <v>299</v>
      </c>
      <c r="D32" s="37"/>
      <c r="E32" s="86"/>
      <c r="F32" s="21"/>
      <c r="G32" s="21"/>
      <c r="H32" s="21">
        <v>9200</v>
      </c>
      <c r="I32" s="22"/>
      <c r="J32" s="23">
        <f t="shared" si="0"/>
        <v>19410.98</v>
      </c>
      <c r="K32" s="23">
        <f t="shared" si="1"/>
        <v>13223.089999999997</v>
      </c>
    </row>
    <row r="33" spans="2:11" ht="18.75" x14ac:dyDescent="0.3">
      <c r="B33" s="47">
        <v>43936</v>
      </c>
      <c r="C33" s="24" t="s">
        <v>326</v>
      </c>
      <c r="D33" s="37"/>
      <c r="E33" s="26"/>
      <c r="F33" s="21"/>
      <c r="G33" s="21"/>
      <c r="H33" s="21">
        <v>1000</v>
      </c>
      <c r="I33" s="22"/>
      <c r="J33" s="23">
        <f t="shared" si="0"/>
        <v>19410.98</v>
      </c>
      <c r="K33" s="23">
        <f t="shared" si="1"/>
        <v>12223.089999999997</v>
      </c>
    </row>
    <row r="34" spans="2:11" ht="18.75" x14ac:dyDescent="0.3">
      <c r="B34" s="47">
        <v>43936</v>
      </c>
      <c r="C34" s="27" t="s">
        <v>248</v>
      </c>
      <c r="D34" s="37"/>
      <c r="E34" s="26"/>
      <c r="F34" s="21"/>
      <c r="G34" s="21"/>
      <c r="H34" s="21">
        <v>300</v>
      </c>
      <c r="I34" s="22"/>
      <c r="J34" s="23">
        <f t="shared" si="0"/>
        <v>19410.98</v>
      </c>
      <c r="K34" s="23">
        <f t="shared" si="1"/>
        <v>11923.089999999997</v>
      </c>
    </row>
    <row r="35" spans="2:11" ht="18.75" x14ac:dyDescent="0.3">
      <c r="B35" s="47">
        <v>43937</v>
      </c>
      <c r="C35" s="36" t="s">
        <v>314</v>
      </c>
      <c r="D35" s="37"/>
      <c r="E35" s="26"/>
      <c r="F35" s="21"/>
      <c r="G35" s="21"/>
      <c r="H35" s="21">
        <v>120</v>
      </c>
      <c r="I35" s="22"/>
      <c r="J35" s="23">
        <f t="shared" si="0"/>
        <v>19410.98</v>
      </c>
      <c r="K35" s="23">
        <f t="shared" si="1"/>
        <v>11803.089999999997</v>
      </c>
    </row>
    <row r="36" spans="2:11" ht="18.75" x14ac:dyDescent="0.3">
      <c r="B36" s="54">
        <v>43939</v>
      </c>
      <c r="C36" s="58" t="s">
        <v>327</v>
      </c>
      <c r="D36" s="37"/>
      <c r="E36" s="26"/>
      <c r="F36" s="21"/>
      <c r="G36" s="21"/>
      <c r="H36" s="21">
        <v>128</v>
      </c>
      <c r="I36" s="22"/>
      <c r="J36" s="23">
        <f t="shared" si="0"/>
        <v>19410.98</v>
      </c>
      <c r="K36" s="23">
        <f t="shared" si="1"/>
        <v>11675.089999999997</v>
      </c>
    </row>
    <row r="37" spans="2:11" ht="18.75" x14ac:dyDescent="0.3">
      <c r="B37" s="54">
        <v>43939</v>
      </c>
      <c r="C37" s="36" t="s">
        <v>315</v>
      </c>
      <c r="D37" s="37"/>
      <c r="E37" s="26"/>
      <c r="F37" s="21"/>
      <c r="G37" s="21"/>
      <c r="H37" s="21">
        <v>450</v>
      </c>
      <c r="I37" s="22"/>
      <c r="J37" s="23">
        <f t="shared" si="0"/>
        <v>19410.98</v>
      </c>
      <c r="K37" s="23">
        <f t="shared" si="1"/>
        <v>11225.089999999997</v>
      </c>
    </row>
    <row r="38" spans="2:11" ht="18.75" x14ac:dyDescent="0.3">
      <c r="B38" s="54">
        <v>43939</v>
      </c>
      <c r="C38" s="48" t="s">
        <v>328</v>
      </c>
      <c r="D38" s="37"/>
      <c r="E38" s="26"/>
      <c r="F38" s="21"/>
      <c r="G38" s="21"/>
      <c r="H38" s="21">
        <v>113</v>
      </c>
      <c r="I38" s="22"/>
      <c r="J38" s="23">
        <f t="shared" si="0"/>
        <v>19410.98</v>
      </c>
      <c r="K38" s="23">
        <f t="shared" si="1"/>
        <v>11112.089999999997</v>
      </c>
    </row>
    <row r="39" spans="2:11" ht="18.75" x14ac:dyDescent="0.3">
      <c r="B39" s="54">
        <v>43940</v>
      </c>
      <c r="C39" s="36" t="s">
        <v>329</v>
      </c>
      <c r="D39" s="37"/>
      <c r="E39" s="26"/>
      <c r="F39" s="21"/>
      <c r="G39" s="21"/>
      <c r="H39" s="21">
        <v>33</v>
      </c>
      <c r="I39" s="22"/>
      <c r="J39" s="23">
        <f t="shared" si="0"/>
        <v>19410.98</v>
      </c>
      <c r="K39" s="23">
        <f t="shared" si="1"/>
        <v>11079.089999999997</v>
      </c>
    </row>
    <row r="40" spans="2:11" ht="18.75" x14ac:dyDescent="0.3">
      <c r="B40" s="54">
        <v>43940</v>
      </c>
      <c r="C40" s="36" t="s">
        <v>330</v>
      </c>
      <c r="D40" s="37"/>
      <c r="E40" s="26"/>
      <c r="F40" s="21"/>
      <c r="G40" s="21"/>
      <c r="H40" s="21">
        <v>100</v>
      </c>
      <c r="I40" s="22"/>
      <c r="J40" s="23">
        <f t="shared" si="0"/>
        <v>19410.98</v>
      </c>
      <c r="K40" s="23">
        <f t="shared" si="1"/>
        <v>10979.089999999997</v>
      </c>
    </row>
    <row r="41" spans="2:11" ht="18.75" x14ac:dyDescent="0.3">
      <c r="B41" s="54">
        <v>43940</v>
      </c>
      <c r="C41" s="36" t="s">
        <v>331</v>
      </c>
      <c r="D41" s="37"/>
      <c r="E41" s="26"/>
      <c r="F41" s="21"/>
      <c r="G41" s="21"/>
      <c r="H41" s="21">
        <v>300</v>
      </c>
      <c r="I41" s="22"/>
      <c r="J41" s="23">
        <f t="shared" si="0"/>
        <v>19410.98</v>
      </c>
      <c r="K41" s="23">
        <f t="shared" si="1"/>
        <v>10679.089999999997</v>
      </c>
    </row>
    <row r="42" spans="2:11" ht="18.75" x14ac:dyDescent="0.3">
      <c r="B42" s="54">
        <v>43940</v>
      </c>
      <c r="C42" s="35" t="s">
        <v>339</v>
      </c>
      <c r="D42" s="37">
        <v>42250</v>
      </c>
      <c r="E42" s="26"/>
      <c r="F42" s="21"/>
      <c r="G42" s="21"/>
      <c r="H42" s="21"/>
      <c r="I42" s="22"/>
      <c r="J42" s="23">
        <f t="shared" si="0"/>
        <v>19410.98</v>
      </c>
      <c r="K42" s="23">
        <f t="shared" si="1"/>
        <v>52929.09</v>
      </c>
    </row>
    <row r="43" spans="2:11" ht="18.75" x14ac:dyDescent="0.3">
      <c r="B43" s="54">
        <v>43940</v>
      </c>
      <c r="C43" s="36" t="s">
        <v>309</v>
      </c>
      <c r="D43" s="37"/>
      <c r="E43" s="26">
        <v>1200</v>
      </c>
      <c r="F43" s="21"/>
      <c r="G43" s="21"/>
      <c r="H43" s="21"/>
      <c r="I43" s="22"/>
      <c r="J43" s="23">
        <f t="shared" si="0"/>
        <v>20610.98</v>
      </c>
      <c r="K43" s="23">
        <f t="shared" si="1"/>
        <v>52929.09</v>
      </c>
    </row>
    <row r="44" spans="2:11" ht="18.75" x14ac:dyDescent="0.3">
      <c r="B44" s="54">
        <v>43940</v>
      </c>
      <c r="C44" s="36" t="s">
        <v>310</v>
      </c>
      <c r="D44" s="37"/>
      <c r="E44" s="26">
        <v>2000</v>
      </c>
      <c r="F44" s="21"/>
      <c r="G44" s="21"/>
      <c r="H44" s="21"/>
      <c r="I44" s="22"/>
      <c r="J44" s="23">
        <f t="shared" si="0"/>
        <v>22610.98</v>
      </c>
      <c r="K44" s="23">
        <f t="shared" si="1"/>
        <v>52929.09</v>
      </c>
    </row>
    <row r="45" spans="2:11" ht="18.75" x14ac:dyDescent="0.3">
      <c r="B45" s="54">
        <v>43940</v>
      </c>
      <c r="C45" s="36" t="s">
        <v>311</v>
      </c>
      <c r="D45" s="37"/>
      <c r="E45" s="26">
        <v>3600.86</v>
      </c>
      <c r="F45" s="21"/>
      <c r="G45" s="21"/>
      <c r="H45" s="21"/>
      <c r="I45" s="22"/>
      <c r="J45" s="23">
        <f t="shared" si="0"/>
        <v>26211.84</v>
      </c>
      <c r="K45" s="23">
        <f t="shared" si="1"/>
        <v>52929.09</v>
      </c>
    </row>
    <row r="46" spans="2:11" ht="18.75" x14ac:dyDescent="0.3">
      <c r="B46" s="54">
        <v>43940</v>
      </c>
      <c r="C46" s="36" t="s">
        <v>312</v>
      </c>
      <c r="D46" s="37"/>
      <c r="E46" s="26">
        <v>500</v>
      </c>
      <c r="F46" s="21"/>
      <c r="G46" s="21"/>
      <c r="H46" s="21"/>
      <c r="I46" s="22"/>
      <c r="J46" s="23">
        <f t="shared" si="0"/>
        <v>26711.84</v>
      </c>
      <c r="K46" s="23">
        <f t="shared" si="1"/>
        <v>52929.09</v>
      </c>
    </row>
    <row r="47" spans="2:11" ht="19.5" thickBot="1" x14ac:dyDescent="0.35">
      <c r="B47" s="54">
        <v>43940</v>
      </c>
      <c r="C47" s="36" t="s">
        <v>332</v>
      </c>
      <c r="D47" s="37"/>
      <c r="E47" s="26"/>
      <c r="F47" s="21"/>
      <c r="G47" s="21"/>
      <c r="H47" s="21">
        <v>200</v>
      </c>
      <c r="I47" s="22"/>
      <c r="J47" s="23">
        <f>+J46+E47-G47</f>
        <v>26711.84</v>
      </c>
      <c r="K47" s="23">
        <f>+K46+D47-H47</f>
        <v>52729.09</v>
      </c>
    </row>
    <row r="48" spans="2:11" ht="19.5" thickBot="1" x14ac:dyDescent="0.35">
      <c r="B48" s="28"/>
      <c r="C48" s="29" t="s">
        <v>0</v>
      </c>
      <c r="D48" s="30">
        <f>SUM(D4:D47)</f>
        <v>99840</v>
      </c>
      <c r="E48" s="31">
        <f>SUM(E4:E47)</f>
        <v>10302.09</v>
      </c>
      <c r="F48" s="32">
        <f>SUM(D48:E48)</f>
        <v>110142.09</v>
      </c>
      <c r="G48" s="33">
        <f>SUM(G4:G47)</f>
        <v>3360</v>
      </c>
      <c r="H48" s="30">
        <f>SUM(H4:H47)</f>
        <v>72067.38</v>
      </c>
      <c r="I48" s="32">
        <f>SUM(G48:H48)</f>
        <v>75427.38</v>
      </c>
      <c r="J48" s="23"/>
      <c r="K48" s="23"/>
    </row>
    <row r="49" spans="2:11" ht="18.75" x14ac:dyDescent="0.3">
      <c r="B49" s="9" t="s">
        <v>1</v>
      </c>
      <c r="C49" s="9" t="s">
        <v>2</v>
      </c>
      <c r="D49" s="9" t="s">
        <v>3</v>
      </c>
      <c r="E49" s="9" t="s">
        <v>3</v>
      </c>
      <c r="F49" s="9" t="s">
        <v>8</v>
      </c>
      <c r="G49" s="9" t="s">
        <v>9</v>
      </c>
      <c r="H49" s="10" t="s">
        <v>9</v>
      </c>
      <c r="I49" s="10" t="s">
        <v>8</v>
      </c>
      <c r="J49" s="9" t="s">
        <v>7</v>
      </c>
      <c r="K49" s="10" t="s">
        <v>6</v>
      </c>
    </row>
    <row r="50" spans="2:11" ht="19.5" thickBot="1" x14ac:dyDescent="0.35">
      <c r="B50" s="11"/>
      <c r="C50" s="11"/>
      <c r="D50" s="11" t="s">
        <v>5</v>
      </c>
      <c r="E50" s="11" t="s">
        <v>7</v>
      </c>
      <c r="F50" s="11" t="s">
        <v>3</v>
      </c>
      <c r="G50" s="11" t="s">
        <v>7</v>
      </c>
      <c r="H50" s="12" t="s">
        <v>5</v>
      </c>
      <c r="I50" s="12" t="s">
        <v>4</v>
      </c>
      <c r="J50" s="11"/>
      <c r="K50" s="12"/>
    </row>
    <row r="51" spans="2:11" ht="19.5" thickBot="1" x14ac:dyDescent="0.35">
      <c r="B51" s="28"/>
      <c r="C51" s="29"/>
      <c r="D51" s="30">
        <v>99840</v>
      </c>
      <c r="E51" s="31">
        <v>10302.09</v>
      </c>
      <c r="F51" s="32">
        <f>SUM(D51:E51)</f>
        <v>110142.09</v>
      </c>
      <c r="G51" s="33">
        <v>3360</v>
      </c>
      <c r="H51" s="30">
        <v>72067.38</v>
      </c>
      <c r="I51" s="32">
        <f>SUM(G51:H51)</f>
        <v>75427.38</v>
      </c>
      <c r="J51" s="72">
        <v>26711.84</v>
      </c>
      <c r="K51" s="72">
        <v>52729.09</v>
      </c>
    </row>
    <row r="52" spans="2:11" ht="18.75" x14ac:dyDescent="0.3">
      <c r="B52" s="47">
        <v>43944</v>
      </c>
      <c r="C52" s="36" t="s">
        <v>335</v>
      </c>
      <c r="D52" s="37"/>
      <c r="E52" s="86"/>
      <c r="F52" s="37"/>
      <c r="G52" s="37"/>
      <c r="H52" s="21">
        <v>320</v>
      </c>
      <c r="I52" s="22"/>
      <c r="J52" s="23">
        <f>+J47+E52-G52</f>
        <v>26711.84</v>
      </c>
      <c r="K52" s="23">
        <f>+K47+D52-H52</f>
        <v>52409.09</v>
      </c>
    </row>
    <row r="53" spans="2:11" ht="18.75" x14ac:dyDescent="0.3">
      <c r="B53" s="52">
        <v>43945</v>
      </c>
      <c r="C53" s="36" t="s">
        <v>358</v>
      </c>
      <c r="D53" s="37"/>
      <c r="E53" s="86"/>
      <c r="F53" s="37"/>
      <c r="G53" s="21"/>
      <c r="H53" s="21">
        <v>80</v>
      </c>
      <c r="I53" s="22"/>
      <c r="J53" s="23">
        <f t="shared" si="0"/>
        <v>26711.84</v>
      </c>
      <c r="K53" s="23">
        <f t="shared" si="1"/>
        <v>52329.09</v>
      </c>
    </row>
    <row r="54" spans="2:11" ht="18.75" x14ac:dyDescent="0.3">
      <c r="B54" s="52">
        <v>43947</v>
      </c>
      <c r="C54" s="36" t="s">
        <v>247</v>
      </c>
      <c r="D54" s="37"/>
      <c r="E54" s="86"/>
      <c r="F54" s="37"/>
      <c r="G54" s="37"/>
      <c r="H54" s="21">
        <v>31</v>
      </c>
      <c r="I54" s="22"/>
      <c r="J54" s="23">
        <f t="shared" si="0"/>
        <v>26711.84</v>
      </c>
      <c r="K54" s="23">
        <f t="shared" si="1"/>
        <v>52298.09</v>
      </c>
    </row>
    <row r="55" spans="2:11" ht="18.75" x14ac:dyDescent="0.3">
      <c r="B55" s="25">
        <v>43947</v>
      </c>
      <c r="C55" s="24" t="s">
        <v>336</v>
      </c>
      <c r="D55" s="21"/>
      <c r="E55" s="26"/>
      <c r="F55" s="21"/>
      <c r="G55" s="21"/>
      <c r="H55" s="21">
        <v>100</v>
      </c>
      <c r="I55" s="22"/>
      <c r="J55" s="23">
        <f t="shared" si="0"/>
        <v>26711.84</v>
      </c>
      <c r="K55" s="23">
        <f t="shared" si="1"/>
        <v>52198.09</v>
      </c>
    </row>
    <row r="56" spans="2:11" ht="18.75" x14ac:dyDescent="0.3">
      <c r="B56" s="25">
        <v>43947</v>
      </c>
      <c r="C56" s="24" t="s">
        <v>337</v>
      </c>
      <c r="D56" s="21"/>
      <c r="E56" s="26"/>
      <c r="F56" s="21"/>
      <c r="G56" s="21"/>
      <c r="H56" s="21">
        <v>200</v>
      </c>
      <c r="I56" s="22"/>
      <c r="J56" s="23">
        <f t="shared" si="0"/>
        <v>26711.84</v>
      </c>
      <c r="K56" s="23">
        <f t="shared" si="1"/>
        <v>51998.09</v>
      </c>
    </row>
    <row r="57" spans="2:11" ht="18.75" x14ac:dyDescent="0.3">
      <c r="B57" s="25">
        <v>43947</v>
      </c>
      <c r="C57" s="24" t="s">
        <v>338</v>
      </c>
      <c r="D57" s="21"/>
      <c r="E57" s="26"/>
      <c r="F57" s="21"/>
      <c r="G57" s="21"/>
      <c r="H57" s="21">
        <v>3500</v>
      </c>
      <c r="I57" s="22"/>
      <c r="J57" s="23">
        <f t="shared" si="0"/>
        <v>26711.84</v>
      </c>
      <c r="K57" s="23">
        <f t="shared" si="1"/>
        <v>48498.09</v>
      </c>
    </row>
    <row r="58" spans="2:11" ht="18.75" x14ac:dyDescent="0.3">
      <c r="B58" s="25">
        <v>43947</v>
      </c>
      <c r="C58" s="24" t="s">
        <v>340</v>
      </c>
      <c r="D58" s="21">
        <v>29850</v>
      </c>
      <c r="E58" s="21"/>
      <c r="F58" s="21"/>
      <c r="G58" s="21"/>
      <c r="H58" s="21"/>
      <c r="I58" s="22"/>
      <c r="J58" s="23">
        <f t="shared" si="0"/>
        <v>26711.84</v>
      </c>
      <c r="K58" s="23">
        <f t="shared" si="1"/>
        <v>78348.09</v>
      </c>
    </row>
    <row r="59" spans="2:11" ht="18.75" x14ac:dyDescent="0.3">
      <c r="B59" s="25">
        <v>43947</v>
      </c>
      <c r="C59" s="24" t="s">
        <v>341</v>
      </c>
      <c r="D59" s="21"/>
      <c r="E59" s="26">
        <v>500.5</v>
      </c>
      <c r="F59" s="21"/>
      <c r="G59" s="21"/>
      <c r="H59" s="21"/>
      <c r="I59" s="22"/>
      <c r="J59" s="23">
        <f t="shared" ref="J59:J86" si="2">+J58+E59-G59</f>
        <v>27212.34</v>
      </c>
      <c r="K59" s="23">
        <f t="shared" ref="K59:K86" si="3">+K58+D59-H59</f>
        <v>78348.09</v>
      </c>
    </row>
    <row r="60" spans="2:11" ht="18.75" x14ac:dyDescent="0.3">
      <c r="B60" s="52">
        <v>43947</v>
      </c>
      <c r="C60" s="48" t="s">
        <v>342</v>
      </c>
      <c r="D60" s="37"/>
      <c r="E60" s="26">
        <v>1000.76</v>
      </c>
      <c r="F60" s="21"/>
      <c r="G60" s="21"/>
      <c r="H60" s="21"/>
      <c r="I60" s="22"/>
      <c r="J60" s="23">
        <f t="shared" si="2"/>
        <v>28213.1</v>
      </c>
      <c r="K60" s="23">
        <f t="shared" si="3"/>
        <v>78348.09</v>
      </c>
    </row>
    <row r="61" spans="2:11" ht="18.75" x14ac:dyDescent="0.3">
      <c r="B61" s="52">
        <v>43947</v>
      </c>
      <c r="C61" s="36" t="s">
        <v>344</v>
      </c>
      <c r="D61" s="37"/>
      <c r="E61" s="26">
        <v>1000</v>
      </c>
      <c r="F61" s="21"/>
      <c r="G61" s="21"/>
      <c r="H61" s="21"/>
      <c r="I61" s="22"/>
      <c r="J61" s="23">
        <f t="shared" si="2"/>
        <v>29213.1</v>
      </c>
      <c r="K61" s="23">
        <f t="shared" si="3"/>
        <v>78348.09</v>
      </c>
    </row>
    <row r="62" spans="2:11" ht="18.75" x14ac:dyDescent="0.3">
      <c r="B62" s="47">
        <v>43947</v>
      </c>
      <c r="C62" s="20" t="s">
        <v>343</v>
      </c>
      <c r="D62" s="21"/>
      <c r="E62" s="26">
        <v>500.37</v>
      </c>
      <c r="F62" s="21"/>
      <c r="G62" s="21"/>
      <c r="H62" s="21"/>
      <c r="I62" s="22"/>
      <c r="J62" s="23">
        <f t="shared" si="2"/>
        <v>29713.469999999998</v>
      </c>
      <c r="K62" s="23">
        <f t="shared" si="3"/>
        <v>78348.09</v>
      </c>
    </row>
    <row r="63" spans="2:11" ht="18.75" x14ac:dyDescent="0.3">
      <c r="B63" s="47">
        <v>43948</v>
      </c>
      <c r="C63" s="20" t="s">
        <v>346</v>
      </c>
      <c r="D63" s="21"/>
      <c r="E63" s="26"/>
      <c r="F63" s="21"/>
      <c r="G63" s="21"/>
      <c r="H63" s="21">
        <v>159.9</v>
      </c>
      <c r="I63" s="22"/>
      <c r="J63" s="23">
        <f t="shared" si="2"/>
        <v>29713.469999999998</v>
      </c>
      <c r="K63" s="23">
        <f t="shared" si="3"/>
        <v>78188.19</v>
      </c>
    </row>
    <row r="64" spans="2:11" ht="18.75" x14ac:dyDescent="0.3">
      <c r="B64" s="47">
        <v>43949</v>
      </c>
      <c r="C64" s="27" t="s">
        <v>347</v>
      </c>
      <c r="D64" s="21"/>
      <c r="E64" s="26"/>
      <c r="F64" s="21"/>
      <c r="G64" s="21"/>
      <c r="H64" s="21">
        <v>2000</v>
      </c>
      <c r="I64" s="22"/>
      <c r="J64" s="23">
        <f t="shared" si="2"/>
        <v>29713.469999999998</v>
      </c>
      <c r="K64" s="23">
        <f t="shared" si="3"/>
        <v>76188.19</v>
      </c>
    </row>
    <row r="65" spans="2:11" ht="18.75" x14ac:dyDescent="0.3">
      <c r="B65" s="47">
        <v>43950</v>
      </c>
      <c r="C65" s="24" t="s">
        <v>368</v>
      </c>
      <c r="D65" s="21"/>
      <c r="E65" s="26"/>
      <c r="F65" s="21"/>
      <c r="G65" s="21"/>
      <c r="H65" s="21">
        <v>87.26</v>
      </c>
      <c r="I65" s="22"/>
      <c r="J65" s="23">
        <f t="shared" si="2"/>
        <v>29713.469999999998</v>
      </c>
      <c r="K65" s="23">
        <f t="shared" si="3"/>
        <v>76100.930000000008</v>
      </c>
    </row>
    <row r="66" spans="2:11" ht="18.75" x14ac:dyDescent="0.3">
      <c r="B66" s="47">
        <v>43950</v>
      </c>
      <c r="C66" s="48" t="s">
        <v>348</v>
      </c>
      <c r="D66" s="21"/>
      <c r="E66" s="26"/>
      <c r="F66" s="21"/>
      <c r="G66" s="21"/>
      <c r="H66" s="21">
        <v>1500</v>
      </c>
      <c r="I66" s="22"/>
      <c r="J66" s="23">
        <f t="shared" si="2"/>
        <v>29713.469999999998</v>
      </c>
      <c r="K66" s="23">
        <f t="shared" si="3"/>
        <v>74600.930000000008</v>
      </c>
    </row>
    <row r="67" spans="2:11" ht="18.75" x14ac:dyDescent="0.3">
      <c r="B67" s="47">
        <v>43950</v>
      </c>
      <c r="C67" s="48" t="s">
        <v>359</v>
      </c>
      <c r="D67" s="21"/>
      <c r="E67" s="26"/>
      <c r="F67" s="21"/>
      <c r="G67" s="21"/>
      <c r="H67" s="21">
        <v>400</v>
      </c>
      <c r="I67" s="22"/>
      <c r="J67" s="23">
        <f t="shared" si="2"/>
        <v>29713.469999999998</v>
      </c>
      <c r="K67" s="23">
        <f t="shared" si="3"/>
        <v>74200.930000000008</v>
      </c>
    </row>
    <row r="68" spans="2:11" ht="18.75" x14ac:dyDescent="0.3">
      <c r="B68" s="47">
        <v>43950</v>
      </c>
      <c r="C68" s="48" t="s">
        <v>349</v>
      </c>
      <c r="D68" s="21"/>
      <c r="E68" s="26"/>
      <c r="F68" s="21"/>
      <c r="G68" s="21"/>
      <c r="H68" s="21">
        <v>625</v>
      </c>
      <c r="I68" s="22"/>
      <c r="J68" s="23">
        <f t="shared" si="2"/>
        <v>29713.469999999998</v>
      </c>
      <c r="K68" s="23">
        <f t="shared" si="3"/>
        <v>73575.930000000008</v>
      </c>
    </row>
    <row r="69" spans="2:11" ht="18.75" x14ac:dyDescent="0.3">
      <c r="B69" s="47">
        <v>43951</v>
      </c>
      <c r="C69" s="48" t="s">
        <v>350</v>
      </c>
      <c r="D69" s="21"/>
      <c r="E69" s="26"/>
      <c r="F69" s="21"/>
      <c r="G69" s="21"/>
      <c r="H69" s="21">
        <v>300</v>
      </c>
      <c r="I69" s="22"/>
      <c r="J69" s="23">
        <f t="shared" si="2"/>
        <v>29713.469999999998</v>
      </c>
      <c r="K69" s="23">
        <f t="shared" si="3"/>
        <v>73275.930000000008</v>
      </c>
    </row>
    <row r="70" spans="2:11" ht="18.75" x14ac:dyDescent="0.3">
      <c r="B70" s="47">
        <v>43951</v>
      </c>
      <c r="C70" s="48" t="s">
        <v>360</v>
      </c>
      <c r="D70" s="21"/>
      <c r="E70" s="26"/>
      <c r="F70" s="21"/>
      <c r="G70" s="21"/>
      <c r="H70" s="21">
        <v>600</v>
      </c>
      <c r="I70" s="22"/>
      <c r="J70" s="23">
        <f t="shared" si="2"/>
        <v>29713.469999999998</v>
      </c>
      <c r="K70" s="23">
        <f t="shared" si="3"/>
        <v>72675.930000000008</v>
      </c>
    </row>
    <row r="71" spans="2:11" ht="18.75" x14ac:dyDescent="0.3">
      <c r="B71" s="47">
        <v>43951</v>
      </c>
      <c r="C71" s="36" t="s">
        <v>353</v>
      </c>
      <c r="D71" s="21"/>
      <c r="E71" s="26"/>
      <c r="F71" s="21"/>
      <c r="G71" s="21"/>
      <c r="H71" s="21">
        <v>3200</v>
      </c>
      <c r="I71" s="22"/>
      <c r="J71" s="23">
        <f t="shared" si="2"/>
        <v>29713.469999999998</v>
      </c>
      <c r="K71" s="23">
        <f t="shared" si="3"/>
        <v>69475.930000000008</v>
      </c>
    </row>
    <row r="72" spans="2:11" ht="18.75" x14ac:dyDescent="0.3">
      <c r="B72" s="51">
        <v>43951</v>
      </c>
      <c r="C72" s="48" t="s">
        <v>352</v>
      </c>
      <c r="D72" s="21"/>
      <c r="E72" s="26"/>
      <c r="F72" s="21"/>
      <c r="G72" s="21"/>
      <c r="H72" s="21">
        <v>1000</v>
      </c>
      <c r="I72" s="22"/>
      <c r="J72" s="23">
        <f t="shared" si="2"/>
        <v>29713.469999999998</v>
      </c>
      <c r="K72" s="23">
        <f t="shared" si="3"/>
        <v>68475.930000000008</v>
      </c>
    </row>
    <row r="73" spans="2:11" ht="18.75" x14ac:dyDescent="0.3">
      <c r="B73" s="25">
        <v>43951</v>
      </c>
      <c r="C73" s="36" t="s">
        <v>422</v>
      </c>
      <c r="D73" s="21"/>
      <c r="E73" s="26"/>
      <c r="F73" s="21"/>
      <c r="G73" s="21"/>
      <c r="H73" s="21">
        <v>1300</v>
      </c>
      <c r="I73" s="22"/>
      <c r="J73" s="23">
        <f t="shared" si="2"/>
        <v>29713.469999999998</v>
      </c>
      <c r="K73" s="23">
        <f t="shared" si="3"/>
        <v>67175.930000000008</v>
      </c>
    </row>
    <row r="74" spans="2:11" ht="18.75" x14ac:dyDescent="0.3">
      <c r="B74" s="25">
        <v>43951</v>
      </c>
      <c r="C74" s="58" t="s">
        <v>351</v>
      </c>
      <c r="D74" s="37"/>
      <c r="E74" s="26"/>
      <c r="F74" s="21"/>
      <c r="G74" s="21"/>
      <c r="H74" s="21">
        <v>3000</v>
      </c>
      <c r="I74" s="22"/>
      <c r="J74" s="23">
        <f t="shared" si="2"/>
        <v>29713.469999999998</v>
      </c>
      <c r="K74" s="23">
        <f t="shared" si="3"/>
        <v>64175.930000000008</v>
      </c>
    </row>
    <row r="75" spans="2:11" ht="18.75" x14ac:dyDescent="0.3">
      <c r="B75" s="49">
        <v>43951</v>
      </c>
      <c r="C75" s="24" t="s">
        <v>361</v>
      </c>
      <c r="D75" s="37"/>
      <c r="E75" s="26"/>
      <c r="F75" s="21"/>
      <c r="G75" s="21"/>
      <c r="H75" s="21">
        <v>3000</v>
      </c>
      <c r="I75" s="22"/>
      <c r="J75" s="23">
        <f t="shared" si="2"/>
        <v>29713.469999999998</v>
      </c>
      <c r="K75" s="23">
        <f t="shared" si="3"/>
        <v>61175.930000000008</v>
      </c>
    </row>
    <row r="76" spans="2:11" ht="18.75" x14ac:dyDescent="0.3">
      <c r="B76" s="52">
        <v>43951</v>
      </c>
      <c r="C76" s="48" t="s">
        <v>362</v>
      </c>
      <c r="D76" s="37"/>
      <c r="E76" s="26"/>
      <c r="F76" s="21"/>
      <c r="G76" s="21"/>
      <c r="H76" s="21">
        <v>3000</v>
      </c>
      <c r="I76" s="22"/>
      <c r="J76" s="23">
        <f t="shared" si="2"/>
        <v>29713.469999999998</v>
      </c>
      <c r="K76" s="23">
        <f t="shared" si="3"/>
        <v>58175.930000000008</v>
      </c>
    </row>
    <row r="77" spans="2:11" ht="18.75" x14ac:dyDescent="0.3">
      <c r="B77" s="52">
        <v>43951</v>
      </c>
      <c r="C77" s="24" t="s">
        <v>354</v>
      </c>
      <c r="D77" s="37"/>
      <c r="E77" s="26"/>
      <c r="F77" s="21"/>
      <c r="G77" s="21"/>
      <c r="H77" s="21">
        <v>28300</v>
      </c>
      <c r="I77" s="22"/>
      <c r="J77" s="23">
        <f t="shared" si="2"/>
        <v>29713.469999999998</v>
      </c>
      <c r="K77" s="23">
        <f t="shared" si="3"/>
        <v>29875.930000000008</v>
      </c>
    </row>
    <row r="78" spans="2:11" ht="18.75" x14ac:dyDescent="0.3">
      <c r="B78" s="52">
        <v>43951</v>
      </c>
      <c r="C78" s="48" t="s">
        <v>272</v>
      </c>
      <c r="D78" s="37"/>
      <c r="E78" s="26"/>
      <c r="F78" s="21"/>
      <c r="G78" s="21">
        <v>10000</v>
      </c>
      <c r="H78" s="21"/>
      <c r="I78" s="22"/>
      <c r="J78" s="23">
        <f t="shared" si="2"/>
        <v>19713.469999999998</v>
      </c>
      <c r="K78" s="23">
        <f t="shared" si="3"/>
        <v>29875.930000000008</v>
      </c>
    </row>
    <row r="79" spans="2:11" ht="18.75" x14ac:dyDescent="0.3">
      <c r="B79" s="52">
        <v>43951</v>
      </c>
      <c r="C79" s="48" t="s">
        <v>299</v>
      </c>
      <c r="D79" s="37"/>
      <c r="E79" s="26"/>
      <c r="F79" s="21"/>
      <c r="G79" s="21"/>
      <c r="H79" s="21">
        <v>4700</v>
      </c>
      <c r="I79" s="22"/>
      <c r="J79" s="23">
        <f t="shared" si="2"/>
        <v>19713.469999999998</v>
      </c>
      <c r="K79" s="23">
        <f t="shared" si="3"/>
        <v>25175.930000000008</v>
      </c>
    </row>
    <row r="80" spans="2:11" ht="18.75" x14ac:dyDescent="0.3">
      <c r="B80" s="53">
        <v>43922</v>
      </c>
      <c r="C80" s="20" t="s">
        <v>345</v>
      </c>
      <c r="D80" s="55"/>
      <c r="E80" s="26">
        <v>1000.25</v>
      </c>
      <c r="F80" s="21"/>
      <c r="G80" s="21"/>
      <c r="H80" s="21"/>
      <c r="I80" s="22"/>
      <c r="J80" s="23">
        <f t="shared" si="2"/>
        <v>20713.719999999998</v>
      </c>
      <c r="K80" s="23">
        <f t="shared" si="3"/>
        <v>25175.930000000008</v>
      </c>
    </row>
    <row r="81" spans="2:11" ht="18.75" x14ac:dyDescent="0.3">
      <c r="B81" s="53">
        <v>43951</v>
      </c>
      <c r="C81" s="48" t="s">
        <v>334</v>
      </c>
      <c r="D81" s="37"/>
      <c r="E81" s="26">
        <v>12760</v>
      </c>
      <c r="F81" s="21"/>
      <c r="G81" s="21"/>
      <c r="H81" s="21"/>
      <c r="I81" s="22"/>
      <c r="J81" s="23">
        <f t="shared" si="2"/>
        <v>33473.72</v>
      </c>
      <c r="K81" s="23">
        <f t="shared" si="3"/>
        <v>25175.930000000008</v>
      </c>
    </row>
    <row r="82" spans="2:11" ht="18.75" x14ac:dyDescent="0.3">
      <c r="B82" s="53">
        <v>43949</v>
      </c>
      <c r="C82" s="20" t="s">
        <v>108</v>
      </c>
      <c r="D82" s="37"/>
      <c r="E82" s="26"/>
      <c r="F82" s="21"/>
      <c r="G82" s="21">
        <v>200</v>
      </c>
      <c r="H82" s="21"/>
      <c r="I82" s="22"/>
      <c r="J82" s="23">
        <f t="shared" si="2"/>
        <v>33273.72</v>
      </c>
      <c r="K82" s="23">
        <f t="shared" si="3"/>
        <v>25175.930000000008</v>
      </c>
    </row>
    <row r="83" spans="2:11" ht="18.75" x14ac:dyDescent="0.3">
      <c r="B83" s="54">
        <v>43949</v>
      </c>
      <c r="C83" s="24" t="s">
        <v>109</v>
      </c>
      <c r="D83" s="37"/>
      <c r="E83" s="26"/>
      <c r="F83" s="21"/>
      <c r="G83" s="21">
        <v>32</v>
      </c>
      <c r="H83" s="21"/>
      <c r="I83" s="22"/>
      <c r="J83" s="23">
        <f t="shared" si="2"/>
        <v>33241.72</v>
      </c>
      <c r="K83" s="23">
        <f t="shared" si="3"/>
        <v>25175.930000000008</v>
      </c>
    </row>
    <row r="84" spans="2:11" ht="18.75" x14ac:dyDescent="0.3">
      <c r="B84" s="54">
        <v>43951</v>
      </c>
      <c r="C84" s="20" t="s">
        <v>110</v>
      </c>
      <c r="D84" s="37"/>
      <c r="E84" s="26"/>
      <c r="F84" s="21"/>
      <c r="G84" s="21">
        <v>36</v>
      </c>
      <c r="H84" s="21"/>
      <c r="I84" s="22"/>
      <c r="J84" s="23">
        <f t="shared" si="2"/>
        <v>33205.72</v>
      </c>
      <c r="K84" s="23">
        <f t="shared" si="3"/>
        <v>25175.930000000008</v>
      </c>
    </row>
    <row r="85" spans="2:11" ht="18.75" x14ac:dyDescent="0.3">
      <c r="B85" s="54">
        <v>43951</v>
      </c>
      <c r="C85" s="24" t="s">
        <v>111</v>
      </c>
      <c r="D85" s="37"/>
      <c r="E85" s="86"/>
      <c r="F85" s="37"/>
      <c r="G85" s="21">
        <v>5.76</v>
      </c>
      <c r="H85" s="21"/>
      <c r="I85" s="22"/>
      <c r="J85" s="23">
        <f t="shared" si="2"/>
        <v>33199.96</v>
      </c>
      <c r="K85" s="23">
        <f t="shared" si="3"/>
        <v>25175.930000000008</v>
      </c>
    </row>
    <row r="86" spans="2:11" ht="19.5" thickBot="1" x14ac:dyDescent="0.35">
      <c r="B86" s="54"/>
      <c r="C86" s="24"/>
      <c r="D86" s="37"/>
      <c r="E86" s="26"/>
      <c r="F86" s="21"/>
      <c r="G86" s="21"/>
      <c r="H86" s="21"/>
      <c r="I86" s="22"/>
      <c r="J86" s="23">
        <f t="shared" si="2"/>
        <v>33199.96</v>
      </c>
      <c r="K86" s="23">
        <f t="shared" si="3"/>
        <v>25175.930000000008</v>
      </c>
    </row>
    <row r="87" spans="2:11" ht="19.5" thickBot="1" x14ac:dyDescent="0.35">
      <c r="B87" s="28"/>
      <c r="C87" s="29" t="s">
        <v>0</v>
      </c>
      <c r="D87" s="30">
        <f>SUM(D51:D86)</f>
        <v>129690</v>
      </c>
      <c r="E87" s="31">
        <f>SUM(E51:E86)</f>
        <v>27063.97</v>
      </c>
      <c r="F87" s="32">
        <f>SUM(D87:E87)</f>
        <v>156753.97</v>
      </c>
      <c r="G87" s="33">
        <f>SUM(G51:G86)</f>
        <v>13633.76</v>
      </c>
      <c r="H87" s="30">
        <f>SUM(H51:H86)</f>
        <v>129470.54</v>
      </c>
      <c r="I87" s="32">
        <f>SUM(G87:H87)</f>
        <v>143104.29999999999</v>
      </c>
      <c r="J87" s="34"/>
      <c r="K87" s="34"/>
    </row>
    <row r="88" spans="2:11" ht="19.5" thickBot="1" x14ac:dyDescent="0.35"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2:11" ht="19.5" thickBot="1" x14ac:dyDescent="0.35">
      <c r="B89" s="7"/>
      <c r="C89" s="7"/>
      <c r="D89" s="7"/>
      <c r="E89" s="7"/>
      <c r="F89" s="7"/>
      <c r="G89" s="7"/>
      <c r="H89" s="7"/>
      <c r="I89" s="38" t="s">
        <v>7</v>
      </c>
      <c r="J89" s="38" t="s">
        <v>6</v>
      </c>
      <c r="K89" s="39" t="s">
        <v>0</v>
      </c>
    </row>
    <row r="90" spans="2:11" ht="19.5" thickBot="1" x14ac:dyDescent="0.35">
      <c r="B90" s="7"/>
      <c r="C90" s="7"/>
      <c r="D90" s="7"/>
      <c r="E90" s="7"/>
      <c r="F90" s="7"/>
      <c r="G90" s="7"/>
      <c r="H90" s="7"/>
      <c r="I90" s="40">
        <v>33199.96</v>
      </c>
      <c r="J90" s="40">
        <v>25175.93</v>
      </c>
      <c r="K90" s="34">
        <f>SUM(I90:J90)</f>
        <v>58375.89</v>
      </c>
    </row>
    <row r="168" spans="14:14" x14ac:dyDescent="0.25">
      <c r="N168" s="1"/>
    </row>
  </sheetData>
  <printOptions horizontalCentered="1"/>
  <pageMargins left="0" right="0" top="0" bottom="0" header="0.11811023622047245" footer="0.51181102362204722"/>
  <pageSetup paperSize="9" scale="68" fitToHeight="0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1">
    <pageSetUpPr fitToPage="1"/>
  </sheetPr>
  <dimension ref="A1:M162"/>
  <sheetViews>
    <sheetView zoomScale="80" zoomScaleNormal="80" workbookViewId="0">
      <pane ySplit="4" topLeftCell="A102" activePane="bottomLeft" state="frozen"/>
      <selection pane="bottomLeft" activeCell="C44" sqref="C44"/>
    </sheetView>
  </sheetViews>
  <sheetFormatPr baseColWidth="10" defaultRowHeight="15" x14ac:dyDescent="0.25"/>
  <cols>
    <col min="1" max="1" width="2" customWidth="1"/>
    <col min="2" max="2" width="13.7109375" customWidth="1"/>
    <col min="3" max="3" width="84.5703125" customWidth="1"/>
    <col min="4" max="5" width="13" customWidth="1"/>
    <col min="6" max="6" width="13.140625" customWidth="1"/>
    <col min="7" max="11" width="13" customWidth="1"/>
  </cols>
  <sheetData>
    <row r="1" spans="1:11" ht="19.5" thickBot="1" x14ac:dyDescent="0.35">
      <c r="B1" s="44"/>
      <c r="C1" s="8" t="s">
        <v>19</v>
      </c>
      <c r="D1" s="7"/>
      <c r="E1" s="7"/>
      <c r="F1" s="7"/>
      <c r="G1" s="7"/>
      <c r="H1" s="7"/>
      <c r="I1" s="7"/>
      <c r="J1" s="7"/>
      <c r="K1" s="7"/>
    </row>
    <row r="2" spans="1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1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1:11" ht="18.75" x14ac:dyDescent="0.3">
      <c r="B4" s="71">
        <v>43951</v>
      </c>
      <c r="C4" s="14" t="s">
        <v>17</v>
      </c>
      <c r="D4" s="15"/>
      <c r="E4" s="16"/>
      <c r="F4" s="16"/>
      <c r="G4" s="16"/>
      <c r="H4" s="17"/>
      <c r="I4" s="18"/>
      <c r="J4" s="72">
        <v>33199.96</v>
      </c>
      <c r="K4" s="72">
        <v>25175.93</v>
      </c>
    </row>
    <row r="5" spans="1:11" ht="18.75" x14ac:dyDescent="0.3">
      <c r="B5" s="47">
        <v>43952</v>
      </c>
      <c r="C5" s="48" t="s">
        <v>377</v>
      </c>
      <c r="D5" s="15"/>
      <c r="E5" s="16"/>
      <c r="F5" s="16"/>
      <c r="G5" s="16"/>
      <c r="H5" s="17">
        <v>162</v>
      </c>
      <c r="I5" s="18"/>
      <c r="J5" s="23">
        <f t="shared" ref="J5:J49" si="0">+J4+E5-G5</f>
        <v>33199.96</v>
      </c>
      <c r="K5" s="23">
        <f t="shared" ref="K5:K49" si="1">+K4+D5-H5</f>
        <v>25013.93</v>
      </c>
    </row>
    <row r="6" spans="1:11" ht="18.75" x14ac:dyDescent="0.3">
      <c r="A6" s="6"/>
      <c r="B6" s="51">
        <v>43952</v>
      </c>
      <c r="C6" s="20" t="s">
        <v>364</v>
      </c>
      <c r="D6" s="37"/>
      <c r="E6" s="21"/>
      <c r="F6" s="21"/>
      <c r="G6" s="21"/>
      <c r="H6" s="21">
        <v>160</v>
      </c>
      <c r="I6" s="22"/>
      <c r="J6" s="23">
        <f t="shared" si="0"/>
        <v>33199.96</v>
      </c>
      <c r="K6" s="23">
        <f t="shared" si="1"/>
        <v>24853.93</v>
      </c>
    </row>
    <row r="7" spans="1:11" ht="18.75" x14ac:dyDescent="0.3">
      <c r="B7" s="25">
        <v>43952</v>
      </c>
      <c r="C7" s="24" t="s">
        <v>365</v>
      </c>
      <c r="D7" s="37"/>
      <c r="E7" s="21"/>
      <c r="F7" s="21"/>
      <c r="G7" s="21"/>
      <c r="H7" s="21">
        <v>400</v>
      </c>
      <c r="I7" s="22"/>
      <c r="J7" s="23">
        <f t="shared" si="0"/>
        <v>33199.96</v>
      </c>
      <c r="K7" s="23">
        <f t="shared" si="1"/>
        <v>24453.93</v>
      </c>
    </row>
    <row r="8" spans="1:11" ht="18.75" x14ac:dyDescent="0.3">
      <c r="B8" s="25">
        <v>43952</v>
      </c>
      <c r="C8" s="46" t="s">
        <v>366</v>
      </c>
      <c r="D8" s="37"/>
      <c r="E8" s="21"/>
      <c r="F8" s="21"/>
      <c r="G8" s="21"/>
      <c r="H8" s="21">
        <v>400</v>
      </c>
      <c r="I8" s="22"/>
      <c r="J8" s="23">
        <f t="shared" si="0"/>
        <v>33199.96</v>
      </c>
      <c r="K8" s="23">
        <f t="shared" si="1"/>
        <v>24053.93</v>
      </c>
    </row>
    <row r="9" spans="1:11" ht="18.75" x14ac:dyDescent="0.3">
      <c r="B9" s="25">
        <v>43952</v>
      </c>
      <c r="C9" s="24" t="s">
        <v>367</v>
      </c>
      <c r="D9" s="37"/>
      <c r="E9" s="21"/>
      <c r="F9" s="21"/>
      <c r="G9" s="21"/>
      <c r="H9" s="21">
        <v>1556</v>
      </c>
      <c r="I9" s="22"/>
      <c r="J9" s="23">
        <f t="shared" si="0"/>
        <v>33199.96</v>
      </c>
      <c r="K9" s="23">
        <f t="shared" si="1"/>
        <v>22497.93</v>
      </c>
    </row>
    <row r="10" spans="1:11" ht="18.75" x14ac:dyDescent="0.3">
      <c r="B10" s="25">
        <v>43953</v>
      </c>
      <c r="C10" s="24" t="s">
        <v>369</v>
      </c>
      <c r="D10" s="37"/>
      <c r="E10" s="21"/>
      <c r="F10" s="21"/>
      <c r="G10" s="21"/>
      <c r="H10" s="21">
        <v>155.9</v>
      </c>
      <c r="I10" s="22"/>
      <c r="J10" s="23">
        <f t="shared" si="0"/>
        <v>33199.96</v>
      </c>
      <c r="K10" s="23">
        <f t="shared" si="1"/>
        <v>22342.03</v>
      </c>
    </row>
    <row r="11" spans="1:11" ht="18.75" x14ac:dyDescent="0.3">
      <c r="B11" s="25">
        <v>43954</v>
      </c>
      <c r="C11" s="45" t="s">
        <v>280</v>
      </c>
      <c r="D11" s="37">
        <v>33750</v>
      </c>
      <c r="E11" s="21"/>
      <c r="F11" s="21"/>
      <c r="G11" s="21"/>
      <c r="H11" s="21"/>
      <c r="I11" s="22"/>
      <c r="J11" s="23">
        <f t="shared" si="0"/>
        <v>33199.96</v>
      </c>
      <c r="K11" s="23">
        <f t="shared" si="1"/>
        <v>56092.03</v>
      </c>
    </row>
    <row r="12" spans="1:11" ht="18.75" x14ac:dyDescent="0.3">
      <c r="B12" s="25">
        <v>43954</v>
      </c>
      <c r="C12" s="24" t="s">
        <v>370</v>
      </c>
      <c r="D12" s="37"/>
      <c r="E12" s="26">
        <v>250.62</v>
      </c>
      <c r="F12" s="21"/>
      <c r="G12" s="21"/>
      <c r="H12" s="21"/>
      <c r="I12" s="22"/>
      <c r="J12" s="23">
        <f t="shared" si="0"/>
        <v>33450.58</v>
      </c>
      <c r="K12" s="23">
        <f t="shared" si="1"/>
        <v>56092.03</v>
      </c>
    </row>
    <row r="13" spans="1:11" ht="18.75" x14ac:dyDescent="0.3">
      <c r="B13" s="25">
        <v>43954</v>
      </c>
      <c r="C13" s="24" t="s">
        <v>371</v>
      </c>
      <c r="D13" s="37"/>
      <c r="E13" s="26">
        <v>500.11</v>
      </c>
      <c r="F13" s="21"/>
      <c r="G13" s="21"/>
      <c r="H13" s="21"/>
      <c r="I13" s="22"/>
      <c r="J13" s="23">
        <f t="shared" si="0"/>
        <v>33950.69</v>
      </c>
      <c r="K13" s="23">
        <f t="shared" si="1"/>
        <v>56092.03</v>
      </c>
    </row>
    <row r="14" spans="1:11" ht="18.75" x14ac:dyDescent="0.3">
      <c r="B14" s="25">
        <v>43954</v>
      </c>
      <c r="C14" s="24" t="s">
        <v>423</v>
      </c>
      <c r="D14" s="37"/>
      <c r="E14" s="26">
        <v>500.46</v>
      </c>
      <c r="F14" s="21"/>
      <c r="G14" s="21"/>
      <c r="H14" s="21"/>
      <c r="I14" s="22"/>
      <c r="J14" s="23">
        <f t="shared" si="0"/>
        <v>34451.15</v>
      </c>
      <c r="K14" s="23">
        <f t="shared" si="1"/>
        <v>56092.03</v>
      </c>
    </row>
    <row r="15" spans="1:11" ht="18.75" x14ac:dyDescent="0.3">
      <c r="B15" s="25">
        <v>43954</v>
      </c>
      <c r="C15" s="24" t="s">
        <v>425</v>
      </c>
      <c r="D15" s="37"/>
      <c r="E15" s="26">
        <v>500.95</v>
      </c>
      <c r="F15" s="21"/>
      <c r="G15" s="21"/>
      <c r="H15" s="21"/>
      <c r="I15" s="22"/>
      <c r="J15" s="23">
        <f t="shared" si="0"/>
        <v>34952.1</v>
      </c>
      <c r="K15" s="23">
        <f t="shared" si="1"/>
        <v>56092.03</v>
      </c>
    </row>
    <row r="16" spans="1:11" ht="18.75" x14ac:dyDescent="0.3">
      <c r="B16" s="25">
        <v>43954</v>
      </c>
      <c r="C16" s="46" t="s">
        <v>424</v>
      </c>
      <c r="D16" s="37"/>
      <c r="E16" s="26">
        <v>450.29</v>
      </c>
      <c r="F16" s="21"/>
      <c r="G16" s="21"/>
      <c r="H16" s="21"/>
      <c r="I16" s="22"/>
      <c r="J16" s="23">
        <f t="shared" si="0"/>
        <v>35402.39</v>
      </c>
      <c r="K16" s="23">
        <f t="shared" si="1"/>
        <v>56092.03</v>
      </c>
    </row>
    <row r="17" spans="2:11" ht="18.75" x14ac:dyDescent="0.3">
      <c r="B17" s="25">
        <v>43954</v>
      </c>
      <c r="C17" s="46" t="s">
        <v>372</v>
      </c>
      <c r="D17" s="37"/>
      <c r="E17" s="26"/>
      <c r="F17" s="21"/>
      <c r="G17" s="21"/>
      <c r="H17" s="21">
        <v>1698</v>
      </c>
      <c r="I17" s="22"/>
      <c r="J17" s="23">
        <f t="shared" si="0"/>
        <v>35402.39</v>
      </c>
      <c r="K17" s="23">
        <f t="shared" si="1"/>
        <v>54394.03</v>
      </c>
    </row>
    <row r="18" spans="2:11" ht="18.75" x14ac:dyDescent="0.3">
      <c r="B18" s="25">
        <v>43954</v>
      </c>
      <c r="C18" s="24" t="s">
        <v>373</v>
      </c>
      <c r="D18" s="37"/>
      <c r="E18" s="26"/>
      <c r="F18" s="21"/>
      <c r="G18" s="21"/>
      <c r="H18" s="21">
        <v>63</v>
      </c>
      <c r="I18" s="22"/>
      <c r="J18" s="23">
        <f t="shared" si="0"/>
        <v>35402.39</v>
      </c>
      <c r="K18" s="23">
        <f t="shared" si="1"/>
        <v>54331.03</v>
      </c>
    </row>
    <row r="19" spans="2:11" ht="18.75" x14ac:dyDescent="0.3">
      <c r="B19" s="25">
        <v>43954</v>
      </c>
      <c r="C19" s="58" t="s">
        <v>374</v>
      </c>
      <c r="D19" s="37"/>
      <c r="E19" s="21"/>
      <c r="F19" s="21"/>
      <c r="G19" s="21"/>
      <c r="H19" s="21">
        <v>300</v>
      </c>
      <c r="I19" s="22"/>
      <c r="J19" s="23">
        <f t="shared" si="0"/>
        <v>35402.39</v>
      </c>
      <c r="K19" s="23">
        <f t="shared" si="1"/>
        <v>54031.03</v>
      </c>
    </row>
    <row r="20" spans="2:11" ht="18.75" x14ac:dyDescent="0.3">
      <c r="B20" s="25">
        <v>43954</v>
      </c>
      <c r="C20" s="24" t="s">
        <v>375</v>
      </c>
      <c r="D20" s="37"/>
      <c r="E20" s="21"/>
      <c r="F20" s="21"/>
      <c r="G20" s="21"/>
      <c r="H20" s="21">
        <v>200</v>
      </c>
      <c r="I20" s="22"/>
      <c r="J20" s="23">
        <f t="shared" si="0"/>
        <v>35402.39</v>
      </c>
      <c r="K20" s="23">
        <f t="shared" si="1"/>
        <v>53831.03</v>
      </c>
    </row>
    <row r="21" spans="2:11" ht="18.75" x14ac:dyDescent="0.3">
      <c r="B21" s="25">
        <v>43955</v>
      </c>
      <c r="C21" s="24" t="s">
        <v>376</v>
      </c>
      <c r="D21" s="37"/>
      <c r="E21" s="21"/>
      <c r="F21" s="21"/>
      <c r="G21" s="21"/>
      <c r="H21" s="21">
        <v>912.31</v>
      </c>
      <c r="I21" s="22"/>
      <c r="J21" s="23">
        <f t="shared" si="0"/>
        <v>35402.39</v>
      </c>
      <c r="K21" s="23">
        <f t="shared" si="1"/>
        <v>52918.720000000001</v>
      </c>
    </row>
    <row r="22" spans="2:11" ht="18.75" x14ac:dyDescent="0.3">
      <c r="B22" s="25">
        <v>43955</v>
      </c>
      <c r="C22" s="24" t="s">
        <v>386</v>
      </c>
      <c r="D22" s="37"/>
      <c r="E22" s="21"/>
      <c r="F22" s="21"/>
      <c r="G22" s="21"/>
      <c r="H22" s="21">
        <v>1500</v>
      </c>
      <c r="I22" s="22"/>
      <c r="J22" s="23">
        <f t="shared" si="0"/>
        <v>35402.39</v>
      </c>
      <c r="K22" s="23">
        <f t="shared" si="1"/>
        <v>51418.720000000001</v>
      </c>
    </row>
    <row r="23" spans="2:11" ht="18.75" x14ac:dyDescent="0.3">
      <c r="B23" s="25">
        <v>43956</v>
      </c>
      <c r="C23" s="24" t="s">
        <v>378</v>
      </c>
      <c r="D23" s="37"/>
      <c r="E23" s="21"/>
      <c r="F23" s="21"/>
      <c r="G23" s="21"/>
      <c r="H23" s="21">
        <v>607</v>
      </c>
      <c r="I23" s="22"/>
      <c r="J23" s="23">
        <f t="shared" si="0"/>
        <v>35402.39</v>
      </c>
      <c r="K23" s="23">
        <f t="shared" si="1"/>
        <v>50811.72</v>
      </c>
    </row>
    <row r="24" spans="2:11" ht="18.75" x14ac:dyDescent="0.3">
      <c r="B24" s="25">
        <v>43956</v>
      </c>
      <c r="C24" s="24" t="s">
        <v>379</v>
      </c>
      <c r="D24" s="37"/>
      <c r="E24" s="21"/>
      <c r="F24" s="21"/>
      <c r="G24" s="21"/>
      <c r="H24" s="21">
        <v>46</v>
      </c>
      <c r="I24" s="22"/>
      <c r="J24" s="23">
        <f t="shared" si="0"/>
        <v>35402.39</v>
      </c>
      <c r="K24" s="23">
        <f t="shared" si="1"/>
        <v>50765.72</v>
      </c>
    </row>
    <row r="25" spans="2:11" ht="18.75" x14ac:dyDescent="0.3">
      <c r="B25" s="25">
        <v>43956</v>
      </c>
      <c r="C25" s="24" t="s">
        <v>379</v>
      </c>
      <c r="D25" s="37"/>
      <c r="E25" s="37"/>
      <c r="F25" s="21"/>
      <c r="G25" s="21"/>
      <c r="H25" s="21">
        <v>955</v>
      </c>
      <c r="I25" s="22"/>
      <c r="J25" s="23">
        <f t="shared" si="0"/>
        <v>35402.39</v>
      </c>
      <c r="K25" s="23">
        <f t="shared" si="1"/>
        <v>49810.720000000001</v>
      </c>
    </row>
    <row r="26" spans="2:11" ht="18.75" x14ac:dyDescent="0.3">
      <c r="B26" s="25">
        <v>43956</v>
      </c>
      <c r="C26" s="24" t="s">
        <v>380</v>
      </c>
      <c r="D26" s="37"/>
      <c r="E26" s="37"/>
      <c r="F26" s="21"/>
      <c r="G26" s="21"/>
      <c r="H26" s="21">
        <v>154</v>
      </c>
      <c r="I26" s="22"/>
      <c r="J26" s="23">
        <f t="shared" si="0"/>
        <v>35402.39</v>
      </c>
      <c r="K26" s="23">
        <f t="shared" si="1"/>
        <v>49656.72</v>
      </c>
    </row>
    <row r="27" spans="2:11" ht="18.75" x14ac:dyDescent="0.3">
      <c r="B27" s="47">
        <v>43957</v>
      </c>
      <c r="C27" s="24" t="s">
        <v>381</v>
      </c>
      <c r="D27" s="37"/>
      <c r="E27" s="37"/>
      <c r="F27" s="21"/>
      <c r="G27" s="21"/>
      <c r="H27" s="21">
        <v>25.07</v>
      </c>
      <c r="I27" s="22"/>
      <c r="J27" s="23">
        <f t="shared" si="0"/>
        <v>35402.39</v>
      </c>
      <c r="K27" s="23">
        <f t="shared" si="1"/>
        <v>49631.65</v>
      </c>
    </row>
    <row r="28" spans="2:11" ht="18.75" x14ac:dyDescent="0.3">
      <c r="B28" s="51">
        <v>43957</v>
      </c>
      <c r="C28" s="24" t="s">
        <v>382</v>
      </c>
      <c r="D28" s="37"/>
      <c r="E28" s="37"/>
      <c r="F28" s="37"/>
      <c r="G28" s="21"/>
      <c r="H28" s="21">
        <v>105</v>
      </c>
      <c r="I28" s="22"/>
      <c r="J28" s="23">
        <f t="shared" si="0"/>
        <v>35402.39</v>
      </c>
      <c r="K28" s="23">
        <f t="shared" si="1"/>
        <v>49526.65</v>
      </c>
    </row>
    <row r="29" spans="2:11" ht="18.75" x14ac:dyDescent="0.3">
      <c r="B29" s="49">
        <v>43957</v>
      </c>
      <c r="C29" s="36" t="s">
        <v>383</v>
      </c>
      <c r="D29" s="37"/>
      <c r="E29" s="37"/>
      <c r="F29" s="37"/>
      <c r="G29" s="37"/>
      <c r="H29" s="21">
        <v>720</v>
      </c>
      <c r="I29" s="22"/>
      <c r="J29" s="23">
        <f t="shared" si="0"/>
        <v>35402.39</v>
      </c>
      <c r="K29" s="23">
        <f t="shared" si="1"/>
        <v>48806.65</v>
      </c>
    </row>
    <row r="30" spans="2:11" ht="18.75" x14ac:dyDescent="0.3">
      <c r="B30" s="47">
        <v>43957</v>
      </c>
      <c r="C30" s="36" t="s">
        <v>384</v>
      </c>
      <c r="D30" s="37"/>
      <c r="E30" s="21"/>
      <c r="F30" s="21"/>
      <c r="G30" s="21"/>
      <c r="H30" s="21">
        <v>168.45</v>
      </c>
      <c r="I30" s="22"/>
      <c r="J30" s="23">
        <f t="shared" si="0"/>
        <v>35402.39</v>
      </c>
      <c r="K30" s="23">
        <f t="shared" si="1"/>
        <v>48638.200000000004</v>
      </c>
    </row>
    <row r="31" spans="2:11" ht="18.75" x14ac:dyDescent="0.3">
      <c r="B31" s="47">
        <v>43958</v>
      </c>
      <c r="C31" s="46" t="s">
        <v>315</v>
      </c>
      <c r="D31" s="37"/>
      <c r="E31" s="21"/>
      <c r="F31" s="21"/>
      <c r="G31" s="21"/>
      <c r="H31" s="21">
        <v>425.43</v>
      </c>
      <c r="I31" s="22"/>
      <c r="J31" s="23">
        <f t="shared" si="0"/>
        <v>35402.39</v>
      </c>
      <c r="K31" s="23">
        <f t="shared" si="1"/>
        <v>48212.770000000004</v>
      </c>
    </row>
    <row r="32" spans="2:11" ht="18.75" x14ac:dyDescent="0.3">
      <c r="B32" s="47">
        <v>43958</v>
      </c>
      <c r="C32" s="36" t="s">
        <v>385</v>
      </c>
      <c r="D32" s="37"/>
      <c r="E32" s="21"/>
      <c r="F32" s="21"/>
      <c r="G32" s="21"/>
      <c r="H32" s="21">
        <v>2000</v>
      </c>
      <c r="I32" s="22"/>
      <c r="J32" s="23">
        <f t="shared" si="0"/>
        <v>35402.39</v>
      </c>
      <c r="K32" s="23">
        <f t="shared" si="1"/>
        <v>46212.770000000004</v>
      </c>
    </row>
    <row r="33" spans="1:11" ht="18.75" x14ac:dyDescent="0.3">
      <c r="A33" s="6"/>
      <c r="B33" s="47">
        <v>43959</v>
      </c>
      <c r="C33" s="36" t="s">
        <v>314</v>
      </c>
      <c r="D33" s="37"/>
      <c r="E33" s="21"/>
      <c r="F33" s="21"/>
      <c r="G33" s="21"/>
      <c r="H33" s="21">
        <v>120</v>
      </c>
      <c r="I33" s="22"/>
      <c r="J33" s="23">
        <f t="shared" si="0"/>
        <v>35402.39</v>
      </c>
      <c r="K33" s="23">
        <f t="shared" si="1"/>
        <v>46092.770000000004</v>
      </c>
    </row>
    <row r="34" spans="1:11" ht="18.75" x14ac:dyDescent="0.3">
      <c r="B34" s="47">
        <v>43961</v>
      </c>
      <c r="C34" s="36" t="s">
        <v>387</v>
      </c>
      <c r="D34" s="37"/>
      <c r="E34" s="21"/>
      <c r="F34" s="21"/>
      <c r="G34" s="21"/>
      <c r="H34" s="21">
        <v>200</v>
      </c>
      <c r="I34" s="22"/>
      <c r="J34" s="23">
        <f t="shared" si="0"/>
        <v>35402.39</v>
      </c>
      <c r="K34" s="23">
        <f t="shared" si="1"/>
        <v>45892.770000000004</v>
      </c>
    </row>
    <row r="35" spans="1:11" ht="18.75" x14ac:dyDescent="0.3">
      <c r="B35" s="54">
        <v>43961</v>
      </c>
      <c r="C35" s="58" t="s">
        <v>388</v>
      </c>
      <c r="D35" s="37"/>
      <c r="E35" s="21"/>
      <c r="F35" s="21"/>
      <c r="G35" s="21"/>
      <c r="H35" s="21">
        <v>300</v>
      </c>
      <c r="I35" s="22"/>
      <c r="J35" s="23">
        <f t="shared" si="0"/>
        <v>35402.39</v>
      </c>
      <c r="K35" s="23">
        <f t="shared" si="1"/>
        <v>45592.770000000004</v>
      </c>
    </row>
    <row r="36" spans="1:11" ht="18.75" x14ac:dyDescent="0.3">
      <c r="B36" s="47">
        <v>43961</v>
      </c>
      <c r="C36" s="36" t="s">
        <v>389</v>
      </c>
      <c r="D36" s="37"/>
      <c r="E36" s="21"/>
      <c r="F36" s="21"/>
      <c r="G36" s="21"/>
      <c r="H36" s="21">
        <v>10500</v>
      </c>
      <c r="I36" s="22"/>
      <c r="J36" s="23">
        <f t="shared" si="0"/>
        <v>35402.39</v>
      </c>
      <c r="K36" s="23">
        <f t="shared" si="1"/>
        <v>35092.770000000004</v>
      </c>
    </row>
    <row r="37" spans="1:11" ht="18.75" x14ac:dyDescent="0.3">
      <c r="B37" s="47">
        <v>43961</v>
      </c>
      <c r="C37" s="48" t="s">
        <v>390</v>
      </c>
      <c r="D37" s="37">
        <v>20300</v>
      </c>
      <c r="E37" s="21"/>
      <c r="F37" s="21"/>
      <c r="G37" s="21"/>
      <c r="H37" s="21"/>
      <c r="I37" s="22"/>
      <c r="J37" s="23">
        <f t="shared" si="0"/>
        <v>35402.39</v>
      </c>
      <c r="K37" s="23">
        <f t="shared" si="1"/>
        <v>55392.770000000004</v>
      </c>
    </row>
    <row r="38" spans="1:11" ht="18.75" x14ac:dyDescent="0.3">
      <c r="B38" s="47">
        <v>43961</v>
      </c>
      <c r="C38" s="36" t="s">
        <v>391</v>
      </c>
      <c r="D38" s="37"/>
      <c r="E38" s="26">
        <v>1000</v>
      </c>
      <c r="F38" s="21"/>
      <c r="G38" s="21"/>
      <c r="H38" s="21"/>
      <c r="I38" s="22"/>
      <c r="J38" s="23">
        <f t="shared" si="0"/>
        <v>36402.39</v>
      </c>
      <c r="K38" s="23">
        <f t="shared" si="1"/>
        <v>55392.770000000004</v>
      </c>
    </row>
    <row r="39" spans="1:11" ht="18.75" x14ac:dyDescent="0.3">
      <c r="B39" s="49">
        <v>43961</v>
      </c>
      <c r="C39" s="36" t="s">
        <v>392</v>
      </c>
      <c r="D39" s="37"/>
      <c r="E39" s="26">
        <v>1000.16</v>
      </c>
      <c r="F39" s="21"/>
      <c r="G39" s="21"/>
      <c r="H39" s="21"/>
      <c r="I39" s="22"/>
      <c r="J39" s="23">
        <f t="shared" si="0"/>
        <v>37402.550000000003</v>
      </c>
      <c r="K39" s="23">
        <f t="shared" si="1"/>
        <v>55392.770000000004</v>
      </c>
    </row>
    <row r="40" spans="1:11" ht="18.75" x14ac:dyDescent="0.3">
      <c r="B40" s="47">
        <v>43962</v>
      </c>
      <c r="C40" s="36" t="s">
        <v>393</v>
      </c>
      <c r="D40" s="37"/>
      <c r="E40" s="21"/>
      <c r="F40" s="21"/>
      <c r="G40" s="21"/>
      <c r="H40" s="21">
        <v>30.47</v>
      </c>
      <c r="I40" s="22"/>
      <c r="J40" s="23">
        <f t="shared" si="0"/>
        <v>37402.550000000003</v>
      </c>
      <c r="K40" s="23">
        <f t="shared" si="1"/>
        <v>55362.3</v>
      </c>
    </row>
    <row r="41" spans="1:11" ht="18.75" x14ac:dyDescent="0.3">
      <c r="B41" s="47">
        <v>43962</v>
      </c>
      <c r="C41" s="35" t="s">
        <v>369</v>
      </c>
      <c r="D41" s="37"/>
      <c r="E41" s="21"/>
      <c r="F41" s="21"/>
      <c r="G41" s="21"/>
      <c r="H41" s="21">
        <v>167.9</v>
      </c>
      <c r="I41" s="22"/>
      <c r="J41" s="23">
        <f t="shared" si="0"/>
        <v>37402.550000000003</v>
      </c>
      <c r="K41" s="23">
        <f t="shared" si="1"/>
        <v>55194.400000000001</v>
      </c>
    </row>
    <row r="42" spans="1:11" ht="18.75" x14ac:dyDescent="0.3">
      <c r="B42" s="49">
        <v>43962</v>
      </c>
      <c r="C42" s="35" t="s">
        <v>394</v>
      </c>
      <c r="D42" s="37"/>
      <c r="E42" s="21"/>
      <c r="F42" s="21"/>
      <c r="G42" s="21"/>
      <c r="H42" s="21">
        <v>175</v>
      </c>
      <c r="I42" s="22"/>
      <c r="J42" s="23">
        <f t="shared" si="0"/>
        <v>37402.550000000003</v>
      </c>
      <c r="K42" s="23">
        <f t="shared" si="1"/>
        <v>55019.4</v>
      </c>
    </row>
    <row r="43" spans="1:11" ht="18.75" x14ac:dyDescent="0.3">
      <c r="B43" s="47">
        <v>43962</v>
      </c>
      <c r="C43" s="36" t="s">
        <v>395</v>
      </c>
      <c r="D43" s="37"/>
      <c r="E43" s="21"/>
      <c r="F43" s="21"/>
      <c r="G43" s="21"/>
      <c r="H43" s="21">
        <v>140</v>
      </c>
      <c r="I43" s="22"/>
      <c r="J43" s="23">
        <f t="shared" si="0"/>
        <v>37402.550000000003</v>
      </c>
      <c r="K43" s="23">
        <f t="shared" si="1"/>
        <v>54879.4</v>
      </c>
    </row>
    <row r="44" spans="1:11" ht="18.75" x14ac:dyDescent="0.3">
      <c r="B44" s="47">
        <v>43963</v>
      </c>
      <c r="C44" s="36" t="s">
        <v>396</v>
      </c>
      <c r="D44" s="37"/>
      <c r="E44" s="21"/>
      <c r="F44" s="21"/>
      <c r="G44" s="21"/>
      <c r="H44" s="21">
        <v>180</v>
      </c>
      <c r="I44" s="22"/>
      <c r="J44" s="23">
        <f t="shared" si="0"/>
        <v>37402.550000000003</v>
      </c>
      <c r="K44" s="23">
        <f t="shared" si="1"/>
        <v>54699.4</v>
      </c>
    </row>
    <row r="45" spans="1:11" ht="18.75" x14ac:dyDescent="0.3">
      <c r="B45" s="49">
        <v>43963</v>
      </c>
      <c r="C45" s="36" t="s">
        <v>397</v>
      </c>
      <c r="D45" s="37"/>
      <c r="E45" s="21"/>
      <c r="F45" s="21"/>
      <c r="G45" s="21"/>
      <c r="H45" s="21">
        <v>899</v>
      </c>
      <c r="I45" s="22"/>
      <c r="J45" s="23">
        <f t="shared" si="0"/>
        <v>37402.550000000003</v>
      </c>
      <c r="K45" s="23">
        <f t="shared" si="1"/>
        <v>53800.4</v>
      </c>
    </row>
    <row r="46" spans="1:11" ht="18.75" x14ac:dyDescent="0.3">
      <c r="B46" s="47">
        <v>43965</v>
      </c>
      <c r="C46" s="36" t="s">
        <v>398</v>
      </c>
      <c r="D46" s="37"/>
      <c r="E46" s="21"/>
      <c r="F46" s="21"/>
      <c r="G46" s="21"/>
      <c r="H46" s="21">
        <v>66.81</v>
      </c>
      <c r="I46" s="22"/>
      <c r="J46" s="23">
        <f t="shared" si="0"/>
        <v>37402.550000000003</v>
      </c>
      <c r="K46" s="23">
        <f t="shared" si="1"/>
        <v>53733.590000000004</v>
      </c>
    </row>
    <row r="47" spans="1:11" ht="18.75" x14ac:dyDescent="0.3">
      <c r="B47" s="47">
        <v>43965</v>
      </c>
      <c r="C47" s="20" t="s">
        <v>398</v>
      </c>
      <c r="D47" s="37"/>
      <c r="E47" s="21"/>
      <c r="F47" s="21"/>
      <c r="G47" s="21"/>
      <c r="H47" s="21">
        <v>64.36</v>
      </c>
      <c r="I47" s="22"/>
      <c r="J47" s="23">
        <f t="shared" si="0"/>
        <v>37402.550000000003</v>
      </c>
      <c r="K47" s="23">
        <f t="shared" si="1"/>
        <v>53669.23</v>
      </c>
    </row>
    <row r="48" spans="1:11" ht="18.75" x14ac:dyDescent="0.3">
      <c r="B48" s="25">
        <v>43965</v>
      </c>
      <c r="C48" s="24" t="s">
        <v>399</v>
      </c>
      <c r="D48" s="37"/>
      <c r="E48" s="21"/>
      <c r="F48" s="21"/>
      <c r="G48" s="21"/>
      <c r="H48" s="21">
        <v>1800</v>
      </c>
      <c r="I48" s="22"/>
      <c r="J48" s="23">
        <f t="shared" si="0"/>
        <v>37402.550000000003</v>
      </c>
      <c r="K48" s="23">
        <f t="shared" si="1"/>
        <v>51869.23</v>
      </c>
    </row>
    <row r="49" spans="2:13" ht="19.5" thickBot="1" x14ac:dyDescent="0.35">
      <c r="B49" s="47">
        <v>43965</v>
      </c>
      <c r="C49" s="36" t="s">
        <v>400</v>
      </c>
      <c r="D49" s="37"/>
      <c r="E49" s="37"/>
      <c r="F49" s="37"/>
      <c r="G49" s="37"/>
      <c r="H49" s="21">
        <v>1000</v>
      </c>
      <c r="I49" s="22"/>
      <c r="J49" s="23">
        <f t="shared" si="0"/>
        <v>37402.550000000003</v>
      </c>
      <c r="K49" s="23">
        <f t="shared" si="1"/>
        <v>50869.23</v>
      </c>
    </row>
    <row r="50" spans="2:13" ht="19.5" thickBot="1" x14ac:dyDescent="0.35">
      <c r="B50" s="28"/>
      <c r="C50" s="29" t="s">
        <v>0</v>
      </c>
      <c r="D50" s="30">
        <f>SUM(D4:D49)</f>
        <v>54050</v>
      </c>
      <c r="E50" s="31">
        <f>SUM(E4:E49)</f>
        <v>4202.59</v>
      </c>
      <c r="F50" s="32">
        <f>SUM(D50:E50)</f>
        <v>58252.59</v>
      </c>
      <c r="G50" s="33">
        <f>SUM(G4:G49)</f>
        <v>0</v>
      </c>
      <c r="H50" s="30">
        <f>SUM(H4:H49)</f>
        <v>28356.700000000004</v>
      </c>
      <c r="I50" s="32">
        <f>SUM(G50:H50)</f>
        <v>28356.700000000004</v>
      </c>
      <c r="J50" s="23"/>
      <c r="K50" s="23"/>
    </row>
    <row r="51" spans="2:13" ht="18.75" x14ac:dyDescent="0.3">
      <c r="B51" s="9" t="s">
        <v>1</v>
      </c>
      <c r="C51" s="9" t="s">
        <v>2</v>
      </c>
      <c r="D51" s="9" t="s">
        <v>3</v>
      </c>
      <c r="E51" s="9" t="s">
        <v>3</v>
      </c>
      <c r="F51" s="9" t="s">
        <v>8</v>
      </c>
      <c r="G51" s="9" t="s">
        <v>9</v>
      </c>
      <c r="H51" s="10" t="s">
        <v>9</v>
      </c>
      <c r="I51" s="10" t="s">
        <v>8</v>
      </c>
      <c r="J51" s="9" t="s">
        <v>7</v>
      </c>
      <c r="K51" s="10" t="s">
        <v>6</v>
      </c>
    </row>
    <row r="52" spans="2:13" ht="19.5" thickBot="1" x14ac:dyDescent="0.35">
      <c r="B52" s="11"/>
      <c r="C52" s="11"/>
      <c r="D52" s="11" t="s">
        <v>5</v>
      </c>
      <c r="E52" s="11" t="s">
        <v>7</v>
      </c>
      <c r="F52" s="11" t="s">
        <v>3</v>
      </c>
      <c r="G52" s="11" t="s">
        <v>7</v>
      </c>
      <c r="H52" s="12" t="s">
        <v>5</v>
      </c>
      <c r="I52" s="12" t="s">
        <v>4</v>
      </c>
      <c r="J52" s="11"/>
      <c r="K52" s="12"/>
    </row>
    <row r="53" spans="2:13" ht="19.5" thickBot="1" x14ac:dyDescent="0.35">
      <c r="B53" s="28"/>
      <c r="C53" s="29"/>
      <c r="D53" s="30">
        <v>54050</v>
      </c>
      <c r="E53" s="31">
        <v>4202.59</v>
      </c>
      <c r="F53" s="32">
        <f>SUM(D53:E53)</f>
        <v>58252.59</v>
      </c>
      <c r="G53" s="33">
        <v>0</v>
      </c>
      <c r="H53" s="30">
        <v>28356.7</v>
      </c>
      <c r="I53" s="32">
        <f>SUM(G53:H53)</f>
        <v>28356.7</v>
      </c>
      <c r="J53" s="72">
        <v>37402.550000000003</v>
      </c>
      <c r="K53" s="72">
        <v>50869.23</v>
      </c>
    </row>
    <row r="54" spans="2:13" ht="18.75" x14ac:dyDescent="0.3">
      <c r="B54" s="52">
        <v>43965</v>
      </c>
      <c r="C54" s="36" t="s">
        <v>422</v>
      </c>
      <c r="D54" s="37"/>
      <c r="E54" s="37"/>
      <c r="F54" s="37"/>
      <c r="G54" s="21"/>
      <c r="H54" s="21">
        <v>2000</v>
      </c>
      <c r="I54" s="22"/>
      <c r="J54" s="23">
        <f t="shared" ref="J54:J99" si="2">+J53+E54-G54</f>
        <v>37402.550000000003</v>
      </c>
      <c r="K54" s="23">
        <f t="shared" ref="K54:K99" si="3">+K53+D54-H54</f>
        <v>48869.23</v>
      </c>
    </row>
    <row r="55" spans="2:13" ht="18.75" x14ac:dyDescent="0.3">
      <c r="B55" s="25">
        <v>43965</v>
      </c>
      <c r="C55" s="24" t="s">
        <v>401</v>
      </c>
      <c r="D55" s="21"/>
      <c r="E55" s="21"/>
      <c r="F55" s="21"/>
      <c r="G55" s="21"/>
      <c r="H55" s="21">
        <v>2000</v>
      </c>
      <c r="I55" s="22"/>
      <c r="J55" s="23">
        <f t="shared" si="2"/>
        <v>37402.550000000003</v>
      </c>
      <c r="K55" s="23">
        <f t="shared" si="3"/>
        <v>46869.23</v>
      </c>
    </row>
    <row r="56" spans="2:13" ht="18.75" x14ac:dyDescent="0.3">
      <c r="B56" s="52">
        <v>43965</v>
      </c>
      <c r="C56" s="48" t="s">
        <v>402</v>
      </c>
      <c r="D56" s="37"/>
      <c r="E56" s="21"/>
      <c r="F56" s="21"/>
      <c r="G56" s="21"/>
      <c r="H56" s="21">
        <v>1000</v>
      </c>
      <c r="I56" s="22"/>
      <c r="J56" s="23">
        <f t="shared" si="2"/>
        <v>37402.550000000003</v>
      </c>
      <c r="K56" s="23">
        <f t="shared" si="3"/>
        <v>45869.23</v>
      </c>
    </row>
    <row r="57" spans="2:13" ht="18.75" x14ac:dyDescent="0.3">
      <c r="B57" s="52">
        <v>43965</v>
      </c>
      <c r="C57" s="36" t="s">
        <v>353</v>
      </c>
      <c r="D57" s="37"/>
      <c r="E57" s="21"/>
      <c r="F57" s="21"/>
      <c r="G57" s="21"/>
      <c r="H57" s="21">
        <v>3200</v>
      </c>
      <c r="I57" s="22"/>
      <c r="J57" s="23">
        <f t="shared" si="2"/>
        <v>37402.550000000003</v>
      </c>
      <c r="K57" s="23">
        <f t="shared" si="3"/>
        <v>42669.23</v>
      </c>
    </row>
    <row r="58" spans="2:13" ht="18.75" x14ac:dyDescent="0.3">
      <c r="B58" s="47">
        <v>43966</v>
      </c>
      <c r="C58" s="24" t="s">
        <v>403</v>
      </c>
      <c r="D58" s="21"/>
      <c r="E58" s="21"/>
      <c r="F58" s="21"/>
      <c r="G58" s="21"/>
      <c r="H58" s="21">
        <v>1000</v>
      </c>
      <c r="I58" s="22"/>
      <c r="J58" s="23">
        <f t="shared" si="2"/>
        <v>37402.550000000003</v>
      </c>
      <c r="K58" s="23">
        <f t="shared" si="3"/>
        <v>41669.230000000003</v>
      </c>
    </row>
    <row r="59" spans="2:13" ht="18.75" x14ac:dyDescent="0.3">
      <c r="B59" s="47">
        <v>43966</v>
      </c>
      <c r="C59" s="24" t="s">
        <v>363</v>
      </c>
      <c r="D59" s="21"/>
      <c r="E59" s="21"/>
      <c r="F59" s="21"/>
      <c r="G59" s="21"/>
      <c r="H59" s="21">
        <v>3000</v>
      </c>
      <c r="I59" s="22"/>
      <c r="J59" s="23">
        <f t="shared" si="2"/>
        <v>37402.550000000003</v>
      </c>
      <c r="K59" s="23">
        <f t="shared" si="3"/>
        <v>38669.230000000003</v>
      </c>
    </row>
    <row r="60" spans="2:13" ht="18.75" x14ac:dyDescent="0.3">
      <c r="B60" s="47">
        <v>43966</v>
      </c>
      <c r="C60" s="36" t="s">
        <v>151</v>
      </c>
      <c r="D60" s="21"/>
      <c r="E60" s="21"/>
      <c r="F60" s="21"/>
      <c r="G60" s="21"/>
      <c r="H60" s="21">
        <v>6000</v>
      </c>
      <c r="I60" s="22"/>
      <c r="J60" s="23">
        <f t="shared" si="2"/>
        <v>37402.550000000003</v>
      </c>
      <c r="K60" s="23">
        <f t="shared" si="3"/>
        <v>32669.230000000003</v>
      </c>
    </row>
    <row r="61" spans="2:13" ht="18.75" x14ac:dyDescent="0.3">
      <c r="B61" s="47">
        <v>43966</v>
      </c>
      <c r="C61" s="20" t="s">
        <v>404</v>
      </c>
      <c r="D61" s="21"/>
      <c r="E61" s="21"/>
      <c r="F61" s="21"/>
      <c r="G61" s="21">
        <v>20000</v>
      </c>
      <c r="H61" s="21"/>
      <c r="I61" s="22"/>
      <c r="J61" s="23">
        <f t="shared" si="2"/>
        <v>17402.550000000003</v>
      </c>
      <c r="K61" s="23">
        <f t="shared" si="3"/>
        <v>32669.230000000003</v>
      </c>
      <c r="M61" s="1"/>
    </row>
    <row r="62" spans="2:13" ht="18.75" x14ac:dyDescent="0.3">
      <c r="B62" s="47">
        <v>43966</v>
      </c>
      <c r="C62" s="20" t="s">
        <v>251</v>
      </c>
      <c r="D62" s="21"/>
      <c r="E62" s="21"/>
      <c r="F62" s="21"/>
      <c r="G62" s="21"/>
      <c r="H62" s="21">
        <v>18300</v>
      </c>
      <c r="I62" s="22"/>
      <c r="J62" s="23">
        <f t="shared" si="2"/>
        <v>17402.550000000003</v>
      </c>
      <c r="K62" s="23">
        <f t="shared" si="3"/>
        <v>14369.230000000003</v>
      </c>
    </row>
    <row r="63" spans="2:13" ht="18.75" x14ac:dyDescent="0.3">
      <c r="B63" s="47">
        <v>43966</v>
      </c>
      <c r="C63" s="48" t="s">
        <v>299</v>
      </c>
      <c r="D63" s="21"/>
      <c r="E63" s="26"/>
      <c r="F63" s="21"/>
      <c r="G63" s="21"/>
      <c r="H63" s="21">
        <v>3500</v>
      </c>
      <c r="I63" s="22"/>
      <c r="J63" s="23">
        <f t="shared" si="2"/>
        <v>17402.550000000003</v>
      </c>
      <c r="K63" s="23">
        <f t="shared" si="3"/>
        <v>10869.230000000003</v>
      </c>
    </row>
    <row r="64" spans="2:13" ht="18.75" x14ac:dyDescent="0.3">
      <c r="B64" s="47">
        <v>43966</v>
      </c>
      <c r="C64" s="74" t="s">
        <v>355</v>
      </c>
      <c r="D64" s="21"/>
      <c r="E64" s="26"/>
      <c r="F64" s="21"/>
      <c r="G64" s="21">
        <v>1760</v>
      </c>
      <c r="H64" s="21"/>
      <c r="I64" s="22"/>
      <c r="J64" s="23">
        <f t="shared" si="2"/>
        <v>15642.550000000003</v>
      </c>
      <c r="K64" s="23">
        <f t="shared" si="3"/>
        <v>10869.230000000003</v>
      </c>
      <c r="M64" s="1"/>
    </row>
    <row r="65" spans="1:12" ht="18.75" x14ac:dyDescent="0.3">
      <c r="B65" s="47">
        <v>43966</v>
      </c>
      <c r="C65" s="74" t="s">
        <v>356</v>
      </c>
      <c r="D65" s="21"/>
      <c r="E65" s="26"/>
      <c r="F65" s="21"/>
      <c r="G65" s="21">
        <v>1600</v>
      </c>
      <c r="H65" s="21"/>
      <c r="I65" s="22"/>
      <c r="J65" s="23">
        <f t="shared" si="2"/>
        <v>14042.550000000003</v>
      </c>
      <c r="K65" s="23">
        <f t="shared" si="3"/>
        <v>10869.230000000003</v>
      </c>
    </row>
    <row r="66" spans="1:12" ht="18.75" x14ac:dyDescent="0.3">
      <c r="A66" s="6"/>
      <c r="B66" s="47">
        <v>43966</v>
      </c>
      <c r="C66" s="20" t="s">
        <v>364</v>
      </c>
      <c r="D66" s="21"/>
      <c r="E66" s="21"/>
      <c r="F66" s="21"/>
      <c r="G66" s="21"/>
      <c r="H66" s="21">
        <v>160</v>
      </c>
      <c r="I66" s="22"/>
      <c r="J66" s="23">
        <f t="shared" si="2"/>
        <v>14042.550000000003</v>
      </c>
      <c r="K66" s="23">
        <f t="shared" si="3"/>
        <v>10709.230000000003</v>
      </c>
    </row>
    <row r="67" spans="1:12" ht="18.75" x14ac:dyDescent="0.3">
      <c r="B67" s="47">
        <v>43969</v>
      </c>
      <c r="C67" s="48" t="s">
        <v>405</v>
      </c>
      <c r="D67" s="21"/>
      <c r="E67" s="21"/>
      <c r="F67" s="21"/>
      <c r="G67" s="21"/>
      <c r="H67" s="21">
        <v>200</v>
      </c>
      <c r="I67" s="22"/>
      <c r="J67" s="23">
        <f t="shared" si="2"/>
        <v>14042.550000000003</v>
      </c>
      <c r="K67" s="23">
        <f t="shared" si="3"/>
        <v>10509.230000000003</v>
      </c>
    </row>
    <row r="68" spans="1:12" ht="18.75" x14ac:dyDescent="0.3">
      <c r="B68" s="51">
        <v>43969</v>
      </c>
      <c r="C68" s="20" t="s">
        <v>315</v>
      </c>
      <c r="D68" s="21"/>
      <c r="E68" s="21"/>
      <c r="F68" s="21"/>
      <c r="G68" s="21"/>
      <c r="H68" s="21">
        <v>850</v>
      </c>
      <c r="I68" s="22"/>
      <c r="J68" s="23">
        <f t="shared" si="2"/>
        <v>14042.550000000003</v>
      </c>
      <c r="K68" s="23">
        <f t="shared" si="3"/>
        <v>9659.2300000000032</v>
      </c>
    </row>
    <row r="69" spans="1:12" ht="18.75" x14ac:dyDescent="0.3">
      <c r="B69" s="25">
        <v>43971</v>
      </c>
      <c r="C69" s="58" t="s">
        <v>406</v>
      </c>
      <c r="D69" s="21"/>
      <c r="E69" s="21"/>
      <c r="F69" s="21"/>
      <c r="G69" s="21"/>
      <c r="H69" s="21">
        <v>300</v>
      </c>
      <c r="I69" s="22"/>
      <c r="J69" s="23">
        <f t="shared" si="2"/>
        <v>14042.550000000003</v>
      </c>
      <c r="K69" s="23">
        <f t="shared" si="3"/>
        <v>9359.2300000000032</v>
      </c>
    </row>
    <row r="70" spans="1:12" ht="18.75" x14ac:dyDescent="0.3">
      <c r="B70" s="25">
        <v>43971</v>
      </c>
      <c r="C70" s="36" t="s">
        <v>407</v>
      </c>
      <c r="D70" s="21"/>
      <c r="E70" s="21"/>
      <c r="F70" s="21"/>
      <c r="G70" s="21"/>
      <c r="H70" s="21">
        <v>400</v>
      </c>
      <c r="I70" s="22"/>
      <c r="J70" s="23">
        <f t="shared" si="2"/>
        <v>14042.550000000003</v>
      </c>
      <c r="K70" s="23">
        <f t="shared" si="3"/>
        <v>8959.2300000000032</v>
      </c>
      <c r="L70" s="1"/>
    </row>
    <row r="71" spans="1:12" ht="18.75" x14ac:dyDescent="0.3">
      <c r="B71" s="49">
        <v>43971</v>
      </c>
      <c r="C71" s="58" t="s">
        <v>369</v>
      </c>
      <c r="D71" s="37"/>
      <c r="E71" s="21"/>
      <c r="F71" s="21"/>
      <c r="G71" s="21"/>
      <c r="H71" s="21">
        <v>171.9</v>
      </c>
      <c r="I71" s="22"/>
      <c r="J71" s="23">
        <f t="shared" si="2"/>
        <v>14042.550000000003</v>
      </c>
      <c r="K71" s="23">
        <f t="shared" si="3"/>
        <v>8787.3300000000036</v>
      </c>
    </row>
    <row r="72" spans="1:12" ht="18.75" x14ac:dyDescent="0.3">
      <c r="B72" s="52">
        <v>37396</v>
      </c>
      <c r="C72" s="48" t="s">
        <v>369</v>
      </c>
      <c r="D72" s="37"/>
      <c r="E72" s="21"/>
      <c r="F72" s="21"/>
      <c r="G72" s="21"/>
      <c r="H72" s="21">
        <v>174.9</v>
      </c>
      <c r="I72" s="22"/>
      <c r="J72" s="23">
        <f t="shared" si="2"/>
        <v>14042.550000000003</v>
      </c>
      <c r="K72" s="23">
        <f t="shared" si="3"/>
        <v>8612.4300000000039</v>
      </c>
    </row>
    <row r="73" spans="1:12" ht="18.75" x14ac:dyDescent="0.3">
      <c r="B73" s="49">
        <v>43973</v>
      </c>
      <c r="C73" s="58" t="s">
        <v>408</v>
      </c>
      <c r="D73" s="37"/>
      <c r="E73" s="21"/>
      <c r="F73" s="21"/>
      <c r="G73" s="21"/>
      <c r="H73" s="21">
        <v>156</v>
      </c>
      <c r="I73" s="22"/>
      <c r="J73" s="23">
        <f t="shared" si="2"/>
        <v>14042.550000000003</v>
      </c>
      <c r="K73" s="23">
        <f t="shared" si="3"/>
        <v>8456.4300000000039</v>
      </c>
    </row>
    <row r="74" spans="1:12" ht="18.75" x14ac:dyDescent="0.3">
      <c r="A74" s="6"/>
      <c r="B74" s="52">
        <v>43973</v>
      </c>
      <c r="C74" s="48" t="s">
        <v>409</v>
      </c>
      <c r="D74" s="37"/>
      <c r="E74" s="21"/>
      <c r="F74" s="21"/>
      <c r="G74" s="21"/>
      <c r="H74" s="21">
        <v>80</v>
      </c>
      <c r="I74" s="22"/>
      <c r="J74" s="23">
        <f t="shared" si="2"/>
        <v>14042.550000000003</v>
      </c>
      <c r="K74" s="23">
        <f t="shared" si="3"/>
        <v>8376.4300000000039</v>
      </c>
    </row>
    <row r="75" spans="1:12" ht="18.75" x14ac:dyDescent="0.3">
      <c r="B75" s="52">
        <v>43975</v>
      </c>
      <c r="C75" s="24" t="s">
        <v>339</v>
      </c>
      <c r="D75" s="37">
        <v>22800</v>
      </c>
      <c r="E75" s="21"/>
      <c r="F75" s="21"/>
      <c r="G75" s="21"/>
      <c r="H75" s="21"/>
      <c r="I75" s="22"/>
      <c r="J75" s="23">
        <f t="shared" si="2"/>
        <v>14042.550000000003</v>
      </c>
      <c r="K75" s="23">
        <f t="shared" si="3"/>
        <v>31176.430000000004</v>
      </c>
      <c r="L75" s="1"/>
    </row>
    <row r="76" spans="1:12" ht="18.75" x14ac:dyDescent="0.3">
      <c r="B76" s="52">
        <v>43955</v>
      </c>
      <c r="C76" s="48" t="s">
        <v>410</v>
      </c>
      <c r="D76" s="37"/>
      <c r="E76" s="26">
        <v>250.15</v>
      </c>
      <c r="F76" s="21"/>
      <c r="G76" s="21"/>
      <c r="H76" s="21"/>
      <c r="I76" s="22"/>
      <c r="J76" s="23">
        <f t="shared" si="2"/>
        <v>14292.700000000003</v>
      </c>
      <c r="K76" s="23">
        <f t="shared" si="3"/>
        <v>31176.430000000004</v>
      </c>
    </row>
    <row r="77" spans="1:12" ht="18.75" x14ac:dyDescent="0.3">
      <c r="B77" s="53">
        <v>43975</v>
      </c>
      <c r="C77" s="58" t="s">
        <v>415</v>
      </c>
      <c r="D77" s="37"/>
      <c r="E77" s="26"/>
      <c r="F77" s="21"/>
      <c r="G77" s="21"/>
      <c r="H77" s="21">
        <v>300</v>
      </c>
      <c r="I77" s="22"/>
      <c r="J77" s="23">
        <f t="shared" si="2"/>
        <v>14292.700000000003</v>
      </c>
      <c r="K77" s="23">
        <f t="shared" si="3"/>
        <v>30876.430000000004</v>
      </c>
    </row>
    <row r="78" spans="1:12" ht="18.75" x14ac:dyDescent="0.3">
      <c r="B78" s="54">
        <v>43975</v>
      </c>
      <c r="C78" s="48" t="s">
        <v>428</v>
      </c>
      <c r="D78" s="55">
        <v>19700</v>
      </c>
      <c r="E78" s="26"/>
      <c r="F78" s="21"/>
      <c r="G78" s="21"/>
      <c r="H78" s="21"/>
      <c r="I78" s="22"/>
      <c r="J78" s="23">
        <f t="shared" si="2"/>
        <v>14292.700000000003</v>
      </c>
      <c r="K78" s="23">
        <f t="shared" si="3"/>
        <v>50576.430000000008</v>
      </c>
    </row>
    <row r="79" spans="1:12" ht="18.75" x14ac:dyDescent="0.3">
      <c r="B79" s="54">
        <v>43975</v>
      </c>
      <c r="C79" s="24" t="s">
        <v>426</v>
      </c>
      <c r="D79" s="55"/>
      <c r="E79" s="26">
        <v>500</v>
      </c>
      <c r="F79" s="21"/>
      <c r="G79" s="21"/>
      <c r="H79" s="21"/>
      <c r="I79" s="22"/>
      <c r="J79" s="23">
        <f t="shared" si="2"/>
        <v>14792.700000000003</v>
      </c>
      <c r="K79" s="23">
        <f t="shared" si="3"/>
        <v>50576.430000000008</v>
      </c>
    </row>
    <row r="80" spans="1:12" ht="18.75" x14ac:dyDescent="0.3">
      <c r="B80" s="54">
        <v>43975</v>
      </c>
      <c r="C80" s="24" t="s">
        <v>427</v>
      </c>
      <c r="D80" s="37"/>
      <c r="E80" s="26">
        <v>500.5</v>
      </c>
      <c r="F80" s="21"/>
      <c r="G80" s="21"/>
      <c r="H80" s="21"/>
      <c r="I80" s="22"/>
      <c r="J80" s="23">
        <f t="shared" si="2"/>
        <v>15293.200000000003</v>
      </c>
      <c r="K80" s="23">
        <f t="shared" si="3"/>
        <v>50576.430000000008</v>
      </c>
    </row>
    <row r="81" spans="1:12" ht="18.75" x14ac:dyDescent="0.3">
      <c r="B81" s="54">
        <v>43975</v>
      </c>
      <c r="C81" s="27" t="s">
        <v>418</v>
      </c>
      <c r="D81" s="86"/>
      <c r="E81" s="21"/>
      <c r="F81" s="21"/>
      <c r="G81" s="21"/>
      <c r="H81" s="21">
        <v>200</v>
      </c>
      <c r="I81" s="22"/>
      <c r="J81" s="23">
        <f t="shared" si="2"/>
        <v>15293.200000000003</v>
      </c>
      <c r="K81" s="23">
        <f t="shared" si="3"/>
        <v>50376.430000000008</v>
      </c>
    </row>
    <row r="82" spans="1:12" ht="18.75" x14ac:dyDescent="0.3">
      <c r="B82" s="54">
        <v>43977</v>
      </c>
      <c r="C82" s="20" t="s">
        <v>411</v>
      </c>
      <c r="D82" s="55"/>
      <c r="E82" s="21"/>
      <c r="F82" s="21"/>
      <c r="G82" s="21"/>
      <c r="H82" s="21">
        <v>35</v>
      </c>
      <c r="I82" s="22"/>
      <c r="J82" s="23">
        <f t="shared" si="2"/>
        <v>15293.200000000003</v>
      </c>
      <c r="K82" s="23">
        <f t="shared" si="3"/>
        <v>50341.430000000008</v>
      </c>
    </row>
    <row r="83" spans="1:12" ht="18.75" x14ac:dyDescent="0.3">
      <c r="B83" s="54">
        <v>43978</v>
      </c>
      <c r="C83" s="24" t="s">
        <v>412</v>
      </c>
      <c r="D83" s="55"/>
      <c r="E83" s="21"/>
      <c r="F83" s="21"/>
      <c r="G83" s="21"/>
      <c r="H83" s="21">
        <v>490</v>
      </c>
      <c r="I83" s="22"/>
      <c r="J83" s="23">
        <f t="shared" si="2"/>
        <v>15293.200000000003</v>
      </c>
      <c r="K83" s="23">
        <f t="shared" si="3"/>
        <v>49851.430000000008</v>
      </c>
    </row>
    <row r="84" spans="1:12" ht="18.75" x14ac:dyDescent="0.3">
      <c r="B84" s="54">
        <v>43978</v>
      </c>
      <c r="C84" s="24" t="s">
        <v>413</v>
      </c>
      <c r="D84" s="37"/>
      <c r="E84" s="21"/>
      <c r="F84" s="21"/>
      <c r="G84" s="21"/>
      <c r="H84" s="21">
        <v>31.6</v>
      </c>
      <c r="I84" s="22"/>
      <c r="J84" s="23">
        <f t="shared" si="2"/>
        <v>15293.200000000003</v>
      </c>
      <c r="K84" s="23">
        <f t="shared" si="3"/>
        <v>49819.830000000009</v>
      </c>
    </row>
    <row r="85" spans="1:12" ht="18.75" x14ac:dyDescent="0.3">
      <c r="B85" s="54">
        <v>43980</v>
      </c>
      <c r="C85" s="24" t="s">
        <v>414</v>
      </c>
      <c r="D85" s="37"/>
      <c r="E85" s="21"/>
      <c r="F85" s="21"/>
      <c r="G85" s="21"/>
      <c r="H85" s="21">
        <v>300</v>
      </c>
      <c r="I85" s="22"/>
      <c r="J85" s="23">
        <f t="shared" si="2"/>
        <v>15293.200000000003</v>
      </c>
      <c r="K85" s="23">
        <f t="shared" si="3"/>
        <v>49519.830000000009</v>
      </c>
    </row>
    <row r="86" spans="1:12" ht="18.75" x14ac:dyDescent="0.3">
      <c r="B86" s="54">
        <v>43980</v>
      </c>
      <c r="C86" s="24" t="s">
        <v>416</v>
      </c>
      <c r="D86" s="37"/>
      <c r="E86" s="21"/>
      <c r="F86" s="21"/>
      <c r="G86" s="21"/>
      <c r="H86" s="21">
        <v>250</v>
      </c>
      <c r="I86" s="22"/>
      <c r="J86" s="23">
        <f t="shared" si="2"/>
        <v>15293.200000000003</v>
      </c>
      <c r="K86" s="23">
        <f t="shared" si="3"/>
        <v>49269.830000000009</v>
      </c>
    </row>
    <row r="87" spans="1:12" ht="18.75" x14ac:dyDescent="0.3">
      <c r="A87" s="6"/>
      <c r="B87" s="54">
        <v>43980</v>
      </c>
      <c r="C87" s="24" t="s">
        <v>417</v>
      </c>
      <c r="D87" s="37"/>
      <c r="E87" s="21"/>
      <c r="F87" s="21"/>
      <c r="G87" s="21"/>
      <c r="H87" s="21">
        <v>160</v>
      </c>
      <c r="I87" s="22"/>
      <c r="J87" s="23">
        <f t="shared" si="2"/>
        <v>15293.200000000003</v>
      </c>
      <c r="K87" s="23">
        <f t="shared" si="3"/>
        <v>49109.830000000009</v>
      </c>
    </row>
    <row r="88" spans="1:12" ht="18.75" x14ac:dyDescent="0.3">
      <c r="B88" s="54">
        <v>43981</v>
      </c>
      <c r="C88" s="36" t="s">
        <v>353</v>
      </c>
      <c r="D88" s="37"/>
      <c r="E88" s="21"/>
      <c r="F88" s="21"/>
      <c r="G88" s="21"/>
      <c r="H88" s="21">
        <v>3300</v>
      </c>
      <c r="I88" s="22"/>
      <c r="J88" s="23">
        <f t="shared" si="2"/>
        <v>15293.200000000003</v>
      </c>
      <c r="K88" s="23">
        <f t="shared" si="3"/>
        <v>45809.830000000009</v>
      </c>
    </row>
    <row r="89" spans="1:12" ht="18.75" x14ac:dyDescent="0.3">
      <c r="B89" s="54">
        <v>43982</v>
      </c>
      <c r="C89" s="36" t="s">
        <v>419</v>
      </c>
      <c r="D89" s="37"/>
      <c r="E89" s="37"/>
      <c r="F89" s="37"/>
      <c r="G89" s="21"/>
      <c r="H89" s="21">
        <v>200</v>
      </c>
      <c r="I89" s="22"/>
      <c r="J89" s="23">
        <f t="shared" si="2"/>
        <v>15293.200000000003</v>
      </c>
      <c r="K89" s="23">
        <f t="shared" si="3"/>
        <v>45609.830000000009</v>
      </c>
    </row>
    <row r="90" spans="1:12" ht="18.75" x14ac:dyDescent="0.3">
      <c r="B90" s="54">
        <v>43982</v>
      </c>
      <c r="C90" s="48" t="s">
        <v>420</v>
      </c>
      <c r="D90" s="37"/>
      <c r="E90" s="37"/>
      <c r="F90" s="37"/>
      <c r="G90" s="21"/>
      <c r="H90" s="21">
        <v>500</v>
      </c>
      <c r="I90" s="22"/>
      <c r="J90" s="23">
        <f t="shared" si="2"/>
        <v>15293.200000000003</v>
      </c>
      <c r="K90" s="23">
        <f t="shared" si="3"/>
        <v>45109.830000000009</v>
      </c>
    </row>
    <row r="91" spans="1:12" ht="18.75" x14ac:dyDescent="0.3">
      <c r="B91" s="54">
        <v>43982</v>
      </c>
      <c r="C91" s="58" t="s">
        <v>432</v>
      </c>
      <c r="D91" s="37"/>
      <c r="E91" s="37"/>
      <c r="F91" s="37"/>
      <c r="G91" s="37"/>
      <c r="H91" s="21">
        <v>100</v>
      </c>
      <c r="I91" s="22"/>
      <c r="J91" s="23">
        <f t="shared" si="2"/>
        <v>15293.200000000003</v>
      </c>
      <c r="K91" s="23">
        <f t="shared" si="3"/>
        <v>45009.830000000009</v>
      </c>
      <c r="L91" s="1"/>
    </row>
    <row r="92" spans="1:12" ht="18.75" x14ac:dyDescent="0.3">
      <c r="B92" s="54">
        <v>43982</v>
      </c>
      <c r="C92" s="58" t="s">
        <v>351</v>
      </c>
      <c r="D92" s="37"/>
      <c r="E92" s="37"/>
      <c r="F92" s="37"/>
      <c r="G92" s="37"/>
      <c r="H92" s="21">
        <v>3000</v>
      </c>
      <c r="I92" s="22"/>
      <c r="J92" s="23">
        <f t="shared" si="2"/>
        <v>15293.200000000003</v>
      </c>
      <c r="K92" s="23">
        <f t="shared" si="3"/>
        <v>42009.830000000009</v>
      </c>
    </row>
    <row r="93" spans="1:12" ht="18.75" x14ac:dyDescent="0.3">
      <c r="B93" s="54">
        <v>43982</v>
      </c>
      <c r="C93" s="24" t="s">
        <v>361</v>
      </c>
      <c r="D93" s="37"/>
      <c r="E93" s="37"/>
      <c r="F93" s="37"/>
      <c r="G93" s="21"/>
      <c r="H93" s="21">
        <v>3000</v>
      </c>
      <c r="I93" s="22"/>
      <c r="J93" s="23">
        <f t="shared" si="2"/>
        <v>15293.200000000003</v>
      </c>
      <c r="K93" s="23">
        <f t="shared" si="3"/>
        <v>39009.830000000009</v>
      </c>
    </row>
    <row r="94" spans="1:12" ht="18.75" x14ac:dyDescent="0.3">
      <c r="B94" s="54">
        <v>43982</v>
      </c>
      <c r="C94" s="48" t="s">
        <v>362</v>
      </c>
      <c r="D94" s="37"/>
      <c r="E94" s="37"/>
      <c r="F94" s="37"/>
      <c r="G94" s="37"/>
      <c r="H94" s="21">
        <v>3000</v>
      </c>
      <c r="I94" s="22"/>
      <c r="J94" s="23">
        <f t="shared" si="2"/>
        <v>15293.200000000003</v>
      </c>
      <c r="K94" s="23">
        <f t="shared" si="3"/>
        <v>36009.830000000009</v>
      </c>
    </row>
    <row r="95" spans="1:12" ht="18.75" x14ac:dyDescent="0.3">
      <c r="B95" s="54">
        <v>43982</v>
      </c>
      <c r="C95" s="24" t="s">
        <v>354</v>
      </c>
      <c r="D95" s="37"/>
      <c r="E95" s="37"/>
      <c r="F95" s="37"/>
      <c r="G95" s="37">
        <v>10000</v>
      </c>
      <c r="H95" s="21"/>
      <c r="I95" s="22"/>
      <c r="J95" s="23">
        <f t="shared" si="2"/>
        <v>5293.2000000000025</v>
      </c>
      <c r="K95" s="23">
        <f t="shared" si="3"/>
        <v>36009.830000000009</v>
      </c>
    </row>
    <row r="96" spans="1:12" ht="18.75" x14ac:dyDescent="0.3">
      <c r="B96" s="54">
        <v>43982</v>
      </c>
      <c r="C96" s="48" t="s">
        <v>272</v>
      </c>
      <c r="D96" s="37"/>
      <c r="E96" s="21"/>
      <c r="F96" s="21"/>
      <c r="G96" s="21"/>
      <c r="H96" s="21">
        <v>28300</v>
      </c>
      <c r="I96" s="22"/>
      <c r="J96" s="23">
        <f t="shared" si="2"/>
        <v>5293.2000000000025</v>
      </c>
      <c r="K96" s="23">
        <f t="shared" si="3"/>
        <v>7709.830000000009</v>
      </c>
    </row>
    <row r="97" spans="2:11" ht="18.75" x14ac:dyDescent="0.3">
      <c r="B97" s="54">
        <v>43982</v>
      </c>
      <c r="C97" s="48" t="s">
        <v>299</v>
      </c>
      <c r="D97" s="37"/>
      <c r="E97" s="21"/>
      <c r="F97" s="21"/>
      <c r="G97" s="37"/>
      <c r="H97" s="21">
        <v>4100</v>
      </c>
      <c r="I97" s="22"/>
      <c r="J97" s="23">
        <f t="shared" si="2"/>
        <v>5293.2000000000025</v>
      </c>
      <c r="K97" s="23">
        <f t="shared" si="3"/>
        <v>3609.830000000009</v>
      </c>
    </row>
    <row r="98" spans="2:11" ht="18.75" x14ac:dyDescent="0.3">
      <c r="B98" s="56">
        <v>43982</v>
      </c>
      <c r="C98" s="48" t="s">
        <v>421</v>
      </c>
      <c r="D98" s="37"/>
      <c r="E98" s="21">
        <v>12760</v>
      </c>
      <c r="F98" s="21"/>
      <c r="G98" s="21"/>
      <c r="H98" s="21"/>
      <c r="I98" s="22"/>
      <c r="J98" s="23">
        <f t="shared" si="2"/>
        <v>18053.200000000004</v>
      </c>
      <c r="K98" s="23">
        <f t="shared" si="3"/>
        <v>3609.830000000009</v>
      </c>
    </row>
    <row r="99" spans="2:11" ht="19.5" thickBot="1" x14ac:dyDescent="0.35">
      <c r="B99" s="56">
        <v>43982</v>
      </c>
      <c r="C99" s="36" t="s">
        <v>422</v>
      </c>
      <c r="D99" s="37"/>
      <c r="E99" s="21"/>
      <c r="F99" s="21"/>
      <c r="G99" s="21"/>
      <c r="H99" s="21">
        <v>2200</v>
      </c>
      <c r="I99" s="22"/>
      <c r="J99" s="23">
        <f t="shared" si="2"/>
        <v>18053.200000000004</v>
      </c>
      <c r="K99" s="23">
        <f t="shared" si="3"/>
        <v>1409.830000000009</v>
      </c>
    </row>
    <row r="100" spans="2:11" ht="19.5" thickBot="1" x14ac:dyDescent="0.35">
      <c r="B100" s="28"/>
      <c r="C100" s="29" t="s">
        <v>0</v>
      </c>
      <c r="D100" s="30">
        <f>SUM(D53:D99)</f>
        <v>96550</v>
      </c>
      <c r="E100" s="31">
        <f>SUM(E53:E99)</f>
        <v>18213.239999999998</v>
      </c>
      <c r="F100" s="32">
        <f>SUM(D100:E100)</f>
        <v>114763.23999999999</v>
      </c>
      <c r="G100" s="33">
        <f>SUM(G53:G99)</f>
        <v>33360</v>
      </c>
      <c r="H100" s="30">
        <f>SUM(H53:H99)</f>
        <v>120316.09999999999</v>
      </c>
      <c r="I100" s="32">
        <f>SUM(G100:H100)</f>
        <v>153676.09999999998</v>
      </c>
      <c r="J100" s="34"/>
      <c r="K100" s="34"/>
    </row>
    <row r="101" spans="2:11" ht="18.75" x14ac:dyDescent="0.3">
      <c r="B101" s="9" t="s">
        <v>1</v>
      </c>
      <c r="C101" s="9" t="s">
        <v>2</v>
      </c>
      <c r="D101" s="9" t="s">
        <v>3</v>
      </c>
      <c r="E101" s="9" t="s">
        <v>3</v>
      </c>
      <c r="F101" s="9" t="s">
        <v>8</v>
      </c>
      <c r="G101" s="9" t="s">
        <v>9</v>
      </c>
      <c r="H101" s="10" t="s">
        <v>9</v>
      </c>
      <c r="I101" s="10" t="s">
        <v>8</v>
      </c>
      <c r="J101" s="9" t="s">
        <v>7</v>
      </c>
      <c r="K101" s="10" t="s">
        <v>6</v>
      </c>
    </row>
    <row r="102" spans="2:11" ht="19.5" thickBot="1" x14ac:dyDescent="0.35">
      <c r="B102" s="11"/>
      <c r="C102" s="11"/>
      <c r="D102" s="11" t="s">
        <v>5</v>
      </c>
      <c r="E102" s="11" t="s">
        <v>7</v>
      </c>
      <c r="F102" s="11" t="s">
        <v>3</v>
      </c>
      <c r="G102" s="11" t="s">
        <v>7</v>
      </c>
      <c r="H102" s="12" t="s">
        <v>5</v>
      </c>
      <c r="I102" s="12" t="s">
        <v>4</v>
      </c>
      <c r="J102" s="11"/>
      <c r="K102" s="12"/>
    </row>
    <row r="103" spans="2:11" ht="19.5" thickBot="1" x14ac:dyDescent="0.35">
      <c r="B103" s="28"/>
      <c r="C103" s="29"/>
      <c r="D103" s="30">
        <v>96550</v>
      </c>
      <c r="E103" s="31">
        <v>18213.240000000002</v>
      </c>
      <c r="F103" s="32">
        <f>SUM(D103:E103)</f>
        <v>114763.24</v>
      </c>
      <c r="G103" s="33">
        <v>33360</v>
      </c>
      <c r="H103" s="30">
        <v>120316.1</v>
      </c>
      <c r="I103" s="32">
        <f>SUM(G103:H103)</f>
        <v>153676.1</v>
      </c>
      <c r="J103" s="72">
        <v>18053.2</v>
      </c>
      <c r="K103" s="72">
        <v>1409.83</v>
      </c>
    </row>
    <row r="104" spans="2:11" ht="18.75" x14ac:dyDescent="0.3">
      <c r="B104" s="56">
        <v>43982</v>
      </c>
      <c r="C104" s="48" t="s">
        <v>352</v>
      </c>
      <c r="D104" s="37"/>
      <c r="E104" s="21"/>
      <c r="F104" s="21"/>
      <c r="G104" s="21"/>
      <c r="H104" s="21">
        <v>1000</v>
      </c>
      <c r="I104" s="22"/>
      <c r="J104" s="23">
        <v>18053.2</v>
      </c>
      <c r="K104" s="23">
        <f t="shared" ref="K104:K113" si="4">+K103+D104-H104</f>
        <v>409.82999999999993</v>
      </c>
    </row>
    <row r="105" spans="2:11" ht="18.75" x14ac:dyDescent="0.3">
      <c r="B105" s="56">
        <v>43982</v>
      </c>
      <c r="C105" s="24" t="s">
        <v>433</v>
      </c>
      <c r="D105" s="37"/>
      <c r="E105" s="21"/>
      <c r="F105" s="21"/>
      <c r="G105" s="21"/>
      <c r="H105" s="21">
        <v>32</v>
      </c>
      <c r="I105" s="22"/>
      <c r="J105" s="23">
        <f t="shared" ref="J105:J113" si="5">+J104+E105-G105</f>
        <v>18053.2</v>
      </c>
      <c r="K105" s="23">
        <f t="shared" si="4"/>
        <v>377.82999999999993</v>
      </c>
    </row>
    <row r="106" spans="2:11" ht="18.75" x14ac:dyDescent="0.3">
      <c r="B106" s="56">
        <v>43982</v>
      </c>
      <c r="C106" s="24" t="s">
        <v>429</v>
      </c>
      <c r="D106" s="37">
        <v>19350</v>
      </c>
      <c r="E106" s="21"/>
      <c r="F106" s="21"/>
      <c r="G106" s="21"/>
      <c r="H106" s="21"/>
      <c r="I106" s="22"/>
      <c r="J106" s="23">
        <f t="shared" si="5"/>
        <v>18053.2</v>
      </c>
      <c r="K106" s="23">
        <f t="shared" si="4"/>
        <v>19727.830000000002</v>
      </c>
    </row>
    <row r="107" spans="2:11" ht="18.75" x14ac:dyDescent="0.3">
      <c r="B107" s="56">
        <v>43982</v>
      </c>
      <c r="C107" s="24" t="s">
        <v>430</v>
      </c>
      <c r="D107" s="37"/>
      <c r="E107" s="21">
        <v>500.37</v>
      </c>
      <c r="F107" s="21"/>
      <c r="G107" s="21"/>
      <c r="H107" s="21"/>
      <c r="I107" s="22"/>
      <c r="J107" s="23">
        <f t="shared" si="5"/>
        <v>18553.57</v>
      </c>
      <c r="K107" s="23">
        <f t="shared" si="4"/>
        <v>19727.830000000002</v>
      </c>
    </row>
    <row r="108" spans="2:11" ht="18.75" x14ac:dyDescent="0.3">
      <c r="B108" s="56">
        <v>43982</v>
      </c>
      <c r="C108" s="20" t="s">
        <v>431</v>
      </c>
      <c r="D108" s="37"/>
      <c r="E108" s="21">
        <v>500.37</v>
      </c>
      <c r="F108" s="21"/>
      <c r="G108" s="21"/>
      <c r="H108" s="21"/>
      <c r="I108" s="22"/>
      <c r="J108" s="23">
        <f t="shared" si="5"/>
        <v>19053.939999999999</v>
      </c>
      <c r="K108" s="23">
        <f t="shared" si="4"/>
        <v>19727.830000000002</v>
      </c>
    </row>
    <row r="109" spans="2:11" ht="18.75" x14ac:dyDescent="0.3">
      <c r="B109" s="56">
        <v>43978</v>
      </c>
      <c r="C109" s="20" t="s">
        <v>108</v>
      </c>
      <c r="D109" s="37"/>
      <c r="E109" s="26"/>
      <c r="F109" s="21"/>
      <c r="G109" s="21">
        <v>200</v>
      </c>
      <c r="H109" s="21"/>
      <c r="I109" s="22"/>
      <c r="J109" s="23">
        <f t="shared" si="5"/>
        <v>18853.939999999999</v>
      </c>
      <c r="K109" s="23">
        <f t="shared" si="4"/>
        <v>19727.830000000002</v>
      </c>
    </row>
    <row r="110" spans="2:11" ht="18.75" x14ac:dyDescent="0.3">
      <c r="B110" s="56">
        <v>43978</v>
      </c>
      <c r="C110" s="24" t="s">
        <v>109</v>
      </c>
      <c r="D110" s="37"/>
      <c r="E110" s="26"/>
      <c r="F110" s="21"/>
      <c r="G110" s="21">
        <v>32</v>
      </c>
      <c r="H110" s="21"/>
      <c r="I110" s="22"/>
      <c r="J110" s="23">
        <f t="shared" si="5"/>
        <v>18821.939999999999</v>
      </c>
      <c r="K110" s="23">
        <f t="shared" si="4"/>
        <v>19727.830000000002</v>
      </c>
    </row>
    <row r="111" spans="2:11" ht="18.75" x14ac:dyDescent="0.3">
      <c r="B111" s="56">
        <v>43982</v>
      </c>
      <c r="C111" s="20" t="s">
        <v>110</v>
      </c>
      <c r="D111" s="37"/>
      <c r="E111" s="26"/>
      <c r="F111" s="21"/>
      <c r="G111" s="21">
        <v>54</v>
      </c>
      <c r="H111" s="21"/>
      <c r="I111" s="22"/>
      <c r="J111" s="23">
        <f t="shared" si="5"/>
        <v>18767.939999999999</v>
      </c>
      <c r="K111" s="23">
        <f t="shared" si="4"/>
        <v>19727.830000000002</v>
      </c>
    </row>
    <row r="112" spans="2:11" ht="18.75" x14ac:dyDescent="0.3">
      <c r="B112" s="56">
        <v>43982</v>
      </c>
      <c r="C112" s="24" t="s">
        <v>111</v>
      </c>
      <c r="D112" s="37"/>
      <c r="E112" s="86"/>
      <c r="F112" s="37"/>
      <c r="G112" s="21">
        <v>8.64</v>
      </c>
      <c r="H112" s="21"/>
      <c r="I112" s="22"/>
      <c r="J112" s="23">
        <f t="shared" si="5"/>
        <v>18759.3</v>
      </c>
      <c r="K112" s="23">
        <f t="shared" si="4"/>
        <v>19727.830000000002</v>
      </c>
    </row>
    <row r="113" spans="2:11" ht="19.5" thickBot="1" x14ac:dyDescent="0.35">
      <c r="B113" s="56"/>
      <c r="C113" s="24"/>
      <c r="D113" s="37"/>
      <c r="E113" s="21"/>
      <c r="F113" s="21"/>
      <c r="G113" s="21"/>
      <c r="H113" s="21"/>
      <c r="I113" s="22"/>
      <c r="J113" s="23">
        <f t="shared" si="5"/>
        <v>18759.3</v>
      </c>
      <c r="K113" s="23">
        <f t="shared" si="4"/>
        <v>19727.830000000002</v>
      </c>
    </row>
    <row r="114" spans="2:11" ht="19.5" thickBot="1" x14ac:dyDescent="0.35">
      <c r="B114" s="28"/>
      <c r="C114" s="29" t="s">
        <v>0</v>
      </c>
      <c r="D114" s="30">
        <f>SUM(D103:D113)</f>
        <v>115900</v>
      </c>
      <c r="E114" s="31">
        <f>SUM(E103:E113)</f>
        <v>19213.98</v>
      </c>
      <c r="F114" s="32">
        <f>SUM(D114:E114)</f>
        <v>135113.98000000001</v>
      </c>
      <c r="G114" s="33">
        <f>SUM(G103:G113)</f>
        <v>33654.639999999999</v>
      </c>
      <c r="H114" s="43">
        <f>SUM(H103:H113)</f>
        <v>121348.1</v>
      </c>
      <c r="I114" s="32">
        <f>SUM(G114:H114)</f>
        <v>155002.74</v>
      </c>
      <c r="J114" s="34"/>
      <c r="K114" s="34"/>
    </row>
    <row r="115" spans="2:11" ht="19.5" thickBot="1" x14ac:dyDescent="0.35"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2:11" ht="19.5" thickBot="1" x14ac:dyDescent="0.35">
      <c r="B116" s="7"/>
      <c r="C116" s="7"/>
      <c r="D116" s="7"/>
      <c r="E116" s="7"/>
      <c r="F116" s="7"/>
      <c r="G116" s="7"/>
      <c r="H116" s="7"/>
      <c r="I116" s="38" t="s">
        <v>7</v>
      </c>
      <c r="J116" s="38" t="s">
        <v>6</v>
      </c>
      <c r="K116" s="39" t="s">
        <v>0</v>
      </c>
    </row>
    <row r="117" spans="2:11" ht="19.5" thickBot="1" x14ac:dyDescent="0.35">
      <c r="B117" s="7"/>
      <c r="C117" s="7"/>
      <c r="D117" s="7"/>
      <c r="E117" s="7"/>
      <c r="F117" s="7"/>
      <c r="G117" s="7"/>
      <c r="H117" s="7"/>
      <c r="I117" s="40">
        <v>18759.3</v>
      </c>
      <c r="J117" s="40">
        <v>19727.830000000002</v>
      </c>
      <c r="K117" s="34">
        <f>SUM(I117:J117)</f>
        <v>38487.130000000005</v>
      </c>
    </row>
    <row r="118" spans="2:11" x14ac:dyDescent="0.25">
      <c r="D118" s="1"/>
      <c r="E118" s="1"/>
      <c r="F118" s="1"/>
      <c r="G118" s="1"/>
      <c r="J118" s="1"/>
    </row>
    <row r="119" spans="2:11" x14ac:dyDescent="0.25">
      <c r="D119" s="1"/>
      <c r="E119" s="1"/>
      <c r="F119" s="1"/>
      <c r="G119" s="1"/>
      <c r="J119" s="1"/>
    </row>
    <row r="120" spans="2:11" x14ac:dyDescent="0.25">
      <c r="D120" s="1"/>
      <c r="E120" s="1"/>
      <c r="F120" s="1"/>
      <c r="G120" s="1"/>
      <c r="J120" s="1"/>
    </row>
    <row r="121" spans="2:11" x14ac:dyDescent="0.25">
      <c r="D121" s="1"/>
      <c r="E121" s="1"/>
      <c r="F121" s="1"/>
      <c r="G121" s="1"/>
      <c r="J121" s="1"/>
    </row>
    <row r="122" spans="2:11" x14ac:dyDescent="0.25">
      <c r="D122" s="1"/>
      <c r="E122" s="1"/>
      <c r="F122" s="1"/>
      <c r="G122" s="1"/>
      <c r="J122" s="1"/>
    </row>
    <row r="123" spans="2:11" x14ac:dyDescent="0.25">
      <c r="D123" s="1"/>
      <c r="E123" s="1"/>
      <c r="F123" s="1"/>
      <c r="G123" s="1"/>
      <c r="J123" s="1"/>
    </row>
    <row r="124" spans="2:11" x14ac:dyDescent="0.25">
      <c r="D124" s="1"/>
      <c r="E124" s="1"/>
      <c r="F124" s="1"/>
      <c r="G124" s="1"/>
      <c r="J124" s="1"/>
    </row>
    <row r="125" spans="2:11" x14ac:dyDescent="0.25">
      <c r="D125" s="1"/>
      <c r="E125" s="1"/>
      <c r="F125" s="1"/>
      <c r="G125" s="1"/>
      <c r="J125" s="1"/>
    </row>
    <row r="126" spans="2:11" x14ac:dyDescent="0.25">
      <c r="D126" s="1"/>
      <c r="E126" s="1"/>
      <c r="F126" s="1"/>
      <c r="G126" s="1"/>
      <c r="J126" s="1"/>
    </row>
    <row r="127" spans="2:11" x14ac:dyDescent="0.25">
      <c r="D127" s="1"/>
      <c r="E127" s="1"/>
      <c r="F127" s="1"/>
      <c r="G127" s="1"/>
      <c r="J127" s="1"/>
    </row>
    <row r="128" spans="2:11" x14ac:dyDescent="0.25">
      <c r="D128" s="1"/>
      <c r="E128" s="1"/>
      <c r="F128" s="1"/>
      <c r="G128" s="1"/>
      <c r="J128" s="1"/>
    </row>
    <row r="129" spans="4:10" x14ac:dyDescent="0.25">
      <c r="D129" s="1"/>
      <c r="E129" s="1"/>
      <c r="F129" s="1"/>
      <c r="G129" s="1"/>
      <c r="J129" s="1"/>
    </row>
    <row r="130" spans="4:10" x14ac:dyDescent="0.25">
      <c r="D130" s="1"/>
      <c r="E130" s="1"/>
      <c r="F130" s="1"/>
      <c r="G130" s="1"/>
      <c r="J130" s="1"/>
    </row>
    <row r="131" spans="4:10" x14ac:dyDescent="0.25">
      <c r="D131" s="1"/>
      <c r="E131" s="1"/>
      <c r="F131" s="1"/>
      <c r="G131" s="1"/>
      <c r="J131" s="1"/>
    </row>
    <row r="132" spans="4:10" x14ac:dyDescent="0.25">
      <c r="D132" s="1"/>
      <c r="E132" s="1"/>
      <c r="F132" s="1"/>
      <c r="G132" s="1"/>
      <c r="J132" s="1"/>
    </row>
    <row r="133" spans="4:10" x14ac:dyDescent="0.25">
      <c r="D133" s="1"/>
      <c r="E133" s="1"/>
      <c r="F133" s="1"/>
      <c r="G133" s="1"/>
      <c r="J133" s="1"/>
    </row>
    <row r="134" spans="4:10" x14ac:dyDescent="0.25">
      <c r="D134" s="1"/>
      <c r="E134" s="1"/>
      <c r="F134" s="1"/>
      <c r="G134" s="1"/>
      <c r="J134" s="1"/>
    </row>
    <row r="135" spans="4:10" x14ac:dyDescent="0.25">
      <c r="D135" s="1"/>
      <c r="E135" s="1"/>
      <c r="F135" s="1"/>
      <c r="G135" s="1"/>
      <c r="J135" s="1"/>
    </row>
    <row r="136" spans="4:10" x14ac:dyDescent="0.25">
      <c r="D136" s="1"/>
      <c r="E136" s="1"/>
      <c r="F136" s="1"/>
      <c r="G136" s="1"/>
      <c r="J136" s="1"/>
    </row>
    <row r="137" spans="4:10" x14ac:dyDescent="0.25">
      <c r="D137" s="1"/>
      <c r="E137" s="1"/>
      <c r="F137" s="1"/>
      <c r="G137" s="1"/>
      <c r="J137" s="1"/>
    </row>
    <row r="138" spans="4:10" x14ac:dyDescent="0.25">
      <c r="D138" s="1"/>
      <c r="E138" s="1"/>
      <c r="F138" s="1"/>
      <c r="G138" s="1"/>
      <c r="J138" s="1"/>
    </row>
    <row r="139" spans="4:10" x14ac:dyDescent="0.25">
      <c r="D139" s="1"/>
      <c r="E139" s="1"/>
      <c r="F139" s="1"/>
      <c r="G139" s="1"/>
      <c r="J139" s="1"/>
    </row>
    <row r="140" spans="4:10" x14ac:dyDescent="0.25">
      <c r="D140" s="1"/>
      <c r="E140" s="1"/>
      <c r="F140" s="1"/>
      <c r="G140" s="1"/>
      <c r="J140" s="1"/>
    </row>
    <row r="141" spans="4:10" x14ac:dyDescent="0.25">
      <c r="D141" s="1"/>
      <c r="E141" s="1"/>
      <c r="F141" s="1"/>
      <c r="G141" s="1"/>
      <c r="J141" s="1"/>
    </row>
    <row r="142" spans="4:10" x14ac:dyDescent="0.25">
      <c r="D142" s="1"/>
      <c r="E142" s="1"/>
      <c r="F142" s="1"/>
      <c r="G142" s="1"/>
      <c r="J142" s="1"/>
    </row>
    <row r="143" spans="4:10" x14ac:dyDescent="0.25">
      <c r="D143" s="1"/>
      <c r="E143" s="1"/>
      <c r="F143" s="1"/>
      <c r="G143" s="1"/>
      <c r="J143" s="1"/>
    </row>
    <row r="144" spans="4:10" x14ac:dyDescent="0.25">
      <c r="D144" s="1"/>
      <c r="E144" s="1"/>
      <c r="F144" s="1"/>
      <c r="G144" s="1"/>
      <c r="J144" s="1"/>
    </row>
    <row r="145" spans="4:10" x14ac:dyDescent="0.25">
      <c r="D145" s="1"/>
      <c r="E145" s="1"/>
      <c r="F145" s="1"/>
      <c r="G145" s="1"/>
      <c r="J145" s="1"/>
    </row>
    <row r="146" spans="4:10" x14ac:dyDescent="0.25">
      <c r="D146" s="1"/>
      <c r="E146" s="1"/>
      <c r="F146" s="1"/>
      <c r="G146" s="1"/>
      <c r="J146" s="1"/>
    </row>
    <row r="147" spans="4:10" x14ac:dyDescent="0.25">
      <c r="D147" s="1"/>
      <c r="E147" s="1"/>
      <c r="F147" s="1"/>
      <c r="G147" s="1"/>
      <c r="J147" s="1"/>
    </row>
    <row r="148" spans="4:10" x14ac:dyDescent="0.25">
      <c r="D148" s="1"/>
      <c r="E148" s="1"/>
      <c r="F148" s="1"/>
      <c r="G148" s="1"/>
      <c r="J148" s="1"/>
    </row>
    <row r="149" spans="4:10" x14ac:dyDescent="0.25">
      <c r="D149" s="1"/>
      <c r="E149" s="1"/>
      <c r="F149" s="1"/>
      <c r="G149" s="1"/>
      <c r="J149" s="1"/>
    </row>
    <row r="150" spans="4:10" x14ac:dyDescent="0.25">
      <c r="D150" s="1"/>
      <c r="E150" s="1"/>
      <c r="F150" s="1"/>
      <c r="G150" s="1"/>
      <c r="J150" s="1"/>
    </row>
    <row r="151" spans="4:10" x14ac:dyDescent="0.25">
      <c r="D151" s="1"/>
      <c r="E151" s="1"/>
      <c r="F151" s="1"/>
      <c r="G151" s="1"/>
      <c r="J151" s="1"/>
    </row>
    <row r="152" spans="4:10" x14ac:dyDescent="0.25">
      <c r="D152" s="1"/>
      <c r="E152" s="1"/>
      <c r="F152" s="1"/>
      <c r="G152" s="1"/>
      <c r="J152" s="1"/>
    </row>
    <row r="153" spans="4:10" x14ac:dyDescent="0.25">
      <c r="D153" s="1"/>
      <c r="E153" s="1"/>
      <c r="F153" s="1"/>
      <c r="G153" s="1"/>
      <c r="J153" s="1"/>
    </row>
    <row r="154" spans="4:10" x14ac:dyDescent="0.25">
      <c r="D154" s="1"/>
      <c r="E154" s="1"/>
      <c r="F154" s="1"/>
      <c r="G154" s="1"/>
      <c r="J154" s="1"/>
    </row>
    <row r="155" spans="4:10" x14ac:dyDescent="0.25">
      <c r="D155" s="1"/>
      <c r="E155" s="1"/>
      <c r="F155" s="1"/>
      <c r="G155" s="1"/>
      <c r="J155" s="1"/>
    </row>
    <row r="156" spans="4:10" x14ac:dyDescent="0.25">
      <c r="D156" s="1"/>
      <c r="E156" s="1"/>
      <c r="F156" s="1"/>
      <c r="G156" s="1"/>
      <c r="J156" s="1"/>
    </row>
    <row r="157" spans="4:10" x14ac:dyDescent="0.25">
      <c r="D157" s="1"/>
      <c r="E157" s="1"/>
      <c r="F157" s="1"/>
      <c r="G157" s="1"/>
      <c r="J157" s="1"/>
    </row>
    <row r="158" spans="4:10" x14ac:dyDescent="0.25">
      <c r="D158" s="1"/>
      <c r="E158" s="1"/>
      <c r="F158" s="1"/>
      <c r="G158" s="1"/>
      <c r="J158" s="1"/>
    </row>
    <row r="159" spans="4:10" x14ac:dyDescent="0.25">
      <c r="D159" s="1"/>
      <c r="E159" s="1"/>
      <c r="F159" s="1"/>
      <c r="G159" s="1"/>
      <c r="J159" s="1"/>
    </row>
    <row r="160" spans="4:10" x14ac:dyDescent="0.25">
      <c r="D160" s="1"/>
      <c r="E160" s="1"/>
      <c r="F160" s="1"/>
      <c r="G160" s="1"/>
      <c r="J160" s="1"/>
    </row>
    <row r="161" spans="4:10" x14ac:dyDescent="0.25">
      <c r="D161" s="1"/>
      <c r="E161" s="1"/>
      <c r="F161" s="1"/>
      <c r="G161" s="1"/>
      <c r="J161" s="1"/>
    </row>
    <row r="162" spans="4:10" x14ac:dyDescent="0.25">
      <c r="D162" s="1"/>
      <c r="E162" s="1"/>
      <c r="F162" s="1"/>
      <c r="G162" s="1"/>
      <c r="J162" s="1"/>
    </row>
  </sheetData>
  <printOptions horizontalCentered="1"/>
  <pageMargins left="0.59055118110236227" right="0.43307086614173229" top="0" bottom="0" header="0.31496062992125984" footer="0.31496062992125984"/>
  <pageSetup paperSize="9" scale="63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2">
    <pageSetUpPr fitToPage="1"/>
  </sheetPr>
  <dimension ref="B1:L113"/>
  <sheetViews>
    <sheetView zoomScale="85" zoomScaleNormal="85" workbookViewId="0">
      <pane ySplit="3" topLeftCell="A4" activePane="bottomLeft" state="frozen"/>
      <selection pane="bottomLeft" activeCell="B1" sqref="B1"/>
    </sheetView>
  </sheetViews>
  <sheetFormatPr baseColWidth="10" defaultRowHeight="15" x14ac:dyDescent="0.25"/>
  <cols>
    <col min="1" max="1" width="2" customWidth="1"/>
    <col min="2" max="2" width="14.42578125" customWidth="1"/>
    <col min="3" max="3" width="84.5703125" customWidth="1"/>
    <col min="4" max="10" width="13" customWidth="1"/>
    <col min="11" max="11" width="12.85546875" customWidth="1"/>
  </cols>
  <sheetData>
    <row r="1" spans="2:11" ht="19.5" thickBot="1" x14ac:dyDescent="0.35">
      <c r="B1" s="44"/>
      <c r="C1" s="8" t="s">
        <v>20</v>
      </c>
      <c r="D1" s="7"/>
      <c r="E1" s="7"/>
      <c r="F1" s="7"/>
      <c r="G1" s="7"/>
      <c r="H1" s="7"/>
      <c r="I1" s="7"/>
      <c r="J1" s="7"/>
      <c r="K1" s="7"/>
    </row>
    <row r="2" spans="2:11" ht="18.75" x14ac:dyDescent="0.3">
      <c r="B2" s="9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1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1">
        <v>43981</v>
      </c>
      <c r="C4" s="14" t="s">
        <v>15</v>
      </c>
      <c r="D4" s="15"/>
      <c r="E4" s="16"/>
      <c r="F4" s="16"/>
      <c r="G4" s="16"/>
      <c r="H4" s="17"/>
      <c r="I4" s="18"/>
      <c r="J4" s="72">
        <v>18759.3</v>
      </c>
      <c r="K4" s="72">
        <v>19727.830000000002</v>
      </c>
    </row>
    <row r="5" spans="2:11" ht="18.75" x14ac:dyDescent="0.3">
      <c r="B5" s="13">
        <v>43983</v>
      </c>
      <c r="C5" s="45" t="s">
        <v>452</v>
      </c>
      <c r="D5" s="15"/>
      <c r="E5" s="16"/>
      <c r="F5" s="16"/>
      <c r="G5" s="16"/>
      <c r="H5" s="17">
        <v>174.9</v>
      </c>
      <c r="I5" s="18"/>
      <c r="J5" s="23">
        <f t="shared" ref="J5:J46" si="0">+J4+E5-G5</f>
        <v>18759.3</v>
      </c>
      <c r="K5" s="23">
        <f t="shared" ref="K5:K46" si="1">+K4+D5-H5</f>
        <v>19552.93</v>
      </c>
    </row>
    <row r="6" spans="2:11" ht="18.75" x14ac:dyDescent="0.3">
      <c r="B6" s="13">
        <v>43983</v>
      </c>
      <c r="C6" s="20" t="s">
        <v>453</v>
      </c>
      <c r="D6" s="37"/>
      <c r="E6" s="21"/>
      <c r="F6" s="21"/>
      <c r="G6" s="21"/>
      <c r="H6" s="21">
        <v>92.44</v>
      </c>
      <c r="I6" s="22"/>
      <c r="J6" s="23">
        <f t="shared" si="0"/>
        <v>18759.3</v>
      </c>
      <c r="K6" s="23">
        <f t="shared" si="1"/>
        <v>19460.490000000002</v>
      </c>
    </row>
    <row r="7" spans="2:11" ht="18.75" x14ac:dyDescent="0.3">
      <c r="B7" s="25">
        <v>43985</v>
      </c>
      <c r="C7" s="24" t="s">
        <v>454</v>
      </c>
      <c r="D7" s="37"/>
      <c r="E7" s="21"/>
      <c r="F7" s="21"/>
      <c r="G7" s="21"/>
      <c r="H7" s="21">
        <v>149</v>
      </c>
      <c r="I7" s="22"/>
      <c r="J7" s="23">
        <f t="shared" si="0"/>
        <v>18759.3</v>
      </c>
      <c r="K7" s="23">
        <f t="shared" si="1"/>
        <v>19311.490000000002</v>
      </c>
    </row>
    <row r="8" spans="2:11" ht="18.75" x14ac:dyDescent="0.3">
      <c r="B8" s="25">
        <v>43985</v>
      </c>
      <c r="C8" s="46" t="s">
        <v>455</v>
      </c>
      <c r="D8" s="37"/>
      <c r="E8" s="21"/>
      <c r="F8" s="21"/>
      <c r="G8" s="21"/>
      <c r="H8" s="21">
        <v>106</v>
      </c>
      <c r="I8" s="22"/>
      <c r="J8" s="23">
        <f t="shared" si="0"/>
        <v>18759.3</v>
      </c>
      <c r="K8" s="23">
        <f t="shared" si="1"/>
        <v>19205.490000000002</v>
      </c>
    </row>
    <row r="9" spans="2:11" ht="18.75" x14ac:dyDescent="0.3">
      <c r="B9" s="25">
        <v>43985</v>
      </c>
      <c r="C9" s="24" t="s">
        <v>456</v>
      </c>
      <c r="D9" s="37"/>
      <c r="E9" s="21"/>
      <c r="F9" s="21"/>
      <c r="G9" s="21"/>
      <c r="H9" s="21">
        <v>26.04</v>
      </c>
      <c r="I9" s="22"/>
      <c r="J9" s="23">
        <f t="shared" si="0"/>
        <v>18759.3</v>
      </c>
      <c r="K9" s="23">
        <f t="shared" si="1"/>
        <v>19179.45</v>
      </c>
    </row>
    <row r="10" spans="2:11" ht="18.75" x14ac:dyDescent="0.3">
      <c r="B10" s="25">
        <v>43987</v>
      </c>
      <c r="C10" s="24" t="s">
        <v>457</v>
      </c>
      <c r="D10" s="37"/>
      <c r="E10" s="21"/>
      <c r="F10" s="21"/>
      <c r="G10" s="21"/>
      <c r="H10" s="21">
        <v>2800</v>
      </c>
      <c r="I10" s="22"/>
      <c r="J10" s="23">
        <f t="shared" si="0"/>
        <v>18759.3</v>
      </c>
      <c r="K10" s="23">
        <f t="shared" si="1"/>
        <v>16379.45</v>
      </c>
    </row>
    <row r="11" spans="2:11" ht="18.75" x14ac:dyDescent="0.3">
      <c r="B11" s="25">
        <v>43987</v>
      </c>
      <c r="C11" s="58" t="s">
        <v>374</v>
      </c>
      <c r="D11" s="37"/>
      <c r="E11" s="21"/>
      <c r="F11" s="21"/>
      <c r="G11" s="21"/>
      <c r="H11" s="21">
        <v>300</v>
      </c>
      <c r="I11" s="22"/>
      <c r="J11" s="23">
        <f t="shared" si="0"/>
        <v>18759.3</v>
      </c>
      <c r="K11" s="23">
        <f t="shared" si="1"/>
        <v>16079.45</v>
      </c>
    </row>
    <row r="12" spans="2:11" ht="18.75" x14ac:dyDescent="0.3">
      <c r="B12" s="25">
        <v>43987</v>
      </c>
      <c r="C12" s="27" t="s">
        <v>458</v>
      </c>
      <c r="D12" s="37"/>
      <c r="E12" s="21"/>
      <c r="F12" s="21"/>
      <c r="G12" s="21"/>
      <c r="H12" s="21">
        <v>495.26</v>
      </c>
      <c r="I12" s="22"/>
      <c r="J12" s="23">
        <f t="shared" si="0"/>
        <v>18759.3</v>
      </c>
      <c r="K12" s="23">
        <f t="shared" si="1"/>
        <v>15584.19</v>
      </c>
    </row>
    <row r="13" spans="2:11" ht="18.75" x14ac:dyDescent="0.3">
      <c r="B13" s="25">
        <v>43989</v>
      </c>
      <c r="C13" s="45" t="s">
        <v>280</v>
      </c>
      <c r="D13" s="37">
        <v>41800</v>
      </c>
      <c r="E13" s="21"/>
      <c r="F13" s="21"/>
      <c r="G13" s="21"/>
      <c r="H13" s="21"/>
      <c r="I13" s="22"/>
      <c r="J13" s="23">
        <f t="shared" si="0"/>
        <v>18759.3</v>
      </c>
      <c r="K13" s="23">
        <f t="shared" si="1"/>
        <v>57384.19</v>
      </c>
    </row>
    <row r="14" spans="2:11" ht="18.75" x14ac:dyDescent="0.3">
      <c r="B14" s="25">
        <v>43983</v>
      </c>
      <c r="C14" s="24" t="s">
        <v>435</v>
      </c>
      <c r="D14" s="37"/>
      <c r="E14" s="21">
        <v>500.95</v>
      </c>
      <c r="F14" s="21"/>
      <c r="G14" s="21"/>
      <c r="H14" s="21"/>
      <c r="I14" s="22"/>
      <c r="J14" s="23">
        <f t="shared" si="0"/>
        <v>19260.25</v>
      </c>
      <c r="K14" s="23">
        <f t="shared" si="1"/>
        <v>57384.19</v>
      </c>
    </row>
    <row r="15" spans="2:11" ht="18.75" x14ac:dyDescent="0.3">
      <c r="B15" s="25">
        <v>43983</v>
      </c>
      <c r="C15" s="24" t="s">
        <v>437</v>
      </c>
      <c r="D15" s="37"/>
      <c r="E15" s="21">
        <v>500.68</v>
      </c>
      <c r="F15" s="21"/>
      <c r="G15" s="21"/>
      <c r="H15" s="21"/>
      <c r="I15" s="22"/>
      <c r="J15" s="23">
        <f t="shared" si="0"/>
        <v>19760.93</v>
      </c>
      <c r="K15" s="23">
        <f t="shared" si="1"/>
        <v>57384.19</v>
      </c>
    </row>
    <row r="16" spans="2:11" ht="18.75" x14ac:dyDescent="0.3">
      <c r="B16" s="25">
        <v>43983</v>
      </c>
      <c r="C16" s="24" t="s">
        <v>436</v>
      </c>
      <c r="D16" s="37"/>
      <c r="E16" s="21">
        <v>250.62</v>
      </c>
      <c r="F16" s="21"/>
      <c r="G16" s="21"/>
      <c r="H16" s="21"/>
      <c r="I16" s="22"/>
      <c r="J16" s="23">
        <f t="shared" si="0"/>
        <v>20011.55</v>
      </c>
      <c r="K16" s="23">
        <f t="shared" si="1"/>
        <v>57384.19</v>
      </c>
    </row>
    <row r="17" spans="2:11" ht="18.75" x14ac:dyDescent="0.3">
      <c r="B17" s="25">
        <v>43983</v>
      </c>
      <c r="C17" s="24" t="s">
        <v>438</v>
      </c>
      <c r="D17" s="37"/>
      <c r="E17" s="21">
        <v>500.11</v>
      </c>
      <c r="F17" s="21"/>
      <c r="G17" s="21"/>
      <c r="H17" s="21"/>
      <c r="I17" s="22"/>
      <c r="J17" s="23">
        <f t="shared" si="0"/>
        <v>20511.66</v>
      </c>
      <c r="K17" s="23">
        <f t="shared" si="1"/>
        <v>57384.19</v>
      </c>
    </row>
    <row r="18" spans="2:11" ht="18.75" x14ac:dyDescent="0.3">
      <c r="B18" s="25">
        <v>43984</v>
      </c>
      <c r="C18" s="24" t="s">
        <v>439</v>
      </c>
      <c r="D18" s="37"/>
      <c r="E18" s="21">
        <v>500.46</v>
      </c>
      <c r="F18" s="21"/>
      <c r="G18" s="21"/>
      <c r="H18" s="21"/>
      <c r="I18" s="22"/>
      <c r="J18" s="23">
        <f t="shared" si="0"/>
        <v>21012.12</v>
      </c>
      <c r="K18" s="23">
        <f t="shared" si="1"/>
        <v>57384.19</v>
      </c>
    </row>
    <row r="19" spans="2:11" ht="18.75" x14ac:dyDescent="0.3">
      <c r="B19" s="25">
        <v>43985</v>
      </c>
      <c r="C19" s="24" t="s">
        <v>440</v>
      </c>
      <c r="D19" s="37"/>
      <c r="E19" s="21">
        <v>500.95</v>
      </c>
      <c r="F19" s="21"/>
      <c r="G19" s="21"/>
      <c r="H19" s="21"/>
      <c r="I19" s="22"/>
      <c r="J19" s="23">
        <f t="shared" si="0"/>
        <v>21513.07</v>
      </c>
      <c r="K19" s="23">
        <f t="shared" si="1"/>
        <v>57384.19</v>
      </c>
    </row>
    <row r="20" spans="2:11" ht="18.75" x14ac:dyDescent="0.3">
      <c r="B20" s="25">
        <v>43985</v>
      </c>
      <c r="C20" s="24" t="s">
        <v>441</v>
      </c>
      <c r="D20" s="37"/>
      <c r="E20" s="21">
        <v>500.29</v>
      </c>
      <c r="F20" s="21"/>
      <c r="G20" s="21"/>
      <c r="H20" s="21"/>
      <c r="I20" s="22"/>
      <c r="J20" s="23">
        <f t="shared" si="0"/>
        <v>22013.360000000001</v>
      </c>
      <c r="K20" s="23">
        <f t="shared" si="1"/>
        <v>57384.19</v>
      </c>
    </row>
    <row r="21" spans="2:11" ht="18.75" x14ac:dyDescent="0.3">
      <c r="B21" s="25">
        <v>43986</v>
      </c>
      <c r="C21" s="24" t="s">
        <v>442</v>
      </c>
      <c r="D21" s="37"/>
      <c r="E21" s="21">
        <v>1000</v>
      </c>
      <c r="F21" s="21"/>
      <c r="G21" s="21"/>
      <c r="H21" s="21"/>
      <c r="I21" s="22"/>
      <c r="J21" s="23">
        <f t="shared" si="0"/>
        <v>23013.360000000001</v>
      </c>
      <c r="K21" s="23">
        <f t="shared" si="1"/>
        <v>57384.19</v>
      </c>
    </row>
    <row r="22" spans="2:11" ht="18.75" x14ac:dyDescent="0.3">
      <c r="B22" s="25">
        <v>43987</v>
      </c>
      <c r="C22" s="24" t="s">
        <v>490</v>
      </c>
      <c r="D22" s="37"/>
      <c r="E22" s="21"/>
      <c r="F22" s="21"/>
      <c r="G22" s="21"/>
      <c r="H22" s="21">
        <v>200</v>
      </c>
      <c r="I22" s="22"/>
      <c r="J22" s="23">
        <f t="shared" si="0"/>
        <v>23013.360000000001</v>
      </c>
      <c r="K22" s="23">
        <f t="shared" si="1"/>
        <v>57184.19</v>
      </c>
    </row>
    <row r="23" spans="2:11" ht="18.75" x14ac:dyDescent="0.3">
      <c r="B23" s="25">
        <v>43989</v>
      </c>
      <c r="C23" s="24" t="s">
        <v>460</v>
      </c>
      <c r="D23" s="37"/>
      <c r="E23" s="21"/>
      <c r="F23" s="21"/>
      <c r="G23" s="21"/>
      <c r="H23" s="21">
        <v>160</v>
      </c>
      <c r="I23" s="22"/>
      <c r="J23" s="23">
        <f t="shared" si="0"/>
        <v>23013.360000000001</v>
      </c>
      <c r="K23" s="23">
        <f t="shared" si="1"/>
        <v>57024.19</v>
      </c>
    </row>
    <row r="24" spans="2:11" ht="18.75" x14ac:dyDescent="0.3">
      <c r="B24" s="25">
        <v>43989</v>
      </c>
      <c r="C24" s="58" t="s">
        <v>459</v>
      </c>
      <c r="D24" s="37"/>
      <c r="E24" s="21"/>
      <c r="F24" s="21"/>
      <c r="G24" s="21"/>
      <c r="H24" s="21">
        <v>100</v>
      </c>
      <c r="I24" s="22"/>
      <c r="J24" s="23">
        <f t="shared" si="0"/>
        <v>23013.360000000001</v>
      </c>
      <c r="K24" s="23">
        <f t="shared" si="1"/>
        <v>56924.19</v>
      </c>
    </row>
    <row r="25" spans="2:11" ht="18.75" x14ac:dyDescent="0.3">
      <c r="B25" s="25">
        <v>43989</v>
      </c>
      <c r="C25" s="24" t="s">
        <v>373</v>
      </c>
      <c r="D25" s="37"/>
      <c r="E25" s="21"/>
      <c r="F25" s="21"/>
      <c r="G25" s="21"/>
      <c r="H25" s="21">
        <v>65</v>
      </c>
      <c r="I25" s="22"/>
      <c r="J25" s="23">
        <f t="shared" si="0"/>
        <v>23013.360000000001</v>
      </c>
      <c r="K25" s="23">
        <f t="shared" si="1"/>
        <v>56859.19</v>
      </c>
    </row>
    <row r="26" spans="2:11" ht="18.75" x14ac:dyDescent="0.3">
      <c r="B26" s="25">
        <v>43989</v>
      </c>
      <c r="C26" s="24" t="s">
        <v>495</v>
      </c>
      <c r="D26" s="37"/>
      <c r="E26" s="21"/>
      <c r="F26" s="21"/>
      <c r="G26" s="21"/>
      <c r="H26" s="21">
        <v>150</v>
      </c>
      <c r="I26" s="22"/>
      <c r="J26" s="23">
        <f t="shared" si="0"/>
        <v>23013.360000000001</v>
      </c>
      <c r="K26" s="23">
        <f t="shared" si="1"/>
        <v>56709.19</v>
      </c>
    </row>
    <row r="27" spans="2:11" ht="18.75" x14ac:dyDescent="0.3">
      <c r="B27" s="51">
        <v>43990</v>
      </c>
      <c r="C27" s="24" t="s">
        <v>461</v>
      </c>
      <c r="D27" s="37"/>
      <c r="E27" s="37"/>
      <c r="F27" s="21"/>
      <c r="G27" s="21"/>
      <c r="H27" s="21">
        <v>250</v>
      </c>
      <c r="I27" s="22"/>
      <c r="J27" s="23">
        <f t="shared" si="0"/>
        <v>23013.360000000001</v>
      </c>
      <c r="K27" s="23">
        <f t="shared" si="1"/>
        <v>56459.19</v>
      </c>
    </row>
    <row r="28" spans="2:11" ht="18.75" x14ac:dyDescent="0.3">
      <c r="B28" s="49">
        <v>43990</v>
      </c>
      <c r="C28" s="36" t="s">
        <v>496</v>
      </c>
      <c r="D28" s="37"/>
      <c r="E28" s="37"/>
      <c r="F28" s="37"/>
      <c r="G28" s="21"/>
      <c r="H28" s="21">
        <v>200</v>
      </c>
      <c r="I28" s="22"/>
      <c r="J28" s="23">
        <f t="shared" si="0"/>
        <v>23013.360000000001</v>
      </c>
      <c r="K28" s="23">
        <f t="shared" si="1"/>
        <v>56259.19</v>
      </c>
    </row>
    <row r="29" spans="2:11" ht="18.75" x14ac:dyDescent="0.3">
      <c r="B29" s="47">
        <v>40338</v>
      </c>
      <c r="C29" s="36" t="s">
        <v>462</v>
      </c>
      <c r="D29" s="37"/>
      <c r="E29" s="37"/>
      <c r="F29" s="37"/>
      <c r="G29" s="37"/>
      <c r="H29" s="21">
        <v>201.01</v>
      </c>
      <c r="I29" s="22"/>
      <c r="J29" s="23">
        <f t="shared" si="0"/>
        <v>23013.360000000001</v>
      </c>
      <c r="K29" s="23">
        <f t="shared" si="1"/>
        <v>56058.18</v>
      </c>
    </row>
    <row r="30" spans="2:11" ht="18.75" x14ac:dyDescent="0.3">
      <c r="B30" s="47">
        <v>43991</v>
      </c>
      <c r="C30" s="36" t="s">
        <v>463</v>
      </c>
      <c r="D30" s="37"/>
      <c r="E30" s="21"/>
      <c r="F30" s="21"/>
      <c r="G30" s="21"/>
      <c r="H30" s="21">
        <v>450.89</v>
      </c>
      <c r="I30" s="22"/>
      <c r="J30" s="23">
        <f t="shared" si="0"/>
        <v>23013.360000000001</v>
      </c>
      <c r="K30" s="23">
        <f t="shared" si="1"/>
        <v>55607.29</v>
      </c>
    </row>
    <row r="31" spans="2:11" ht="18.75" x14ac:dyDescent="0.3">
      <c r="B31" s="47">
        <v>43991</v>
      </c>
      <c r="C31" s="36" t="s">
        <v>464</v>
      </c>
      <c r="D31" s="37"/>
      <c r="E31" s="21"/>
      <c r="F31" s="21"/>
      <c r="G31" s="21"/>
      <c r="H31" s="21">
        <v>50</v>
      </c>
      <c r="I31" s="22"/>
      <c r="J31" s="23">
        <f t="shared" si="0"/>
        <v>23013.360000000001</v>
      </c>
      <c r="K31" s="23">
        <f t="shared" si="1"/>
        <v>55557.29</v>
      </c>
    </row>
    <row r="32" spans="2:11" ht="18.75" x14ac:dyDescent="0.3">
      <c r="B32" s="47">
        <v>43992</v>
      </c>
      <c r="C32" s="36" t="s">
        <v>497</v>
      </c>
      <c r="D32" s="37"/>
      <c r="E32" s="21"/>
      <c r="F32" s="21"/>
      <c r="G32" s="21"/>
      <c r="H32" s="21">
        <v>500</v>
      </c>
      <c r="I32" s="22"/>
      <c r="J32" s="23">
        <f t="shared" si="0"/>
        <v>23013.360000000001</v>
      </c>
      <c r="K32" s="23">
        <f t="shared" si="1"/>
        <v>55057.29</v>
      </c>
    </row>
    <row r="33" spans="2:11" ht="18.75" x14ac:dyDescent="0.3">
      <c r="B33" s="47">
        <v>43994</v>
      </c>
      <c r="C33" s="36" t="s">
        <v>465</v>
      </c>
      <c r="D33" s="37"/>
      <c r="E33" s="21"/>
      <c r="F33" s="21"/>
      <c r="G33" s="21"/>
      <c r="H33" s="21">
        <v>300</v>
      </c>
      <c r="I33" s="22"/>
      <c r="J33" s="23">
        <f t="shared" si="0"/>
        <v>23013.360000000001</v>
      </c>
      <c r="K33" s="23">
        <f t="shared" si="1"/>
        <v>54757.29</v>
      </c>
    </row>
    <row r="34" spans="2:11" ht="18.75" x14ac:dyDescent="0.3">
      <c r="B34" s="54">
        <v>43994</v>
      </c>
      <c r="C34" s="58" t="s">
        <v>491</v>
      </c>
      <c r="D34" s="37"/>
      <c r="E34" s="21"/>
      <c r="F34" s="21"/>
      <c r="G34" s="21"/>
      <c r="H34" s="21">
        <v>43.19</v>
      </c>
      <c r="I34" s="22"/>
      <c r="J34" s="23">
        <f t="shared" si="0"/>
        <v>23013.360000000001</v>
      </c>
      <c r="K34" s="23">
        <f t="shared" si="1"/>
        <v>54714.1</v>
      </c>
    </row>
    <row r="35" spans="2:11" ht="18.75" x14ac:dyDescent="0.3">
      <c r="B35" s="47">
        <v>43994</v>
      </c>
      <c r="C35" s="36" t="s">
        <v>466</v>
      </c>
      <c r="D35" s="37"/>
      <c r="E35" s="21"/>
      <c r="F35" s="21"/>
      <c r="G35" s="21"/>
      <c r="H35" s="21">
        <v>120</v>
      </c>
      <c r="I35" s="22"/>
      <c r="J35" s="23">
        <f t="shared" si="0"/>
        <v>23013.360000000001</v>
      </c>
      <c r="K35" s="23">
        <f t="shared" si="1"/>
        <v>54594.1</v>
      </c>
    </row>
    <row r="36" spans="2:11" ht="18.75" x14ac:dyDescent="0.3">
      <c r="B36" s="47">
        <v>43994</v>
      </c>
      <c r="C36" s="24" t="s">
        <v>451</v>
      </c>
      <c r="D36" s="37"/>
      <c r="E36" s="21"/>
      <c r="F36" s="21"/>
      <c r="G36" s="21"/>
      <c r="H36" s="21">
        <v>778</v>
      </c>
      <c r="I36" s="22"/>
      <c r="J36" s="23">
        <f t="shared" si="0"/>
        <v>23013.360000000001</v>
      </c>
      <c r="K36" s="23">
        <f t="shared" si="1"/>
        <v>53816.1</v>
      </c>
    </row>
    <row r="37" spans="2:11" ht="18.75" x14ac:dyDescent="0.3">
      <c r="B37" s="51">
        <v>43994</v>
      </c>
      <c r="C37" s="36" t="s">
        <v>467</v>
      </c>
      <c r="D37" s="37"/>
      <c r="E37" s="21"/>
      <c r="F37" s="21"/>
      <c r="G37" s="21"/>
      <c r="H37" s="21">
        <v>400</v>
      </c>
      <c r="I37" s="22"/>
      <c r="J37" s="23">
        <f t="shared" si="0"/>
        <v>23013.360000000001</v>
      </c>
      <c r="K37" s="23">
        <f t="shared" si="1"/>
        <v>53416.1</v>
      </c>
    </row>
    <row r="38" spans="2:11" ht="18.75" x14ac:dyDescent="0.3">
      <c r="B38" s="49">
        <v>43995</v>
      </c>
      <c r="C38" s="36" t="s">
        <v>452</v>
      </c>
      <c r="D38" s="37"/>
      <c r="E38" s="21"/>
      <c r="F38" s="21"/>
      <c r="G38" s="21"/>
      <c r="H38" s="21">
        <v>179.9</v>
      </c>
      <c r="I38" s="22"/>
      <c r="J38" s="23">
        <f t="shared" si="0"/>
        <v>23013.360000000001</v>
      </c>
      <c r="K38" s="23">
        <f t="shared" si="1"/>
        <v>53236.2</v>
      </c>
    </row>
    <row r="39" spans="2:11" ht="18.75" x14ac:dyDescent="0.3">
      <c r="B39" s="47">
        <v>43996</v>
      </c>
      <c r="C39" s="36" t="s">
        <v>468</v>
      </c>
      <c r="D39" s="37"/>
      <c r="E39" s="21"/>
      <c r="F39" s="21"/>
      <c r="G39" s="21"/>
      <c r="H39" s="21">
        <v>1000</v>
      </c>
      <c r="I39" s="22"/>
      <c r="J39" s="23">
        <f t="shared" si="0"/>
        <v>23013.360000000001</v>
      </c>
      <c r="K39" s="23">
        <f t="shared" si="1"/>
        <v>52236.2</v>
      </c>
    </row>
    <row r="40" spans="2:11" ht="18.75" x14ac:dyDescent="0.3">
      <c r="B40" s="50">
        <v>43996</v>
      </c>
      <c r="C40" s="35" t="s">
        <v>469</v>
      </c>
      <c r="D40" s="37"/>
      <c r="E40" s="21"/>
      <c r="F40" s="21"/>
      <c r="G40" s="21"/>
      <c r="H40" s="21">
        <v>100</v>
      </c>
      <c r="I40" s="22"/>
      <c r="J40" s="23">
        <f t="shared" si="0"/>
        <v>23013.360000000001</v>
      </c>
      <c r="K40" s="23">
        <f t="shared" si="1"/>
        <v>52136.2</v>
      </c>
    </row>
    <row r="41" spans="2:11" ht="18.75" x14ac:dyDescent="0.3">
      <c r="B41" s="47">
        <v>43996</v>
      </c>
      <c r="C41" s="36" t="s">
        <v>434</v>
      </c>
      <c r="D41" s="37">
        <v>22450</v>
      </c>
      <c r="E41" s="21"/>
      <c r="F41" s="21"/>
      <c r="G41" s="21"/>
      <c r="H41" s="21"/>
      <c r="I41" s="22"/>
      <c r="J41" s="23">
        <f t="shared" si="0"/>
        <v>23013.360000000001</v>
      </c>
      <c r="K41" s="23">
        <f t="shared" si="1"/>
        <v>74586.2</v>
      </c>
    </row>
    <row r="42" spans="2:11" ht="18.75" x14ac:dyDescent="0.3">
      <c r="B42" s="87">
        <v>43996</v>
      </c>
      <c r="C42" s="35" t="s">
        <v>443</v>
      </c>
      <c r="D42" s="37"/>
      <c r="E42" s="21">
        <v>1000.76</v>
      </c>
      <c r="F42" s="21"/>
      <c r="G42" s="21"/>
      <c r="H42" s="21"/>
      <c r="I42" s="22"/>
      <c r="J42" s="23">
        <f t="shared" si="0"/>
        <v>24014.12</v>
      </c>
      <c r="K42" s="23">
        <f t="shared" si="1"/>
        <v>74586.2</v>
      </c>
    </row>
    <row r="43" spans="2:11" ht="18.75" x14ac:dyDescent="0.3">
      <c r="B43" s="47">
        <v>43997</v>
      </c>
      <c r="C43" s="36" t="s">
        <v>353</v>
      </c>
      <c r="D43" s="37"/>
      <c r="E43" s="21"/>
      <c r="F43" s="21"/>
      <c r="G43" s="21"/>
      <c r="H43" s="21">
        <v>2100</v>
      </c>
      <c r="I43" s="22"/>
      <c r="J43" s="23">
        <f t="shared" si="0"/>
        <v>24014.12</v>
      </c>
      <c r="K43" s="23">
        <f t="shared" si="1"/>
        <v>72486.2</v>
      </c>
    </row>
    <row r="44" spans="2:11" ht="18.75" x14ac:dyDescent="0.3">
      <c r="B44" s="47">
        <v>43997</v>
      </c>
      <c r="C44" s="24" t="s">
        <v>470</v>
      </c>
      <c r="D44" s="37"/>
      <c r="E44" s="21"/>
      <c r="F44" s="21"/>
      <c r="G44" s="21"/>
      <c r="H44" s="21">
        <v>1000</v>
      </c>
      <c r="I44" s="22"/>
      <c r="J44" s="23">
        <f t="shared" si="0"/>
        <v>24014.12</v>
      </c>
      <c r="K44" s="23">
        <f t="shared" si="1"/>
        <v>71486.2</v>
      </c>
    </row>
    <row r="45" spans="2:11" ht="18.75" x14ac:dyDescent="0.3">
      <c r="B45" s="47">
        <v>43997</v>
      </c>
      <c r="C45" s="36" t="s">
        <v>422</v>
      </c>
      <c r="D45" s="37"/>
      <c r="E45" s="21"/>
      <c r="F45" s="21"/>
      <c r="G45" s="21"/>
      <c r="H45" s="21">
        <v>1700</v>
      </c>
      <c r="I45" s="22"/>
      <c r="J45" s="23">
        <f t="shared" si="0"/>
        <v>24014.12</v>
      </c>
      <c r="K45" s="23">
        <f t="shared" si="1"/>
        <v>69786.2</v>
      </c>
    </row>
    <row r="46" spans="2:11" ht="19.5" thickBot="1" x14ac:dyDescent="0.35">
      <c r="B46" s="47">
        <v>43997</v>
      </c>
      <c r="C46" s="36" t="s">
        <v>151</v>
      </c>
      <c r="D46" s="37"/>
      <c r="E46" s="21"/>
      <c r="F46" s="21"/>
      <c r="G46" s="21"/>
      <c r="H46" s="21">
        <v>6000</v>
      </c>
      <c r="I46" s="22"/>
      <c r="J46" s="23">
        <f t="shared" si="0"/>
        <v>24014.12</v>
      </c>
      <c r="K46" s="23">
        <f t="shared" si="1"/>
        <v>63786.2</v>
      </c>
    </row>
    <row r="47" spans="2:11" ht="19.5" thickBot="1" x14ac:dyDescent="0.35">
      <c r="B47" s="28"/>
      <c r="C47" s="29" t="s">
        <v>0</v>
      </c>
      <c r="D47" s="30">
        <f>SUM(D7:D46)</f>
        <v>64250</v>
      </c>
      <c r="E47" s="31">
        <f>SUM(E4:E46)</f>
        <v>5254.82</v>
      </c>
      <c r="F47" s="32">
        <f>SUM(D47:E47)</f>
        <v>69504.820000000007</v>
      </c>
      <c r="G47" s="33">
        <f>SUM(G7:G46)</f>
        <v>0</v>
      </c>
      <c r="H47" s="30">
        <f>SUM(H4:H46)</f>
        <v>20191.63</v>
      </c>
      <c r="I47" s="32">
        <f>SUM(G47:H47)</f>
        <v>20191.63</v>
      </c>
      <c r="J47" s="23"/>
      <c r="K47" s="23"/>
    </row>
    <row r="48" spans="2:11" ht="18.75" x14ac:dyDescent="0.3">
      <c r="B48" s="9" t="s">
        <v>1</v>
      </c>
      <c r="C48" s="9" t="s">
        <v>2</v>
      </c>
      <c r="D48" s="9" t="s">
        <v>3</v>
      </c>
      <c r="E48" s="9" t="s">
        <v>3</v>
      </c>
      <c r="F48" s="9" t="s">
        <v>8</v>
      </c>
      <c r="G48" s="9" t="s">
        <v>9</v>
      </c>
      <c r="H48" s="10" t="s">
        <v>9</v>
      </c>
      <c r="I48" s="10" t="s">
        <v>8</v>
      </c>
      <c r="J48" s="9" t="s">
        <v>7</v>
      </c>
      <c r="K48" s="10" t="s">
        <v>6</v>
      </c>
    </row>
    <row r="49" spans="2:11" ht="19.5" thickBot="1" x14ac:dyDescent="0.35">
      <c r="B49" s="11"/>
      <c r="C49" s="11"/>
      <c r="D49" s="11" t="s">
        <v>5</v>
      </c>
      <c r="E49" s="11" t="s">
        <v>7</v>
      </c>
      <c r="F49" s="11" t="s">
        <v>3</v>
      </c>
      <c r="G49" s="11" t="s">
        <v>7</v>
      </c>
      <c r="H49" s="12" t="s">
        <v>5</v>
      </c>
      <c r="I49" s="12" t="s">
        <v>4</v>
      </c>
      <c r="J49" s="11"/>
      <c r="K49" s="12"/>
    </row>
    <row r="50" spans="2:11" ht="19.5" thickBot="1" x14ac:dyDescent="0.35">
      <c r="B50" s="28"/>
      <c r="C50" s="29"/>
      <c r="D50" s="30">
        <v>64250</v>
      </c>
      <c r="E50" s="31">
        <v>5254.82</v>
      </c>
      <c r="F50" s="32">
        <f>SUM(D50:E50)</f>
        <v>69504.820000000007</v>
      </c>
      <c r="G50" s="33">
        <v>0</v>
      </c>
      <c r="H50" s="30">
        <v>20191.63</v>
      </c>
      <c r="I50" s="32">
        <f>SUM(G50:H50)</f>
        <v>20191.63</v>
      </c>
      <c r="J50" s="34">
        <v>24014.12</v>
      </c>
      <c r="K50" s="34">
        <v>63786.2</v>
      </c>
    </row>
    <row r="51" spans="2:11" ht="18.75" x14ac:dyDescent="0.3">
      <c r="B51" s="47">
        <v>43997</v>
      </c>
      <c r="C51" s="24" t="s">
        <v>363</v>
      </c>
      <c r="D51" s="21"/>
      <c r="E51" s="26"/>
      <c r="F51" s="21"/>
      <c r="G51" s="21"/>
      <c r="H51" s="21">
        <v>3000</v>
      </c>
      <c r="I51" s="22"/>
      <c r="J51" s="59">
        <f t="shared" ref="J51:J93" si="2">+J50+E51-G51</f>
        <v>24014.12</v>
      </c>
      <c r="K51" s="59">
        <f t="shared" ref="K51:K93" si="3">+K50+D51-H51</f>
        <v>60786.2</v>
      </c>
    </row>
    <row r="52" spans="2:11" ht="18.75" x14ac:dyDescent="0.3">
      <c r="B52" s="47">
        <v>43997</v>
      </c>
      <c r="C52" s="74" t="s">
        <v>449</v>
      </c>
      <c r="D52" s="21"/>
      <c r="E52" s="26"/>
      <c r="F52" s="21"/>
      <c r="G52" s="21">
        <v>1760</v>
      </c>
      <c r="H52" s="21"/>
      <c r="I52" s="22"/>
      <c r="J52" s="23">
        <f t="shared" si="2"/>
        <v>22254.12</v>
      </c>
      <c r="K52" s="23">
        <f t="shared" si="3"/>
        <v>60786.2</v>
      </c>
    </row>
    <row r="53" spans="2:11" ht="18.75" x14ac:dyDescent="0.3">
      <c r="B53" s="47">
        <v>43997</v>
      </c>
      <c r="C53" s="74" t="s">
        <v>450</v>
      </c>
      <c r="D53" s="21"/>
      <c r="E53" s="26"/>
      <c r="F53" s="21"/>
      <c r="G53" s="21">
        <v>1600</v>
      </c>
      <c r="H53" s="21"/>
      <c r="I53" s="22"/>
      <c r="J53" s="23">
        <f t="shared" si="2"/>
        <v>20654.12</v>
      </c>
      <c r="K53" s="23">
        <f t="shared" si="3"/>
        <v>60786.2</v>
      </c>
    </row>
    <row r="54" spans="2:11" ht="18.75" x14ac:dyDescent="0.3">
      <c r="B54" s="47">
        <v>43997</v>
      </c>
      <c r="C54" s="20" t="s">
        <v>404</v>
      </c>
      <c r="D54" s="37"/>
      <c r="E54" s="21"/>
      <c r="F54" s="21"/>
      <c r="G54" s="21">
        <v>10300</v>
      </c>
      <c r="H54" s="21"/>
      <c r="I54" s="22"/>
      <c r="J54" s="23">
        <f t="shared" si="2"/>
        <v>10354.119999999999</v>
      </c>
      <c r="K54" s="23">
        <f t="shared" si="3"/>
        <v>60786.2</v>
      </c>
    </row>
    <row r="55" spans="2:11" ht="18.75" x14ac:dyDescent="0.3">
      <c r="B55" s="47">
        <v>43997</v>
      </c>
      <c r="C55" s="20" t="s">
        <v>251</v>
      </c>
      <c r="D55" s="21"/>
      <c r="E55" s="21"/>
      <c r="F55" s="21"/>
      <c r="G55" s="21"/>
      <c r="H55" s="21">
        <v>28000</v>
      </c>
      <c r="I55" s="22"/>
      <c r="J55" s="23">
        <f t="shared" si="2"/>
        <v>10354.119999999999</v>
      </c>
      <c r="K55" s="23">
        <f t="shared" si="3"/>
        <v>32786.199999999997</v>
      </c>
    </row>
    <row r="56" spans="2:11" ht="18.75" x14ac:dyDescent="0.3">
      <c r="B56" s="47">
        <v>43997</v>
      </c>
      <c r="C56" s="48" t="s">
        <v>299</v>
      </c>
      <c r="D56" s="21"/>
      <c r="E56" s="21"/>
      <c r="F56" s="21"/>
      <c r="G56" s="21"/>
      <c r="H56" s="21">
        <v>4100</v>
      </c>
      <c r="I56" s="22"/>
      <c r="J56" s="23">
        <f t="shared" si="2"/>
        <v>10354.119999999999</v>
      </c>
      <c r="K56" s="23">
        <f t="shared" si="3"/>
        <v>28686.199999999997</v>
      </c>
    </row>
    <row r="57" spans="2:11" ht="18.75" x14ac:dyDescent="0.3">
      <c r="B57" s="47">
        <v>43997</v>
      </c>
      <c r="C57" s="48" t="s">
        <v>471</v>
      </c>
      <c r="D57" s="21"/>
      <c r="E57" s="21"/>
      <c r="F57" s="21"/>
      <c r="G57" s="21"/>
      <c r="H57" s="21">
        <v>200</v>
      </c>
      <c r="I57" s="22"/>
      <c r="J57" s="23">
        <f t="shared" si="2"/>
        <v>10354.119999999999</v>
      </c>
      <c r="K57" s="23">
        <f t="shared" si="3"/>
        <v>28486.199999999997</v>
      </c>
    </row>
    <row r="58" spans="2:11" ht="18.75" x14ac:dyDescent="0.3">
      <c r="B58" s="47">
        <v>44003</v>
      </c>
      <c r="C58" s="24" t="s">
        <v>339</v>
      </c>
      <c r="D58" s="21">
        <v>23600</v>
      </c>
      <c r="E58" s="21"/>
      <c r="F58" s="21"/>
      <c r="G58" s="21"/>
      <c r="H58" s="21"/>
      <c r="I58" s="22"/>
      <c r="J58" s="23">
        <f t="shared" si="2"/>
        <v>10354.119999999999</v>
      </c>
      <c r="K58" s="23">
        <f t="shared" si="3"/>
        <v>52086.2</v>
      </c>
    </row>
    <row r="59" spans="2:11" ht="18.75" x14ac:dyDescent="0.3">
      <c r="B59" s="47">
        <v>43998</v>
      </c>
      <c r="C59" s="48" t="s">
        <v>444</v>
      </c>
      <c r="D59" s="21"/>
      <c r="E59" s="21">
        <v>500.59</v>
      </c>
      <c r="F59" s="21"/>
      <c r="G59" s="21"/>
      <c r="H59" s="21"/>
      <c r="I59" s="22"/>
      <c r="J59" s="23">
        <f t="shared" si="2"/>
        <v>10854.71</v>
      </c>
      <c r="K59" s="23">
        <f t="shared" si="3"/>
        <v>52086.2</v>
      </c>
    </row>
    <row r="60" spans="2:11" ht="18.75" x14ac:dyDescent="0.3">
      <c r="B60" s="47">
        <v>44001</v>
      </c>
      <c r="C60" s="48" t="s">
        <v>445</v>
      </c>
      <c r="D60" s="21"/>
      <c r="E60" s="21">
        <v>1000</v>
      </c>
      <c r="F60" s="21"/>
      <c r="G60" s="21"/>
      <c r="H60" s="21"/>
      <c r="I60" s="22"/>
      <c r="J60" s="23">
        <f t="shared" si="2"/>
        <v>11854.71</v>
      </c>
      <c r="K60" s="23">
        <f t="shared" si="3"/>
        <v>52086.2</v>
      </c>
    </row>
    <row r="61" spans="2:11" ht="18.75" x14ac:dyDescent="0.3">
      <c r="B61" s="47">
        <v>44002</v>
      </c>
      <c r="C61" s="48" t="s">
        <v>446</v>
      </c>
      <c r="D61" s="21"/>
      <c r="E61" s="21">
        <v>2000</v>
      </c>
      <c r="F61" s="21"/>
      <c r="G61" s="21"/>
      <c r="H61" s="21"/>
      <c r="I61" s="22"/>
      <c r="J61" s="23">
        <f t="shared" si="2"/>
        <v>13854.71</v>
      </c>
      <c r="K61" s="23">
        <f t="shared" si="3"/>
        <v>52086.2</v>
      </c>
    </row>
    <row r="62" spans="2:11" ht="18.75" x14ac:dyDescent="0.3">
      <c r="B62" s="47">
        <v>44005</v>
      </c>
      <c r="C62" s="48" t="s">
        <v>447</v>
      </c>
      <c r="D62" s="21"/>
      <c r="E62" s="21">
        <v>500</v>
      </c>
      <c r="F62" s="21"/>
      <c r="G62" s="21"/>
      <c r="H62" s="21"/>
      <c r="I62" s="22"/>
      <c r="J62" s="23">
        <f t="shared" si="2"/>
        <v>14354.71</v>
      </c>
      <c r="K62" s="23">
        <f t="shared" si="3"/>
        <v>52086.2</v>
      </c>
    </row>
    <row r="63" spans="2:11" ht="18.75" x14ac:dyDescent="0.3">
      <c r="B63" s="47">
        <v>44005</v>
      </c>
      <c r="C63" s="36" t="s">
        <v>448</v>
      </c>
      <c r="D63" s="21"/>
      <c r="E63" s="21">
        <v>800</v>
      </c>
      <c r="F63" s="21"/>
      <c r="G63" s="21"/>
      <c r="H63" s="21"/>
      <c r="I63" s="22"/>
      <c r="J63" s="23">
        <f t="shared" si="2"/>
        <v>15154.71</v>
      </c>
      <c r="K63" s="23">
        <f t="shared" si="3"/>
        <v>52086.2</v>
      </c>
    </row>
    <row r="64" spans="2:11" ht="18.75" x14ac:dyDescent="0.3">
      <c r="B64" s="47">
        <v>43999</v>
      </c>
      <c r="C64" s="48" t="s">
        <v>494</v>
      </c>
      <c r="D64" s="21"/>
      <c r="E64" s="26"/>
      <c r="F64" s="21"/>
      <c r="G64" s="21"/>
      <c r="H64" s="21">
        <v>10000</v>
      </c>
      <c r="I64" s="22"/>
      <c r="J64" s="23">
        <f t="shared" si="2"/>
        <v>15154.71</v>
      </c>
      <c r="K64" s="23">
        <f t="shared" si="3"/>
        <v>42086.2</v>
      </c>
    </row>
    <row r="65" spans="2:12" ht="18.75" x14ac:dyDescent="0.3">
      <c r="B65" s="47">
        <v>44001</v>
      </c>
      <c r="C65" s="36" t="s">
        <v>406</v>
      </c>
      <c r="D65" s="21"/>
      <c r="E65" s="26"/>
      <c r="F65" s="21"/>
      <c r="G65" s="21"/>
      <c r="H65" s="21">
        <v>300</v>
      </c>
      <c r="I65" s="22"/>
      <c r="J65" s="23">
        <f t="shared" si="2"/>
        <v>15154.71</v>
      </c>
      <c r="K65" s="23">
        <f t="shared" si="3"/>
        <v>41786.199999999997</v>
      </c>
    </row>
    <row r="66" spans="2:12" ht="18.75" x14ac:dyDescent="0.3">
      <c r="B66" s="47">
        <v>44001</v>
      </c>
      <c r="C66" s="36" t="s">
        <v>466</v>
      </c>
      <c r="D66" s="21"/>
      <c r="E66" s="26"/>
      <c r="F66" s="21"/>
      <c r="G66" s="21"/>
      <c r="H66" s="21">
        <v>120</v>
      </c>
      <c r="I66" s="22"/>
      <c r="J66" s="23">
        <f t="shared" si="2"/>
        <v>15154.71</v>
      </c>
      <c r="K66" s="23">
        <f t="shared" si="3"/>
        <v>41666.199999999997</v>
      </c>
    </row>
    <row r="67" spans="2:12" ht="18.75" x14ac:dyDescent="0.3">
      <c r="B67" s="49">
        <v>44003</v>
      </c>
      <c r="C67" s="58" t="s">
        <v>480</v>
      </c>
      <c r="D67" s="37"/>
      <c r="E67" s="26"/>
      <c r="F67" s="21"/>
      <c r="G67" s="21"/>
      <c r="H67" s="21">
        <v>200</v>
      </c>
      <c r="I67" s="22"/>
      <c r="J67" s="23">
        <f t="shared" si="2"/>
        <v>15154.71</v>
      </c>
      <c r="K67" s="23">
        <f t="shared" si="3"/>
        <v>41466.199999999997</v>
      </c>
    </row>
    <row r="68" spans="2:12" ht="18.75" x14ac:dyDescent="0.3">
      <c r="B68" s="52">
        <v>44003</v>
      </c>
      <c r="C68" s="35" t="s">
        <v>482</v>
      </c>
      <c r="D68" s="37"/>
      <c r="E68" s="26"/>
      <c r="F68" s="21"/>
      <c r="G68" s="21"/>
      <c r="H68" s="21">
        <v>100</v>
      </c>
      <c r="I68" s="22"/>
      <c r="J68" s="23">
        <f t="shared" si="2"/>
        <v>15154.71</v>
      </c>
      <c r="K68" s="23">
        <f t="shared" si="3"/>
        <v>41366.199999999997</v>
      </c>
    </row>
    <row r="69" spans="2:12" ht="18.75" x14ac:dyDescent="0.3">
      <c r="B69" s="52">
        <v>44005</v>
      </c>
      <c r="C69" s="24" t="s">
        <v>458</v>
      </c>
      <c r="D69" s="37"/>
      <c r="E69" s="26"/>
      <c r="F69" s="21"/>
      <c r="G69" s="21"/>
      <c r="H69" s="21">
        <v>500</v>
      </c>
      <c r="I69" s="22"/>
      <c r="J69" s="23">
        <f t="shared" si="2"/>
        <v>15154.71</v>
      </c>
      <c r="K69" s="23">
        <f t="shared" si="3"/>
        <v>40866.199999999997</v>
      </c>
    </row>
    <row r="70" spans="2:12" ht="18.75" x14ac:dyDescent="0.3">
      <c r="B70" s="52">
        <v>44008</v>
      </c>
      <c r="C70" s="48" t="s">
        <v>481</v>
      </c>
      <c r="D70" s="37"/>
      <c r="E70" s="26"/>
      <c r="F70" s="21"/>
      <c r="G70" s="21"/>
      <c r="H70" s="21">
        <v>300</v>
      </c>
      <c r="I70" s="22"/>
      <c r="J70" s="23">
        <f t="shared" si="2"/>
        <v>15154.71</v>
      </c>
      <c r="K70" s="23">
        <f t="shared" si="3"/>
        <v>40566.199999999997</v>
      </c>
    </row>
    <row r="71" spans="2:12" ht="18.75" x14ac:dyDescent="0.3">
      <c r="B71" s="52">
        <v>44008</v>
      </c>
      <c r="C71" s="48" t="s">
        <v>466</v>
      </c>
      <c r="D71" s="37"/>
      <c r="E71" s="21"/>
      <c r="F71" s="21"/>
      <c r="G71" s="21"/>
      <c r="H71" s="21">
        <v>120</v>
      </c>
      <c r="I71" s="22"/>
      <c r="J71" s="23">
        <f t="shared" si="2"/>
        <v>15154.71</v>
      </c>
      <c r="K71" s="23">
        <f t="shared" si="3"/>
        <v>40446.199999999997</v>
      </c>
      <c r="L71" s="1"/>
    </row>
    <row r="72" spans="2:12" ht="18.75" x14ac:dyDescent="0.3">
      <c r="B72" s="53">
        <v>44008</v>
      </c>
      <c r="C72" s="20" t="s">
        <v>108</v>
      </c>
      <c r="D72" s="37"/>
      <c r="E72" s="21"/>
      <c r="F72" s="21"/>
      <c r="G72" s="21">
        <v>200</v>
      </c>
      <c r="H72" s="21"/>
      <c r="I72" s="22"/>
      <c r="J72" s="23">
        <f t="shared" si="2"/>
        <v>14954.71</v>
      </c>
      <c r="K72" s="23">
        <f t="shared" si="3"/>
        <v>40446.199999999997</v>
      </c>
    </row>
    <row r="73" spans="2:12" ht="18.75" x14ac:dyDescent="0.3">
      <c r="B73" s="53">
        <v>44008</v>
      </c>
      <c r="C73" s="24" t="s">
        <v>109</v>
      </c>
      <c r="D73" s="37"/>
      <c r="E73" s="21"/>
      <c r="F73" s="21"/>
      <c r="G73" s="21">
        <v>32</v>
      </c>
      <c r="H73" s="21"/>
      <c r="I73" s="22"/>
      <c r="J73" s="23">
        <f t="shared" si="2"/>
        <v>14922.71</v>
      </c>
      <c r="K73" s="23">
        <f t="shared" si="3"/>
        <v>40446.199999999997</v>
      </c>
    </row>
    <row r="74" spans="2:12" ht="18.75" x14ac:dyDescent="0.3">
      <c r="B74" s="53">
        <v>44010</v>
      </c>
      <c r="C74" s="24" t="s">
        <v>488</v>
      </c>
      <c r="D74" s="37"/>
      <c r="E74" s="21"/>
      <c r="F74" s="21"/>
      <c r="G74" s="21"/>
      <c r="H74" s="21">
        <v>100</v>
      </c>
      <c r="I74" s="22"/>
      <c r="J74" s="23">
        <f t="shared" si="2"/>
        <v>14922.71</v>
      </c>
      <c r="K74" s="23">
        <f t="shared" si="3"/>
        <v>40346.199999999997</v>
      </c>
    </row>
    <row r="75" spans="2:12" ht="18.75" x14ac:dyDescent="0.3">
      <c r="B75" s="53">
        <v>44010</v>
      </c>
      <c r="C75" s="24" t="s">
        <v>483</v>
      </c>
      <c r="D75" s="37"/>
      <c r="E75" s="21"/>
      <c r="F75" s="21"/>
      <c r="G75" s="21"/>
      <c r="H75" s="21">
        <v>200</v>
      </c>
      <c r="I75" s="22"/>
      <c r="J75" s="23">
        <f t="shared" si="2"/>
        <v>14922.71</v>
      </c>
      <c r="K75" s="23">
        <f t="shared" si="3"/>
        <v>40146.199999999997</v>
      </c>
    </row>
    <row r="76" spans="2:12" ht="18.75" x14ac:dyDescent="0.3">
      <c r="B76" s="53">
        <v>44010</v>
      </c>
      <c r="C76" s="20" t="s">
        <v>340</v>
      </c>
      <c r="D76" s="37">
        <v>28900</v>
      </c>
      <c r="E76" s="21"/>
      <c r="F76" s="21"/>
      <c r="G76" s="21"/>
      <c r="H76" s="21"/>
      <c r="I76" s="22"/>
      <c r="J76" s="23">
        <f t="shared" si="2"/>
        <v>14922.71</v>
      </c>
      <c r="K76" s="23">
        <f t="shared" si="3"/>
        <v>69046.2</v>
      </c>
    </row>
    <row r="77" spans="2:12" ht="18.75" x14ac:dyDescent="0.3">
      <c r="B77" s="54">
        <v>44006</v>
      </c>
      <c r="C77" s="24" t="s">
        <v>472</v>
      </c>
      <c r="D77" s="55"/>
      <c r="E77" s="21">
        <v>1000</v>
      </c>
      <c r="F77" s="21"/>
      <c r="G77" s="21"/>
      <c r="H77" s="21"/>
      <c r="I77" s="22"/>
      <c r="J77" s="23">
        <f t="shared" si="2"/>
        <v>15922.71</v>
      </c>
      <c r="K77" s="23">
        <f t="shared" si="3"/>
        <v>69046.2</v>
      </c>
    </row>
    <row r="78" spans="2:12" ht="18.75" x14ac:dyDescent="0.3">
      <c r="B78" s="54">
        <v>44007</v>
      </c>
      <c r="C78" s="24" t="s">
        <v>473</v>
      </c>
      <c r="D78" s="37"/>
      <c r="E78" s="21">
        <v>500.8</v>
      </c>
      <c r="F78" s="21"/>
      <c r="G78" s="21"/>
      <c r="H78" s="21"/>
      <c r="I78" s="22"/>
      <c r="J78" s="23">
        <f t="shared" si="2"/>
        <v>16423.509999999998</v>
      </c>
      <c r="K78" s="23">
        <f t="shared" si="3"/>
        <v>69046.2</v>
      </c>
    </row>
    <row r="79" spans="2:12" ht="18.75" x14ac:dyDescent="0.3">
      <c r="B79" s="54">
        <v>44008</v>
      </c>
      <c r="C79" s="24" t="s">
        <v>474</v>
      </c>
      <c r="D79" s="37"/>
      <c r="E79" s="21">
        <v>1000</v>
      </c>
      <c r="F79" s="21"/>
      <c r="G79" s="21"/>
      <c r="H79" s="21"/>
      <c r="I79" s="22"/>
      <c r="J79" s="23">
        <f t="shared" si="2"/>
        <v>17423.509999999998</v>
      </c>
      <c r="K79" s="23">
        <f t="shared" si="3"/>
        <v>69046.2</v>
      </c>
    </row>
    <row r="80" spans="2:12" ht="18.75" x14ac:dyDescent="0.3">
      <c r="B80" s="54">
        <v>44010</v>
      </c>
      <c r="C80" s="24" t="s">
        <v>475</v>
      </c>
      <c r="D80" s="37"/>
      <c r="E80" s="21">
        <v>750.02</v>
      </c>
      <c r="F80" s="21"/>
      <c r="G80" s="21"/>
      <c r="H80" s="21"/>
      <c r="I80" s="22"/>
      <c r="J80" s="23">
        <f t="shared" si="2"/>
        <v>18173.53</v>
      </c>
      <c r="K80" s="23">
        <f t="shared" si="3"/>
        <v>69046.2</v>
      </c>
    </row>
    <row r="81" spans="2:11" ht="18.75" x14ac:dyDescent="0.3">
      <c r="B81" s="54">
        <v>44011</v>
      </c>
      <c r="C81" s="24" t="s">
        <v>477</v>
      </c>
      <c r="D81" s="37"/>
      <c r="E81" s="21">
        <v>1000.16</v>
      </c>
      <c r="F81" s="21"/>
      <c r="G81" s="21"/>
      <c r="H81" s="21"/>
      <c r="I81" s="22"/>
      <c r="J81" s="23">
        <f t="shared" si="2"/>
        <v>19173.689999999999</v>
      </c>
      <c r="K81" s="23">
        <f t="shared" si="3"/>
        <v>69046.2</v>
      </c>
    </row>
    <row r="82" spans="2:11" ht="18.75" x14ac:dyDescent="0.3">
      <c r="B82" s="54">
        <v>44012</v>
      </c>
      <c r="C82" s="24" t="s">
        <v>476</v>
      </c>
      <c r="D82" s="37"/>
      <c r="E82" s="21">
        <v>500.95</v>
      </c>
      <c r="F82" s="37"/>
      <c r="G82" s="21"/>
      <c r="H82" s="21"/>
      <c r="I82" s="22"/>
      <c r="J82" s="23">
        <f t="shared" si="2"/>
        <v>19674.64</v>
      </c>
      <c r="K82" s="23">
        <f t="shared" si="3"/>
        <v>69046.2</v>
      </c>
    </row>
    <row r="83" spans="2:11" ht="18.75" x14ac:dyDescent="0.3">
      <c r="B83" s="54">
        <v>44011</v>
      </c>
      <c r="C83" s="24" t="s">
        <v>452</v>
      </c>
      <c r="D83" s="37"/>
      <c r="E83" s="21"/>
      <c r="F83" s="37"/>
      <c r="G83" s="21"/>
      <c r="H83" s="21">
        <v>175</v>
      </c>
      <c r="I83" s="22"/>
      <c r="J83" s="23">
        <f t="shared" si="2"/>
        <v>19674.64</v>
      </c>
      <c r="K83" s="23">
        <f t="shared" si="3"/>
        <v>68871.199999999997</v>
      </c>
    </row>
    <row r="84" spans="2:11" ht="18.75" x14ac:dyDescent="0.3">
      <c r="B84" s="54">
        <v>44011</v>
      </c>
      <c r="C84" s="24" t="s">
        <v>484</v>
      </c>
      <c r="D84" s="37"/>
      <c r="E84" s="21"/>
      <c r="F84" s="37"/>
      <c r="G84" s="21"/>
      <c r="H84" s="21">
        <v>5000</v>
      </c>
      <c r="I84" s="22"/>
      <c r="J84" s="23">
        <f t="shared" si="2"/>
        <v>19674.64</v>
      </c>
      <c r="K84" s="23">
        <f t="shared" si="3"/>
        <v>63871.199999999997</v>
      </c>
    </row>
    <row r="85" spans="2:11" ht="18.75" x14ac:dyDescent="0.3">
      <c r="B85" s="54">
        <v>44011</v>
      </c>
      <c r="C85" s="24" t="s">
        <v>498</v>
      </c>
      <c r="D85" s="37"/>
      <c r="E85" s="37"/>
      <c r="F85" s="37"/>
      <c r="G85" s="21"/>
      <c r="H85" s="21">
        <v>1300</v>
      </c>
      <c r="I85" s="22"/>
      <c r="J85" s="23">
        <f t="shared" si="2"/>
        <v>19674.64</v>
      </c>
      <c r="K85" s="23">
        <f t="shared" si="3"/>
        <v>62571.199999999997</v>
      </c>
    </row>
    <row r="86" spans="2:11" ht="18.75" x14ac:dyDescent="0.3">
      <c r="B86" s="54">
        <v>44011</v>
      </c>
      <c r="C86" s="24" t="s">
        <v>485</v>
      </c>
      <c r="D86" s="37"/>
      <c r="E86" s="37"/>
      <c r="F86" s="37"/>
      <c r="G86" s="37"/>
      <c r="H86" s="21">
        <v>191.9</v>
      </c>
      <c r="I86" s="22"/>
      <c r="J86" s="23">
        <f t="shared" si="2"/>
        <v>19674.64</v>
      </c>
      <c r="K86" s="23">
        <f t="shared" si="3"/>
        <v>62379.299999999996</v>
      </c>
    </row>
    <row r="87" spans="2:11" ht="18.75" x14ac:dyDescent="0.3">
      <c r="B87" s="54">
        <v>44011</v>
      </c>
      <c r="C87" s="36" t="s">
        <v>353</v>
      </c>
      <c r="D87" s="37"/>
      <c r="E87" s="37"/>
      <c r="F87" s="37"/>
      <c r="G87" s="37"/>
      <c r="H87" s="21">
        <v>900</v>
      </c>
      <c r="I87" s="22"/>
      <c r="J87" s="23">
        <f t="shared" si="2"/>
        <v>19674.64</v>
      </c>
      <c r="K87" s="23">
        <f t="shared" si="3"/>
        <v>61479.299999999996</v>
      </c>
    </row>
    <row r="88" spans="2:11" ht="18.75" x14ac:dyDescent="0.3">
      <c r="B88" s="54">
        <v>44011</v>
      </c>
      <c r="C88" s="58" t="s">
        <v>491</v>
      </c>
      <c r="D88" s="37"/>
      <c r="E88" s="21"/>
      <c r="F88" s="21"/>
      <c r="G88" s="21"/>
      <c r="H88" s="21">
        <v>54</v>
      </c>
      <c r="I88" s="22"/>
      <c r="J88" s="23">
        <f t="shared" si="2"/>
        <v>19674.64</v>
      </c>
      <c r="K88" s="23">
        <f t="shared" si="3"/>
        <v>61425.299999999996</v>
      </c>
    </row>
    <row r="89" spans="2:11" ht="18.75" x14ac:dyDescent="0.3">
      <c r="B89" s="54">
        <v>44012</v>
      </c>
      <c r="C89" s="24" t="s">
        <v>486</v>
      </c>
      <c r="D89" s="37"/>
      <c r="E89" s="21"/>
      <c r="F89" s="21"/>
      <c r="G89" s="21"/>
      <c r="H89" s="21">
        <v>1000</v>
      </c>
      <c r="I89" s="22"/>
      <c r="J89" s="23">
        <f t="shared" si="2"/>
        <v>19674.64</v>
      </c>
      <c r="K89" s="23">
        <f t="shared" si="3"/>
        <v>60425.299999999996</v>
      </c>
    </row>
    <row r="90" spans="2:11" ht="18.75" x14ac:dyDescent="0.3">
      <c r="B90" s="54">
        <v>44012</v>
      </c>
      <c r="C90" s="36" t="s">
        <v>422</v>
      </c>
      <c r="D90" s="37"/>
      <c r="E90" s="21"/>
      <c r="F90" s="21"/>
      <c r="G90" s="21"/>
      <c r="H90" s="21">
        <v>1500</v>
      </c>
      <c r="I90" s="22"/>
      <c r="J90" s="23">
        <f t="shared" si="2"/>
        <v>19674.64</v>
      </c>
      <c r="K90" s="23">
        <f t="shared" si="3"/>
        <v>58925.299999999996</v>
      </c>
    </row>
    <row r="91" spans="2:11" ht="18.75" x14ac:dyDescent="0.3">
      <c r="B91" s="54">
        <v>44012</v>
      </c>
      <c r="C91" s="24" t="s">
        <v>489</v>
      </c>
      <c r="D91" s="37"/>
      <c r="E91" s="21"/>
      <c r="F91" s="21"/>
      <c r="G91" s="21"/>
      <c r="H91" s="21">
        <v>600</v>
      </c>
      <c r="I91" s="22"/>
      <c r="J91" s="23">
        <f t="shared" si="2"/>
        <v>19674.64</v>
      </c>
      <c r="K91" s="23">
        <f t="shared" si="3"/>
        <v>58325.299999999996</v>
      </c>
    </row>
    <row r="92" spans="2:11" ht="18.75" x14ac:dyDescent="0.3">
      <c r="B92" s="54">
        <v>44012</v>
      </c>
      <c r="C92" s="24" t="s">
        <v>487</v>
      </c>
      <c r="D92" s="37"/>
      <c r="E92" s="21"/>
      <c r="F92" s="21"/>
      <c r="G92" s="21"/>
      <c r="H92" s="21">
        <v>400</v>
      </c>
      <c r="I92" s="22"/>
      <c r="J92" s="23">
        <f t="shared" si="2"/>
        <v>19674.64</v>
      </c>
      <c r="K92" s="23">
        <f t="shared" si="3"/>
        <v>57925.299999999996</v>
      </c>
    </row>
    <row r="93" spans="2:11" ht="19.5" thickBot="1" x14ac:dyDescent="0.35">
      <c r="B93" s="54">
        <v>44012</v>
      </c>
      <c r="C93" s="58" t="s">
        <v>351</v>
      </c>
      <c r="D93" s="37"/>
      <c r="E93" s="21"/>
      <c r="F93" s="21"/>
      <c r="G93" s="21"/>
      <c r="H93" s="21">
        <v>3000</v>
      </c>
      <c r="I93" s="22"/>
      <c r="J93" s="23">
        <f t="shared" si="2"/>
        <v>19674.64</v>
      </c>
      <c r="K93" s="23">
        <f t="shared" si="3"/>
        <v>54925.299999999996</v>
      </c>
    </row>
    <row r="94" spans="2:11" ht="19.5" thickBot="1" x14ac:dyDescent="0.35">
      <c r="B94" s="28"/>
      <c r="C94" s="29" t="s">
        <v>0</v>
      </c>
      <c r="D94" s="30">
        <f>SUM(D50:D93)</f>
        <v>116750</v>
      </c>
      <c r="E94" s="31">
        <f>SUM(E50:E93)</f>
        <v>14807.34</v>
      </c>
      <c r="F94" s="32">
        <f>SUM(D94:E94)</f>
        <v>131557.34</v>
      </c>
      <c r="G94" s="33">
        <f>SUM(G50:G93)</f>
        <v>13892</v>
      </c>
      <c r="H94" s="30">
        <f>SUM(H50:H93)</f>
        <v>81552.53</v>
      </c>
      <c r="I94" s="32">
        <f>SUM(G94:H94)</f>
        <v>95444.53</v>
      </c>
      <c r="J94" s="34"/>
      <c r="K94" s="34"/>
    </row>
    <row r="95" spans="2:11" ht="18.75" x14ac:dyDescent="0.3">
      <c r="B95" s="9" t="s">
        <v>1</v>
      </c>
      <c r="C95" s="9" t="s">
        <v>2</v>
      </c>
      <c r="D95" s="9" t="s">
        <v>3</v>
      </c>
      <c r="E95" s="9" t="s">
        <v>3</v>
      </c>
      <c r="F95" s="9" t="s">
        <v>8</v>
      </c>
      <c r="G95" s="9" t="s">
        <v>9</v>
      </c>
      <c r="H95" s="10" t="s">
        <v>9</v>
      </c>
      <c r="I95" s="10" t="s">
        <v>8</v>
      </c>
      <c r="J95" s="9" t="s">
        <v>7</v>
      </c>
      <c r="K95" s="10" t="s">
        <v>6</v>
      </c>
    </row>
    <row r="96" spans="2:11" ht="19.5" thickBot="1" x14ac:dyDescent="0.35">
      <c r="B96" s="11"/>
      <c r="C96" s="11"/>
      <c r="D96" s="11" t="s">
        <v>5</v>
      </c>
      <c r="E96" s="11" t="s">
        <v>7</v>
      </c>
      <c r="F96" s="11" t="s">
        <v>3</v>
      </c>
      <c r="G96" s="11" t="s">
        <v>7</v>
      </c>
      <c r="H96" s="12" t="s">
        <v>5</v>
      </c>
      <c r="I96" s="12" t="s">
        <v>4</v>
      </c>
      <c r="J96" s="11"/>
      <c r="K96" s="12"/>
    </row>
    <row r="97" spans="2:11" ht="19.5" thickBot="1" x14ac:dyDescent="0.35">
      <c r="B97" s="28"/>
      <c r="C97" s="29"/>
      <c r="D97" s="30">
        <v>116750</v>
      </c>
      <c r="E97" s="31">
        <v>14807.34</v>
      </c>
      <c r="F97" s="32">
        <f>SUM(D97:E97)</f>
        <v>131557.34</v>
      </c>
      <c r="G97" s="33">
        <v>13892</v>
      </c>
      <c r="H97" s="30">
        <v>81552.53</v>
      </c>
      <c r="I97" s="32">
        <f>SUM(G97:H97)</f>
        <v>95444.53</v>
      </c>
      <c r="J97" s="72">
        <v>19674.64</v>
      </c>
      <c r="K97" s="72">
        <v>54925.3</v>
      </c>
    </row>
    <row r="98" spans="2:11" ht="18.75" x14ac:dyDescent="0.3">
      <c r="B98" s="56">
        <v>44012</v>
      </c>
      <c r="C98" s="24" t="s">
        <v>361</v>
      </c>
      <c r="D98" s="37"/>
      <c r="E98" s="21"/>
      <c r="F98" s="21"/>
      <c r="G98" s="21"/>
      <c r="H98" s="21">
        <v>3000</v>
      </c>
      <c r="I98" s="22"/>
      <c r="J98" s="23">
        <f t="shared" ref="J98:J108" si="4">+J97+E98-G98</f>
        <v>19674.64</v>
      </c>
      <c r="K98" s="23">
        <f t="shared" ref="K98:K108" si="5">+K97+D98-H98</f>
        <v>51925.3</v>
      </c>
    </row>
    <row r="99" spans="2:11" ht="18.75" x14ac:dyDescent="0.3">
      <c r="B99" s="56">
        <v>44012</v>
      </c>
      <c r="C99" s="48" t="s">
        <v>362</v>
      </c>
      <c r="D99" s="37"/>
      <c r="E99" s="21"/>
      <c r="F99" s="21"/>
      <c r="G99" s="21"/>
      <c r="H99" s="21">
        <v>3000</v>
      </c>
      <c r="I99" s="22"/>
      <c r="J99" s="23">
        <f t="shared" si="4"/>
        <v>19674.64</v>
      </c>
      <c r="K99" s="23">
        <f t="shared" si="5"/>
        <v>48925.3</v>
      </c>
    </row>
    <row r="100" spans="2:11" ht="18.75" x14ac:dyDescent="0.3">
      <c r="B100" s="56">
        <v>44012</v>
      </c>
      <c r="C100" s="20" t="s">
        <v>478</v>
      </c>
      <c r="D100" s="37"/>
      <c r="E100" s="21"/>
      <c r="F100" s="21"/>
      <c r="G100" s="21">
        <v>13000</v>
      </c>
      <c r="H100" s="21"/>
      <c r="I100" s="22"/>
      <c r="J100" s="23">
        <f t="shared" si="4"/>
        <v>6674.6399999999994</v>
      </c>
      <c r="K100" s="23">
        <f t="shared" si="5"/>
        <v>48925.3</v>
      </c>
    </row>
    <row r="101" spans="2:11" ht="18.75" x14ac:dyDescent="0.3">
      <c r="B101" s="56">
        <v>44012</v>
      </c>
      <c r="C101" s="20" t="s">
        <v>272</v>
      </c>
      <c r="D101" s="37"/>
      <c r="E101" s="21"/>
      <c r="F101" s="21"/>
      <c r="G101" s="21"/>
      <c r="H101" s="21">
        <v>25300</v>
      </c>
      <c r="I101" s="22"/>
      <c r="J101" s="23">
        <f t="shared" si="4"/>
        <v>6674.6399999999994</v>
      </c>
      <c r="K101" s="23">
        <f t="shared" si="5"/>
        <v>23625.300000000003</v>
      </c>
    </row>
    <row r="102" spans="2:11" ht="18.75" x14ac:dyDescent="0.3">
      <c r="B102" s="56">
        <v>44012</v>
      </c>
      <c r="C102" s="48" t="s">
        <v>299</v>
      </c>
      <c r="D102" s="37"/>
      <c r="E102" s="21"/>
      <c r="F102" s="21"/>
      <c r="G102" s="21"/>
      <c r="H102" s="21">
        <v>4500</v>
      </c>
      <c r="I102" s="22"/>
      <c r="J102" s="23">
        <f t="shared" si="4"/>
        <v>6674.6399999999994</v>
      </c>
      <c r="K102" s="23">
        <f t="shared" si="5"/>
        <v>19125.300000000003</v>
      </c>
    </row>
    <row r="103" spans="2:11" ht="18.75" x14ac:dyDescent="0.3">
      <c r="B103" s="56">
        <v>44012</v>
      </c>
      <c r="C103" s="48" t="s">
        <v>479</v>
      </c>
      <c r="D103" s="37"/>
      <c r="E103" s="21">
        <v>12760</v>
      </c>
      <c r="F103" s="21"/>
      <c r="G103" s="21"/>
      <c r="H103" s="21"/>
      <c r="I103" s="22"/>
      <c r="J103" s="23">
        <f t="shared" si="4"/>
        <v>19434.64</v>
      </c>
      <c r="K103" s="23">
        <f t="shared" si="5"/>
        <v>19125.300000000003</v>
      </c>
    </row>
    <row r="104" spans="2:11" ht="18.75" x14ac:dyDescent="0.3">
      <c r="B104" s="56">
        <v>44012</v>
      </c>
      <c r="C104" s="24" t="s">
        <v>492</v>
      </c>
      <c r="D104" s="37"/>
      <c r="E104" s="21"/>
      <c r="F104" s="21"/>
      <c r="G104" s="21"/>
      <c r="H104" s="21">
        <v>400</v>
      </c>
      <c r="I104" s="22"/>
      <c r="J104" s="23">
        <f t="shared" si="4"/>
        <v>19434.64</v>
      </c>
      <c r="K104" s="23">
        <f t="shared" si="5"/>
        <v>18725.300000000003</v>
      </c>
    </row>
    <row r="105" spans="2:11" ht="18.75" x14ac:dyDescent="0.3">
      <c r="B105" s="56">
        <v>44012</v>
      </c>
      <c r="C105" s="48" t="s">
        <v>493</v>
      </c>
      <c r="D105" s="37"/>
      <c r="E105" s="21"/>
      <c r="F105" s="21"/>
      <c r="G105" s="21"/>
      <c r="H105" s="21">
        <v>3000</v>
      </c>
      <c r="I105" s="22"/>
      <c r="J105" s="23">
        <f t="shared" si="4"/>
        <v>19434.64</v>
      </c>
      <c r="K105" s="23">
        <f t="shared" si="5"/>
        <v>15725.300000000003</v>
      </c>
    </row>
    <row r="106" spans="2:11" ht="18.75" x14ac:dyDescent="0.3">
      <c r="B106" s="56">
        <v>44012</v>
      </c>
      <c r="C106" s="20" t="s">
        <v>110</v>
      </c>
      <c r="D106" s="37"/>
      <c r="E106" s="21"/>
      <c r="F106" s="21"/>
      <c r="G106" s="21">
        <v>54</v>
      </c>
      <c r="H106" s="21"/>
      <c r="I106" s="22"/>
      <c r="J106" s="23">
        <f t="shared" si="4"/>
        <v>19380.64</v>
      </c>
      <c r="K106" s="23">
        <f t="shared" si="5"/>
        <v>15725.300000000003</v>
      </c>
    </row>
    <row r="107" spans="2:11" ht="18.75" x14ac:dyDescent="0.3">
      <c r="B107" s="56">
        <v>44012</v>
      </c>
      <c r="C107" s="24" t="s">
        <v>111</v>
      </c>
      <c r="D107" s="37"/>
      <c r="E107" s="21"/>
      <c r="F107" s="21"/>
      <c r="G107" s="21">
        <v>8.64</v>
      </c>
      <c r="H107" s="21"/>
      <c r="I107" s="22"/>
      <c r="J107" s="23">
        <f t="shared" si="4"/>
        <v>19372</v>
      </c>
      <c r="K107" s="23">
        <f t="shared" si="5"/>
        <v>15725.300000000003</v>
      </c>
    </row>
    <row r="108" spans="2:11" ht="19.5" thickBot="1" x14ac:dyDescent="0.35">
      <c r="B108" s="56"/>
      <c r="C108" s="24"/>
      <c r="D108" s="37"/>
      <c r="E108" s="21"/>
      <c r="F108" s="21"/>
      <c r="G108" s="21"/>
      <c r="H108" s="21"/>
      <c r="I108" s="22"/>
      <c r="J108" s="23">
        <f t="shared" si="4"/>
        <v>19372</v>
      </c>
      <c r="K108" s="23">
        <f t="shared" si="5"/>
        <v>15725.300000000003</v>
      </c>
    </row>
    <row r="109" spans="2:11" ht="19.5" thickBot="1" x14ac:dyDescent="0.35">
      <c r="B109" s="28"/>
      <c r="C109" s="29" t="s">
        <v>0</v>
      </c>
      <c r="D109" s="30">
        <f>SUM(D97:D108)</f>
        <v>116750</v>
      </c>
      <c r="E109" s="31">
        <f>SUM(E97:E108)</f>
        <v>27567.34</v>
      </c>
      <c r="F109" s="32">
        <f>SUM(D109:E109)</f>
        <v>144317.34</v>
      </c>
      <c r="G109" s="33">
        <f>SUM(G97:G108)</f>
        <v>26954.639999999999</v>
      </c>
      <c r="H109" s="30">
        <f>SUM(H97:H108)</f>
        <v>120752.53</v>
      </c>
      <c r="I109" s="32">
        <f>SUM(G109:H109)</f>
        <v>147707.16999999998</v>
      </c>
      <c r="J109" s="34"/>
      <c r="K109" s="34"/>
    </row>
    <row r="110" spans="2:11" ht="19.5" thickBot="1" x14ac:dyDescent="0.35">
      <c r="B110" s="7"/>
      <c r="C110" s="7"/>
      <c r="D110" s="7"/>
      <c r="E110" s="7"/>
      <c r="F110" s="7"/>
      <c r="G110" s="7"/>
      <c r="H110" s="7"/>
      <c r="I110" s="7"/>
      <c r="J110" s="7"/>
      <c r="K110" s="7"/>
    </row>
    <row r="111" spans="2:11" ht="19.5" thickBot="1" x14ac:dyDescent="0.35">
      <c r="B111" s="7"/>
      <c r="C111" s="7"/>
      <c r="D111" s="7"/>
      <c r="E111" s="7"/>
      <c r="F111" s="7"/>
      <c r="G111" s="7"/>
      <c r="H111" s="7"/>
      <c r="I111" s="38" t="s">
        <v>7</v>
      </c>
      <c r="J111" s="38" t="s">
        <v>6</v>
      </c>
      <c r="K111" s="39" t="s">
        <v>0</v>
      </c>
    </row>
    <row r="112" spans="2:11" ht="19.5" thickBot="1" x14ac:dyDescent="0.35">
      <c r="B112" s="7"/>
      <c r="C112" s="7"/>
      <c r="D112" s="7"/>
      <c r="E112" s="7"/>
      <c r="F112" s="7"/>
      <c r="G112" s="7"/>
      <c r="H112" s="7"/>
      <c r="I112" s="40">
        <v>19372</v>
      </c>
      <c r="J112" s="40">
        <v>15725.3</v>
      </c>
      <c r="K112" s="34">
        <f>SUM(I112:J112)</f>
        <v>35097.300000000003</v>
      </c>
    </row>
    <row r="113" spans="9:11" ht="15.75" thickBot="1" x14ac:dyDescent="0.3">
      <c r="I113" s="3"/>
      <c r="J113" s="3"/>
      <c r="K113" s="2"/>
    </row>
  </sheetData>
  <printOptions verticalCentered="1"/>
  <pageMargins left="0.23622047244094491" right="0.23622047244094491" top="0.19685039370078741" bottom="0" header="0.31496062992125984" footer="0.31496062992125984"/>
  <pageSetup paperSize="9" scale="67" fitToHeight="0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3">
    <pageSetUpPr fitToPage="1"/>
  </sheetPr>
  <dimension ref="B1:K128"/>
  <sheetViews>
    <sheetView zoomScale="80" zoomScaleNormal="80" workbookViewId="0">
      <pane ySplit="3" topLeftCell="A4" activePane="bottomLeft" state="frozen"/>
      <selection pane="bottomLeft" activeCell="C25" sqref="C25"/>
    </sheetView>
  </sheetViews>
  <sheetFormatPr baseColWidth="10" defaultRowHeight="15" x14ac:dyDescent="0.25"/>
  <cols>
    <col min="1" max="1" width="2" customWidth="1"/>
    <col min="2" max="2" width="13.7109375" customWidth="1"/>
    <col min="3" max="3" width="85.85546875" customWidth="1"/>
    <col min="4" max="5" width="13" customWidth="1"/>
    <col min="6" max="6" width="12.85546875" customWidth="1"/>
    <col min="7" max="11" width="13" customWidth="1"/>
  </cols>
  <sheetData>
    <row r="1" spans="2:11" ht="19.5" thickBot="1" x14ac:dyDescent="0.35">
      <c r="C1" s="8" t="s">
        <v>21</v>
      </c>
    </row>
    <row r="2" spans="2:11" ht="18.75" x14ac:dyDescent="0.3">
      <c r="B2" s="91" t="s">
        <v>1</v>
      </c>
      <c r="C2" s="8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61"/>
      <c r="C3" s="90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9.5" thickBot="1" x14ac:dyDescent="0.35">
      <c r="B4" s="73">
        <v>44012</v>
      </c>
      <c r="C4" s="14" t="s">
        <v>23</v>
      </c>
      <c r="D4" s="15"/>
      <c r="E4" s="16"/>
      <c r="F4" s="16"/>
      <c r="G4" s="16"/>
      <c r="H4" s="17"/>
      <c r="I4" s="18"/>
      <c r="J4" s="40">
        <v>19372</v>
      </c>
      <c r="K4" s="40">
        <v>15725.3</v>
      </c>
    </row>
    <row r="5" spans="2:11" ht="18.75" x14ac:dyDescent="0.3">
      <c r="B5" s="62">
        <v>44013</v>
      </c>
      <c r="C5" s="24" t="s">
        <v>499</v>
      </c>
      <c r="D5" s="21"/>
      <c r="E5" s="21"/>
      <c r="F5" s="21"/>
      <c r="G5" s="21"/>
      <c r="H5" s="21">
        <v>1799</v>
      </c>
      <c r="I5" s="22"/>
      <c r="J5" s="23">
        <f>+J4+E5-G5</f>
        <v>19372</v>
      </c>
      <c r="K5" s="23">
        <f>+K4+D5-H5</f>
        <v>13926.3</v>
      </c>
    </row>
    <row r="6" spans="2:11" ht="18.75" x14ac:dyDescent="0.3">
      <c r="B6" s="62">
        <v>44013</v>
      </c>
      <c r="C6" s="58" t="s">
        <v>374</v>
      </c>
      <c r="D6" s="21"/>
      <c r="E6" s="21"/>
      <c r="F6" s="21"/>
      <c r="G6" s="21"/>
      <c r="H6" s="21">
        <v>300</v>
      </c>
      <c r="I6" s="22"/>
      <c r="J6" s="23">
        <f t="shared" ref="J6:J45" si="0">+J5+E6-G6</f>
        <v>19372</v>
      </c>
      <c r="K6" s="23">
        <f t="shared" ref="K6:K46" si="1">+K5+D6-H6</f>
        <v>13626.3</v>
      </c>
    </row>
    <row r="7" spans="2:11" ht="18.75" x14ac:dyDescent="0.3">
      <c r="B7" s="63">
        <v>44015</v>
      </c>
      <c r="C7" s="20" t="s">
        <v>547</v>
      </c>
      <c r="D7" s="21"/>
      <c r="E7" s="21"/>
      <c r="F7" s="21"/>
      <c r="G7" s="21"/>
      <c r="H7" s="57">
        <v>2300</v>
      </c>
      <c r="I7" s="22"/>
      <c r="J7" s="23">
        <f t="shared" si="0"/>
        <v>19372</v>
      </c>
      <c r="K7" s="23">
        <f t="shared" si="1"/>
        <v>11326.3</v>
      </c>
    </row>
    <row r="8" spans="2:11" ht="18.75" x14ac:dyDescent="0.3">
      <c r="B8" s="63">
        <v>44015</v>
      </c>
      <c r="C8" s="20" t="s">
        <v>500</v>
      </c>
      <c r="D8" s="21"/>
      <c r="E8" s="21"/>
      <c r="F8" s="21"/>
      <c r="G8" s="21"/>
      <c r="H8" s="21">
        <v>418</v>
      </c>
      <c r="I8" s="22"/>
      <c r="J8" s="23">
        <f t="shared" si="0"/>
        <v>19372</v>
      </c>
      <c r="K8" s="23">
        <f t="shared" si="1"/>
        <v>10908.3</v>
      </c>
    </row>
    <row r="9" spans="2:11" ht="18.75" x14ac:dyDescent="0.3">
      <c r="B9" s="63">
        <v>44017</v>
      </c>
      <c r="C9" s="45" t="s">
        <v>280</v>
      </c>
      <c r="D9" s="21">
        <v>36650</v>
      </c>
      <c r="E9" s="21"/>
      <c r="F9" s="21"/>
      <c r="G9" s="21"/>
      <c r="H9" s="57"/>
      <c r="I9" s="22"/>
      <c r="J9" s="23">
        <f t="shared" si="0"/>
        <v>19372</v>
      </c>
      <c r="K9" s="23">
        <f t="shared" si="1"/>
        <v>47558.3</v>
      </c>
    </row>
    <row r="10" spans="2:11" ht="18.75" x14ac:dyDescent="0.3">
      <c r="B10" s="63">
        <v>44013</v>
      </c>
      <c r="C10" s="20" t="s">
        <v>501</v>
      </c>
      <c r="D10" s="21"/>
      <c r="E10" s="21">
        <v>1000.06</v>
      </c>
      <c r="F10" s="21"/>
      <c r="G10" s="21"/>
      <c r="H10" s="21"/>
      <c r="I10" s="22"/>
      <c r="J10" s="23">
        <f t="shared" si="0"/>
        <v>20372.060000000001</v>
      </c>
      <c r="K10" s="23">
        <f t="shared" si="1"/>
        <v>47558.3</v>
      </c>
    </row>
    <row r="11" spans="2:11" ht="18.75" x14ac:dyDescent="0.3">
      <c r="B11" s="63">
        <v>44014</v>
      </c>
      <c r="C11" s="20" t="s">
        <v>502</v>
      </c>
      <c r="D11" s="21"/>
      <c r="E11" s="21">
        <v>500</v>
      </c>
      <c r="F11" s="21"/>
      <c r="G11" s="21"/>
      <c r="H11" s="21"/>
      <c r="I11" s="22"/>
      <c r="J11" s="23">
        <f t="shared" si="0"/>
        <v>20872.060000000001</v>
      </c>
      <c r="K11" s="23">
        <f t="shared" si="1"/>
        <v>47558.3</v>
      </c>
    </row>
    <row r="12" spans="2:11" ht="18.75" x14ac:dyDescent="0.3">
      <c r="B12" s="63">
        <v>44014</v>
      </c>
      <c r="C12" s="20" t="s">
        <v>503</v>
      </c>
      <c r="D12" s="21"/>
      <c r="E12" s="21">
        <v>250.62</v>
      </c>
      <c r="F12" s="21"/>
      <c r="G12" s="21"/>
      <c r="H12" s="57"/>
      <c r="I12" s="22"/>
      <c r="J12" s="23">
        <f t="shared" si="0"/>
        <v>21122.68</v>
      </c>
      <c r="K12" s="23">
        <f t="shared" si="1"/>
        <v>47558.3</v>
      </c>
    </row>
    <row r="13" spans="2:11" ht="18.75" x14ac:dyDescent="0.3">
      <c r="B13" s="63">
        <v>44016</v>
      </c>
      <c r="C13" s="20" t="s">
        <v>504</v>
      </c>
      <c r="D13" s="21"/>
      <c r="E13" s="21">
        <v>500.46</v>
      </c>
      <c r="F13" s="21"/>
      <c r="G13" s="21"/>
      <c r="H13" s="21"/>
      <c r="I13" s="22"/>
      <c r="J13" s="23">
        <f t="shared" si="0"/>
        <v>21623.14</v>
      </c>
      <c r="K13" s="23">
        <f t="shared" si="1"/>
        <v>47558.3</v>
      </c>
    </row>
    <row r="14" spans="2:11" ht="18.75" x14ac:dyDescent="0.3">
      <c r="B14" s="63">
        <v>44016</v>
      </c>
      <c r="C14" s="20" t="s">
        <v>568</v>
      </c>
      <c r="D14" s="21"/>
      <c r="E14" s="21">
        <v>500.11</v>
      </c>
      <c r="F14" s="21"/>
      <c r="G14" s="21"/>
      <c r="H14" s="57"/>
      <c r="I14" s="22"/>
      <c r="J14" s="23">
        <f t="shared" si="0"/>
        <v>22123.25</v>
      </c>
      <c r="K14" s="23">
        <f t="shared" si="1"/>
        <v>47558.3</v>
      </c>
    </row>
    <row r="15" spans="2:11" ht="18.75" x14ac:dyDescent="0.3">
      <c r="B15" s="63">
        <v>44018</v>
      </c>
      <c r="C15" s="20" t="s">
        <v>505</v>
      </c>
      <c r="D15" s="21"/>
      <c r="E15" s="21">
        <v>250.15</v>
      </c>
      <c r="F15" s="21"/>
      <c r="G15" s="21"/>
      <c r="H15" s="21"/>
      <c r="I15" s="22"/>
      <c r="J15" s="23">
        <f t="shared" si="0"/>
        <v>22373.4</v>
      </c>
      <c r="K15" s="23">
        <f t="shared" si="1"/>
        <v>47558.3</v>
      </c>
    </row>
    <row r="16" spans="2:11" ht="18.75" x14ac:dyDescent="0.3">
      <c r="B16" s="63">
        <v>44017</v>
      </c>
      <c r="C16" s="58" t="s">
        <v>459</v>
      </c>
      <c r="D16" s="21"/>
      <c r="E16" s="21"/>
      <c r="F16" s="21"/>
      <c r="G16" s="21"/>
      <c r="H16" s="21">
        <v>100</v>
      </c>
      <c r="I16" s="22"/>
      <c r="J16" s="23">
        <f t="shared" si="0"/>
        <v>22373.4</v>
      </c>
      <c r="K16" s="23">
        <f t="shared" si="1"/>
        <v>47458.3</v>
      </c>
    </row>
    <row r="17" spans="2:11" ht="18.75" x14ac:dyDescent="0.3">
      <c r="B17" s="63">
        <v>44017</v>
      </c>
      <c r="C17" s="36" t="s">
        <v>512</v>
      </c>
      <c r="D17" s="21"/>
      <c r="E17" s="21"/>
      <c r="F17" s="21"/>
      <c r="G17" s="21"/>
      <c r="H17" s="21">
        <v>200</v>
      </c>
      <c r="I17" s="22"/>
      <c r="J17" s="23">
        <f t="shared" si="0"/>
        <v>22373.4</v>
      </c>
      <c r="K17" s="23">
        <f t="shared" si="1"/>
        <v>47258.3</v>
      </c>
    </row>
    <row r="18" spans="2:11" ht="18.75" x14ac:dyDescent="0.3">
      <c r="B18" s="63">
        <v>44017</v>
      </c>
      <c r="C18" s="36" t="s">
        <v>353</v>
      </c>
      <c r="D18" s="21"/>
      <c r="E18" s="21"/>
      <c r="F18" s="21"/>
      <c r="G18" s="21"/>
      <c r="H18" s="21">
        <v>900</v>
      </c>
      <c r="I18" s="22"/>
      <c r="J18" s="23">
        <f t="shared" si="0"/>
        <v>22373.4</v>
      </c>
      <c r="K18" s="23">
        <f t="shared" si="1"/>
        <v>46358.3</v>
      </c>
    </row>
    <row r="19" spans="2:11" ht="18.75" x14ac:dyDescent="0.3">
      <c r="B19" s="63">
        <v>44019</v>
      </c>
      <c r="C19" s="24" t="s">
        <v>513</v>
      </c>
      <c r="D19" s="21"/>
      <c r="E19" s="21"/>
      <c r="F19" s="21"/>
      <c r="G19" s="21"/>
      <c r="H19" s="21">
        <v>783</v>
      </c>
      <c r="I19" s="22"/>
      <c r="J19" s="23">
        <f t="shared" si="0"/>
        <v>22373.4</v>
      </c>
      <c r="K19" s="23">
        <f t="shared" si="1"/>
        <v>45575.3</v>
      </c>
    </row>
    <row r="20" spans="2:11" ht="18.75" x14ac:dyDescent="0.3">
      <c r="B20" s="63">
        <v>44019</v>
      </c>
      <c r="C20" s="20" t="s">
        <v>514</v>
      </c>
      <c r="D20" s="21"/>
      <c r="E20" s="21"/>
      <c r="F20" s="21"/>
      <c r="G20" s="21"/>
      <c r="H20" s="21">
        <v>101</v>
      </c>
      <c r="I20" s="22"/>
      <c r="J20" s="23">
        <f t="shared" si="0"/>
        <v>22373.4</v>
      </c>
      <c r="K20" s="23">
        <f t="shared" si="1"/>
        <v>45474.3</v>
      </c>
    </row>
    <row r="21" spans="2:11" ht="18.75" x14ac:dyDescent="0.3">
      <c r="B21" s="63">
        <v>44019</v>
      </c>
      <c r="C21" s="20" t="s">
        <v>514</v>
      </c>
      <c r="D21" s="21"/>
      <c r="E21" s="21"/>
      <c r="F21" s="21"/>
      <c r="G21" s="21"/>
      <c r="H21" s="57">
        <v>480.5</v>
      </c>
      <c r="I21" s="22"/>
      <c r="J21" s="23">
        <f t="shared" si="0"/>
        <v>22373.4</v>
      </c>
      <c r="K21" s="23">
        <f t="shared" si="1"/>
        <v>44993.8</v>
      </c>
    </row>
    <row r="22" spans="2:11" ht="18.75" x14ac:dyDescent="0.3">
      <c r="B22" s="63">
        <v>44019</v>
      </c>
      <c r="C22" s="20" t="s">
        <v>515</v>
      </c>
      <c r="D22" s="21"/>
      <c r="E22" s="21"/>
      <c r="F22" s="21"/>
      <c r="G22" s="21"/>
      <c r="H22" s="57">
        <v>27</v>
      </c>
      <c r="I22" s="22"/>
      <c r="J22" s="23">
        <f t="shared" si="0"/>
        <v>22373.4</v>
      </c>
      <c r="K22" s="23">
        <f t="shared" si="1"/>
        <v>44966.8</v>
      </c>
    </row>
    <row r="23" spans="2:11" ht="18.75" x14ac:dyDescent="0.3">
      <c r="B23" s="63">
        <v>44020</v>
      </c>
      <c r="C23" s="20" t="s">
        <v>516</v>
      </c>
      <c r="D23" s="21"/>
      <c r="E23" s="21"/>
      <c r="F23" s="21"/>
      <c r="G23" s="21"/>
      <c r="H23" s="57">
        <v>302.29000000000002</v>
      </c>
      <c r="I23" s="22"/>
      <c r="J23" s="23">
        <f t="shared" si="0"/>
        <v>22373.4</v>
      </c>
      <c r="K23" s="23">
        <f t="shared" si="1"/>
        <v>44664.51</v>
      </c>
    </row>
    <row r="24" spans="2:11" ht="18.75" x14ac:dyDescent="0.3">
      <c r="B24" s="63">
        <v>44020</v>
      </c>
      <c r="C24" s="20" t="s">
        <v>517</v>
      </c>
      <c r="D24" s="21"/>
      <c r="E24" s="21"/>
      <c r="F24" s="21"/>
      <c r="G24" s="21"/>
      <c r="H24" s="21">
        <v>36</v>
      </c>
      <c r="I24" s="22"/>
      <c r="J24" s="23">
        <f t="shared" si="0"/>
        <v>22373.4</v>
      </c>
      <c r="K24" s="23">
        <f t="shared" si="1"/>
        <v>44628.51</v>
      </c>
    </row>
    <row r="25" spans="2:11" ht="18.75" x14ac:dyDescent="0.3">
      <c r="B25" s="63">
        <v>44020</v>
      </c>
      <c r="C25" s="20" t="s">
        <v>516</v>
      </c>
      <c r="D25" s="21"/>
      <c r="E25" s="21"/>
      <c r="F25" s="21"/>
      <c r="G25" s="21"/>
      <c r="H25" s="21">
        <v>197.4</v>
      </c>
      <c r="I25" s="22"/>
      <c r="J25" s="23">
        <f t="shared" si="0"/>
        <v>22373.4</v>
      </c>
      <c r="K25" s="23">
        <f t="shared" si="1"/>
        <v>44431.11</v>
      </c>
    </row>
    <row r="26" spans="2:11" ht="18.75" x14ac:dyDescent="0.3">
      <c r="B26" s="63">
        <v>44020</v>
      </c>
      <c r="C26" s="48" t="s">
        <v>460</v>
      </c>
      <c r="D26" s="21"/>
      <c r="E26" s="21"/>
      <c r="F26" s="21"/>
      <c r="G26" s="21"/>
      <c r="H26" s="21">
        <v>160</v>
      </c>
      <c r="I26" s="22"/>
      <c r="J26" s="23">
        <f t="shared" si="0"/>
        <v>22373.4</v>
      </c>
      <c r="K26" s="23">
        <f t="shared" si="1"/>
        <v>44271.11</v>
      </c>
    </row>
    <row r="27" spans="2:11" ht="18.75" x14ac:dyDescent="0.3">
      <c r="B27" s="63">
        <v>44021</v>
      </c>
      <c r="C27" s="36" t="s">
        <v>353</v>
      </c>
      <c r="D27" s="21"/>
      <c r="E27" s="21"/>
      <c r="F27" s="21"/>
      <c r="G27" s="21"/>
      <c r="H27" s="21">
        <v>1300</v>
      </c>
      <c r="I27" s="22"/>
      <c r="J27" s="23">
        <f t="shared" si="0"/>
        <v>22373.4</v>
      </c>
      <c r="K27" s="23">
        <f t="shared" si="1"/>
        <v>42971.11</v>
      </c>
    </row>
    <row r="28" spans="2:11" ht="18.75" x14ac:dyDescent="0.3">
      <c r="B28" s="63">
        <v>44022</v>
      </c>
      <c r="C28" s="58" t="s">
        <v>560</v>
      </c>
      <c r="D28" s="21"/>
      <c r="E28" s="21"/>
      <c r="F28" s="21"/>
      <c r="G28" s="21"/>
      <c r="H28" s="21">
        <v>300</v>
      </c>
      <c r="I28" s="22"/>
      <c r="J28" s="23">
        <f t="shared" si="0"/>
        <v>22373.4</v>
      </c>
      <c r="K28" s="23">
        <f t="shared" si="1"/>
        <v>42671.11</v>
      </c>
    </row>
    <row r="29" spans="2:11" ht="18.75" x14ac:dyDescent="0.3">
      <c r="B29" s="63">
        <v>44022</v>
      </c>
      <c r="C29" s="20" t="s">
        <v>518</v>
      </c>
      <c r="D29" s="21"/>
      <c r="E29" s="21"/>
      <c r="F29" s="21"/>
      <c r="G29" s="21"/>
      <c r="H29" s="57">
        <v>130</v>
      </c>
      <c r="I29" s="22"/>
      <c r="J29" s="23">
        <f t="shared" si="0"/>
        <v>22373.4</v>
      </c>
      <c r="K29" s="23">
        <f t="shared" si="1"/>
        <v>42541.11</v>
      </c>
    </row>
    <row r="30" spans="2:11" ht="18.75" x14ac:dyDescent="0.3">
      <c r="B30" s="63">
        <v>44022</v>
      </c>
      <c r="C30" s="20" t="s">
        <v>519</v>
      </c>
      <c r="D30" s="21"/>
      <c r="E30" s="21"/>
      <c r="F30" s="21"/>
      <c r="G30" s="21"/>
      <c r="H30" s="21">
        <v>499.5</v>
      </c>
      <c r="I30" s="22"/>
      <c r="J30" s="23">
        <f t="shared" si="0"/>
        <v>22373.4</v>
      </c>
      <c r="K30" s="23">
        <f t="shared" si="1"/>
        <v>42041.61</v>
      </c>
    </row>
    <row r="31" spans="2:11" ht="18.75" x14ac:dyDescent="0.3">
      <c r="B31" s="63">
        <v>44022</v>
      </c>
      <c r="C31" s="27" t="s">
        <v>520</v>
      </c>
      <c r="D31" s="21"/>
      <c r="E31" s="21"/>
      <c r="F31" s="21"/>
      <c r="G31" s="21"/>
      <c r="H31" s="21">
        <v>595</v>
      </c>
      <c r="I31" s="22"/>
      <c r="J31" s="23">
        <f t="shared" si="0"/>
        <v>22373.4</v>
      </c>
      <c r="K31" s="23">
        <f t="shared" si="1"/>
        <v>41446.61</v>
      </c>
    </row>
    <row r="32" spans="2:11" ht="18.75" x14ac:dyDescent="0.3">
      <c r="B32" s="63">
        <v>44023</v>
      </c>
      <c r="C32" s="27" t="s">
        <v>521</v>
      </c>
      <c r="D32" s="21"/>
      <c r="E32" s="21"/>
      <c r="F32" s="21"/>
      <c r="G32" s="21"/>
      <c r="H32" s="21">
        <v>192.9</v>
      </c>
      <c r="I32" s="22"/>
      <c r="J32" s="23">
        <f t="shared" si="0"/>
        <v>22373.4</v>
      </c>
      <c r="K32" s="23">
        <f t="shared" si="1"/>
        <v>41253.71</v>
      </c>
    </row>
    <row r="33" spans="2:11" ht="18.75" x14ac:dyDescent="0.3">
      <c r="B33" s="63">
        <v>44023</v>
      </c>
      <c r="C33" s="20" t="s">
        <v>522</v>
      </c>
      <c r="D33" s="21"/>
      <c r="E33" s="21"/>
      <c r="F33" s="21"/>
      <c r="G33" s="21"/>
      <c r="H33" s="21">
        <v>95</v>
      </c>
      <c r="I33" s="22"/>
      <c r="J33" s="23">
        <f t="shared" si="0"/>
        <v>22373.4</v>
      </c>
      <c r="K33" s="23">
        <f t="shared" si="1"/>
        <v>41158.71</v>
      </c>
    </row>
    <row r="34" spans="2:11" ht="18.75" x14ac:dyDescent="0.3">
      <c r="B34" s="63">
        <v>44023</v>
      </c>
      <c r="C34" s="20" t="s">
        <v>523</v>
      </c>
      <c r="D34" s="21"/>
      <c r="E34" s="21"/>
      <c r="F34" s="21"/>
      <c r="G34" s="21"/>
      <c r="H34" s="21">
        <v>123.97</v>
      </c>
      <c r="I34" s="22"/>
      <c r="J34" s="23">
        <f t="shared" si="0"/>
        <v>22373.4</v>
      </c>
      <c r="K34" s="23">
        <f t="shared" si="1"/>
        <v>41034.74</v>
      </c>
    </row>
    <row r="35" spans="2:11" ht="18.75" x14ac:dyDescent="0.3">
      <c r="B35" s="63">
        <v>44023</v>
      </c>
      <c r="C35" s="36" t="s">
        <v>524</v>
      </c>
      <c r="D35" s="21"/>
      <c r="E35" s="21"/>
      <c r="F35" s="21"/>
      <c r="G35" s="21"/>
      <c r="H35" s="21">
        <v>1200</v>
      </c>
      <c r="I35" s="22"/>
      <c r="J35" s="23">
        <f t="shared" si="0"/>
        <v>22373.4</v>
      </c>
      <c r="K35" s="23">
        <f t="shared" si="1"/>
        <v>39834.74</v>
      </c>
    </row>
    <row r="36" spans="2:11" ht="18.75" x14ac:dyDescent="0.3">
      <c r="B36" s="63">
        <v>44024</v>
      </c>
      <c r="C36" s="20" t="s">
        <v>156</v>
      </c>
      <c r="D36" s="21"/>
      <c r="E36" s="21"/>
      <c r="F36" s="21"/>
      <c r="G36" s="21"/>
      <c r="H36" s="21">
        <v>38</v>
      </c>
      <c r="I36" s="22"/>
      <c r="J36" s="23">
        <f t="shared" si="0"/>
        <v>22373.4</v>
      </c>
      <c r="K36" s="23">
        <f t="shared" si="1"/>
        <v>39796.74</v>
      </c>
    </row>
    <row r="37" spans="2:11" ht="18.75" x14ac:dyDescent="0.3">
      <c r="B37" s="63">
        <v>44024</v>
      </c>
      <c r="C37" s="20" t="s">
        <v>506</v>
      </c>
      <c r="D37" s="21">
        <v>37150</v>
      </c>
      <c r="E37" s="21"/>
      <c r="F37" s="21"/>
      <c r="G37" s="21"/>
      <c r="H37" s="57"/>
      <c r="I37" s="22"/>
      <c r="J37" s="23">
        <f t="shared" si="0"/>
        <v>22373.4</v>
      </c>
      <c r="K37" s="23">
        <f t="shared" si="1"/>
        <v>76946.739999999991</v>
      </c>
    </row>
    <row r="38" spans="2:11" ht="18.75" x14ac:dyDescent="0.3">
      <c r="B38" s="63">
        <v>44020</v>
      </c>
      <c r="C38" s="27" t="s">
        <v>507</v>
      </c>
      <c r="D38" s="21"/>
      <c r="E38" s="21">
        <v>500.29</v>
      </c>
      <c r="F38" s="21"/>
      <c r="G38" s="21"/>
      <c r="H38" s="21"/>
      <c r="I38" s="22"/>
      <c r="J38" s="23">
        <f t="shared" si="0"/>
        <v>22873.690000000002</v>
      </c>
      <c r="K38" s="23">
        <f t="shared" si="1"/>
        <v>76946.739999999991</v>
      </c>
    </row>
    <row r="39" spans="2:11" ht="18.75" x14ac:dyDescent="0.3">
      <c r="B39" s="63">
        <v>44022</v>
      </c>
      <c r="C39" s="20" t="s">
        <v>508</v>
      </c>
      <c r="D39" s="21"/>
      <c r="E39" s="21">
        <v>1500</v>
      </c>
      <c r="F39" s="21"/>
      <c r="G39" s="21"/>
      <c r="H39" s="21"/>
      <c r="I39" s="22"/>
      <c r="J39" s="23">
        <f t="shared" si="0"/>
        <v>24373.690000000002</v>
      </c>
      <c r="K39" s="23">
        <f t="shared" si="1"/>
        <v>76946.739999999991</v>
      </c>
    </row>
    <row r="40" spans="2:11" ht="18.75" x14ac:dyDescent="0.3">
      <c r="B40" s="63">
        <v>44025</v>
      </c>
      <c r="C40" s="36" t="s">
        <v>509</v>
      </c>
      <c r="D40" s="21"/>
      <c r="E40" s="21">
        <v>500.8</v>
      </c>
      <c r="F40" s="21"/>
      <c r="G40" s="21"/>
      <c r="H40" s="57"/>
      <c r="I40" s="22"/>
      <c r="J40" s="23">
        <f t="shared" si="0"/>
        <v>24874.49</v>
      </c>
      <c r="K40" s="23">
        <f t="shared" si="1"/>
        <v>76946.739999999991</v>
      </c>
    </row>
    <row r="41" spans="2:11" ht="18.75" x14ac:dyDescent="0.3">
      <c r="B41" s="63">
        <v>44026</v>
      </c>
      <c r="C41" s="48" t="s">
        <v>510</v>
      </c>
      <c r="D41" s="21"/>
      <c r="E41" s="21">
        <v>12760</v>
      </c>
      <c r="F41" s="21"/>
      <c r="G41" s="21"/>
      <c r="H41" s="57"/>
      <c r="I41" s="22"/>
      <c r="J41" s="23">
        <f t="shared" si="0"/>
        <v>37634.490000000005</v>
      </c>
      <c r="K41" s="23">
        <f t="shared" si="1"/>
        <v>76946.739999999991</v>
      </c>
    </row>
    <row r="42" spans="2:11" ht="18.75" x14ac:dyDescent="0.3">
      <c r="B42" s="63">
        <v>44026</v>
      </c>
      <c r="C42" s="20" t="s">
        <v>511</v>
      </c>
      <c r="D42" s="21"/>
      <c r="E42" s="21">
        <v>500.5</v>
      </c>
      <c r="F42" s="21"/>
      <c r="G42" s="21"/>
      <c r="H42" s="57"/>
      <c r="I42" s="22"/>
      <c r="J42" s="23">
        <f t="shared" si="0"/>
        <v>38134.990000000005</v>
      </c>
      <c r="K42" s="23">
        <f t="shared" si="1"/>
        <v>76946.739999999991</v>
      </c>
    </row>
    <row r="43" spans="2:11" ht="18.75" x14ac:dyDescent="0.3">
      <c r="B43" s="63">
        <v>44024</v>
      </c>
      <c r="C43" s="24" t="s">
        <v>525</v>
      </c>
      <c r="D43" s="21"/>
      <c r="E43" s="21"/>
      <c r="F43" s="21"/>
      <c r="G43" s="21"/>
      <c r="H43" s="57">
        <v>100</v>
      </c>
      <c r="I43" s="22"/>
      <c r="J43" s="23">
        <f t="shared" si="0"/>
        <v>38134.990000000005</v>
      </c>
      <c r="K43" s="23">
        <f t="shared" si="1"/>
        <v>76846.739999999991</v>
      </c>
    </row>
    <row r="44" spans="2:11" ht="18.75" x14ac:dyDescent="0.3">
      <c r="B44" s="63">
        <v>44024</v>
      </c>
      <c r="C44" s="20" t="s">
        <v>526</v>
      </c>
      <c r="D44" s="21"/>
      <c r="E44" s="21"/>
      <c r="F44" s="21"/>
      <c r="G44" s="21"/>
      <c r="H44" s="57">
        <v>250</v>
      </c>
      <c r="I44" s="22"/>
      <c r="J44" s="23">
        <f t="shared" si="0"/>
        <v>38134.990000000005</v>
      </c>
      <c r="K44" s="23">
        <f t="shared" si="1"/>
        <v>76596.739999999991</v>
      </c>
    </row>
    <row r="45" spans="2:11" ht="18.75" x14ac:dyDescent="0.3">
      <c r="B45" s="63">
        <v>44024</v>
      </c>
      <c r="C45" s="24" t="s">
        <v>527</v>
      </c>
      <c r="D45" s="21"/>
      <c r="E45" s="21"/>
      <c r="F45" s="21"/>
      <c r="G45" s="21"/>
      <c r="H45" s="57">
        <v>200</v>
      </c>
      <c r="I45" s="22"/>
      <c r="J45" s="23">
        <f t="shared" si="0"/>
        <v>38134.990000000005</v>
      </c>
      <c r="K45" s="23">
        <f t="shared" si="1"/>
        <v>76396.739999999991</v>
      </c>
    </row>
    <row r="46" spans="2:11" ht="19.5" thickBot="1" x14ac:dyDescent="0.35">
      <c r="B46" s="63">
        <v>44025</v>
      </c>
      <c r="C46" s="36" t="s">
        <v>353</v>
      </c>
      <c r="D46" s="21"/>
      <c r="E46" s="21"/>
      <c r="F46" s="21"/>
      <c r="G46" s="21"/>
      <c r="H46" s="57">
        <v>1300</v>
      </c>
      <c r="I46" s="22"/>
      <c r="J46" s="23">
        <f>+J45+E46-G46</f>
        <v>38134.990000000005</v>
      </c>
      <c r="K46" s="23">
        <f t="shared" si="1"/>
        <v>75096.739999999991</v>
      </c>
    </row>
    <row r="47" spans="2:11" ht="19.5" thickBot="1" x14ac:dyDescent="0.35">
      <c r="B47" s="65"/>
      <c r="C47" s="29" t="s">
        <v>0</v>
      </c>
      <c r="D47" s="40">
        <f>SUM(D4:D46)</f>
        <v>73800</v>
      </c>
      <c r="E47" s="66">
        <f>SUM(E4:E46)</f>
        <v>18762.990000000002</v>
      </c>
      <c r="F47" s="32">
        <f>SUM(D47:E47)</f>
        <v>92562.99</v>
      </c>
      <c r="G47" s="67">
        <f>SUM(G4:G46)</f>
        <v>0</v>
      </c>
      <c r="H47" s="30">
        <f>SUM(H4:H46)</f>
        <v>14428.559999999998</v>
      </c>
      <c r="I47" s="32">
        <f>SUM(G47:H47)</f>
        <v>14428.559999999998</v>
      </c>
      <c r="J47" s="34"/>
      <c r="K47" s="34"/>
    </row>
    <row r="48" spans="2:11" ht="18.75" x14ac:dyDescent="0.3">
      <c r="B48" s="60" t="s">
        <v>1</v>
      </c>
      <c r="C48" s="9" t="s">
        <v>2</v>
      </c>
      <c r="D48" s="9" t="s">
        <v>3</v>
      </c>
      <c r="E48" s="9" t="s">
        <v>3</v>
      </c>
      <c r="F48" s="9" t="s">
        <v>8</v>
      </c>
      <c r="G48" s="9" t="s">
        <v>9</v>
      </c>
      <c r="H48" s="10" t="s">
        <v>9</v>
      </c>
      <c r="I48" s="10" t="s">
        <v>8</v>
      </c>
      <c r="J48" s="9" t="s">
        <v>7</v>
      </c>
      <c r="K48" s="10" t="s">
        <v>6</v>
      </c>
    </row>
    <row r="49" spans="2:11" ht="19.5" thickBot="1" x14ac:dyDescent="0.35">
      <c r="B49" s="61"/>
      <c r="C49" s="11"/>
      <c r="D49" s="11" t="s">
        <v>5</v>
      </c>
      <c r="E49" s="11" t="s">
        <v>7</v>
      </c>
      <c r="F49" s="11" t="s">
        <v>3</v>
      </c>
      <c r="G49" s="11" t="s">
        <v>7</v>
      </c>
      <c r="H49" s="12" t="s">
        <v>5</v>
      </c>
      <c r="I49" s="12" t="s">
        <v>4</v>
      </c>
      <c r="J49" s="11"/>
      <c r="K49" s="12"/>
    </row>
    <row r="50" spans="2:11" ht="19.5" thickBot="1" x14ac:dyDescent="0.35">
      <c r="B50" s="68"/>
      <c r="C50" s="41" t="s">
        <v>0</v>
      </c>
      <c r="D50" s="40">
        <v>73800</v>
      </c>
      <c r="E50" s="40">
        <v>18762.990000000002</v>
      </c>
      <c r="F50" s="40">
        <f>SUM(D50:E50)</f>
        <v>92562.99</v>
      </c>
      <c r="G50" s="40">
        <v>0</v>
      </c>
      <c r="H50" s="30">
        <v>14428.56</v>
      </c>
      <c r="I50" s="30">
        <f>SUM(G50:H50)</f>
        <v>14428.56</v>
      </c>
      <c r="J50" s="30">
        <v>38134.99</v>
      </c>
      <c r="K50" s="34">
        <v>75096.740000000005</v>
      </c>
    </row>
    <row r="51" spans="2:11" ht="18.75" x14ac:dyDescent="0.3">
      <c r="B51" s="63">
        <v>44025</v>
      </c>
      <c r="C51" s="20" t="s">
        <v>528</v>
      </c>
      <c r="D51" s="21"/>
      <c r="E51" s="21"/>
      <c r="F51" s="21"/>
      <c r="G51" s="21"/>
      <c r="H51" s="57">
        <v>650</v>
      </c>
      <c r="I51" s="22"/>
      <c r="J51" s="23">
        <f>+J46+E51-G51</f>
        <v>38134.990000000005</v>
      </c>
      <c r="K51" s="23">
        <f>+K46+D51-H51</f>
        <v>74446.739999999991</v>
      </c>
    </row>
    <row r="52" spans="2:11" ht="18.75" x14ac:dyDescent="0.3">
      <c r="B52" s="63">
        <v>44026</v>
      </c>
      <c r="C52" s="27" t="s">
        <v>520</v>
      </c>
      <c r="D52" s="21"/>
      <c r="E52" s="21"/>
      <c r="F52" s="21"/>
      <c r="G52" s="21"/>
      <c r="H52" s="57">
        <v>695</v>
      </c>
      <c r="I52" s="22"/>
      <c r="J52" s="23">
        <f>+J51+E52-G52</f>
        <v>38134.990000000005</v>
      </c>
      <c r="K52" s="23">
        <f>+K51+D52-H52</f>
        <v>73751.739999999991</v>
      </c>
    </row>
    <row r="53" spans="2:11" ht="18.75" x14ac:dyDescent="0.3">
      <c r="B53" s="63">
        <v>44026</v>
      </c>
      <c r="C53" s="46" t="s">
        <v>531</v>
      </c>
      <c r="D53" s="21"/>
      <c r="E53" s="21"/>
      <c r="F53" s="21"/>
      <c r="G53" s="21"/>
      <c r="H53" s="57">
        <v>384.55</v>
      </c>
      <c r="I53" s="22"/>
      <c r="J53" s="23">
        <f t="shared" ref="J53:J91" si="2">+J52+E53-G53</f>
        <v>38134.990000000005</v>
      </c>
      <c r="K53" s="23">
        <f t="shared" ref="K53:K93" si="3">+K52+D53-H53</f>
        <v>73367.189999999988</v>
      </c>
    </row>
    <row r="54" spans="2:11" ht="18.75" x14ac:dyDescent="0.3">
      <c r="B54" s="63">
        <v>44027</v>
      </c>
      <c r="C54" s="24" t="s">
        <v>495</v>
      </c>
      <c r="D54" s="37"/>
      <c r="E54" s="21"/>
      <c r="F54" s="21"/>
      <c r="G54" s="21"/>
      <c r="H54" s="57">
        <v>150</v>
      </c>
      <c r="I54" s="22"/>
      <c r="J54" s="23">
        <f t="shared" si="2"/>
        <v>38134.990000000005</v>
      </c>
      <c r="K54" s="23">
        <f t="shared" si="3"/>
        <v>73217.189999999988</v>
      </c>
    </row>
    <row r="55" spans="2:11" ht="18.75" x14ac:dyDescent="0.3">
      <c r="B55" s="63">
        <v>44027</v>
      </c>
      <c r="C55" s="36" t="s">
        <v>496</v>
      </c>
      <c r="D55" s="55"/>
      <c r="E55" s="21"/>
      <c r="F55" s="21"/>
      <c r="G55" s="21"/>
      <c r="H55" s="21">
        <v>200</v>
      </c>
      <c r="I55" s="22"/>
      <c r="J55" s="23">
        <f t="shared" si="2"/>
        <v>38134.990000000005</v>
      </c>
      <c r="K55" s="23">
        <f t="shared" si="3"/>
        <v>73017.189999999988</v>
      </c>
    </row>
    <row r="56" spans="2:11" ht="18.75" x14ac:dyDescent="0.3">
      <c r="B56" s="63">
        <v>44027</v>
      </c>
      <c r="C56" s="24" t="s">
        <v>532</v>
      </c>
      <c r="D56" s="21"/>
      <c r="E56" s="21"/>
      <c r="F56" s="21"/>
      <c r="G56" s="21"/>
      <c r="H56" s="21">
        <v>300</v>
      </c>
      <c r="I56" s="22"/>
      <c r="J56" s="23">
        <f t="shared" si="2"/>
        <v>38134.990000000005</v>
      </c>
      <c r="K56" s="23">
        <f t="shared" si="3"/>
        <v>72717.189999999988</v>
      </c>
    </row>
    <row r="57" spans="2:11" ht="18.75" x14ac:dyDescent="0.3">
      <c r="B57" s="62">
        <v>44027</v>
      </c>
      <c r="C57" s="36" t="s">
        <v>422</v>
      </c>
      <c r="D57" s="17"/>
      <c r="E57" s="17"/>
      <c r="F57" s="17"/>
      <c r="G57" s="17"/>
      <c r="H57" s="17">
        <v>1700</v>
      </c>
      <c r="I57" s="18"/>
      <c r="J57" s="23">
        <f t="shared" si="2"/>
        <v>38134.990000000005</v>
      </c>
      <c r="K57" s="23">
        <f t="shared" si="3"/>
        <v>71017.189999999988</v>
      </c>
    </row>
    <row r="58" spans="2:11" ht="18.75" x14ac:dyDescent="0.3">
      <c r="B58" s="63">
        <v>44027</v>
      </c>
      <c r="C58" s="24" t="s">
        <v>529</v>
      </c>
      <c r="D58" s="21"/>
      <c r="E58" s="21"/>
      <c r="F58" s="21"/>
      <c r="G58" s="21"/>
      <c r="H58" s="21">
        <v>1000</v>
      </c>
      <c r="I58" s="22"/>
      <c r="J58" s="23">
        <f t="shared" si="2"/>
        <v>38134.990000000005</v>
      </c>
      <c r="K58" s="23">
        <f t="shared" si="3"/>
        <v>70017.189999999988</v>
      </c>
    </row>
    <row r="59" spans="2:11" ht="18.75" x14ac:dyDescent="0.3">
      <c r="B59" s="63">
        <v>44027</v>
      </c>
      <c r="C59" s="24" t="s">
        <v>363</v>
      </c>
      <c r="D59" s="21"/>
      <c r="E59" s="21"/>
      <c r="F59" s="21"/>
      <c r="G59" s="21"/>
      <c r="H59" s="21">
        <v>3000</v>
      </c>
      <c r="I59" s="22"/>
      <c r="J59" s="23">
        <f t="shared" si="2"/>
        <v>38134.990000000005</v>
      </c>
      <c r="K59" s="23">
        <f t="shared" si="3"/>
        <v>67017.189999999988</v>
      </c>
    </row>
    <row r="60" spans="2:11" ht="18.75" x14ac:dyDescent="0.3">
      <c r="B60" s="63">
        <v>44027</v>
      </c>
      <c r="C60" s="36" t="s">
        <v>151</v>
      </c>
      <c r="D60" s="21"/>
      <c r="E60" s="21"/>
      <c r="F60" s="21"/>
      <c r="G60" s="21"/>
      <c r="H60" s="21">
        <v>6000</v>
      </c>
      <c r="I60" s="22"/>
      <c r="J60" s="23">
        <f t="shared" si="2"/>
        <v>38134.990000000005</v>
      </c>
      <c r="K60" s="23">
        <f t="shared" si="3"/>
        <v>61017.189999999988</v>
      </c>
    </row>
    <row r="61" spans="2:11" ht="18.75" x14ac:dyDescent="0.3">
      <c r="B61" s="63">
        <v>44027</v>
      </c>
      <c r="C61" s="24" t="s">
        <v>530</v>
      </c>
      <c r="D61" s="37"/>
      <c r="E61" s="37"/>
      <c r="F61" s="37"/>
      <c r="G61" s="37"/>
      <c r="H61" s="21">
        <v>1350</v>
      </c>
      <c r="I61" s="22"/>
      <c r="J61" s="23">
        <f t="shared" si="2"/>
        <v>38134.990000000005</v>
      </c>
      <c r="K61" s="23">
        <f t="shared" si="3"/>
        <v>59667.189999999988</v>
      </c>
    </row>
    <row r="62" spans="2:11" ht="18.75" x14ac:dyDescent="0.3">
      <c r="B62" s="63">
        <v>44027</v>
      </c>
      <c r="C62" s="20" t="s">
        <v>325</v>
      </c>
      <c r="D62" s="37"/>
      <c r="E62" s="37"/>
      <c r="F62" s="37"/>
      <c r="G62" s="21"/>
      <c r="H62" s="21">
        <v>38300</v>
      </c>
      <c r="I62" s="22"/>
      <c r="J62" s="23">
        <f t="shared" si="2"/>
        <v>38134.990000000005</v>
      </c>
      <c r="K62" s="23">
        <f t="shared" si="3"/>
        <v>21367.189999999988</v>
      </c>
    </row>
    <row r="63" spans="2:11" ht="18.75" x14ac:dyDescent="0.3">
      <c r="B63" s="63">
        <v>44027</v>
      </c>
      <c r="C63" s="48" t="s">
        <v>299</v>
      </c>
      <c r="D63" s="37"/>
      <c r="E63" s="37"/>
      <c r="F63" s="37"/>
      <c r="G63" s="69"/>
      <c r="H63" s="21">
        <v>4650</v>
      </c>
      <c r="I63" s="22"/>
      <c r="J63" s="23">
        <f t="shared" si="2"/>
        <v>38134.990000000005</v>
      </c>
      <c r="K63" s="23">
        <f t="shared" si="3"/>
        <v>16717.189999999988</v>
      </c>
    </row>
    <row r="64" spans="2:11" ht="18.75" x14ac:dyDescent="0.3">
      <c r="B64" s="63">
        <v>44027</v>
      </c>
      <c r="C64" s="74" t="s">
        <v>449</v>
      </c>
      <c r="D64" s="21"/>
      <c r="E64" s="21"/>
      <c r="F64" s="21"/>
      <c r="G64" s="21">
        <v>1760</v>
      </c>
      <c r="H64" s="57"/>
      <c r="I64" s="22"/>
      <c r="J64" s="23">
        <f t="shared" si="2"/>
        <v>36374.990000000005</v>
      </c>
      <c r="K64" s="23">
        <f t="shared" si="3"/>
        <v>16717.189999999988</v>
      </c>
    </row>
    <row r="65" spans="2:11" ht="18.75" x14ac:dyDescent="0.3">
      <c r="B65" s="63">
        <v>44027</v>
      </c>
      <c r="C65" s="74" t="s">
        <v>450</v>
      </c>
      <c r="D65" s="21"/>
      <c r="E65" s="21"/>
      <c r="F65" s="21"/>
      <c r="G65" s="21">
        <v>1600</v>
      </c>
      <c r="H65" s="21"/>
      <c r="I65" s="22"/>
      <c r="J65" s="23">
        <f t="shared" si="2"/>
        <v>34774.990000000005</v>
      </c>
      <c r="K65" s="23">
        <f t="shared" si="3"/>
        <v>16717.189999999988</v>
      </c>
    </row>
    <row r="66" spans="2:11" ht="18.75" x14ac:dyDescent="0.3">
      <c r="B66" s="63">
        <v>44028</v>
      </c>
      <c r="C66" s="20" t="s">
        <v>533</v>
      </c>
      <c r="D66" s="21"/>
      <c r="E66" s="21"/>
      <c r="F66" s="21"/>
      <c r="G66" s="21"/>
      <c r="H66" s="21">
        <v>200</v>
      </c>
      <c r="I66" s="22"/>
      <c r="J66" s="23">
        <f t="shared" si="2"/>
        <v>34774.990000000005</v>
      </c>
      <c r="K66" s="23">
        <f t="shared" si="3"/>
        <v>16517.189999999988</v>
      </c>
    </row>
    <row r="67" spans="2:11" ht="18.75" x14ac:dyDescent="0.3">
      <c r="B67" s="63">
        <v>44028</v>
      </c>
      <c r="C67" s="58" t="s">
        <v>406</v>
      </c>
      <c r="D67" s="21"/>
      <c r="E67" s="21"/>
      <c r="F67" s="21"/>
      <c r="G67" s="21"/>
      <c r="H67" s="57">
        <v>300</v>
      </c>
      <c r="I67" s="22"/>
      <c r="J67" s="23">
        <f t="shared" si="2"/>
        <v>34774.990000000005</v>
      </c>
      <c r="K67" s="23">
        <f t="shared" si="3"/>
        <v>16217.189999999988</v>
      </c>
    </row>
    <row r="68" spans="2:11" ht="18.75" x14ac:dyDescent="0.3">
      <c r="B68" s="63">
        <v>44028</v>
      </c>
      <c r="C68" s="20" t="s">
        <v>534</v>
      </c>
      <c r="D68" s="21"/>
      <c r="E68" s="21"/>
      <c r="F68" s="21"/>
      <c r="G68" s="21"/>
      <c r="H68" s="21">
        <v>135</v>
      </c>
      <c r="I68" s="22"/>
      <c r="J68" s="23">
        <f t="shared" si="2"/>
        <v>34774.990000000005</v>
      </c>
      <c r="K68" s="23">
        <f t="shared" si="3"/>
        <v>16082.189999999988</v>
      </c>
    </row>
    <row r="69" spans="2:11" ht="18.75" x14ac:dyDescent="0.3">
      <c r="B69" s="63">
        <v>44028</v>
      </c>
      <c r="C69" s="20" t="s">
        <v>541</v>
      </c>
      <c r="D69" s="21"/>
      <c r="E69" s="21"/>
      <c r="F69" s="21"/>
      <c r="G69" s="21"/>
      <c r="H69" s="21">
        <v>11</v>
      </c>
      <c r="I69" s="22"/>
      <c r="J69" s="23">
        <f t="shared" si="2"/>
        <v>34774.990000000005</v>
      </c>
      <c r="K69" s="23">
        <f t="shared" si="3"/>
        <v>16071.189999999988</v>
      </c>
    </row>
    <row r="70" spans="2:11" ht="18.75" x14ac:dyDescent="0.3">
      <c r="B70" s="63">
        <v>44029</v>
      </c>
      <c r="C70" s="20" t="s">
        <v>466</v>
      </c>
      <c r="D70" s="21"/>
      <c r="E70" s="21"/>
      <c r="F70" s="21"/>
      <c r="G70" s="21"/>
      <c r="H70" s="21">
        <v>120</v>
      </c>
      <c r="I70" s="22"/>
      <c r="J70" s="23">
        <f t="shared" si="2"/>
        <v>34774.990000000005</v>
      </c>
      <c r="K70" s="23">
        <f t="shared" si="3"/>
        <v>15951.189999999988</v>
      </c>
    </row>
    <row r="71" spans="2:11" ht="18.75" x14ac:dyDescent="0.3">
      <c r="B71" s="63">
        <v>44029</v>
      </c>
      <c r="C71" s="20" t="s">
        <v>535</v>
      </c>
      <c r="D71" s="21"/>
      <c r="E71" s="21"/>
      <c r="F71" s="21"/>
      <c r="G71" s="21"/>
      <c r="H71" s="21">
        <v>294</v>
      </c>
      <c r="I71" s="22"/>
      <c r="J71" s="23">
        <f t="shared" si="2"/>
        <v>34774.990000000005</v>
      </c>
      <c r="K71" s="23">
        <f t="shared" si="3"/>
        <v>15657.189999999988</v>
      </c>
    </row>
    <row r="72" spans="2:11" ht="18.75" x14ac:dyDescent="0.3">
      <c r="B72" s="63">
        <v>44031</v>
      </c>
      <c r="C72" s="20" t="s">
        <v>536</v>
      </c>
      <c r="D72" s="21"/>
      <c r="E72" s="21"/>
      <c r="F72" s="21"/>
      <c r="G72" s="21"/>
      <c r="H72" s="21">
        <v>200</v>
      </c>
      <c r="I72" s="22"/>
      <c r="J72" s="23">
        <f t="shared" si="2"/>
        <v>34774.990000000005</v>
      </c>
      <c r="K72" s="23">
        <f t="shared" si="3"/>
        <v>15457.189999999988</v>
      </c>
    </row>
    <row r="73" spans="2:11" ht="18.75" x14ac:dyDescent="0.3">
      <c r="B73" s="63">
        <v>44031</v>
      </c>
      <c r="C73" s="24" t="s">
        <v>537</v>
      </c>
      <c r="D73" s="21"/>
      <c r="E73" s="21"/>
      <c r="F73" s="21"/>
      <c r="G73" s="21"/>
      <c r="H73" s="21">
        <v>100</v>
      </c>
      <c r="I73" s="22"/>
      <c r="J73" s="23">
        <f t="shared" si="2"/>
        <v>34774.990000000005</v>
      </c>
      <c r="K73" s="23">
        <f t="shared" si="3"/>
        <v>15357.189999999988</v>
      </c>
    </row>
    <row r="74" spans="2:11" ht="18.75" x14ac:dyDescent="0.3">
      <c r="B74" s="63">
        <v>44031</v>
      </c>
      <c r="C74" s="20" t="s">
        <v>538</v>
      </c>
      <c r="D74" s="21">
        <v>17100</v>
      </c>
      <c r="E74" s="21"/>
      <c r="F74" s="21"/>
      <c r="G74" s="21"/>
      <c r="H74" s="21"/>
      <c r="I74" s="22"/>
      <c r="J74" s="23">
        <f t="shared" si="2"/>
        <v>34774.990000000005</v>
      </c>
      <c r="K74" s="23">
        <f t="shared" si="3"/>
        <v>32457.189999999988</v>
      </c>
    </row>
    <row r="75" spans="2:11" ht="18.75" x14ac:dyDescent="0.3">
      <c r="B75" s="63">
        <v>44033</v>
      </c>
      <c r="C75" s="35" t="s">
        <v>539</v>
      </c>
      <c r="D75" s="37"/>
      <c r="E75" s="37"/>
      <c r="F75" s="37"/>
      <c r="G75" s="21"/>
      <c r="H75" s="21">
        <v>2700</v>
      </c>
      <c r="I75" s="22"/>
      <c r="J75" s="23">
        <f t="shared" si="2"/>
        <v>34774.990000000005</v>
      </c>
      <c r="K75" s="23">
        <f t="shared" si="3"/>
        <v>29757.189999999988</v>
      </c>
    </row>
    <row r="76" spans="2:11" ht="18.75" x14ac:dyDescent="0.3">
      <c r="B76" s="63">
        <v>44033</v>
      </c>
      <c r="C76" s="24" t="s">
        <v>540</v>
      </c>
      <c r="D76" s="21"/>
      <c r="E76" s="37"/>
      <c r="F76" s="21"/>
      <c r="G76" s="21"/>
      <c r="H76" s="21">
        <v>290</v>
      </c>
      <c r="I76" s="22"/>
      <c r="J76" s="23">
        <f t="shared" si="2"/>
        <v>34774.990000000005</v>
      </c>
      <c r="K76" s="23">
        <f t="shared" si="3"/>
        <v>29467.189999999988</v>
      </c>
    </row>
    <row r="77" spans="2:11" ht="18.75" x14ac:dyDescent="0.3">
      <c r="B77" s="63">
        <v>44034</v>
      </c>
      <c r="C77" s="20" t="s">
        <v>542</v>
      </c>
      <c r="D77" s="21"/>
      <c r="E77" s="21"/>
      <c r="F77" s="21"/>
      <c r="G77" s="21"/>
      <c r="H77" s="21">
        <v>105</v>
      </c>
      <c r="I77" s="22"/>
      <c r="J77" s="23">
        <f t="shared" si="2"/>
        <v>34774.990000000005</v>
      </c>
      <c r="K77" s="23">
        <f t="shared" si="3"/>
        <v>29362.189999999988</v>
      </c>
    </row>
    <row r="78" spans="2:11" ht="18.75" x14ac:dyDescent="0.3">
      <c r="B78" s="63">
        <v>44034</v>
      </c>
      <c r="C78" s="36" t="s">
        <v>543</v>
      </c>
      <c r="D78" s="21"/>
      <c r="E78" s="21"/>
      <c r="F78" s="21"/>
      <c r="G78" s="21"/>
      <c r="H78" s="21">
        <v>259</v>
      </c>
      <c r="I78" s="22"/>
      <c r="J78" s="23">
        <f t="shared" si="2"/>
        <v>34774.990000000005</v>
      </c>
      <c r="K78" s="23">
        <f t="shared" si="3"/>
        <v>29103.189999999988</v>
      </c>
    </row>
    <row r="79" spans="2:11" ht="18.75" x14ac:dyDescent="0.3">
      <c r="B79" s="63">
        <v>44036</v>
      </c>
      <c r="C79" s="20" t="s">
        <v>544</v>
      </c>
      <c r="D79" s="21"/>
      <c r="E79" s="21"/>
      <c r="F79" s="21"/>
      <c r="G79" s="21"/>
      <c r="H79" s="21">
        <v>97.4</v>
      </c>
      <c r="I79" s="22"/>
      <c r="J79" s="23">
        <f t="shared" si="2"/>
        <v>34774.990000000005</v>
      </c>
      <c r="K79" s="23">
        <f t="shared" si="3"/>
        <v>29005.789999999986</v>
      </c>
    </row>
    <row r="80" spans="2:11" ht="18.75" x14ac:dyDescent="0.3">
      <c r="B80" s="63">
        <v>44036</v>
      </c>
      <c r="C80" s="20" t="s">
        <v>466</v>
      </c>
      <c r="D80" s="21"/>
      <c r="E80" s="21"/>
      <c r="F80" s="21"/>
      <c r="G80" s="21"/>
      <c r="H80" s="21">
        <v>120</v>
      </c>
      <c r="I80" s="22"/>
      <c r="J80" s="23">
        <f t="shared" si="2"/>
        <v>34774.990000000005</v>
      </c>
      <c r="K80" s="23">
        <f t="shared" si="3"/>
        <v>28885.789999999986</v>
      </c>
    </row>
    <row r="81" spans="2:11" ht="18.75" x14ac:dyDescent="0.3">
      <c r="B81" s="62">
        <v>44036</v>
      </c>
      <c r="C81" s="64" t="s">
        <v>548</v>
      </c>
      <c r="D81" s="21"/>
      <c r="E81" s="21"/>
      <c r="F81" s="21"/>
      <c r="G81" s="21"/>
      <c r="H81" s="26">
        <v>700</v>
      </c>
      <c r="I81" s="22"/>
      <c r="J81" s="23">
        <f t="shared" si="2"/>
        <v>34774.990000000005</v>
      </c>
      <c r="K81" s="23">
        <f t="shared" si="3"/>
        <v>28185.789999999986</v>
      </c>
    </row>
    <row r="82" spans="2:11" ht="18.75" x14ac:dyDescent="0.3">
      <c r="B82" s="63">
        <v>44036</v>
      </c>
      <c r="C82" s="20" t="s">
        <v>545</v>
      </c>
      <c r="D82" s="37"/>
      <c r="E82" s="21"/>
      <c r="F82" s="21"/>
      <c r="G82" s="21"/>
      <c r="H82" s="21">
        <v>1491</v>
      </c>
      <c r="I82" s="22"/>
      <c r="J82" s="23">
        <f t="shared" si="2"/>
        <v>34774.990000000005</v>
      </c>
      <c r="K82" s="23">
        <f t="shared" si="3"/>
        <v>26694.789999999986</v>
      </c>
    </row>
    <row r="83" spans="2:11" ht="18.75" x14ac:dyDescent="0.3">
      <c r="B83" s="63">
        <v>44036</v>
      </c>
      <c r="C83" s="20" t="s">
        <v>546</v>
      </c>
      <c r="D83" s="37"/>
      <c r="E83" s="21"/>
      <c r="F83" s="21"/>
      <c r="G83" s="21"/>
      <c r="H83" s="21">
        <v>1200</v>
      </c>
      <c r="I83" s="22"/>
      <c r="J83" s="23">
        <f t="shared" si="2"/>
        <v>34774.990000000005</v>
      </c>
      <c r="K83" s="23">
        <f t="shared" si="3"/>
        <v>25494.789999999986</v>
      </c>
    </row>
    <row r="84" spans="2:11" ht="18.75" x14ac:dyDescent="0.3">
      <c r="B84" s="63">
        <v>24</v>
      </c>
      <c r="C84" s="36" t="s">
        <v>353</v>
      </c>
      <c r="D84" s="21"/>
      <c r="E84" s="21"/>
      <c r="F84" s="21"/>
      <c r="G84" s="21"/>
      <c r="H84" s="21">
        <v>500</v>
      </c>
      <c r="I84" s="22"/>
      <c r="J84" s="23">
        <f t="shared" si="2"/>
        <v>34774.990000000005</v>
      </c>
      <c r="K84" s="23">
        <f t="shared" si="3"/>
        <v>24994.789999999986</v>
      </c>
    </row>
    <row r="85" spans="2:11" ht="18.75" x14ac:dyDescent="0.3">
      <c r="B85" s="63">
        <v>44036</v>
      </c>
      <c r="C85" s="20" t="s">
        <v>156</v>
      </c>
      <c r="D85" s="21"/>
      <c r="E85" s="21"/>
      <c r="F85" s="21"/>
      <c r="G85" s="21"/>
      <c r="H85" s="21">
        <v>65.5</v>
      </c>
      <c r="I85" s="22"/>
      <c r="J85" s="23">
        <f t="shared" si="2"/>
        <v>34774.990000000005</v>
      </c>
      <c r="K85" s="23">
        <f t="shared" si="3"/>
        <v>24929.289999999986</v>
      </c>
    </row>
    <row r="86" spans="2:11" ht="18.75" x14ac:dyDescent="0.3">
      <c r="B86" s="63">
        <v>44036</v>
      </c>
      <c r="C86" s="20" t="s">
        <v>551</v>
      </c>
      <c r="D86" s="21"/>
      <c r="E86" s="21"/>
      <c r="F86" s="21"/>
      <c r="G86" s="21"/>
      <c r="H86" s="21">
        <v>28</v>
      </c>
      <c r="I86" s="22"/>
      <c r="J86" s="23">
        <f t="shared" si="2"/>
        <v>34774.990000000005</v>
      </c>
      <c r="K86" s="23">
        <f t="shared" si="3"/>
        <v>24901.289999999986</v>
      </c>
    </row>
    <row r="87" spans="2:11" ht="18.75" x14ac:dyDescent="0.3">
      <c r="B87" s="63">
        <v>44036</v>
      </c>
      <c r="C87" s="20" t="s">
        <v>552</v>
      </c>
      <c r="D87" s="21"/>
      <c r="E87" s="21"/>
      <c r="F87" s="21"/>
      <c r="G87" s="21"/>
      <c r="H87" s="21">
        <v>35.5</v>
      </c>
      <c r="I87" s="22"/>
      <c r="J87" s="23">
        <f t="shared" si="2"/>
        <v>34774.990000000005</v>
      </c>
      <c r="K87" s="23">
        <f t="shared" si="3"/>
        <v>24865.789999999986</v>
      </c>
    </row>
    <row r="88" spans="2:11" ht="18.75" x14ac:dyDescent="0.3">
      <c r="B88" s="63">
        <v>44036</v>
      </c>
      <c r="C88" s="20" t="s">
        <v>553</v>
      </c>
      <c r="D88" s="21"/>
      <c r="E88" s="21"/>
      <c r="F88" s="21"/>
      <c r="G88" s="21"/>
      <c r="H88" s="21">
        <v>49.96</v>
      </c>
      <c r="I88" s="22"/>
      <c r="J88" s="23">
        <f t="shared" si="2"/>
        <v>34774.990000000005</v>
      </c>
      <c r="K88" s="23">
        <f t="shared" si="3"/>
        <v>24815.829999999987</v>
      </c>
    </row>
    <row r="89" spans="2:11" ht="18.75" x14ac:dyDescent="0.3">
      <c r="B89" s="63">
        <v>44036</v>
      </c>
      <c r="C89" s="27" t="s">
        <v>520</v>
      </c>
      <c r="D89" s="21"/>
      <c r="E89" s="21"/>
      <c r="F89" s="21"/>
      <c r="G89" s="21"/>
      <c r="H89" s="57">
        <v>500</v>
      </c>
      <c r="I89" s="22"/>
      <c r="J89" s="23">
        <f t="shared" si="2"/>
        <v>34774.990000000005</v>
      </c>
      <c r="K89" s="23">
        <f t="shared" si="3"/>
        <v>24315.829999999987</v>
      </c>
    </row>
    <row r="90" spans="2:11" ht="18.75" x14ac:dyDescent="0.3">
      <c r="B90" s="63">
        <v>44036</v>
      </c>
      <c r="C90" s="27" t="s">
        <v>531</v>
      </c>
      <c r="D90" s="21"/>
      <c r="E90" s="21"/>
      <c r="F90" s="21"/>
      <c r="G90" s="21"/>
      <c r="H90" s="21">
        <v>285.33</v>
      </c>
      <c r="I90" s="22"/>
      <c r="J90" s="23">
        <f t="shared" si="2"/>
        <v>34774.990000000005</v>
      </c>
      <c r="K90" s="23">
        <f t="shared" si="3"/>
        <v>24030.499999999985</v>
      </c>
    </row>
    <row r="91" spans="2:11" ht="18.75" x14ac:dyDescent="0.3">
      <c r="B91" s="63">
        <v>44036</v>
      </c>
      <c r="C91" s="27" t="s">
        <v>531</v>
      </c>
      <c r="D91" s="21"/>
      <c r="E91" s="21"/>
      <c r="F91" s="21"/>
      <c r="G91" s="21"/>
      <c r="H91" s="21">
        <v>197.9</v>
      </c>
      <c r="I91" s="22"/>
      <c r="J91" s="23">
        <f t="shared" si="2"/>
        <v>34774.990000000005</v>
      </c>
      <c r="K91" s="23">
        <f t="shared" si="3"/>
        <v>23832.599999999984</v>
      </c>
    </row>
    <row r="92" spans="2:11" ht="18.75" x14ac:dyDescent="0.3">
      <c r="B92" s="63">
        <v>44038</v>
      </c>
      <c r="C92" s="20" t="s">
        <v>554</v>
      </c>
      <c r="D92" s="21">
        <v>19400</v>
      </c>
      <c r="E92" s="21"/>
      <c r="F92" s="21"/>
      <c r="G92" s="21"/>
      <c r="H92" s="21"/>
      <c r="I92" s="22"/>
      <c r="J92" s="23">
        <f>+J91+E92-G92</f>
        <v>34774.990000000005</v>
      </c>
      <c r="K92" s="23">
        <f t="shared" si="3"/>
        <v>43232.599999999984</v>
      </c>
    </row>
    <row r="93" spans="2:11" ht="19.5" thickBot="1" x14ac:dyDescent="0.35">
      <c r="B93" s="88">
        <v>44039</v>
      </c>
      <c r="C93" s="27" t="s">
        <v>564</v>
      </c>
      <c r="D93" s="26"/>
      <c r="E93" s="26">
        <v>500</v>
      </c>
      <c r="F93" s="26"/>
      <c r="G93" s="26"/>
      <c r="H93" s="26"/>
      <c r="I93" s="22"/>
      <c r="J93" s="23">
        <f>+J92+E93-G93</f>
        <v>35274.990000000005</v>
      </c>
      <c r="K93" s="23">
        <f t="shared" si="3"/>
        <v>43232.599999999984</v>
      </c>
    </row>
    <row r="94" spans="2:11" ht="19.5" thickBot="1" x14ac:dyDescent="0.35">
      <c r="B94" s="65"/>
      <c r="C94" s="29" t="s">
        <v>0</v>
      </c>
      <c r="D94" s="40">
        <f>SUM(D50:D93)</f>
        <v>110300</v>
      </c>
      <c r="E94" s="66">
        <f>SUM(E50:E93)</f>
        <v>19262.990000000002</v>
      </c>
      <c r="F94" s="67">
        <f>SUM(D94:E94)</f>
        <v>129562.99</v>
      </c>
      <c r="G94" s="67">
        <f>SUM(G50:G93)</f>
        <v>3360</v>
      </c>
      <c r="H94" s="30">
        <f>SUM(H50:H93)</f>
        <v>82792.7</v>
      </c>
      <c r="I94" s="32">
        <f>SUM(G94:H94)</f>
        <v>86152.7</v>
      </c>
      <c r="J94" s="34"/>
      <c r="K94" s="34"/>
    </row>
    <row r="95" spans="2:11" ht="18.75" x14ac:dyDescent="0.3">
      <c r="B95" s="60" t="s">
        <v>1</v>
      </c>
      <c r="C95" s="9" t="s">
        <v>2</v>
      </c>
      <c r="D95" s="9" t="s">
        <v>3</v>
      </c>
      <c r="E95" s="9" t="s">
        <v>3</v>
      </c>
      <c r="F95" s="9" t="s">
        <v>8</v>
      </c>
      <c r="G95" s="9" t="s">
        <v>9</v>
      </c>
      <c r="H95" s="10" t="s">
        <v>9</v>
      </c>
      <c r="I95" s="10" t="s">
        <v>8</v>
      </c>
      <c r="J95" s="9" t="s">
        <v>7</v>
      </c>
      <c r="K95" s="10" t="s">
        <v>6</v>
      </c>
    </row>
    <row r="96" spans="2:11" ht="19.5" thickBot="1" x14ac:dyDescent="0.35">
      <c r="B96" s="61"/>
      <c r="C96" s="11"/>
      <c r="D96" s="11" t="s">
        <v>5</v>
      </c>
      <c r="E96" s="11" t="s">
        <v>7</v>
      </c>
      <c r="F96" s="11" t="s">
        <v>3</v>
      </c>
      <c r="G96" s="11" t="s">
        <v>7</v>
      </c>
      <c r="H96" s="12" t="s">
        <v>5</v>
      </c>
      <c r="I96" s="12" t="s">
        <v>4</v>
      </c>
      <c r="J96" s="11"/>
      <c r="K96" s="12"/>
    </row>
    <row r="97" spans="2:11" ht="19.5" thickBot="1" x14ac:dyDescent="0.35">
      <c r="B97" s="68"/>
      <c r="C97" s="41"/>
      <c r="D97" s="40">
        <v>110300</v>
      </c>
      <c r="E97" s="40">
        <v>19262.990000000002</v>
      </c>
      <c r="F97" s="40">
        <f>SUM(D97:E97)</f>
        <v>129562.99</v>
      </c>
      <c r="G97" s="40">
        <v>3360</v>
      </c>
      <c r="H97" s="30">
        <v>82792.7</v>
      </c>
      <c r="I97" s="30">
        <f>SUM(G97:H97)</f>
        <v>86152.7</v>
      </c>
      <c r="J97" s="30">
        <v>35274.99</v>
      </c>
      <c r="K97" s="34">
        <v>43232.6</v>
      </c>
    </row>
    <row r="98" spans="2:11" ht="18.75" x14ac:dyDescent="0.3">
      <c r="B98" s="88">
        <v>44039</v>
      </c>
      <c r="C98" s="46" t="s">
        <v>565</v>
      </c>
      <c r="D98" s="26"/>
      <c r="E98" s="26">
        <v>1000</v>
      </c>
      <c r="F98" s="26"/>
      <c r="G98" s="26"/>
      <c r="H98" s="26"/>
      <c r="I98" s="22"/>
      <c r="J98" s="23">
        <f>+J97+E98-G98</f>
        <v>36274.99</v>
      </c>
      <c r="K98" s="23">
        <f>+K97+D98-H98</f>
        <v>43232.6</v>
      </c>
    </row>
    <row r="99" spans="2:11" ht="18.75" x14ac:dyDescent="0.3">
      <c r="B99" s="88">
        <v>44039</v>
      </c>
      <c r="C99" s="27" t="s">
        <v>566</v>
      </c>
      <c r="D99" s="26"/>
      <c r="E99" s="26">
        <v>1000.4</v>
      </c>
      <c r="F99" s="26"/>
      <c r="G99" s="26"/>
      <c r="H99" s="26"/>
      <c r="I99" s="22"/>
      <c r="J99" s="23">
        <f>+J98+E99-G99</f>
        <v>37275.39</v>
      </c>
      <c r="K99" s="23">
        <f>+K98+D99-H99</f>
        <v>43232.6</v>
      </c>
    </row>
    <row r="100" spans="2:11" ht="18.75" x14ac:dyDescent="0.3">
      <c r="B100" s="88">
        <v>44038</v>
      </c>
      <c r="C100" s="27" t="s">
        <v>559</v>
      </c>
      <c r="D100" s="26"/>
      <c r="E100" s="26"/>
      <c r="F100" s="26"/>
      <c r="G100" s="26"/>
      <c r="H100" s="26">
        <v>200</v>
      </c>
      <c r="I100" s="22"/>
      <c r="J100" s="23">
        <f t="shared" ref="J100:J125" si="4">+J99+E100-G100</f>
        <v>37275.39</v>
      </c>
      <c r="K100" s="23">
        <f t="shared" ref="K100:K125" si="5">+K99+D100-H100</f>
        <v>43032.6</v>
      </c>
    </row>
    <row r="101" spans="2:11" ht="18.75" x14ac:dyDescent="0.3">
      <c r="B101" s="88">
        <v>44038</v>
      </c>
      <c r="C101" s="46" t="s">
        <v>488</v>
      </c>
      <c r="D101" s="26"/>
      <c r="E101" s="26"/>
      <c r="F101" s="26"/>
      <c r="G101" s="26"/>
      <c r="H101" s="26">
        <v>100</v>
      </c>
      <c r="I101" s="22"/>
      <c r="J101" s="23">
        <f t="shared" si="4"/>
        <v>37275.39</v>
      </c>
      <c r="K101" s="23">
        <f t="shared" si="5"/>
        <v>42932.6</v>
      </c>
    </row>
    <row r="102" spans="2:11" ht="18.75" x14ac:dyDescent="0.3">
      <c r="B102" s="88">
        <v>44039</v>
      </c>
      <c r="C102" s="74" t="s">
        <v>558</v>
      </c>
      <c r="D102" s="26"/>
      <c r="E102" s="26"/>
      <c r="F102" s="26"/>
      <c r="G102" s="26"/>
      <c r="H102" s="26">
        <v>300</v>
      </c>
      <c r="I102" s="22"/>
      <c r="J102" s="23">
        <f t="shared" si="4"/>
        <v>37275.39</v>
      </c>
      <c r="K102" s="23">
        <f t="shared" si="5"/>
        <v>42632.6</v>
      </c>
    </row>
    <row r="103" spans="2:11" ht="18.75" x14ac:dyDescent="0.3">
      <c r="B103" s="88">
        <v>44039</v>
      </c>
      <c r="C103" s="74" t="s">
        <v>561</v>
      </c>
      <c r="D103" s="26"/>
      <c r="E103" s="26"/>
      <c r="F103" s="26"/>
      <c r="G103" s="26"/>
      <c r="H103" s="26">
        <v>300</v>
      </c>
      <c r="I103" s="22"/>
      <c r="J103" s="23">
        <f t="shared" si="4"/>
        <v>37275.39</v>
      </c>
      <c r="K103" s="23">
        <f t="shared" si="5"/>
        <v>42332.6</v>
      </c>
    </row>
    <row r="104" spans="2:11" ht="18.75" x14ac:dyDescent="0.3">
      <c r="B104" s="88">
        <v>44039</v>
      </c>
      <c r="C104" s="74" t="s">
        <v>466</v>
      </c>
      <c r="D104" s="26"/>
      <c r="E104" s="26"/>
      <c r="F104" s="26"/>
      <c r="G104" s="26"/>
      <c r="H104" s="26">
        <v>80</v>
      </c>
      <c r="I104" s="22"/>
      <c r="J104" s="23">
        <f t="shared" si="4"/>
        <v>37275.39</v>
      </c>
      <c r="K104" s="23">
        <f t="shared" si="5"/>
        <v>42252.6</v>
      </c>
    </row>
    <row r="105" spans="2:11" ht="18.75" x14ac:dyDescent="0.3">
      <c r="B105" s="63">
        <v>44039</v>
      </c>
      <c r="C105" s="20" t="s">
        <v>555</v>
      </c>
      <c r="D105" s="21"/>
      <c r="E105" s="21"/>
      <c r="F105" s="21"/>
      <c r="G105" s="21"/>
      <c r="H105" s="21">
        <v>143</v>
      </c>
      <c r="I105" s="22"/>
      <c r="J105" s="23">
        <f t="shared" si="4"/>
        <v>37275.39</v>
      </c>
      <c r="K105" s="23">
        <f t="shared" si="5"/>
        <v>42109.599999999999</v>
      </c>
    </row>
    <row r="106" spans="2:11" ht="18.75" x14ac:dyDescent="0.3">
      <c r="B106" s="63">
        <v>44039</v>
      </c>
      <c r="C106" s="24" t="s">
        <v>556</v>
      </c>
      <c r="D106" s="21"/>
      <c r="E106" s="21"/>
      <c r="F106" s="21"/>
      <c r="G106" s="21"/>
      <c r="H106" s="26">
        <v>1200</v>
      </c>
      <c r="I106" s="22"/>
      <c r="J106" s="23">
        <f t="shared" si="4"/>
        <v>37275.39</v>
      </c>
      <c r="K106" s="23">
        <f t="shared" si="5"/>
        <v>40909.599999999999</v>
      </c>
    </row>
    <row r="107" spans="2:11" ht="18.75" x14ac:dyDescent="0.3">
      <c r="B107" s="88">
        <v>44040</v>
      </c>
      <c r="C107" s="46" t="s">
        <v>563</v>
      </c>
      <c r="D107" s="26"/>
      <c r="E107" s="26"/>
      <c r="F107" s="26"/>
      <c r="G107" s="26"/>
      <c r="H107" s="26">
        <v>1600</v>
      </c>
      <c r="I107" s="22"/>
      <c r="J107" s="23">
        <f t="shared" si="4"/>
        <v>37275.39</v>
      </c>
      <c r="K107" s="23">
        <f t="shared" si="5"/>
        <v>39309.599999999999</v>
      </c>
    </row>
    <row r="108" spans="2:11" ht="18.75" x14ac:dyDescent="0.3">
      <c r="B108" s="88">
        <v>44041</v>
      </c>
      <c r="C108" s="20" t="s">
        <v>108</v>
      </c>
      <c r="D108" s="26"/>
      <c r="E108" s="26"/>
      <c r="F108" s="26"/>
      <c r="G108" s="26">
        <v>200</v>
      </c>
      <c r="H108" s="26"/>
      <c r="I108" s="22"/>
      <c r="J108" s="23">
        <f t="shared" si="4"/>
        <v>37075.39</v>
      </c>
      <c r="K108" s="23">
        <f t="shared" si="5"/>
        <v>39309.599999999999</v>
      </c>
    </row>
    <row r="109" spans="2:11" ht="18.75" x14ac:dyDescent="0.3">
      <c r="B109" s="88">
        <v>44041</v>
      </c>
      <c r="C109" s="24" t="s">
        <v>109</v>
      </c>
      <c r="D109" s="26"/>
      <c r="E109" s="26"/>
      <c r="F109" s="26"/>
      <c r="G109" s="26">
        <v>32</v>
      </c>
      <c r="H109" s="26"/>
      <c r="I109" s="22"/>
      <c r="J109" s="23">
        <f t="shared" si="4"/>
        <v>37043.39</v>
      </c>
      <c r="K109" s="23">
        <f t="shared" si="5"/>
        <v>39309.599999999999</v>
      </c>
    </row>
    <row r="110" spans="2:11" ht="18.75" x14ac:dyDescent="0.3">
      <c r="B110" s="88">
        <v>44043</v>
      </c>
      <c r="C110" s="46" t="s">
        <v>557</v>
      </c>
      <c r="D110" s="26"/>
      <c r="E110" s="26"/>
      <c r="F110" s="26"/>
      <c r="G110" s="26"/>
      <c r="H110" s="26">
        <v>300</v>
      </c>
      <c r="I110" s="22"/>
      <c r="J110" s="23">
        <f t="shared" si="4"/>
        <v>37043.39</v>
      </c>
      <c r="K110" s="23">
        <f t="shared" si="5"/>
        <v>39009.599999999999</v>
      </c>
    </row>
    <row r="111" spans="2:11" ht="18.75" x14ac:dyDescent="0.3">
      <c r="B111" s="88">
        <v>44043</v>
      </c>
      <c r="C111" s="46" t="s">
        <v>562</v>
      </c>
      <c r="D111" s="26"/>
      <c r="E111" s="26"/>
      <c r="F111" s="26"/>
      <c r="G111" s="26"/>
      <c r="H111" s="26">
        <v>650</v>
      </c>
      <c r="I111" s="22"/>
      <c r="J111" s="23">
        <f t="shared" si="4"/>
        <v>37043.39</v>
      </c>
      <c r="K111" s="23">
        <f t="shared" si="5"/>
        <v>38359.599999999999</v>
      </c>
    </row>
    <row r="112" spans="2:11" ht="18.75" x14ac:dyDescent="0.3">
      <c r="B112" s="63">
        <v>44043</v>
      </c>
      <c r="C112" s="24" t="s">
        <v>550</v>
      </c>
      <c r="D112" s="21"/>
      <c r="E112" s="21"/>
      <c r="F112" s="21"/>
      <c r="G112" s="21"/>
      <c r="H112" s="26">
        <v>1300</v>
      </c>
      <c r="I112" s="22"/>
      <c r="J112" s="23">
        <f t="shared" si="4"/>
        <v>37043.39</v>
      </c>
      <c r="K112" s="23">
        <f t="shared" si="5"/>
        <v>37059.599999999999</v>
      </c>
    </row>
    <row r="113" spans="2:11" ht="18.75" x14ac:dyDescent="0.3">
      <c r="B113" s="63">
        <v>44043</v>
      </c>
      <c r="C113" s="24" t="s">
        <v>549</v>
      </c>
      <c r="D113" s="21"/>
      <c r="E113" s="21"/>
      <c r="F113" s="21"/>
      <c r="G113" s="21"/>
      <c r="H113" s="21">
        <v>1000</v>
      </c>
      <c r="I113" s="22"/>
      <c r="J113" s="23">
        <f t="shared" si="4"/>
        <v>37043.39</v>
      </c>
      <c r="K113" s="23">
        <f t="shared" si="5"/>
        <v>36059.599999999999</v>
      </c>
    </row>
    <row r="114" spans="2:11" ht="18.75" x14ac:dyDescent="0.3">
      <c r="B114" s="63">
        <v>44043</v>
      </c>
      <c r="C114" s="36" t="s">
        <v>422</v>
      </c>
      <c r="D114" s="21"/>
      <c r="E114" s="21"/>
      <c r="F114" s="21"/>
      <c r="G114" s="21"/>
      <c r="H114" s="21">
        <v>2000</v>
      </c>
      <c r="I114" s="22"/>
      <c r="J114" s="23">
        <f t="shared" si="4"/>
        <v>37043.39</v>
      </c>
      <c r="K114" s="23">
        <f t="shared" si="5"/>
        <v>34059.599999999999</v>
      </c>
    </row>
    <row r="115" spans="2:11" ht="18.75" x14ac:dyDescent="0.3">
      <c r="B115" s="63">
        <v>44043</v>
      </c>
      <c r="C115" s="58" t="s">
        <v>351</v>
      </c>
      <c r="D115" s="21"/>
      <c r="E115" s="21"/>
      <c r="F115" s="21"/>
      <c r="G115" s="21"/>
      <c r="H115" s="21">
        <v>3000</v>
      </c>
      <c r="I115" s="22"/>
      <c r="J115" s="23">
        <f t="shared" si="4"/>
        <v>37043.39</v>
      </c>
      <c r="K115" s="23">
        <f t="shared" si="5"/>
        <v>31059.599999999999</v>
      </c>
    </row>
    <row r="116" spans="2:11" ht="18.75" x14ac:dyDescent="0.3">
      <c r="B116" s="63">
        <v>44043</v>
      </c>
      <c r="C116" s="24" t="s">
        <v>361</v>
      </c>
      <c r="D116" s="21"/>
      <c r="E116" s="21"/>
      <c r="F116" s="21"/>
      <c r="G116" s="21"/>
      <c r="H116" s="21">
        <v>3000</v>
      </c>
      <c r="I116" s="22"/>
      <c r="J116" s="23">
        <f t="shared" si="4"/>
        <v>37043.39</v>
      </c>
      <c r="K116" s="23">
        <f t="shared" si="5"/>
        <v>28059.599999999999</v>
      </c>
    </row>
    <row r="117" spans="2:11" ht="18.75" x14ac:dyDescent="0.3">
      <c r="B117" s="63">
        <v>44043</v>
      </c>
      <c r="C117" s="48" t="s">
        <v>362</v>
      </c>
      <c r="D117" s="21"/>
      <c r="E117" s="21"/>
      <c r="F117" s="21"/>
      <c r="G117" s="21"/>
      <c r="H117" s="21">
        <v>3000</v>
      </c>
      <c r="I117" s="22"/>
      <c r="J117" s="23">
        <f t="shared" si="4"/>
        <v>37043.39</v>
      </c>
      <c r="K117" s="23">
        <f t="shared" si="5"/>
        <v>25059.599999999999</v>
      </c>
    </row>
    <row r="118" spans="2:11" ht="18.75" x14ac:dyDescent="0.3">
      <c r="B118" s="63">
        <v>44043</v>
      </c>
      <c r="C118" s="20" t="s">
        <v>478</v>
      </c>
      <c r="D118" s="21"/>
      <c r="E118" s="21"/>
      <c r="F118" s="21"/>
      <c r="G118" s="21">
        <v>30000</v>
      </c>
      <c r="H118" s="21"/>
      <c r="I118" s="22"/>
      <c r="J118" s="23">
        <f t="shared" si="4"/>
        <v>7043.3899999999994</v>
      </c>
      <c r="K118" s="23">
        <f t="shared" si="5"/>
        <v>25059.599999999999</v>
      </c>
    </row>
    <row r="119" spans="2:11" ht="18.75" x14ac:dyDescent="0.3">
      <c r="B119" s="63">
        <v>44043</v>
      </c>
      <c r="C119" s="20" t="s">
        <v>272</v>
      </c>
      <c r="D119" s="21"/>
      <c r="E119" s="21"/>
      <c r="F119" s="21"/>
      <c r="G119" s="21"/>
      <c r="H119" s="21">
        <v>8300</v>
      </c>
      <c r="I119" s="22"/>
      <c r="J119" s="23">
        <f t="shared" si="4"/>
        <v>7043.3899999999994</v>
      </c>
      <c r="K119" s="23">
        <f t="shared" si="5"/>
        <v>16759.599999999999</v>
      </c>
    </row>
    <row r="120" spans="2:11" ht="18.75" x14ac:dyDescent="0.3">
      <c r="B120" s="63">
        <v>44043</v>
      </c>
      <c r="C120" s="48" t="s">
        <v>299</v>
      </c>
      <c r="D120" s="21"/>
      <c r="E120" s="21"/>
      <c r="F120" s="21"/>
      <c r="G120" s="21"/>
      <c r="H120" s="21">
        <v>4800</v>
      </c>
      <c r="I120" s="22"/>
      <c r="J120" s="23">
        <f t="shared" si="4"/>
        <v>7043.3899999999994</v>
      </c>
      <c r="K120" s="23">
        <f t="shared" si="5"/>
        <v>11959.599999999999</v>
      </c>
    </row>
    <row r="121" spans="2:11" ht="18.75" x14ac:dyDescent="0.3">
      <c r="B121" s="63">
        <v>44043</v>
      </c>
      <c r="C121" s="48" t="s">
        <v>567</v>
      </c>
      <c r="D121" s="21"/>
      <c r="E121" s="21">
        <v>1000.37</v>
      </c>
      <c r="F121" s="21"/>
      <c r="G121" s="21"/>
      <c r="H121" s="21"/>
      <c r="I121" s="22"/>
      <c r="J121" s="23">
        <f t="shared" si="4"/>
        <v>8043.7599999999993</v>
      </c>
      <c r="K121" s="23">
        <f t="shared" si="5"/>
        <v>11959.599999999999</v>
      </c>
    </row>
    <row r="122" spans="2:11" ht="18.75" x14ac:dyDescent="0.3">
      <c r="B122" s="56">
        <v>44043</v>
      </c>
      <c r="C122" s="20" t="s">
        <v>110</v>
      </c>
      <c r="D122" s="37"/>
      <c r="E122" s="21"/>
      <c r="F122" s="21"/>
      <c r="G122" s="21">
        <v>36</v>
      </c>
      <c r="H122" s="21"/>
      <c r="I122" s="22"/>
      <c r="J122" s="23">
        <f t="shared" si="4"/>
        <v>8007.7599999999993</v>
      </c>
      <c r="K122" s="23">
        <f t="shared" si="5"/>
        <v>11959.599999999999</v>
      </c>
    </row>
    <row r="123" spans="2:11" ht="18.75" x14ac:dyDescent="0.3">
      <c r="B123" s="56">
        <v>44043</v>
      </c>
      <c r="C123" s="24" t="s">
        <v>111</v>
      </c>
      <c r="D123" s="37"/>
      <c r="E123" s="21"/>
      <c r="F123" s="21"/>
      <c r="G123" s="21">
        <v>5.76</v>
      </c>
      <c r="H123" s="21"/>
      <c r="I123" s="22"/>
      <c r="J123" s="23">
        <f t="shared" si="4"/>
        <v>8001.9999999999991</v>
      </c>
      <c r="K123" s="23">
        <f t="shared" si="5"/>
        <v>11959.599999999999</v>
      </c>
    </row>
    <row r="124" spans="2:11" ht="18.75" x14ac:dyDescent="0.3">
      <c r="B124" s="63"/>
      <c r="C124" s="48"/>
      <c r="D124" s="21"/>
      <c r="E124" s="21"/>
      <c r="F124" s="21"/>
      <c r="G124" s="21"/>
      <c r="H124" s="21"/>
      <c r="I124" s="22"/>
      <c r="J124" s="23">
        <f t="shared" si="4"/>
        <v>8001.9999999999991</v>
      </c>
      <c r="K124" s="23">
        <f t="shared" si="5"/>
        <v>11959.599999999999</v>
      </c>
    </row>
    <row r="125" spans="2:11" ht="19.5" thickBot="1" x14ac:dyDescent="0.35">
      <c r="B125" s="63"/>
      <c r="C125" s="48"/>
      <c r="D125" s="21"/>
      <c r="E125" s="21"/>
      <c r="F125" s="21"/>
      <c r="G125" s="21"/>
      <c r="H125" s="21"/>
      <c r="I125" s="22"/>
      <c r="J125" s="23">
        <f t="shared" si="4"/>
        <v>8001.9999999999991</v>
      </c>
      <c r="K125" s="23">
        <f t="shared" si="5"/>
        <v>11959.599999999999</v>
      </c>
    </row>
    <row r="126" spans="2:11" ht="19.5" thickBot="1" x14ac:dyDescent="0.35">
      <c r="B126" s="65"/>
      <c r="C126" s="29" t="s">
        <v>0</v>
      </c>
      <c r="D126" s="40">
        <f>SUM(D97:D125)</f>
        <v>110300</v>
      </c>
      <c r="E126" s="66">
        <f>SUM(E97:E125)</f>
        <v>22263.760000000002</v>
      </c>
      <c r="F126" s="67">
        <f>SUM(D126:E126)</f>
        <v>132563.76</v>
      </c>
      <c r="G126" s="67">
        <f>SUM(G97:G125)</f>
        <v>33633.760000000002</v>
      </c>
      <c r="H126" s="30">
        <f>SUM(H97:H125)</f>
        <v>114065.7</v>
      </c>
      <c r="I126" s="32">
        <f>SUM(G126:H126)</f>
        <v>147699.46</v>
      </c>
      <c r="J126" s="34"/>
      <c r="K126" s="34"/>
    </row>
    <row r="127" spans="2:11" ht="19.5" thickBot="1" x14ac:dyDescent="0.35">
      <c r="B127" s="70"/>
      <c r="C127" s="7"/>
      <c r="D127" s="7"/>
      <c r="E127" s="7"/>
      <c r="F127" s="7"/>
      <c r="G127" s="7"/>
      <c r="H127" s="7"/>
      <c r="I127" s="38" t="s">
        <v>7</v>
      </c>
      <c r="J127" s="38" t="s">
        <v>6</v>
      </c>
      <c r="K127" s="39" t="s">
        <v>0</v>
      </c>
    </row>
    <row r="128" spans="2:11" ht="19.5" thickBot="1" x14ac:dyDescent="0.35">
      <c r="B128" s="70"/>
      <c r="C128" s="7"/>
      <c r="D128" s="7"/>
      <c r="E128" s="7"/>
      <c r="F128" s="7"/>
      <c r="G128" s="7"/>
      <c r="H128" s="7"/>
      <c r="I128" s="34">
        <v>8002</v>
      </c>
      <c r="J128" s="34">
        <v>11959.6</v>
      </c>
      <c r="K128" s="34">
        <f>SUM(I128:J128)</f>
        <v>19961.599999999999</v>
      </c>
    </row>
  </sheetData>
  <printOptions verticalCentered="1"/>
  <pageMargins left="0" right="0" top="0" bottom="0" header="0.31496062992125984" footer="0.31496062992125984"/>
  <pageSetup paperSize="9" scale="68" fitToHeight="0"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4">
    <pageSetUpPr fitToPage="1"/>
  </sheetPr>
  <dimension ref="B1:M144"/>
  <sheetViews>
    <sheetView zoomScale="80" zoomScaleNormal="80" workbookViewId="0">
      <pane ySplit="3" topLeftCell="A4" activePane="bottomLeft" state="frozen"/>
      <selection activeCell="B1" sqref="B1"/>
      <selection pane="bottomLeft" activeCell="C1" sqref="C1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C1" s="8" t="s">
        <v>24</v>
      </c>
    </row>
    <row r="2" spans="2:11" ht="18.75" x14ac:dyDescent="0.3">
      <c r="B2" s="60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6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3">
        <v>44043</v>
      </c>
      <c r="C4" s="14" t="s">
        <v>22</v>
      </c>
      <c r="D4" s="15"/>
      <c r="E4" s="16"/>
      <c r="F4" s="16"/>
      <c r="G4" s="16"/>
      <c r="H4" s="17"/>
      <c r="I4" s="18"/>
      <c r="J4" s="19">
        <v>8002</v>
      </c>
      <c r="K4" s="59">
        <v>11959.6</v>
      </c>
    </row>
    <row r="5" spans="2:11" ht="18.75" x14ac:dyDescent="0.3">
      <c r="B5" s="62">
        <v>44044</v>
      </c>
      <c r="C5" s="24" t="s">
        <v>495</v>
      </c>
      <c r="D5" s="21"/>
      <c r="E5" s="21"/>
      <c r="F5" s="21"/>
      <c r="G5" s="21"/>
      <c r="H5" s="21">
        <v>200</v>
      </c>
      <c r="I5" s="22"/>
      <c r="J5" s="23">
        <f>+J4+E5-G5</f>
        <v>8002</v>
      </c>
      <c r="K5" s="23">
        <f>+K4+D5-H5</f>
        <v>11759.6</v>
      </c>
    </row>
    <row r="6" spans="2:11" ht="18.75" x14ac:dyDescent="0.3">
      <c r="B6" s="62">
        <v>44045</v>
      </c>
      <c r="C6" s="20" t="s">
        <v>156</v>
      </c>
      <c r="D6" s="21"/>
      <c r="E6" s="21"/>
      <c r="F6" s="21"/>
      <c r="G6" s="21"/>
      <c r="H6" s="21">
        <v>65.900000000000006</v>
      </c>
      <c r="I6" s="22"/>
      <c r="J6" s="23">
        <f t="shared" ref="J6:J51" si="0">+J5+E6-G6</f>
        <v>8002</v>
      </c>
      <c r="K6" s="23">
        <f t="shared" ref="K6:K51" si="1">+K5+D6-H6</f>
        <v>11693.7</v>
      </c>
    </row>
    <row r="7" spans="2:11" ht="18.75" x14ac:dyDescent="0.3">
      <c r="B7" s="63">
        <v>44045</v>
      </c>
      <c r="C7" s="45" t="s">
        <v>280</v>
      </c>
      <c r="D7" s="21">
        <v>41300</v>
      </c>
      <c r="E7" s="21"/>
      <c r="F7" s="21"/>
      <c r="G7" s="21"/>
      <c r="H7" s="57"/>
      <c r="I7" s="22"/>
      <c r="J7" s="23">
        <f t="shared" si="0"/>
        <v>8002</v>
      </c>
      <c r="K7" s="23">
        <f t="shared" si="1"/>
        <v>52993.7</v>
      </c>
    </row>
    <row r="8" spans="2:11" ht="18.75" x14ac:dyDescent="0.3">
      <c r="B8" s="63">
        <v>44044</v>
      </c>
      <c r="C8" s="20" t="s">
        <v>573</v>
      </c>
      <c r="D8" s="21"/>
      <c r="E8" s="21">
        <v>500.68</v>
      </c>
      <c r="F8" s="21"/>
      <c r="G8" s="21"/>
      <c r="H8" s="21"/>
      <c r="I8" s="22"/>
      <c r="J8" s="23">
        <f t="shared" si="0"/>
        <v>8502.68</v>
      </c>
      <c r="K8" s="23">
        <f t="shared" si="1"/>
        <v>52993.7</v>
      </c>
    </row>
    <row r="9" spans="2:11" ht="18.75" x14ac:dyDescent="0.3">
      <c r="B9" s="63">
        <v>44046</v>
      </c>
      <c r="C9" s="20" t="s">
        <v>574</v>
      </c>
      <c r="D9" s="21"/>
      <c r="E9" s="21">
        <v>250.62</v>
      </c>
      <c r="F9" s="21"/>
      <c r="G9" s="21"/>
      <c r="H9" s="57"/>
      <c r="I9" s="22"/>
      <c r="J9" s="23">
        <f t="shared" si="0"/>
        <v>8753.3000000000011</v>
      </c>
      <c r="K9" s="23">
        <f t="shared" si="1"/>
        <v>52993.7</v>
      </c>
    </row>
    <row r="10" spans="2:11" ht="18.75" x14ac:dyDescent="0.3">
      <c r="B10" s="63">
        <v>44046</v>
      </c>
      <c r="C10" s="20" t="s">
        <v>575</v>
      </c>
      <c r="D10" s="21"/>
      <c r="E10" s="21">
        <v>500.11</v>
      </c>
      <c r="F10" s="21"/>
      <c r="G10" s="21"/>
      <c r="H10" s="21"/>
      <c r="I10" s="22"/>
      <c r="J10" s="23">
        <f t="shared" si="0"/>
        <v>9253.4100000000017</v>
      </c>
      <c r="K10" s="23">
        <f t="shared" si="1"/>
        <v>52993.7</v>
      </c>
    </row>
    <row r="11" spans="2:11" ht="18.75" x14ac:dyDescent="0.3">
      <c r="B11" s="63">
        <v>44047</v>
      </c>
      <c r="C11" s="20" t="s">
        <v>576</v>
      </c>
      <c r="D11" s="21"/>
      <c r="E11" s="21">
        <v>500.46</v>
      </c>
      <c r="F11" s="21"/>
      <c r="G11" s="21"/>
      <c r="H11" s="21"/>
      <c r="I11" s="22"/>
      <c r="J11" s="23">
        <f t="shared" si="0"/>
        <v>9753.8700000000008</v>
      </c>
      <c r="K11" s="23">
        <f t="shared" si="1"/>
        <v>52993.7</v>
      </c>
    </row>
    <row r="12" spans="2:11" ht="18.75" x14ac:dyDescent="0.3">
      <c r="B12" s="63">
        <v>44045</v>
      </c>
      <c r="C12" s="58" t="s">
        <v>459</v>
      </c>
      <c r="D12" s="21"/>
      <c r="E12" s="21"/>
      <c r="F12" s="21"/>
      <c r="G12" s="21"/>
      <c r="H12" s="57">
        <v>100</v>
      </c>
      <c r="I12" s="22"/>
      <c r="J12" s="23">
        <f t="shared" si="0"/>
        <v>9753.8700000000008</v>
      </c>
      <c r="K12" s="23">
        <f t="shared" si="1"/>
        <v>52893.7</v>
      </c>
    </row>
    <row r="13" spans="2:11" ht="18.75" x14ac:dyDescent="0.3">
      <c r="B13" s="63">
        <v>44045</v>
      </c>
      <c r="C13" s="36" t="s">
        <v>512</v>
      </c>
      <c r="D13" s="21"/>
      <c r="E13" s="21"/>
      <c r="F13" s="21"/>
      <c r="G13" s="21"/>
      <c r="H13" s="21">
        <v>200</v>
      </c>
      <c r="I13" s="22"/>
      <c r="J13" s="23">
        <f t="shared" si="0"/>
        <v>9753.8700000000008</v>
      </c>
      <c r="K13" s="23">
        <f t="shared" si="1"/>
        <v>52693.7</v>
      </c>
    </row>
    <row r="14" spans="2:11" ht="18.75" x14ac:dyDescent="0.3">
      <c r="B14" s="63">
        <v>44045</v>
      </c>
      <c r="C14" s="20" t="s">
        <v>593</v>
      </c>
      <c r="D14" s="21"/>
      <c r="E14" s="21"/>
      <c r="F14" s="21"/>
      <c r="G14" s="21"/>
      <c r="H14" s="57">
        <v>1000</v>
      </c>
      <c r="I14" s="22"/>
      <c r="J14" s="23">
        <f t="shared" si="0"/>
        <v>9753.8700000000008</v>
      </c>
      <c r="K14" s="23">
        <f t="shared" si="1"/>
        <v>51693.7</v>
      </c>
    </row>
    <row r="15" spans="2:11" ht="18.75" x14ac:dyDescent="0.3">
      <c r="B15" s="63">
        <v>44046</v>
      </c>
      <c r="C15" s="24" t="s">
        <v>594</v>
      </c>
      <c r="D15" s="21"/>
      <c r="E15" s="21"/>
      <c r="F15" s="21"/>
      <c r="G15" s="21"/>
      <c r="H15" s="21">
        <v>785</v>
      </c>
      <c r="I15" s="22"/>
      <c r="J15" s="23">
        <f t="shared" si="0"/>
        <v>9753.8700000000008</v>
      </c>
      <c r="K15" s="23">
        <f t="shared" si="1"/>
        <v>50908.7</v>
      </c>
    </row>
    <row r="16" spans="2:11" ht="18.75" x14ac:dyDescent="0.3">
      <c r="B16" s="63">
        <v>44047</v>
      </c>
      <c r="C16" s="20" t="s">
        <v>595</v>
      </c>
      <c r="D16" s="21"/>
      <c r="E16" s="21"/>
      <c r="F16" s="21"/>
      <c r="G16" s="21"/>
      <c r="H16" s="21">
        <v>16.86</v>
      </c>
      <c r="I16" s="22"/>
      <c r="J16" s="23">
        <f t="shared" si="0"/>
        <v>9753.8700000000008</v>
      </c>
      <c r="K16" s="23">
        <f t="shared" si="1"/>
        <v>50891.839999999997</v>
      </c>
    </row>
    <row r="17" spans="2:11" ht="18.75" x14ac:dyDescent="0.3">
      <c r="B17" s="63">
        <v>44047</v>
      </c>
      <c r="C17" s="74" t="s">
        <v>596</v>
      </c>
      <c r="D17" s="21"/>
      <c r="E17" s="21"/>
      <c r="F17" s="21"/>
      <c r="G17" s="21"/>
      <c r="H17" s="21">
        <v>300</v>
      </c>
      <c r="I17" s="22"/>
      <c r="J17" s="23">
        <f t="shared" si="0"/>
        <v>9753.8700000000008</v>
      </c>
      <c r="K17" s="23">
        <f t="shared" si="1"/>
        <v>50591.839999999997</v>
      </c>
    </row>
    <row r="18" spans="2:11" ht="18.75" x14ac:dyDescent="0.3">
      <c r="B18" s="63">
        <v>44047</v>
      </c>
      <c r="C18" s="20" t="s">
        <v>656</v>
      </c>
      <c r="D18" s="21"/>
      <c r="E18" s="21"/>
      <c r="F18" s="21"/>
      <c r="G18" s="21"/>
      <c r="H18" s="21">
        <v>1200</v>
      </c>
      <c r="I18" s="22"/>
      <c r="J18" s="23">
        <f t="shared" si="0"/>
        <v>9753.8700000000008</v>
      </c>
      <c r="K18" s="23">
        <f t="shared" si="1"/>
        <v>49391.839999999997</v>
      </c>
    </row>
    <row r="19" spans="2:11" ht="18.75" x14ac:dyDescent="0.3">
      <c r="B19" s="63">
        <v>44047</v>
      </c>
      <c r="C19" s="20" t="s">
        <v>621</v>
      </c>
      <c r="D19" s="21"/>
      <c r="E19" s="21"/>
      <c r="F19" s="21"/>
      <c r="G19" s="21"/>
      <c r="H19" s="21">
        <v>500</v>
      </c>
      <c r="I19" s="22"/>
      <c r="J19" s="23">
        <f t="shared" si="0"/>
        <v>9753.8700000000008</v>
      </c>
      <c r="K19" s="23">
        <f t="shared" si="1"/>
        <v>48891.839999999997</v>
      </c>
    </row>
    <row r="20" spans="2:11" ht="18.75" x14ac:dyDescent="0.3">
      <c r="B20" s="63">
        <v>44047</v>
      </c>
      <c r="C20" s="27" t="s">
        <v>520</v>
      </c>
      <c r="D20" s="21"/>
      <c r="E20" s="21"/>
      <c r="F20" s="21"/>
      <c r="G20" s="21"/>
      <c r="H20" s="21">
        <v>500</v>
      </c>
      <c r="I20" s="22"/>
      <c r="J20" s="23">
        <f t="shared" si="0"/>
        <v>9753.8700000000008</v>
      </c>
      <c r="K20" s="23">
        <f t="shared" si="1"/>
        <v>48391.839999999997</v>
      </c>
    </row>
    <row r="21" spans="2:11" ht="18.75" x14ac:dyDescent="0.3">
      <c r="B21" s="63">
        <v>44048</v>
      </c>
      <c r="C21" s="20" t="s">
        <v>597</v>
      </c>
      <c r="D21" s="21"/>
      <c r="E21" s="21"/>
      <c r="F21" s="21"/>
      <c r="G21" s="21"/>
      <c r="H21" s="57">
        <v>446.7</v>
      </c>
      <c r="I21" s="22"/>
      <c r="J21" s="23">
        <f t="shared" si="0"/>
        <v>9753.8700000000008</v>
      </c>
      <c r="K21" s="23">
        <f t="shared" si="1"/>
        <v>47945.14</v>
      </c>
    </row>
    <row r="22" spans="2:11" ht="18.75" x14ac:dyDescent="0.3">
      <c r="B22" s="63">
        <v>44048</v>
      </c>
      <c r="C22" s="20" t="s">
        <v>598</v>
      </c>
      <c r="D22" s="21"/>
      <c r="E22" s="21"/>
      <c r="F22" s="21"/>
      <c r="G22" s="21"/>
      <c r="H22" s="57">
        <v>420</v>
      </c>
      <c r="I22" s="22"/>
      <c r="J22" s="23">
        <f t="shared" si="0"/>
        <v>9753.8700000000008</v>
      </c>
      <c r="K22" s="23">
        <f t="shared" si="1"/>
        <v>47525.14</v>
      </c>
    </row>
    <row r="23" spans="2:11" ht="18.75" x14ac:dyDescent="0.3">
      <c r="B23" s="63">
        <v>44049</v>
      </c>
      <c r="C23" s="20" t="s">
        <v>599</v>
      </c>
      <c r="D23" s="21"/>
      <c r="E23" s="21"/>
      <c r="F23" s="21"/>
      <c r="G23" s="21"/>
      <c r="H23" s="57">
        <v>81.3</v>
      </c>
      <c r="I23" s="22"/>
      <c r="J23" s="23">
        <f t="shared" si="0"/>
        <v>9753.8700000000008</v>
      </c>
      <c r="K23" s="23">
        <f t="shared" si="1"/>
        <v>47443.839999999997</v>
      </c>
    </row>
    <row r="24" spans="2:11" ht="18.75" x14ac:dyDescent="0.3">
      <c r="B24" s="63">
        <v>44049</v>
      </c>
      <c r="C24" s="20" t="s">
        <v>600</v>
      </c>
      <c r="D24" s="21"/>
      <c r="E24" s="21"/>
      <c r="F24" s="21"/>
      <c r="G24" s="21"/>
      <c r="H24" s="21">
        <v>75</v>
      </c>
      <c r="I24" s="22"/>
      <c r="J24" s="23">
        <f t="shared" si="0"/>
        <v>9753.8700000000008</v>
      </c>
      <c r="K24" s="23">
        <f t="shared" si="1"/>
        <v>47368.84</v>
      </c>
    </row>
    <row r="25" spans="2:11" ht="18.75" x14ac:dyDescent="0.3">
      <c r="B25" s="63">
        <v>44049</v>
      </c>
      <c r="C25" s="20" t="s">
        <v>601</v>
      </c>
      <c r="D25" s="21"/>
      <c r="E25" s="21"/>
      <c r="F25" s="21"/>
      <c r="G25" s="21"/>
      <c r="H25" s="21">
        <v>1200</v>
      </c>
      <c r="I25" s="22"/>
      <c r="J25" s="23">
        <f t="shared" si="0"/>
        <v>9753.8700000000008</v>
      </c>
      <c r="K25" s="23">
        <f t="shared" si="1"/>
        <v>46168.84</v>
      </c>
    </row>
    <row r="26" spans="2:11" ht="18.75" x14ac:dyDescent="0.3">
      <c r="B26" s="63">
        <v>44049</v>
      </c>
      <c r="C26" s="20" t="s">
        <v>602</v>
      </c>
      <c r="D26" s="21"/>
      <c r="E26" s="21"/>
      <c r="F26" s="21"/>
      <c r="G26" s="21"/>
      <c r="H26" s="21">
        <v>500</v>
      </c>
      <c r="I26" s="22"/>
      <c r="J26" s="23">
        <f t="shared" si="0"/>
        <v>9753.8700000000008</v>
      </c>
      <c r="K26" s="23">
        <f t="shared" si="1"/>
        <v>45668.84</v>
      </c>
    </row>
    <row r="27" spans="2:11" ht="18.75" x14ac:dyDescent="0.3">
      <c r="B27" s="63">
        <v>44050</v>
      </c>
      <c r="C27" s="27" t="s">
        <v>640</v>
      </c>
      <c r="D27" s="21"/>
      <c r="E27" s="21"/>
      <c r="F27" s="21"/>
      <c r="G27" s="21"/>
      <c r="H27" s="21">
        <v>300</v>
      </c>
      <c r="I27" s="22"/>
      <c r="J27" s="23">
        <f t="shared" si="0"/>
        <v>9753.8700000000008</v>
      </c>
      <c r="K27" s="23">
        <f t="shared" si="1"/>
        <v>45368.84</v>
      </c>
    </row>
    <row r="28" spans="2:11" ht="18.75" x14ac:dyDescent="0.3">
      <c r="B28" s="63">
        <v>44050</v>
      </c>
      <c r="C28" s="48" t="s">
        <v>603</v>
      </c>
      <c r="D28" s="21"/>
      <c r="E28" s="21"/>
      <c r="F28" s="21"/>
      <c r="G28" s="21"/>
      <c r="H28" s="21">
        <v>80</v>
      </c>
      <c r="I28" s="22"/>
      <c r="J28" s="23">
        <f t="shared" si="0"/>
        <v>9753.8700000000008</v>
      </c>
      <c r="K28" s="23">
        <f t="shared" si="1"/>
        <v>45288.84</v>
      </c>
    </row>
    <row r="29" spans="2:11" ht="18.75" x14ac:dyDescent="0.3">
      <c r="B29" s="63">
        <v>44050</v>
      </c>
      <c r="C29" s="20" t="s">
        <v>604</v>
      </c>
      <c r="D29" s="21"/>
      <c r="E29" s="21"/>
      <c r="F29" s="21"/>
      <c r="G29" s="21"/>
      <c r="H29" s="57">
        <v>1900</v>
      </c>
      <c r="I29" s="22"/>
      <c r="J29" s="23">
        <f t="shared" si="0"/>
        <v>9753.8700000000008</v>
      </c>
      <c r="K29" s="23">
        <f t="shared" si="1"/>
        <v>43388.84</v>
      </c>
    </row>
    <row r="30" spans="2:11" ht="18.75" x14ac:dyDescent="0.3">
      <c r="B30" s="63">
        <v>44050</v>
      </c>
      <c r="C30" s="20" t="s">
        <v>605</v>
      </c>
      <c r="D30" s="21"/>
      <c r="E30" s="21"/>
      <c r="F30" s="21"/>
      <c r="G30" s="21"/>
      <c r="H30" s="21">
        <v>3700</v>
      </c>
      <c r="I30" s="22"/>
      <c r="J30" s="23">
        <f t="shared" si="0"/>
        <v>9753.8700000000008</v>
      </c>
      <c r="K30" s="23">
        <f t="shared" si="1"/>
        <v>39688.839999999997</v>
      </c>
    </row>
    <row r="31" spans="2:11" ht="18.75" x14ac:dyDescent="0.3">
      <c r="B31" s="63">
        <v>44050</v>
      </c>
      <c r="C31" s="20" t="s">
        <v>606</v>
      </c>
      <c r="D31" s="21"/>
      <c r="E31" s="21"/>
      <c r="F31" s="21"/>
      <c r="G31" s="21"/>
      <c r="H31" s="21">
        <v>600</v>
      </c>
      <c r="I31" s="22"/>
      <c r="J31" s="23">
        <f t="shared" si="0"/>
        <v>9753.8700000000008</v>
      </c>
      <c r="K31" s="23">
        <f t="shared" si="1"/>
        <v>39088.839999999997</v>
      </c>
    </row>
    <row r="32" spans="2:11" ht="18.75" x14ac:dyDescent="0.3">
      <c r="B32" s="63">
        <v>44050</v>
      </c>
      <c r="C32" s="20" t="s">
        <v>607</v>
      </c>
      <c r="D32" s="21"/>
      <c r="E32" s="21"/>
      <c r="F32" s="21"/>
      <c r="G32" s="21"/>
      <c r="H32" s="21">
        <v>750</v>
      </c>
      <c r="I32" s="22"/>
      <c r="J32" s="23">
        <f t="shared" si="0"/>
        <v>9753.8700000000008</v>
      </c>
      <c r="K32" s="23">
        <f t="shared" si="1"/>
        <v>38338.839999999997</v>
      </c>
    </row>
    <row r="33" spans="2:11" ht="18.75" x14ac:dyDescent="0.3">
      <c r="B33" s="63">
        <v>44052</v>
      </c>
      <c r="C33" s="20" t="s">
        <v>506</v>
      </c>
      <c r="D33" s="21">
        <v>33650</v>
      </c>
      <c r="E33" s="21"/>
      <c r="F33" s="21"/>
      <c r="G33" s="21"/>
      <c r="H33" s="21"/>
      <c r="I33" s="22"/>
      <c r="J33" s="23">
        <f t="shared" si="0"/>
        <v>9753.8700000000008</v>
      </c>
      <c r="K33" s="23">
        <f t="shared" si="1"/>
        <v>71988.84</v>
      </c>
    </row>
    <row r="34" spans="2:11" ht="18.75" x14ac:dyDescent="0.3">
      <c r="B34" s="63">
        <v>44049</v>
      </c>
      <c r="C34" s="20" t="s">
        <v>577</v>
      </c>
      <c r="D34" s="21"/>
      <c r="E34" s="21">
        <v>500.95</v>
      </c>
      <c r="F34" s="21"/>
      <c r="G34" s="21"/>
      <c r="H34" s="21"/>
      <c r="I34" s="22"/>
      <c r="J34" s="23">
        <f t="shared" si="0"/>
        <v>10254.820000000002</v>
      </c>
      <c r="K34" s="23">
        <f t="shared" si="1"/>
        <v>71988.84</v>
      </c>
    </row>
    <row r="35" spans="2:11" ht="18.75" x14ac:dyDescent="0.3">
      <c r="B35" s="63">
        <v>43955</v>
      </c>
      <c r="C35" s="20" t="s">
        <v>578</v>
      </c>
      <c r="D35" s="21"/>
      <c r="E35" s="21">
        <v>1000</v>
      </c>
      <c r="F35" s="21"/>
      <c r="G35" s="21"/>
      <c r="H35" s="21"/>
      <c r="I35" s="22"/>
      <c r="J35" s="23">
        <f t="shared" si="0"/>
        <v>11254.820000000002</v>
      </c>
      <c r="K35" s="23">
        <f t="shared" si="1"/>
        <v>71988.84</v>
      </c>
    </row>
    <row r="36" spans="2:11" ht="18.75" x14ac:dyDescent="0.3">
      <c r="B36" s="63">
        <v>44048</v>
      </c>
      <c r="C36" s="20" t="s">
        <v>579</v>
      </c>
      <c r="D36" s="21"/>
      <c r="E36" s="21">
        <v>250.15</v>
      </c>
      <c r="F36" s="21"/>
      <c r="G36" s="21"/>
      <c r="H36" s="21"/>
      <c r="I36" s="22"/>
      <c r="J36" s="23">
        <f t="shared" si="0"/>
        <v>11504.970000000001</v>
      </c>
      <c r="K36" s="23">
        <f t="shared" si="1"/>
        <v>71988.84</v>
      </c>
    </row>
    <row r="37" spans="2:11" ht="18.75" x14ac:dyDescent="0.3">
      <c r="B37" s="63">
        <v>43957</v>
      </c>
      <c r="C37" s="20" t="s">
        <v>580</v>
      </c>
      <c r="D37" s="21"/>
      <c r="E37" s="21">
        <v>500.59</v>
      </c>
      <c r="F37" s="21"/>
      <c r="G37" s="21"/>
      <c r="H37" s="57"/>
      <c r="I37" s="22"/>
      <c r="J37" s="23">
        <f t="shared" si="0"/>
        <v>12005.560000000001</v>
      </c>
      <c r="K37" s="23">
        <f t="shared" si="1"/>
        <v>71988.84</v>
      </c>
    </row>
    <row r="38" spans="2:11" ht="18.75" x14ac:dyDescent="0.3">
      <c r="B38" s="63">
        <v>44050</v>
      </c>
      <c r="C38" s="27" t="s">
        <v>581</v>
      </c>
      <c r="D38" s="21"/>
      <c r="E38" s="21">
        <v>500</v>
      </c>
      <c r="F38" s="21"/>
      <c r="G38" s="21"/>
      <c r="H38" s="21"/>
      <c r="I38" s="22"/>
      <c r="J38" s="23">
        <f t="shared" si="0"/>
        <v>12505.560000000001</v>
      </c>
      <c r="K38" s="23">
        <f t="shared" si="1"/>
        <v>71988.84</v>
      </c>
    </row>
    <row r="39" spans="2:11" ht="18.75" x14ac:dyDescent="0.3">
      <c r="B39" s="63">
        <v>44050</v>
      </c>
      <c r="C39" s="20" t="s">
        <v>582</v>
      </c>
      <c r="D39" s="21"/>
      <c r="E39" s="21">
        <v>500.2</v>
      </c>
      <c r="F39" s="21"/>
      <c r="G39" s="21"/>
      <c r="H39" s="21"/>
      <c r="I39" s="22"/>
      <c r="J39" s="23">
        <f t="shared" si="0"/>
        <v>13005.760000000002</v>
      </c>
      <c r="K39" s="23">
        <f t="shared" si="1"/>
        <v>71988.84</v>
      </c>
    </row>
    <row r="40" spans="2:11" ht="18.75" x14ac:dyDescent="0.3">
      <c r="B40" s="63">
        <v>44050</v>
      </c>
      <c r="C40" s="36" t="s">
        <v>583</v>
      </c>
      <c r="D40" s="21"/>
      <c r="E40" s="21">
        <v>1000.76</v>
      </c>
      <c r="F40" s="21"/>
      <c r="G40" s="21"/>
      <c r="H40" s="57"/>
      <c r="I40" s="22"/>
      <c r="J40" s="23">
        <f t="shared" si="0"/>
        <v>14006.520000000002</v>
      </c>
      <c r="K40" s="23">
        <f t="shared" si="1"/>
        <v>71988.84</v>
      </c>
    </row>
    <row r="41" spans="2:11" ht="18.75" x14ac:dyDescent="0.3">
      <c r="B41" s="63">
        <v>44053</v>
      </c>
      <c r="C41" s="20" t="s">
        <v>584</v>
      </c>
      <c r="D41" s="21"/>
      <c r="E41" s="21">
        <v>2400</v>
      </c>
      <c r="F41" s="21"/>
      <c r="G41" s="21"/>
      <c r="H41" s="57"/>
      <c r="I41" s="22"/>
      <c r="J41" s="23">
        <f t="shared" si="0"/>
        <v>16406.520000000004</v>
      </c>
      <c r="K41" s="23">
        <f t="shared" si="1"/>
        <v>71988.84</v>
      </c>
    </row>
    <row r="42" spans="2:11" ht="18.75" x14ac:dyDescent="0.3">
      <c r="B42" s="63">
        <v>44053</v>
      </c>
      <c r="C42" s="20" t="s">
        <v>585</v>
      </c>
      <c r="D42" s="21"/>
      <c r="E42" s="21">
        <v>500.8</v>
      </c>
      <c r="F42" s="21"/>
      <c r="G42" s="21"/>
      <c r="H42" s="57"/>
      <c r="I42" s="22"/>
      <c r="J42" s="23">
        <f t="shared" si="0"/>
        <v>16907.320000000003</v>
      </c>
      <c r="K42" s="23">
        <f t="shared" si="1"/>
        <v>71988.84</v>
      </c>
    </row>
    <row r="43" spans="2:11" ht="18.75" x14ac:dyDescent="0.3">
      <c r="B43" s="63">
        <v>44054</v>
      </c>
      <c r="C43" s="20" t="s">
        <v>586</v>
      </c>
      <c r="D43" s="21"/>
      <c r="E43" s="21">
        <v>1800</v>
      </c>
      <c r="F43" s="21"/>
      <c r="G43" s="21"/>
      <c r="H43" s="57"/>
      <c r="I43" s="22"/>
      <c r="J43" s="23">
        <f t="shared" si="0"/>
        <v>18707.320000000003</v>
      </c>
      <c r="K43" s="23">
        <f t="shared" si="1"/>
        <v>71988.84</v>
      </c>
    </row>
    <row r="44" spans="2:11" ht="18.75" x14ac:dyDescent="0.3">
      <c r="B44" s="63">
        <v>44054</v>
      </c>
      <c r="C44" s="20" t="s">
        <v>587</v>
      </c>
      <c r="D44" s="21"/>
      <c r="E44" s="21">
        <v>1500</v>
      </c>
      <c r="F44" s="21"/>
      <c r="G44" s="21"/>
      <c r="H44" s="57"/>
      <c r="I44" s="22"/>
      <c r="J44" s="23">
        <f t="shared" si="0"/>
        <v>20207.320000000003</v>
      </c>
      <c r="K44" s="23">
        <f t="shared" si="1"/>
        <v>71988.84</v>
      </c>
    </row>
    <row r="45" spans="2:11" ht="18.75" x14ac:dyDescent="0.3">
      <c r="B45" s="63">
        <v>44054</v>
      </c>
      <c r="C45" s="20" t="s">
        <v>588</v>
      </c>
      <c r="D45" s="21"/>
      <c r="E45" s="21">
        <v>500.06</v>
      </c>
      <c r="F45" s="21"/>
      <c r="G45" s="21"/>
      <c r="H45" s="57"/>
      <c r="I45" s="22"/>
      <c r="J45" s="23">
        <f t="shared" si="0"/>
        <v>20707.380000000005</v>
      </c>
      <c r="K45" s="23">
        <f t="shared" si="1"/>
        <v>71988.84</v>
      </c>
    </row>
    <row r="46" spans="2:11" ht="18.75" x14ac:dyDescent="0.3">
      <c r="B46" s="63">
        <v>44052</v>
      </c>
      <c r="C46" s="20" t="s">
        <v>156</v>
      </c>
      <c r="D46" s="21"/>
      <c r="E46" s="21"/>
      <c r="F46" s="21"/>
      <c r="G46" s="21"/>
      <c r="H46" s="57">
        <v>61.5</v>
      </c>
      <c r="I46" s="22"/>
      <c r="J46" s="23">
        <f t="shared" si="0"/>
        <v>20707.380000000005</v>
      </c>
      <c r="K46" s="23">
        <f t="shared" si="1"/>
        <v>71927.34</v>
      </c>
    </row>
    <row r="47" spans="2:11" ht="18.75" x14ac:dyDescent="0.3">
      <c r="B47" s="63">
        <v>44052</v>
      </c>
      <c r="C47" s="24" t="s">
        <v>525</v>
      </c>
      <c r="D47" s="21"/>
      <c r="E47" s="21"/>
      <c r="F47" s="21"/>
      <c r="G47" s="21"/>
      <c r="H47" s="57">
        <v>100</v>
      </c>
      <c r="I47" s="22"/>
      <c r="J47" s="23">
        <f t="shared" si="0"/>
        <v>20707.380000000005</v>
      </c>
      <c r="K47" s="23">
        <f t="shared" si="1"/>
        <v>71827.34</v>
      </c>
    </row>
    <row r="48" spans="2:11" ht="18.75" x14ac:dyDescent="0.3">
      <c r="B48" s="63">
        <v>44052</v>
      </c>
      <c r="C48" s="24" t="s">
        <v>527</v>
      </c>
      <c r="D48" s="21"/>
      <c r="E48" s="21"/>
      <c r="F48" s="21"/>
      <c r="G48" s="21"/>
      <c r="H48" s="57">
        <v>200</v>
      </c>
      <c r="I48" s="22"/>
      <c r="J48" s="23">
        <f t="shared" si="0"/>
        <v>20707.380000000005</v>
      </c>
      <c r="K48" s="23">
        <f t="shared" si="1"/>
        <v>71627.34</v>
      </c>
    </row>
    <row r="49" spans="2:11" ht="18.75" x14ac:dyDescent="0.3">
      <c r="B49" s="63">
        <v>44053</v>
      </c>
      <c r="C49" s="46" t="s">
        <v>657</v>
      </c>
      <c r="D49" s="21"/>
      <c r="E49" s="21"/>
      <c r="F49" s="21"/>
      <c r="G49" s="21"/>
      <c r="H49" s="57">
        <v>300</v>
      </c>
      <c r="I49" s="22"/>
      <c r="J49" s="23">
        <f t="shared" si="0"/>
        <v>20707.380000000005</v>
      </c>
      <c r="K49" s="23">
        <f t="shared" si="1"/>
        <v>71327.34</v>
      </c>
    </row>
    <row r="50" spans="2:11" ht="18.75" x14ac:dyDescent="0.3">
      <c r="B50" s="63">
        <v>44053</v>
      </c>
      <c r="C50" s="36" t="s">
        <v>608</v>
      </c>
      <c r="D50" s="37"/>
      <c r="E50" s="21"/>
      <c r="F50" s="21"/>
      <c r="G50" s="21"/>
      <c r="H50" s="57">
        <v>1000</v>
      </c>
      <c r="I50" s="22"/>
      <c r="J50" s="23">
        <f t="shared" si="0"/>
        <v>20707.380000000005</v>
      </c>
      <c r="K50" s="23">
        <f t="shared" si="1"/>
        <v>70327.34</v>
      </c>
    </row>
    <row r="51" spans="2:11" ht="19.5" thickBot="1" x14ac:dyDescent="0.35">
      <c r="B51" s="63">
        <v>44054</v>
      </c>
      <c r="C51" s="20" t="s">
        <v>609</v>
      </c>
      <c r="D51" s="55"/>
      <c r="E51" s="21"/>
      <c r="F51" s="21"/>
      <c r="G51" s="21"/>
      <c r="H51" s="21">
        <v>541.23</v>
      </c>
      <c r="I51" s="22"/>
      <c r="J51" s="23">
        <f t="shared" si="0"/>
        <v>20707.380000000005</v>
      </c>
      <c r="K51" s="23">
        <f t="shared" si="1"/>
        <v>69786.11</v>
      </c>
    </row>
    <row r="52" spans="2:11" ht="19.5" thickBot="1" x14ac:dyDescent="0.35">
      <c r="B52" s="65"/>
      <c r="C52" s="29" t="s">
        <v>0</v>
      </c>
      <c r="D52" s="40">
        <f>SUM(D4:D51)</f>
        <v>74950</v>
      </c>
      <c r="E52" s="66">
        <f>SUM(E4:E51)</f>
        <v>12705.38</v>
      </c>
      <c r="F52" s="32">
        <f>SUM(D52:E52)</f>
        <v>87655.38</v>
      </c>
      <c r="G52" s="67">
        <f>SUM(G4:G51)</f>
        <v>0</v>
      </c>
      <c r="H52" s="30">
        <f>SUM(H4:H51)</f>
        <v>17123.490000000002</v>
      </c>
      <c r="I52" s="32">
        <f>SUM(G52:H52)</f>
        <v>17123.490000000002</v>
      </c>
      <c r="J52" s="34"/>
      <c r="K52" s="34"/>
    </row>
    <row r="53" spans="2:11" ht="18.75" x14ac:dyDescent="0.3">
      <c r="B53" s="60" t="s">
        <v>1</v>
      </c>
      <c r="C53" s="9" t="s">
        <v>2</v>
      </c>
      <c r="D53" s="9" t="s">
        <v>3</v>
      </c>
      <c r="E53" s="9" t="s">
        <v>3</v>
      </c>
      <c r="F53" s="9" t="s">
        <v>8</v>
      </c>
      <c r="G53" s="9" t="s">
        <v>9</v>
      </c>
      <c r="H53" s="10" t="s">
        <v>9</v>
      </c>
      <c r="I53" s="10" t="s">
        <v>8</v>
      </c>
      <c r="J53" s="9" t="s">
        <v>7</v>
      </c>
      <c r="K53" s="10" t="s">
        <v>6</v>
      </c>
    </row>
    <row r="54" spans="2:11" ht="19.5" thickBot="1" x14ac:dyDescent="0.35">
      <c r="B54" s="61"/>
      <c r="C54" s="11"/>
      <c r="D54" s="11" t="s">
        <v>5</v>
      </c>
      <c r="E54" s="11" t="s">
        <v>7</v>
      </c>
      <c r="F54" s="11" t="s">
        <v>3</v>
      </c>
      <c r="G54" s="11" t="s">
        <v>7</v>
      </c>
      <c r="H54" s="12" t="s">
        <v>5</v>
      </c>
      <c r="I54" s="12" t="s">
        <v>4</v>
      </c>
      <c r="J54" s="11"/>
      <c r="K54" s="12"/>
    </row>
    <row r="55" spans="2:11" ht="19.5" thickBot="1" x14ac:dyDescent="0.35">
      <c r="B55" s="68"/>
      <c r="C55" s="41" t="s">
        <v>0</v>
      </c>
      <c r="D55" s="40">
        <v>74950</v>
      </c>
      <c r="E55" s="40">
        <v>12705.38</v>
      </c>
      <c r="F55" s="40">
        <f>SUM(D55:E55)</f>
        <v>87655.38</v>
      </c>
      <c r="G55" s="40">
        <v>0</v>
      </c>
      <c r="H55" s="30">
        <v>17123.490000000002</v>
      </c>
      <c r="I55" s="30">
        <f>SUM(G55:H55)</f>
        <v>17123.490000000002</v>
      </c>
      <c r="J55" s="30">
        <v>20707.38</v>
      </c>
      <c r="K55" s="34">
        <v>69786.11</v>
      </c>
    </row>
    <row r="56" spans="2:11" ht="18.75" x14ac:dyDescent="0.3">
      <c r="B56" s="63">
        <v>44054</v>
      </c>
      <c r="C56" s="20" t="s">
        <v>520</v>
      </c>
      <c r="D56" s="21"/>
      <c r="E56" s="21"/>
      <c r="F56" s="21"/>
      <c r="G56" s="21"/>
      <c r="H56" s="21">
        <v>545</v>
      </c>
      <c r="I56" s="22"/>
      <c r="J56" s="23">
        <f t="shared" ref="J56:J102" si="2">+J55+E56-G56</f>
        <v>20707.38</v>
      </c>
      <c r="K56" s="23">
        <f t="shared" ref="K56:K102" si="3">+K55+D56-H56</f>
        <v>69241.11</v>
      </c>
    </row>
    <row r="57" spans="2:11" ht="18.75" x14ac:dyDescent="0.3">
      <c r="B57" s="63">
        <v>44054</v>
      </c>
      <c r="C57" s="20" t="s">
        <v>610</v>
      </c>
      <c r="D57" s="21"/>
      <c r="E57" s="21"/>
      <c r="F57" s="21"/>
      <c r="G57" s="21"/>
      <c r="H57" s="21">
        <v>194.9</v>
      </c>
      <c r="I57" s="22"/>
      <c r="J57" s="23">
        <f t="shared" si="2"/>
        <v>20707.38</v>
      </c>
      <c r="K57" s="23">
        <f t="shared" si="3"/>
        <v>69046.210000000006</v>
      </c>
    </row>
    <row r="58" spans="2:11" ht="18.75" x14ac:dyDescent="0.3">
      <c r="B58" s="63">
        <v>44054</v>
      </c>
      <c r="C58" s="20" t="s">
        <v>610</v>
      </c>
      <c r="D58" s="21"/>
      <c r="E58" s="21"/>
      <c r="F58" s="21"/>
      <c r="G58" s="21"/>
      <c r="H58" s="21">
        <v>393.8</v>
      </c>
      <c r="I58" s="22"/>
      <c r="J58" s="23">
        <f t="shared" si="2"/>
        <v>20707.38</v>
      </c>
      <c r="K58" s="23">
        <f t="shared" si="3"/>
        <v>68652.41</v>
      </c>
    </row>
    <row r="59" spans="2:11" ht="18.75" x14ac:dyDescent="0.3">
      <c r="B59" s="63">
        <v>44054</v>
      </c>
      <c r="C59" s="20" t="s">
        <v>611</v>
      </c>
      <c r="D59" s="21"/>
      <c r="E59" s="21"/>
      <c r="F59" s="21"/>
      <c r="G59" s="21"/>
      <c r="H59" s="21">
        <v>1400</v>
      </c>
      <c r="I59" s="22"/>
      <c r="J59" s="23">
        <f t="shared" si="2"/>
        <v>20707.38</v>
      </c>
      <c r="K59" s="23">
        <f t="shared" si="3"/>
        <v>67252.41</v>
      </c>
    </row>
    <row r="60" spans="2:11" ht="18.75" x14ac:dyDescent="0.3">
      <c r="B60" s="63">
        <v>44054</v>
      </c>
      <c r="C60" s="24" t="s">
        <v>612</v>
      </c>
      <c r="D60" s="37"/>
      <c r="E60" s="37"/>
      <c r="F60" s="37"/>
      <c r="G60" s="37"/>
      <c r="H60" s="21">
        <v>800</v>
      </c>
      <c r="I60" s="22"/>
      <c r="J60" s="23">
        <f t="shared" si="2"/>
        <v>20707.38</v>
      </c>
      <c r="K60" s="23">
        <f t="shared" si="3"/>
        <v>66452.41</v>
      </c>
    </row>
    <row r="61" spans="2:11" ht="18.75" x14ac:dyDescent="0.3">
      <c r="B61" s="63">
        <v>44054</v>
      </c>
      <c r="C61" s="74" t="s">
        <v>569</v>
      </c>
      <c r="D61" s="21"/>
      <c r="E61" s="21"/>
      <c r="F61" s="21"/>
      <c r="G61" s="21">
        <v>1760</v>
      </c>
      <c r="H61" s="21"/>
      <c r="I61" s="22"/>
      <c r="J61" s="23">
        <f t="shared" si="2"/>
        <v>18947.38</v>
      </c>
      <c r="K61" s="23">
        <f t="shared" si="3"/>
        <v>66452.41</v>
      </c>
    </row>
    <row r="62" spans="2:11" ht="18.75" x14ac:dyDescent="0.3">
      <c r="B62" s="63">
        <v>44054</v>
      </c>
      <c r="C62" s="74" t="s">
        <v>570</v>
      </c>
      <c r="D62" s="21"/>
      <c r="E62" s="21"/>
      <c r="F62" s="21"/>
      <c r="G62" s="21">
        <v>1600</v>
      </c>
      <c r="H62" s="21"/>
      <c r="I62" s="22"/>
      <c r="J62" s="23">
        <f t="shared" si="2"/>
        <v>17347.38</v>
      </c>
      <c r="K62" s="23">
        <f t="shared" si="3"/>
        <v>66452.41</v>
      </c>
    </row>
    <row r="63" spans="2:11" ht="18.75" x14ac:dyDescent="0.3">
      <c r="B63" s="63">
        <v>44055</v>
      </c>
      <c r="C63" s="24" t="s">
        <v>613</v>
      </c>
      <c r="D63" s="37"/>
      <c r="E63" s="37"/>
      <c r="F63" s="37"/>
      <c r="G63" s="21"/>
      <c r="H63" s="21">
        <v>1800</v>
      </c>
      <c r="I63" s="22"/>
      <c r="J63" s="23">
        <f>+J62+E63-G63</f>
        <v>17347.38</v>
      </c>
      <c r="K63" s="23">
        <f>+K62+D63-H63</f>
        <v>64652.41</v>
      </c>
    </row>
    <row r="64" spans="2:11" ht="18.75" x14ac:dyDescent="0.3">
      <c r="B64" s="63">
        <v>44055</v>
      </c>
      <c r="C64" s="24" t="s">
        <v>614</v>
      </c>
      <c r="D64" s="37"/>
      <c r="E64" s="37"/>
      <c r="F64" s="37"/>
      <c r="G64" s="69"/>
      <c r="H64" s="21">
        <v>60</v>
      </c>
      <c r="I64" s="22"/>
      <c r="J64" s="23">
        <f t="shared" si="2"/>
        <v>17347.38</v>
      </c>
      <c r="K64" s="23">
        <f t="shared" si="3"/>
        <v>64592.41</v>
      </c>
    </row>
    <row r="65" spans="2:12" ht="18.75" x14ac:dyDescent="0.3">
      <c r="B65" s="63">
        <v>44055</v>
      </c>
      <c r="C65" s="48" t="s">
        <v>615</v>
      </c>
      <c r="D65" s="21"/>
      <c r="E65" s="21">
        <v>12760</v>
      </c>
      <c r="F65" s="21"/>
      <c r="G65" s="21"/>
      <c r="H65" s="57"/>
      <c r="I65" s="22"/>
      <c r="J65" s="23">
        <f t="shared" si="2"/>
        <v>30107.38</v>
      </c>
      <c r="K65" s="23">
        <f t="shared" si="3"/>
        <v>64592.41</v>
      </c>
    </row>
    <row r="66" spans="2:12" ht="18.75" x14ac:dyDescent="0.3">
      <c r="B66" s="63">
        <v>44057</v>
      </c>
      <c r="C66" s="20" t="s">
        <v>603</v>
      </c>
      <c r="D66" s="21"/>
      <c r="E66" s="21"/>
      <c r="F66" s="21"/>
      <c r="G66" s="21"/>
      <c r="H66" s="57">
        <v>80</v>
      </c>
      <c r="I66" s="22"/>
      <c r="J66" s="23">
        <f t="shared" si="2"/>
        <v>30107.38</v>
      </c>
      <c r="K66" s="23">
        <f t="shared" si="3"/>
        <v>64512.41</v>
      </c>
    </row>
    <row r="67" spans="2:12" ht="18.75" x14ac:dyDescent="0.3">
      <c r="B67" s="63">
        <v>44058</v>
      </c>
      <c r="C67" s="20" t="s">
        <v>528</v>
      </c>
      <c r="D67" s="21"/>
      <c r="E67" s="21"/>
      <c r="F67" s="21"/>
      <c r="G67" s="21"/>
      <c r="H67" s="21">
        <v>650</v>
      </c>
      <c r="I67" s="22"/>
      <c r="J67" s="23">
        <f t="shared" si="2"/>
        <v>30107.38</v>
      </c>
      <c r="K67" s="23">
        <f t="shared" si="3"/>
        <v>63862.41</v>
      </c>
    </row>
    <row r="68" spans="2:12" ht="18.75" x14ac:dyDescent="0.3">
      <c r="B68" s="63">
        <v>44058</v>
      </c>
      <c r="C68" s="24" t="s">
        <v>616</v>
      </c>
      <c r="D68" s="21"/>
      <c r="E68" s="21"/>
      <c r="F68" s="21"/>
      <c r="G68" s="21"/>
      <c r="H68" s="21">
        <v>300</v>
      </c>
      <c r="I68" s="22"/>
      <c r="J68" s="23">
        <f t="shared" si="2"/>
        <v>30107.38</v>
      </c>
      <c r="K68" s="23">
        <f t="shared" si="3"/>
        <v>63562.41</v>
      </c>
    </row>
    <row r="69" spans="2:12" ht="18.75" x14ac:dyDescent="0.3">
      <c r="B69" s="62">
        <v>44058</v>
      </c>
      <c r="C69" s="36" t="s">
        <v>422</v>
      </c>
      <c r="D69" s="17"/>
      <c r="E69" s="17"/>
      <c r="F69" s="17"/>
      <c r="G69" s="17"/>
      <c r="H69" s="17">
        <v>1700</v>
      </c>
      <c r="I69" s="22"/>
      <c r="J69" s="23">
        <f t="shared" si="2"/>
        <v>30107.38</v>
      </c>
      <c r="K69" s="23">
        <f t="shared" si="3"/>
        <v>61862.41</v>
      </c>
    </row>
    <row r="70" spans="2:12" ht="18.75" x14ac:dyDescent="0.3">
      <c r="B70" s="63">
        <v>44058</v>
      </c>
      <c r="C70" s="24" t="s">
        <v>617</v>
      </c>
      <c r="D70" s="21"/>
      <c r="E70" s="21"/>
      <c r="F70" s="21"/>
      <c r="G70" s="21"/>
      <c r="H70" s="21">
        <v>1000</v>
      </c>
      <c r="I70" s="22"/>
      <c r="J70" s="23">
        <f t="shared" si="2"/>
        <v>30107.38</v>
      </c>
      <c r="K70" s="23">
        <f t="shared" si="3"/>
        <v>60862.41</v>
      </c>
    </row>
    <row r="71" spans="2:12" ht="18.75" x14ac:dyDescent="0.3">
      <c r="B71" s="63">
        <v>44058</v>
      </c>
      <c r="C71" s="24" t="s">
        <v>363</v>
      </c>
      <c r="D71" s="21"/>
      <c r="E71" s="21"/>
      <c r="F71" s="21"/>
      <c r="G71" s="21"/>
      <c r="H71" s="21">
        <v>3000</v>
      </c>
      <c r="I71" s="22"/>
      <c r="J71" s="23">
        <f t="shared" si="2"/>
        <v>30107.38</v>
      </c>
      <c r="K71" s="23">
        <f t="shared" si="3"/>
        <v>57862.41</v>
      </c>
    </row>
    <row r="72" spans="2:12" ht="18.75" x14ac:dyDescent="0.3">
      <c r="B72" s="63">
        <v>44058</v>
      </c>
      <c r="C72" s="36" t="s">
        <v>151</v>
      </c>
      <c r="D72" s="21"/>
      <c r="E72" s="21"/>
      <c r="F72" s="21"/>
      <c r="G72" s="21"/>
      <c r="H72" s="21">
        <v>6000</v>
      </c>
      <c r="I72" s="22"/>
      <c r="J72" s="23">
        <f t="shared" si="2"/>
        <v>30107.38</v>
      </c>
      <c r="K72" s="23">
        <f t="shared" si="3"/>
        <v>51862.41</v>
      </c>
    </row>
    <row r="73" spans="2:12" ht="18.75" x14ac:dyDescent="0.3">
      <c r="B73" s="63">
        <v>44058</v>
      </c>
      <c r="C73" s="58" t="s">
        <v>351</v>
      </c>
      <c r="D73" s="37"/>
      <c r="E73" s="37"/>
      <c r="F73" s="37"/>
      <c r="G73" s="21"/>
      <c r="H73" s="21">
        <v>4000</v>
      </c>
      <c r="I73" s="22"/>
      <c r="J73" s="23">
        <f t="shared" si="2"/>
        <v>30107.38</v>
      </c>
      <c r="K73" s="23">
        <f t="shared" si="3"/>
        <v>47862.41</v>
      </c>
      <c r="L73" s="1"/>
    </row>
    <row r="74" spans="2:12" ht="18.75" x14ac:dyDescent="0.3">
      <c r="B74" s="63">
        <v>44058</v>
      </c>
      <c r="C74" s="20" t="s">
        <v>571</v>
      </c>
      <c r="D74" s="37"/>
      <c r="E74" s="37"/>
      <c r="F74" s="37"/>
      <c r="G74" s="21"/>
      <c r="H74" s="21">
        <v>25300</v>
      </c>
      <c r="I74" s="22"/>
      <c r="J74" s="23">
        <f t="shared" si="2"/>
        <v>30107.38</v>
      </c>
      <c r="K74" s="23">
        <f t="shared" si="3"/>
        <v>22562.410000000003</v>
      </c>
      <c r="L74" s="1"/>
    </row>
    <row r="75" spans="2:12" ht="18.75" x14ac:dyDescent="0.3">
      <c r="B75" s="63">
        <v>44058</v>
      </c>
      <c r="C75" s="48" t="s">
        <v>572</v>
      </c>
      <c r="D75" s="37"/>
      <c r="E75" s="37"/>
      <c r="F75" s="37"/>
      <c r="G75" s="69">
        <v>13000</v>
      </c>
      <c r="H75" s="21"/>
      <c r="I75" s="22"/>
      <c r="J75" s="23">
        <f t="shared" si="2"/>
        <v>17107.38</v>
      </c>
      <c r="K75" s="23">
        <f t="shared" si="3"/>
        <v>22562.410000000003</v>
      </c>
      <c r="L75" s="1"/>
    </row>
    <row r="76" spans="2:12" ht="18.75" x14ac:dyDescent="0.3">
      <c r="B76" s="63">
        <v>44058</v>
      </c>
      <c r="C76" s="48" t="s">
        <v>299</v>
      </c>
      <c r="D76" s="37"/>
      <c r="E76" s="37"/>
      <c r="F76" s="37"/>
      <c r="G76" s="69"/>
      <c r="H76" s="21">
        <v>4800</v>
      </c>
      <c r="I76" s="22"/>
      <c r="J76" s="23">
        <f t="shared" si="2"/>
        <v>17107.38</v>
      </c>
      <c r="K76" s="23">
        <f t="shared" si="3"/>
        <v>17762.410000000003</v>
      </c>
    </row>
    <row r="77" spans="2:12" ht="18.75" x14ac:dyDescent="0.3">
      <c r="B77" s="63">
        <v>44058</v>
      </c>
      <c r="C77" s="36" t="s">
        <v>618</v>
      </c>
      <c r="D77" s="21"/>
      <c r="E77" s="21"/>
      <c r="F77" s="21"/>
      <c r="G77" s="21"/>
      <c r="H77" s="21">
        <v>400</v>
      </c>
      <c r="I77" s="22"/>
      <c r="J77" s="23">
        <f t="shared" si="2"/>
        <v>17107.38</v>
      </c>
      <c r="K77" s="23">
        <f t="shared" si="3"/>
        <v>17362.410000000003</v>
      </c>
    </row>
    <row r="78" spans="2:12" ht="18.75" x14ac:dyDescent="0.3">
      <c r="B78" s="63">
        <v>44058</v>
      </c>
      <c r="C78" s="24" t="s">
        <v>482</v>
      </c>
      <c r="D78" s="21"/>
      <c r="E78" s="21"/>
      <c r="F78" s="21"/>
      <c r="G78" s="21"/>
      <c r="H78" s="21">
        <v>100</v>
      </c>
      <c r="I78" s="22"/>
      <c r="J78" s="23">
        <f t="shared" si="2"/>
        <v>17107.38</v>
      </c>
      <c r="K78" s="23">
        <f t="shared" si="3"/>
        <v>17262.410000000003</v>
      </c>
    </row>
    <row r="79" spans="2:12" ht="18.75" x14ac:dyDescent="0.3">
      <c r="B79" s="63">
        <v>44058</v>
      </c>
      <c r="C79" s="24" t="s">
        <v>619</v>
      </c>
      <c r="D79" s="21"/>
      <c r="E79" s="21"/>
      <c r="F79" s="21"/>
      <c r="G79" s="21"/>
      <c r="H79" s="21">
        <v>200</v>
      </c>
      <c r="I79" s="22"/>
      <c r="J79" s="23">
        <f t="shared" si="2"/>
        <v>17107.38</v>
      </c>
      <c r="K79" s="23">
        <f t="shared" si="3"/>
        <v>17062.410000000003</v>
      </c>
    </row>
    <row r="80" spans="2:12" ht="18.75" x14ac:dyDescent="0.3">
      <c r="B80" s="63">
        <v>44059</v>
      </c>
      <c r="C80" s="20" t="s">
        <v>589</v>
      </c>
      <c r="D80" s="37">
        <v>23550</v>
      </c>
      <c r="E80" s="21"/>
      <c r="F80" s="21"/>
      <c r="G80" s="21"/>
      <c r="H80" s="21"/>
      <c r="I80" s="22"/>
      <c r="J80" s="23">
        <f t="shared" si="2"/>
        <v>17107.38</v>
      </c>
      <c r="K80" s="23">
        <f t="shared" si="3"/>
        <v>40612.410000000003</v>
      </c>
    </row>
    <row r="81" spans="2:12" ht="18.75" x14ac:dyDescent="0.3">
      <c r="B81" s="63">
        <v>44057</v>
      </c>
      <c r="C81" s="20" t="s">
        <v>590</v>
      </c>
      <c r="D81" s="37"/>
      <c r="E81" s="21">
        <v>4000.88</v>
      </c>
      <c r="F81" s="21"/>
      <c r="G81" s="21"/>
      <c r="H81" s="21"/>
      <c r="I81" s="22"/>
      <c r="J81" s="23">
        <f t="shared" si="2"/>
        <v>21108.260000000002</v>
      </c>
      <c r="K81" s="23">
        <f t="shared" si="3"/>
        <v>40612.410000000003</v>
      </c>
    </row>
    <row r="82" spans="2:12" ht="18.75" x14ac:dyDescent="0.3">
      <c r="B82" s="63">
        <v>44057</v>
      </c>
      <c r="C82" s="20" t="s">
        <v>591</v>
      </c>
      <c r="D82" s="21"/>
      <c r="E82" s="21">
        <v>1500</v>
      </c>
      <c r="F82" s="21"/>
      <c r="G82" s="21"/>
      <c r="H82" s="21"/>
      <c r="I82" s="22"/>
      <c r="J82" s="23">
        <f t="shared" si="2"/>
        <v>22608.260000000002</v>
      </c>
      <c r="K82" s="23">
        <f t="shared" si="3"/>
        <v>40612.410000000003</v>
      </c>
    </row>
    <row r="83" spans="2:12" ht="18.75" x14ac:dyDescent="0.3">
      <c r="B83" s="63">
        <v>44060</v>
      </c>
      <c r="C83" s="20" t="s">
        <v>592</v>
      </c>
      <c r="D83" s="21"/>
      <c r="E83" s="21">
        <v>500</v>
      </c>
      <c r="F83" s="21"/>
      <c r="G83" s="21"/>
      <c r="H83" s="21"/>
      <c r="I83" s="22"/>
      <c r="J83" s="23">
        <f t="shared" si="2"/>
        <v>23108.260000000002</v>
      </c>
      <c r="K83" s="23">
        <f t="shared" si="3"/>
        <v>40612.410000000003</v>
      </c>
    </row>
    <row r="84" spans="2:12" ht="18.75" x14ac:dyDescent="0.3">
      <c r="B84" s="63">
        <v>44060</v>
      </c>
      <c r="C84" s="27" t="s">
        <v>641</v>
      </c>
      <c r="D84" s="21"/>
      <c r="E84" s="21"/>
      <c r="F84" s="21"/>
      <c r="G84" s="21"/>
      <c r="H84" s="21">
        <v>300</v>
      </c>
      <c r="I84" s="22"/>
      <c r="J84" s="23">
        <f t="shared" si="2"/>
        <v>23108.260000000002</v>
      </c>
      <c r="K84" s="23">
        <f t="shared" si="3"/>
        <v>40312.410000000003</v>
      </c>
    </row>
    <row r="85" spans="2:12" ht="18.75" x14ac:dyDescent="0.3">
      <c r="B85" s="63">
        <v>44060</v>
      </c>
      <c r="C85" s="20" t="s">
        <v>610</v>
      </c>
      <c r="D85" s="21"/>
      <c r="E85" s="21"/>
      <c r="F85" s="21"/>
      <c r="G85" s="21"/>
      <c r="H85" s="21">
        <v>395.02</v>
      </c>
      <c r="I85" s="22"/>
      <c r="J85" s="23">
        <f t="shared" si="2"/>
        <v>23108.260000000002</v>
      </c>
      <c r="K85" s="23">
        <f t="shared" si="3"/>
        <v>39917.390000000007</v>
      </c>
    </row>
    <row r="86" spans="2:12" ht="18.75" x14ac:dyDescent="0.3">
      <c r="B86" s="63">
        <v>44062</v>
      </c>
      <c r="C86" s="20" t="s">
        <v>620</v>
      </c>
      <c r="D86" s="21"/>
      <c r="E86" s="21"/>
      <c r="F86" s="21"/>
      <c r="G86" s="21"/>
      <c r="H86" s="21">
        <v>78</v>
      </c>
      <c r="I86" s="22"/>
      <c r="J86" s="23">
        <f t="shared" si="2"/>
        <v>23108.260000000002</v>
      </c>
      <c r="K86" s="23">
        <f t="shared" si="3"/>
        <v>39839.390000000007</v>
      </c>
    </row>
    <row r="87" spans="2:12" ht="18.75" x14ac:dyDescent="0.3">
      <c r="B87" s="63">
        <v>44063</v>
      </c>
      <c r="C87" s="36" t="s">
        <v>496</v>
      </c>
      <c r="D87" s="21"/>
      <c r="E87" s="21"/>
      <c r="F87" s="21"/>
      <c r="G87" s="21"/>
      <c r="H87" s="57">
        <v>200</v>
      </c>
      <c r="I87" s="22"/>
      <c r="J87" s="23">
        <f t="shared" si="2"/>
        <v>23108.260000000002</v>
      </c>
      <c r="K87" s="23">
        <f t="shared" si="3"/>
        <v>39639.390000000007</v>
      </c>
    </row>
    <row r="88" spans="2:12" ht="18.75" x14ac:dyDescent="0.3">
      <c r="B88" s="63">
        <v>44064</v>
      </c>
      <c r="C88" s="27" t="s">
        <v>622</v>
      </c>
      <c r="D88" s="21"/>
      <c r="E88" s="21"/>
      <c r="F88" s="21"/>
      <c r="G88" s="21"/>
      <c r="H88" s="21">
        <v>95.5</v>
      </c>
      <c r="I88" s="22"/>
      <c r="J88" s="23">
        <f t="shared" si="2"/>
        <v>23108.260000000002</v>
      </c>
      <c r="K88" s="23">
        <f t="shared" si="3"/>
        <v>39543.890000000007</v>
      </c>
    </row>
    <row r="89" spans="2:12" ht="18.75" x14ac:dyDescent="0.3">
      <c r="B89" s="63">
        <v>44064</v>
      </c>
      <c r="C89" s="20" t="s">
        <v>603</v>
      </c>
      <c r="D89" s="21"/>
      <c r="E89" s="21"/>
      <c r="F89" s="21"/>
      <c r="G89" s="21"/>
      <c r="H89" s="21">
        <v>80</v>
      </c>
      <c r="I89" s="22"/>
      <c r="J89" s="23">
        <f t="shared" si="2"/>
        <v>23108.260000000002</v>
      </c>
      <c r="K89" s="23">
        <f t="shared" si="3"/>
        <v>39463.890000000007</v>
      </c>
      <c r="L89" s="1"/>
    </row>
    <row r="90" spans="2:12" ht="18.75" x14ac:dyDescent="0.3">
      <c r="B90" s="63">
        <v>44064</v>
      </c>
      <c r="C90" s="20" t="s">
        <v>646</v>
      </c>
      <c r="D90" s="21"/>
      <c r="E90" s="21"/>
      <c r="F90" s="21"/>
      <c r="G90" s="21"/>
      <c r="H90" s="21">
        <v>1400</v>
      </c>
      <c r="I90" s="22"/>
      <c r="J90" s="23">
        <f t="shared" si="2"/>
        <v>23108.260000000002</v>
      </c>
      <c r="K90" s="23">
        <f t="shared" si="3"/>
        <v>38063.890000000007</v>
      </c>
    </row>
    <row r="91" spans="2:12" ht="18.75" x14ac:dyDescent="0.3">
      <c r="B91" s="63">
        <v>44064</v>
      </c>
      <c r="C91" s="20" t="s">
        <v>623</v>
      </c>
      <c r="D91" s="21"/>
      <c r="E91" s="21"/>
      <c r="F91" s="21"/>
      <c r="G91" s="21"/>
      <c r="H91" s="21">
        <v>121</v>
      </c>
      <c r="I91" s="22"/>
      <c r="J91" s="23">
        <f t="shared" si="2"/>
        <v>23108.260000000002</v>
      </c>
      <c r="K91" s="23">
        <f t="shared" si="3"/>
        <v>37942.890000000007</v>
      </c>
    </row>
    <row r="92" spans="2:12" ht="18.75" x14ac:dyDescent="0.3">
      <c r="B92" s="63">
        <v>44064</v>
      </c>
      <c r="C92" s="20" t="s">
        <v>624</v>
      </c>
      <c r="D92" s="21"/>
      <c r="E92" s="21"/>
      <c r="F92" s="21"/>
      <c r="G92" s="21"/>
      <c r="H92" s="21">
        <v>1900</v>
      </c>
      <c r="I92" s="22"/>
      <c r="J92" s="23">
        <f t="shared" si="2"/>
        <v>23108.260000000002</v>
      </c>
      <c r="K92" s="23">
        <f t="shared" si="3"/>
        <v>36042.890000000007</v>
      </c>
    </row>
    <row r="93" spans="2:12" ht="18.75" x14ac:dyDescent="0.3">
      <c r="B93" s="63">
        <v>44064</v>
      </c>
      <c r="C93" s="20" t="s">
        <v>625</v>
      </c>
      <c r="D93" s="21"/>
      <c r="E93" s="21"/>
      <c r="F93" s="21"/>
      <c r="G93" s="21"/>
      <c r="H93" s="21">
        <v>4550</v>
      </c>
      <c r="I93" s="22"/>
      <c r="J93" s="23">
        <f t="shared" si="2"/>
        <v>23108.260000000002</v>
      </c>
      <c r="K93" s="23">
        <f t="shared" si="3"/>
        <v>31492.890000000007</v>
      </c>
    </row>
    <row r="94" spans="2:12" ht="18.75" x14ac:dyDescent="0.3">
      <c r="B94" s="63">
        <v>44064</v>
      </c>
      <c r="C94" s="20" t="s">
        <v>606</v>
      </c>
      <c r="D94" s="21"/>
      <c r="E94" s="21"/>
      <c r="F94" s="21"/>
      <c r="G94" s="21"/>
      <c r="H94" s="21">
        <v>500</v>
      </c>
      <c r="I94" s="22"/>
      <c r="J94" s="23">
        <f t="shared" si="2"/>
        <v>23108.260000000002</v>
      </c>
      <c r="K94" s="23">
        <f t="shared" si="3"/>
        <v>30992.890000000007</v>
      </c>
    </row>
    <row r="95" spans="2:12" ht="18.75" x14ac:dyDescent="0.3">
      <c r="B95" s="63">
        <v>44065</v>
      </c>
      <c r="C95" s="20" t="s">
        <v>626</v>
      </c>
      <c r="D95" s="21"/>
      <c r="E95" s="21"/>
      <c r="F95" s="21"/>
      <c r="G95" s="21"/>
      <c r="H95" s="21">
        <v>1000</v>
      </c>
      <c r="I95" s="22"/>
      <c r="J95" s="23">
        <f t="shared" si="2"/>
        <v>23108.260000000002</v>
      </c>
      <c r="K95" s="23">
        <f t="shared" si="3"/>
        <v>29992.890000000007</v>
      </c>
      <c r="L95" s="1"/>
    </row>
    <row r="96" spans="2:12" ht="18.75" x14ac:dyDescent="0.3">
      <c r="B96" s="63">
        <v>44065</v>
      </c>
      <c r="C96" s="20" t="s">
        <v>380</v>
      </c>
      <c r="D96" s="21"/>
      <c r="E96" s="21"/>
      <c r="F96" s="21"/>
      <c r="G96" s="21"/>
      <c r="H96" s="21">
        <v>179.34</v>
      </c>
      <c r="I96" s="22"/>
      <c r="J96" s="23">
        <f t="shared" si="2"/>
        <v>23108.260000000002</v>
      </c>
      <c r="K96" s="23">
        <f t="shared" si="3"/>
        <v>29813.550000000007</v>
      </c>
    </row>
    <row r="97" spans="2:13" ht="18.75" x14ac:dyDescent="0.3">
      <c r="B97" s="63">
        <v>44065</v>
      </c>
      <c r="C97" s="27" t="s">
        <v>629</v>
      </c>
      <c r="D97" s="21"/>
      <c r="E97" s="21"/>
      <c r="F97" s="21"/>
      <c r="G97" s="21"/>
      <c r="H97" s="21">
        <v>263.60000000000002</v>
      </c>
      <c r="I97" s="22"/>
      <c r="J97" s="23">
        <f t="shared" si="2"/>
        <v>23108.260000000002</v>
      </c>
      <c r="K97" s="23">
        <f t="shared" si="3"/>
        <v>29549.950000000008</v>
      </c>
      <c r="L97" s="5"/>
    </row>
    <row r="98" spans="2:13" ht="18.75" x14ac:dyDescent="0.3">
      <c r="B98" s="63">
        <v>44065</v>
      </c>
      <c r="C98" s="27" t="s">
        <v>627</v>
      </c>
      <c r="D98" s="21"/>
      <c r="E98" s="21"/>
      <c r="F98" s="21"/>
      <c r="G98" s="21"/>
      <c r="H98" s="21">
        <v>38.869999999999997</v>
      </c>
      <c r="I98" s="22"/>
      <c r="J98" s="23">
        <f t="shared" si="2"/>
        <v>23108.260000000002</v>
      </c>
      <c r="K98" s="23">
        <f t="shared" si="3"/>
        <v>29511.080000000009</v>
      </c>
    </row>
    <row r="99" spans="2:13" ht="18.75" x14ac:dyDescent="0.3">
      <c r="B99" s="63">
        <v>44065</v>
      </c>
      <c r="C99" s="20" t="s">
        <v>628</v>
      </c>
      <c r="D99" s="37"/>
      <c r="E99" s="21"/>
      <c r="F99" s="21"/>
      <c r="G99" s="21"/>
      <c r="H99" s="21">
        <v>500</v>
      </c>
      <c r="I99" s="22"/>
      <c r="J99" s="23">
        <f t="shared" si="2"/>
        <v>23108.260000000002</v>
      </c>
      <c r="K99" s="23">
        <f t="shared" si="3"/>
        <v>29011.080000000009</v>
      </c>
    </row>
    <row r="100" spans="2:13" ht="18.75" x14ac:dyDescent="0.3">
      <c r="B100" s="63">
        <v>44066</v>
      </c>
      <c r="C100" s="24" t="s">
        <v>156</v>
      </c>
      <c r="D100" s="37"/>
      <c r="E100" s="21"/>
      <c r="F100" s="21"/>
      <c r="G100" s="21"/>
      <c r="H100" s="21">
        <v>26.9</v>
      </c>
      <c r="I100" s="22"/>
      <c r="J100" s="23">
        <f t="shared" si="2"/>
        <v>23108.260000000002</v>
      </c>
      <c r="K100" s="23">
        <f t="shared" si="3"/>
        <v>28984.180000000008</v>
      </c>
    </row>
    <row r="101" spans="2:13" ht="18.75" x14ac:dyDescent="0.3">
      <c r="B101" s="63">
        <v>44066</v>
      </c>
      <c r="C101" s="24" t="s">
        <v>488</v>
      </c>
      <c r="D101" s="21"/>
      <c r="E101" s="21"/>
      <c r="F101" s="21"/>
      <c r="G101" s="22"/>
      <c r="H101" s="21">
        <v>100</v>
      </c>
      <c r="I101" s="22"/>
      <c r="J101" s="23">
        <f t="shared" si="2"/>
        <v>23108.260000000002</v>
      </c>
      <c r="K101" s="23">
        <f t="shared" si="3"/>
        <v>28884.180000000008</v>
      </c>
    </row>
    <row r="102" spans="2:13" ht="18.75" x14ac:dyDescent="0.3">
      <c r="B102" s="63">
        <v>44066</v>
      </c>
      <c r="C102" s="24" t="s">
        <v>630</v>
      </c>
      <c r="D102" s="21"/>
      <c r="E102" s="21"/>
      <c r="F102" s="21"/>
      <c r="G102" s="22"/>
      <c r="H102" s="21">
        <v>200</v>
      </c>
      <c r="I102" s="22"/>
      <c r="J102" s="23">
        <f t="shared" si="2"/>
        <v>23108.260000000002</v>
      </c>
      <c r="K102" s="23">
        <f t="shared" si="3"/>
        <v>28684.180000000008</v>
      </c>
    </row>
    <row r="103" spans="2:13" ht="19.5" thickBot="1" x14ac:dyDescent="0.35">
      <c r="B103" s="63">
        <v>44066</v>
      </c>
      <c r="C103" s="92" t="s">
        <v>645</v>
      </c>
      <c r="D103" s="21">
        <v>24550</v>
      </c>
      <c r="E103" s="21"/>
      <c r="F103" s="21"/>
      <c r="G103" s="21"/>
      <c r="H103" s="21"/>
      <c r="I103" s="22"/>
      <c r="J103" s="23">
        <f>+J102+E103-G103</f>
        <v>23108.260000000002</v>
      </c>
      <c r="K103" s="23">
        <f>+K102+D103-H103</f>
        <v>53234.180000000008</v>
      </c>
    </row>
    <row r="104" spans="2:13" ht="19.5" thickBot="1" x14ac:dyDescent="0.35">
      <c r="B104" s="65"/>
      <c r="C104" s="29" t="s">
        <v>0</v>
      </c>
      <c r="D104" s="40">
        <f>SUM(D55:D103)</f>
        <v>123050</v>
      </c>
      <c r="E104" s="66">
        <f>SUM(E55:E103)</f>
        <v>31466.26</v>
      </c>
      <c r="F104" s="67">
        <f>SUM(D104:E104)</f>
        <v>154516.26</v>
      </c>
      <c r="G104" s="67">
        <f>SUM(G55:G103)</f>
        <v>16360</v>
      </c>
      <c r="H104" s="30">
        <f>SUM(H55:H103)</f>
        <v>81775.42</v>
      </c>
      <c r="I104" s="32">
        <f>SUM(G104:H104)</f>
        <v>98135.42</v>
      </c>
      <c r="J104" s="34"/>
      <c r="K104" s="34"/>
      <c r="L104" s="1"/>
      <c r="M104" s="1">
        <f>SUM(D104:E104)</f>
        <v>154516.26</v>
      </c>
    </row>
    <row r="105" spans="2:13" ht="18.75" x14ac:dyDescent="0.3">
      <c r="B105" s="60" t="s">
        <v>1</v>
      </c>
      <c r="C105" s="9" t="s">
        <v>2</v>
      </c>
      <c r="D105" s="9" t="s">
        <v>3</v>
      </c>
      <c r="E105" s="9" t="s">
        <v>3</v>
      </c>
      <c r="F105" s="9" t="s">
        <v>8</v>
      </c>
      <c r="G105" s="9" t="s">
        <v>9</v>
      </c>
      <c r="H105" s="10" t="s">
        <v>9</v>
      </c>
      <c r="I105" s="10" t="s">
        <v>8</v>
      </c>
      <c r="J105" s="9" t="s">
        <v>7</v>
      </c>
      <c r="K105" s="10" t="s">
        <v>6</v>
      </c>
      <c r="L105" s="1"/>
    </row>
    <row r="106" spans="2:13" ht="19.5" thickBot="1" x14ac:dyDescent="0.35">
      <c r="B106" s="61"/>
      <c r="C106" s="11"/>
      <c r="D106" s="11" t="s">
        <v>5</v>
      </c>
      <c r="E106" s="11" t="s">
        <v>7</v>
      </c>
      <c r="F106" s="11" t="s">
        <v>3</v>
      </c>
      <c r="G106" s="11" t="s">
        <v>7</v>
      </c>
      <c r="H106" s="12" t="s">
        <v>5</v>
      </c>
      <c r="I106" s="12" t="s">
        <v>4</v>
      </c>
      <c r="J106" s="11"/>
      <c r="K106" s="12"/>
      <c r="L106" s="1"/>
    </row>
    <row r="107" spans="2:13" ht="19.5" thickBot="1" x14ac:dyDescent="0.35">
      <c r="B107" s="68"/>
      <c r="C107" s="41" t="s">
        <v>0</v>
      </c>
      <c r="D107" s="40">
        <v>123050</v>
      </c>
      <c r="E107" s="40">
        <v>31466.26</v>
      </c>
      <c r="F107" s="40">
        <f>SUM(D107:E107)</f>
        <v>154516.26</v>
      </c>
      <c r="G107" s="40">
        <v>16360</v>
      </c>
      <c r="H107" s="30">
        <v>81775.42</v>
      </c>
      <c r="I107" s="30">
        <f>SUM(G107:H107)</f>
        <v>98135.42</v>
      </c>
      <c r="J107" s="30">
        <v>23108.26</v>
      </c>
      <c r="K107" s="34">
        <v>53234.18</v>
      </c>
      <c r="L107" s="1"/>
    </row>
    <row r="108" spans="2:13" ht="18.75" x14ac:dyDescent="0.3">
      <c r="B108" s="63">
        <v>44066</v>
      </c>
      <c r="C108" s="20" t="s">
        <v>642</v>
      </c>
      <c r="D108" s="21"/>
      <c r="E108" s="21">
        <v>1000</v>
      </c>
      <c r="F108" s="21"/>
      <c r="G108" s="21"/>
      <c r="H108" s="21"/>
      <c r="I108" s="22"/>
      <c r="J108" s="23">
        <f>+J107+E108-G108</f>
        <v>24108.26</v>
      </c>
      <c r="K108" s="23">
        <f>+K107+D108-H108</f>
        <v>53234.18</v>
      </c>
      <c r="L108" s="1"/>
    </row>
    <row r="109" spans="2:13" ht="18.75" x14ac:dyDescent="0.3">
      <c r="B109" s="63">
        <v>44068</v>
      </c>
      <c r="C109" s="24" t="s">
        <v>631</v>
      </c>
      <c r="D109" s="21"/>
      <c r="E109" s="21"/>
      <c r="F109" s="21"/>
      <c r="G109" s="21"/>
      <c r="H109" s="21">
        <v>490</v>
      </c>
      <c r="I109" s="22"/>
      <c r="J109" s="23">
        <f>+J108+E109-G109</f>
        <v>24108.26</v>
      </c>
      <c r="K109" s="23">
        <f>+K108+D109-H109</f>
        <v>52744.18</v>
      </c>
      <c r="L109" s="1"/>
    </row>
    <row r="110" spans="2:13" ht="18.75" x14ac:dyDescent="0.3">
      <c r="B110" s="63">
        <v>44068</v>
      </c>
      <c r="C110" s="24" t="s">
        <v>632</v>
      </c>
      <c r="D110" s="21"/>
      <c r="E110" s="21"/>
      <c r="F110" s="21"/>
      <c r="G110" s="21"/>
      <c r="H110" s="21">
        <v>285</v>
      </c>
      <c r="I110" s="22"/>
      <c r="J110" s="23">
        <f t="shared" ref="J110:J113" si="4">+J109+E110-G110</f>
        <v>24108.26</v>
      </c>
      <c r="K110" s="23">
        <f t="shared" ref="K110:K113" si="5">+K109+D110-H110</f>
        <v>52459.18</v>
      </c>
      <c r="L110" s="1"/>
    </row>
    <row r="111" spans="2:13" ht="18.75" x14ac:dyDescent="0.3">
      <c r="B111" s="63">
        <v>44069</v>
      </c>
      <c r="C111" s="24" t="s">
        <v>609</v>
      </c>
      <c r="D111" s="21"/>
      <c r="E111" s="21"/>
      <c r="F111" s="21"/>
      <c r="G111" s="21"/>
      <c r="H111" s="21">
        <v>286.8</v>
      </c>
      <c r="I111" s="22"/>
      <c r="J111" s="23">
        <f t="shared" si="4"/>
        <v>24108.26</v>
      </c>
      <c r="K111" s="23">
        <f t="shared" si="5"/>
        <v>52172.38</v>
      </c>
      <c r="L111" s="1"/>
    </row>
    <row r="112" spans="2:13" ht="18.75" x14ac:dyDescent="0.3">
      <c r="B112" s="63">
        <v>44069</v>
      </c>
      <c r="C112" s="24" t="s">
        <v>654</v>
      </c>
      <c r="D112" s="21"/>
      <c r="E112" s="21"/>
      <c r="F112" s="21"/>
      <c r="G112" s="21"/>
      <c r="H112" s="21">
        <v>1545</v>
      </c>
      <c r="I112" s="22"/>
      <c r="J112" s="23">
        <f t="shared" si="4"/>
        <v>24108.26</v>
      </c>
      <c r="K112" s="23">
        <f t="shared" si="5"/>
        <v>50627.38</v>
      </c>
      <c r="L112" s="1"/>
    </row>
    <row r="113" spans="2:12" ht="18.75" x14ac:dyDescent="0.3">
      <c r="B113" s="63">
        <v>44069</v>
      </c>
      <c r="C113" s="20" t="s">
        <v>380</v>
      </c>
      <c r="D113" s="21"/>
      <c r="E113" s="21"/>
      <c r="F113" s="21"/>
      <c r="G113" s="21"/>
      <c r="H113" s="21">
        <v>176.06</v>
      </c>
      <c r="I113" s="22"/>
      <c r="J113" s="23">
        <f t="shared" si="4"/>
        <v>24108.26</v>
      </c>
      <c r="K113" s="23">
        <f t="shared" si="5"/>
        <v>50451.32</v>
      </c>
      <c r="L113" s="1"/>
    </row>
    <row r="114" spans="2:12" ht="18.75" x14ac:dyDescent="0.3">
      <c r="B114" s="63">
        <v>44070</v>
      </c>
      <c r="C114" s="20" t="s">
        <v>108</v>
      </c>
      <c r="D114" s="26"/>
      <c r="E114" s="26"/>
      <c r="F114" s="26"/>
      <c r="G114" s="26">
        <v>200</v>
      </c>
      <c r="H114" s="21"/>
      <c r="I114" s="22"/>
      <c r="J114" s="23">
        <f t="shared" ref="J114:J135" si="6">+J113+E114-G114</f>
        <v>23908.26</v>
      </c>
      <c r="K114" s="23">
        <f t="shared" ref="K114:K135" si="7">+K113+D114-H114</f>
        <v>50451.32</v>
      </c>
      <c r="L114" s="1"/>
    </row>
    <row r="115" spans="2:12" ht="18.75" x14ac:dyDescent="0.3">
      <c r="B115" s="63">
        <v>44070</v>
      </c>
      <c r="C115" s="24" t="s">
        <v>109</v>
      </c>
      <c r="D115" s="26"/>
      <c r="E115" s="26"/>
      <c r="F115" s="26"/>
      <c r="G115" s="26">
        <v>32</v>
      </c>
      <c r="H115" s="21"/>
      <c r="I115" s="22"/>
      <c r="J115" s="23">
        <f t="shared" si="6"/>
        <v>23876.26</v>
      </c>
      <c r="K115" s="23">
        <f t="shared" si="7"/>
        <v>50451.32</v>
      </c>
      <c r="L115" s="1"/>
    </row>
    <row r="116" spans="2:12" ht="18.75" x14ac:dyDescent="0.3">
      <c r="B116" s="63">
        <v>44071</v>
      </c>
      <c r="C116" s="20" t="s">
        <v>653</v>
      </c>
      <c r="D116" s="21"/>
      <c r="E116" s="21"/>
      <c r="F116" s="21"/>
      <c r="G116" s="21"/>
      <c r="H116" s="21">
        <v>40</v>
      </c>
      <c r="I116" s="22"/>
      <c r="J116" s="23">
        <f t="shared" si="6"/>
        <v>23876.26</v>
      </c>
      <c r="K116" s="23">
        <f t="shared" si="7"/>
        <v>50411.32</v>
      </c>
      <c r="L116" s="1"/>
    </row>
    <row r="117" spans="2:12" ht="18.75" x14ac:dyDescent="0.3">
      <c r="B117" s="63">
        <v>44073</v>
      </c>
      <c r="C117" s="24" t="s">
        <v>633</v>
      </c>
      <c r="D117" s="21"/>
      <c r="E117" s="21"/>
      <c r="F117" s="21"/>
      <c r="G117" s="21"/>
      <c r="H117" s="21">
        <v>49</v>
      </c>
      <c r="I117" s="22"/>
      <c r="J117" s="23">
        <f t="shared" si="6"/>
        <v>23876.26</v>
      </c>
      <c r="K117" s="23">
        <f t="shared" si="7"/>
        <v>50362.32</v>
      </c>
      <c r="L117" s="1"/>
    </row>
    <row r="118" spans="2:12" ht="18.75" x14ac:dyDescent="0.3">
      <c r="B118" s="63">
        <v>44073</v>
      </c>
      <c r="C118" s="24" t="s">
        <v>634</v>
      </c>
      <c r="D118" s="21"/>
      <c r="E118" s="21"/>
      <c r="F118" s="21"/>
      <c r="G118" s="22"/>
      <c r="H118" s="21">
        <v>100</v>
      </c>
      <c r="I118" s="22"/>
      <c r="J118" s="23">
        <f t="shared" si="6"/>
        <v>23876.26</v>
      </c>
      <c r="K118" s="23">
        <f t="shared" si="7"/>
        <v>50262.32</v>
      </c>
      <c r="L118" s="1"/>
    </row>
    <row r="119" spans="2:12" ht="18.75" x14ac:dyDescent="0.3">
      <c r="B119" s="63">
        <v>44073</v>
      </c>
      <c r="C119" s="24" t="s">
        <v>635</v>
      </c>
      <c r="D119" s="21"/>
      <c r="E119" s="21"/>
      <c r="F119" s="21"/>
      <c r="G119" s="22"/>
      <c r="H119" s="21">
        <v>200</v>
      </c>
      <c r="I119" s="22"/>
      <c r="J119" s="23">
        <f t="shared" si="6"/>
        <v>23876.26</v>
      </c>
      <c r="K119" s="23">
        <f t="shared" si="7"/>
        <v>50062.32</v>
      </c>
      <c r="L119" s="1"/>
    </row>
    <row r="120" spans="2:12" ht="18.75" x14ac:dyDescent="0.3">
      <c r="B120" s="63">
        <v>44073</v>
      </c>
      <c r="C120" s="24" t="s">
        <v>637</v>
      </c>
      <c r="D120" s="21"/>
      <c r="E120" s="21"/>
      <c r="F120" s="21"/>
      <c r="G120" s="21"/>
      <c r="H120" s="21">
        <v>400</v>
      </c>
      <c r="I120" s="22"/>
      <c r="J120" s="23">
        <f t="shared" si="6"/>
        <v>23876.26</v>
      </c>
      <c r="K120" s="23">
        <f t="shared" si="7"/>
        <v>49662.32</v>
      </c>
      <c r="L120" s="1"/>
    </row>
    <row r="121" spans="2:12" ht="18.75" x14ac:dyDescent="0.3">
      <c r="B121" s="63">
        <v>44073</v>
      </c>
      <c r="C121" s="24" t="s">
        <v>636</v>
      </c>
      <c r="D121" s="21"/>
      <c r="E121" s="21"/>
      <c r="F121" s="21"/>
      <c r="G121" s="21"/>
      <c r="H121" s="21">
        <v>400</v>
      </c>
      <c r="I121" s="22"/>
      <c r="J121" s="23">
        <f t="shared" si="6"/>
        <v>23876.26</v>
      </c>
      <c r="K121" s="23">
        <f t="shared" si="7"/>
        <v>49262.32</v>
      </c>
      <c r="L121" s="1"/>
    </row>
    <row r="122" spans="2:12" ht="18.75" x14ac:dyDescent="0.3">
      <c r="B122" s="63">
        <v>44073</v>
      </c>
      <c r="C122" s="36" t="s">
        <v>422</v>
      </c>
      <c r="D122" s="21"/>
      <c r="E122" s="21"/>
      <c r="F122" s="21"/>
      <c r="G122" s="21"/>
      <c r="H122" s="21">
        <v>2000</v>
      </c>
      <c r="I122" s="22"/>
      <c r="J122" s="23">
        <f t="shared" si="6"/>
        <v>23876.26</v>
      </c>
      <c r="K122" s="23">
        <f t="shared" si="7"/>
        <v>47262.32</v>
      </c>
      <c r="L122" s="1"/>
    </row>
    <row r="123" spans="2:12" ht="18.75" x14ac:dyDescent="0.3">
      <c r="B123" s="63">
        <v>44073</v>
      </c>
      <c r="C123" s="24" t="s">
        <v>639</v>
      </c>
      <c r="D123" s="21">
        <v>16500</v>
      </c>
      <c r="E123" s="21"/>
      <c r="F123" s="21"/>
      <c r="G123" s="21"/>
      <c r="H123" s="21"/>
      <c r="I123" s="22"/>
      <c r="J123" s="23">
        <f t="shared" si="6"/>
        <v>23876.26</v>
      </c>
      <c r="K123" s="23">
        <f t="shared" si="7"/>
        <v>63762.32</v>
      </c>
      <c r="L123" s="1"/>
    </row>
    <row r="124" spans="2:12" ht="18.75" x14ac:dyDescent="0.3">
      <c r="B124" s="63">
        <v>44071</v>
      </c>
      <c r="C124" s="24" t="s">
        <v>643</v>
      </c>
      <c r="D124" s="21"/>
      <c r="E124" s="21">
        <v>1250.44</v>
      </c>
      <c r="F124" s="21"/>
      <c r="G124" s="21"/>
      <c r="H124" s="21"/>
      <c r="I124" s="22"/>
      <c r="J124" s="23">
        <f t="shared" si="6"/>
        <v>25126.699999999997</v>
      </c>
      <c r="K124" s="23">
        <f t="shared" si="7"/>
        <v>63762.32</v>
      </c>
      <c r="L124" s="1"/>
    </row>
    <row r="125" spans="2:12" ht="18.75" x14ac:dyDescent="0.3">
      <c r="B125" s="63">
        <v>44072</v>
      </c>
      <c r="C125" s="36" t="s">
        <v>644</v>
      </c>
      <c r="D125" s="17"/>
      <c r="E125" s="17">
        <v>500</v>
      </c>
      <c r="F125" s="17"/>
      <c r="G125" s="17"/>
      <c r="H125" s="17"/>
      <c r="I125" s="22"/>
      <c r="J125" s="23">
        <f t="shared" si="6"/>
        <v>25626.699999999997</v>
      </c>
      <c r="K125" s="23">
        <f t="shared" si="7"/>
        <v>63762.32</v>
      </c>
      <c r="L125" s="1"/>
    </row>
    <row r="126" spans="2:12" ht="18.75" x14ac:dyDescent="0.3">
      <c r="B126" s="63">
        <v>44074</v>
      </c>
      <c r="C126" s="24" t="s">
        <v>655</v>
      </c>
      <c r="D126" s="21"/>
      <c r="E126" s="21"/>
      <c r="F126" s="21"/>
      <c r="G126" s="21"/>
      <c r="H126" s="21">
        <v>300</v>
      </c>
      <c r="I126" s="22"/>
      <c r="J126" s="23">
        <f t="shared" si="6"/>
        <v>25626.699999999997</v>
      </c>
      <c r="K126" s="23">
        <f t="shared" si="7"/>
        <v>63462.32</v>
      </c>
      <c r="L126" s="1"/>
    </row>
    <row r="127" spans="2:12" ht="18.75" x14ac:dyDescent="0.3">
      <c r="B127" s="63">
        <v>44074</v>
      </c>
      <c r="C127" s="24" t="s">
        <v>652</v>
      </c>
      <c r="D127" s="17"/>
      <c r="E127" s="17"/>
      <c r="F127" s="17"/>
      <c r="G127" s="17"/>
      <c r="H127" s="17">
        <v>1000</v>
      </c>
      <c r="I127" s="22"/>
      <c r="J127" s="23">
        <f t="shared" si="6"/>
        <v>25626.699999999997</v>
      </c>
      <c r="K127" s="23">
        <f t="shared" si="7"/>
        <v>62462.32</v>
      </c>
      <c r="L127" s="1"/>
    </row>
    <row r="128" spans="2:12" ht="18.75" x14ac:dyDescent="0.3">
      <c r="B128" s="63">
        <v>44074</v>
      </c>
      <c r="C128" s="20" t="s">
        <v>628</v>
      </c>
      <c r="D128" s="21"/>
      <c r="E128" s="21"/>
      <c r="F128" s="21"/>
      <c r="G128" s="21"/>
      <c r="H128" s="21">
        <v>400</v>
      </c>
      <c r="I128" s="22"/>
      <c r="J128" s="23">
        <f t="shared" si="6"/>
        <v>25626.699999999997</v>
      </c>
      <c r="K128" s="23">
        <f t="shared" si="7"/>
        <v>62062.32</v>
      </c>
      <c r="L128" s="1"/>
    </row>
    <row r="129" spans="2:12" ht="18.75" x14ac:dyDescent="0.3">
      <c r="B129" s="63">
        <v>44074</v>
      </c>
      <c r="C129" s="20" t="s">
        <v>651</v>
      </c>
      <c r="D129" s="21"/>
      <c r="E129" s="21"/>
      <c r="F129" s="21"/>
      <c r="G129" s="21"/>
      <c r="H129" s="21">
        <v>2500</v>
      </c>
      <c r="I129" s="22"/>
      <c r="J129" s="23">
        <f t="shared" si="6"/>
        <v>25626.699999999997</v>
      </c>
      <c r="K129" s="23">
        <f t="shared" si="7"/>
        <v>59562.32</v>
      </c>
      <c r="L129" s="1"/>
    </row>
    <row r="130" spans="2:12" ht="18.75" x14ac:dyDescent="0.3">
      <c r="B130" s="63">
        <v>44074</v>
      </c>
      <c r="C130" s="24" t="s">
        <v>647</v>
      </c>
      <c r="D130" s="21"/>
      <c r="E130" s="21"/>
      <c r="F130" s="21"/>
      <c r="G130" s="21"/>
      <c r="H130" s="21">
        <v>200</v>
      </c>
      <c r="I130" s="22"/>
      <c r="J130" s="23">
        <f t="shared" si="6"/>
        <v>25626.699999999997</v>
      </c>
      <c r="K130" s="23">
        <f t="shared" si="7"/>
        <v>59362.32</v>
      </c>
      <c r="L130" s="1"/>
    </row>
    <row r="131" spans="2:12" ht="18.75" x14ac:dyDescent="0.3">
      <c r="B131" s="63">
        <v>44074</v>
      </c>
      <c r="C131" s="48" t="s">
        <v>648</v>
      </c>
      <c r="D131" s="21"/>
      <c r="E131" s="21"/>
      <c r="F131" s="21"/>
      <c r="G131" s="21"/>
      <c r="H131" s="21">
        <v>650</v>
      </c>
      <c r="I131" s="22"/>
      <c r="J131" s="23">
        <f t="shared" si="6"/>
        <v>25626.699999999997</v>
      </c>
      <c r="K131" s="23">
        <f t="shared" si="7"/>
        <v>58712.32</v>
      </c>
      <c r="L131" s="1"/>
    </row>
    <row r="132" spans="2:12" ht="18.75" x14ac:dyDescent="0.3">
      <c r="B132" s="63">
        <v>44074</v>
      </c>
      <c r="C132" s="27" t="s">
        <v>649</v>
      </c>
      <c r="D132" s="21"/>
      <c r="E132" s="21"/>
      <c r="F132" s="21"/>
      <c r="G132" s="21"/>
      <c r="H132" s="21">
        <v>500</v>
      </c>
      <c r="I132" s="22"/>
      <c r="J132" s="23">
        <f t="shared" si="6"/>
        <v>25626.699999999997</v>
      </c>
      <c r="K132" s="23">
        <f t="shared" si="7"/>
        <v>58212.32</v>
      </c>
      <c r="L132" s="1"/>
    </row>
    <row r="133" spans="2:12" ht="18.75" x14ac:dyDescent="0.3">
      <c r="B133" s="63">
        <v>44074</v>
      </c>
      <c r="C133" s="20" t="s">
        <v>650</v>
      </c>
      <c r="D133" s="21"/>
      <c r="E133" s="21"/>
      <c r="F133" s="21"/>
      <c r="G133" s="21"/>
      <c r="H133" s="21">
        <v>797</v>
      </c>
      <c r="I133" s="22"/>
      <c r="J133" s="23">
        <f t="shared" si="6"/>
        <v>25626.699999999997</v>
      </c>
      <c r="K133" s="23">
        <f t="shared" si="7"/>
        <v>57415.32</v>
      </c>
      <c r="L133" s="1"/>
    </row>
    <row r="134" spans="2:12" ht="18.75" x14ac:dyDescent="0.3">
      <c r="B134" s="63">
        <v>44074</v>
      </c>
      <c r="C134" s="24" t="s">
        <v>638</v>
      </c>
      <c r="D134" s="21"/>
      <c r="E134" s="21"/>
      <c r="F134" s="21"/>
      <c r="G134" s="21"/>
      <c r="H134" s="21">
        <v>3000</v>
      </c>
      <c r="I134" s="22"/>
      <c r="J134" s="23">
        <f t="shared" si="6"/>
        <v>25626.699999999997</v>
      </c>
      <c r="K134" s="23">
        <f t="shared" si="7"/>
        <v>54415.32</v>
      </c>
      <c r="L134" s="1"/>
    </row>
    <row r="135" spans="2:12" ht="18.75" x14ac:dyDescent="0.3">
      <c r="B135" s="63">
        <v>44074</v>
      </c>
      <c r="C135" s="48" t="s">
        <v>362</v>
      </c>
      <c r="D135" s="21"/>
      <c r="E135" s="21"/>
      <c r="F135" s="21"/>
      <c r="G135" s="21"/>
      <c r="H135" s="21">
        <v>3000</v>
      </c>
      <c r="I135" s="22"/>
      <c r="J135" s="23">
        <f t="shared" si="6"/>
        <v>25626.699999999997</v>
      </c>
      <c r="K135" s="23">
        <f t="shared" si="7"/>
        <v>51415.32</v>
      </c>
      <c r="L135" s="1"/>
    </row>
    <row r="136" spans="2:12" ht="18.75" x14ac:dyDescent="0.3">
      <c r="B136" s="63">
        <v>44074</v>
      </c>
      <c r="C136" s="27" t="s">
        <v>658</v>
      </c>
      <c r="D136" s="21"/>
      <c r="E136" s="21"/>
      <c r="F136" s="21"/>
      <c r="G136" s="21"/>
      <c r="H136" s="21">
        <v>2800</v>
      </c>
      <c r="I136" s="22"/>
      <c r="J136" s="23">
        <f t="shared" ref="J136:J141" si="8">+J135+E136-G136</f>
        <v>25626.699999999997</v>
      </c>
      <c r="K136" s="23">
        <f t="shared" ref="K136:K141" si="9">+K135+D136-H136</f>
        <v>48615.32</v>
      </c>
      <c r="L136" s="1"/>
    </row>
    <row r="137" spans="2:12" ht="18.75" x14ac:dyDescent="0.3">
      <c r="B137" s="63">
        <v>44074</v>
      </c>
      <c r="C137" s="27" t="s">
        <v>478</v>
      </c>
      <c r="D137" s="21"/>
      <c r="E137" s="21"/>
      <c r="F137" s="21"/>
      <c r="G137" s="21">
        <v>20000</v>
      </c>
      <c r="H137" s="21"/>
      <c r="I137" s="22"/>
      <c r="J137" s="23">
        <f t="shared" si="8"/>
        <v>5626.6999999999971</v>
      </c>
      <c r="K137" s="23">
        <f t="shared" si="9"/>
        <v>48615.32</v>
      </c>
      <c r="L137" s="1"/>
    </row>
    <row r="138" spans="2:12" ht="18.75" x14ac:dyDescent="0.3">
      <c r="B138" s="63">
        <v>44074</v>
      </c>
      <c r="C138" s="20" t="s">
        <v>272</v>
      </c>
      <c r="D138" s="21"/>
      <c r="E138" s="21"/>
      <c r="F138" s="21"/>
      <c r="G138" s="21"/>
      <c r="H138" s="21">
        <v>13750</v>
      </c>
      <c r="I138" s="22"/>
      <c r="J138" s="23">
        <f t="shared" si="8"/>
        <v>5626.6999999999971</v>
      </c>
      <c r="K138" s="23">
        <f t="shared" si="9"/>
        <v>34865.32</v>
      </c>
      <c r="L138" s="1"/>
    </row>
    <row r="139" spans="2:12" ht="18.75" x14ac:dyDescent="0.3">
      <c r="B139" s="63">
        <v>44074</v>
      </c>
      <c r="C139" s="48" t="s">
        <v>299</v>
      </c>
      <c r="D139" s="21"/>
      <c r="E139" s="21"/>
      <c r="F139" s="21"/>
      <c r="G139" s="21"/>
      <c r="H139" s="21">
        <v>3650</v>
      </c>
      <c r="I139" s="22"/>
      <c r="J139" s="23">
        <f t="shared" si="8"/>
        <v>5626.6999999999971</v>
      </c>
      <c r="K139" s="23">
        <f t="shared" si="9"/>
        <v>31215.32</v>
      </c>
      <c r="L139" s="1"/>
    </row>
    <row r="140" spans="2:12" ht="18.75" x14ac:dyDescent="0.3">
      <c r="B140" s="63">
        <v>44074</v>
      </c>
      <c r="C140" s="20" t="s">
        <v>110</v>
      </c>
      <c r="D140" s="21"/>
      <c r="E140" s="21"/>
      <c r="F140" s="21"/>
      <c r="G140" s="21">
        <v>54</v>
      </c>
      <c r="H140" s="21"/>
      <c r="I140" s="22"/>
      <c r="J140" s="23">
        <f t="shared" si="8"/>
        <v>5572.6999999999971</v>
      </c>
      <c r="K140" s="23">
        <f t="shared" si="9"/>
        <v>31215.32</v>
      </c>
      <c r="L140" s="1"/>
    </row>
    <row r="141" spans="2:12" ht="19.5" thickBot="1" x14ac:dyDescent="0.35">
      <c r="B141" s="63">
        <v>44074</v>
      </c>
      <c r="C141" s="24" t="s">
        <v>111</v>
      </c>
      <c r="D141" s="21"/>
      <c r="E141" s="21"/>
      <c r="F141" s="21"/>
      <c r="G141" s="21">
        <v>8.64</v>
      </c>
      <c r="H141" s="21"/>
      <c r="I141" s="22"/>
      <c r="J141" s="23">
        <f t="shared" si="8"/>
        <v>5564.0599999999968</v>
      </c>
      <c r="K141" s="23">
        <f t="shared" si="9"/>
        <v>31215.32</v>
      </c>
      <c r="L141" s="1"/>
    </row>
    <row r="142" spans="2:12" ht="19.5" thickBot="1" x14ac:dyDescent="0.35">
      <c r="B142" s="65"/>
      <c r="C142" s="29" t="s">
        <v>0</v>
      </c>
      <c r="D142" s="40">
        <f>SUM(D107:D141)</f>
        <v>139550</v>
      </c>
      <c r="E142" s="66">
        <f>SUM(E107:E141)</f>
        <v>34216.699999999997</v>
      </c>
      <c r="F142" s="67">
        <f>SUM(D142:E142)</f>
        <v>173766.7</v>
      </c>
      <c r="G142" s="67">
        <f>SUM(G107:G141)</f>
        <v>36654.639999999999</v>
      </c>
      <c r="H142" s="30">
        <f>SUM(H107:H141)</f>
        <v>120294.28</v>
      </c>
      <c r="I142" s="32">
        <f>SUM(G142:H142)</f>
        <v>156948.91999999998</v>
      </c>
      <c r="J142" s="34"/>
      <c r="K142" s="34"/>
      <c r="L142" s="1"/>
    </row>
    <row r="143" spans="2:12" ht="19.5" thickBot="1" x14ac:dyDescent="0.35">
      <c r="B143" s="70"/>
      <c r="C143" s="7"/>
      <c r="D143" s="7"/>
      <c r="E143" s="7"/>
      <c r="F143" s="7"/>
      <c r="G143" s="7"/>
      <c r="H143" s="7"/>
      <c r="I143" s="38" t="s">
        <v>7</v>
      </c>
      <c r="J143" s="38" t="s">
        <v>6</v>
      </c>
      <c r="K143" s="39" t="s">
        <v>0</v>
      </c>
    </row>
    <row r="144" spans="2:12" ht="19.5" thickBot="1" x14ac:dyDescent="0.35">
      <c r="B144" s="70"/>
      <c r="C144" s="7"/>
      <c r="D144" s="7"/>
      <c r="E144" s="7"/>
      <c r="F144" s="7"/>
      <c r="G144" s="7"/>
      <c r="H144" s="7"/>
      <c r="I144" s="34">
        <v>5564.06</v>
      </c>
      <c r="J144" s="34">
        <v>31215.32</v>
      </c>
      <c r="K144" s="34">
        <f>SUM(I144:J144)</f>
        <v>36779.379999999997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34"/>
  <sheetViews>
    <sheetView zoomScale="80" zoomScaleNormal="80" workbookViewId="0">
      <pane ySplit="3" topLeftCell="A44" activePane="bottomLeft" state="frozen"/>
      <selection activeCell="B1" sqref="B1"/>
      <selection pane="bottomLeft" activeCell="C62" sqref="C62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C1" s="8" t="s">
        <v>26</v>
      </c>
    </row>
    <row r="2" spans="2:11" ht="18.75" x14ac:dyDescent="0.3">
      <c r="B2" s="60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6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3">
        <v>44074</v>
      </c>
      <c r="C4" s="14" t="s">
        <v>25</v>
      </c>
      <c r="D4" s="15"/>
      <c r="E4" s="16"/>
      <c r="F4" s="16"/>
      <c r="G4" s="16"/>
      <c r="H4" s="17"/>
      <c r="I4" s="18"/>
      <c r="J4" s="19">
        <v>5564.06</v>
      </c>
      <c r="K4" s="59">
        <v>31215.32</v>
      </c>
    </row>
    <row r="5" spans="2:11" ht="18.75" x14ac:dyDescent="0.3">
      <c r="B5" s="62">
        <v>44075</v>
      </c>
      <c r="C5" s="24" t="s">
        <v>495</v>
      </c>
      <c r="D5" s="21"/>
      <c r="E5" s="21"/>
      <c r="F5" s="21"/>
      <c r="G5" s="21"/>
      <c r="H5" s="21">
        <v>200</v>
      </c>
      <c r="I5" s="22"/>
      <c r="J5" s="23">
        <f>+J4+E5-G5</f>
        <v>5564.06</v>
      </c>
      <c r="K5" s="23">
        <f>+K4+D5-H5</f>
        <v>31015.32</v>
      </c>
    </row>
    <row r="6" spans="2:11" ht="18.75" x14ac:dyDescent="0.3">
      <c r="B6" s="62">
        <v>44075</v>
      </c>
      <c r="C6" s="20" t="s">
        <v>668</v>
      </c>
      <c r="D6" s="21"/>
      <c r="E6" s="21"/>
      <c r="F6" s="21"/>
      <c r="G6" s="21"/>
      <c r="H6" s="21">
        <v>1050</v>
      </c>
      <c r="I6" s="22"/>
      <c r="J6" s="23">
        <f t="shared" ref="J6:J51" si="0">+J5+E6-G6</f>
        <v>5564.06</v>
      </c>
      <c r="K6" s="23">
        <f t="shared" ref="K6:K51" si="1">+K5+D6-H6</f>
        <v>29965.32</v>
      </c>
    </row>
    <row r="7" spans="2:11" ht="18.75" x14ac:dyDescent="0.3">
      <c r="B7" s="63">
        <v>44075</v>
      </c>
      <c r="C7" s="45" t="s">
        <v>669</v>
      </c>
      <c r="D7" s="21"/>
      <c r="E7" s="21"/>
      <c r="F7" s="21"/>
      <c r="G7" s="21"/>
      <c r="H7" s="57">
        <v>52</v>
      </c>
      <c r="I7" s="22"/>
      <c r="J7" s="23">
        <f t="shared" si="0"/>
        <v>5564.06</v>
      </c>
      <c r="K7" s="23">
        <f t="shared" si="1"/>
        <v>29913.32</v>
      </c>
    </row>
    <row r="8" spans="2:11" ht="18.75" x14ac:dyDescent="0.3">
      <c r="B8" s="63">
        <v>44076</v>
      </c>
      <c r="C8" s="20" t="s">
        <v>670</v>
      </c>
      <c r="D8" s="21"/>
      <c r="E8" s="21"/>
      <c r="F8" s="21"/>
      <c r="G8" s="21"/>
      <c r="H8" s="21">
        <v>450</v>
      </c>
      <c r="I8" s="22"/>
      <c r="J8" s="23">
        <f t="shared" si="0"/>
        <v>5564.06</v>
      </c>
      <c r="K8" s="23">
        <f t="shared" si="1"/>
        <v>29463.32</v>
      </c>
    </row>
    <row r="9" spans="2:11" ht="18.75" x14ac:dyDescent="0.3">
      <c r="B9" s="63">
        <v>44076</v>
      </c>
      <c r="C9" s="74" t="s">
        <v>596</v>
      </c>
      <c r="D9" s="21"/>
      <c r="E9" s="21"/>
      <c r="F9" s="21"/>
      <c r="G9" s="21"/>
      <c r="H9" s="57">
        <v>300</v>
      </c>
      <c r="I9" s="22"/>
      <c r="J9" s="23">
        <f t="shared" si="0"/>
        <v>5564.06</v>
      </c>
      <c r="K9" s="23">
        <f t="shared" si="1"/>
        <v>29163.32</v>
      </c>
    </row>
    <row r="10" spans="2:11" ht="18.75" x14ac:dyDescent="0.3">
      <c r="B10" s="63">
        <v>44076</v>
      </c>
      <c r="C10" s="20" t="s">
        <v>671</v>
      </c>
      <c r="D10" s="21"/>
      <c r="E10" s="21"/>
      <c r="F10" s="21"/>
      <c r="G10" s="21"/>
      <c r="H10" s="21">
        <v>300</v>
      </c>
      <c r="I10" s="22"/>
      <c r="J10" s="23">
        <f t="shared" si="0"/>
        <v>5564.06</v>
      </c>
      <c r="K10" s="23">
        <f t="shared" si="1"/>
        <v>28863.32</v>
      </c>
    </row>
    <row r="11" spans="2:11" ht="18.75" x14ac:dyDescent="0.3">
      <c r="B11" s="63">
        <v>44077</v>
      </c>
      <c r="C11" s="20" t="s">
        <v>672</v>
      </c>
      <c r="D11" s="21"/>
      <c r="E11" s="21"/>
      <c r="F11" s="21"/>
      <c r="G11" s="21"/>
      <c r="H11" s="21">
        <v>341.82</v>
      </c>
      <c r="I11" s="22"/>
      <c r="J11" s="23">
        <f t="shared" si="0"/>
        <v>5564.06</v>
      </c>
      <c r="K11" s="23">
        <f t="shared" si="1"/>
        <v>28521.5</v>
      </c>
    </row>
    <row r="12" spans="2:11" ht="18.75" x14ac:dyDescent="0.3">
      <c r="B12" s="63">
        <v>44078</v>
      </c>
      <c r="C12" s="20" t="s">
        <v>466</v>
      </c>
      <c r="D12" s="21"/>
      <c r="E12" s="21"/>
      <c r="F12" s="21"/>
      <c r="G12" s="21"/>
      <c r="H12" s="57">
        <v>120</v>
      </c>
      <c r="I12" s="22"/>
      <c r="J12" s="23">
        <f t="shared" si="0"/>
        <v>5564.06</v>
      </c>
      <c r="K12" s="23">
        <f t="shared" si="1"/>
        <v>28401.5</v>
      </c>
    </row>
    <row r="13" spans="2:11" ht="18.75" x14ac:dyDescent="0.3">
      <c r="B13" s="63">
        <v>44078</v>
      </c>
      <c r="C13" s="36" t="s">
        <v>673</v>
      </c>
      <c r="D13" s="21"/>
      <c r="E13" s="21"/>
      <c r="F13" s="21"/>
      <c r="G13" s="21"/>
      <c r="H13" s="21">
        <v>800</v>
      </c>
      <c r="I13" s="22"/>
      <c r="J13" s="23">
        <f t="shared" si="0"/>
        <v>5564.06</v>
      </c>
      <c r="K13" s="23">
        <f t="shared" si="1"/>
        <v>27601.5</v>
      </c>
    </row>
    <row r="14" spans="2:11" ht="18.75" x14ac:dyDescent="0.3">
      <c r="B14" s="63">
        <v>44080</v>
      </c>
      <c r="C14" s="58" t="s">
        <v>459</v>
      </c>
      <c r="D14" s="21"/>
      <c r="E14" s="21"/>
      <c r="F14" s="21"/>
      <c r="G14" s="21"/>
      <c r="H14" s="57">
        <v>100</v>
      </c>
      <c r="I14" s="22"/>
      <c r="J14" s="23">
        <f t="shared" si="0"/>
        <v>5564.06</v>
      </c>
      <c r="K14" s="23">
        <f t="shared" si="1"/>
        <v>27501.5</v>
      </c>
    </row>
    <row r="15" spans="2:11" ht="18.75" x14ac:dyDescent="0.3">
      <c r="B15" s="63">
        <v>44080</v>
      </c>
      <c r="C15" s="36" t="s">
        <v>674</v>
      </c>
      <c r="D15" s="21"/>
      <c r="E15" s="21"/>
      <c r="F15" s="21"/>
      <c r="G15" s="21"/>
      <c r="H15" s="21">
        <v>200</v>
      </c>
      <c r="I15" s="22"/>
      <c r="J15" s="23">
        <f t="shared" si="0"/>
        <v>5564.06</v>
      </c>
      <c r="K15" s="23">
        <f t="shared" si="1"/>
        <v>27301.5</v>
      </c>
    </row>
    <row r="16" spans="2:11" ht="18.75" x14ac:dyDescent="0.3">
      <c r="B16" s="63">
        <v>44080</v>
      </c>
      <c r="C16" s="36" t="s">
        <v>701</v>
      </c>
      <c r="D16" s="21"/>
      <c r="E16" s="21"/>
      <c r="F16" s="21"/>
      <c r="G16" s="21"/>
      <c r="H16" s="21">
        <v>200</v>
      </c>
      <c r="I16" s="22"/>
      <c r="J16" s="23">
        <f t="shared" si="0"/>
        <v>5564.06</v>
      </c>
      <c r="K16" s="23">
        <f t="shared" si="1"/>
        <v>27101.5</v>
      </c>
    </row>
    <row r="17" spans="2:11" ht="18.75" x14ac:dyDescent="0.3">
      <c r="B17" s="63">
        <v>44080</v>
      </c>
      <c r="C17" s="45" t="s">
        <v>280</v>
      </c>
      <c r="D17" s="21">
        <v>32950</v>
      </c>
      <c r="E17" s="21"/>
      <c r="F17" s="21"/>
      <c r="G17" s="21"/>
      <c r="H17" s="21"/>
      <c r="I17" s="22"/>
      <c r="J17" s="23">
        <f t="shared" si="0"/>
        <v>5564.06</v>
      </c>
      <c r="K17" s="23">
        <f t="shared" si="1"/>
        <v>60051.5</v>
      </c>
    </row>
    <row r="18" spans="2:11" ht="18.75" x14ac:dyDescent="0.3">
      <c r="B18" s="63">
        <v>44075</v>
      </c>
      <c r="C18" s="20" t="s">
        <v>660</v>
      </c>
      <c r="D18" s="21"/>
      <c r="E18" s="21">
        <v>250.62</v>
      </c>
      <c r="F18" s="21"/>
      <c r="G18" s="21"/>
      <c r="H18" s="21"/>
      <c r="I18" s="22"/>
      <c r="J18" s="23">
        <f t="shared" si="0"/>
        <v>5814.68</v>
      </c>
      <c r="K18" s="23">
        <f t="shared" si="1"/>
        <v>60051.5</v>
      </c>
    </row>
    <row r="19" spans="2:11" ht="18.75" x14ac:dyDescent="0.3">
      <c r="B19" s="63">
        <v>44075</v>
      </c>
      <c r="C19" s="20" t="s">
        <v>661</v>
      </c>
      <c r="D19" s="21"/>
      <c r="E19" s="21">
        <v>500.68</v>
      </c>
      <c r="F19" s="21"/>
      <c r="G19" s="21"/>
      <c r="H19" s="21"/>
      <c r="I19" s="22"/>
      <c r="J19" s="23">
        <f t="shared" si="0"/>
        <v>6315.3600000000006</v>
      </c>
      <c r="K19" s="23">
        <f t="shared" si="1"/>
        <v>60051.5</v>
      </c>
    </row>
    <row r="20" spans="2:11" ht="18.75" x14ac:dyDescent="0.3">
      <c r="B20" s="63">
        <v>44075</v>
      </c>
      <c r="C20" s="27" t="s">
        <v>663</v>
      </c>
      <c r="D20" s="21"/>
      <c r="E20" s="21">
        <v>500.95</v>
      </c>
      <c r="F20" s="21"/>
      <c r="G20" s="21"/>
      <c r="H20" s="21"/>
      <c r="I20" s="22"/>
      <c r="J20" s="23">
        <f t="shared" si="0"/>
        <v>6816.31</v>
      </c>
      <c r="K20" s="23">
        <f t="shared" si="1"/>
        <v>60051.5</v>
      </c>
    </row>
    <row r="21" spans="2:11" ht="18.75" x14ac:dyDescent="0.3">
      <c r="B21" s="63">
        <v>44077</v>
      </c>
      <c r="C21" s="20" t="s">
        <v>662</v>
      </c>
      <c r="D21" s="21"/>
      <c r="E21" s="21">
        <v>500.46</v>
      </c>
      <c r="F21" s="21"/>
      <c r="G21" s="21"/>
      <c r="H21" s="57"/>
      <c r="I21" s="22"/>
      <c r="J21" s="23">
        <f t="shared" si="0"/>
        <v>7316.77</v>
      </c>
      <c r="K21" s="23">
        <f t="shared" si="1"/>
        <v>60051.5</v>
      </c>
    </row>
    <row r="22" spans="2:11" ht="18.75" x14ac:dyDescent="0.3">
      <c r="B22" s="63">
        <v>44077</v>
      </c>
      <c r="C22" s="20" t="s">
        <v>667</v>
      </c>
      <c r="D22" s="21"/>
      <c r="E22" s="21">
        <v>500.2</v>
      </c>
      <c r="F22" s="21"/>
      <c r="G22" s="21"/>
      <c r="H22" s="57"/>
      <c r="I22" s="22"/>
      <c r="J22" s="23">
        <f t="shared" si="0"/>
        <v>7816.97</v>
      </c>
      <c r="K22" s="23">
        <f t="shared" si="1"/>
        <v>60051.5</v>
      </c>
    </row>
    <row r="23" spans="2:11" ht="18.75" x14ac:dyDescent="0.3">
      <c r="B23" s="63">
        <v>44078</v>
      </c>
      <c r="C23" s="20" t="s">
        <v>664</v>
      </c>
      <c r="D23" s="21"/>
      <c r="E23" s="21">
        <v>250.15</v>
      </c>
      <c r="F23" s="21"/>
      <c r="G23" s="21"/>
      <c r="H23" s="57"/>
      <c r="I23" s="22"/>
      <c r="J23" s="23">
        <f t="shared" si="0"/>
        <v>8067.12</v>
      </c>
      <c r="K23" s="23">
        <f t="shared" si="1"/>
        <v>60051.5</v>
      </c>
    </row>
    <row r="24" spans="2:11" ht="18.75" x14ac:dyDescent="0.3">
      <c r="B24" s="63">
        <v>44081</v>
      </c>
      <c r="C24" s="20" t="s">
        <v>665</v>
      </c>
      <c r="D24" s="21"/>
      <c r="E24" s="21">
        <v>500.11</v>
      </c>
      <c r="F24" s="21"/>
      <c r="G24" s="21"/>
      <c r="H24" s="21"/>
      <c r="I24" s="22"/>
      <c r="J24" s="23">
        <f t="shared" si="0"/>
        <v>8567.23</v>
      </c>
      <c r="K24" s="23">
        <f t="shared" si="1"/>
        <v>60051.5</v>
      </c>
    </row>
    <row r="25" spans="2:11" ht="18.75" x14ac:dyDescent="0.3">
      <c r="B25" s="63">
        <v>44081</v>
      </c>
      <c r="C25" s="20" t="s">
        <v>666</v>
      </c>
      <c r="D25" s="21"/>
      <c r="E25" s="21">
        <v>500.2</v>
      </c>
      <c r="F25" s="21"/>
      <c r="G25" s="21"/>
      <c r="H25" s="21"/>
      <c r="I25" s="22"/>
      <c r="J25" s="23">
        <f t="shared" si="0"/>
        <v>9067.43</v>
      </c>
      <c r="K25" s="23">
        <f t="shared" si="1"/>
        <v>60051.5</v>
      </c>
    </row>
    <row r="26" spans="2:11" ht="18.75" x14ac:dyDescent="0.3">
      <c r="B26" s="63">
        <v>44081</v>
      </c>
      <c r="C26" s="20" t="s">
        <v>675</v>
      </c>
      <c r="D26" s="21"/>
      <c r="E26" s="21"/>
      <c r="F26" s="21"/>
      <c r="G26" s="21"/>
      <c r="H26" s="21">
        <v>245.5</v>
      </c>
      <c r="I26" s="22"/>
      <c r="J26" s="23">
        <f t="shared" si="0"/>
        <v>9067.43</v>
      </c>
      <c r="K26" s="23">
        <f t="shared" si="1"/>
        <v>59806</v>
      </c>
    </row>
    <row r="27" spans="2:11" ht="18.75" x14ac:dyDescent="0.3">
      <c r="B27" s="63">
        <v>44081</v>
      </c>
      <c r="C27" s="24" t="s">
        <v>676</v>
      </c>
      <c r="D27" s="21"/>
      <c r="E27" s="21"/>
      <c r="F27" s="21"/>
      <c r="G27" s="21"/>
      <c r="H27" s="21">
        <v>778</v>
      </c>
      <c r="I27" s="22"/>
      <c r="J27" s="23">
        <f t="shared" si="0"/>
        <v>9067.43</v>
      </c>
      <c r="K27" s="23">
        <f t="shared" si="1"/>
        <v>59028</v>
      </c>
    </row>
    <row r="28" spans="2:11" ht="18.75" x14ac:dyDescent="0.3">
      <c r="B28" s="63">
        <v>44081</v>
      </c>
      <c r="C28" s="48" t="s">
        <v>738</v>
      </c>
      <c r="D28" s="21"/>
      <c r="E28" s="21"/>
      <c r="F28" s="21"/>
      <c r="G28" s="21"/>
      <c r="H28" s="21">
        <v>12</v>
      </c>
      <c r="I28" s="22"/>
      <c r="J28" s="23">
        <f t="shared" si="0"/>
        <v>9067.43</v>
      </c>
      <c r="K28" s="23">
        <f t="shared" si="1"/>
        <v>59016</v>
      </c>
    </row>
    <row r="29" spans="2:11" ht="18.75" x14ac:dyDescent="0.3">
      <c r="B29" s="63">
        <v>44081</v>
      </c>
      <c r="C29" s="20" t="s">
        <v>677</v>
      </c>
      <c r="D29" s="21"/>
      <c r="E29" s="21"/>
      <c r="F29" s="21"/>
      <c r="G29" s="21"/>
      <c r="H29" s="57">
        <v>653</v>
      </c>
      <c r="I29" s="22"/>
      <c r="J29" s="23">
        <f t="shared" si="0"/>
        <v>9067.43</v>
      </c>
      <c r="K29" s="23">
        <f t="shared" si="1"/>
        <v>58363</v>
      </c>
    </row>
    <row r="30" spans="2:11" ht="18.75" x14ac:dyDescent="0.3">
      <c r="B30" s="63">
        <v>44081</v>
      </c>
      <c r="C30" s="20" t="s">
        <v>678</v>
      </c>
      <c r="D30" s="21"/>
      <c r="E30" s="21"/>
      <c r="F30" s="21"/>
      <c r="G30" s="21"/>
      <c r="H30" s="21">
        <v>550</v>
      </c>
      <c r="I30" s="22"/>
      <c r="J30" s="23">
        <f t="shared" si="0"/>
        <v>9067.43</v>
      </c>
      <c r="K30" s="23">
        <f t="shared" si="1"/>
        <v>57813</v>
      </c>
    </row>
    <row r="31" spans="2:11" ht="18.75" x14ac:dyDescent="0.3">
      <c r="B31" s="63">
        <v>44082</v>
      </c>
      <c r="C31" s="20" t="s">
        <v>669</v>
      </c>
      <c r="D31" s="21"/>
      <c r="E31" s="21"/>
      <c r="F31" s="21"/>
      <c r="G31" s="21"/>
      <c r="H31" s="21">
        <v>52</v>
      </c>
      <c r="I31" s="22"/>
      <c r="J31" s="23">
        <f t="shared" si="0"/>
        <v>9067.43</v>
      </c>
      <c r="K31" s="23">
        <f t="shared" si="1"/>
        <v>57761</v>
      </c>
    </row>
    <row r="32" spans="2:11" ht="18.75" x14ac:dyDescent="0.3">
      <c r="B32" s="63">
        <v>44082</v>
      </c>
      <c r="C32" s="20" t="s">
        <v>679</v>
      </c>
      <c r="D32" s="21"/>
      <c r="E32" s="21"/>
      <c r="F32" s="21"/>
      <c r="G32" s="21"/>
      <c r="H32" s="21">
        <v>112.98</v>
      </c>
      <c r="I32" s="22"/>
      <c r="J32" s="23">
        <f t="shared" si="0"/>
        <v>9067.43</v>
      </c>
      <c r="K32" s="23">
        <f t="shared" si="1"/>
        <v>57648.02</v>
      </c>
    </row>
    <row r="33" spans="2:11" ht="18.75" x14ac:dyDescent="0.3">
      <c r="B33" s="63">
        <v>44082</v>
      </c>
      <c r="C33" s="20" t="s">
        <v>685</v>
      </c>
      <c r="D33" s="21"/>
      <c r="E33" s="21"/>
      <c r="F33" s="21"/>
      <c r="G33" s="21"/>
      <c r="H33" s="21">
        <v>180</v>
      </c>
      <c r="I33" s="22"/>
      <c r="J33" s="23">
        <f t="shared" si="0"/>
        <v>9067.43</v>
      </c>
      <c r="K33" s="23">
        <f t="shared" si="1"/>
        <v>57468.02</v>
      </c>
    </row>
    <row r="34" spans="2:11" ht="18.75" x14ac:dyDescent="0.3">
      <c r="B34" s="63">
        <v>44082</v>
      </c>
      <c r="C34" s="20" t="s">
        <v>686</v>
      </c>
      <c r="D34" s="21"/>
      <c r="E34" s="21"/>
      <c r="F34" s="21"/>
      <c r="G34" s="21"/>
      <c r="H34" s="21">
        <v>350</v>
      </c>
      <c r="I34" s="22"/>
      <c r="J34" s="23">
        <f t="shared" si="0"/>
        <v>9067.43</v>
      </c>
      <c r="K34" s="23">
        <f t="shared" si="1"/>
        <v>57118.02</v>
      </c>
    </row>
    <row r="35" spans="2:11" ht="18.75" x14ac:dyDescent="0.3">
      <c r="B35" s="63">
        <v>44083</v>
      </c>
      <c r="C35" s="20" t="s">
        <v>687</v>
      </c>
      <c r="D35" s="21"/>
      <c r="E35" s="21"/>
      <c r="F35" s="21"/>
      <c r="G35" s="21"/>
      <c r="H35" s="21">
        <v>480</v>
      </c>
      <c r="I35" s="22"/>
      <c r="J35" s="23">
        <f t="shared" si="0"/>
        <v>9067.43</v>
      </c>
      <c r="K35" s="23">
        <f t="shared" si="1"/>
        <v>56638.02</v>
      </c>
    </row>
    <row r="36" spans="2:11" ht="18.75" x14ac:dyDescent="0.3">
      <c r="B36" s="63">
        <v>44083</v>
      </c>
      <c r="C36" s="74" t="s">
        <v>739</v>
      </c>
      <c r="D36" s="21"/>
      <c r="E36" s="21"/>
      <c r="F36" s="21"/>
      <c r="G36" s="21">
        <v>1760</v>
      </c>
      <c r="H36" s="21"/>
      <c r="I36" s="22"/>
      <c r="J36" s="23">
        <f t="shared" si="0"/>
        <v>7307.43</v>
      </c>
      <c r="K36" s="23">
        <f t="shared" si="1"/>
        <v>56638.02</v>
      </c>
    </row>
    <row r="37" spans="2:11" ht="18.75" x14ac:dyDescent="0.3">
      <c r="B37" s="63">
        <v>44083</v>
      </c>
      <c r="C37" s="74" t="s">
        <v>740</v>
      </c>
      <c r="D37" s="21"/>
      <c r="E37" s="21"/>
      <c r="F37" s="21"/>
      <c r="G37" s="21">
        <v>1600</v>
      </c>
      <c r="H37" s="57"/>
      <c r="I37" s="22"/>
      <c r="J37" s="23">
        <f t="shared" si="0"/>
        <v>5707.43</v>
      </c>
      <c r="K37" s="23">
        <f t="shared" si="1"/>
        <v>56638.02</v>
      </c>
    </row>
    <row r="38" spans="2:11" ht="18.75" x14ac:dyDescent="0.3">
      <c r="B38" s="63">
        <v>44084</v>
      </c>
      <c r="C38" s="46" t="s">
        <v>465</v>
      </c>
      <c r="D38" s="21"/>
      <c r="E38" s="21"/>
      <c r="F38" s="21"/>
      <c r="G38" s="21"/>
      <c r="H38" s="21">
        <v>300</v>
      </c>
      <c r="I38" s="22"/>
      <c r="J38" s="23">
        <f t="shared" si="0"/>
        <v>5707.43</v>
      </c>
      <c r="K38" s="23">
        <f t="shared" si="1"/>
        <v>56338.02</v>
      </c>
    </row>
    <row r="39" spans="2:11" ht="18.75" x14ac:dyDescent="0.3">
      <c r="B39" s="63">
        <v>44085</v>
      </c>
      <c r="C39" s="20" t="s">
        <v>603</v>
      </c>
      <c r="D39" s="21"/>
      <c r="E39" s="21"/>
      <c r="F39" s="21"/>
      <c r="G39" s="21"/>
      <c r="H39" s="57">
        <v>80</v>
      </c>
      <c r="I39" s="22"/>
      <c r="J39" s="23">
        <f t="shared" si="0"/>
        <v>5707.43</v>
      </c>
      <c r="K39" s="23">
        <f t="shared" si="1"/>
        <v>56258.02</v>
      </c>
    </row>
    <row r="40" spans="2:11" ht="18.75" x14ac:dyDescent="0.3">
      <c r="B40" s="63">
        <v>44085</v>
      </c>
      <c r="C40" s="24" t="s">
        <v>688</v>
      </c>
      <c r="D40" s="21"/>
      <c r="E40" s="21"/>
      <c r="F40" s="21"/>
      <c r="G40" s="21"/>
      <c r="H40" s="21">
        <v>350</v>
      </c>
      <c r="I40" s="22"/>
      <c r="J40" s="23">
        <f t="shared" si="0"/>
        <v>5707.43</v>
      </c>
      <c r="K40" s="23">
        <f t="shared" si="1"/>
        <v>55908.02</v>
      </c>
    </row>
    <row r="41" spans="2:11" ht="18.75" x14ac:dyDescent="0.3">
      <c r="B41" s="63">
        <v>44087</v>
      </c>
      <c r="C41" s="20" t="s">
        <v>689</v>
      </c>
      <c r="D41" s="21"/>
      <c r="E41" s="21"/>
      <c r="F41" s="21"/>
      <c r="G41" s="21"/>
      <c r="H41" s="21">
        <v>57.5</v>
      </c>
      <c r="I41" s="22"/>
      <c r="J41" s="23">
        <f t="shared" si="0"/>
        <v>5707.43</v>
      </c>
      <c r="K41" s="23">
        <f t="shared" si="1"/>
        <v>55850.52</v>
      </c>
    </row>
    <row r="42" spans="2:11" ht="18.75" x14ac:dyDescent="0.3">
      <c r="B42" s="63">
        <v>44087</v>
      </c>
      <c r="C42" s="24" t="s">
        <v>525</v>
      </c>
      <c r="D42" s="21"/>
      <c r="E42" s="21"/>
      <c r="F42" s="21"/>
      <c r="G42" s="21"/>
      <c r="H42" s="57">
        <v>100</v>
      </c>
      <c r="I42" s="22"/>
      <c r="J42" s="23">
        <f t="shared" si="0"/>
        <v>5707.43</v>
      </c>
      <c r="K42" s="23">
        <f t="shared" si="1"/>
        <v>55750.52</v>
      </c>
    </row>
    <row r="43" spans="2:11" ht="18.75" x14ac:dyDescent="0.3">
      <c r="B43" s="63">
        <v>44087</v>
      </c>
      <c r="C43" s="24" t="s">
        <v>690</v>
      </c>
      <c r="D43" s="21"/>
      <c r="E43" s="21"/>
      <c r="F43" s="21"/>
      <c r="G43" s="21"/>
      <c r="H43" s="57">
        <v>200</v>
      </c>
      <c r="I43" s="22"/>
      <c r="J43" s="23">
        <f t="shared" si="0"/>
        <v>5707.43</v>
      </c>
      <c r="K43" s="23">
        <f t="shared" si="1"/>
        <v>55550.52</v>
      </c>
    </row>
    <row r="44" spans="2:11" ht="18.75" x14ac:dyDescent="0.3">
      <c r="B44" s="63">
        <v>44087</v>
      </c>
      <c r="C44" s="20" t="s">
        <v>691</v>
      </c>
      <c r="D44" s="21">
        <v>21900</v>
      </c>
      <c r="E44" s="21"/>
      <c r="F44" s="21"/>
      <c r="G44" s="21"/>
      <c r="H44" s="57"/>
      <c r="I44" s="22"/>
      <c r="J44" s="23">
        <f t="shared" si="0"/>
        <v>5707.43</v>
      </c>
      <c r="K44" s="23">
        <f t="shared" si="1"/>
        <v>77450.51999999999</v>
      </c>
    </row>
    <row r="45" spans="2:11" ht="18.75" x14ac:dyDescent="0.3">
      <c r="B45" s="63">
        <v>44083</v>
      </c>
      <c r="C45" s="20" t="s">
        <v>680</v>
      </c>
      <c r="D45" s="21"/>
      <c r="E45" s="21">
        <v>500</v>
      </c>
      <c r="F45" s="21"/>
      <c r="G45" s="21"/>
      <c r="H45" s="57"/>
      <c r="I45" s="22"/>
      <c r="J45" s="23">
        <f t="shared" si="0"/>
        <v>6207.43</v>
      </c>
      <c r="K45" s="23">
        <f t="shared" si="1"/>
        <v>77450.51999999999</v>
      </c>
    </row>
    <row r="46" spans="2:11" ht="18.75" x14ac:dyDescent="0.3">
      <c r="B46" s="63">
        <v>44084</v>
      </c>
      <c r="C46" s="20" t="s">
        <v>681</v>
      </c>
      <c r="D46" s="21"/>
      <c r="E46" s="21">
        <v>250</v>
      </c>
      <c r="F46" s="21"/>
      <c r="G46" s="21"/>
      <c r="H46" s="57"/>
      <c r="I46" s="22"/>
      <c r="J46" s="23">
        <f t="shared" si="0"/>
        <v>6457.43</v>
      </c>
      <c r="K46" s="23">
        <f t="shared" si="1"/>
        <v>77450.51999999999</v>
      </c>
    </row>
    <row r="47" spans="2:11" ht="18.75" x14ac:dyDescent="0.3">
      <c r="B47" s="63">
        <v>44084</v>
      </c>
      <c r="C47" s="20" t="s">
        <v>682</v>
      </c>
      <c r="D47" s="21"/>
      <c r="E47" s="21">
        <v>1000.16</v>
      </c>
      <c r="F47" s="21"/>
      <c r="G47" s="21"/>
      <c r="H47" s="57"/>
      <c r="I47" s="22"/>
      <c r="J47" s="23">
        <f t="shared" si="0"/>
        <v>7457.59</v>
      </c>
      <c r="K47" s="23">
        <f t="shared" si="1"/>
        <v>77450.51999999999</v>
      </c>
    </row>
    <row r="48" spans="2:11" ht="18.75" x14ac:dyDescent="0.3">
      <c r="B48" s="63">
        <v>44088</v>
      </c>
      <c r="C48" s="20" t="s">
        <v>683</v>
      </c>
      <c r="D48" s="21"/>
      <c r="E48" s="21">
        <v>500.59</v>
      </c>
      <c r="F48" s="21"/>
      <c r="G48" s="21"/>
      <c r="H48" s="57"/>
      <c r="I48" s="22"/>
      <c r="J48" s="23">
        <f t="shared" si="0"/>
        <v>7958.18</v>
      </c>
      <c r="K48" s="23">
        <f t="shared" si="1"/>
        <v>77450.51999999999</v>
      </c>
    </row>
    <row r="49" spans="2:11" ht="18.75" x14ac:dyDescent="0.3">
      <c r="B49" s="63">
        <v>44083</v>
      </c>
      <c r="C49" s="48" t="s">
        <v>684</v>
      </c>
      <c r="D49" s="21"/>
      <c r="E49" s="21">
        <v>12760</v>
      </c>
      <c r="F49" s="21"/>
      <c r="G49" s="21"/>
      <c r="H49" s="57"/>
      <c r="I49" s="22"/>
      <c r="J49" s="23">
        <f t="shared" si="0"/>
        <v>20718.18</v>
      </c>
      <c r="K49" s="23">
        <f t="shared" si="1"/>
        <v>77450.51999999999</v>
      </c>
    </row>
    <row r="50" spans="2:11" ht="18.75" x14ac:dyDescent="0.3">
      <c r="B50" s="63">
        <v>44088</v>
      </c>
      <c r="C50" s="24" t="s">
        <v>693</v>
      </c>
      <c r="D50" s="21"/>
      <c r="E50" s="21"/>
      <c r="F50" s="21"/>
      <c r="G50" s="21"/>
      <c r="H50" s="57">
        <v>2700</v>
      </c>
      <c r="I50" s="22"/>
      <c r="J50" s="23">
        <f t="shared" si="0"/>
        <v>20718.18</v>
      </c>
      <c r="K50" s="23">
        <f t="shared" si="1"/>
        <v>74750.51999999999</v>
      </c>
    </row>
    <row r="51" spans="2:11" ht="19.5" thickBot="1" x14ac:dyDescent="0.35">
      <c r="B51" s="63">
        <v>44088</v>
      </c>
      <c r="C51" s="46" t="s">
        <v>692</v>
      </c>
      <c r="D51" s="21"/>
      <c r="E51" s="21"/>
      <c r="F51" s="21"/>
      <c r="G51" s="21"/>
      <c r="H51" s="57">
        <v>250</v>
      </c>
      <c r="I51" s="22"/>
      <c r="J51" s="23">
        <f t="shared" si="0"/>
        <v>20718.18</v>
      </c>
      <c r="K51" s="23">
        <f t="shared" si="1"/>
        <v>74500.51999999999</v>
      </c>
    </row>
    <row r="52" spans="2:11" ht="19.5" thickBot="1" x14ac:dyDescent="0.35">
      <c r="B52" s="65"/>
      <c r="C52" s="29" t="s">
        <v>0</v>
      </c>
      <c r="D52" s="40">
        <f>SUM(D4:D51)</f>
        <v>54850</v>
      </c>
      <c r="E52" s="66">
        <f>SUM(E4:E51)</f>
        <v>18514.12</v>
      </c>
      <c r="F52" s="32">
        <f>SUM(D52:E52)</f>
        <v>73364.12</v>
      </c>
      <c r="G52" s="67">
        <f>SUM(G4:G51)</f>
        <v>3360</v>
      </c>
      <c r="H52" s="30">
        <f>SUM(H4:H51)</f>
        <v>11564.8</v>
      </c>
      <c r="I52" s="32">
        <f>SUM(G52:H52)</f>
        <v>14924.8</v>
      </c>
      <c r="J52" s="34"/>
      <c r="K52" s="34"/>
    </row>
    <row r="53" spans="2:11" ht="18.75" x14ac:dyDescent="0.3">
      <c r="B53" s="60" t="s">
        <v>1</v>
      </c>
      <c r="C53" s="9" t="s">
        <v>2</v>
      </c>
      <c r="D53" s="9" t="s">
        <v>3</v>
      </c>
      <c r="E53" s="9" t="s">
        <v>3</v>
      </c>
      <c r="F53" s="9" t="s">
        <v>8</v>
      </c>
      <c r="G53" s="9" t="s">
        <v>9</v>
      </c>
      <c r="H53" s="10" t="s">
        <v>9</v>
      </c>
      <c r="I53" s="10" t="s">
        <v>8</v>
      </c>
      <c r="J53" s="9" t="s">
        <v>7</v>
      </c>
      <c r="K53" s="10" t="s">
        <v>6</v>
      </c>
    </row>
    <row r="54" spans="2:11" ht="19.5" thickBot="1" x14ac:dyDescent="0.35">
      <c r="B54" s="61"/>
      <c r="C54" s="11"/>
      <c r="D54" s="11" t="s">
        <v>5</v>
      </c>
      <c r="E54" s="11" t="s">
        <v>7</v>
      </c>
      <c r="F54" s="11" t="s">
        <v>3</v>
      </c>
      <c r="G54" s="11" t="s">
        <v>7</v>
      </c>
      <c r="H54" s="12" t="s">
        <v>5</v>
      </c>
      <c r="I54" s="12" t="s">
        <v>4</v>
      </c>
      <c r="J54" s="11"/>
      <c r="K54" s="12"/>
    </row>
    <row r="55" spans="2:11" ht="19.5" thickBot="1" x14ac:dyDescent="0.35">
      <c r="B55" s="68"/>
      <c r="C55" s="41" t="s">
        <v>0</v>
      </c>
      <c r="D55" s="40">
        <v>54850</v>
      </c>
      <c r="E55" s="40">
        <v>18514.12</v>
      </c>
      <c r="F55" s="40">
        <f>SUM(D55:E55)</f>
        <v>73364.12</v>
      </c>
      <c r="G55" s="40">
        <v>3360</v>
      </c>
      <c r="H55" s="30">
        <v>11564.8</v>
      </c>
      <c r="I55" s="30">
        <f>SUM(G55:H55)</f>
        <v>14924.8</v>
      </c>
      <c r="J55" s="30">
        <v>20718.18</v>
      </c>
      <c r="K55" s="34">
        <v>74500.52</v>
      </c>
    </row>
    <row r="56" spans="2:11" ht="18.75" x14ac:dyDescent="0.3">
      <c r="B56" s="63">
        <v>44088</v>
      </c>
      <c r="C56" s="20" t="s">
        <v>694</v>
      </c>
      <c r="D56" s="21"/>
      <c r="E56" s="21"/>
      <c r="F56" s="21"/>
      <c r="G56" s="21"/>
      <c r="H56" s="21">
        <v>450</v>
      </c>
      <c r="I56" s="22"/>
      <c r="J56" s="23">
        <f t="shared" ref="J56" si="2">+J55+E56-G56</f>
        <v>20718.18</v>
      </c>
      <c r="K56" s="23">
        <f t="shared" ref="K56" si="3">+K55+D56-H56</f>
        <v>74050.52</v>
      </c>
    </row>
    <row r="57" spans="2:11" ht="18.75" x14ac:dyDescent="0.3">
      <c r="B57" s="63">
        <v>36783</v>
      </c>
      <c r="C57" s="20" t="s">
        <v>695</v>
      </c>
      <c r="D57" s="21"/>
      <c r="E57" s="21"/>
      <c r="F57" s="21"/>
      <c r="G57" s="21"/>
      <c r="H57" s="21">
        <v>400</v>
      </c>
      <c r="I57" s="22"/>
      <c r="J57" s="23">
        <f t="shared" ref="J57:J103" si="4">+J56+E57-G57</f>
        <v>20718.18</v>
      </c>
      <c r="K57" s="23">
        <f t="shared" ref="K57:K103" si="5">+K56+D57-H57</f>
        <v>73650.52</v>
      </c>
    </row>
    <row r="58" spans="2:11" ht="18.75" x14ac:dyDescent="0.3">
      <c r="B58" s="63">
        <v>44089</v>
      </c>
      <c r="C58" s="24" t="s">
        <v>741</v>
      </c>
      <c r="D58" s="21"/>
      <c r="E58" s="21"/>
      <c r="F58" s="21"/>
      <c r="G58" s="21"/>
      <c r="H58" s="21">
        <v>550</v>
      </c>
      <c r="I58" s="22"/>
      <c r="J58" s="23">
        <f t="shared" si="4"/>
        <v>20718.18</v>
      </c>
      <c r="K58" s="23">
        <f t="shared" si="5"/>
        <v>73100.52</v>
      </c>
    </row>
    <row r="59" spans="2:11" ht="18.75" x14ac:dyDescent="0.3">
      <c r="B59" s="63">
        <v>44089</v>
      </c>
      <c r="C59" s="20" t="s">
        <v>696</v>
      </c>
      <c r="D59" s="21"/>
      <c r="E59" s="21"/>
      <c r="F59" s="21"/>
      <c r="G59" s="21"/>
      <c r="H59" s="21">
        <v>459</v>
      </c>
      <c r="I59" s="22"/>
      <c r="J59" s="23">
        <f t="shared" si="4"/>
        <v>20718.18</v>
      </c>
      <c r="K59" s="23">
        <f t="shared" si="5"/>
        <v>72641.52</v>
      </c>
    </row>
    <row r="60" spans="2:11" ht="18.75" x14ac:dyDescent="0.3">
      <c r="B60" s="63">
        <v>44089</v>
      </c>
      <c r="C60" s="24" t="s">
        <v>702</v>
      </c>
      <c r="D60" s="37"/>
      <c r="E60" s="37"/>
      <c r="F60" s="37"/>
      <c r="G60" s="37"/>
      <c r="H60" s="21">
        <v>300</v>
      </c>
      <c r="I60" s="22"/>
      <c r="J60" s="23">
        <f t="shared" si="4"/>
        <v>20718.18</v>
      </c>
      <c r="K60" s="23">
        <f t="shared" si="5"/>
        <v>72341.52</v>
      </c>
    </row>
    <row r="61" spans="2:11" ht="18.75" x14ac:dyDescent="0.3">
      <c r="B61" s="63">
        <v>44089</v>
      </c>
      <c r="C61" s="24" t="s">
        <v>697</v>
      </c>
      <c r="D61" s="37"/>
      <c r="E61" s="37"/>
      <c r="F61" s="37"/>
      <c r="G61" s="37"/>
      <c r="H61" s="21">
        <v>1750</v>
      </c>
      <c r="I61" s="22"/>
      <c r="J61" s="23">
        <f t="shared" si="4"/>
        <v>20718.18</v>
      </c>
      <c r="K61" s="23">
        <f t="shared" si="5"/>
        <v>70591.520000000004</v>
      </c>
    </row>
    <row r="62" spans="2:11" ht="18.75" x14ac:dyDescent="0.3">
      <c r="B62" s="63">
        <v>44089</v>
      </c>
      <c r="C62" s="36" t="s">
        <v>422</v>
      </c>
      <c r="D62" s="21"/>
      <c r="E62" s="21"/>
      <c r="F62" s="21"/>
      <c r="G62" s="21"/>
      <c r="H62" s="21">
        <v>1800</v>
      </c>
      <c r="I62" s="22"/>
      <c r="J62" s="23">
        <f t="shared" si="4"/>
        <v>20718.18</v>
      </c>
      <c r="K62" s="23">
        <f t="shared" si="5"/>
        <v>68791.520000000004</v>
      </c>
    </row>
    <row r="63" spans="2:11" ht="18.75" x14ac:dyDescent="0.3">
      <c r="B63" s="63">
        <v>44089</v>
      </c>
      <c r="C63" s="24" t="s">
        <v>698</v>
      </c>
      <c r="D63" s="21"/>
      <c r="E63" s="21"/>
      <c r="F63" s="21"/>
      <c r="G63" s="21"/>
      <c r="H63" s="21">
        <v>1000</v>
      </c>
      <c r="I63" s="22"/>
      <c r="J63" s="23">
        <f t="shared" si="4"/>
        <v>20718.18</v>
      </c>
      <c r="K63" s="23">
        <f t="shared" si="5"/>
        <v>67791.520000000004</v>
      </c>
    </row>
    <row r="64" spans="2:11" ht="18.75" x14ac:dyDescent="0.3">
      <c r="B64" s="63">
        <v>44089</v>
      </c>
      <c r="C64" s="24" t="s">
        <v>363</v>
      </c>
      <c r="D64" s="37"/>
      <c r="E64" s="37"/>
      <c r="F64" s="37"/>
      <c r="G64" s="21"/>
      <c r="H64" s="21">
        <v>3000</v>
      </c>
      <c r="I64" s="22"/>
      <c r="J64" s="23">
        <f t="shared" si="4"/>
        <v>20718.18</v>
      </c>
      <c r="K64" s="23">
        <f t="shared" si="5"/>
        <v>64791.520000000004</v>
      </c>
    </row>
    <row r="65" spans="2:12" ht="18.75" x14ac:dyDescent="0.3">
      <c r="B65" s="63">
        <v>44089</v>
      </c>
      <c r="C65" s="36" t="s">
        <v>151</v>
      </c>
      <c r="D65" s="37"/>
      <c r="E65" s="37"/>
      <c r="F65" s="37"/>
      <c r="G65" s="69"/>
      <c r="H65" s="21">
        <v>6000</v>
      </c>
      <c r="I65" s="22"/>
      <c r="J65" s="23">
        <f t="shared" si="4"/>
        <v>20718.18</v>
      </c>
      <c r="K65" s="23">
        <f t="shared" si="5"/>
        <v>58791.520000000004</v>
      </c>
    </row>
    <row r="66" spans="2:12" ht="18.75" x14ac:dyDescent="0.3">
      <c r="B66" s="63">
        <v>44089</v>
      </c>
      <c r="C66" s="48" t="s">
        <v>699</v>
      </c>
      <c r="D66" s="21"/>
      <c r="E66" s="21"/>
      <c r="F66" s="21"/>
      <c r="G66" s="21"/>
      <c r="H66" s="57">
        <v>33750</v>
      </c>
      <c r="I66" s="22"/>
      <c r="J66" s="23">
        <f t="shared" si="4"/>
        <v>20718.18</v>
      </c>
      <c r="K66" s="23">
        <f t="shared" si="5"/>
        <v>25041.520000000004</v>
      </c>
    </row>
    <row r="67" spans="2:12" ht="18.75" x14ac:dyDescent="0.3">
      <c r="B67" s="63">
        <v>44089</v>
      </c>
      <c r="C67" s="48" t="s">
        <v>299</v>
      </c>
      <c r="D67" s="21"/>
      <c r="E67" s="21"/>
      <c r="F67" s="21"/>
      <c r="G67" s="21"/>
      <c r="H67" s="57">
        <v>5600</v>
      </c>
      <c r="I67" s="22"/>
      <c r="J67" s="23">
        <f t="shared" si="4"/>
        <v>20718.18</v>
      </c>
      <c r="K67" s="23">
        <f t="shared" si="5"/>
        <v>19441.520000000004</v>
      </c>
    </row>
    <row r="68" spans="2:12" ht="18.75" x14ac:dyDescent="0.3">
      <c r="B68" s="63">
        <v>44091</v>
      </c>
      <c r="C68" s="24" t="s">
        <v>714</v>
      </c>
      <c r="D68" s="21"/>
      <c r="E68" s="21"/>
      <c r="F68" s="21"/>
      <c r="G68" s="21"/>
      <c r="H68" s="21">
        <v>350</v>
      </c>
      <c r="I68" s="22"/>
      <c r="J68" s="23">
        <f t="shared" si="4"/>
        <v>20718.18</v>
      </c>
      <c r="K68" s="23">
        <f t="shared" si="5"/>
        <v>19091.520000000004</v>
      </c>
    </row>
    <row r="69" spans="2:12" ht="18.75" x14ac:dyDescent="0.3">
      <c r="B69" s="63">
        <v>44092</v>
      </c>
      <c r="C69" s="24" t="s">
        <v>700</v>
      </c>
      <c r="D69" s="21"/>
      <c r="E69" s="21"/>
      <c r="F69" s="21"/>
      <c r="G69" s="21"/>
      <c r="H69" s="21">
        <v>245</v>
      </c>
      <c r="I69" s="22"/>
      <c r="J69" s="23">
        <f t="shared" si="4"/>
        <v>20718.18</v>
      </c>
      <c r="K69" s="23">
        <f t="shared" si="5"/>
        <v>18846.520000000004</v>
      </c>
    </row>
    <row r="70" spans="2:12" ht="18.75" x14ac:dyDescent="0.3">
      <c r="B70" s="62">
        <v>44092</v>
      </c>
      <c r="C70" s="36" t="s">
        <v>603</v>
      </c>
      <c r="D70" s="17"/>
      <c r="E70" s="17"/>
      <c r="F70" s="17"/>
      <c r="G70" s="17"/>
      <c r="H70" s="17">
        <v>80</v>
      </c>
      <c r="I70" s="22"/>
      <c r="J70" s="23">
        <f t="shared" si="4"/>
        <v>20718.18</v>
      </c>
      <c r="K70" s="23">
        <f t="shared" si="5"/>
        <v>18766.520000000004</v>
      </c>
    </row>
    <row r="71" spans="2:12" ht="18.75" x14ac:dyDescent="0.3">
      <c r="B71" s="63">
        <v>44094</v>
      </c>
      <c r="C71" s="24" t="s">
        <v>482</v>
      </c>
      <c r="D71" s="21"/>
      <c r="E71" s="21"/>
      <c r="F71" s="21"/>
      <c r="G71" s="21"/>
      <c r="H71" s="21">
        <v>100</v>
      </c>
      <c r="I71" s="22"/>
      <c r="J71" s="23">
        <f t="shared" si="4"/>
        <v>20718.18</v>
      </c>
      <c r="K71" s="23">
        <f t="shared" si="5"/>
        <v>18666.520000000004</v>
      </c>
    </row>
    <row r="72" spans="2:12" ht="18.75" x14ac:dyDescent="0.3">
      <c r="B72" s="63">
        <v>44094</v>
      </c>
      <c r="C72" s="24" t="s">
        <v>480</v>
      </c>
      <c r="D72" s="21"/>
      <c r="E72" s="21"/>
      <c r="F72" s="21"/>
      <c r="G72" s="21"/>
      <c r="H72" s="21">
        <v>200</v>
      </c>
      <c r="I72" s="22"/>
      <c r="J72" s="23">
        <f t="shared" si="4"/>
        <v>20718.18</v>
      </c>
      <c r="K72" s="23">
        <f t="shared" si="5"/>
        <v>18466.520000000004</v>
      </c>
    </row>
    <row r="73" spans="2:12" ht="18.75" x14ac:dyDescent="0.3">
      <c r="B73" s="63">
        <v>44094</v>
      </c>
      <c r="C73" s="20" t="s">
        <v>687</v>
      </c>
      <c r="D73" s="21"/>
      <c r="E73" s="21"/>
      <c r="F73" s="21"/>
      <c r="G73" s="21"/>
      <c r="H73" s="21">
        <v>450</v>
      </c>
      <c r="I73" s="22"/>
      <c r="J73" s="23">
        <f t="shared" si="4"/>
        <v>20718.18</v>
      </c>
      <c r="K73" s="23">
        <f t="shared" si="5"/>
        <v>18016.520000000004</v>
      </c>
      <c r="L73" s="1"/>
    </row>
    <row r="74" spans="2:12" ht="18.75" x14ac:dyDescent="0.3">
      <c r="B74" s="63">
        <v>44094</v>
      </c>
      <c r="C74" s="58" t="s">
        <v>687</v>
      </c>
      <c r="D74" s="37"/>
      <c r="E74" s="37"/>
      <c r="F74" s="37"/>
      <c r="G74" s="21"/>
      <c r="H74" s="21">
        <v>470</v>
      </c>
      <c r="I74" s="22"/>
      <c r="J74" s="23">
        <f t="shared" si="4"/>
        <v>20718.18</v>
      </c>
      <c r="K74" s="23">
        <f t="shared" si="5"/>
        <v>17546.520000000004</v>
      </c>
      <c r="L74" s="1"/>
    </row>
    <row r="75" spans="2:12" ht="18.75" x14ac:dyDescent="0.3">
      <c r="B75" s="63">
        <v>44094</v>
      </c>
      <c r="C75" s="20" t="s">
        <v>687</v>
      </c>
      <c r="D75" s="37"/>
      <c r="E75" s="21"/>
      <c r="F75" s="37"/>
      <c r="G75" s="21"/>
      <c r="H75" s="21">
        <v>400</v>
      </c>
      <c r="I75" s="22"/>
      <c r="J75" s="23">
        <f t="shared" si="4"/>
        <v>20718.18</v>
      </c>
      <c r="K75" s="23">
        <f t="shared" si="5"/>
        <v>17146.520000000004</v>
      </c>
      <c r="L75" s="1"/>
    </row>
    <row r="76" spans="2:12" ht="18.75" x14ac:dyDescent="0.3">
      <c r="B76" s="63">
        <v>44094</v>
      </c>
      <c r="C76" s="58" t="s">
        <v>703</v>
      </c>
      <c r="D76" s="37">
        <v>22800</v>
      </c>
      <c r="E76" s="37"/>
      <c r="F76" s="37"/>
      <c r="G76" s="21"/>
      <c r="H76" s="21"/>
      <c r="I76" s="22"/>
      <c r="J76" s="23">
        <f t="shared" si="4"/>
        <v>20718.18</v>
      </c>
      <c r="K76" s="23">
        <f t="shared" si="5"/>
        <v>39946.520000000004</v>
      </c>
    </row>
    <row r="77" spans="2:12" ht="18.75" x14ac:dyDescent="0.3">
      <c r="B77" s="63">
        <v>44088</v>
      </c>
      <c r="C77" s="20" t="s">
        <v>704</v>
      </c>
      <c r="D77" s="37"/>
      <c r="E77" s="21">
        <v>500.5</v>
      </c>
      <c r="F77" s="37"/>
      <c r="G77" s="21"/>
      <c r="H77" s="21"/>
      <c r="I77" s="22"/>
      <c r="J77" s="23">
        <f t="shared" si="4"/>
        <v>21218.68</v>
      </c>
      <c r="K77" s="23">
        <f t="shared" si="5"/>
        <v>39946.520000000004</v>
      </c>
    </row>
    <row r="78" spans="2:12" ht="18.75" x14ac:dyDescent="0.3">
      <c r="B78" s="63">
        <v>44089</v>
      </c>
      <c r="C78" s="48" t="s">
        <v>707</v>
      </c>
      <c r="D78" s="37"/>
      <c r="E78" s="21">
        <v>1500</v>
      </c>
      <c r="F78" s="37"/>
      <c r="G78" s="69"/>
      <c r="H78" s="21"/>
      <c r="I78" s="22"/>
      <c r="J78" s="23">
        <f t="shared" si="4"/>
        <v>22718.68</v>
      </c>
      <c r="K78" s="23">
        <f t="shared" si="5"/>
        <v>39946.520000000004</v>
      </c>
    </row>
    <row r="79" spans="2:12" ht="18.75" x14ac:dyDescent="0.3">
      <c r="B79" s="63">
        <v>44091</v>
      </c>
      <c r="C79" s="48" t="s">
        <v>706</v>
      </c>
      <c r="D79" s="37"/>
      <c r="E79" s="21">
        <v>1000.4</v>
      </c>
      <c r="F79" s="37"/>
      <c r="G79" s="69"/>
      <c r="H79" s="21"/>
      <c r="I79" s="22"/>
      <c r="J79" s="23">
        <f t="shared" si="4"/>
        <v>23719.08</v>
      </c>
      <c r="K79" s="23">
        <f t="shared" si="5"/>
        <v>39946.520000000004</v>
      </c>
    </row>
    <row r="80" spans="2:12" ht="18.75" x14ac:dyDescent="0.3">
      <c r="B80" s="63">
        <v>44092</v>
      </c>
      <c r="C80" s="36" t="s">
        <v>705</v>
      </c>
      <c r="D80" s="21"/>
      <c r="E80" s="21">
        <v>500.06</v>
      </c>
      <c r="F80" s="21"/>
      <c r="G80" s="21"/>
      <c r="H80" s="21"/>
      <c r="I80" s="22"/>
      <c r="J80" s="23">
        <f t="shared" si="4"/>
        <v>24219.140000000003</v>
      </c>
      <c r="K80" s="23">
        <f t="shared" si="5"/>
        <v>39946.520000000004</v>
      </c>
    </row>
    <row r="81" spans="2:12" ht="18.75" x14ac:dyDescent="0.3">
      <c r="B81" s="63">
        <v>44093</v>
      </c>
      <c r="C81" s="24" t="s">
        <v>708</v>
      </c>
      <c r="D81" s="21"/>
      <c r="E81" s="21">
        <v>3000.76</v>
      </c>
      <c r="F81" s="21"/>
      <c r="G81" s="21"/>
      <c r="H81" s="21"/>
      <c r="I81" s="22"/>
      <c r="J81" s="23">
        <f t="shared" si="4"/>
        <v>27219.9</v>
      </c>
      <c r="K81" s="23">
        <f t="shared" si="5"/>
        <v>39946.520000000004</v>
      </c>
    </row>
    <row r="82" spans="2:12" ht="18.75" x14ac:dyDescent="0.3">
      <c r="B82" s="63">
        <v>44095</v>
      </c>
      <c r="C82" s="24" t="s">
        <v>709</v>
      </c>
      <c r="D82" s="21"/>
      <c r="E82" s="21">
        <v>1502.4</v>
      </c>
      <c r="F82" s="21"/>
      <c r="G82" s="21"/>
      <c r="H82" s="21"/>
      <c r="I82" s="22"/>
      <c r="J82" s="23">
        <f t="shared" si="4"/>
        <v>28722.300000000003</v>
      </c>
      <c r="K82" s="23">
        <f t="shared" si="5"/>
        <v>39946.520000000004</v>
      </c>
    </row>
    <row r="83" spans="2:12" ht="18.75" x14ac:dyDescent="0.3">
      <c r="B83" s="63">
        <v>44095</v>
      </c>
      <c r="C83" s="46" t="s">
        <v>710</v>
      </c>
      <c r="D83" s="37"/>
      <c r="E83" s="21"/>
      <c r="F83" s="21"/>
      <c r="G83" s="21"/>
      <c r="H83" s="21">
        <v>300</v>
      </c>
      <c r="I83" s="22"/>
      <c r="J83" s="23">
        <f t="shared" si="4"/>
        <v>28722.300000000003</v>
      </c>
      <c r="K83" s="23">
        <f t="shared" si="5"/>
        <v>39646.520000000004</v>
      </c>
    </row>
    <row r="84" spans="2:12" ht="18.75" x14ac:dyDescent="0.3">
      <c r="B84" s="63">
        <v>44095</v>
      </c>
      <c r="C84" s="20" t="s">
        <v>711</v>
      </c>
      <c r="D84" s="37"/>
      <c r="E84" s="21"/>
      <c r="F84" s="21"/>
      <c r="G84" s="21"/>
      <c r="H84" s="21">
        <v>160.1</v>
      </c>
      <c r="I84" s="22"/>
      <c r="J84" s="23">
        <f t="shared" si="4"/>
        <v>28722.300000000003</v>
      </c>
      <c r="K84" s="23">
        <f t="shared" si="5"/>
        <v>39486.420000000006</v>
      </c>
    </row>
    <row r="85" spans="2:12" ht="18.75" x14ac:dyDescent="0.3">
      <c r="B85" s="63">
        <v>44095</v>
      </c>
      <c r="C85" s="20" t="s">
        <v>712</v>
      </c>
      <c r="D85" s="21"/>
      <c r="E85" s="21"/>
      <c r="F85" s="21"/>
      <c r="G85" s="21"/>
      <c r="H85" s="21">
        <v>848</v>
      </c>
      <c r="I85" s="22"/>
      <c r="J85" s="23">
        <f t="shared" si="4"/>
        <v>28722.300000000003</v>
      </c>
      <c r="K85" s="23">
        <f t="shared" si="5"/>
        <v>38638.420000000006</v>
      </c>
    </row>
    <row r="86" spans="2:12" ht="18.75" x14ac:dyDescent="0.3">
      <c r="B86" s="63">
        <v>44095</v>
      </c>
      <c r="C86" s="20" t="s">
        <v>713</v>
      </c>
      <c r="D86" s="21"/>
      <c r="E86" s="21"/>
      <c r="F86" s="21"/>
      <c r="G86" s="21"/>
      <c r="H86" s="21">
        <v>79.5</v>
      </c>
      <c r="I86" s="22"/>
      <c r="J86" s="23">
        <f t="shared" si="4"/>
        <v>28722.300000000003</v>
      </c>
      <c r="K86" s="23">
        <f t="shared" si="5"/>
        <v>38558.920000000006</v>
      </c>
    </row>
    <row r="87" spans="2:12" ht="18.75" x14ac:dyDescent="0.3">
      <c r="B87" s="63">
        <v>44096</v>
      </c>
      <c r="C87" s="27" t="s">
        <v>669</v>
      </c>
      <c r="D87" s="21"/>
      <c r="E87" s="21"/>
      <c r="F87" s="21"/>
      <c r="G87" s="21"/>
      <c r="H87" s="21">
        <v>52</v>
      </c>
      <c r="I87" s="22"/>
      <c r="J87" s="23">
        <f t="shared" si="4"/>
        <v>28722.300000000003</v>
      </c>
      <c r="K87" s="23">
        <f t="shared" si="5"/>
        <v>38506.920000000006</v>
      </c>
    </row>
    <row r="88" spans="2:12" ht="18.75" x14ac:dyDescent="0.3">
      <c r="B88" s="63">
        <v>44097</v>
      </c>
      <c r="C88" s="27" t="s">
        <v>686</v>
      </c>
      <c r="D88" s="21"/>
      <c r="E88" s="21"/>
      <c r="F88" s="21"/>
      <c r="G88" s="21"/>
      <c r="H88" s="21">
        <v>445</v>
      </c>
      <c r="I88" s="22"/>
      <c r="J88" s="23">
        <f t="shared" si="4"/>
        <v>28722.300000000003</v>
      </c>
      <c r="K88" s="23">
        <f t="shared" si="5"/>
        <v>38061.920000000006</v>
      </c>
    </row>
    <row r="89" spans="2:12" ht="18.75" x14ac:dyDescent="0.3">
      <c r="B89" s="63">
        <v>44097</v>
      </c>
      <c r="C89" s="20" t="s">
        <v>715</v>
      </c>
      <c r="D89" s="21"/>
      <c r="E89" s="21"/>
      <c r="F89" s="21"/>
      <c r="G89" s="21"/>
      <c r="H89" s="21">
        <v>61.5</v>
      </c>
      <c r="I89" s="22"/>
      <c r="J89" s="23">
        <f t="shared" si="4"/>
        <v>28722.300000000003</v>
      </c>
      <c r="K89" s="23">
        <f t="shared" si="5"/>
        <v>38000.420000000006</v>
      </c>
      <c r="L89" s="1"/>
    </row>
    <row r="90" spans="2:12" ht="18.75" x14ac:dyDescent="0.3">
      <c r="B90" s="63">
        <v>44097</v>
      </c>
      <c r="C90" s="20" t="s">
        <v>716</v>
      </c>
      <c r="D90" s="21"/>
      <c r="E90" s="21"/>
      <c r="F90" s="21"/>
      <c r="G90" s="21"/>
      <c r="H90" s="21">
        <v>800</v>
      </c>
      <c r="I90" s="22"/>
      <c r="J90" s="23">
        <f t="shared" si="4"/>
        <v>28722.300000000003</v>
      </c>
      <c r="K90" s="23">
        <f t="shared" si="5"/>
        <v>37200.420000000006</v>
      </c>
    </row>
    <row r="91" spans="2:12" ht="18.75" x14ac:dyDescent="0.3">
      <c r="B91" s="63">
        <v>44097</v>
      </c>
      <c r="C91" s="20" t="s">
        <v>717</v>
      </c>
      <c r="D91" s="21"/>
      <c r="E91" s="21"/>
      <c r="F91" s="21"/>
      <c r="G91" s="21"/>
      <c r="H91" s="21">
        <v>100</v>
      </c>
      <c r="I91" s="22"/>
      <c r="J91" s="23">
        <f t="shared" si="4"/>
        <v>28722.300000000003</v>
      </c>
      <c r="K91" s="23">
        <f t="shared" si="5"/>
        <v>37100.420000000006</v>
      </c>
    </row>
    <row r="92" spans="2:12" ht="18.75" x14ac:dyDescent="0.3">
      <c r="B92" s="63">
        <v>44097</v>
      </c>
      <c r="C92" s="20" t="s">
        <v>717</v>
      </c>
      <c r="D92" s="21"/>
      <c r="E92" s="21"/>
      <c r="F92" s="21"/>
      <c r="G92" s="21"/>
      <c r="H92" s="21">
        <v>65</v>
      </c>
      <c r="I92" s="22"/>
      <c r="J92" s="23">
        <f t="shared" si="4"/>
        <v>28722.300000000003</v>
      </c>
      <c r="K92" s="23">
        <f t="shared" si="5"/>
        <v>37035.420000000006</v>
      </c>
    </row>
    <row r="93" spans="2:12" ht="18.75" x14ac:dyDescent="0.3">
      <c r="B93" s="63">
        <v>44098</v>
      </c>
      <c r="C93" s="20" t="s">
        <v>718</v>
      </c>
      <c r="D93" s="21"/>
      <c r="E93" s="21"/>
      <c r="F93" s="21"/>
      <c r="G93" s="21"/>
      <c r="H93" s="21">
        <v>160</v>
      </c>
      <c r="I93" s="22"/>
      <c r="J93" s="23">
        <f t="shared" si="4"/>
        <v>28722.300000000003</v>
      </c>
      <c r="K93" s="23">
        <f t="shared" si="5"/>
        <v>36875.420000000006</v>
      </c>
    </row>
    <row r="94" spans="2:12" ht="18.75" x14ac:dyDescent="0.3">
      <c r="B94" s="63">
        <v>44099</v>
      </c>
      <c r="C94" s="20" t="s">
        <v>719</v>
      </c>
      <c r="D94" s="21"/>
      <c r="E94" s="21"/>
      <c r="F94" s="21"/>
      <c r="G94" s="21"/>
      <c r="H94" s="21">
        <v>41</v>
      </c>
      <c r="I94" s="22"/>
      <c r="J94" s="23">
        <f t="shared" si="4"/>
        <v>28722.300000000003</v>
      </c>
      <c r="K94" s="23">
        <f t="shared" si="5"/>
        <v>36834.420000000006</v>
      </c>
    </row>
    <row r="95" spans="2:12" ht="18.75" x14ac:dyDescent="0.3">
      <c r="B95" s="63">
        <v>44101</v>
      </c>
      <c r="C95" s="24" t="s">
        <v>720</v>
      </c>
      <c r="D95" s="21"/>
      <c r="E95" s="21"/>
      <c r="F95" s="21"/>
      <c r="G95" s="21"/>
      <c r="H95" s="21">
        <v>100</v>
      </c>
      <c r="I95" s="22"/>
      <c r="J95" s="23">
        <f t="shared" si="4"/>
        <v>28722.300000000003</v>
      </c>
      <c r="K95" s="23">
        <f t="shared" si="5"/>
        <v>36734.420000000006</v>
      </c>
      <c r="L95" s="1"/>
    </row>
    <row r="96" spans="2:12" ht="18.75" x14ac:dyDescent="0.3">
      <c r="B96" s="63">
        <v>44101</v>
      </c>
      <c r="C96" s="24" t="s">
        <v>721</v>
      </c>
      <c r="D96" s="21"/>
      <c r="E96" s="21"/>
      <c r="F96" s="21"/>
      <c r="G96" s="21"/>
      <c r="H96" s="21">
        <v>200</v>
      </c>
      <c r="I96" s="22"/>
      <c r="J96" s="23">
        <f t="shared" si="4"/>
        <v>28722.300000000003</v>
      </c>
      <c r="K96" s="23">
        <f t="shared" si="5"/>
        <v>36534.420000000006</v>
      </c>
    </row>
    <row r="97" spans="2:13" ht="18.75" x14ac:dyDescent="0.3">
      <c r="B97" s="63">
        <v>44101</v>
      </c>
      <c r="C97" s="20" t="s">
        <v>722</v>
      </c>
      <c r="D97" s="21"/>
      <c r="E97" s="21"/>
      <c r="F97" s="21"/>
      <c r="G97" s="21"/>
      <c r="H97" s="21">
        <v>37</v>
      </c>
      <c r="I97" s="22"/>
      <c r="J97" s="23">
        <f t="shared" si="4"/>
        <v>28722.300000000003</v>
      </c>
      <c r="K97" s="23">
        <f t="shared" si="5"/>
        <v>36497.420000000006</v>
      </c>
      <c r="L97" s="5"/>
    </row>
    <row r="98" spans="2:13" ht="18.75" x14ac:dyDescent="0.3">
      <c r="B98" s="63">
        <v>44102</v>
      </c>
      <c r="C98" s="27" t="s">
        <v>723</v>
      </c>
      <c r="D98" s="21"/>
      <c r="E98" s="21"/>
      <c r="F98" s="21"/>
      <c r="G98" s="21"/>
      <c r="H98" s="21">
        <v>500</v>
      </c>
      <c r="I98" s="22"/>
      <c r="J98" s="23">
        <f t="shared" si="4"/>
        <v>28722.300000000003</v>
      </c>
      <c r="K98" s="23">
        <f t="shared" si="5"/>
        <v>35997.420000000006</v>
      </c>
    </row>
    <row r="99" spans="2:13" ht="18.75" x14ac:dyDescent="0.3">
      <c r="B99" s="63">
        <v>44102</v>
      </c>
      <c r="C99" s="74" t="s">
        <v>724</v>
      </c>
      <c r="D99" s="21"/>
      <c r="E99" s="21"/>
      <c r="F99" s="21"/>
      <c r="G99" s="21"/>
      <c r="H99" s="21">
        <v>300</v>
      </c>
      <c r="I99" s="22"/>
      <c r="J99" s="23">
        <f t="shared" si="4"/>
        <v>28722.300000000003</v>
      </c>
      <c r="K99" s="23">
        <f t="shared" si="5"/>
        <v>35697.420000000006</v>
      </c>
    </row>
    <row r="100" spans="2:13" ht="18.75" x14ac:dyDescent="0.3">
      <c r="B100" s="63">
        <v>44102</v>
      </c>
      <c r="C100" s="24" t="s">
        <v>725</v>
      </c>
      <c r="D100" s="21"/>
      <c r="E100" s="21"/>
      <c r="F100" s="21"/>
      <c r="G100" s="21"/>
      <c r="H100" s="21">
        <v>250</v>
      </c>
      <c r="I100" s="22"/>
      <c r="J100" s="23">
        <f t="shared" si="4"/>
        <v>28722.300000000003</v>
      </c>
      <c r="K100" s="23">
        <f t="shared" si="5"/>
        <v>35447.420000000006</v>
      </c>
    </row>
    <row r="101" spans="2:13" ht="18.75" x14ac:dyDescent="0.3">
      <c r="B101" s="63">
        <v>44102</v>
      </c>
      <c r="C101" s="58" t="s">
        <v>726</v>
      </c>
      <c r="D101" s="21">
        <v>18850</v>
      </c>
      <c r="E101" s="21"/>
      <c r="F101" s="21"/>
      <c r="G101" s="21"/>
      <c r="H101" s="21"/>
      <c r="I101" s="22"/>
      <c r="J101" s="23">
        <f t="shared" si="4"/>
        <v>28722.300000000003</v>
      </c>
      <c r="K101" s="23">
        <f t="shared" si="5"/>
        <v>54297.420000000006</v>
      </c>
    </row>
    <row r="102" spans="2:13" ht="18.75" x14ac:dyDescent="0.3">
      <c r="B102" s="63">
        <v>44099</v>
      </c>
      <c r="C102" s="24" t="s">
        <v>727</v>
      </c>
      <c r="D102" s="37"/>
      <c r="E102" s="21">
        <v>500.95</v>
      </c>
      <c r="F102" s="21"/>
      <c r="G102" s="21"/>
      <c r="H102" s="21"/>
      <c r="I102" s="22"/>
      <c r="J102" s="23">
        <f t="shared" si="4"/>
        <v>29223.250000000004</v>
      </c>
      <c r="K102" s="23">
        <f t="shared" si="5"/>
        <v>54297.420000000006</v>
      </c>
    </row>
    <row r="103" spans="2:13" ht="19.5" thickBot="1" x14ac:dyDescent="0.35">
      <c r="B103" s="63">
        <v>44104</v>
      </c>
      <c r="C103" s="92" t="s">
        <v>728</v>
      </c>
      <c r="D103" s="37"/>
      <c r="E103" s="21">
        <v>1000.37</v>
      </c>
      <c r="F103" s="21"/>
      <c r="G103" s="22"/>
      <c r="H103" s="21"/>
      <c r="I103" s="22"/>
      <c r="J103" s="23">
        <f t="shared" si="4"/>
        <v>30223.620000000003</v>
      </c>
      <c r="K103" s="23">
        <f t="shared" si="5"/>
        <v>54297.420000000006</v>
      </c>
    </row>
    <row r="104" spans="2:13" ht="19.5" thickBot="1" x14ac:dyDescent="0.35">
      <c r="B104" s="65"/>
      <c r="C104" s="29" t="s">
        <v>0</v>
      </c>
      <c r="D104" s="40">
        <f>SUM(D55:D103)</f>
        <v>96500</v>
      </c>
      <c r="E104" s="66">
        <f>SUM(E55:E103)</f>
        <v>28019.560000000005</v>
      </c>
      <c r="F104" s="67">
        <f>SUM(D104:E104)</f>
        <v>124519.56</v>
      </c>
      <c r="G104" s="67">
        <f>SUM(G55:G103)</f>
        <v>3360</v>
      </c>
      <c r="H104" s="30">
        <f>SUM(H55:H103)</f>
        <v>73417.900000000009</v>
      </c>
      <c r="I104" s="32">
        <f>SUM(G104:H104)</f>
        <v>76777.900000000009</v>
      </c>
      <c r="J104" s="34"/>
      <c r="K104" s="34"/>
      <c r="L104" s="1"/>
      <c r="M104" s="1">
        <f>SUM(D104:E104)</f>
        <v>124519.56</v>
      </c>
    </row>
    <row r="105" spans="2:13" ht="18.75" x14ac:dyDescent="0.3">
      <c r="B105" s="60" t="s">
        <v>1</v>
      </c>
      <c r="C105" s="9" t="s">
        <v>2</v>
      </c>
      <c r="D105" s="9" t="s">
        <v>3</v>
      </c>
      <c r="E105" s="9" t="s">
        <v>3</v>
      </c>
      <c r="F105" s="9" t="s">
        <v>8</v>
      </c>
      <c r="G105" s="9" t="s">
        <v>9</v>
      </c>
      <c r="H105" s="10" t="s">
        <v>9</v>
      </c>
      <c r="I105" s="10" t="s">
        <v>8</v>
      </c>
      <c r="J105" s="9" t="s">
        <v>7</v>
      </c>
      <c r="K105" s="10" t="s">
        <v>6</v>
      </c>
      <c r="L105" s="1"/>
    </row>
    <row r="106" spans="2:13" ht="19.5" thickBot="1" x14ac:dyDescent="0.35">
      <c r="B106" s="61"/>
      <c r="C106" s="11"/>
      <c r="D106" s="11" t="s">
        <v>5</v>
      </c>
      <c r="E106" s="11" t="s">
        <v>7</v>
      </c>
      <c r="F106" s="11" t="s">
        <v>3</v>
      </c>
      <c r="G106" s="11" t="s">
        <v>7</v>
      </c>
      <c r="H106" s="12" t="s">
        <v>5</v>
      </c>
      <c r="I106" s="12" t="s">
        <v>4</v>
      </c>
      <c r="J106" s="11"/>
      <c r="K106" s="12"/>
      <c r="L106" s="1"/>
    </row>
    <row r="107" spans="2:13" ht="19.5" thickBot="1" x14ac:dyDescent="0.35">
      <c r="B107" s="68"/>
      <c r="C107" s="41" t="s">
        <v>0</v>
      </c>
      <c r="D107" s="40">
        <v>96500</v>
      </c>
      <c r="E107" s="40">
        <v>28019.56</v>
      </c>
      <c r="F107" s="40">
        <f>SUM(D107:E107)</f>
        <v>124519.56</v>
      </c>
      <c r="G107" s="40">
        <v>3360</v>
      </c>
      <c r="H107" s="30">
        <v>73417.899999999994</v>
      </c>
      <c r="I107" s="30">
        <f>SUM(G107:H107)</f>
        <v>76777.899999999994</v>
      </c>
      <c r="J107" s="30">
        <v>30223.62</v>
      </c>
      <c r="K107" s="34">
        <v>54297.42</v>
      </c>
      <c r="L107" s="1"/>
    </row>
    <row r="108" spans="2:13" ht="18.75" x14ac:dyDescent="0.3">
      <c r="B108" s="63">
        <v>44102</v>
      </c>
      <c r="C108" s="20" t="s">
        <v>108</v>
      </c>
      <c r="D108" s="21"/>
      <c r="E108" s="21"/>
      <c r="F108" s="21"/>
      <c r="G108" s="21">
        <v>200</v>
      </c>
      <c r="H108" s="21"/>
      <c r="I108" s="22"/>
      <c r="J108" s="23">
        <f>+J107+E108-G108</f>
        <v>30023.62</v>
      </c>
      <c r="K108" s="23">
        <f>+K107+D108-H108</f>
        <v>54297.42</v>
      </c>
      <c r="L108" s="1"/>
    </row>
    <row r="109" spans="2:13" ht="18.75" x14ac:dyDescent="0.3">
      <c r="B109" s="63">
        <v>44102</v>
      </c>
      <c r="C109" s="24" t="s">
        <v>109</v>
      </c>
      <c r="D109" s="21"/>
      <c r="E109" s="21"/>
      <c r="F109" s="21"/>
      <c r="G109" s="21">
        <v>32</v>
      </c>
      <c r="H109" s="21"/>
      <c r="I109" s="22"/>
      <c r="J109" s="23">
        <f>+J108+E109-G109</f>
        <v>29991.62</v>
      </c>
      <c r="K109" s="23">
        <f>+K108+D109-H109</f>
        <v>54297.42</v>
      </c>
      <c r="L109" s="1"/>
    </row>
    <row r="110" spans="2:13" ht="18.75" x14ac:dyDescent="0.3">
      <c r="B110" s="63">
        <v>44102</v>
      </c>
      <c r="C110" s="24" t="s">
        <v>729</v>
      </c>
      <c r="D110" s="21"/>
      <c r="E110" s="21"/>
      <c r="F110" s="21"/>
      <c r="G110" s="21"/>
      <c r="H110" s="21">
        <v>145</v>
      </c>
      <c r="I110" s="22"/>
      <c r="J110" s="23">
        <f t="shared" ref="J110:J127" si="6">+J109+E110-G110</f>
        <v>29991.62</v>
      </c>
      <c r="K110" s="23">
        <f t="shared" ref="K110:K127" si="7">+K109+D110-H110</f>
        <v>54152.42</v>
      </c>
      <c r="L110" s="1"/>
    </row>
    <row r="111" spans="2:13" ht="18.75" x14ac:dyDescent="0.3">
      <c r="B111" s="63">
        <v>44102</v>
      </c>
      <c r="C111" s="24" t="s">
        <v>742</v>
      </c>
      <c r="D111" s="21"/>
      <c r="E111" s="21"/>
      <c r="F111" s="21"/>
      <c r="G111" s="21"/>
      <c r="H111" s="21">
        <v>460</v>
      </c>
      <c r="I111" s="22"/>
      <c r="J111" s="23">
        <f t="shared" si="6"/>
        <v>29991.62</v>
      </c>
      <c r="K111" s="23">
        <f t="shared" si="7"/>
        <v>53692.42</v>
      </c>
      <c r="L111" s="1"/>
    </row>
    <row r="112" spans="2:13" ht="18.75" x14ac:dyDescent="0.3">
      <c r="B112" s="63">
        <v>44103</v>
      </c>
      <c r="C112" s="24" t="s">
        <v>730</v>
      </c>
      <c r="D112" s="21"/>
      <c r="E112" s="21"/>
      <c r="F112" s="21"/>
      <c r="G112" s="21"/>
      <c r="H112" s="21">
        <v>106</v>
      </c>
      <c r="I112" s="22"/>
      <c r="J112" s="23">
        <f t="shared" si="6"/>
        <v>29991.62</v>
      </c>
      <c r="K112" s="23">
        <f t="shared" si="7"/>
        <v>53586.42</v>
      </c>
      <c r="L112" s="1"/>
    </row>
    <row r="113" spans="2:12" ht="18.75" x14ac:dyDescent="0.3">
      <c r="B113" s="63">
        <v>44103</v>
      </c>
      <c r="C113" s="20" t="s">
        <v>731</v>
      </c>
      <c r="D113" s="21"/>
      <c r="E113" s="21"/>
      <c r="F113" s="21"/>
      <c r="G113" s="21"/>
      <c r="H113" s="21">
        <v>500</v>
      </c>
      <c r="I113" s="22"/>
      <c r="J113" s="23">
        <f t="shared" si="6"/>
        <v>29991.62</v>
      </c>
      <c r="K113" s="23">
        <f t="shared" si="7"/>
        <v>53086.42</v>
      </c>
      <c r="L113" s="1"/>
    </row>
    <row r="114" spans="2:12" ht="18.75" x14ac:dyDescent="0.3">
      <c r="B114" s="63">
        <v>44103</v>
      </c>
      <c r="C114" s="20" t="s">
        <v>732</v>
      </c>
      <c r="D114" s="26"/>
      <c r="E114" s="26"/>
      <c r="F114" s="26"/>
      <c r="G114" s="26"/>
      <c r="H114" s="21">
        <v>5700</v>
      </c>
      <c r="I114" s="22"/>
      <c r="J114" s="23">
        <f t="shared" si="6"/>
        <v>29991.62</v>
      </c>
      <c r="K114" s="23">
        <f t="shared" si="7"/>
        <v>47386.42</v>
      </c>
      <c r="L114" s="1"/>
    </row>
    <row r="115" spans="2:12" ht="18.75" x14ac:dyDescent="0.3">
      <c r="B115" s="63">
        <v>44103</v>
      </c>
      <c r="C115" s="24" t="s">
        <v>733</v>
      </c>
      <c r="D115" s="26"/>
      <c r="E115" s="26"/>
      <c r="F115" s="26"/>
      <c r="G115" s="26"/>
      <c r="H115" s="21">
        <v>500</v>
      </c>
      <c r="I115" s="22"/>
      <c r="J115" s="23">
        <f t="shared" si="6"/>
        <v>29991.62</v>
      </c>
      <c r="K115" s="23">
        <f t="shared" si="7"/>
        <v>46886.42</v>
      </c>
      <c r="L115" s="1"/>
    </row>
    <row r="116" spans="2:12" ht="18.75" x14ac:dyDescent="0.3">
      <c r="B116" s="63">
        <v>44103</v>
      </c>
      <c r="C116" s="20" t="s">
        <v>734</v>
      </c>
      <c r="D116" s="21"/>
      <c r="E116" s="21"/>
      <c r="F116" s="21"/>
      <c r="G116" s="21"/>
      <c r="H116" s="21">
        <v>2800</v>
      </c>
      <c r="I116" s="22"/>
      <c r="J116" s="23">
        <f t="shared" si="6"/>
        <v>29991.62</v>
      </c>
      <c r="K116" s="23">
        <f t="shared" si="7"/>
        <v>44086.42</v>
      </c>
      <c r="L116" s="1"/>
    </row>
    <row r="117" spans="2:12" ht="18.75" x14ac:dyDescent="0.3">
      <c r="B117" s="63">
        <v>44104</v>
      </c>
      <c r="C117" s="24" t="s">
        <v>735</v>
      </c>
      <c r="D117" s="21"/>
      <c r="E117" s="21"/>
      <c r="F117" s="21"/>
      <c r="G117" s="21"/>
      <c r="H117" s="21">
        <v>300</v>
      </c>
      <c r="I117" s="22"/>
      <c r="J117" s="23">
        <f t="shared" si="6"/>
        <v>29991.62</v>
      </c>
      <c r="K117" s="23">
        <f t="shared" si="7"/>
        <v>43786.42</v>
      </c>
      <c r="L117" s="1"/>
    </row>
    <row r="118" spans="2:12" ht="18.75" x14ac:dyDescent="0.3">
      <c r="B118" s="63">
        <v>44104</v>
      </c>
      <c r="C118" s="24" t="s">
        <v>736</v>
      </c>
      <c r="D118" s="21"/>
      <c r="E118" s="21"/>
      <c r="F118" s="21"/>
      <c r="G118" s="22"/>
      <c r="H118" s="21">
        <v>650</v>
      </c>
      <c r="I118" s="22"/>
      <c r="J118" s="23">
        <f t="shared" si="6"/>
        <v>29991.62</v>
      </c>
      <c r="K118" s="23">
        <f t="shared" si="7"/>
        <v>43136.42</v>
      </c>
      <c r="L118" s="1"/>
    </row>
    <row r="119" spans="2:12" ht="18.75" x14ac:dyDescent="0.3">
      <c r="B119" s="63">
        <v>44104</v>
      </c>
      <c r="C119" s="24" t="s">
        <v>679</v>
      </c>
      <c r="D119" s="21"/>
      <c r="E119" s="21"/>
      <c r="F119" s="21"/>
      <c r="G119" s="22"/>
      <c r="H119" s="21">
        <v>112.98</v>
      </c>
      <c r="I119" s="22"/>
      <c r="J119" s="23">
        <f t="shared" si="6"/>
        <v>29991.62</v>
      </c>
      <c r="K119" s="23">
        <f t="shared" si="7"/>
        <v>43023.439999999995</v>
      </c>
      <c r="L119" s="1"/>
    </row>
    <row r="120" spans="2:12" ht="18.75" x14ac:dyDescent="0.3">
      <c r="B120" s="63">
        <v>44104</v>
      </c>
      <c r="C120" s="24" t="s">
        <v>737</v>
      </c>
      <c r="D120" s="21"/>
      <c r="E120" s="21"/>
      <c r="F120" s="21"/>
      <c r="G120" s="21"/>
      <c r="H120" s="21">
        <v>1000</v>
      </c>
      <c r="I120" s="22"/>
      <c r="J120" s="23">
        <f t="shared" si="6"/>
        <v>29991.62</v>
      </c>
      <c r="K120" s="23">
        <f t="shared" si="7"/>
        <v>42023.439999999995</v>
      </c>
      <c r="L120" s="1"/>
    </row>
    <row r="121" spans="2:12" ht="18.75" x14ac:dyDescent="0.3">
      <c r="B121" s="63">
        <v>44104</v>
      </c>
      <c r="C121" s="36" t="s">
        <v>422</v>
      </c>
      <c r="D121" s="21"/>
      <c r="E121" s="21"/>
      <c r="F121" s="21"/>
      <c r="G121" s="21"/>
      <c r="H121" s="21">
        <v>2000</v>
      </c>
      <c r="I121" s="22"/>
      <c r="J121" s="23">
        <f t="shared" si="6"/>
        <v>29991.62</v>
      </c>
      <c r="K121" s="23">
        <f t="shared" si="7"/>
        <v>40023.439999999995</v>
      </c>
      <c r="L121" s="1"/>
    </row>
    <row r="122" spans="2:12" ht="18.75" x14ac:dyDescent="0.3">
      <c r="B122" s="63">
        <v>44104</v>
      </c>
      <c r="C122" s="24" t="s">
        <v>638</v>
      </c>
      <c r="D122" s="21"/>
      <c r="E122" s="21"/>
      <c r="F122" s="21"/>
      <c r="G122" s="21"/>
      <c r="H122" s="21">
        <v>3200</v>
      </c>
      <c r="I122" s="22"/>
      <c r="J122" s="23">
        <f t="shared" si="6"/>
        <v>29991.62</v>
      </c>
      <c r="K122" s="23">
        <f t="shared" si="7"/>
        <v>36823.439999999995</v>
      </c>
      <c r="L122" s="1"/>
    </row>
    <row r="123" spans="2:12" ht="18.75" x14ac:dyDescent="0.3">
      <c r="B123" s="63">
        <v>44104</v>
      </c>
      <c r="C123" s="48" t="s">
        <v>362</v>
      </c>
      <c r="D123" s="21"/>
      <c r="E123" s="21"/>
      <c r="F123" s="21"/>
      <c r="G123" s="21"/>
      <c r="H123" s="21">
        <v>3000</v>
      </c>
      <c r="I123" s="22"/>
      <c r="J123" s="23">
        <f t="shared" si="6"/>
        <v>29991.62</v>
      </c>
      <c r="K123" s="23">
        <f t="shared" si="7"/>
        <v>33823.439999999995</v>
      </c>
      <c r="L123" s="1"/>
    </row>
    <row r="124" spans="2:12" ht="18.75" x14ac:dyDescent="0.3">
      <c r="B124" s="63">
        <v>44104</v>
      </c>
      <c r="C124" s="58" t="s">
        <v>351</v>
      </c>
      <c r="D124" s="21"/>
      <c r="E124" s="21"/>
      <c r="F124" s="21"/>
      <c r="G124" s="21"/>
      <c r="H124" s="21">
        <v>4000</v>
      </c>
      <c r="I124" s="22"/>
      <c r="J124" s="23">
        <f t="shared" si="6"/>
        <v>29991.62</v>
      </c>
      <c r="K124" s="23">
        <f t="shared" si="7"/>
        <v>29823.439999999995</v>
      </c>
      <c r="L124" s="1"/>
    </row>
    <row r="125" spans="2:12" ht="18.75" x14ac:dyDescent="0.3">
      <c r="B125" s="63">
        <v>44104</v>
      </c>
      <c r="C125" s="24" t="s">
        <v>785</v>
      </c>
      <c r="D125" s="17"/>
      <c r="E125" s="17"/>
      <c r="F125" s="17"/>
      <c r="G125" s="21"/>
      <c r="H125" s="21">
        <v>2800</v>
      </c>
      <c r="I125" s="22"/>
      <c r="J125" s="23">
        <f t="shared" si="6"/>
        <v>29991.62</v>
      </c>
      <c r="K125" s="23">
        <f t="shared" si="7"/>
        <v>27023.439999999995</v>
      </c>
      <c r="L125" s="1"/>
    </row>
    <row r="126" spans="2:12" ht="18.75" x14ac:dyDescent="0.3">
      <c r="B126" s="63">
        <v>44104</v>
      </c>
      <c r="C126" s="27" t="s">
        <v>478</v>
      </c>
      <c r="D126" s="21"/>
      <c r="E126" s="21"/>
      <c r="F126" s="21"/>
      <c r="G126" s="21"/>
      <c r="H126" s="21">
        <v>8750</v>
      </c>
      <c r="I126" s="22"/>
      <c r="J126" s="23">
        <f t="shared" si="6"/>
        <v>29991.62</v>
      </c>
      <c r="K126" s="23">
        <f t="shared" si="7"/>
        <v>18273.439999999995</v>
      </c>
      <c r="L126" s="1"/>
    </row>
    <row r="127" spans="2:12" ht="18.75" x14ac:dyDescent="0.3">
      <c r="B127" s="63">
        <v>44104</v>
      </c>
      <c r="C127" s="20" t="s">
        <v>272</v>
      </c>
      <c r="D127" s="17"/>
      <c r="E127" s="17"/>
      <c r="F127" s="17"/>
      <c r="G127" s="21">
        <v>25000</v>
      </c>
      <c r="H127" s="21"/>
      <c r="I127" s="22"/>
      <c r="J127" s="23">
        <f t="shared" si="6"/>
        <v>4991.619999999999</v>
      </c>
      <c r="K127" s="23">
        <f t="shared" si="7"/>
        <v>18273.439999999995</v>
      </c>
      <c r="L127" s="1"/>
    </row>
    <row r="128" spans="2:12" ht="18.75" x14ac:dyDescent="0.3">
      <c r="B128" s="63">
        <v>44012</v>
      </c>
      <c r="C128" s="48" t="s">
        <v>299</v>
      </c>
      <c r="D128" s="17"/>
      <c r="E128" s="17"/>
      <c r="F128" s="17"/>
      <c r="G128" s="17"/>
      <c r="H128" s="17">
        <v>6000</v>
      </c>
      <c r="I128" s="22"/>
      <c r="J128" s="23">
        <f t="shared" ref="J128:J131" si="8">+J127+E128-G128</f>
        <v>4991.619999999999</v>
      </c>
      <c r="K128" s="23">
        <f t="shared" ref="K128:K131" si="9">+K127+D128-H128</f>
        <v>12273.439999999995</v>
      </c>
      <c r="L128" s="1"/>
    </row>
    <row r="129" spans="2:12" ht="18.75" x14ac:dyDescent="0.3">
      <c r="B129" s="63">
        <v>44012</v>
      </c>
      <c r="C129" s="20" t="s">
        <v>110</v>
      </c>
      <c r="D129" s="17"/>
      <c r="E129" s="17"/>
      <c r="F129" s="17"/>
      <c r="G129" s="21">
        <v>36</v>
      </c>
      <c r="H129" s="21"/>
      <c r="I129" s="22"/>
      <c r="J129" s="23">
        <f t="shared" si="8"/>
        <v>4955.619999999999</v>
      </c>
      <c r="K129" s="23">
        <f t="shared" si="9"/>
        <v>12273.439999999995</v>
      </c>
      <c r="L129" s="1"/>
    </row>
    <row r="130" spans="2:12" ht="18.75" x14ac:dyDescent="0.3">
      <c r="B130" s="63">
        <v>44104</v>
      </c>
      <c r="C130" s="24" t="s">
        <v>111</v>
      </c>
      <c r="D130" s="17"/>
      <c r="E130" s="17"/>
      <c r="F130" s="17"/>
      <c r="G130" s="17">
        <v>5.76</v>
      </c>
      <c r="H130" s="17"/>
      <c r="I130" s="22"/>
      <c r="J130" s="23">
        <f t="shared" si="8"/>
        <v>4949.8599999999988</v>
      </c>
      <c r="K130" s="23">
        <f t="shared" si="9"/>
        <v>12273.439999999995</v>
      </c>
      <c r="L130" s="1"/>
    </row>
    <row r="131" spans="2:12" ht="19.5" thickBot="1" x14ac:dyDescent="0.35">
      <c r="B131" s="63"/>
      <c r="C131" s="20"/>
      <c r="D131" s="21"/>
      <c r="E131" s="21"/>
      <c r="F131" s="21"/>
      <c r="G131" s="21"/>
      <c r="H131" s="21"/>
      <c r="I131" s="22"/>
      <c r="J131" s="23">
        <f t="shared" si="8"/>
        <v>4949.8599999999988</v>
      </c>
      <c r="K131" s="23">
        <f t="shared" si="9"/>
        <v>12273.439999999995</v>
      </c>
      <c r="L131" s="1"/>
    </row>
    <row r="132" spans="2:12" ht="19.5" thickBot="1" x14ac:dyDescent="0.35">
      <c r="B132" s="65"/>
      <c r="C132" s="29" t="s">
        <v>0</v>
      </c>
      <c r="D132" s="40">
        <f>SUM(D107:D131)</f>
        <v>96500</v>
      </c>
      <c r="E132" s="66">
        <f>SUM(E107:E131)</f>
        <v>28019.56</v>
      </c>
      <c r="F132" s="67">
        <f>SUM(D132:E132)</f>
        <v>124519.56</v>
      </c>
      <c r="G132" s="67">
        <f>SUM(G107:G131)</f>
        <v>28633.759999999998</v>
      </c>
      <c r="H132" s="30">
        <f>SUM(H107:H131)</f>
        <v>115441.87999999999</v>
      </c>
      <c r="I132" s="32">
        <f>SUM(G132:H132)</f>
        <v>144075.63999999998</v>
      </c>
      <c r="J132" s="34"/>
      <c r="K132" s="34"/>
      <c r="L132" s="1"/>
    </row>
    <row r="133" spans="2:12" ht="19.5" thickBot="1" x14ac:dyDescent="0.35">
      <c r="B133" s="70"/>
      <c r="C133" s="7"/>
      <c r="D133" s="7"/>
      <c r="E133" s="7"/>
      <c r="F133" s="7"/>
      <c r="G133" s="7"/>
      <c r="H133" s="7"/>
      <c r="I133" s="38" t="s">
        <v>7</v>
      </c>
      <c r="J133" s="38" t="s">
        <v>6</v>
      </c>
      <c r="K133" s="39" t="s">
        <v>0</v>
      </c>
    </row>
    <row r="134" spans="2:12" ht="19.5" thickBot="1" x14ac:dyDescent="0.35">
      <c r="B134" s="70"/>
      <c r="C134" s="7"/>
      <c r="D134" s="7"/>
      <c r="E134" s="7"/>
      <c r="F134" s="7"/>
      <c r="G134" s="7"/>
      <c r="H134" s="7"/>
      <c r="I134" s="34">
        <v>4949.8599999999997</v>
      </c>
      <c r="J134" s="34">
        <v>12273.44</v>
      </c>
      <c r="K134" s="34">
        <f>SUM(I134:J134)</f>
        <v>17223.3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18"/>
  <sheetViews>
    <sheetView zoomScale="80" zoomScaleNormal="80" workbookViewId="0">
      <pane ySplit="3" topLeftCell="A84" activePane="bottomLeft" state="frozen"/>
      <selection activeCell="B1" sqref="B1"/>
      <selection pane="bottomLeft" activeCell="C84" sqref="C84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  <col min="13" max="13" width="12.7109375" bestFit="1" customWidth="1"/>
  </cols>
  <sheetData>
    <row r="1" spans="2:11" ht="19.5" thickBot="1" x14ac:dyDescent="0.35">
      <c r="C1" s="8" t="s">
        <v>659</v>
      </c>
    </row>
    <row r="2" spans="2:11" ht="18.75" x14ac:dyDescent="0.3">
      <c r="B2" s="60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6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3">
        <v>44104</v>
      </c>
      <c r="C4" s="14" t="s">
        <v>27</v>
      </c>
      <c r="D4" s="15"/>
      <c r="E4" s="16"/>
      <c r="F4" s="16"/>
      <c r="G4" s="16"/>
      <c r="H4" s="17"/>
      <c r="I4" s="18"/>
      <c r="J4" s="19">
        <v>4949.8599999999997</v>
      </c>
      <c r="K4" s="59">
        <v>12273.44</v>
      </c>
    </row>
    <row r="5" spans="2:11" ht="18.75" x14ac:dyDescent="0.3">
      <c r="B5" s="62">
        <v>44106</v>
      </c>
      <c r="C5" s="24" t="s">
        <v>813</v>
      </c>
      <c r="D5" s="21"/>
      <c r="E5" s="21"/>
      <c r="F5" s="21"/>
      <c r="G5" s="21"/>
      <c r="H5" s="21">
        <v>500</v>
      </c>
      <c r="I5" s="22"/>
      <c r="J5" s="23">
        <f>+J4+E5-G5</f>
        <v>4949.8599999999997</v>
      </c>
      <c r="K5" s="23">
        <f>+K4+D5-H5</f>
        <v>11773.44</v>
      </c>
    </row>
    <row r="6" spans="2:11" ht="18.75" x14ac:dyDescent="0.3">
      <c r="B6" s="62">
        <v>44106</v>
      </c>
      <c r="C6" s="20" t="s">
        <v>743</v>
      </c>
      <c r="D6" s="21"/>
      <c r="E6" s="21"/>
      <c r="F6" s="21"/>
      <c r="G6" s="21"/>
      <c r="H6" s="21">
        <v>175</v>
      </c>
      <c r="I6" s="22"/>
      <c r="J6" s="23">
        <f t="shared" ref="J6:J51" si="0">+J5+E6-G6</f>
        <v>4949.8599999999997</v>
      </c>
      <c r="K6" s="23">
        <f t="shared" ref="K6:K51" si="1">+K5+D6-H6</f>
        <v>11598.44</v>
      </c>
    </row>
    <row r="7" spans="2:11" ht="18.75" x14ac:dyDescent="0.3">
      <c r="B7" s="63">
        <v>44106</v>
      </c>
      <c r="C7" s="45" t="s">
        <v>409</v>
      </c>
      <c r="D7" s="21"/>
      <c r="E7" s="21"/>
      <c r="F7" s="21"/>
      <c r="G7" s="21"/>
      <c r="H7" s="57">
        <v>82</v>
      </c>
      <c r="I7" s="22"/>
      <c r="J7" s="23">
        <f t="shared" si="0"/>
        <v>4949.8599999999997</v>
      </c>
      <c r="K7" s="23">
        <f t="shared" si="1"/>
        <v>11516.44</v>
      </c>
    </row>
    <row r="8" spans="2:11" ht="18.75" x14ac:dyDescent="0.3">
      <c r="B8" s="63">
        <v>44107</v>
      </c>
      <c r="C8" s="24" t="s">
        <v>744</v>
      </c>
      <c r="D8" s="21"/>
      <c r="E8" s="21"/>
      <c r="F8" s="21"/>
      <c r="G8" s="21"/>
      <c r="H8" s="21">
        <v>700</v>
      </c>
      <c r="I8" s="22"/>
      <c r="J8" s="23">
        <f t="shared" si="0"/>
        <v>4949.8599999999997</v>
      </c>
      <c r="K8" s="23">
        <f t="shared" si="1"/>
        <v>10816.44</v>
      </c>
    </row>
    <row r="9" spans="2:11" ht="18.75" x14ac:dyDescent="0.3">
      <c r="B9" s="63">
        <v>44107</v>
      </c>
      <c r="C9" s="20" t="s">
        <v>745</v>
      </c>
      <c r="D9" s="21"/>
      <c r="E9" s="21"/>
      <c r="F9" s="21"/>
      <c r="G9" s="21"/>
      <c r="H9" s="57">
        <v>190</v>
      </c>
      <c r="I9" s="22"/>
      <c r="J9" s="23">
        <f t="shared" si="0"/>
        <v>4949.8599999999997</v>
      </c>
      <c r="K9" s="23">
        <f t="shared" si="1"/>
        <v>10626.44</v>
      </c>
    </row>
    <row r="10" spans="2:11" ht="18.75" x14ac:dyDescent="0.3">
      <c r="B10" s="63">
        <v>44107</v>
      </c>
      <c r="C10" s="24" t="s">
        <v>495</v>
      </c>
      <c r="D10" s="21"/>
      <c r="E10" s="21"/>
      <c r="F10" s="21"/>
      <c r="G10" s="21"/>
      <c r="H10" s="21">
        <v>200</v>
      </c>
      <c r="I10" s="22"/>
      <c r="J10" s="23">
        <f t="shared" si="0"/>
        <v>4949.8599999999997</v>
      </c>
      <c r="K10" s="23">
        <f t="shared" si="1"/>
        <v>10426.44</v>
      </c>
    </row>
    <row r="11" spans="2:11" ht="18.75" x14ac:dyDescent="0.3">
      <c r="B11" s="63">
        <v>44108</v>
      </c>
      <c r="C11" s="20" t="s">
        <v>746</v>
      </c>
      <c r="D11" s="21"/>
      <c r="E11" s="21"/>
      <c r="F11" s="21"/>
      <c r="G11" s="21"/>
      <c r="H11" s="21">
        <v>440</v>
      </c>
      <c r="I11" s="22"/>
      <c r="J11" s="23">
        <f t="shared" si="0"/>
        <v>4949.8599999999997</v>
      </c>
      <c r="K11" s="23">
        <f t="shared" si="1"/>
        <v>9986.44</v>
      </c>
    </row>
    <row r="12" spans="2:11" ht="18.75" x14ac:dyDescent="0.3">
      <c r="B12" s="63">
        <v>44108</v>
      </c>
      <c r="C12" s="58" t="s">
        <v>747</v>
      </c>
      <c r="D12" s="21"/>
      <c r="E12" s="21"/>
      <c r="F12" s="21"/>
      <c r="G12" s="21"/>
      <c r="H12" s="21">
        <v>120</v>
      </c>
      <c r="I12" s="22"/>
      <c r="J12" s="23">
        <f t="shared" si="0"/>
        <v>4949.8599999999997</v>
      </c>
      <c r="K12" s="23">
        <f t="shared" si="1"/>
        <v>9866.44</v>
      </c>
    </row>
    <row r="13" spans="2:11" ht="18.75" x14ac:dyDescent="0.3">
      <c r="B13" s="63">
        <v>44108</v>
      </c>
      <c r="C13" s="58" t="s">
        <v>459</v>
      </c>
      <c r="D13" s="21"/>
      <c r="E13" s="21"/>
      <c r="F13" s="21"/>
      <c r="G13" s="21"/>
      <c r="H13" s="57">
        <v>100</v>
      </c>
      <c r="I13" s="22"/>
      <c r="J13" s="23">
        <f t="shared" si="0"/>
        <v>4949.8599999999997</v>
      </c>
      <c r="K13" s="23">
        <f t="shared" si="1"/>
        <v>9766.44</v>
      </c>
    </row>
    <row r="14" spans="2:11" ht="18.75" x14ac:dyDescent="0.3">
      <c r="B14" s="63">
        <v>44108</v>
      </c>
      <c r="C14" s="36" t="s">
        <v>748</v>
      </c>
      <c r="D14" s="21"/>
      <c r="E14" s="21"/>
      <c r="F14" s="21"/>
      <c r="G14" s="21"/>
      <c r="H14" s="21">
        <v>250</v>
      </c>
      <c r="I14" s="22"/>
      <c r="J14" s="23">
        <f t="shared" si="0"/>
        <v>4949.8599999999997</v>
      </c>
      <c r="K14" s="23">
        <f t="shared" si="1"/>
        <v>9516.44</v>
      </c>
    </row>
    <row r="15" spans="2:11" ht="18.75" x14ac:dyDescent="0.3">
      <c r="B15" s="63">
        <v>44108</v>
      </c>
      <c r="C15" s="45" t="s">
        <v>280</v>
      </c>
      <c r="D15" s="21">
        <v>51600</v>
      </c>
      <c r="E15" s="21"/>
      <c r="F15" s="21"/>
      <c r="G15" s="21"/>
      <c r="H15" s="57"/>
      <c r="I15" s="22"/>
      <c r="J15" s="23">
        <f t="shared" si="0"/>
        <v>4949.8599999999997</v>
      </c>
      <c r="K15" s="23">
        <f t="shared" si="1"/>
        <v>61116.44</v>
      </c>
    </row>
    <row r="16" spans="2:11" ht="18.75" x14ac:dyDescent="0.3">
      <c r="B16" s="63">
        <v>44105</v>
      </c>
      <c r="C16" s="20" t="s">
        <v>792</v>
      </c>
      <c r="D16" s="21"/>
      <c r="E16" s="21">
        <v>1000.37</v>
      </c>
      <c r="F16" s="21"/>
      <c r="G16" s="21"/>
      <c r="H16" s="21"/>
      <c r="I16" s="22"/>
      <c r="J16" s="23">
        <f t="shared" si="0"/>
        <v>5950.23</v>
      </c>
      <c r="K16" s="23">
        <f t="shared" si="1"/>
        <v>61116.44</v>
      </c>
    </row>
    <row r="17" spans="2:11" ht="18.75" x14ac:dyDescent="0.3">
      <c r="B17" s="63">
        <v>44108</v>
      </c>
      <c r="C17" s="74" t="s">
        <v>793</v>
      </c>
      <c r="D17" s="21"/>
      <c r="E17" s="21">
        <v>6000</v>
      </c>
      <c r="F17" s="21"/>
      <c r="G17" s="21"/>
      <c r="H17" s="21"/>
      <c r="I17" s="22"/>
      <c r="J17" s="23">
        <f t="shared" si="0"/>
        <v>11950.23</v>
      </c>
      <c r="K17" s="23">
        <f t="shared" si="1"/>
        <v>61116.44</v>
      </c>
    </row>
    <row r="18" spans="2:11" ht="18.75" x14ac:dyDescent="0.3">
      <c r="B18" s="63">
        <v>44110</v>
      </c>
      <c r="C18" s="20" t="s">
        <v>794</v>
      </c>
      <c r="D18" s="21"/>
      <c r="E18" s="21">
        <v>500.46</v>
      </c>
      <c r="F18" s="21"/>
      <c r="G18" s="21"/>
      <c r="H18" s="21"/>
      <c r="I18" s="22"/>
      <c r="J18" s="23">
        <f t="shared" si="0"/>
        <v>12450.689999999999</v>
      </c>
      <c r="K18" s="23">
        <f t="shared" si="1"/>
        <v>61116.44</v>
      </c>
    </row>
    <row r="19" spans="2:11" ht="18.75" x14ac:dyDescent="0.3">
      <c r="B19" s="63">
        <v>44109</v>
      </c>
      <c r="C19" s="74" t="s">
        <v>749</v>
      </c>
      <c r="D19" s="21"/>
      <c r="E19" s="21"/>
      <c r="F19" s="21"/>
      <c r="G19" s="21"/>
      <c r="H19" s="21">
        <v>300</v>
      </c>
      <c r="I19" s="22"/>
      <c r="J19" s="23">
        <f t="shared" si="0"/>
        <v>12450.689999999999</v>
      </c>
      <c r="K19" s="23">
        <f t="shared" si="1"/>
        <v>60816.44</v>
      </c>
    </row>
    <row r="20" spans="2:11" ht="18.75" x14ac:dyDescent="0.3">
      <c r="B20" s="63">
        <v>36804</v>
      </c>
      <c r="C20" s="20" t="s">
        <v>750</v>
      </c>
      <c r="D20" s="21"/>
      <c r="E20" s="21"/>
      <c r="F20" s="21"/>
      <c r="G20" s="21"/>
      <c r="H20" s="21">
        <v>300</v>
      </c>
      <c r="I20" s="22"/>
      <c r="J20" s="23">
        <f t="shared" si="0"/>
        <v>12450.689999999999</v>
      </c>
      <c r="K20" s="23">
        <f t="shared" si="1"/>
        <v>60516.44</v>
      </c>
    </row>
    <row r="21" spans="2:11" ht="18.75" x14ac:dyDescent="0.3">
      <c r="B21" s="63">
        <v>44109</v>
      </c>
      <c r="C21" s="20" t="s">
        <v>751</v>
      </c>
      <c r="D21" s="21"/>
      <c r="E21" s="21"/>
      <c r="F21" s="21"/>
      <c r="G21" s="21"/>
      <c r="H21" s="21">
        <v>17.329999999999998</v>
      </c>
      <c r="I21" s="22"/>
      <c r="J21" s="23">
        <f t="shared" si="0"/>
        <v>12450.689999999999</v>
      </c>
      <c r="K21" s="23">
        <f t="shared" si="1"/>
        <v>60499.11</v>
      </c>
    </row>
    <row r="22" spans="2:11" ht="18.75" x14ac:dyDescent="0.3">
      <c r="B22" s="63">
        <v>44109</v>
      </c>
      <c r="C22" s="20" t="s">
        <v>752</v>
      </c>
      <c r="D22" s="21"/>
      <c r="E22" s="21"/>
      <c r="F22" s="21"/>
      <c r="G22" s="21"/>
      <c r="H22" s="57">
        <v>268.60000000000002</v>
      </c>
      <c r="I22" s="22"/>
      <c r="J22" s="23">
        <f t="shared" si="0"/>
        <v>12450.689999999999</v>
      </c>
      <c r="K22" s="23">
        <f t="shared" si="1"/>
        <v>60230.51</v>
      </c>
    </row>
    <row r="23" spans="2:11" ht="18.75" x14ac:dyDescent="0.3">
      <c r="B23" s="63">
        <v>44109</v>
      </c>
      <c r="C23" s="20" t="s">
        <v>753</v>
      </c>
      <c r="D23" s="21"/>
      <c r="E23" s="21"/>
      <c r="F23" s="21"/>
      <c r="G23" s="21"/>
      <c r="H23" s="57">
        <v>5</v>
      </c>
      <c r="I23" s="22"/>
      <c r="J23" s="23">
        <f t="shared" si="0"/>
        <v>12450.689999999999</v>
      </c>
      <c r="K23" s="23">
        <f t="shared" si="1"/>
        <v>60225.51</v>
      </c>
    </row>
    <row r="24" spans="2:11" ht="18.75" x14ac:dyDescent="0.3">
      <c r="B24" s="63">
        <v>44110</v>
      </c>
      <c r="C24" s="20" t="s">
        <v>754</v>
      </c>
      <c r="D24" s="21"/>
      <c r="E24" s="21"/>
      <c r="F24" s="21"/>
      <c r="G24" s="21"/>
      <c r="H24" s="57">
        <v>24.59</v>
      </c>
      <c r="I24" s="22"/>
      <c r="J24" s="23">
        <f t="shared" si="0"/>
        <v>12450.689999999999</v>
      </c>
      <c r="K24" s="23">
        <f t="shared" si="1"/>
        <v>60200.920000000006</v>
      </c>
    </row>
    <row r="25" spans="2:11" ht="18.75" x14ac:dyDescent="0.3">
      <c r="B25" s="63">
        <v>44110</v>
      </c>
      <c r="C25" s="20" t="s">
        <v>755</v>
      </c>
      <c r="D25" s="21"/>
      <c r="E25" s="21"/>
      <c r="F25" s="21"/>
      <c r="G25" s="21"/>
      <c r="H25" s="21">
        <v>2800</v>
      </c>
      <c r="I25" s="22"/>
      <c r="J25" s="23">
        <f t="shared" si="0"/>
        <v>12450.689999999999</v>
      </c>
      <c r="K25" s="23">
        <f t="shared" si="1"/>
        <v>57400.920000000006</v>
      </c>
    </row>
    <row r="26" spans="2:11" ht="18.75" x14ac:dyDescent="0.3">
      <c r="B26" s="63">
        <v>44110</v>
      </c>
      <c r="C26" s="20" t="s">
        <v>756</v>
      </c>
      <c r="D26" s="21"/>
      <c r="E26" s="21"/>
      <c r="F26" s="21"/>
      <c r="G26" s="21"/>
      <c r="H26" s="21">
        <v>850</v>
      </c>
      <c r="I26" s="22"/>
      <c r="J26" s="23">
        <f t="shared" si="0"/>
        <v>12450.689999999999</v>
      </c>
      <c r="K26" s="23">
        <f t="shared" si="1"/>
        <v>56550.920000000006</v>
      </c>
    </row>
    <row r="27" spans="2:11" ht="18.75" x14ac:dyDescent="0.3">
      <c r="B27" s="63">
        <v>44110</v>
      </c>
      <c r="C27" s="27" t="s">
        <v>757</v>
      </c>
      <c r="D27" s="21"/>
      <c r="E27" s="21"/>
      <c r="F27" s="21"/>
      <c r="G27" s="21"/>
      <c r="H27" s="21">
        <v>600</v>
      </c>
      <c r="I27" s="22"/>
      <c r="J27" s="23">
        <f t="shared" si="0"/>
        <v>12450.689999999999</v>
      </c>
      <c r="K27" s="23">
        <f t="shared" si="1"/>
        <v>55950.920000000006</v>
      </c>
    </row>
    <row r="28" spans="2:11" ht="18.75" x14ac:dyDescent="0.3">
      <c r="B28" s="63">
        <v>44111</v>
      </c>
      <c r="C28" s="48" t="s">
        <v>758</v>
      </c>
      <c r="D28" s="21"/>
      <c r="E28" s="21"/>
      <c r="F28" s="21"/>
      <c r="G28" s="21"/>
      <c r="H28" s="21">
        <v>130</v>
      </c>
      <c r="I28" s="22"/>
      <c r="J28" s="23">
        <f t="shared" si="0"/>
        <v>12450.689999999999</v>
      </c>
      <c r="K28" s="23">
        <f t="shared" si="1"/>
        <v>55820.920000000006</v>
      </c>
    </row>
    <row r="29" spans="2:11" ht="18.75" x14ac:dyDescent="0.3">
      <c r="B29" s="63">
        <v>44112</v>
      </c>
      <c r="C29" s="20" t="s">
        <v>672</v>
      </c>
      <c r="D29" s="21"/>
      <c r="E29" s="21"/>
      <c r="F29" s="21"/>
      <c r="G29" s="21"/>
      <c r="H29" s="57">
        <v>345</v>
      </c>
      <c r="I29" s="22"/>
      <c r="J29" s="23">
        <f t="shared" si="0"/>
        <v>12450.689999999999</v>
      </c>
      <c r="K29" s="23">
        <f t="shared" si="1"/>
        <v>55475.920000000006</v>
      </c>
    </row>
    <row r="30" spans="2:11" ht="18.75" x14ac:dyDescent="0.3">
      <c r="B30" s="63">
        <v>44112</v>
      </c>
      <c r="C30" s="20" t="s">
        <v>760</v>
      </c>
      <c r="D30" s="21"/>
      <c r="E30" s="21"/>
      <c r="F30" s="21"/>
      <c r="G30" s="21"/>
      <c r="H30" s="21">
        <v>112.98</v>
      </c>
      <c r="I30" s="22"/>
      <c r="J30" s="23">
        <f t="shared" si="0"/>
        <v>12450.689999999999</v>
      </c>
      <c r="K30" s="23">
        <f t="shared" si="1"/>
        <v>55362.94</v>
      </c>
    </row>
    <row r="31" spans="2:11" ht="18.75" x14ac:dyDescent="0.3">
      <c r="B31" s="63">
        <v>44112</v>
      </c>
      <c r="C31" s="20" t="s">
        <v>761</v>
      </c>
      <c r="D31" s="21"/>
      <c r="E31" s="21"/>
      <c r="F31" s="21"/>
      <c r="G31" s="21"/>
      <c r="H31" s="21">
        <v>105</v>
      </c>
      <c r="I31" s="22"/>
      <c r="J31" s="23">
        <f t="shared" si="0"/>
        <v>12450.689999999999</v>
      </c>
      <c r="K31" s="23">
        <f t="shared" si="1"/>
        <v>55257.94</v>
      </c>
    </row>
    <row r="32" spans="2:11" ht="18.75" x14ac:dyDescent="0.3">
      <c r="B32" s="63">
        <v>44113</v>
      </c>
      <c r="C32" s="24" t="s">
        <v>762</v>
      </c>
      <c r="D32" s="21"/>
      <c r="E32" s="21"/>
      <c r="F32" s="21"/>
      <c r="G32" s="21"/>
      <c r="H32" s="21">
        <v>778</v>
      </c>
      <c r="I32" s="22"/>
      <c r="J32" s="23">
        <f t="shared" si="0"/>
        <v>12450.689999999999</v>
      </c>
      <c r="K32" s="23">
        <f t="shared" si="1"/>
        <v>54479.94</v>
      </c>
    </row>
    <row r="33" spans="2:11" ht="18.75" x14ac:dyDescent="0.3">
      <c r="B33" s="63">
        <v>44113</v>
      </c>
      <c r="C33" s="20" t="s">
        <v>409</v>
      </c>
      <c r="D33" s="21"/>
      <c r="E33" s="21"/>
      <c r="F33" s="21"/>
      <c r="G33" s="21"/>
      <c r="H33" s="21">
        <v>82</v>
      </c>
      <c r="I33" s="22"/>
      <c r="J33" s="23">
        <f t="shared" si="0"/>
        <v>12450.689999999999</v>
      </c>
      <c r="K33" s="23">
        <f t="shared" si="1"/>
        <v>54397.94</v>
      </c>
    </row>
    <row r="34" spans="2:11" ht="18.75" x14ac:dyDescent="0.3">
      <c r="B34" s="63">
        <v>44114</v>
      </c>
      <c r="C34" s="20" t="s">
        <v>763</v>
      </c>
      <c r="D34" s="21"/>
      <c r="E34" s="21"/>
      <c r="F34" s="21"/>
      <c r="G34" s="21"/>
      <c r="H34" s="21">
        <v>600</v>
      </c>
      <c r="I34" s="22"/>
      <c r="J34" s="23">
        <f t="shared" si="0"/>
        <v>12450.689999999999</v>
      </c>
      <c r="K34" s="23">
        <f t="shared" si="1"/>
        <v>53797.94</v>
      </c>
    </row>
    <row r="35" spans="2:11" ht="18.75" x14ac:dyDescent="0.3">
      <c r="B35" s="63">
        <v>44115</v>
      </c>
      <c r="C35" s="20" t="s">
        <v>764</v>
      </c>
      <c r="D35" s="21"/>
      <c r="E35" s="21"/>
      <c r="F35" s="21"/>
      <c r="G35" s="21"/>
      <c r="H35" s="21">
        <v>80</v>
      </c>
      <c r="I35" s="22"/>
      <c r="J35" s="23">
        <f t="shared" si="0"/>
        <v>12450.689999999999</v>
      </c>
      <c r="K35" s="23">
        <f t="shared" si="1"/>
        <v>53717.94</v>
      </c>
    </row>
    <row r="36" spans="2:11" ht="18.75" x14ac:dyDescent="0.3">
      <c r="B36" s="63">
        <v>44115</v>
      </c>
      <c r="C36" s="58" t="s">
        <v>765</v>
      </c>
      <c r="D36" s="21"/>
      <c r="E36" s="21"/>
      <c r="F36" s="21"/>
      <c r="G36" s="21"/>
      <c r="H36" s="21">
        <v>100</v>
      </c>
      <c r="I36" s="22"/>
      <c r="J36" s="23">
        <f t="shared" si="0"/>
        <v>12450.689999999999</v>
      </c>
      <c r="K36" s="23">
        <f t="shared" si="1"/>
        <v>53617.94</v>
      </c>
    </row>
    <row r="37" spans="2:11" ht="18.75" x14ac:dyDescent="0.3">
      <c r="B37" s="63">
        <v>44115</v>
      </c>
      <c r="C37" s="36" t="s">
        <v>766</v>
      </c>
      <c r="D37" s="21"/>
      <c r="E37" s="21"/>
      <c r="F37" s="21"/>
      <c r="G37" s="21"/>
      <c r="H37" s="57">
        <v>200</v>
      </c>
      <c r="I37" s="22"/>
      <c r="J37" s="23">
        <f t="shared" si="0"/>
        <v>12450.689999999999</v>
      </c>
      <c r="K37" s="23">
        <f t="shared" si="1"/>
        <v>53417.94</v>
      </c>
    </row>
    <row r="38" spans="2:11" ht="18.75" x14ac:dyDescent="0.3">
      <c r="B38" s="63">
        <v>44115</v>
      </c>
      <c r="C38" s="27" t="s">
        <v>767</v>
      </c>
      <c r="D38" s="21"/>
      <c r="E38" s="21"/>
      <c r="F38" s="21"/>
      <c r="G38" s="21"/>
      <c r="H38" s="21">
        <v>500</v>
      </c>
      <c r="I38" s="22"/>
      <c r="J38" s="23">
        <f t="shared" si="0"/>
        <v>12450.689999999999</v>
      </c>
      <c r="K38" s="23">
        <f t="shared" si="1"/>
        <v>52917.94</v>
      </c>
    </row>
    <row r="39" spans="2:11" ht="18.75" x14ac:dyDescent="0.3">
      <c r="B39" s="63">
        <v>44115</v>
      </c>
      <c r="C39" s="20" t="s">
        <v>768</v>
      </c>
      <c r="D39" s="21">
        <v>25600</v>
      </c>
      <c r="E39" s="21"/>
      <c r="F39" s="21"/>
      <c r="G39" s="21"/>
      <c r="H39" s="21"/>
      <c r="I39" s="22"/>
      <c r="J39" s="23">
        <f t="shared" si="0"/>
        <v>12450.689999999999</v>
      </c>
      <c r="K39" s="23">
        <f t="shared" si="1"/>
        <v>78517.94</v>
      </c>
    </row>
    <row r="40" spans="2:11" ht="18.75" x14ac:dyDescent="0.3">
      <c r="B40" s="63">
        <v>44116</v>
      </c>
      <c r="C40" s="36" t="s">
        <v>769</v>
      </c>
      <c r="D40" s="21"/>
      <c r="E40" s="21"/>
      <c r="F40" s="21"/>
      <c r="G40" s="21"/>
      <c r="H40" s="57">
        <v>850</v>
      </c>
      <c r="I40" s="22"/>
      <c r="J40" s="23">
        <f t="shared" si="0"/>
        <v>12450.689999999999</v>
      </c>
      <c r="K40" s="23">
        <f t="shared" si="1"/>
        <v>77667.94</v>
      </c>
    </row>
    <row r="41" spans="2:11" ht="18.75" x14ac:dyDescent="0.3">
      <c r="B41" s="63">
        <v>44116</v>
      </c>
      <c r="C41" s="20" t="s">
        <v>732</v>
      </c>
      <c r="D41" s="21"/>
      <c r="E41" s="21"/>
      <c r="F41" s="21"/>
      <c r="G41" s="21"/>
      <c r="H41" s="57">
        <v>9200</v>
      </c>
      <c r="I41" s="22"/>
      <c r="J41" s="23">
        <f t="shared" si="0"/>
        <v>12450.689999999999</v>
      </c>
      <c r="K41" s="23">
        <f t="shared" si="1"/>
        <v>68467.94</v>
      </c>
    </row>
    <row r="42" spans="2:11" ht="18.75" x14ac:dyDescent="0.3">
      <c r="B42" s="63">
        <v>44116</v>
      </c>
      <c r="C42" s="24" t="s">
        <v>733</v>
      </c>
      <c r="D42" s="21"/>
      <c r="E42" s="21"/>
      <c r="F42" s="21"/>
      <c r="G42" s="21"/>
      <c r="H42" s="57">
        <v>1200</v>
      </c>
      <c r="I42" s="22"/>
      <c r="J42" s="23">
        <f t="shared" si="0"/>
        <v>12450.689999999999</v>
      </c>
      <c r="K42" s="23">
        <f t="shared" si="1"/>
        <v>67267.94</v>
      </c>
    </row>
    <row r="43" spans="2:11" ht="18.75" x14ac:dyDescent="0.3">
      <c r="B43" s="63">
        <v>44116</v>
      </c>
      <c r="C43" s="74" t="s">
        <v>782</v>
      </c>
      <c r="D43" s="21"/>
      <c r="E43" s="21"/>
      <c r="F43" s="21"/>
      <c r="G43" s="21"/>
      <c r="H43" s="57">
        <v>300</v>
      </c>
      <c r="I43" s="22"/>
      <c r="J43" s="23">
        <f t="shared" si="0"/>
        <v>12450.689999999999</v>
      </c>
      <c r="K43" s="23">
        <f t="shared" si="1"/>
        <v>66967.94</v>
      </c>
    </row>
    <row r="44" spans="2:11" ht="18.75" x14ac:dyDescent="0.3">
      <c r="B44" s="63">
        <v>44116</v>
      </c>
      <c r="C44" s="20" t="s">
        <v>770</v>
      </c>
      <c r="D44" s="21"/>
      <c r="E44" s="21"/>
      <c r="F44" s="21"/>
      <c r="G44" s="21"/>
      <c r="H44" s="57">
        <v>52</v>
      </c>
      <c r="I44" s="22"/>
      <c r="J44" s="23">
        <f t="shared" si="0"/>
        <v>12450.689999999999</v>
      </c>
      <c r="K44" s="23">
        <f t="shared" si="1"/>
        <v>66915.94</v>
      </c>
    </row>
    <row r="45" spans="2:11" ht="18.75" x14ac:dyDescent="0.3">
      <c r="B45" s="63">
        <v>44118</v>
      </c>
      <c r="C45" s="24" t="s">
        <v>789</v>
      </c>
      <c r="D45" s="21"/>
      <c r="E45" s="21">
        <v>10440</v>
      </c>
      <c r="F45" s="21"/>
      <c r="G45" s="21"/>
      <c r="H45" s="57"/>
      <c r="I45" s="22"/>
      <c r="J45" s="23">
        <f t="shared" si="0"/>
        <v>22890.69</v>
      </c>
      <c r="K45" s="23">
        <f t="shared" si="1"/>
        <v>66915.94</v>
      </c>
    </row>
    <row r="46" spans="2:11" ht="18.75" x14ac:dyDescent="0.3">
      <c r="B46" s="63">
        <v>44119</v>
      </c>
      <c r="C46" s="24" t="s">
        <v>702</v>
      </c>
      <c r="D46" s="21"/>
      <c r="E46" s="21"/>
      <c r="F46" s="21"/>
      <c r="G46" s="21"/>
      <c r="H46" s="57">
        <v>300</v>
      </c>
      <c r="I46" s="22"/>
      <c r="J46" s="23">
        <f t="shared" si="0"/>
        <v>22890.69</v>
      </c>
      <c r="K46" s="23">
        <f t="shared" si="1"/>
        <v>66615.94</v>
      </c>
    </row>
    <row r="47" spans="2:11" ht="18.75" x14ac:dyDescent="0.3">
      <c r="B47" s="63">
        <v>44119</v>
      </c>
      <c r="C47" s="24" t="s">
        <v>741</v>
      </c>
      <c r="D47" s="21"/>
      <c r="E47" s="21"/>
      <c r="F47" s="21"/>
      <c r="G47" s="21"/>
      <c r="H47" s="57">
        <v>650</v>
      </c>
      <c r="I47" s="22"/>
      <c r="J47" s="23">
        <f t="shared" si="0"/>
        <v>22890.69</v>
      </c>
      <c r="K47" s="23">
        <f t="shared" si="1"/>
        <v>65965.94</v>
      </c>
    </row>
    <row r="48" spans="2:11" ht="18.75" x14ac:dyDescent="0.3">
      <c r="B48" s="63">
        <v>44119</v>
      </c>
      <c r="C48" s="24" t="s">
        <v>771</v>
      </c>
      <c r="D48" s="21"/>
      <c r="E48" s="21"/>
      <c r="F48" s="21"/>
      <c r="G48" s="21"/>
      <c r="H48" s="57">
        <v>290</v>
      </c>
      <c r="I48" s="22"/>
      <c r="J48" s="23">
        <f t="shared" si="0"/>
        <v>22890.69</v>
      </c>
      <c r="K48" s="23">
        <f t="shared" si="1"/>
        <v>65675.94</v>
      </c>
    </row>
    <row r="49" spans="2:11" ht="18.75" x14ac:dyDescent="0.3">
      <c r="B49" s="63">
        <v>44119</v>
      </c>
      <c r="C49" s="36" t="s">
        <v>422</v>
      </c>
      <c r="D49" s="21"/>
      <c r="E49" s="21"/>
      <c r="F49" s="21"/>
      <c r="G49" s="21"/>
      <c r="H49" s="57">
        <v>1700</v>
      </c>
      <c r="I49" s="22"/>
      <c r="J49" s="23">
        <f t="shared" si="0"/>
        <v>22890.69</v>
      </c>
      <c r="K49" s="23">
        <f t="shared" si="1"/>
        <v>63975.94</v>
      </c>
    </row>
    <row r="50" spans="2:11" ht="18.75" x14ac:dyDescent="0.3">
      <c r="B50" s="63">
        <v>44119</v>
      </c>
      <c r="C50" s="24" t="s">
        <v>698</v>
      </c>
      <c r="D50" s="21"/>
      <c r="E50" s="21"/>
      <c r="F50" s="21"/>
      <c r="G50" s="21"/>
      <c r="H50" s="57">
        <v>1000</v>
      </c>
      <c r="I50" s="22"/>
      <c r="J50" s="23">
        <f t="shared" si="0"/>
        <v>22890.69</v>
      </c>
      <c r="K50" s="23">
        <f t="shared" si="1"/>
        <v>62975.94</v>
      </c>
    </row>
    <row r="51" spans="2:11" ht="19.5" thickBot="1" x14ac:dyDescent="0.35">
      <c r="B51" s="63">
        <v>44119</v>
      </c>
      <c r="C51" s="24" t="s">
        <v>363</v>
      </c>
      <c r="D51" s="37"/>
      <c r="E51" s="21"/>
      <c r="F51" s="21"/>
      <c r="G51" s="21"/>
      <c r="H51" s="57">
        <v>3200</v>
      </c>
      <c r="I51" s="22"/>
      <c r="J51" s="23">
        <f t="shared" si="0"/>
        <v>22890.69</v>
      </c>
      <c r="K51" s="23">
        <f t="shared" si="1"/>
        <v>59775.94</v>
      </c>
    </row>
    <row r="52" spans="2:11" ht="19.5" thickBot="1" x14ac:dyDescent="0.35">
      <c r="B52" s="65"/>
      <c r="C52" s="29" t="s">
        <v>0</v>
      </c>
      <c r="D52" s="40">
        <f>SUM(D4:D51)</f>
        <v>77200</v>
      </c>
      <c r="E52" s="66">
        <f>SUM(E4:E51)</f>
        <v>17940.830000000002</v>
      </c>
      <c r="F52" s="32">
        <f>SUM(D52:E52)</f>
        <v>95140.83</v>
      </c>
      <c r="G52" s="67">
        <f>SUM(G4:G51)</f>
        <v>0</v>
      </c>
      <c r="H52" s="30">
        <f>SUM(H4:H51)</f>
        <v>29697.5</v>
      </c>
      <c r="I52" s="32">
        <f>SUM(G52:H52)</f>
        <v>29697.5</v>
      </c>
      <c r="J52" s="34"/>
      <c r="K52" s="34"/>
    </row>
    <row r="53" spans="2:11" ht="18.75" x14ac:dyDescent="0.3">
      <c r="B53" s="60" t="s">
        <v>1</v>
      </c>
      <c r="C53" s="9" t="s">
        <v>2</v>
      </c>
      <c r="D53" s="9" t="s">
        <v>3</v>
      </c>
      <c r="E53" s="9" t="s">
        <v>3</v>
      </c>
      <c r="F53" s="9" t="s">
        <v>8</v>
      </c>
      <c r="G53" s="9" t="s">
        <v>9</v>
      </c>
      <c r="H53" s="10" t="s">
        <v>9</v>
      </c>
      <c r="I53" s="10" t="s">
        <v>8</v>
      </c>
      <c r="J53" s="9" t="s">
        <v>7</v>
      </c>
      <c r="K53" s="10" t="s">
        <v>6</v>
      </c>
    </row>
    <row r="54" spans="2:11" ht="19.5" thickBot="1" x14ac:dyDescent="0.35">
      <c r="B54" s="61"/>
      <c r="C54" s="11"/>
      <c r="D54" s="11" t="s">
        <v>5</v>
      </c>
      <c r="E54" s="11" t="s">
        <v>7</v>
      </c>
      <c r="F54" s="11" t="s">
        <v>3</v>
      </c>
      <c r="G54" s="11" t="s">
        <v>7</v>
      </c>
      <c r="H54" s="12" t="s">
        <v>5</v>
      </c>
      <c r="I54" s="12" t="s">
        <v>4</v>
      </c>
      <c r="J54" s="11"/>
      <c r="K54" s="12"/>
    </row>
    <row r="55" spans="2:11" ht="19.5" thickBot="1" x14ac:dyDescent="0.35">
      <c r="B55" s="68"/>
      <c r="C55" s="41" t="s">
        <v>0</v>
      </c>
      <c r="D55" s="40">
        <v>77200</v>
      </c>
      <c r="E55" s="40">
        <v>17940.830000000002</v>
      </c>
      <c r="F55" s="40">
        <f>SUM(D55:E55)</f>
        <v>95140.83</v>
      </c>
      <c r="G55" s="40">
        <v>0</v>
      </c>
      <c r="H55" s="30">
        <v>29697.5</v>
      </c>
      <c r="I55" s="30">
        <f>SUM(G55:H55)</f>
        <v>29697.5</v>
      </c>
      <c r="J55" s="30">
        <v>22890.69</v>
      </c>
      <c r="K55" s="34">
        <v>59775.94</v>
      </c>
    </row>
    <row r="56" spans="2:11" ht="18.75" x14ac:dyDescent="0.3">
      <c r="B56" s="63">
        <v>44119</v>
      </c>
      <c r="C56" s="36" t="s">
        <v>151</v>
      </c>
      <c r="D56" s="55"/>
      <c r="E56" s="21"/>
      <c r="F56" s="21"/>
      <c r="G56" s="21"/>
      <c r="H56" s="21">
        <v>6000</v>
      </c>
      <c r="I56" s="22"/>
      <c r="J56" s="23">
        <f>+J55+E56-G56</f>
        <v>22890.69</v>
      </c>
      <c r="K56" s="23">
        <f>+K55+D56-H56</f>
        <v>53775.94</v>
      </c>
    </row>
    <row r="57" spans="2:11" ht="18.75" x14ac:dyDescent="0.3">
      <c r="B57" s="63">
        <v>44119</v>
      </c>
      <c r="C57" s="20" t="s">
        <v>772</v>
      </c>
      <c r="D57" s="21"/>
      <c r="E57" s="21"/>
      <c r="F57" s="21"/>
      <c r="G57" s="21"/>
      <c r="H57" s="21">
        <v>1200</v>
      </c>
      <c r="I57" s="22"/>
      <c r="J57" s="23">
        <f t="shared" ref="J57:J103" si="2">+J56+E57-G57</f>
        <v>22890.69</v>
      </c>
      <c r="K57" s="23">
        <f t="shared" ref="K57:K103" si="3">+K56+D57-H57</f>
        <v>52575.94</v>
      </c>
    </row>
    <row r="58" spans="2:11" ht="18.75" x14ac:dyDescent="0.3">
      <c r="B58" s="63">
        <v>44119</v>
      </c>
      <c r="C58" s="20" t="s">
        <v>773</v>
      </c>
      <c r="D58" s="21"/>
      <c r="E58" s="21"/>
      <c r="F58" s="21"/>
      <c r="G58" s="21"/>
      <c r="H58" s="21">
        <v>4500</v>
      </c>
      <c r="I58" s="22"/>
      <c r="J58" s="23">
        <f t="shared" si="2"/>
        <v>22890.69</v>
      </c>
      <c r="K58" s="23">
        <f t="shared" si="3"/>
        <v>48075.94</v>
      </c>
    </row>
    <row r="59" spans="2:11" ht="18.75" x14ac:dyDescent="0.3">
      <c r="B59" s="63">
        <v>44119</v>
      </c>
      <c r="C59" s="48" t="s">
        <v>774</v>
      </c>
      <c r="D59" s="21"/>
      <c r="E59" s="21"/>
      <c r="F59" s="21"/>
      <c r="G59" s="21"/>
      <c r="H59" s="21">
        <v>23750</v>
      </c>
      <c r="I59" s="22"/>
      <c r="J59" s="23">
        <f t="shared" si="2"/>
        <v>22890.69</v>
      </c>
      <c r="K59" s="23">
        <f t="shared" si="3"/>
        <v>24325.940000000002</v>
      </c>
    </row>
    <row r="60" spans="2:11" ht="18.75" x14ac:dyDescent="0.3">
      <c r="B60" s="63">
        <v>44119</v>
      </c>
      <c r="C60" s="48" t="s">
        <v>775</v>
      </c>
      <c r="D60" s="21"/>
      <c r="E60" s="21"/>
      <c r="F60" s="21"/>
      <c r="G60" s="21">
        <v>10000</v>
      </c>
      <c r="H60" s="21"/>
      <c r="I60" s="22"/>
      <c r="J60" s="23">
        <f t="shared" si="2"/>
        <v>12890.689999999999</v>
      </c>
      <c r="K60" s="23">
        <f t="shared" si="3"/>
        <v>24325.940000000002</v>
      </c>
    </row>
    <row r="61" spans="2:11" ht="18.75" x14ac:dyDescent="0.3">
      <c r="B61" s="63">
        <v>44119</v>
      </c>
      <c r="C61" s="48" t="s">
        <v>299</v>
      </c>
      <c r="D61" s="37"/>
      <c r="E61" s="37"/>
      <c r="F61" s="37"/>
      <c r="G61" s="37"/>
      <c r="H61" s="21">
        <v>5400</v>
      </c>
      <c r="I61" s="22"/>
      <c r="J61" s="23">
        <f t="shared" si="2"/>
        <v>12890.689999999999</v>
      </c>
      <c r="K61" s="23">
        <f t="shared" si="3"/>
        <v>18925.940000000002</v>
      </c>
    </row>
    <row r="62" spans="2:11" ht="18.75" x14ac:dyDescent="0.3">
      <c r="B62" s="63">
        <v>44120</v>
      </c>
      <c r="C62" s="74" t="s">
        <v>776</v>
      </c>
      <c r="D62" s="21"/>
      <c r="E62" s="21"/>
      <c r="F62" s="21"/>
      <c r="G62" s="21"/>
      <c r="H62" s="21">
        <v>250</v>
      </c>
      <c r="I62" s="22"/>
      <c r="J62" s="23">
        <f t="shared" si="2"/>
        <v>12890.689999999999</v>
      </c>
      <c r="K62" s="23">
        <f t="shared" si="3"/>
        <v>18675.940000000002</v>
      </c>
    </row>
    <row r="63" spans="2:11" ht="18.75" x14ac:dyDescent="0.3">
      <c r="B63" s="63">
        <v>44120</v>
      </c>
      <c r="C63" s="74" t="s">
        <v>786</v>
      </c>
      <c r="D63" s="21"/>
      <c r="E63" s="21"/>
      <c r="F63" s="21"/>
      <c r="G63" s="21"/>
      <c r="H63" s="21">
        <v>500</v>
      </c>
      <c r="I63" s="22"/>
      <c r="J63" s="23">
        <f t="shared" si="2"/>
        <v>12890.689999999999</v>
      </c>
      <c r="K63" s="23">
        <f t="shared" si="3"/>
        <v>18175.940000000002</v>
      </c>
    </row>
    <row r="64" spans="2:11" ht="18.75" x14ac:dyDescent="0.3">
      <c r="B64" s="63">
        <v>44120</v>
      </c>
      <c r="C64" s="24" t="s">
        <v>417</v>
      </c>
      <c r="D64" s="37"/>
      <c r="E64" s="37"/>
      <c r="F64" s="37"/>
      <c r="G64" s="21"/>
      <c r="H64" s="21">
        <v>164</v>
      </c>
      <c r="I64" s="22"/>
      <c r="J64" s="23">
        <f t="shared" si="2"/>
        <v>12890.689999999999</v>
      </c>
      <c r="K64" s="23">
        <f t="shared" si="3"/>
        <v>18011.940000000002</v>
      </c>
    </row>
    <row r="65" spans="2:12" ht="18.75" x14ac:dyDescent="0.3">
      <c r="B65" s="63">
        <v>44122</v>
      </c>
      <c r="C65" s="58" t="s">
        <v>777</v>
      </c>
      <c r="D65" s="37"/>
      <c r="E65" s="37"/>
      <c r="F65" s="37"/>
      <c r="G65" s="69"/>
      <c r="H65" s="21">
        <v>100</v>
      </c>
      <c r="I65" s="22"/>
      <c r="J65" s="23">
        <f t="shared" si="2"/>
        <v>12890.689999999999</v>
      </c>
      <c r="K65" s="23">
        <f t="shared" si="3"/>
        <v>17911.940000000002</v>
      </c>
    </row>
    <row r="66" spans="2:12" ht="18.75" x14ac:dyDescent="0.3">
      <c r="B66" s="63">
        <v>44122</v>
      </c>
      <c r="C66" s="36" t="s">
        <v>778</v>
      </c>
      <c r="D66" s="21"/>
      <c r="E66" s="21"/>
      <c r="F66" s="21"/>
      <c r="G66" s="21"/>
      <c r="H66" s="57">
        <v>200</v>
      </c>
      <c r="I66" s="22"/>
      <c r="J66" s="23">
        <f t="shared" si="2"/>
        <v>12890.689999999999</v>
      </c>
      <c r="K66" s="23">
        <f t="shared" si="3"/>
        <v>17711.940000000002</v>
      </c>
    </row>
    <row r="67" spans="2:12" ht="18.75" x14ac:dyDescent="0.3">
      <c r="B67" s="63">
        <v>44122</v>
      </c>
      <c r="C67" s="20" t="s">
        <v>779</v>
      </c>
      <c r="D67" s="21"/>
      <c r="E67" s="21"/>
      <c r="F67" s="21"/>
      <c r="G67" s="21"/>
      <c r="H67" s="57">
        <v>80</v>
      </c>
      <c r="I67" s="22"/>
      <c r="J67" s="23">
        <f t="shared" si="2"/>
        <v>12890.689999999999</v>
      </c>
      <c r="K67" s="23">
        <f t="shared" si="3"/>
        <v>17631.940000000002</v>
      </c>
    </row>
    <row r="68" spans="2:12" ht="18.75" x14ac:dyDescent="0.3">
      <c r="B68" s="63">
        <v>44122</v>
      </c>
      <c r="C68" s="20" t="s">
        <v>780</v>
      </c>
      <c r="D68" s="21"/>
      <c r="E68" s="21"/>
      <c r="F68" s="21"/>
      <c r="G68" s="21"/>
      <c r="H68" s="21">
        <v>100</v>
      </c>
      <c r="I68" s="22"/>
      <c r="J68" s="23">
        <f t="shared" si="2"/>
        <v>12890.689999999999</v>
      </c>
      <c r="K68" s="23">
        <f t="shared" si="3"/>
        <v>17531.940000000002</v>
      </c>
    </row>
    <row r="69" spans="2:12" ht="18.75" x14ac:dyDescent="0.3">
      <c r="B69" s="63">
        <v>44122</v>
      </c>
      <c r="C69" s="24" t="s">
        <v>781</v>
      </c>
      <c r="D69" s="21">
        <v>37900</v>
      </c>
      <c r="E69" s="21"/>
      <c r="F69" s="21"/>
      <c r="G69" s="21"/>
      <c r="H69" s="21"/>
      <c r="I69" s="22"/>
      <c r="J69" s="23">
        <f t="shared" si="2"/>
        <v>12890.689999999999</v>
      </c>
      <c r="K69" s="23">
        <f t="shared" si="3"/>
        <v>55431.94</v>
      </c>
    </row>
    <row r="70" spans="2:12" ht="18.75" x14ac:dyDescent="0.3">
      <c r="B70" s="62">
        <v>44123</v>
      </c>
      <c r="C70" s="74" t="s">
        <v>784</v>
      </c>
      <c r="D70" s="17"/>
      <c r="E70" s="17"/>
      <c r="F70" s="17"/>
      <c r="G70" s="17"/>
      <c r="H70" s="17">
        <v>300</v>
      </c>
      <c r="I70" s="22"/>
      <c r="J70" s="23">
        <f t="shared" si="2"/>
        <v>12890.689999999999</v>
      </c>
      <c r="K70" s="23">
        <f t="shared" si="3"/>
        <v>55131.94</v>
      </c>
    </row>
    <row r="71" spans="2:12" ht="18.75" x14ac:dyDescent="0.3">
      <c r="B71" s="63">
        <v>44124</v>
      </c>
      <c r="C71" s="74" t="s">
        <v>790</v>
      </c>
      <c r="D71" s="21"/>
      <c r="E71" s="21"/>
      <c r="F71" s="21"/>
      <c r="G71" s="21">
        <v>1760</v>
      </c>
      <c r="H71" s="21"/>
      <c r="I71" s="22"/>
      <c r="J71" s="23">
        <f t="shared" si="2"/>
        <v>11130.689999999999</v>
      </c>
      <c r="K71" s="23">
        <f t="shared" si="3"/>
        <v>55131.94</v>
      </c>
    </row>
    <row r="72" spans="2:12" ht="18.75" x14ac:dyDescent="0.3">
      <c r="B72" s="63">
        <v>44124</v>
      </c>
      <c r="C72" s="74" t="s">
        <v>791</v>
      </c>
      <c r="D72" s="21"/>
      <c r="E72" s="21"/>
      <c r="F72" s="21"/>
      <c r="G72" s="21">
        <v>1600</v>
      </c>
      <c r="H72" s="21"/>
      <c r="I72" s="22"/>
      <c r="J72" s="23">
        <f t="shared" si="2"/>
        <v>9530.6899999999987</v>
      </c>
      <c r="K72" s="23">
        <f t="shared" si="3"/>
        <v>55131.94</v>
      </c>
    </row>
    <row r="73" spans="2:12" ht="18.75" x14ac:dyDescent="0.3">
      <c r="B73" s="63">
        <v>44124</v>
      </c>
      <c r="C73" s="24" t="s">
        <v>759</v>
      </c>
      <c r="D73" s="21"/>
      <c r="E73" s="21"/>
      <c r="F73" s="21"/>
      <c r="G73" s="21"/>
      <c r="H73" s="21">
        <v>495</v>
      </c>
      <c r="I73" s="22"/>
      <c r="J73" s="23">
        <f t="shared" si="2"/>
        <v>9530.6899999999987</v>
      </c>
      <c r="K73" s="23">
        <f t="shared" si="3"/>
        <v>54636.94</v>
      </c>
      <c r="L73" s="1"/>
    </row>
    <row r="74" spans="2:12" ht="18.75" x14ac:dyDescent="0.3">
      <c r="B74" s="63">
        <v>44124</v>
      </c>
      <c r="C74" s="24" t="s">
        <v>815</v>
      </c>
      <c r="D74" s="21"/>
      <c r="E74" s="21"/>
      <c r="F74" s="21"/>
      <c r="G74" s="21"/>
      <c r="H74" s="21">
        <v>500</v>
      </c>
      <c r="I74" s="22"/>
      <c r="J74" s="23">
        <f t="shared" si="2"/>
        <v>9530.6899999999987</v>
      </c>
      <c r="K74" s="23">
        <f t="shared" si="3"/>
        <v>54136.94</v>
      </c>
      <c r="L74" s="1"/>
    </row>
    <row r="75" spans="2:12" ht="18.75" x14ac:dyDescent="0.3">
      <c r="B75" s="63">
        <v>44124</v>
      </c>
      <c r="C75" s="24" t="s">
        <v>783</v>
      </c>
      <c r="D75" s="21"/>
      <c r="E75" s="21"/>
      <c r="F75" s="21"/>
      <c r="G75" s="21"/>
      <c r="H75" s="21">
        <v>200</v>
      </c>
      <c r="I75" s="22"/>
      <c r="J75" s="23">
        <f t="shared" si="2"/>
        <v>9530.6899999999987</v>
      </c>
      <c r="K75" s="23">
        <f t="shared" si="3"/>
        <v>53936.94</v>
      </c>
      <c r="L75" s="1"/>
    </row>
    <row r="76" spans="2:12" ht="18.75" x14ac:dyDescent="0.3">
      <c r="B76" s="63">
        <v>44127</v>
      </c>
      <c r="C76" s="20" t="s">
        <v>787</v>
      </c>
      <c r="D76" s="37"/>
      <c r="E76" s="37"/>
      <c r="F76" s="37"/>
      <c r="G76" s="21"/>
      <c r="H76" s="21">
        <v>41</v>
      </c>
      <c r="I76" s="22"/>
      <c r="J76" s="23">
        <f t="shared" si="2"/>
        <v>9530.6899999999987</v>
      </c>
      <c r="K76" s="23">
        <f t="shared" si="3"/>
        <v>53895.94</v>
      </c>
    </row>
    <row r="77" spans="2:12" ht="18.75" x14ac:dyDescent="0.3">
      <c r="B77" s="63">
        <v>44129</v>
      </c>
      <c r="C77" s="58" t="s">
        <v>849</v>
      </c>
      <c r="D77" s="37"/>
      <c r="E77" s="37"/>
      <c r="F77" s="37"/>
      <c r="G77" s="21"/>
      <c r="H77" s="21">
        <v>100</v>
      </c>
      <c r="I77" s="22"/>
      <c r="J77" s="23">
        <f t="shared" si="2"/>
        <v>9530.6899999999987</v>
      </c>
      <c r="K77" s="23">
        <f t="shared" si="3"/>
        <v>53795.94</v>
      </c>
    </row>
    <row r="78" spans="2:12" ht="18.75" x14ac:dyDescent="0.3">
      <c r="B78" s="63">
        <v>44129</v>
      </c>
      <c r="C78" s="36" t="s">
        <v>766</v>
      </c>
      <c r="D78" s="37"/>
      <c r="E78" s="37"/>
      <c r="F78" s="37"/>
      <c r="G78" s="21"/>
      <c r="H78" s="21">
        <v>200</v>
      </c>
      <c r="I78" s="22"/>
      <c r="J78" s="23">
        <f t="shared" si="2"/>
        <v>9530.6899999999987</v>
      </c>
      <c r="K78" s="23">
        <f t="shared" si="3"/>
        <v>53595.94</v>
      </c>
    </row>
    <row r="79" spans="2:12" ht="18.75" x14ac:dyDescent="0.3">
      <c r="B79" s="63">
        <v>44129</v>
      </c>
      <c r="C79" s="48" t="s">
        <v>758</v>
      </c>
      <c r="D79" s="37"/>
      <c r="E79" s="37"/>
      <c r="F79" s="37"/>
      <c r="G79" s="69"/>
      <c r="H79" s="21">
        <v>80</v>
      </c>
      <c r="I79" s="22"/>
      <c r="J79" s="23">
        <f t="shared" si="2"/>
        <v>9530.6899999999987</v>
      </c>
      <c r="K79" s="23">
        <f t="shared" si="3"/>
        <v>53515.94</v>
      </c>
    </row>
    <row r="80" spans="2:12" ht="18.75" x14ac:dyDescent="0.3">
      <c r="B80" s="63">
        <v>44129</v>
      </c>
      <c r="C80" s="74" t="s">
        <v>759</v>
      </c>
      <c r="D80" s="37"/>
      <c r="E80" s="37"/>
      <c r="F80" s="37"/>
      <c r="G80" s="69"/>
      <c r="H80" s="21">
        <v>500</v>
      </c>
      <c r="I80" s="22"/>
      <c r="J80" s="23">
        <f t="shared" si="2"/>
        <v>9530.6899999999987</v>
      </c>
      <c r="K80" s="23">
        <f t="shared" si="3"/>
        <v>53015.94</v>
      </c>
    </row>
    <row r="81" spans="2:12" ht="18.75" x14ac:dyDescent="0.3">
      <c r="B81" s="63">
        <v>44129</v>
      </c>
      <c r="C81" s="74" t="s">
        <v>340</v>
      </c>
      <c r="D81" s="21">
        <v>14250</v>
      </c>
      <c r="E81" s="37"/>
      <c r="F81" s="37"/>
      <c r="G81" s="69"/>
      <c r="H81" s="21"/>
      <c r="I81" s="22"/>
      <c r="J81" s="23">
        <f t="shared" si="2"/>
        <v>9530.6899999999987</v>
      </c>
      <c r="K81" s="23">
        <f t="shared" si="3"/>
        <v>67265.94</v>
      </c>
    </row>
    <row r="82" spans="2:12" ht="18.75" x14ac:dyDescent="0.3">
      <c r="B82" s="63">
        <v>44123</v>
      </c>
      <c r="C82" s="24" t="s">
        <v>795</v>
      </c>
      <c r="D82" s="21"/>
      <c r="E82" s="21">
        <v>500</v>
      </c>
      <c r="F82" s="21"/>
      <c r="G82" s="21"/>
      <c r="H82" s="21"/>
      <c r="I82" s="22"/>
      <c r="J82" s="23">
        <f t="shared" si="2"/>
        <v>10030.689999999999</v>
      </c>
      <c r="K82" s="23">
        <f t="shared" si="3"/>
        <v>67265.94</v>
      </c>
    </row>
    <row r="83" spans="2:12" ht="18.75" x14ac:dyDescent="0.3">
      <c r="B83" s="63">
        <v>44124</v>
      </c>
      <c r="C83" s="24" t="s">
        <v>796</v>
      </c>
      <c r="D83" s="37"/>
      <c r="E83" s="21">
        <v>250</v>
      </c>
      <c r="F83" s="21"/>
      <c r="G83" s="21"/>
      <c r="H83" s="21"/>
      <c r="I83" s="22"/>
      <c r="J83" s="23">
        <f t="shared" si="2"/>
        <v>10280.689999999999</v>
      </c>
      <c r="K83" s="23">
        <f t="shared" si="3"/>
        <v>67265.94</v>
      </c>
    </row>
    <row r="84" spans="2:12" ht="18.75" x14ac:dyDescent="0.3">
      <c r="B84" s="63">
        <v>44130</v>
      </c>
      <c r="C84" s="74" t="s">
        <v>414</v>
      </c>
      <c r="D84" s="37"/>
      <c r="E84" s="37"/>
      <c r="F84" s="37"/>
      <c r="G84" s="69"/>
      <c r="H84" s="21">
        <v>300</v>
      </c>
      <c r="I84" s="22"/>
      <c r="J84" s="23">
        <f t="shared" si="2"/>
        <v>10280.689999999999</v>
      </c>
      <c r="K84" s="23">
        <f t="shared" si="3"/>
        <v>66965.94</v>
      </c>
    </row>
    <row r="85" spans="2:12" ht="18.75" x14ac:dyDescent="0.3">
      <c r="B85" s="63">
        <v>44130</v>
      </c>
      <c r="C85" s="24" t="s">
        <v>788</v>
      </c>
      <c r="D85" s="21"/>
      <c r="E85" s="21"/>
      <c r="F85" s="21"/>
      <c r="G85" s="21"/>
      <c r="H85" s="21">
        <v>400</v>
      </c>
      <c r="I85" s="22"/>
      <c r="J85" s="23">
        <f t="shared" si="2"/>
        <v>10280.689999999999</v>
      </c>
      <c r="K85" s="23">
        <f t="shared" si="3"/>
        <v>66565.94</v>
      </c>
    </row>
    <row r="86" spans="2:12" ht="18.75" x14ac:dyDescent="0.3">
      <c r="B86" s="63">
        <v>44131</v>
      </c>
      <c r="C86" s="74" t="s">
        <v>672</v>
      </c>
      <c r="D86" s="37"/>
      <c r="E86" s="21"/>
      <c r="F86" s="21"/>
      <c r="G86" s="21"/>
      <c r="H86" s="21">
        <v>50</v>
      </c>
      <c r="I86" s="22"/>
      <c r="J86" s="23">
        <f t="shared" si="2"/>
        <v>10280.689999999999</v>
      </c>
      <c r="K86" s="23">
        <f t="shared" si="3"/>
        <v>66515.94</v>
      </c>
    </row>
    <row r="87" spans="2:12" ht="18.75" x14ac:dyDescent="0.3">
      <c r="B87" s="63">
        <v>44133</v>
      </c>
      <c r="C87" s="74" t="s">
        <v>672</v>
      </c>
      <c r="D87" s="37"/>
      <c r="E87" s="21"/>
      <c r="F87" s="21"/>
      <c r="G87" s="21"/>
      <c r="H87" s="21">
        <v>350</v>
      </c>
      <c r="I87" s="22"/>
      <c r="J87" s="23">
        <f t="shared" si="2"/>
        <v>10280.689999999999</v>
      </c>
      <c r="K87" s="23">
        <f t="shared" si="3"/>
        <v>66165.94</v>
      </c>
    </row>
    <row r="88" spans="2:12" ht="18.75" x14ac:dyDescent="0.3">
      <c r="B88" s="63">
        <v>44133</v>
      </c>
      <c r="C88" s="24" t="s">
        <v>798</v>
      </c>
      <c r="D88" s="37"/>
      <c r="E88" s="21"/>
      <c r="F88" s="21"/>
      <c r="G88" s="21"/>
      <c r="H88" s="21">
        <v>400</v>
      </c>
      <c r="I88" s="22"/>
      <c r="J88" s="23">
        <f t="shared" si="2"/>
        <v>10280.689999999999</v>
      </c>
      <c r="K88" s="23">
        <f t="shared" si="3"/>
        <v>65765.94</v>
      </c>
    </row>
    <row r="89" spans="2:12" ht="18.75" x14ac:dyDescent="0.3">
      <c r="B89" s="63">
        <v>44133</v>
      </c>
      <c r="C89" s="24" t="s">
        <v>801</v>
      </c>
      <c r="D89" s="37"/>
      <c r="E89" s="21"/>
      <c r="F89" s="21"/>
      <c r="G89" s="21"/>
      <c r="H89" s="21">
        <v>500</v>
      </c>
      <c r="I89" s="22"/>
      <c r="J89" s="23">
        <f t="shared" si="2"/>
        <v>10280.689999999999</v>
      </c>
      <c r="K89" s="23">
        <f t="shared" si="3"/>
        <v>65265.94</v>
      </c>
      <c r="L89" s="1"/>
    </row>
    <row r="90" spans="2:12" ht="18.75" x14ac:dyDescent="0.3">
      <c r="B90" s="63">
        <v>44134</v>
      </c>
      <c r="C90" s="24" t="s">
        <v>799</v>
      </c>
      <c r="D90" s="37"/>
      <c r="E90" s="21"/>
      <c r="F90" s="21"/>
      <c r="G90" s="21"/>
      <c r="H90" s="21">
        <v>123</v>
      </c>
      <c r="I90" s="22"/>
      <c r="J90" s="23">
        <f t="shared" si="2"/>
        <v>10280.689999999999</v>
      </c>
      <c r="K90" s="23">
        <f t="shared" si="3"/>
        <v>65142.94</v>
      </c>
    </row>
    <row r="91" spans="2:12" ht="18.75" x14ac:dyDescent="0.3">
      <c r="B91" s="63">
        <v>44134</v>
      </c>
      <c r="C91" s="36" t="s">
        <v>802</v>
      </c>
      <c r="D91" s="37"/>
      <c r="E91" s="21"/>
      <c r="F91" s="21"/>
      <c r="G91" s="21"/>
      <c r="H91" s="21">
        <v>750</v>
      </c>
      <c r="I91" s="22"/>
      <c r="J91" s="23">
        <f t="shared" si="2"/>
        <v>10280.689999999999</v>
      </c>
      <c r="K91" s="23">
        <f t="shared" si="3"/>
        <v>64392.94</v>
      </c>
    </row>
    <row r="92" spans="2:12" ht="18.75" x14ac:dyDescent="0.3">
      <c r="B92" s="63">
        <v>44134</v>
      </c>
      <c r="C92" s="24" t="s">
        <v>803</v>
      </c>
      <c r="D92" s="37"/>
      <c r="E92" s="21"/>
      <c r="F92" s="21"/>
      <c r="G92" s="21"/>
      <c r="H92" s="21">
        <v>500</v>
      </c>
      <c r="I92" s="22"/>
      <c r="J92" s="23">
        <f t="shared" si="2"/>
        <v>10280.689999999999</v>
      </c>
      <c r="K92" s="23">
        <f t="shared" si="3"/>
        <v>63892.94</v>
      </c>
    </row>
    <row r="93" spans="2:12" ht="18.75" x14ac:dyDescent="0.3">
      <c r="B93" s="63">
        <v>44135</v>
      </c>
      <c r="C93" s="24" t="s">
        <v>735</v>
      </c>
      <c r="D93" s="37"/>
      <c r="E93" s="21"/>
      <c r="F93" s="21"/>
      <c r="G93" s="21"/>
      <c r="H93" s="21">
        <v>300</v>
      </c>
      <c r="I93" s="22"/>
      <c r="J93" s="23">
        <f t="shared" si="2"/>
        <v>10280.689999999999</v>
      </c>
      <c r="K93" s="23">
        <f t="shared" si="3"/>
        <v>63592.94</v>
      </c>
    </row>
    <row r="94" spans="2:12" ht="18.75" x14ac:dyDescent="0.3">
      <c r="B94" s="63">
        <v>44135</v>
      </c>
      <c r="C94" s="24" t="s">
        <v>804</v>
      </c>
      <c r="D94" s="37"/>
      <c r="E94" s="21"/>
      <c r="F94" s="21"/>
      <c r="G94" s="21"/>
      <c r="H94" s="21">
        <v>555</v>
      </c>
      <c r="I94" s="22"/>
      <c r="J94" s="23">
        <f t="shared" si="2"/>
        <v>10280.689999999999</v>
      </c>
      <c r="K94" s="23">
        <f t="shared" si="3"/>
        <v>63037.94</v>
      </c>
    </row>
    <row r="95" spans="2:12" ht="18.75" x14ac:dyDescent="0.3">
      <c r="B95" s="63">
        <v>44135</v>
      </c>
      <c r="C95" s="36" t="s">
        <v>805</v>
      </c>
      <c r="D95" s="37"/>
      <c r="E95" s="21"/>
      <c r="F95" s="21"/>
      <c r="G95" s="21"/>
      <c r="H95" s="21">
        <v>450</v>
      </c>
      <c r="I95" s="22"/>
      <c r="J95" s="23">
        <f t="shared" si="2"/>
        <v>10280.689999999999</v>
      </c>
      <c r="K95" s="23">
        <f t="shared" si="3"/>
        <v>62587.94</v>
      </c>
      <c r="L95" s="1"/>
    </row>
    <row r="96" spans="2:12" ht="18.75" x14ac:dyDescent="0.3">
      <c r="B96" s="63">
        <v>44135</v>
      </c>
      <c r="C96" s="24" t="s">
        <v>806</v>
      </c>
      <c r="D96" s="37"/>
      <c r="E96" s="21"/>
      <c r="F96" s="21"/>
      <c r="G96" s="21"/>
      <c r="H96" s="21">
        <v>350</v>
      </c>
      <c r="I96" s="22"/>
      <c r="J96" s="23">
        <f t="shared" si="2"/>
        <v>10280.689999999999</v>
      </c>
      <c r="K96" s="23">
        <f t="shared" si="3"/>
        <v>62237.94</v>
      </c>
    </row>
    <row r="97" spans="2:13" ht="18.75" x14ac:dyDescent="0.3">
      <c r="B97" s="63">
        <v>44135</v>
      </c>
      <c r="C97" s="24" t="s">
        <v>736</v>
      </c>
      <c r="D97" s="37"/>
      <c r="E97" s="21"/>
      <c r="F97" s="21"/>
      <c r="G97" s="21"/>
      <c r="H97" s="21">
        <v>650</v>
      </c>
      <c r="I97" s="22"/>
      <c r="J97" s="23">
        <f t="shared" si="2"/>
        <v>10280.689999999999</v>
      </c>
      <c r="K97" s="23">
        <f t="shared" si="3"/>
        <v>61587.94</v>
      </c>
      <c r="L97" s="5"/>
    </row>
    <row r="98" spans="2:13" ht="18.75" x14ac:dyDescent="0.3">
      <c r="B98" s="63">
        <v>44135</v>
      </c>
      <c r="C98" s="36" t="s">
        <v>422</v>
      </c>
      <c r="D98" s="37"/>
      <c r="E98" s="21"/>
      <c r="F98" s="21"/>
      <c r="G98" s="21"/>
      <c r="H98" s="21">
        <v>500</v>
      </c>
      <c r="I98" s="22"/>
      <c r="J98" s="23">
        <f t="shared" si="2"/>
        <v>10280.689999999999</v>
      </c>
      <c r="K98" s="23">
        <f t="shared" si="3"/>
        <v>61087.94</v>
      </c>
    </row>
    <row r="99" spans="2:13" ht="18.75" x14ac:dyDescent="0.3">
      <c r="B99" s="63">
        <v>44135</v>
      </c>
      <c r="C99" s="24" t="s">
        <v>877</v>
      </c>
      <c r="D99" s="37"/>
      <c r="E99" s="21"/>
      <c r="F99" s="21"/>
      <c r="G99" s="21"/>
      <c r="H99" s="21">
        <v>1000</v>
      </c>
      <c r="I99" s="22"/>
      <c r="J99" s="23">
        <f t="shared" si="2"/>
        <v>10280.689999999999</v>
      </c>
      <c r="K99" s="23">
        <f t="shared" si="3"/>
        <v>60087.94</v>
      </c>
    </row>
    <row r="100" spans="2:13" ht="18.75" x14ac:dyDescent="0.3">
      <c r="B100" s="63">
        <v>44135</v>
      </c>
      <c r="C100" s="24" t="s">
        <v>638</v>
      </c>
      <c r="D100" s="21"/>
      <c r="E100" s="21"/>
      <c r="F100" s="21"/>
      <c r="G100" s="21"/>
      <c r="H100" s="21">
        <v>3200</v>
      </c>
      <c r="I100" s="22"/>
      <c r="J100" s="23">
        <f t="shared" si="2"/>
        <v>10280.689999999999</v>
      </c>
      <c r="K100" s="23">
        <f t="shared" si="3"/>
        <v>56887.94</v>
      </c>
    </row>
    <row r="101" spans="2:13" ht="18.75" x14ac:dyDescent="0.3">
      <c r="B101" s="63">
        <v>44135</v>
      </c>
      <c r="C101" s="48" t="s">
        <v>362</v>
      </c>
      <c r="D101" s="21"/>
      <c r="E101" s="21"/>
      <c r="F101" s="21"/>
      <c r="G101" s="21"/>
      <c r="H101" s="21">
        <v>3000</v>
      </c>
      <c r="I101" s="22"/>
      <c r="J101" s="23">
        <f t="shared" si="2"/>
        <v>10280.689999999999</v>
      </c>
      <c r="K101" s="23">
        <f t="shared" si="3"/>
        <v>53887.94</v>
      </c>
    </row>
    <row r="102" spans="2:13" ht="18.75" x14ac:dyDescent="0.3">
      <c r="B102" s="63">
        <v>44135</v>
      </c>
      <c r="C102" s="58" t="s">
        <v>351</v>
      </c>
      <c r="D102" s="21"/>
      <c r="E102" s="21"/>
      <c r="F102" s="21"/>
      <c r="G102" s="21"/>
      <c r="H102" s="21">
        <v>4000</v>
      </c>
      <c r="I102" s="22"/>
      <c r="J102" s="23">
        <f t="shared" si="2"/>
        <v>10280.689999999999</v>
      </c>
      <c r="K102" s="23">
        <f t="shared" si="3"/>
        <v>49887.94</v>
      </c>
    </row>
    <row r="103" spans="2:13" ht="19.5" thickBot="1" x14ac:dyDescent="0.35">
      <c r="B103" s="63">
        <v>44135</v>
      </c>
      <c r="C103" s="27" t="s">
        <v>478</v>
      </c>
      <c r="D103" s="21"/>
      <c r="E103" s="21"/>
      <c r="F103" s="21"/>
      <c r="G103" s="21"/>
      <c r="H103" s="21">
        <v>26750</v>
      </c>
      <c r="I103" s="22"/>
      <c r="J103" s="23">
        <f t="shared" si="2"/>
        <v>10280.689999999999</v>
      </c>
      <c r="K103" s="23">
        <f t="shared" si="3"/>
        <v>23137.940000000002</v>
      </c>
    </row>
    <row r="104" spans="2:13" ht="19.5" thickBot="1" x14ac:dyDescent="0.35">
      <c r="B104" s="65"/>
      <c r="C104" s="29" t="s">
        <v>0</v>
      </c>
      <c r="D104" s="40">
        <f>SUM(D55:D103)</f>
        <v>129350</v>
      </c>
      <c r="E104" s="66">
        <f>SUM(E55:E103)</f>
        <v>18690.830000000002</v>
      </c>
      <c r="F104" s="67">
        <f>SUM(D104:E104)</f>
        <v>148040.83000000002</v>
      </c>
      <c r="G104" s="67">
        <f>SUM(G55:G103)</f>
        <v>13360</v>
      </c>
      <c r="H104" s="30">
        <f>SUM(H55:H103)</f>
        <v>118485.5</v>
      </c>
      <c r="I104" s="32">
        <f>SUM(G104:H104)</f>
        <v>131845.5</v>
      </c>
      <c r="J104" s="34"/>
      <c r="K104" s="34"/>
      <c r="L104" s="1"/>
      <c r="M104" s="1"/>
    </row>
    <row r="105" spans="2:13" ht="18.75" x14ac:dyDescent="0.3">
      <c r="B105" s="60" t="s">
        <v>1</v>
      </c>
      <c r="C105" s="9" t="s">
        <v>2</v>
      </c>
      <c r="D105" s="9" t="s">
        <v>3</v>
      </c>
      <c r="E105" s="9" t="s">
        <v>3</v>
      </c>
      <c r="F105" s="9" t="s">
        <v>8</v>
      </c>
      <c r="G105" s="9" t="s">
        <v>9</v>
      </c>
      <c r="H105" s="10" t="s">
        <v>9</v>
      </c>
      <c r="I105" s="10" t="s">
        <v>8</v>
      </c>
      <c r="J105" s="9" t="s">
        <v>7</v>
      </c>
      <c r="K105" s="10" t="s">
        <v>6</v>
      </c>
      <c r="L105" s="1"/>
    </row>
    <row r="106" spans="2:13" ht="19.5" thickBot="1" x14ac:dyDescent="0.35">
      <c r="B106" s="61"/>
      <c r="C106" s="11"/>
      <c r="D106" s="11" t="s">
        <v>5</v>
      </c>
      <c r="E106" s="11" t="s">
        <v>7</v>
      </c>
      <c r="F106" s="11" t="s">
        <v>3</v>
      </c>
      <c r="G106" s="11" t="s">
        <v>7</v>
      </c>
      <c r="H106" s="12" t="s">
        <v>5</v>
      </c>
      <c r="I106" s="12" t="s">
        <v>4</v>
      </c>
      <c r="J106" s="11"/>
      <c r="K106" s="12"/>
      <c r="L106" s="1"/>
    </row>
    <row r="107" spans="2:13" ht="19.5" thickBot="1" x14ac:dyDescent="0.35">
      <c r="B107" s="68"/>
      <c r="C107" s="41" t="s">
        <v>0</v>
      </c>
      <c r="D107" s="40">
        <v>129350</v>
      </c>
      <c r="E107" s="40">
        <v>18690.830000000002</v>
      </c>
      <c r="F107" s="40">
        <f>SUM(D107:E107)</f>
        <v>148040.83000000002</v>
      </c>
      <c r="G107" s="40">
        <v>13360</v>
      </c>
      <c r="H107" s="30">
        <v>118485.5</v>
      </c>
      <c r="I107" s="30">
        <f>SUM(G107:H107)</f>
        <v>131845.5</v>
      </c>
      <c r="J107" s="30">
        <v>10280.69</v>
      </c>
      <c r="K107" s="34">
        <v>23137.94</v>
      </c>
      <c r="L107" s="1"/>
    </row>
    <row r="108" spans="2:13" ht="18.75" x14ac:dyDescent="0.3">
      <c r="B108" s="63">
        <v>44135</v>
      </c>
      <c r="C108" s="20" t="s">
        <v>272</v>
      </c>
      <c r="D108" s="21"/>
      <c r="E108" s="21"/>
      <c r="F108" s="21"/>
      <c r="G108" s="21">
        <v>7000</v>
      </c>
      <c r="H108" s="57"/>
      <c r="I108" s="22"/>
      <c r="J108" s="23">
        <f>+J107+E108-G108</f>
        <v>3280.6900000000005</v>
      </c>
      <c r="K108" s="23">
        <f>+K107+D108-H108</f>
        <v>23137.94</v>
      </c>
      <c r="L108" s="1"/>
    </row>
    <row r="109" spans="2:13" ht="18.75" x14ac:dyDescent="0.3">
      <c r="B109" s="63">
        <v>44135</v>
      </c>
      <c r="C109" s="48" t="s">
        <v>299</v>
      </c>
      <c r="D109" s="21"/>
      <c r="E109" s="21"/>
      <c r="F109" s="21"/>
      <c r="G109" s="21"/>
      <c r="H109" s="21">
        <v>3700</v>
      </c>
      <c r="I109" s="22"/>
      <c r="J109" s="23">
        <f>+J108+E109-G109</f>
        <v>3280.6900000000005</v>
      </c>
      <c r="K109" s="23">
        <f>+K108+D109-H109</f>
        <v>19437.939999999999</v>
      </c>
      <c r="L109" s="1"/>
    </row>
    <row r="110" spans="2:13" ht="18.75" x14ac:dyDescent="0.3">
      <c r="B110" s="63">
        <v>44135</v>
      </c>
      <c r="C110" s="20" t="s">
        <v>800</v>
      </c>
      <c r="D110" s="21"/>
      <c r="E110" s="21"/>
      <c r="F110" s="21"/>
      <c r="G110" s="21"/>
      <c r="H110" s="21">
        <v>2800</v>
      </c>
      <c r="I110" s="22"/>
      <c r="J110" s="23">
        <f t="shared" ref="J110:J115" si="4">+J109+E110-G110</f>
        <v>3280.6900000000005</v>
      </c>
      <c r="K110" s="23">
        <f t="shared" ref="K110:K115" si="5">+K109+D110-H110</f>
        <v>16637.939999999999</v>
      </c>
      <c r="L110" s="1"/>
    </row>
    <row r="111" spans="2:13" ht="18.75" x14ac:dyDescent="0.3">
      <c r="B111" s="63">
        <v>44135</v>
      </c>
      <c r="C111" s="20" t="s">
        <v>797</v>
      </c>
      <c r="D111" s="21"/>
      <c r="E111" s="21">
        <v>1500</v>
      </c>
      <c r="F111" s="21"/>
      <c r="G111" s="21"/>
      <c r="H111" s="21"/>
      <c r="I111" s="22"/>
      <c r="J111" s="23">
        <f t="shared" si="4"/>
        <v>4780.6900000000005</v>
      </c>
      <c r="K111" s="23">
        <f t="shared" si="5"/>
        <v>16637.939999999999</v>
      </c>
      <c r="L111" s="1"/>
    </row>
    <row r="112" spans="2:13" ht="18.75" x14ac:dyDescent="0.3">
      <c r="B112" s="63">
        <v>44135</v>
      </c>
      <c r="C112" s="24" t="s">
        <v>807</v>
      </c>
      <c r="D112" s="21">
        <v>500</v>
      </c>
      <c r="E112" s="21"/>
      <c r="F112" s="21"/>
      <c r="G112" s="21"/>
      <c r="H112" s="21"/>
      <c r="I112" s="22"/>
      <c r="J112" s="23">
        <f t="shared" si="4"/>
        <v>4780.6900000000005</v>
      </c>
      <c r="K112" s="23">
        <f t="shared" si="5"/>
        <v>17137.939999999999</v>
      </c>
      <c r="L112" s="1"/>
      <c r="M112" s="93"/>
    </row>
    <row r="113" spans="2:12" ht="18.75" x14ac:dyDescent="0.3">
      <c r="B113" s="63">
        <v>44135</v>
      </c>
      <c r="C113" s="20" t="s">
        <v>108</v>
      </c>
      <c r="D113" s="21"/>
      <c r="E113" s="21"/>
      <c r="F113" s="21"/>
      <c r="G113" s="21">
        <v>200</v>
      </c>
      <c r="H113" s="21"/>
      <c r="I113" s="22"/>
      <c r="J113" s="23">
        <f t="shared" si="4"/>
        <v>4580.6900000000005</v>
      </c>
      <c r="K113" s="23">
        <f>+K112+D113-H113</f>
        <v>17137.939999999999</v>
      </c>
      <c r="L113" s="1"/>
    </row>
    <row r="114" spans="2:12" ht="18.75" x14ac:dyDescent="0.3">
      <c r="B114" s="63">
        <v>44135</v>
      </c>
      <c r="C114" s="24" t="s">
        <v>109</v>
      </c>
      <c r="D114" s="21"/>
      <c r="E114" s="21"/>
      <c r="F114" s="21"/>
      <c r="G114" s="21">
        <v>32</v>
      </c>
      <c r="H114" s="21"/>
      <c r="I114" s="22"/>
      <c r="J114" s="23">
        <f t="shared" si="4"/>
        <v>4548.6900000000005</v>
      </c>
      <c r="K114" s="23">
        <f t="shared" si="5"/>
        <v>17137.939999999999</v>
      </c>
      <c r="L114" s="1"/>
    </row>
    <row r="115" spans="2:12" ht="19.5" thickBot="1" x14ac:dyDescent="0.35">
      <c r="B115" s="63"/>
      <c r="C115" s="24"/>
      <c r="D115" s="26"/>
      <c r="E115" s="26"/>
      <c r="F115" s="26"/>
      <c r="G115" s="26"/>
      <c r="H115" s="21"/>
      <c r="I115" s="22"/>
      <c r="J115" s="23">
        <f t="shared" si="4"/>
        <v>4548.6900000000005</v>
      </c>
      <c r="K115" s="23">
        <f t="shared" si="5"/>
        <v>17137.939999999999</v>
      </c>
      <c r="L115" s="1"/>
    </row>
    <row r="116" spans="2:12" ht="19.5" thickBot="1" x14ac:dyDescent="0.35">
      <c r="B116" s="65"/>
      <c r="C116" s="29" t="s">
        <v>0</v>
      </c>
      <c r="D116" s="40">
        <f>SUM(D107:D115)</f>
        <v>129850</v>
      </c>
      <c r="E116" s="66">
        <f>SUM(E107:E115)</f>
        <v>20190.830000000002</v>
      </c>
      <c r="F116" s="67">
        <f>SUM(D116:E116)</f>
        <v>150040.83000000002</v>
      </c>
      <c r="G116" s="67">
        <f>SUM(G107:G115)</f>
        <v>20592</v>
      </c>
      <c r="H116" s="30">
        <f>SUM(H107:H115)</f>
        <v>124985.5</v>
      </c>
      <c r="I116" s="32">
        <f>SUM(G116:H116)</f>
        <v>145577.5</v>
      </c>
      <c r="J116" s="34"/>
      <c r="K116" s="34"/>
      <c r="L116" s="1"/>
    </row>
    <row r="117" spans="2:12" ht="19.5" thickBot="1" x14ac:dyDescent="0.35">
      <c r="B117" s="70"/>
      <c r="C117" s="7"/>
      <c r="D117" s="7"/>
      <c r="E117" s="7"/>
      <c r="F117" s="7"/>
      <c r="G117" s="7"/>
      <c r="H117" s="7"/>
      <c r="I117" s="38" t="s">
        <v>7</v>
      </c>
      <c r="J117" s="38" t="s">
        <v>6</v>
      </c>
      <c r="K117" s="39" t="s">
        <v>0</v>
      </c>
    </row>
    <row r="118" spans="2:12" ht="19.5" thickBot="1" x14ac:dyDescent="0.35">
      <c r="B118" s="70"/>
      <c r="C118" s="7"/>
      <c r="D118" s="7"/>
      <c r="E118" s="7"/>
      <c r="F118" s="7"/>
      <c r="G118" s="7"/>
      <c r="H118" s="7"/>
      <c r="I118" s="34">
        <v>4548.6899999999996</v>
      </c>
      <c r="J118" s="34">
        <v>17137.939999999999</v>
      </c>
      <c r="K118" s="34">
        <f>SUM(I118:J118)</f>
        <v>21686.629999999997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23"/>
  <sheetViews>
    <sheetView zoomScale="80" zoomScaleNormal="80" workbookViewId="0">
      <pane ySplit="3" topLeftCell="A98" activePane="bottomLeft" state="frozen"/>
      <selection activeCell="B1" sqref="B1"/>
      <selection pane="bottomLeft" activeCell="C100" sqref="C100"/>
    </sheetView>
  </sheetViews>
  <sheetFormatPr baseColWidth="10" defaultRowHeight="15" x14ac:dyDescent="0.25"/>
  <cols>
    <col min="1" max="1" width="2" customWidth="1"/>
    <col min="2" max="2" width="13.7109375" customWidth="1"/>
    <col min="3" max="3" width="87.140625" customWidth="1"/>
    <col min="4" max="11" width="13" customWidth="1"/>
    <col min="12" max="12" width="11.42578125" bestFit="1" customWidth="1"/>
  </cols>
  <sheetData>
    <row r="1" spans="2:12" ht="19.5" thickBot="1" x14ac:dyDescent="0.35">
      <c r="C1" s="8" t="s">
        <v>28</v>
      </c>
    </row>
    <row r="2" spans="2:12" ht="18.75" x14ac:dyDescent="0.3">
      <c r="B2" s="60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2" ht="19.5" thickBot="1" x14ac:dyDescent="0.35">
      <c r="B3" s="6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2" ht="18.75" x14ac:dyDescent="0.3">
      <c r="B4" s="73">
        <v>44135</v>
      </c>
      <c r="C4" s="14" t="s">
        <v>29</v>
      </c>
      <c r="D4" s="15"/>
      <c r="E4" s="16"/>
      <c r="F4" s="16"/>
      <c r="G4" s="16"/>
      <c r="H4" s="17"/>
      <c r="I4" s="18"/>
      <c r="J4" s="19">
        <v>4548.6899999999996</v>
      </c>
      <c r="K4" s="59">
        <v>17137.939999999999</v>
      </c>
      <c r="L4" s="1"/>
    </row>
    <row r="5" spans="2:12" ht="18.75" x14ac:dyDescent="0.3">
      <c r="B5" s="62">
        <v>44136</v>
      </c>
      <c r="C5" s="24" t="s">
        <v>808</v>
      </c>
      <c r="D5" s="21"/>
      <c r="E5" s="21"/>
      <c r="F5" s="21"/>
      <c r="G5" s="21">
        <v>4548.6899999999996</v>
      </c>
      <c r="H5" s="21"/>
      <c r="I5" s="22"/>
      <c r="J5" s="23">
        <f>+J4+E5-G5</f>
        <v>0</v>
      </c>
      <c r="K5" s="23">
        <f>+K4+D5-H5</f>
        <v>17137.939999999999</v>
      </c>
    </row>
    <row r="6" spans="2:12" ht="18.75" x14ac:dyDescent="0.3">
      <c r="B6" s="62">
        <v>44136</v>
      </c>
      <c r="C6" s="20" t="s">
        <v>809</v>
      </c>
      <c r="D6" s="21">
        <v>4548.6899999999996</v>
      </c>
      <c r="E6" s="21"/>
      <c r="F6" s="21"/>
      <c r="G6" s="21"/>
      <c r="H6" s="21"/>
      <c r="I6" s="22"/>
      <c r="J6" s="23">
        <f t="shared" ref="J6:J51" si="0">+J5+E6-G6</f>
        <v>0</v>
      </c>
      <c r="K6" s="23">
        <f t="shared" ref="K6:K51" si="1">+K5+D6-H6</f>
        <v>21686.629999999997</v>
      </c>
    </row>
    <row r="7" spans="2:12" ht="18.75" x14ac:dyDescent="0.3">
      <c r="B7" s="63">
        <v>44136</v>
      </c>
      <c r="C7" s="45" t="s">
        <v>810</v>
      </c>
      <c r="D7" s="21"/>
      <c r="E7" s="21"/>
      <c r="F7" s="21"/>
      <c r="G7" s="21"/>
      <c r="H7" s="57">
        <v>200</v>
      </c>
      <c r="I7" s="22"/>
      <c r="J7" s="23">
        <f t="shared" si="0"/>
        <v>0</v>
      </c>
      <c r="K7" s="23">
        <f t="shared" si="1"/>
        <v>21486.629999999997</v>
      </c>
    </row>
    <row r="8" spans="2:12" ht="18.75" x14ac:dyDescent="0.3">
      <c r="B8" s="63">
        <v>44136</v>
      </c>
      <c r="C8" s="20" t="s">
        <v>754</v>
      </c>
      <c r="D8" s="21"/>
      <c r="E8" s="21"/>
      <c r="F8" s="21"/>
      <c r="G8" s="21"/>
      <c r="H8" s="21">
        <v>24.59</v>
      </c>
      <c r="I8" s="22"/>
      <c r="J8" s="23">
        <f t="shared" si="0"/>
        <v>0</v>
      </c>
      <c r="K8" s="23">
        <f t="shared" si="1"/>
        <v>21462.039999999997</v>
      </c>
    </row>
    <row r="9" spans="2:12" ht="18.75" x14ac:dyDescent="0.3">
      <c r="B9" s="63">
        <v>44136</v>
      </c>
      <c r="C9" s="20" t="s">
        <v>811</v>
      </c>
      <c r="D9" s="21"/>
      <c r="E9" s="21"/>
      <c r="F9" s="21"/>
      <c r="G9" s="21"/>
      <c r="H9" s="57">
        <v>200</v>
      </c>
      <c r="I9" s="22"/>
      <c r="J9" s="23">
        <f t="shared" si="0"/>
        <v>0</v>
      </c>
      <c r="K9" s="23">
        <f t="shared" si="1"/>
        <v>21262.039999999997</v>
      </c>
    </row>
    <row r="10" spans="2:12" ht="18.75" x14ac:dyDescent="0.3">
      <c r="B10" s="63">
        <v>44136</v>
      </c>
      <c r="C10" s="20" t="s">
        <v>882</v>
      </c>
      <c r="D10" s="21"/>
      <c r="E10" s="21"/>
      <c r="F10" s="21"/>
      <c r="G10" s="21"/>
      <c r="H10" s="21">
        <v>100</v>
      </c>
      <c r="I10" s="22"/>
      <c r="J10" s="23">
        <f t="shared" si="0"/>
        <v>0</v>
      </c>
      <c r="K10" s="23">
        <f t="shared" si="1"/>
        <v>21162.039999999997</v>
      </c>
    </row>
    <row r="11" spans="2:12" ht="18.75" x14ac:dyDescent="0.3">
      <c r="B11" s="63">
        <v>44136</v>
      </c>
      <c r="C11" s="20" t="s">
        <v>812</v>
      </c>
      <c r="D11" s="21"/>
      <c r="E11" s="21"/>
      <c r="F11" s="21"/>
      <c r="G11" s="21"/>
      <c r="H11" s="21">
        <v>200</v>
      </c>
      <c r="I11" s="22"/>
      <c r="J11" s="23">
        <f t="shared" si="0"/>
        <v>0</v>
      </c>
      <c r="K11" s="23">
        <f t="shared" si="1"/>
        <v>20962.039999999997</v>
      </c>
    </row>
    <row r="12" spans="2:12" ht="18.75" x14ac:dyDescent="0.3">
      <c r="B12" s="63">
        <v>44136</v>
      </c>
      <c r="C12" s="58" t="s">
        <v>814</v>
      </c>
      <c r="D12" s="21">
        <v>43650</v>
      </c>
      <c r="E12" s="21"/>
      <c r="F12" s="21"/>
      <c r="G12" s="21"/>
      <c r="H12" s="57"/>
      <c r="I12" s="22"/>
      <c r="J12" s="23">
        <f t="shared" si="0"/>
        <v>0</v>
      </c>
      <c r="K12" s="23">
        <f t="shared" si="1"/>
        <v>64612.039999999994</v>
      </c>
    </row>
    <row r="13" spans="2:12" ht="18.75" x14ac:dyDescent="0.3">
      <c r="B13" s="63">
        <v>44137</v>
      </c>
      <c r="C13" s="74" t="s">
        <v>749</v>
      </c>
      <c r="D13" s="21"/>
      <c r="E13" s="21"/>
      <c r="F13" s="21"/>
      <c r="G13" s="21"/>
      <c r="H13" s="57">
        <v>300</v>
      </c>
      <c r="I13" s="22"/>
      <c r="J13" s="23">
        <f t="shared" si="0"/>
        <v>0</v>
      </c>
      <c r="K13" s="23">
        <f t="shared" si="1"/>
        <v>64312.039999999994</v>
      </c>
    </row>
    <row r="14" spans="2:12" ht="18.75" x14ac:dyDescent="0.3">
      <c r="B14" s="63">
        <v>44137</v>
      </c>
      <c r="C14" s="20" t="s">
        <v>816</v>
      </c>
      <c r="D14" s="21"/>
      <c r="E14" s="21"/>
      <c r="F14" s="21"/>
      <c r="G14" s="21"/>
      <c r="H14" s="21">
        <v>1000</v>
      </c>
      <c r="I14" s="22"/>
      <c r="J14" s="23">
        <f t="shared" si="0"/>
        <v>0</v>
      </c>
      <c r="K14" s="23">
        <f t="shared" si="1"/>
        <v>63312.039999999994</v>
      </c>
    </row>
    <row r="15" spans="2:12" ht="18.75" x14ac:dyDescent="0.3">
      <c r="B15" s="63">
        <v>44137</v>
      </c>
      <c r="C15" s="24" t="s">
        <v>817</v>
      </c>
      <c r="D15" s="21"/>
      <c r="E15" s="21"/>
      <c r="F15" s="21"/>
      <c r="G15" s="21"/>
      <c r="H15" s="21">
        <v>2639</v>
      </c>
      <c r="I15" s="22"/>
      <c r="J15" s="23">
        <f t="shared" si="0"/>
        <v>0</v>
      </c>
      <c r="K15" s="23">
        <f t="shared" si="1"/>
        <v>60673.039999999994</v>
      </c>
    </row>
    <row r="16" spans="2:12" ht="18.75" x14ac:dyDescent="0.3">
      <c r="B16" s="63">
        <v>44137</v>
      </c>
      <c r="C16" s="20" t="s">
        <v>881</v>
      </c>
      <c r="D16" s="21"/>
      <c r="E16" s="21"/>
      <c r="F16" s="21"/>
      <c r="G16" s="21"/>
      <c r="H16" s="57">
        <v>30</v>
      </c>
      <c r="I16" s="22"/>
      <c r="J16" s="23">
        <f t="shared" si="0"/>
        <v>0</v>
      </c>
      <c r="K16" s="23">
        <f t="shared" si="1"/>
        <v>60643.039999999994</v>
      </c>
    </row>
    <row r="17" spans="2:11" ht="18.75" x14ac:dyDescent="0.3">
      <c r="B17" s="63">
        <v>44139</v>
      </c>
      <c r="C17" s="74" t="s">
        <v>818</v>
      </c>
      <c r="D17" s="21"/>
      <c r="E17" s="21"/>
      <c r="F17" s="21"/>
      <c r="G17" s="21"/>
      <c r="H17" s="57">
        <v>52</v>
      </c>
      <c r="I17" s="22"/>
      <c r="J17" s="23">
        <f t="shared" si="0"/>
        <v>0</v>
      </c>
      <c r="K17" s="23">
        <f t="shared" si="1"/>
        <v>60591.039999999994</v>
      </c>
    </row>
    <row r="18" spans="2:11" ht="18.75" x14ac:dyDescent="0.3">
      <c r="B18" s="63">
        <v>44139</v>
      </c>
      <c r="C18" s="20" t="s">
        <v>819</v>
      </c>
      <c r="D18" s="21"/>
      <c r="E18" s="21"/>
      <c r="F18" s="21"/>
      <c r="G18" s="21"/>
      <c r="H18" s="21">
        <v>245</v>
      </c>
      <c r="I18" s="22"/>
      <c r="J18" s="23">
        <f t="shared" si="0"/>
        <v>0</v>
      </c>
      <c r="K18" s="23">
        <f t="shared" si="1"/>
        <v>60346.039999999994</v>
      </c>
    </row>
    <row r="19" spans="2:11" ht="18.75" x14ac:dyDescent="0.3">
      <c r="B19" s="63">
        <v>44139</v>
      </c>
      <c r="C19" s="20" t="s">
        <v>820</v>
      </c>
      <c r="D19" s="21"/>
      <c r="E19" s="21"/>
      <c r="F19" s="21"/>
      <c r="G19" s="21"/>
      <c r="H19" s="21">
        <v>300</v>
      </c>
      <c r="I19" s="22"/>
      <c r="J19" s="23">
        <f t="shared" si="0"/>
        <v>0</v>
      </c>
      <c r="K19" s="23">
        <f t="shared" si="1"/>
        <v>60046.039999999994</v>
      </c>
    </row>
    <row r="20" spans="2:11" ht="18.75" x14ac:dyDescent="0.3">
      <c r="B20" s="63">
        <v>44141</v>
      </c>
      <c r="C20" s="27" t="s">
        <v>821</v>
      </c>
      <c r="D20" s="21"/>
      <c r="E20" s="21"/>
      <c r="F20" s="21"/>
      <c r="G20" s="21"/>
      <c r="H20" s="21">
        <v>83.52</v>
      </c>
      <c r="I20" s="22"/>
      <c r="J20" s="23">
        <f t="shared" si="0"/>
        <v>0</v>
      </c>
      <c r="K20" s="23">
        <f t="shared" si="1"/>
        <v>59962.52</v>
      </c>
    </row>
    <row r="21" spans="2:11" ht="18.75" x14ac:dyDescent="0.3">
      <c r="B21" s="63">
        <v>44139</v>
      </c>
      <c r="C21" s="24" t="s">
        <v>495</v>
      </c>
      <c r="D21" s="21"/>
      <c r="E21" s="21"/>
      <c r="F21" s="21"/>
      <c r="G21" s="21"/>
      <c r="H21" s="57">
        <v>200</v>
      </c>
      <c r="I21" s="22"/>
      <c r="J21" s="23">
        <f t="shared" si="0"/>
        <v>0</v>
      </c>
      <c r="K21" s="23">
        <f t="shared" si="1"/>
        <v>59762.52</v>
      </c>
    </row>
    <row r="22" spans="2:11" ht="18.75" x14ac:dyDescent="0.3">
      <c r="B22" s="63">
        <v>44141</v>
      </c>
      <c r="C22" s="20" t="s">
        <v>822</v>
      </c>
      <c r="D22" s="21"/>
      <c r="E22" s="21"/>
      <c r="F22" s="21"/>
      <c r="G22" s="21"/>
      <c r="H22" s="57">
        <v>300</v>
      </c>
      <c r="I22" s="22"/>
      <c r="J22" s="23">
        <f t="shared" si="0"/>
        <v>0</v>
      </c>
      <c r="K22" s="23">
        <f t="shared" si="1"/>
        <v>59462.52</v>
      </c>
    </row>
    <row r="23" spans="2:11" ht="18.75" x14ac:dyDescent="0.3">
      <c r="B23" s="63">
        <v>44141</v>
      </c>
      <c r="C23" s="20" t="s">
        <v>823</v>
      </c>
      <c r="D23" s="21"/>
      <c r="E23" s="21"/>
      <c r="F23" s="21"/>
      <c r="G23" s="21"/>
      <c r="H23" s="57">
        <v>1200</v>
      </c>
      <c r="I23" s="22"/>
      <c r="J23" s="23">
        <f t="shared" si="0"/>
        <v>0</v>
      </c>
      <c r="K23" s="23">
        <f t="shared" si="1"/>
        <v>58262.52</v>
      </c>
    </row>
    <row r="24" spans="2:11" ht="18.75" x14ac:dyDescent="0.3">
      <c r="B24" s="63">
        <v>44143</v>
      </c>
      <c r="C24" s="20" t="s">
        <v>824</v>
      </c>
      <c r="D24" s="21"/>
      <c r="E24" s="21"/>
      <c r="F24" s="21"/>
      <c r="G24" s="21"/>
      <c r="H24" s="21">
        <v>100</v>
      </c>
      <c r="I24" s="22"/>
      <c r="J24" s="23">
        <f t="shared" si="0"/>
        <v>0</v>
      </c>
      <c r="K24" s="23">
        <f t="shared" si="1"/>
        <v>58162.52</v>
      </c>
    </row>
    <row r="25" spans="2:11" ht="18.75" x14ac:dyDescent="0.3">
      <c r="B25" s="63">
        <v>44143</v>
      </c>
      <c r="C25" s="20" t="s">
        <v>825</v>
      </c>
      <c r="D25" s="21"/>
      <c r="E25" s="21"/>
      <c r="F25" s="21"/>
      <c r="G25" s="21"/>
      <c r="H25" s="21">
        <v>200</v>
      </c>
      <c r="I25" s="22"/>
      <c r="J25" s="23">
        <f t="shared" si="0"/>
        <v>0</v>
      </c>
      <c r="K25" s="23">
        <f t="shared" si="1"/>
        <v>57962.52</v>
      </c>
    </row>
    <row r="26" spans="2:11" ht="18.75" x14ac:dyDescent="0.3">
      <c r="B26" s="63">
        <v>44143</v>
      </c>
      <c r="C26" s="20" t="s">
        <v>629</v>
      </c>
      <c r="D26" s="21"/>
      <c r="E26" s="21"/>
      <c r="F26" s="21"/>
      <c r="G26" s="21"/>
      <c r="H26" s="21">
        <v>171.2</v>
      </c>
      <c r="I26" s="22"/>
      <c r="J26" s="23">
        <f t="shared" si="0"/>
        <v>0</v>
      </c>
      <c r="K26" s="23">
        <f t="shared" si="1"/>
        <v>57791.32</v>
      </c>
    </row>
    <row r="27" spans="2:11" ht="18.75" x14ac:dyDescent="0.3">
      <c r="B27" s="63">
        <v>44143</v>
      </c>
      <c r="C27" s="24" t="s">
        <v>826</v>
      </c>
      <c r="D27" s="21"/>
      <c r="E27" s="21"/>
      <c r="F27" s="21"/>
      <c r="G27" s="21"/>
      <c r="H27" s="21">
        <v>786</v>
      </c>
      <c r="I27" s="22"/>
      <c r="J27" s="23">
        <f t="shared" si="0"/>
        <v>0</v>
      </c>
      <c r="K27" s="23">
        <f t="shared" si="1"/>
        <v>57005.32</v>
      </c>
    </row>
    <row r="28" spans="2:11" ht="18.75" x14ac:dyDescent="0.3">
      <c r="B28" s="63">
        <v>44143</v>
      </c>
      <c r="C28" s="48" t="s">
        <v>433</v>
      </c>
      <c r="D28" s="21"/>
      <c r="E28" s="21"/>
      <c r="F28" s="21"/>
      <c r="G28" s="21"/>
      <c r="H28" s="21">
        <v>27.5</v>
      </c>
      <c r="I28" s="22"/>
      <c r="J28" s="23">
        <f t="shared" si="0"/>
        <v>0</v>
      </c>
      <c r="K28" s="23">
        <f t="shared" si="1"/>
        <v>56977.82</v>
      </c>
    </row>
    <row r="29" spans="2:11" ht="18.75" x14ac:dyDescent="0.3">
      <c r="B29" s="63">
        <v>44143</v>
      </c>
      <c r="C29" s="48" t="s">
        <v>782</v>
      </c>
      <c r="D29" s="21"/>
      <c r="E29" s="21"/>
      <c r="F29" s="21"/>
      <c r="G29" s="21"/>
      <c r="H29" s="21">
        <v>300</v>
      </c>
      <c r="I29" s="22"/>
      <c r="J29" s="23">
        <f t="shared" si="0"/>
        <v>0</v>
      </c>
      <c r="K29" s="23">
        <f t="shared" si="1"/>
        <v>56677.82</v>
      </c>
    </row>
    <row r="30" spans="2:11" ht="18.75" x14ac:dyDescent="0.3">
      <c r="B30" s="63">
        <v>44143</v>
      </c>
      <c r="C30" s="20" t="s">
        <v>323</v>
      </c>
      <c r="D30" s="21">
        <v>45800</v>
      </c>
      <c r="E30" s="21"/>
      <c r="F30" s="21"/>
      <c r="G30" s="21"/>
      <c r="H30" s="57"/>
      <c r="I30" s="22"/>
      <c r="J30" s="23">
        <f t="shared" si="0"/>
        <v>0</v>
      </c>
      <c r="K30" s="23">
        <f t="shared" si="1"/>
        <v>102477.82</v>
      </c>
    </row>
    <row r="31" spans="2:11" ht="18.75" x14ac:dyDescent="0.3">
      <c r="B31" s="63">
        <v>44144</v>
      </c>
      <c r="C31" s="20" t="s">
        <v>827</v>
      </c>
      <c r="D31" s="21"/>
      <c r="E31" s="21"/>
      <c r="F31" s="21"/>
      <c r="G31" s="21"/>
      <c r="H31" s="21">
        <v>2400</v>
      </c>
      <c r="I31" s="22"/>
      <c r="J31" s="23">
        <f t="shared" si="0"/>
        <v>0</v>
      </c>
      <c r="K31" s="23">
        <f t="shared" si="1"/>
        <v>100077.82</v>
      </c>
    </row>
    <row r="32" spans="2:11" ht="18.75" x14ac:dyDescent="0.3">
      <c r="B32" s="63">
        <v>44144</v>
      </c>
      <c r="C32" s="20" t="s">
        <v>828</v>
      </c>
      <c r="D32" s="21"/>
      <c r="E32" s="21"/>
      <c r="F32" s="21"/>
      <c r="G32" s="21"/>
      <c r="H32" s="21">
        <v>123</v>
      </c>
      <c r="I32" s="22"/>
      <c r="J32" s="23">
        <f t="shared" si="0"/>
        <v>0</v>
      </c>
      <c r="K32" s="23">
        <f t="shared" si="1"/>
        <v>99954.82</v>
      </c>
    </row>
    <row r="33" spans="2:11" ht="18.75" x14ac:dyDescent="0.3">
      <c r="B33" s="63">
        <v>44144</v>
      </c>
      <c r="C33" s="20" t="s">
        <v>829</v>
      </c>
      <c r="D33" s="21"/>
      <c r="E33" s="21"/>
      <c r="F33" s="21"/>
      <c r="G33" s="21"/>
      <c r="H33" s="21">
        <v>8997</v>
      </c>
      <c r="I33" s="22"/>
      <c r="J33" s="23">
        <f t="shared" si="0"/>
        <v>0</v>
      </c>
      <c r="K33" s="23">
        <f t="shared" si="1"/>
        <v>90957.82</v>
      </c>
    </row>
    <row r="34" spans="2:11" ht="18.75" x14ac:dyDescent="0.3">
      <c r="B34" s="63">
        <v>44144</v>
      </c>
      <c r="C34" s="20" t="s">
        <v>752</v>
      </c>
      <c r="D34" s="21"/>
      <c r="E34" s="21"/>
      <c r="F34" s="21"/>
      <c r="G34" s="21"/>
      <c r="H34" s="21">
        <v>261</v>
      </c>
      <c r="I34" s="22"/>
      <c r="J34" s="23">
        <f t="shared" si="0"/>
        <v>0</v>
      </c>
      <c r="K34" s="23">
        <f t="shared" si="1"/>
        <v>90696.82</v>
      </c>
    </row>
    <row r="35" spans="2:11" ht="18.75" x14ac:dyDescent="0.3">
      <c r="B35" s="63">
        <v>44144</v>
      </c>
      <c r="C35" s="24" t="s">
        <v>830</v>
      </c>
      <c r="D35" s="21"/>
      <c r="E35" s="21"/>
      <c r="F35" s="21"/>
      <c r="G35" s="21"/>
      <c r="H35" s="21">
        <v>1600</v>
      </c>
      <c r="I35" s="22"/>
      <c r="J35" s="23">
        <f t="shared" si="0"/>
        <v>0</v>
      </c>
      <c r="K35" s="23">
        <f t="shared" si="1"/>
        <v>89096.82</v>
      </c>
    </row>
    <row r="36" spans="2:11" ht="18.75" x14ac:dyDescent="0.3">
      <c r="B36" s="63">
        <v>44144</v>
      </c>
      <c r="C36" s="20" t="s">
        <v>831</v>
      </c>
      <c r="D36" s="21"/>
      <c r="E36" s="21"/>
      <c r="F36" s="21"/>
      <c r="G36" s="21"/>
      <c r="H36" s="21">
        <v>400</v>
      </c>
      <c r="I36" s="22"/>
      <c r="J36" s="23">
        <f t="shared" si="0"/>
        <v>0</v>
      </c>
      <c r="K36" s="23">
        <f t="shared" si="1"/>
        <v>88696.82</v>
      </c>
    </row>
    <row r="37" spans="2:11" ht="18.75" x14ac:dyDescent="0.3">
      <c r="B37" s="63">
        <v>44146</v>
      </c>
      <c r="C37" s="20" t="s">
        <v>832</v>
      </c>
      <c r="D37" s="21"/>
      <c r="E37" s="21"/>
      <c r="F37" s="21"/>
      <c r="G37" s="21"/>
      <c r="H37" s="21">
        <v>497.2</v>
      </c>
      <c r="I37" s="22"/>
      <c r="J37" s="23">
        <f t="shared" si="0"/>
        <v>0</v>
      </c>
      <c r="K37" s="23">
        <f t="shared" si="1"/>
        <v>88199.62000000001</v>
      </c>
    </row>
    <row r="38" spans="2:11" ht="18.75" x14ac:dyDescent="0.3">
      <c r="B38" s="63">
        <v>44146</v>
      </c>
      <c r="C38" s="20" t="s">
        <v>833</v>
      </c>
      <c r="D38" s="21"/>
      <c r="E38" s="21"/>
      <c r="F38" s="21"/>
      <c r="G38" s="21"/>
      <c r="H38" s="57">
        <v>87</v>
      </c>
      <c r="I38" s="22"/>
      <c r="J38" s="23">
        <f t="shared" si="0"/>
        <v>0</v>
      </c>
      <c r="K38" s="23">
        <f t="shared" si="1"/>
        <v>88112.62000000001</v>
      </c>
    </row>
    <row r="39" spans="2:11" ht="18.75" x14ac:dyDescent="0.3">
      <c r="B39" s="63">
        <v>44146</v>
      </c>
      <c r="C39" s="27" t="s">
        <v>834</v>
      </c>
      <c r="D39" s="21"/>
      <c r="E39" s="21"/>
      <c r="F39" s="21"/>
      <c r="G39" s="21"/>
      <c r="H39" s="21">
        <v>400</v>
      </c>
      <c r="I39" s="22"/>
      <c r="J39" s="23">
        <f t="shared" si="0"/>
        <v>0</v>
      </c>
      <c r="K39" s="23">
        <f t="shared" si="1"/>
        <v>87712.62000000001</v>
      </c>
    </row>
    <row r="40" spans="2:11" ht="18.75" x14ac:dyDescent="0.3">
      <c r="B40" s="63">
        <v>44148</v>
      </c>
      <c r="C40" s="20" t="s">
        <v>835</v>
      </c>
      <c r="D40" s="21"/>
      <c r="E40" s="21"/>
      <c r="F40" s="21"/>
      <c r="G40" s="21"/>
      <c r="H40" s="21">
        <v>1422</v>
      </c>
      <c r="I40" s="22"/>
      <c r="J40" s="23">
        <f t="shared" si="0"/>
        <v>0</v>
      </c>
      <c r="K40" s="23">
        <f t="shared" si="1"/>
        <v>86290.62000000001</v>
      </c>
    </row>
    <row r="41" spans="2:11" ht="18.75" x14ac:dyDescent="0.3">
      <c r="B41" s="63">
        <v>44148</v>
      </c>
      <c r="C41" s="36" t="s">
        <v>828</v>
      </c>
      <c r="D41" s="21"/>
      <c r="E41" s="21"/>
      <c r="F41" s="21"/>
      <c r="G41" s="21"/>
      <c r="H41" s="57">
        <v>123</v>
      </c>
      <c r="I41" s="22"/>
      <c r="J41" s="23">
        <f t="shared" si="0"/>
        <v>0</v>
      </c>
      <c r="K41" s="23">
        <f t="shared" si="1"/>
        <v>86167.62000000001</v>
      </c>
    </row>
    <row r="42" spans="2:11" ht="18.75" x14ac:dyDescent="0.3">
      <c r="B42" s="63">
        <v>44150</v>
      </c>
      <c r="C42" s="20" t="s">
        <v>836</v>
      </c>
      <c r="D42" s="21"/>
      <c r="E42" s="21"/>
      <c r="F42" s="21"/>
      <c r="G42" s="21"/>
      <c r="H42" s="57">
        <v>100</v>
      </c>
      <c r="I42" s="22"/>
      <c r="J42" s="23">
        <f t="shared" si="0"/>
        <v>0</v>
      </c>
      <c r="K42" s="23">
        <f t="shared" si="1"/>
        <v>86067.62000000001</v>
      </c>
    </row>
    <row r="43" spans="2:11" ht="18.75" x14ac:dyDescent="0.3">
      <c r="B43" s="63">
        <v>44150</v>
      </c>
      <c r="C43" s="20" t="s">
        <v>837</v>
      </c>
      <c r="D43" s="21"/>
      <c r="E43" s="21"/>
      <c r="F43" s="21"/>
      <c r="G43" s="21"/>
      <c r="H43" s="57">
        <v>200</v>
      </c>
      <c r="I43" s="22"/>
      <c r="J43" s="23">
        <f t="shared" si="0"/>
        <v>0</v>
      </c>
      <c r="K43" s="23">
        <f t="shared" si="1"/>
        <v>85867.62000000001</v>
      </c>
    </row>
    <row r="44" spans="2:11" ht="18.75" x14ac:dyDescent="0.3">
      <c r="B44" s="63">
        <v>44150</v>
      </c>
      <c r="C44" s="20" t="s">
        <v>838</v>
      </c>
      <c r="D44" s="21"/>
      <c r="E44" s="21"/>
      <c r="F44" s="21"/>
      <c r="G44" s="21"/>
      <c r="H44" s="57">
        <v>650</v>
      </c>
      <c r="I44" s="22"/>
      <c r="J44" s="23">
        <f t="shared" si="0"/>
        <v>0</v>
      </c>
      <c r="K44" s="23">
        <f t="shared" si="1"/>
        <v>85217.62000000001</v>
      </c>
    </row>
    <row r="45" spans="2:11" ht="18.75" x14ac:dyDescent="0.3">
      <c r="B45" s="63">
        <v>44150</v>
      </c>
      <c r="C45" s="20" t="s">
        <v>883</v>
      </c>
      <c r="D45" s="21"/>
      <c r="E45" s="21"/>
      <c r="F45" s="21"/>
      <c r="G45" s="21"/>
      <c r="H45" s="57">
        <v>200</v>
      </c>
      <c r="I45" s="22"/>
      <c r="J45" s="23">
        <f t="shared" si="0"/>
        <v>0</v>
      </c>
      <c r="K45" s="23">
        <f t="shared" si="1"/>
        <v>85017.62000000001</v>
      </c>
    </row>
    <row r="46" spans="2:11" ht="18.75" x14ac:dyDescent="0.3">
      <c r="B46" s="63">
        <v>44150</v>
      </c>
      <c r="C46" s="20" t="s">
        <v>884</v>
      </c>
      <c r="D46" s="21"/>
      <c r="E46" s="21"/>
      <c r="F46" s="21"/>
      <c r="G46" s="21"/>
      <c r="H46" s="57">
        <v>300</v>
      </c>
      <c r="I46" s="22"/>
      <c r="J46" s="23">
        <f t="shared" si="0"/>
        <v>0</v>
      </c>
      <c r="K46" s="23">
        <f t="shared" si="1"/>
        <v>84717.62000000001</v>
      </c>
    </row>
    <row r="47" spans="2:11" ht="18.75" x14ac:dyDescent="0.3">
      <c r="B47" s="63">
        <v>44150</v>
      </c>
      <c r="C47" s="20" t="s">
        <v>839</v>
      </c>
      <c r="D47" s="21"/>
      <c r="E47" s="21"/>
      <c r="F47" s="21"/>
      <c r="G47" s="21"/>
      <c r="H47" s="57">
        <v>80</v>
      </c>
      <c r="I47" s="22"/>
      <c r="J47" s="23">
        <f t="shared" si="0"/>
        <v>0</v>
      </c>
      <c r="K47" s="23">
        <f t="shared" si="1"/>
        <v>84637.62000000001</v>
      </c>
    </row>
    <row r="48" spans="2:11" ht="18.75" x14ac:dyDescent="0.3">
      <c r="B48" s="63">
        <v>44150</v>
      </c>
      <c r="C48" s="24" t="s">
        <v>885</v>
      </c>
      <c r="D48" s="21"/>
      <c r="E48" s="21"/>
      <c r="F48" s="21"/>
      <c r="G48" s="21"/>
      <c r="H48" s="57">
        <v>1000</v>
      </c>
      <c r="I48" s="22"/>
      <c r="J48" s="23">
        <f t="shared" si="0"/>
        <v>0</v>
      </c>
      <c r="K48" s="23">
        <f t="shared" si="1"/>
        <v>83637.62000000001</v>
      </c>
    </row>
    <row r="49" spans="2:11" ht="18.75" x14ac:dyDescent="0.3">
      <c r="B49" s="63">
        <v>44150</v>
      </c>
      <c r="C49" s="24" t="s">
        <v>363</v>
      </c>
      <c r="D49" s="21"/>
      <c r="E49" s="21"/>
      <c r="F49" s="21"/>
      <c r="G49" s="21"/>
      <c r="H49" s="57">
        <v>3200</v>
      </c>
      <c r="I49" s="22"/>
      <c r="J49" s="23">
        <f t="shared" si="0"/>
        <v>0</v>
      </c>
      <c r="K49" s="23">
        <f t="shared" si="1"/>
        <v>80437.62000000001</v>
      </c>
    </row>
    <row r="50" spans="2:11" ht="18.75" x14ac:dyDescent="0.3">
      <c r="B50" s="63">
        <v>44150</v>
      </c>
      <c r="C50" s="36" t="s">
        <v>151</v>
      </c>
      <c r="D50" s="21"/>
      <c r="E50" s="21"/>
      <c r="F50" s="21"/>
      <c r="G50" s="21"/>
      <c r="H50" s="57">
        <v>6000</v>
      </c>
      <c r="I50" s="22"/>
      <c r="J50" s="23">
        <f t="shared" si="0"/>
        <v>0</v>
      </c>
      <c r="K50" s="23">
        <f t="shared" si="1"/>
        <v>74437.62000000001</v>
      </c>
    </row>
    <row r="51" spans="2:11" ht="19.5" thickBot="1" x14ac:dyDescent="0.35">
      <c r="B51" s="63">
        <v>44150</v>
      </c>
      <c r="C51" s="36" t="s">
        <v>840</v>
      </c>
      <c r="D51" s="37"/>
      <c r="E51" s="21"/>
      <c r="F51" s="21"/>
      <c r="G51" s="21"/>
      <c r="H51" s="57">
        <v>2800</v>
      </c>
      <c r="I51" s="22"/>
      <c r="J51" s="23">
        <f t="shared" si="0"/>
        <v>0</v>
      </c>
      <c r="K51" s="23">
        <f t="shared" si="1"/>
        <v>71637.62000000001</v>
      </c>
    </row>
    <row r="52" spans="2:11" ht="19.5" thickBot="1" x14ac:dyDescent="0.35">
      <c r="B52" s="65"/>
      <c r="C52" s="29" t="s">
        <v>0</v>
      </c>
      <c r="D52" s="40">
        <f>SUM(D4:D51)</f>
        <v>93998.69</v>
      </c>
      <c r="E52" s="66">
        <f>SUM(E4:E51)</f>
        <v>0</v>
      </c>
      <c r="F52" s="32">
        <f>SUM(D52:E52)</f>
        <v>93998.69</v>
      </c>
      <c r="G52" s="67">
        <f>SUM(G4:G51)</f>
        <v>4548.6899999999996</v>
      </c>
      <c r="H52" s="30">
        <f>SUM(H4:H51)</f>
        <v>39499.01</v>
      </c>
      <c r="I52" s="32">
        <f>SUM(G52:H52)</f>
        <v>44047.700000000004</v>
      </c>
      <c r="J52" s="34"/>
      <c r="K52" s="34"/>
    </row>
    <row r="53" spans="2:11" ht="18.75" x14ac:dyDescent="0.3">
      <c r="B53" s="60" t="s">
        <v>1</v>
      </c>
      <c r="C53" s="9" t="s">
        <v>2</v>
      </c>
      <c r="D53" s="9" t="s">
        <v>3</v>
      </c>
      <c r="E53" s="9" t="s">
        <v>3</v>
      </c>
      <c r="F53" s="9" t="s">
        <v>8</v>
      </c>
      <c r="G53" s="9" t="s">
        <v>9</v>
      </c>
      <c r="H53" s="10" t="s">
        <v>9</v>
      </c>
      <c r="I53" s="10" t="s">
        <v>8</v>
      </c>
      <c r="J53" s="9" t="s">
        <v>7</v>
      </c>
      <c r="K53" s="10" t="s">
        <v>6</v>
      </c>
    </row>
    <row r="54" spans="2:11" ht="19.5" thickBot="1" x14ac:dyDescent="0.35">
      <c r="B54" s="61"/>
      <c r="C54" s="11"/>
      <c r="D54" s="11" t="s">
        <v>5</v>
      </c>
      <c r="E54" s="11" t="s">
        <v>7</v>
      </c>
      <c r="F54" s="11" t="s">
        <v>3</v>
      </c>
      <c r="G54" s="11" t="s">
        <v>7</v>
      </c>
      <c r="H54" s="12" t="s">
        <v>5</v>
      </c>
      <c r="I54" s="12" t="s">
        <v>4</v>
      </c>
      <c r="J54" s="11"/>
      <c r="K54" s="12"/>
    </row>
    <row r="55" spans="2:11" ht="19.5" thickBot="1" x14ac:dyDescent="0.35">
      <c r="B55" s="68"/>
      <c r="C55" s="41" t="s">
        <v>0</v>
      </c>
      <c r="D55" s="40">
        <v>93998.69</v>
      </c>
      <c r="E55" s="40">
        <v>0</v>
      </c>
      <c r="F55" s="40">
        <f>SUM(D55:E55)</f>
        <v>93998.69</v>
      </c>
      <c r="G55" s="40">
        <v>4548.6899999999996</v>
      </c>
      <c r="H55" s="30">
        <v>39499.01</v>
      </c>
      <c r="I55" s="30">
        <f>SUM(G55:H55)</f>
        <v>44047.700000000004</v>
      </c>
      <c r="J55" s="30">
        <v>0</v>
      </c>
      <c r="K55" s="34">
        <v>71637.62</v>
      </c>
    </row>
    <row r="56" spans="2:11" ht="18.75" x14ac:dyDescent="0.3">
      <c r="B56" s="63">
        <v>44150</v>
      </c>
      <c r="C56" s="20" t="s">
        <v>841</v>
      </c>
      <c r="D56" s="55"/>
      <c r="E56" s="21"/>
      <c r="F56" s="21"/>
      <c r="G56" s="21"/>
      <c r="H56" s="21">
        <v>400</v>
      </c>
      <c r="I56" s="22"/>
      <c r="J56" s="23">
        <f t="shared" ref="J56:J102" si="2">+J55+E56-G56</f>
        <v>0</v>
      </c>
      <c r="K56" s="23">
        <f t="shared" ref="K56:K102" si="3">+K55+D56-H56</f>
        <v>71237.62</v>
      </c>
    </row>
    <row r="57" spans="2:11" ht="18.75" x14ac:dyDescent="0.3">
      <c r="B57" s="63">
        <v>44150</v>
      </c>
      <c r="C57" s="20" t="s">
        <v>842</v>
      </c>
      <c r="D57" s="21"/>
      <c r="E57" s="21"/>
      <c r="F57" s="21"/>
      <c r="G57" s="21"/>
      <c r="H57" s="21">
        <v>1500</v>
      </c>
      <c r="I57" s="22"/>
      <c r="J57" s="23">
        <f t="shared" si="2"/>
        <v>0</v>
      </c>
      <c r="K57" s="23">
        <f t="shared" si="3"/>
        <v>69737.62</v>
      </c>
    </row>
    <row r="58" spans="2:11" ht="18.75" x14ac:dyDescent="0.3">
      <c r="B58" s="63">
        <v>44150</v>
      </c>
      <c r="C58" s="20" t="s">
        <v>843</v>
      </c>
      <c r="D58" s="21"/>
      <c r="E58" s="21"/>
      <c r="F58" s="21"/>
      <c r="G58" s="21"/>
      <c r="H58" s="21">
        <v>400</v>
      </c>
      <c r="I58" s="22"/>
      <c r="J58" s="23">
        <f t="shared" si="2"/>
        <v>0</v>
      </c>
      <c r="K58" s="23">
        <f t="shared" si="3"/>
        <v>69337.62</v>
      </c>
    </row>
    <row r="59" spans="2:11" ht="18.75" x14ac:dyDescent="0.3">
      <c r="B59" s="63">
        <v>44150</v>
      </c>
      <c r="C59" s="48" t="s">
        <v>886</v>
      </c>
      <c r="D59" s="21"/>
      <c r="E59" s="21"/>
      <c r="F59" s="21"/>
      <c r="G59" s="21"/>
      <c r="H59" s="21">
        <v>29250</v>
      </c>
      <c r="I59" s="22"/>
      <c r="J59" s="23">
        <f t="shared" si="2"/>
        <v>0</v>
      </c>
      <c r="K59" s="23">
        <f t="shared" si="3"/>
        <v>40087.619999999995</v>
      </c>
    </row>
    <row r="60" spans="2:11" ht="18.75" x14ac:dyDescent="0.3">
      <c r="B60" s="63">
        <v>44150</v>
      </c>
      <c r="C60" s="48" t="s">
        <v>299</v>
      </c>
      <c r="D60" s="37"/>
      <c r="E60" s="37"/>
      <c r="F60" s="37"/>
      <c r="G60" s="37"/>
      <c r="H60" s="21">
        <v>5400</v>
      </c>
      <c r="I60" s="22"/>
      <c r="J60" s="23">
        <f t="shared" si="2"/>
        <v>0</v>
      </c>
      <c r="K60" s="23">
        <f t="shared" si="3"/>
        <v>34687.619999999995</v>
      </c>
    </row>
    <row r="61" spans="2:11" ht="18.75" x14ac:dyDescent="0.3">
      <c r="B61" s="63">
        <v>44150</v>
      </c>
      <c r="C61" s="74" t="s">
        <v>339</v>
      </c>
      <c r="D61" s="21">
        <v>27700</v>
      </c>
      <c r="E61" s="21"/>
      <c r="F61" s="21"/>
      <c r="G61" s="21"/>
      <c r="H61" s="21"/>
      <c r="I61" s="22"/>
      <c r="J61" s="23">
        <f t="shared" si="2"/>
        <v>0</v>
      </c>
      <c r="K61" s="23">
        <f t="shared" si="3"/>
        <v>62387.619999999995</v>
      </c>
    </row>
    <row r="62" spans="2:11" ht="18.75" x14ac:dyDescent="0.3">
      <c r="B62" s="63">
        <v>44152</v>
      </c>
      <c r="C62" s="74" t="s">
        <v>844</v>
      </c>
      <c r="D62" s="21"/>
      <c r="E62" s="21"/>
      <c r="F62" s="21"/>
      <c r="G62" s="21"/>
      <c r="H62" s="21">
        <v>2600</v>
      </c>
      <c r="I62" s="22"/>
      <c r="J62" s="23">
        <f t="shared" si="2"/>
        <v>0</v>
      </c>
      <c r="K62" s="23">
        <f t="shared" si="3"/>
        <v>59787.619999999995</v>
      </c>
    </row>
    <row r="63" spans="2:11" ht="18.75" x14ac:dyDescent="0.3">
      <c r="B63" s="63">
        <v>44152</v>
      </c>
      <c r="C63" s="24" t="s">
        <v>783</v>
      </c>
      <c r="D63" s="37"/>
      <c r="E63" s="37"/>
      <c r="F63" s="37"/>
      <c r="G63" s="21"/>
      <c r="H63" s="21">
        <v>200</v>
      </c>
      <c r="I63" s="22"/>
      <c r="J63" s="23">
        <f>+J62+E63-G63</f>
        <v>0</v>
      </c>
      <c r="K63" s="23">
        <f>+K62+D63-H63</f>
        <v>59587.619999999995</v>
      </c>
    </row>
    <row r="64" spans="2:11" ht="18.75" x14ac:dyDescent="0.3">
      <c r="B64" s="63">
        <v>44153</v>
      </c>
      <c r="C64" s="24" t="s">
        <v>759</v>
      </c>
      <c r="D64" s="37"/>
      <c r="E64" s="37"/>
      <c r="F64" s="37"/>
      <c r="G64" s="69"/>
      <c r="H64" s="21">
        <v>490</v>
      </c>
      <c r="I64" s="22"/>
      <c r="J64" s="23">
        <f t="shared" si="2"/>
        <v>0</v>
      </c>
      <c r="K64" s="23">
        <f t="shared" si="3"/>
        <v>59097.619999999995</v>
      </c>
    </row>
    <row r="65" spans="2:12" ht="18.75" x14ac:dyDescent="0.3">
      <c r="B65" s="63">
        <v>44155</v>
      </c>
      <c r="C65" s="48" t="s">
        <v>845</v>
      </c>
      <c r="D65" s="21"/>
      <c r="E65" s="21"/>
      <c r="F65" s="21"/>
      <c r="G65" s="21"/>
      <c r="H65" s="57">
        <v>82</v>
      </c>
      <c r="I65" s="22"/>
      <c r="J65" s="23">
        <f t="shared" si="2"/>
        <v>0</v>
      </c>
      <c r="K65" s="23">
        <f t="shared" si="3"/>
        <v>59015.619999999995</v>
      </c>
    </row>
    <row r="66" spans="2:12" ht="18.75" x14ac:dyDescent="0.3">
      <c r="B66" s="63">
        <v>44155</v>
      </c>
      <c r="C66" s="74" t="s">
        <v>846</v>
      </c>
      <c r="D66" s="21"/>
      <c r="E66" s="21"/>
      <c r="F66" s="21"/>
      <c r="G66" s="21"/>
      <c r="H66" s="57">
        <v>1600</v>
      </c>
      <c r="I66" s="22"/>
      <c r="J66" s="23">
        <f t="shared" si="2"/>
        <v>0</v>
      </c>
      <c r="K66" s="23">
        <f t="shared" si="3"/>
        <v>57415.619999999995</v>
      </c>
    </row>
    <row r="67" spans="2:12" ht="18.75" x14ac:dyDescent="0.3">
      <c r="B67" s="63">
        <v>44155</v>
      </c>
      <c r="C67" s="20" t="s">
        <v>847</v>
      </c>
      <c r="D67" s="21"/>
      <c r="E67" s="21"/>
      <c r="F67" s="21"/>
      <c r="G67" s="21"/>
      <c r="H67" s="21">
        <v>1400</v>
      </c>
      <c r="I67" s="22"/>
      <c r="J67" s="23">
        <f t="shared" si="2"/>
        <v>0</v>
      </c>
      <c r="K67" s="23">
        <f t="shared" si="3"/>
        <v>56015.619999999995</v>
      </c>
    </row>
    <row r="68" spans="2:12" ht="18.75" x14ac:dyDescent="0.3">
      <c r="B68" s="63">
        <v>44124</v>
      </c>
      <c r="C68" s="24" t="s">
        <v>848</v>
      </c>
      <c r="D68" s="21"/>
      <c r="E68" s="21"/>
      <c r="F68" s="21"/>
      <c r="G68" s="21"/>
      <c r="H68" s="21">
        <v>1000</v>
      </c>
      <c r="I68" s="22"/>
      <c r="J68" s="23">
        <f t="shared" si="2"/>
        <v>0</v>
      </c>
      <c r="K68" s="23">
        <f t="shared" si="3"/>
        <v>55015.619999999995</v>
      </c>
    </row>
    <row r="69" spans="2:12" ht="18.75" x14ac:dyDescent="0.3">
      <c r="B69" s="63">
        <v>44155</v>
      </c>
      <c r="C69" s="58" t="s">
        <v>887</v>
      </c>
      <c r="D69" s="21"/>
      <c r="E69" s="21"/>
      <c r="F69" s="21"/>
      <c r="G69" s="21"/>
      <c r="H69" s="21">
        <v>4000</v>
      </c>
      <c r="I69" s="22"/>
      <c r="J69" s="23">
        <f t="shared" si="2"/>
        <v>0</v>
      </c>
      <c r="K69" s="23">
        <f t="shared" si="3"/>
        <v>51015.619999999995</v>
      </c>
    </row>
    <row r="70" spans="2:12" ht="18.75" x14ac:dyDescent="0.3">
      <c r="B70" s="62">
        <v>44155</v>
      </c>
      <c r="C70" s="74" t="s">
        <v>414</v>
      </c>
      <c r="D70" s="17"/>
      <c r="E70" s="17"/>
      <c r="F70" s="17"/>
      <c r="G70" s="17"/>
      <c r="H70" s="17">
        <v>400</v>
      </c>
      <c r="I70" s="22"/>
      <c r="J70" s="23">
        <f t="shared" si="2"/>
        <v>0</v>
      </c>
      <c r="K70" s="23">
        <f t="shared" si="3"/>
        <v>50615.619999999995</v>
      </c>
    </row>
    <row r="71" spans="2:12" ht="18.75" x14ac:dyDescent="0.3">
      <c r="B71" s="63">
        <v>44157</v>
      </c>
      <c r="C71" s="24" t="s">
        <v>759</v>
      </c>
      <c r="D71" s="21"/>
      <c r="E71" s="21"/>
      <c r="F71" s="21"/>
      <c r="G71" s="21"/>
      <c r="H71" s="21">
        <v>586.38</v>
      </c>
      <c r="I71" s="22"/>
      <c r="J71" s="23">
        <f t="shared" si="2"/>
        <v>0</v>
      </c>
      <c r="K71" s="23">
        <f t="shared" si="3"/>
        <v>50029.24</v>
      </c>
    </row>
    <row r="72" spans="2:12" ht="18.75" x14ac:dyDescent="0.3">
      <c r="B72" s="63">
        <v>44157</v>
      </c>
      <c r="C72" s="58" t="s">
        <v>888</v>
      </c>
      <c r="D72" s="21"/>
      <c r="E72" s="21"/>
      <c r="F72" s="21"/>
      <c r="G72" s="21"/>
      <c r="H72" s="21">
        <v>100</v>
      </c>
      <c r="I72" s="22"/>
      <c r="J72" s="23">
        <f t="shared" si="2"/>
        <v>0</v>
      </c>
      <c r="K72" s="23">
        <f t="shared" si="3"/>
        <v>49929.24</v>
      </c>
    </row>
    <row r="73" spans="2:12" ht="18.75" x14ac:dyDescent="0.3">
      <c r="B73" s="63">
        <v>44157</v>
      </c>
      <c r="C73" s="36" t="s">
        <v>850</v>
      </c>
      <c r="D73" s="21"/>
      <c r="E73" s="21"/>
      <c r="F73" s="21"/>
      <c r="G73" s="21"/>
      <c r="H73" s="21">
        <v>900</v>
      </c>
      <c r="I73" s="22"/>
      <c r="J73" s="23">
        <f t="shared" si="2"/>
        <v>0</v>
      </c>
      <c r="K73" s="23">
        <f t="shared" si="3"/>
        <v>49029.24</v>
      </c>
      <c r="L73" s="1"/>
    </row>
    <row r="74" spans="2:12" ht="18.75" x14ac:dyDescent="0.3">
      <c r="B74" s="63">
        <v>44157</v>
      </c>
      <c r="C74" s="20" t="s">
        <v>763</v>
      </c>
      <c r="D74" s="37"/>
      <c r="E74" s="37"/>
      <c r="F74" s="37"/>
      <c r="G74" s="21"/>
      <c r="H74" s="21">
        <v>400</v>
      </c>
      <c r="I74" s="22"/>
      <c r="J74" s="23">
        <f t="shared" si="2"/>
        <v>0</v>
      </c>
      <c r="K74" s="23">
        <f t="shared" si="3"/>
        <v>48629.24</v>
      </c>
      <c r="L74" s="1"/>
    </row>
    <row r="75" spans="2:12" ht="18.75" x14ac:dyDescent="0.3">
      <c r="B75" s="63">
        <v>44157</v>
      </c>
      <c r="C75" s="20" t="s">
        <v>851</v>
      </c>
      <c r="D75" s="21"/>
      <c r="E75" s="21"/>
      <c r="F75" s="21"/>
      <c r="G75" s="21"/>
      <c r="H75" s="21">
        <v>200</v>
      </c>
      <c r="I75" s="22"/>
      <c r="J75" s="23">
        <f t="shared" si="2"/>
        <v>0</v>
      </c>
      <c r="K75" s="23">
        <f t="shared" si="3"/>
        <v>48429.24</v>
      </c>
      <c r="L75" s="1"/>
    </row>
    <row r="76" spans="2:12" ht="18.75" x14ac:dyDescent="0.3">
      <c r="B76" s="63">
        <v>44157</v>
      </c>
      <c r="C76" s="48" t="s">
        <v>340</v>
      </c>
      <c r="D76" s="37">
        <v>18350</v>
      </c>
      <c r="E76" s="37"/>
      <c r="F76" s="37"/>
      <c r="G76" s="69"/>
      <c r="H76" s="21"/>
      <c r="I76" s="22"/>
      <c r="J76" s="23">
        <f t="shared" si="2"/>
        <v>0</v>
      </c>
      <c r="K76" s="23">
        <f t="shared" si="3"/>
        <v>66779.239999999991</v>
      </c>
    </row>
    <row r="77" spans="2:12" ht="18.75" x14ac:dyDescent="0.3">
      <c r="B77" s="63">
        <v>44158</v>
      </c>
      <c r="C77" s="48" t="s">
        <v>852</v>
      </c>
      <c r="D77" s="37"/>
      <c r="E77" s="37"/>
      <c r="F77" s="37"/>
      <c r="G77" s="69"/>
      <c r="H77" s="21">
        <v>68</v>
      </c>
      <c r="I77" s="22"/>
      <c r="J77" s="23">
        <f t="shared" si="2"/>
        <v>0</v>
      </c>
      <c r="K77" s="23">
        <f t="shared" si="3"/>
        <v>66711.239999999991</v>
      </c>
    </row>
    <row r="78" spans="2:12" ht="18.75" x14ac:dyDescent="0.3">
      <c r="B78" s="63">
        <v>44158</v>
      </c>
      <c r="C78" s="36" t="s">
        <v>852</v>
      </c>
      <c r="D78" s="21"/>
      <c r="E78" s="21"/>
      <c r="F78" s="21"/>
      <c r="G78" s="21"/>
      <c r="H78" s="21">
        <v>81.02</v>
      </c>
      <c r="I78" s="22"/>
      <c r="J78" s="23">
        <f t="shared" si="2"/>
        <v>0</v>
      </c>
      <c r="K78" s="23">
        <f t="shared" si="3"/>
        <v>66630.219999999987</v>
      </c>
    </row>
    <row r="79" spans="2:12" ht="18.75" x14ac:dyDescent="0.3">
      <c r="B79" s="63">
        <v>44158</v>
      </c>
      <c r="C79" s="24" t="s">
        <v>853</v>
      </c>
      <c r="D79" s="21"/>
      <c r="E79" s="21"/>
      <c r="F79" s="21"/>
      <c r="G79" s="21"/>
      <c r="H79" s="21">
        <v>600</v>
      </c>
      <c r="I79" s="22"/>
      <c r="J79" s="23">
        <f t="shared" si="2"/>
        <v>0</v>
      </c>
      <c r="K79" s="23">
        <f t="shared" si="3"/>
        <v>66030.219999999987</v>
      </c>
    </row>
    <row r="80" spans="2:12" ht="18.75" x14ac:dyDescent="0.3">
      <c r="B80" s="63">
        <v>44160</v>
      </c>
      <c r="C80" s="24" t="s">
        <v>875</v>
      </c>
      <c r="D80" s="21"/>
      <c r="E80" s="21"/>
      <c r="F80" s="21"/>
      <c r="G80" s="21"/>
      <c r="H80" s="21">
        <v>1900</v>
      </c>
      <c r="I80" s="22"/>
      <c r="J80" s="23">
        <f t="shared" si="2"/>
        <v>0</v>
      </c>
      <c r="K80" s="23">
        <f t="shared" si="3"/>
        <v>64130.219999999987</v>
      </c>
    </row>
    <row r="81" spans="2:12" ht="18.75" x14ac:dyDescent="0.3">
      <c r="B81" s="63">
        <v>44160</v>
      </c>
      <c r="C81" s="20" t="s">
        <v>854</v>
      </c>
      <c r="D81" s="37"/>
      <c r="E81" s="21"/>
      <c r="F81" s="21"/>
      <c r="G81" s="21"/>
      <c r="H81" s="21">
        <v>1350</v>
      </c>
      <c r="I81" s="22"/>
      <c r="J81" s="23">
        <f t="shared" si="2"/>
        <v>0</v>
      </c>
      <c r="K81" s="23">
        <f t="shared" si="3"/>
        <v>62780.219999999987</v>
      </c>
    </row>
    <row r="82" spans="2:12" ht="18.75" x14ac:dyDescent="0.3">
      <c r="B82" s="63">
        <v>44160</v>
      </c>
      <c r="C82" s="20" t="s">
        <v>855</v>
      </c>
      <c r="D82" s="21"/>
      <c r="E82" s="21"/>
      <c r="F82" s="21"/>
      <c r="G82" s="21"/>
      <c r="H82" s="21">
        <v>123</v>
      </c>
      <c r="I82" s="22"/>
      <c r="J82" s="23">
        <f t="shared" si="2"/>
        <v>0</v>
      </c>
      <c r="K82" s="23">
        <f t="shared" si="3"/>
        <v>62657.219999999987</v>
      </c>
    </row>
    <row r="83" spans="2:12" ht="18.75" x14ac:dyDescent="0.3">
      <c r="B83" s="63">
        <v>44161</v>
      </c>
      <c r="C83" s="20" t="s">
        <v>856</v>
      </c>
      <c r="D83" s="21"/>
      <c r="E83" s="21"/>
      <c r="F83" s="21"/>
      <c r="G83" s="21"/>
      <c r="H83" s="21">
        <v>890</v>
      </c>
      <c r="I83" s="22"/>
      <c r="J83" s="23">
        <f t="shared" si="2"/>
        <v>0</v>
      </c>
      <c r="K83" s="23">
        <f t="shared" si="3"/>
        <v>61767.219999999987</v>
      </c>
    </row>
    <row r="84" spans="2:12" ht="18.75" x14ac:dyDescent="0.3">
      <c r="B84" s="63">
        <v>44161</v>
      </c>
      <c r="C84" s="27" t="s">
        <v>857</v>
      </c>
      <c r="D84" s="21"/>
      <c r="E84" s="21"/>
      <c r="F84" s="21"/>
      <c r="G84" s="21"/>
      <c r="H84" s="21">
        <v>200</v>
      </c>
      <c r="I84" s="22"/>
      <c r="J84" s="23">
        <f t="shared" si="2"/>
        <v>0</v>
      </c>
      <c r="K84" s="23">
        <f t="shared" si="3"/>
        <v>61567.219999999987</v>
      </c>
    </row>
    <row r="85" spans="2:12" ht="18.75" x14ac:dyDescent="0.3">
      <c r="B85" s="63">
        <v>44161</v>
      </c>
      <c r="C85" s="20" t="s">
        <v>858</v>
      </c>
      <c r="D85" s="21"/>
      <c r="E85" s="21"/>
      <c r="F85" s="21"/>
      <c r="G85" s="21"/>
      <c r="H85" s="21">
        <v>30</v>
      </c>
      <c r="I85" s="22"/>
      <c r="J85" s="23">
        <f t="shared" si="2"/>
        <v>0</v>
      </c>
      <c r="K85" s="23">
        <f t="shared" si="3"/>
        <v>61537.219999999987</v>
      </c>
    </row>
    <row r="86" spans="2:12" ht="18.75" x14ac:dyDescent="0.3">
      <c r="B86" s="63">
        <v>44161</v>
      </c>
      <c r="C86" s="20" t="s">
        <v>859</v>
      </c>
      <c r="D86" s="21"/>
      <c r="E86" s="21"/>
      <c r="F86" s="21"/>
      <c r="G86" s="21"/>
      <c r="H86" s="21">
        <v>235</v>
      </c>
      <c r="I86" s="22"/>
      <c r="J86" s="23">
        <f t="shared" si="2"/>
        <v>0</v>
      </c>
      <c r="K86" s="23">
        <f t="shared" si="3"/>
        <v>61302.219999999987</v>
      </c>
    </row>
    <row r="87" spans="2:12" ht="18.75" x14ac:dyDescent="0.3">
      <c r="B87" s="63">
        <v>44161</v>
      </c>
      <c r="C87" s="36" t="s">
        <v>860</v>
      </c>
      <c r="D87" s="21"/>
      <c r="E87" s="21"/>
      <c r="F87" s="21"/>
      <c r="G87" s="21"/>
      <c r="H87" s="57">
        <v>200</v>
      </c>
      <c r="I87" s="22"/>
      <c r="J87" s="23">
        <f t="shared" si="2"/>
        <v>0</v>
      </c>
      <c r="K87" s="23">
        <f t="shared" si="3"/>
        <v>61102.219999999987</v>
      </c>
    </row>
    <row r="88" spans="2:12" ht="18.75" x14ac:dyDescent="0.3">
      <c r="B88" s="63">
        <v>44162</v>
      </c>
      <c r="C88" s="27" t="s">
        <v>878</v>
      </c>
      <c r="D88" s="21"/>
      <c r="E88" s="21"/>
      <c r="F88" s="21"/>
      <c r="G88" s="21"/>
      <c r="H88" s="21">
        <v>650</v>
      </c>
      <c r="I88" s="22"/>
      <c r="J88" s="23">
        <f t="shared" si="2"/>
        <v>0</v>
      </c>
      <c r="K88" s="23">
        <f t="shared" si="3"/>
        <v>60452.219999999987</v>
      </c>
    </row>
    <row r="89" spans="2:12" ht="18.75" x14ac:dyDescent="0.3">
      <c r="B89" s="63">
        <v>44162</v>
      </c>
      <c r="C89" s="20" t="s">
        <v>861</v>
      </c>
      <c r="D89" s="21"/>
      <c r="E89" s="21"/>
      <c r="F89" s="21"/>
      <c r="G89" s="21"/>
      <c r="H89" s="21">
        <v>4300</v>
      </c>
      <c r="I89" s="22"/>
      <c r="J89" s="23">
        <f t="shared" si="2"/>
        <v>0</v>
      </c>
      <c r="K89" s="23">
        <f t="shared" si="3"/>
        <v>56152.219999999987</v>
      </c>
      <c r="L89" s="1"/>
    </row>
    <row r="90" spans="2:12" ht="18.75" x14ac:dyDescent="0.3">
      <c r="B90" s="63">
        <v>44162</v>
      </c>
      <c r="C90" s="48" t="s">
        <v>845</v>
      </c>
      <c r="D90" s="21"/>
      <c r="E90" s="21"/>
      <c r="F90" s="21"/>
      <c r="G90" s="21"/>
      <c r="H90" s="21">
        <v>82</v>
      </c>
      <c r="I90" s="22"/>
      <c r="J90" s="23">
        <f t="shared" si="2"/>
        <v>0</v>
      </c>
      <c r="K90" s="23">
        <f t="shared" si="3"/>
        <v>56070.219999999987</v>
      </c>
    </row>
    <row r="91" spans="2:12" ht="18.75" x14ac:dyDescent="0.3">
      <c r="B91" s="63">
        <v>44163</v>
      </c>
      <c r="C91" s="20" t="s">
        <v>862</v>
      </c>
      <c r="D91" s="21"/>
      <c r="E91" s="21"/>
      <c r="F91" s="21"/>
      <c r="G91" s="21"/>
      <c r="H91" s="21">
        <v>2699</v>
      </c>
      <c r="I91" s="22"/>
      <c r="J91" s="23">
        <f t="shared" si="2"/>
        <v>0</v>
      </c>
      <c r="K91" s="23">
        <f t="shared" si="3"/>
        <v>53371.219999999987</v>
      </c>
    </row>
    <row r="92" spans="2:12" ht="18.75" x14ac:dyDescent="0.3">
      <c r="B92" s="63">
        <v>44163</v>
      </c>
      <c r="C92" s="20" t="s">
        <v>863</v>
      </c>
      <c r="D92" s="21"/>
      <c r="E92" s="21"/>
      <c r="F92" s="21"/>
      <c r="G92" s="21"/>
      <c r="H92" s="21">
        <v>200</v>
      </c>
      <c r="I92" s="22"/>
      <c r="J92" s="23">
        <f t="shared" si="2"/>
        <v>0</v>
      </c>
      <c r="K92" s="23">
        <f t="shared" si="3"/>
        <v>53171.219999999987</v>
      </c>
    </row>
    <row r="93" spans="2:12" ht="18.75" x14ac:dyDescent="0.3">
      <c r="B93" s="63">
        <v>44164</v>
      </c>
      <c r="C93" s="20" t="s">
        <v>433</v>
      </c>
      <c r="D93" s="21"/>
      <c r="E93" s="21"/>
      <c r="F93" s="21"/>
      <c r="G93" s="21"/>
      <c r="H93" s="21">
        <v>22</v>
      </c>
      <c r="I93" s="22"/>
      <c r="J93" s="23">
        <f t="shared" si="2"/>
        <v>0</v>
      </c>
      <c r="K93" s="23">
        <f t="shared" si="3"/>
        <v>53149.219999999987</v>
      </c>
    </row>
    <row r="94" spans="2:12" ht="18.75" x14ac:dyDescent="0.3">
      <c r="B94" s="63">
        <v>44164</v>
      </c>
      <c r="C94" s="58" t="s">
        <v>432</v>
      </c>
      <c r="D94" s="21"/>
      <c r="E94" s="21"/>
      <c r="F94" s="21"/>
      <c r="G94" s="21"/>
      <c r="H94" s="21">
        <v>100</v>
      </c>
      <c r="I94" s="22"/>
      <c r="J94" s="23">
        <f t="shared" si="2"/>
        <v>0</v>
      </c>
      <c r="K94" s="23">
        <f t="shared" si="3"/>
        <v>53049.219999999987</v>
      </c>
    </row>
    <row r="95" spans="2:12" ht="18.75" x14ac:dyDescent="0.3">
      <c r="B95" s="63">
        <v>29</v>
      </c>
      <c r="C95" s="20" t="s">
        <v>864</v>
      </c>
      <c r="D95" s="21"/>
      <c r="E95" s="21"/>
      <c r="F95" s="21"/>
      <c r="G95" s="21"/>
      <c r="H95" s="21">
        <v>200</v>
      </c>
      <c r="I95" s="22"/>
      <c r="J95" s="23">
        <f t="shared" si="2"/>
        <v>0</v>
      </c>
      <c r="K95" s="23">
        <f t="shared" si="3"/>
        <v>52849.219999999987</v>
      </c>
      <c r="L95" s="1"/>
    </row>
    <row r="96" spans="2:12" ht="18.75" x14ac:dyDescent="0.3">
      <c r="B96" s="63">
        <v>44164</v>
      </c>
      <c r="C96" s="20" t="s">
        <v>865</v>
      </c>
      <c r="D96" s="21"/>
      <c r="E96" s="21"/>
      <c r="F96" s="21"/>
      <c r="G96" s="21"/>
      <c r="H96" s="21">
        <v>350</v>
      </c>
      <c r="I96" s="22"/>
      <c r="J96" s="23">
        <f t="shared" si="2"/>
        <v>0</v>
      </c>
      <c r="K96" s="23">
        <f t="shared" si="3"/>
        <v>52499.219999999987</v>
      </c>
    </row>
    <row r="97" spans="2:13" ht="18.75" x14ac:dyDescent="0.3">
      <c r="B97" s="63">
        <v>44164</v>
      </c>
      <c r="C97" s="27" t="s">
        <v>866</v>
      </c>
      <c r="D97" s="21"/>
      <c r="E97" s="21"/>
      <c r="F97" s="21"/>
      <c r="G97" s="21"/>
      <c r="H97" s="21">
        <v>3000</v>
      </c>
      <c r="I97" s="22"/>
      <c r="J97" s="23">
        <f t="shared" si="2"/>
        <v>0</v>
      </c>
      <c r="K97" s="23">
        <f t="shared" si="3"/>
        <v>49499.219999999987</v>
      </c>
      <c r="L97" s="5"/>
    </row>
    <row r="98" spans="2:13" ht="18.75" x14ac:dyDescent="0.3">
      <c r="B98" s="63">
        <v>44164</v>
      </c>
      <c r="C98" s="27" t="s">
        <v>867</v>
      </c>
      <c r="D98" s="21"/>
      <c r="E98" s="21"/>
      <c r="F98" s="21"/>
      <c r="G98" s="21"/>
      <c r="H98" s="21">
        <v>400</v>
      </c>
      <c r="I98" s="22"/>
      <c r="J98" s="23">
        <f t="shared" si="2"/>
        <v>0</v>
      </c>
      <c r="K98" s="23">
        <f t="shared" si="3"/>
        <v>49099.219999999987</v>
      </c>
    </row>
    <row r="99" spans="2:13" ht="18.75" x14ac:dyDescent="0.3">
      <c r="B99" s="63">
        <v>43859</v>
      </c>
      <c r="C99" s="24" t="s">
        <v>879</v>
      </c>
      <c r="D99" s="37">
        <v>26650</v>
      </c>
      <c r="E99" s="21"/>
      <c r="F99" s="21"/>
      <c r="G99" s="21"/>
      <c r="H99" s="21"/>
      <c r="I99" s="22"/>
      <c r="J99" s="23">
        <f t="shared" si="2"/>
        <v>0</v>
      </c>
      <c r="K99" s="23">
        <f t="shared" si="3"/>
        <v>75749.219999999987</v>
      </c>
    </row>
    <row r="100" spans="2:13" ht="18.75" x14ac:dyDescent="0.3">
      <c r="B100" s="63">
        <v>44165</v>
      </c>
      <c r="C100" s="24" t="s">
        <v>876</v>
      </c>
      <c r="D100" s="37"/>
      <c r="E100" s="21"/>
      <c r="F100" s="21"/>
      <c r="G100" s="21"/>
      <c r="H100" s="21">
        <v>1000</v>
      </c>
      <c r="I100" s="22"/>
      <c r="J100" s="23">
        <f t="shared" si="2"/>
        <v>0</v>
      </c>
      <c r="K100" s="23">
        <f t="shared" si="3"/>
        <v>74749.219999999987</v>
      </c>
    </row>
    <row r="101" spans="2:13" ht="18.75" x14ac:dyDescent="0.3">
      <c r="B101" s="63">
        <v>44165</v>
      </c>
      <c r="C101" s="74" t="s">
        <v>868</v>
      </c>
      <c r="D101" s="37"/>
      <c r="E101" s="21"/>
      <c r="F101" s="21"/>
      <c r="G101" s="21"/>
      <c r="H101" s="21">
        <v>300</v>
      </c>
      <c r="I101" s="22"/>
      <c r="J101" s="23">
        <f t="shared" si="2"/>
        <v>0</v>
      </c>
      <c r="K101" s="23">
        <f t="shared" si="3"/>
        <v>74449.219999999987</v>
      </c>
    </row>
    <row r="102" spans="2:13" ht="18.75" x14ac:dyDescent="0.3">
      <c r="B102" s="63">
        <v>44165</v>
      </c>
      <c r="C102" s="24" t="s">
        <v>736</v>
      </c>
      <c r="D102" s="21"/>
      <c r="E102" s="21"/>
      <c r="F102" s="21"/>
      <c r="G102" s="22"/>
      <c r="H102" s="21">
        <v>650</v>
      </c>
      <c r="I102" s="22"/>
      <c r="J102" s="23">
        <f t="shared" si="2"/>
        <v>0</v>
      </c>
      <c r="K102" s="23">
        <f t="shared" si="3"/>
        <v>73799.219999999987</v>
      </c>
    </row>
    <row r="103" spans="2:13" ht="19.5" thickBot="1" x14ac:dyDescent="0.35">
      <c r="B103" s="63">
        <v>44165</v>
      </c>
      <c r="C103" s="24" t="s">
        <v>869</v>
      </c>
      <c r="D103" s="21"/>
      <c r="E103" s="21"/>
      <c r="F103" s="21"/>
      <c r="G103" s="22"/>
      <c r="H103" s="21">
        <v>200</v>
      </c>
      <c r="I103" s="22"/>
      <c r="J103" s="23">
        <f>+J102+E103-G103</f>
        <v>0</v>
      </c>
      <c r="K103" s="23">
        <f>+K102+D103-H103</f>
        <v>73599.219999999987</v>
      </c>
    </row>
    <row r="104" spans="2:13" ht="19.5" thickBot="1" x14ac:dyDescent="0.35">
      <c r="B104" s="65"/>
      <c r="C104" s="29" t="s">
        <v>0</v>
      </c>
      <c r="D104" s="40">
        <f>SUM(D55:D103)</f>
        <v>166698.69</v>
      </c>
      <c r="E104" s="66">
        <f>SUM(E55:E103)</f>
        <v>0</v>
      </c>
      <c r="F104" s="67">
        <f>SUM(D104:E104)</f>
        <v>166698.69</v>
      </c>
      <c r="G104" s="67">
        <f>SUM(G55:G103)</f>
        <v>4548.6899999999996</v>
      </c>
      <c r="H104" s="30">
        <f>SUM(H55:H103)</f>
        <v>110237.41000000002</v>
      </c>
      <c r="I104" s="32">
        <f>SUM(G104:H104)</f>
        <v>114786.10000000002</v>
      </c>
      <c r="J104" s="34"/>
      <c r="K104" s="34"/>
      <c r="L104" s="1"/>
      <c r="M104" s="1"/>
    </row>
    <row r="105" spans="2:13" ht="18.75" x14ac:dyDescent="0.3">
      <c r="B105" s="60" t="s">
        <v>1</v>
      </c>
      <c r="C105" s="9" t="s">
        <v>2</v>
      </c>
      <c r="D105" s="9" t="s">
        <v>3</v>
      </c>
      <c r="E105" s="9" t="s">
        <v>3</v>
      </c>
      <c r="F105" s="9" t="s">
        <v>8</v>
      </c>
      <c r="G105" s="9" t="s">
        <v>9</v>
      </c>
      <c r="H105" s="10" t="s">
        <v>9</v>
      </c>
      <c r="I105" s="10" t="s">
        <v>8</v>
      </c>
      <c r="J105" s="9" t="s">
        <v>7</v>
      </c>
      <c r="K105" s="10" t="s">
        <v>6</v>
      </c>
      <c r="L105" s="1"/>
    </row>
    <row r="106" spans="2:13" ht="19.5" thickBot="1" x14ac:dyDescent="0.35">
      <c r="B106" s="61"/>
      <c r="C106" s="11"/>
      <c r="D106" s="11" t="s">
        <v>5</v>
      </c>
      <c r="E106" s="11" t="s">
        <v>7</v>
      </c>
      <c r="F106" s="11" t="s">
        <v>3</v>
      </c>
      <c r="G106" s="11" t="s">
        <v>7</v>
      </c>
      <c r="H106" s="12" t="s">
        <v>5</v>
      </c>
      <c r="I106" s="12" t="s">
        <v>4</v>
      </c>
      <c r="J106" s="11"/>
      <c r="K106" s="12"/>
      <c r="L106" s="1"/>
    </row>
    <row r="107" spans="2:13" ht="19.5" thickBot="1" x14ac:dyDescent="0.35">
      <c r="B107" s="68"/>
      <c r="C107" s="41" t="s">
        <v>0</v>
      </c>
      <c r="D107" s="40">
        <v>166698.69</v>
      </c>
      <c r="E107" s="40">
        <v>0</v>
      </c>
      <c r="F107" s="40">
        <f>SUM(D107:E107)</f>
        <v>166698.69</v>
      </c>
      <c r="G107" s="40">
        <v>4548.6899999999996</v>
      </c>
      <c r="H107" s="30">
        <v>110237.41</v>
      </c>
      <c r="I107" s="30">
        <f>SUM(G107:H107)</f>
        <v>114786.1</v>
      </c>
      <c r="J107" s="30">
        <v>0</v>
      </c>
      <c r="K107" s="34">
        <v>73599.22</v>
      </c>
      <c r="L107" s="1"/>
    </row>
    <row r="108" spans="2:13" ht="18.75" x14ac:dyDescent="0.3">
      <c r="B108" s="63">
        <v>44165</v>
      </c>
      <c r="C108" s="24" t="s">
        <v>735</v>
      </c>
      <c r="D108" s="21"/>
      <c r="E108" s="21"/>
      <c r="F108" s="21"/>
      <c r="G108" s="21"/>
      <c r="H108" s="21">
        <v>300</v>
      </c>
      <c r="I108" s="22"/>
      <c r="J108" s="23">
        <f>+J107+E108-G108</f>
        <v>0</v>
      </c>
      <c r="K108" s="23">
        <f>+K107+D108-H108</f>
        <v>73299.22</v>
      </c>
      <c r="L108" s="1"/>
    </row>
    <row r="109" spans="2:13" ht="18.75" x14ac:dyDescent="0.3">
      <c r="B109" s="63">
        <v>44165</v>
      </c>
      <c r="C109" s="20" t="s">
        <v>870</v>
      </c>
      <c r="D109" s="21"/>
      <c r="E109" s="21"/>
      <c r="F109" s="21"/>
      <c r="G109" s="21"/>
      <c r="H109" s="21">
        <v>400</v>
      </c>
      <c r="I109" s="22"/>
      <c r="J109" s="23">
        <f>+J108+E109-G109</f>
        <v>0</v>
      </c>
      <c r="K109" s="23">
        <f>+K108+D109-H109</f>
        <v>72899.22</v>
      </c>
      <c r="L109" s="1"/>
    </row>
    <row r="110" spans="2:13" ht="18.75" x14ac:dyDescent="0.3">
      <c r="B110" s="63">
        <v>44165</v>
      </c>
      <c r="C110" s="24" t="s">
        <v>875</v>
      </c>
      <c r="D110" s="21"/>
      <c r="E110" s="21"/>
      <c r="F110" s="21"/>
      <c r="G110" s="21"/>
      <c r="H110" s="21">
        <v>1900</v>
      </c>
      <c r="I110" s="22"/>
      <c r="J110" s="23">
        <f t="shared" ref="J110:J120" si="4">+J109+E110-G110</f>
        <v>0</v>
      </c>
      <c r="K110" s="23">
        <f t="shared" ref="K110:K120" si="5">+K109+D110-H110</f>
        <v>70999.22</v>
      </c>
      <c r="L110" s="1"/>
    </row>
    <row r="111" spans="2:13" ht="18.75" x14ac:dyDescent="0.3">
      <c r="B111" s="63">
        <v>44165</v>
      </c>
      <c r="C111" s="24" t="s">
        <v>874</v>
      </c>
      <c r="D111" s="21"/>
      <c r="E111" s="21"/>
      <c r="F111" s="21"/>
      <c r="G111" s="21"/>
      <c r="H111" s="21">
        <v>600</v>
      </c>
      <c r="I111" s="22"/>
      <c r="J111" s="23">
        <f t="shared" si="4"/>
        <v>0</v>
      </c>
      <c r="K111" s="23">
        <f t="shared" si="5"/>
        <v>70399.22</v>
      </c>
      <c r="L111" s="1"/>
    </row>
    <row r="112" spans="2:13" ht="18.75" x14ac:dyDescent="0.3">
      <c r="B112" s="63">
        <v>44165</v>
      </c>
      <c r="C112" s="24" t="s">
        <v>759</v>
      </c>
      <c r="D112" s="21"/>
      <c r="E112" s="21"/>
      <c r="F112" s="21"/>
      <c r="G112" s="21"/>
      <c r="H112" s="21">
        <v>380</v>
      </c>
      <c r="I112" s="22"/>
      <c r="J112" s="23">
        <f t="shared" si="4"/>
        <v>0</v>
      </c>
      <c r="K112" s="23">
        <f t="shared" si="5"/>
        <v>70019.22</v>
      </c>
      <c r="L112" s="1"/>
    </row>
    <row r="113" spans="2:12" ht="18.75" x14ac:dyDescent="0.3">
      <c r="B113" s="63">
        <v>44165</v>
      </c>
      <c r="C113" s="24" t="s">
        <v>638</v>
      </c>
      <c r="D113" s="21"/>
      <c r="E113" s="21"/>
      <c r="F113" s="21"/>
      <c r="G113" s="21"/>
      <c r="H113" s="21">
        <v>3200</v>
      </c>
      <c r="I113" s="22"/>
      <c r="J113" s="23">
        <f t="shared" si="4"/>
        <v>0</v>
      </c>
      <c r="K113" s="23">
        <f t="shared" si="5"/>
        <v>66819.22</v>
      </c>
      <c r="L113" s="1"/>
    </row>
    <row r="114" spans="2:12" ht="18.75" x14ac:dyDescent="0.3">
      <c r="B114" s="63">
        <v>44165</v>
      </c>
      <c r="C114" s="48" t="s">
        <v>873</v>
      </c>
      <c r="D114" s="21"/>
      <c r="E114" s="21"/>
      <c r="F114" s="21"/>
      <c r="G114" s="21"/>
      <c r="H114" s="21">
        <v>3000</v>
      </c>
      <c r="I114" s="22"/>
      <c r="J114" s="23">
        <f t="shared" si="4"/>
        <v>0</v>
      </c>
      <c r="K114" s="23">
        <f t="shared" si="5"/>
        <v>63819.22</v>
      </c>
      <c r="L114" s="1"/>
    </row>
    <row r="115" spans="2:12" ht="18.75" x14ac:dyDescent="0.3">
      <c r="B115" s="63">
        <v>44165</v>
      </c>
      <c r="C115" s="27" t="s">
        <v>880</v>
      </c>
      <c r="D115" s="26">
        <v>9000</v>
      </c>
      <c r="E115" s="26"/>
      <c r="F115" s="26"/>
      <c r="G115" s="26"/>
      <c r="H115" s="21"/>
      <c r="I115" s="22"/>
      <c r="J115" s="23">
        <f t="shared" si="4"/>
        <v>0</v>
      </c>
      <c r="K115" s="23">
        <f t="shared" si="5"/>
        <v>72819.22</v>
      </c>
      <c r="L115" s="1"/>
    </row>
    <row r="116" spans="2:12" ht="18.75" x14ac:dyDescent="0.3">
      <c r="B116" s="63">
        <v>44165</v>
      </c>
      <c r="C116" s="27" t="s">
        <v>872</v>
      </c>
      <c r="D116" s="26"/>
      <c r="E116" s="26"/>
      <c r="F116" s="26"/>
      <c r="G116" s="26"/>
      <c r="H116" s="21">
        <v>9000</v>
      </c>
      <c r="I116" s="22"/>
      <c r="J116" s="23">
        <f t="shared" si="4"/>
        <v>0</v>
      </c>
      <c r="K116" s="23">
        <f t="shared" si="5"/>
        <v>63819.22</v>
      </c>
      <c r="L116" s="1"/>
    </row>
    <row r="117" spans="2:12" ht="18.75" x14ac:dyDescent="0.3">
      <c r="B117" s="63">
        <v>44165</v>
      </c>
      <c r="C117" s="27" t="s">
        <v>871</v>
      </c>
      <c r="D117" s="26"/>
      <c r="E117" s="26"/>
      <c r="F117" s="26"/>
      <c r="G117" s="26"/>
      <c r="H117" s="21">
        <v>29250</v>
      </c>
      <c r="I117" s="22"/>
      <c r="J117" s="23">
        <f t="shared" si="4"/>
        <v>0</v>
      </c>
      <c r="K117" s="23">
        <f t="shared" si="5"/>
        <v>34569.22</v>
      </c>
      <c r="L117" s="1"/>
    </row>
    <row r="118" spans="2:12" ht="18.75" x14ac:dyDescent="0.3">
      <c r="B118" s="63">
        <v>44165</v>
      </c>
      <c r="C118" s="48" t="s">
        <v>299</v>
      </c>
      <c r="D118" s="21"/>
      <c r="E118" s="21"/>
      <c r="F118" s="21"/>
      <c r="G118" s="21"/>
      <c r="H118" s="21">
        <v>3800</v>
      </c>
      <c r="I118" s="22"/>
      <c r="J118" s="23">
        <f t="shared" si="4"/>
        <v>0</v>
      </c>
      <c r="K118" s="23">
        <f t="shared" si="5"/>
        <v>30769.22</v>
      </c>
      <c r="L118" s="1"/>
    </row>
    <row r="119" spans="2:12" ht="18.75" x14ac:dyDescent="0.3">
      <c r="B119" s="63"/>
      <c r="C119" s="24"/>
      <c r="D119" s="21"/>
      <c r="E119" s="21"/>
      <c r="F119" s="21"/>
      <c r="G119" s="22"/>
      <c r="H119" s="21"/>
      <c r="I119" s="22"/>
      <c r="J119" s="23">
        <f t="shared" si="4"/>
        <v>0</v>
      </c>
      <c r="K119" s="23">
        <f t="shared" si="5"/>
        <v>30769.22</v>
      </c>
      <c r="L119" s="1"/>
    </row>
    <row r="120" spans="2:12" ht="19.5" thickBot="1" x14ac:dyDescent="0.35">
      <c r="B120" s="63"/>
      <c r="C120" s="24"/>
      <c r="D120" s="21"/>
      <c r="E120" s="21"/>
      <c r="F120" s="21"/>
      <c r="G120" s="21"/>
      <c r="H120" s="21"/>
      <c r="I120" s="22"/>
      <c r="J120" s="23">
        <f t="shared" si="4"/>
        <v>0</v>
      </c>
      <c r="K120" s="23">
        <f t="shared" si="5"/>
        <v>30769.22</v>
      </c>
      <c r="L120" s="1"/>
    </row>
    <row r="121" spans="2:12" ht="19.5" thickBot="1" x14ac:dyDescent="0.35">
      <c r="B121" s="65"/>
      <c r="C121" s="29" t="s">
        <v>0</v>
      </c>
      <c r="D121" s="40">
        <f>SUM(D107:D120)</f>
        <v>175698.69</v>
      </c>
      <c r="E121" s="66">
        <f>SUM(E107:E120)</f>
        <v>0</v>
      </c>
      <c r="F121" s="67">
        <f>SUM(D121:E121)</f>
        <v>175698.69</v>
      </c>
      <c r="G121" s="67">
        <f>SUM(G107:G120)</f>
        <v>4548.6899999999996</v>
      </c>
      <c r="H121" s="30">
        <f>SUM(H107:H120)</f>
        <v>162067.41</v>
      </c>
      <c r="I121" s="32">
        <f>SUM(G121:H121)</f>
        <v>166616.1</v>
      </c>
      <c r="J121" s="34"/>
      <c r="K121" s="34"/>
      <c r="L121" s="1"/>
    </row>
    <row r="122" spans="2:12" ht="19.5" thickBot="1" x14ac:dyDescent="0.35">
      <c r="B122" s="70"/>
      <c r="C122" s="7"/>
      <c r="D122" s="7"/>
      <c r="E122" s="7"/>
      <c r="F122" s="7"/>
      <c r="G122" s="7"/>
      <c r="H122" s="7"/>
      <c r="I122" s="38" t="s">
        <v>7</v>
      </c>
      <c r="J122" s="38" t="s">
        <v>6</v>
      </c>
      <c r="K122" s="39" t="s">
        <v>0</v>
      </c>
    </row>
    <row r="123" spans="2:12" ht="19.5" thickBot="1" x14ac:dyDescent="0.35">
      <c r="B123" s="70"/>
      <c r="C123" s="7"/>
      <c r="D123" s="7"/>
      <c r="E123" s="7"/>
      <c r="F123" s="7"/>
      <c r="G123" s="7"/>
      <c r="H123" s="7"/>
      <c r="I123" s="34">
        <v>0</v>
      </c>
      <c r="J123" s="34">
        <v>30769.22</v>
      </c>
      <c r="K123" s="34">
        <f>SUM(I123:J123)</f>
        <v>30769.22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M124"/>
  <sheetViews>
    <sheetView tabSelected="1" zoomScale="80" zoomScaleNormal="80" workbookViewId="0">
      <pane ySplit="3" topLeftCell="A102" activePane="bottomLeft" state="frozen"/>
      <selection activeCell="B1" sqref="B1"/>
      <selection pane="bottomLeft" activeCell="C102" sqref="C102"/>
    </sheetView>
  </sheetViews>
  <sheetFormatPr baseColWidth="10" defaultRowHeight="15" x14ac:dyDescent="0.25"/>
  <cols>
    <col min="1" max="1" width="2" customWidth="1"/>
    <col min="2" max="2" width="13.7109375" customWidth="1"/>
    <col min="3" max="3" width="86.7109375" customWidth="1"/>
    <col min="4" max="11" width="13" customWidth="1"/>
    <col min="12" max="12" width="11.42578125" bestFit="1" customWidth="1"/>
  </cols>
  <sheetData>
    <row r="1" spans="2:11" ht="19.5" thickBot="1" x14ac:dyDescent="0.35">
      <c r="C1" s="8" t="s">
        <v>31</v>
      </c>
    </row>
    <row r="2" spans="2:11" ht="18.75" x14ac:dyDescent="0.3">
      <c r="B2" s="60" t="s">
        <v>1</v>
      </c>
      <c r="C2" s="9" t="s">
        <v>2</v>
      </c>
      <c r="D2" s="9" t="s">
        <v>3</v>
      </c>
      <c r="E2" s="9" t="s">
        <v>3</v>
      </c>
      <c r="F2" s="9" t="s">
        <v>8</v>
      </c>
      <c r="G2" s="9" t="s">
        <v>9</v>
      </c>
      <c r="H2" s="10" t="s">
        <v>9</v>
      </c>
      <c r="I2" s="10" t="s">
        <v>8</v>
      </c>
      <c r="J2" s="9" t="s">
        <v>7</v>
      </c>
      <c r="K2" s="10" t="s">
        <v>6</v>
      </c>
    </row>
    <row r="3" spans="2:11" ht="19.5" thickBot="1" x14ac:dyDescent="0.35">
      <c r="B3" s="61"/>
      <c r="C3" s="11"/>
      <c r="D3" s="11" t="s">
        <v>5</v>
      </c>
      <c r="E3" s="11" t="s">
        <v>7</v>
      </c>
      <c r="F3" s="11" t="s">
        <v>3</v>
      </c>
      <c r="G3" s="11" t="s">
        <v>7</v>
      </c>
      <c r="H3" s="12" t="s">
        <v>5</v>
      </c>
      <c r="I3" s="12" t="s">
        <v>4</v>
      </c>
      <c r="J3" s="11"/>
      <c r="K3" s="12"/>
    </row>
    <row r="4" spans="2:11" ht="18.75" x14ac:dyDescent="0.3">
      <c r="B4" s="73">
        <v>44165</v>
      </c>
      <c r="C4" s="14" t="s">
        <v>30</v>
      </c>
      <c r="D4" s="21"/>
      <c r="E4" s="21"/>
      <c r="F4" s="21"/>
      <c r="G4" s="21"/>
      <c r="H4" s="21"/>
      <c r="I4" s="22"/>
      <c r="J4" s="23">
        <f t="shared" ref="J4:J5" si="0">+J3+E4-G4</f>
        <v>0</v>
      </c>
      <c r="K4" s="23">
        <v>30769.22</v>
      </c>
    </row>
    <row r="5" spans="2:11" ht="18.75" x14ac:dyDescent="0.3">
      <c r="B5" s="62">
        <v>44168</v>
      </c>
      <c r="C5" s="24" t="s">
        <v>889</v>
      </c>
      <c r="D5" s="21"/>
      <c r="E5" s="21"/>
      <c r="F5" s="21"/>
      <c r="G5" s="21"/>
      <c r="H5" s="21">
        <v>600</v>
      </c>
      <c r="I5" s="22"/>
      <c r="J5" s="23">
        <f t="shared" si="0"/>
        <v>0</v>
      </c>
      <c r="K5" s="23">
        <f t="shared" ref="K5" si="1">+K4+D5-H5</f>
        <v>30169.22</v>
      </c>
    </row>
    <row r="6" spans="2:11" ht="18.75" x14ac:dyDescent="0.3">
      <c r="B6" s="62">
        <v>44169</v>
      </c>
      <c r="C6" s="24" t="s">
        <v>495</v>
      </c>
      <c r="D6" s="21"/>
      <c r="E6" s="21"/>
      <c r="F6" s="21"/>
      <c r="G6" s="21"/>
      <c r="H6" s="21">
        <v>200</v>
      </c>
      <c r="I6" s="22"/>
      <c r="J6" s="23">
        <f t="shared" ref="J6:J51" si="2">+J5+E6-G6</f>
        <v>0</v>
      </c>
      <c r="K6" s="23">
        <f t="shared" ref="K6:K51" si="3">+K5+D6-H6</f>
        <v>29969.22</v>
      </c>
    </row>
    <row r="7" spans="2:11" ht="18.75" x14ac:dyDescent="0.3">
      <c r="B7" s="63">
        <v>44169</v>
      </c>
      <c r="C7" s="74" t="s">
        <v>890</v>
      </c>
      <c r="D7" s="21"/>
      <c r="E7" s="21"/>
      <c r="F7" s="21"/>
      <c r="G7" s="21"/>
      <c r="H7" s="21">
        <v>300</v>
      </c>
      <c r="I7" s="22"/>
      <c r="J7" s="23">
        <f t="shared" si="2"/>
        <v>0</v>
      </c>
      <c r="K7" s="23">
        <f t="shared" si="3"/>
        <v>29669.22</v>
      </c>
    </row>
    <row r="8" spans="2:11" ht="18.75" x14ac:dyDescent="0.3">
      <c r="B8" s="63">
        <v>44169</v>
      </c>
      <c r="C8" s="20" t="s">
        <v>891</v>
      </c>
      <c r="D8" s="21"/>
      <c r="E8" s="21"/>
      <c r="F8" s="21"/>
      <c r="G8" s="21"/>
      <c r="H8" s="57">
        <v>370</v>
      </c>
      <c r="I8" s="22"/>
      <c r="J8" s="23">
        <f t="shared" si="2"/>
        <v>0</v>
      </c>
      <c r="K8" s="23">
        <f t="shared" si="3"/>
        <v>29299.22</v>
      </c>
    </row>
    <row r="9" spans="2:11" ht="18.75" x14ac:dyDescent="0.3">
      <c r="B9" s="63">
        <v>44169</v>
      </c>
      <c r="C9" s="20" t="s">
        <v>892</v>
      </c>
      <c r="D9" s="21"/>
      <c r="E9" s="21"/>
      <c r="F9" s="21"/>
      <c r="G9" s="21"/>
      <c r="H9" s="21">
        <v>164</v>
      </c>
      <c r="I9" s="22"/>
      <c r="J9" s="23">
        <f t="shared" si="2"/>
        <v>0</v>
      </c>
      <c r="K9" s="23">
        <f t="shared" si="3"/>
        <v>29135.22</v>
      </c>
    </row>
    <row r="10" spans="2:11" ht="18.75" x14ac:dyDescent="0.3">
      <c r="B10" s="63">
        <v>44170</v>
      </c>
      <c r="C10" s="20" t="s">
        <v>893</v>
      </c>
      <c r="D10" s="21"/>
      <c r="E10" s="21"/>
      <c r="F10" s="21"/>
      <c r="G10" s="21"/>
      <c r="H10" s="21">
        <v>550</v>
      </c>
      <c r="I10" s="22"/>
      <c r="J10" s="23">
        <f t="shared" si="2"/>
        <v>0</v>
      </c>
      <c r="K10" s="23">
        <f t="shared" si="3"/>
        <v>28585.22</v>
      </c>
    </row>
    <row r="11" spans="2:11" ht="18.75" x14ac:dyDescent="0.3">
      <c r="B11" s="63">
        <v>44109</v>
      </c>
      <c r="C11" s="20" t="s">
        <v>894</v>
      </c>
      <c r="D11" s="21"/>
      <c r="E11" s="21"/>
      <c r="F11" s="21"/>
      <c r="G11" s="21"/>
      <c r="H11" s="21">
        <v>38</v>
      </c>
      <c r="I11" s="22"/>
      <c r="J11" s="23">
        <f t="shared" si="2"/>
        <v>0</v>
      </c>
      <c r="K11" s="23">
        <f t="shared" si="3"/>
        <v>28547.22</v>
      </c>
    </row>
    <row r="12" spans="2:11" ht="18.75" x14ac:dyDescent="0.3">
      <c r="B12" s="63">
        <v>44110</v>
      </c>
      <c r="C12" s="74" t="s">
        <v>895</v>
      </c>
      <c r="D12" s="21"/>
      <c r="E12" s="21"/>
      <c r="F12" s="21"/>
      <c r="G12" s="21"/>
      <c r="H12" s="21">
        <v>40</v>
      </c>
      <c r="I12" s="22"/>
      <c r="J12" s="23">
        <f t="shared" si="2"/>
        <v>0</v>
      </c>
      <c r="K12" s="23">
        <f t="shared" si="3"/>
        <v>28507.22</v>
      </c>
    </row>
    <row r="13" spans="2:11" ht="18.75" x14ac:dyDescent="0.3">
      <c r="B13" s="63">
        <v>44110</v>
      </c>
      <c r="C13" s="20" t="s">
        <v>882</v>
      </c>
      <c r="D13" s="21"/>
      <c r="E13" s="21"/>
      <c r="F13" s="21"/>
      <c r="G13" s="21"/>
      <c r="H13" s="21">
        <v>100</v>
      </c>
      <c r="I13" s="22"/>
      <c r="J13" s="23">
        <f t="shared" si="2"/>
        <v>0</v>
      </c>
      <c r="K13" s="23">
        <f t="shared" si="3"/>
        <v>28407.22</v>
      </c>
    </row>
    <row r="14" spans="2:11" ht="18.75" x14ac:dyDescent="0.3">
      <c r="B14" s="63">
        <v>44171</v>
      </c>
      <c r="C14" s="20" t="s">
        <v>896</v>
      </c>
      <c r="D14" s="21"/>
      <c r="E14" s="21"/>
      <c r="F14" s="21"/>
      <c r="G14" s="21"/>
      <c r="H14" s="21">
        <v>200</v>
      </c>
      <c r="I14" s="22"/>
      <c r="J14" s="23">
        <f t="shared" si="2"/>
        <v>0</v>
      </c>
      <c r="K14" s="23">
        <f t="shared" si="3"/>
        <v>28207.22</v>
      </c>
    </row>
    <row r="15" spans="2:11" ht="18.75" x14ac:dyDescent="0.3">
      <c r="B15" s="63">
        <v>44171</v>
      </c>
      <c r="C15" s="24" t="s">
        <v>897</v>
      </c>
      <c r="D15" s="21"/>
      <c r="E15" s="21"/>
      <c r="F15" s="21"/>
      <c r="G15" s="21"/>
      <c r="H15" s="21">
        <v>130</v>
      </c>
      <c r="I15" s="22"/>
      <c r="J15" s="23">
        <f t="shared" si="2"/>
        <v>0</v>
      </c>
      <c r="K15" s="23">
        <f t="shared" si="3"/>
        <v>28077.22</v>
      </c>
    </row>
    <row r="16" spans="2:11" ht="18.75" x14ac:dyDescent="0.3">
      <c r="B16" s="63">
        <v>44171</v>
      </c>
      <c r="C16" s="20" t="s">
        <v>898</v>
      </c>
      <c r="D16" s="21">
        <v>66400</v>
      </c>
      <c r="E16" s="21"/>
      <c r="F16" s="21"/>
      <c r="G16" s="21"/>
      <c r="H16" s="57"/>
      <c r="I16" s="22"/>
      <c r="J16" s="23">
        <f t="shared" si="2"/>
        <v>0</v>
      </c>
      <c r="K16" s="23">
        <f t="shared" si="3"/>
        <v>94477.22</v>
      </c>
    </row>
    <row r="17" spans="2:11" ht="18.75" x14ac:dyDescent="0.3">
      <c r="B17" s="63">
        <v>44172</v>
      </c>
      <c r="C17" s="24" t="s">
        <v>899</v>
      </c>
      <c r="D17" s="21"/>
      <c r="E17" s="21"/>
      <c r="F17" s="21"/>
      <c r="G17" s="21"/>
      <c r="H17" s="21">
        <v>778</v>
      </c>
      <c r="I17" s="22"/>
      <c r="J17" s="23">
        <f t="shared" si="2"/>
        <v>0</v>
      </c>
      <c r="K17" s="23">
        <f t="shared" si="3"/>
        <v>93699.22</v>
      </c>
    </row>
    <row r="18" spans="2:11" ht="18.75" x14ac:dyDescent="0.3">
      <c r="B18" s="63">
        <v>44174</v>
      </c>
      <c r="C18" s="20" t="s">
        <v>900</v>
      </c>
      <c r="D18" s="21"/>
      <c r="E18" s="21"/>
      <c r="F18" s="21"/>
      <c r="G18" s="21"/>
      <c r="H18" s="21">
        <v>478</v>
      </c>
      <c r="I18" s="22"/>
      <c r="J18" s="23">
        <f t="shared" si="2"/>
        <v>0</v>
      </c>
      <c r="K18" s="23">
        <f t="shared" si="3"/>
        <v>93221.22</v>
      </c>
    </row>
    <row r="19" spans="2:11" ht="18.75" x14ac:dyDescent="0.3">
      <c r="B19" s="63">
        <v>44174</v>
      </c>
      <c r="C19" s="20" t="s">
        <v>901</v>
      </c>
      <c r="D19" s="21"/>
      <c r="E19" s="21"/>
      <c r="F19" s="21"/>
      <c r="G19" s="21"/>
      <c r="H19" s="21">
        <v>138.6</v>
      </c>
      <c r="I19" s="22"/>
      <c r="J19" s="23">
        <f t="shared" si="2"/>
        <v>0</v>
      </c>
      <c r="K19" s="23">
        <f t="shared" si="3"/>
        <v>93082.62</v>
      </c>
    </row>
    <row r="20" spans="2:11" ht="18.75" x14ac:dyDescent="0.3">
      <c r="B20" s="63">
        <v>44176</v>
      </c>
      <c r="C20" s="20" t="s">
        <v>902</v>
      </c>
      <c r="D20" s="21"/>
      <c r="E20" s="21"/>
      <c r="F20" s="21"/>
      <c r="G20" s="21"/>
      <c r="H20" s="21">
        <v>4072.1</v>
      </c>
      <c r="I20" s="22"/>
      <c r="J20" s="23">
        <f t="shared" si="2"/>
        <v>0</v>
      </c>
      <c r="K20" s="23">
        <f t="shared" si="3"/>
        <v>89010.51999999999</v>
      </c>
    </row>
    <row r="21" spans="2:11" ht="18.75" x14ac:dyDescent="0.3">
      <c r="B21" s="63">
        <v>44176</v>
      </c>
      <c r="C21" s="20" t="s">
        <v>939</v>
      </c>
      <c r="D21" s="21"/>
      <c r="E21" s="21"/>
      <c r="F21" s="21"/>
      <c r="G21" s="21"/>
      <c r="H21" s="57">
        <v>2174</v>
      </c>
      <c r="I21" s="22"/>
      <c r="J21" s="23">
        <f t="shared" si="2"/>
        <v>0</v>
      </c>
      <c r="K21" s="23">
        <f t="shared" si="3"/>
        <v>86836.51999999999</v>
      </c>
    </row>
    <row r="22" spans="2:11" ht="18.75" x14ac:dyDescent="0.3">
      <c r="B22" s="63">
        <v>44176</v>
      </c>
      <c r="C22" s="20" t="s">
        <v>903</v>
      </c>
      <c r="D22" s="21"/>
      <c r="E22" s="21"/>
      <c r="F22" s="21"/>
      <c r="G22" s="21"/>
      <c r="H22" s="57">
        <v>257.8</v>
      </c>
      <c r="I22" s="22"/>
      <c r="J22" s="23">
        <f t="shared" si="2"/>
        <v>0</v>
      </c>
      <c r="K22" s="23">
        <f t="shared" si="3"/>
        <v>86578.719999999987</v>
      </c>
    </row>
    <row r="23" spans="2:11" ht="18.75" x14ac:dyDescent="0.3">
      <c r="B23" s="63">
        <v>44176</v>
      </c>
      <c r="C23" s="20" t="s">
        <v>904</v>
      </c>
      <c r="D23" s="21"/>
      <c r="E23" s="21"/>
      <c r="F23" s="21"/>
      <c r="G23" s="21"/>
      <c r="H23" s="57">
        <v>5700</v>
      </c>
      <c r="I23" s="22"/>
      <c r="J23" s="23">
        <f t="shared" si="2"/>
        <v>0</v>
      </c>
      <c r="K23" s="23">
        <f t="shared" si="3"/>
        <v>80878.719999999987</v>
      </c>
    </row>
    <row r="24" spans="2:11" ht="18.75" x14ac:dyDescent="0.3">
      <c r="B24" s="63">
        <v>44177</v>
      </c>
      <c r="C24" s="20" t="s">
        <v>905</v>
      </c>
      <c r="D24" s="21"/>
      <c r="E24" s="21"/>
      <c r="F24" s="21"/>
      <c r="G24" s="21"/>
      <c r="H24" s="21">
        <v>2800</v>
      </c>
      <c r="I24" s="22"/>
      <c r="J24" s="23">
        <f t="shared" si="2"/>
        <v>0</v>
      </c>
      <c r="K24" s="23">
        <f t="shared" si="3"/>
        <v>78078.719999999987</v>
      </c>
    </row>
    <row r="25" spans="2:11" ht="18.75" x14ac:dyDescent="0.3">
      <c r="B25" s="63">
        <v>44177</v>
      </c>
      <c r="C25" s="20" t="s">
        <v>906</v>
      </c>
      <c r="D25" s="21"/>
      <c r="E25" s="21"/>
      <c r="F25" s="21"/>
      <c r="G25" s="21"/>
      <c r="H25" s="21">
        <v>2200</v>
      </c>
      <c r="I25" s="22"/>
      <c r="J25" s="23">
        <f t="shared" si="2"/>
        <v>0</v>
      </c>
      <c r="K25" s="23">
        <f t="shared" si="3"/>
        <v>75878.719999999987</v>
      </c>
    </row>
    <row r="26" spans="2:11" ht="18.75" x14ac:dyDescent="0.3">
      <c r="B26" s="63">
        <v>44177</v>
      </c>
      <c r="C26" s="24" t="s">
        <v>759</v>
      </c>
      <c r="D26" s="21"/>
      <c r="E26" s="21"/>
      <c r="F26" s="21"/>
      <c r="G26" s="21"/>
      <c r="H26" s="21">
        <v>495</v>
      </c>
      <c r="I26" s="22"/>
      <c r="J26" s="23">
        <f t="shared" si="2"/>
        <v>0</v>
      </c>
      <c r="K26" s="23">
        <f t="shared" si="3"/>
        <v>75383.719999999987</v>
      </c>
    </row>
    <row r="27" spans="2:11" ht="18.75" x14ac:dyDescent="0.3">
      <c r="B27" s="63">
        <v>44178</v>
      </c>
      <c r="C27" s="20" t="s">
        <v>907</v>
      </c>
      <c r="D27" s="21"/>
      <c r="E27" s="21"/>
      <c r="F27" s="21"/>
      <c r="G27" s="21"/>
      <c r="H27" s="21">
        <v>119</v>
      </c>
      <c r="I27" s="22"/>
      <c r="J27" s="23">
        <f t="shared" si="2"/>
        <v>0</v>
      </c>
      <c r="K27" s="23">
        <f t="shared" si="3"/>
        <v>75264.719999999987</v>
      </c>
    </row>
    <row r="28" spans="2:11" ht="18.75" x14ac:dyDescent="0.3">
      <c r="B28" s="63">
        <v>44178</v>
      </c>
      <c r="C28" s="20" t="s">
        <v>824</v>
      </c>
      <c r="D28" s="21"/>
      <c r="E28" s="21"/>
      <c r="F28" s="21"/>
      <c r="G28" s="21"/>
      <c r="H28" s="21">
        <v>100</v>
      </c>
      <c r="I28" s="22"/>
      <c r="J28" s="23">
        <f t="shared" si="2"/>
        <v>0</v>
      </c>
      <c r="K28" s="23">
        <f t="shared" si="3"/>
        <v>75164.719999999987</v>
      </c>
    </row>
    <row r="29" spans="2:11" ht="18.75" x14ac:dyDescent="0.3">
      <c r="B29" s="63">
        <v>44178</v>
      </c>
      <c r="C29" s="20" t="s">
        <v>908</v>
      </c>
      <c r="D29" s="21"/>
      <c r="E29" s="21"/>
      <c r="F29" s="21"/>
      <c r="G29" s="21"/>
      <c r="H29" s="21">
        <v>200</v>
      </c>
      <c r="I29" s="22"/>
      <c r="J29" s="23">
        <f t="shared" si="2"/>
        <v>0</v>
      </c>
      <c r="K29" s="23">
        <f t="shared" si="3"/>
        <v>74964.719999999987</v>
      </c>
    </row>
    <row r="30" spans="2:11" ht="18.75" x14ac:dyDescent="0.3">
      <c r="B30" s="63">
        <v>44178</v>
      </c>
      <c r="C30" s="20" t="s">
        <v>506</v>
      </c>
      <c r="D30" s="21">
        <v>51350</v>
      </c>
      <c r="E30" s="21"/>
      <c r="F30" s="21"/>
      <c r="G30" s="21"/>
      <c r="H30" s="57"/>
      <c r="I30" s="22"/>
      <c r="J30" s="23">
        <f t="shared" si="2"/>
        <v>0</v>
      </c>
      <c r="K30" s="23">
        <f t="shared" si="3"/>
        <v>126314.71999999999</v>
      </c>
    </row>
    <row r="31" spans="2:11" ht="18.75" x14ac:dyDescent="0.3">
      <c r="B31" s="63">
        <v>44179</v>
      </c>
      <c r="C31" s="20" t="s">
        <v>909</v>
      </c>
      <c r="D31" s="21"/>
      <c r="E31" s="21"/>
      <c r="F31" s="21"/>
      <c r="G31" s="21"/>
      <c r="H31" s="21">
        <v>300</v>
      </c>
      <c r="I31" s="22"/>
      <c r="J31" s="23">
        <f t="shared" si="2"/>
        <v>0</v>
      </c>
      <c r="K31" s="23">
        <f t="shared" si="3"/>
        <v>126014.71999999999</v>
      </c>
    </row>
    <row r="32" spans="2:11" ht="18.75" x14ac:dyDescent="0.3">
      <c r="B32" s="63">
        <v>44179</v>
      </c>
      <c r="C32" s="20" t="s">
        <v>921</v>
      </c>
      <c r="D32" s="21"/>
      <c r="E32" s="21"/>
      <c r="F32" s="21"/>
      <c r="G32" s="21"/>
      <c r="H32" s="21">
        <v>1800</v>
      </c>
      <c r="I32" s="22"/>
      <c r="J32" s="23">
        <f t="shared" si="2"/>
        <v>0</v>
      </c>
      <c r="K32" s="23">
        <f t="shared" si="3"/>
        <v>124214.71999999999</v>
      </c>
    </row>
    <row r="33" spans="2:11" ht="18.75" x14ac:dyDescent="0.3">
      <c r="B33" s="63">
        <v>44179</v>
      </c>
      <c r="C33" s="20" t="s">
        <v>910</v>
      </c>
      <c r="D33" s="21"/>
      <c r="E33" s="21"/>
      <c r="F33" s="21"/>
      <c r="G33" s="21"/>
      <c r="H33" s="21">
        <v>210</v>
      </c>
      <c r="I33" s="22"/>
      <c r="J33" s="23">
        <f t="shared" si="2"/>
        <v>0</v>
      </c>
      <c r="K33" s="23">
        <f t="shared" si="3"/>
        <v>124004.71999999999</v>
      </c>
    </row>
    <row r="34" spans="2:11" ht="18.75" x14ac:dyDescent="0.3">
      <c r="B34" s="63">
        <v>44179</v>
      </c>
      <c r="C34" s="20" t="s">
        <v>911</v>
      </c>
      <c r="D34" s="21"/>
      <c r="E34" s="21"/>
      <c r="F34" s="21"/>
      <c r="G34" s="21"/>
      <c r="H34" s="21">
        <v>74</v>
      </c>
      <c r="I34" s="22"/>
      <c r="J34" s="23">
        <f t="shared" si="2"/>
        <v>0</v>
      </c>
      <c r="K34" s="23">
        <f t="shared" si="3"/>
        <v>123930.71999999999</v>
      </c>
    </row>
    <row r="35" spans="2:11" ht="18.75" x14ac:dyDescent="0.3">
      <c r="B35" s="63">
        <v>44179</v>
      </c>
      <c r="C35" s="20" t="s">
        <v>912</v>
      </c>
      <c r="D35" s="21"/>
      <c r="E35" s="21"/>
      <c r="F35" s="21"/>
      <c r="G35" s="21"/>
      <c r="H35" s="21">
        <v>300</v>
      </c>
      <c r="I35" s="22"/>
      <c r="J35" s="23">
        <f t="shared" si="2"/>
        <v>0</v>
      </c>
      <c r="K35" s="23">
        <f t="shared" si="3"/>
        <v>123630.71999999999</v>
      </c>
    </row>
    <row r="36" spans="2:11" ht="18.75" x14ac:dyDescent="0.3">
      <c r="B36" s="63">
        <v>44179</v>
      </c>
      <c r="C36" s="20" t="s">
        <v>913</v>
      </c>
      <c r="D36" s="21"/>
      <c r="E36" s="21"/>
      <c r="F36" s="21"/>
      <c r="G36" s="21"/>
      <c r="H36" s="21">
        <v>211.42</v>
      </c>
      <c r="I36" s="22"/>
      <c r="J36" s="23">
        <f t="shared" si="2"/>
        <v>0</v>
      </c>
      <c r="K36" s="23">
        <f t="shared" si="3"/>
        <v>123419.29999999999</v>
      </c>
    </row>
    <row r="37" spans="2:11" ht="18.75" x14ac:dyDescent="0.3">
      <c r="B37" s="63">
        <v>44179</v>
      </c>
      <c r="C37" s="74" t="s">
        <v>846</v>
      </c>
      <c r="D37" s="21"/>
      <c r="E37" s="21"/>
      <c r="F37" s="21"/>
      <c r="G37" s="21"/>
      <c r="H37" s="21">
        <v>1600</v>
      </c>
      <c r="I37" s="22"/>
      <c r="J37" s="23">
        <f t="shared" si="2"/>
        <v>0</v>
      </c>
      <c r="K37" s="23">
        <f t="shared" si="3"/>
        <v>121819.29999999999</v>
      </c>
    </row>
    <row r="38" spans="2:11" ht="18.75" x14ac:dyDescent="0.3">
      <c r="B38" s="63">
        <v>44180</v>
      </c>
      <c r="C38" s="27" t="s">
        <v>916</v>
      </c>
      <c r="D38" s="21"/>
      <c r="E38" s="21"/>
      <c r="F38" s="21"/>
      <c r="G38" s="21"/>
      <c r="H38" s="21">
        <v>2800</v>
      </c>
      <c r="I38" s="22"/>
      <c r="J38" s="23">
        <f t="shared" si="2"/>
        <v>0</v>
      </c>
      <c r="K38" s="23">
        <f t="shared" si="3"/>
        <v>119019.29999999999</v>
      </c>
    </row>
    <row r="39" spans="2:11" ht="18.75" x14ac:dyDescent="0.3">
      <c r="B39" s="63">
        <v>44180</v>
      </c>
      <c r="C39" s="20" t="s">
        <v>838</v>
      </c>
      <c r="D39" s="21"/>
      <c r="E39" s="21"/>
      <c r="F39" s="21"/>
      <c r="G39" s="21"/>
      <c r="H39" s="21">
        <v>650</v>
      </c>
      <c r="I39" s="22"/>
      <c r="J39" s="23">
        <f t="shared" si="2"/>
        <v>0</v>
      </c>
      <c r="K39" s="23">
        <f t="shared" si="3"/>
        <v>118369.29999999999</v>
      </c>
    </row>
    <row r="40" spans="2:11" ht="18.75" x14ac:dyDescent="0.3">
      <c r="B40" s="63">
        <v>44180</v>
      </c>
      <c r="C40" s="20" t="s">
        <v>883</v>
      </c>
      <c r="D40" s="21"/>
      <c r="E40" s="21"/>
      <c r="F40" s="21"/>
      <c r="G40" s="21"/>
      <c r="H40" s="21">
        <v>200</v>
      </c>
      <c r="I40" s="22"/>
      <c r="J40" s="23">
        <f t="shared" si="2"/>
        <v>0</v>
      </c>
      <c r="K40" s="23">
        <f t="shared" si="3"/>
        <v>118169.29999999999</v>
      </c>
    </row>
    <row r="41" spans="2:11" ht="18.75" x14ac:dyDescent="0.3">
      <c r="B41" s="63">
        <v>44180</v>
      </c>
      <c r="C41" s="20" t="s">
        <v>884</v>
      </c>
      <c r="D41" s="21"/>
      <c r="E41" s="21"/>
      <c r="F41" s="21"/>
      <c r="G41" s="21"/>
      <c r="H41" s="21">
        <v>300</v>
      </c>
      <c r="I41" s="22"/>
      <c r="J41" s="23">
        <f t="shared" si="2"/>
        <v>0</v>
      </c>
      <c r="K41" s="23">
        <f t="shared" si="3"/>
        <v>117869.29999999999</v>
      </c>
    </row>
    <row r="42" spans="2:11" ht="18.75" x14ac:dyDescent="0.3">
      <c r="B42" s="63">
        <v>44180</v>
      </c>
      <c r="C42" s="36" t="s">
        <v>422</v>
      </c>
      <c r="D42" s="21"/>
      <c r="E42" s="21"/>
      <c r="F42" s="21"/>
      <c r="G42" s="21"/>
      <c r="H42" s="57">
        <v>1400</v>
      </c>
      <c r="I42" s="22"/>
      <c r="J42" s="23">
        <f t="shared" si="2"/>
        <v>0</v>
      </c>
      <c r="K42" s="23">
        <f t="shared" si="3"/>
        <v>116469.29999999999</v>
      </c>
    </row>
    <row r="43" spans="2:11" ht="18.75" x14ac:dyDescent="0.3">
      <c r="B43" s="63">
        <v>44180</v>
      </c>
      <c r="C43" s="24" t="s">
        <v>885</v>
      </c>
      <c r="D43" s="21"/>
      <c r="E43" s="21"/>
      <c r="F43" s="21"/>
      <c r="G43" s="21"/>
      <c r="H43" s="21">
        <v>2500</v>
      </c>
      <c r="I43" s="22"/>
      <c r="J43" s="23">
        <f t="shared" si="2"/>
        <v>0</v>
      </c>
      <c r="K43" s="23">
        <f t="shared" si="3"/>
        <v>113969.29999999999</v>
      </c>
    </row>
    <row r="44" spans="2:11" ht="18.75" x14ac:dyDescent="0.3">
      <c r="B44" s="63">
        <v>44180</v>
      </c>
      <c r="C44" s="24" t="s">
        <v>363</v>
      </c>
      <c r="D44" s="21"/>
      <c r="E44" s="21"/>
      <c r="F44" s="21"/>
      <c r="G44" s="21"/>
      <c r="H44" s="21">
        <v>3200</v>
      </c>
      <c r="I44" s="22"/>
      <c r="J44" s="23">
        <f t="shared" si="2"/>
        <v>0</v>
      </c>
      <c r="K44" s="23">
        <f t="shared" si="3"/>
        <v>110769.29999999999</v>
      </c>
    </row>
    <row r="45" spans="2:11" ht="18.75" x14ac:dyDescent="0.3">
      <c r="B45" s="63">
        <v>44180</v>
      </c>
      <c r="C45" s="36" t="s">
        <v>151</v>
      </c>
      <c r="D45" s="21"/>
      <c r="E45" s="21"/>
      <c r="F45" s="21"/>
      <c r="G45" s="21"/>
      <c r="H45" s="57">
        <v>6000</v>
      </c>
      <c r="I45" s="22"/>
      <c r="J45" s="23">
        <f t="shared" si="2"/>
        <v>0</v>
      </c>
      <c r="K45" s="23">
        <f t="shared" si="3"/>
        <v>104769.29999999999</v>
      </c>
    </row>
    <row r="46" spans="2:11" ht="18.75" x14ac:dyDescent="0.3">
      <c r="B46" s="63">
        <v>44180</v>
      </c>
      <c r="C46" s="48" t="s">
        <v>914</v>
      </c>
      <c r="D46" s="21"/>
      <c r="E46" s="21"/>
      <c r="F46" s="21"/>
      <c r="G46" s="21"/>
      <c r="H46" s="57">
        <v>2800</v>
      </c>
      <c r="I46" s="22"/>
      <c r="J46" s="23">
        <f t="shared" si="2"/>
        <v>0</v>
      </c>
      <c r="K46" s="23">
        <f t="shared" si="3"/>
        <v>101969.29999999999</v>
      </c>
    </row>
    <row r="47" spans="2:11" ht="18.75" x14ac:dyDescent="0.3">
      <c r="B47" s="63">
        <v>44180</v>
      </c>
      <c r="C47" s="48" t="s">
        <v>915</v>
      </c>
      <c r="D47" s="21"/>
      <c r="E47" s="21"/>
      <c r="F47" s="21"/>
      <c r="G47" s="21"/>
      <c r="H47" s="57">
        <v>3000</v>
      </c>
      <c r="I47" s="22"/>
      <c r="J47" s="23">
        <f t="shared" si="2"/>
        <v>0</v>
      </c>
      <c r="K47" s="23">
        <f t="shared" si="3"/>
        <v>98969.299999999988</v>
      </c>
    </row>
    <row r="48" spans="2:11" ht="18.75" x14ac:dyDescent="0.3">
      <c r="B48" s="63">
        <v>44180</v>
      </c>
      <c r="C48" s="48" t="s">
        <v>886</v>
      </c>
      <c r="D48" s="21"/>
      <c r="E48" s="21"/>
      <c r="F48" s="21"/>
      <c r="G48" s="21"/>
      <c r="H48" s="57">
        <v>29250</v>
      </c>
      <c r="I48" s="22"/>
      <c r="J48" s="23">
        <f t="shared" si="2"/>
        <v>0</v>
      </c>
      <c r="K48" s="23">
        <f t="shared" si="3"/>
        <v>69719.299999999988</v>
      </c>
    </row>
    <row r="49" spans="2:11" ht="18.75" x14ac:dyDescent="0.3">
      <c r="B49" s="63">
        <v>44180</v>
      </c>
      <c r="C49" s="48" t="s">
        <v>299</v>
      </c>
      <c r="D49" s="21"/>
      <c r="E49" s="21"/>
      <c r="F49" s="21"/>
      <c r="G49" s="21"/>
      <c r="H49" s="57">
        <v>4600</v>
      </c>
      <c r="I49" s="22"/>
      <c r="J49" s="23">
        <f t="shared" si="2"/>
        <v>0</v>
      </c>
      <c r="K49" s="23">
        <f t="shared" si="3"/>
        <v>65119.299999999988</v>
      </c>
    </row>
    <row r="50" spans="2:11" ht="18.75" x14ac:dyDescent="0.3">
      <c r="B50" s="63">
        <v>44180</v>
      </c>
      <c r="C50" s="20" t="s">
        <v>954</v>
      </c>
      <c r="D50" s="21"/>
      <c r="E50" s="21"/>
      <c r="F50" s="21"/>
      <c r="G50" s="21"/>
      <c r="H50" s="57">
        <v>35000</v>
      </c>
      <c r="I50" s="22"/>
      <c r="J50" s="23">
        <f t="shared" si="2"/>
        <v>0</v>
      </c>
      <c r="K50" s="23">
        <f t="shared" si="3"/>
        <v>30119.299999999988</v>
      </c>
    </row>
    <row r="51" spans="2:11" ht="19.5" thickBot="1" x14ac:dyDescent="0.35">
      <c r="B51" s="63">
        <v>44181</v>
      </c>
      <c r="C51" s="36" t="s">
        <v>917</v>
      </c>
      <c r="D51" s="37"/>
      <c r="E51" s="21"/>
      <c r="F51" s="21"/>
      <c r="G51" s="21"/>
      <c r="H51" s="57">
        <v>200</v>
      </c>
      <c r="I51" s="22"/>
      <c r="J51" s="23">
        <f t="shared" si="2"/>
        <v>0</v>
      </c>
      <c r="K51" s="23">
        <f t="shared" si="3"/>
        <v>29919.299999999988</v>
      </c>
    </row>
    <row r="52" spans="2:11" ht="19.5" thickBot="1" x14ac:dyDescent="0.35">
      <c r="B52" s="65"/>
      <c r="C52" s="29" t="s">
        <v>0</v>
      </c>
      <c r="D52" s="40">
        <f>SUM(D4:D51)</f>
        <v>117750</v>
      </c>
      <c r="E52" s="66">
        <f>SUM(E4:E51)</f>
        <v>0</v>
      </c>
      <c r="F52" s="32">
        <f>SUM(D52:E52)</f>
        <v>117750</v>
      </c>
      <c r="G52" s="67">
        <f>SUM(G4:G51)</f>
        <v>0</v>
      </c>
      <c r="H52" s="30">
        <f>SUM(H4:H51)</f>
        <v>118599.92</v>
      </c>
      <c r="I52" s="32">
        <f>SUM(G52:H52)</f>
        <v>118599.92</v>
      </c>
      <c r="J52" s="34"/>
      <c r="K52" s="34"/>
    </row>
    <row r="53" spans="2:11" ht="18.75" x14ac:dyDescent="0.3">
      <c r="B53" s="60" t="s">
        <v>1</v>
      </c>
      <c r="C53" s="9" t="s">
        <v>2</v>
      </c>
      <c r="D53" s="9" t="s">
        <v>3</v>
      </c>
      <c r="E53" s="9" t="s">
        <v>3</v>
      </c>
      <c r="F53" s="9" t="s">
        <v>8</v>
      </c>
      <c r="G53" s="9" t="s">
        <v>9</v>
      </c>
      <c r="H53" s="10" t="s">
        <v>9</v>
      </c>
      <c r="I53" s="10" t="s">
        <v>8</v>
      </c>
      <c r="J53" s="9" t="s">
        <v>7</v>
      </c>
      <c r="K53" s="10" t="s">
        <v>6</v>
      </c>
    </row>
    <row r="54" spans="2:11" ht="19.5" thickBot="1" x14ac:dyDescent="0.35">
      <c r="B54" s="61"/>
      <c r="C54" s="11"/>
      <c r="D54" s="11" t="s">
        <v>5</v>
      </c>
      <c r="E54" s="11" t="s">
        <v>7</v>
      </c>
      <c r="F54" s="11" t="s">
        <v>3</v>
      </c>
      <c r="G54" s="11" t="s">
        <v>7</v>
      </c>
      <c r="H54" s="12" t="s">
        <v>5</v>
      </c>
      <c r="I54" s="12" t="s">
        <v>4</v>
      </c>
      <c r="J54" s="11"/>
      <c r="K54" s="12"/>
    </row>
    <row r="55" spans="2:11" ht="19.5" thickBot="1" x14ac:dyDescent="0.35">
      <c r="B55" s="68"/>
      <c r="C55" s="41" t="s">
        <v>0</v>
      </c>
      <c r="D55" s="40">
        <v>117750</v>
      </c>
      <c r="E55" s="40">
        <v>0</v>
      </c>
      <c r="F55" s="40">
        <f>SUM(D55:E55)</f>
        <v>117750</v>
      </c>
      <c r="G55" s="40">
        <v>0</v>
      </c>
      <c r="H55" s="30">
        <v>118599.92</v>
      </c>
      <c r="I55" s="30">
        <f>SUM(G55:H55)</f>
        <v>118599.92</v>
      </c>
      <c r="J55" s="30">
        <v>0</v>
      </c>
      <c r="K55" s="34">
        <v>29919.3</v>
      </c>
    </row>
    <row r="56" spans="2:11" ht="18.75" x14ac:dyDescent="0.3">
      <c r="B56" s="63">
        <v>44181</v>
      </c>
      <c r="C56" s="20" t="s">
        <v>918</v>
      </c>
      <c r="D56" s="55"/>
      <c r="E56" s="21"/>
      <c r="F56" s="21"/>
      <c r="G56" s="21"/>
      <c r="H56" s="21">
        <v>62</v>
      </c>
      <c r="I56" s="22"/>
      <c r="J56" s="23">
        <f t="shared" ref="J56" si="4">+J55+E56-G56</f>
        <v>0</v>
      </c>
      <c r="K56" s="23">
        <f t="shared" ref="K56" si="5">+K55+D56-H56</f>
        <v>29857.3</v>
      </c>
    </row>
    <row r="57" spans="2:11" ht="18.75" x14ac:dyDescent="0.3">
      <c r="B57" s="63">
        <v>44182</v>
      </c>
      <c r="C57" s="20" t="s">
        <v>919</v>
      </c>
      <c r="D57" s="21"/>
      <c r="E57" s="21"/>
      <c r="F57" s="21"/>
      <c r="G57" s="21"/>
      <c r="H57" s="21">
        <v>250</v>
      </c>
      <c r="I57" s="22"/>
      <c r="J57" s="23">
        <f t="shared" ref="J57:J103" si="6">+J56+E57-G57</f>
        <v>0</v>
      </c>
      <c r="K57" s="23">
        <f t="shared" ref="K57:K103" si="7">+K56+D57-H57</f>
        <v>29607.3</v>
      </c>
    </row>
    <row r="58" spans="2:11" ht="18.75" x14ac:dyDescent="0.3">
      <c r="B58" s="63">
        <v>44182</v>
      </c>
      <c r="C58" s="20" t="s">
        <v>920</v>
      </c>
      <c r="D58" s="21"/>
      <c r="E58" s="21"/>
      <c r="F58" s="21"/>
      <c r="G58" s="21"/>
      <c r="H58" s="21">
        <v>600</v>
      </c>
      <c r="I58" s="22"/>
      <c r="J58" s="23">
        <f t="shared" si="6"/>
        <v>0</v>
      </c>
      <c r="K58" s="23">
        <f t="shared" si="7"/>
        <v>29007.3</v>
      </c>
    </row>
    <row r="59" spans="2:11" ht="18.75" x14ac:dyDescent="0.3">
      <c r="B59" s="63">
        <v>44183</v>
      </c>
      <c r="C59" s="20" t="s">
        <v>923</v>
      </c>
      <c r="D59" s="21"/>
      <c r="E59" s="21"/>
      <c r="F59" s="21"/>
      <c r="G59" s="21"/>
      <c r="H59" s="21">
        <v>250</v>
      </c>
      <c r="I59" s="22"/>
      <c r="J59" s="23">
        <f t="shared" si="6"/>
        <v>0</v>
      </c>
      <c r="K59" s="23">
        <f t="shared" si="7"/>
        <v>28757.3</v>
      </c>
    </row>
    <row r="60" spans="2:11" ht="18.75" x14ac:dyDescent="0.3">
      <c r="B60" s="63">
        <v>44183</v>
      </c>
      <c r="C60" s="20" t="s">
        <v>922</v>
      </c>
      <c r="D60" s="21"/>
      <c r="E60" s="21"/>
      <c r="F60" s="21"/>
      <c r="G60" s="21"/>
      <c r="H60" s="21">
        <v>250</v>
      </c>
      <c r="I60" s="22"/>
      <c r="J60" s="23">
        <f t="shared" si="6"/>
        <v>0</v>
      </c>
      <c r="K60" s="23">
        <f t="shared" si="7"/>
        <v>28507.3</v>
      </c>
    </row>
    <row r="61" spans="2:11" ht="18.75" x14ac:dyDescent="0.3">
      <c r="B61" s="63">
        <v>44183</v>
      </c>
      <c r="C61" s="24" t="s">
        <v>924</v>
      </c>
      <c r="D61" s="37"/>
      <c r="E61" s="37"/>
      <c r="F61" s="37"/>
      <c r="G61" s="37"/>
      <c r="H61" s="21">
        <v>82</v>
      </c>
      <c r="I61" s="22"/>
      <c r="J61" s="23">
        <f t="shared" si="6"/>
        <v>0</v>
      </c>
      <c r="K61" s="23">
        <f t="shared" si="7"/>
        <v>28425.3</v>
      </c>
    </row>
    <row r="62" spans="2:11" ht="18.75" x14ac:dyDescent="0.3">
      <c r="B62" s="63">
        <v>44183</v>
      </c>
      <c r="C62" s="74" t="s">
        <v>925</v>
      </c>
      <c r="D62" s="21"/>
      <c r="E62" s="21"/>
      <c r="F62" s="21"/>
      <c r="G62" s="21"/>
      <c r="H62" s="21">
        <v>1800</v>
      </c>
      <c r="I62" s="22"/>
      <c r="J62" s="23">
        <f t="shared" si="6"/>
        <v>0</v>
      </c>
      <c r="K62" s="23">
        <f t="shared" si="7"/>
        <v>26625.3</v>
      </c>
    </row>
    <row r="63" spans="2:11" ht="18.75" x14ac:dyDescent="0.3">
      <c r="B63" s="63">
        <v>44183</v>
      </c>
      <c r="C63" s="74" t="s">
        <v>930</v>
      </c>
      <c r="D63" s="21"/>
      <c r="E63" s="21"/>
      <c r="F63" s="21"/>
      <c r="G63" s="21"/>
      <c r="H63" s="21">
        <v>300</v>
      </c>
      <c r="I63" s="22"/>
      <c r="J63" s="23">
        <f t="shared" si="6"/>
        <v>0</v>
      </c>
      <c r="K63" s="23">
        <f t="shared" si="7"/>
        <v>26325.3</v>
      </c>
    </row>
    <row r="64" spans="2:11" ht="18.75" x14ac:dyDescent="0.3">
      <c r="B64" s="63">
        <v>44184</v>
      </c>
      <c r="C64" s="24" t="s">
        <v>783</v>
      </c>
      <c r="D64" s="37"/>
      <c r="E64" s="37"/>
      <c r="F64" s="37"/>
      <c r="G64" s="21"/>
      <c r="H64" s="21">
        <v>200</v>
      </c>
      <c r="I64" s="22"/>
      <c r="J64" s="23">
        <f t="shared" si="6"/>
        <v>0</v>
      </c>
      <c r="K64" s="23">
        <f t="shared" si="7"/>
        <v>26125.3</v>
      </c>
    </row>
    <row r="65" spans="2:12" ht="18.75" x14ac:dyDescent="0.3">
      <c r="B65" s="63">
        <v>44185</v>
      </c>
      <c r="C65" s="24" t="s">
        <v>926</v>
      </c>
      <c r="D65" s="37">
        <v>59550</v>
      </c>
      <c r="E65" s="37"/>
      <c r="F65" s="37"/>
      <c r="G65" s="69"/>
      <c r="H65" s="21"/>
      <c r="I65" s="22"/>
      <c r="J65" s="23">
        <f t="shared" si="6"/>
        <v>0</v>
      </c>
      <c r="K65" s="23">
        <f t="shared" si="7"/>
        <v>85675.3</v>
      </c>
    </row>
    <row r="66" spans="2:12" ht="18.75" x14ac:dyDescent="0.3">
      <c r="B66" s="63">
        <v>43850</v>
      </c>
      <c r="C66" s="48" t="s">
        <v>927</v>
      </c>
      <c r="D66" s="21"/>
      <c r="E66" s="21"/>
      <c r="F66" s="21"/>
      <c r="G66" s="21"/>
      <c r="H66" s="57">
        <v>58</v>
      </c>
      <c r="I66" s="22"/>
      <c r="J66" s="23">
        <f t="shared" si="6"/>
        <v>0</v>
      </c>
      <c r="K66" s="23">
        <f t="shared" si="7"/>
        <v>85617.3</v>
      </c>
    </row>
    <row r="67" spans="2:12" ht="18.75" x14ac:dyDescent="0.3">
      <c r="B67" s="63">
        <v>44185</v>
      </c>
      <c r="C67" s="20" t="s">
        <v>928</v>
      </c>
      <c r="D67" s="21"/>
      <c r="E67" s="21"/>
      <c r="F67" s="21"/>
      <c r="G67" s="21"/>
      <c r="H67" s="57">
        <v>100</v>
      </c>
      <c r="I67" s="22"/>
      <c r="J67" s="23">
        <f t="shared" si="6"/>
        <v>0</v>
      </c>
      <c r="K67" s="23">
        <f t="shared" si="7"/>
        <v>85517.3</v>
      </c>
    </row>
    <row r="68" spans="2:12" ht="18.75" x14ac:dyDescent="0.3">
      <c r="B68" s="63">
        <v>44185</v>
      </c>
      <c r="C68" s="20" t="s">
        <v>929</v>
      </c>
      <c r="D68" s="21"/>
      <c r="E68" s="21"/>
      <c r="F68" s="21"/>
      <c r="G68" s="21"/>
      <c r="H68" s="21">
        <v>200</v>
      </c>
      <c r="I68" s="22"/>
      <c r="J68" s="23">
        <f t="shared" si="6"/>
        <v>0</v>
      </c>
      <c r="K68" s="23">
        <f t="shared" si="7"/>
        <v>85317.3</v>
      </c>
    </row>
    <row r="69" spans="2:12" ht="18.75" x14ac:dyDescent="0.3">
      <c r="B69" s="63">
        <v>44185</v>
      </c>
      <c r="C69" s="24" t="s">
        <v>927</v>
      </c>
      <c r="D69" s="21"/>
      <c r="E69" s="21"/>
      <c r="F69" s="21"/>
      <c r="G69" s="21"/>
      <c r="H69" s="21">
        <v>195</v>
      </c>
      <c r="I69" s="22"/>
      <c r="J69" s="23">
        <f t="shared" si="6"/>
        <v>0</v>
      </c>
      <c r="K69" s="23">
        <f t="shared" si="7"/>
        <v>85122.3</v>
      </c>
    </row>
    <row r="70" spans="2:12" ht="18.75" x14ac:dyDescent="0.3">
      <c r="B70" s="62">
        <v>44185</v>
      </c>
      <c r="C70" s="36" t="s">
        <v>672</v>
      </c>
      <c r="D70" s="17"/>
      <c r="E70" s="17"/>
      <c r="F70" s="17"/>
      <c r="G70" s="17"/>
      <c r="H70" s="17">
        <v>290</v>
      </c>
      <c r="I70" s="22"/>
      <c r="J70" s="23">
        <f t="shared" si="6"/>
        <v>0</v>
      </c>
      <c r="K70" s="23">
        <f t="shared" si="7"/>
        <v>84832.3</v>
      </c>
    </row>
    <row r="71" spans="2:12" ht="18.75" x14ac:dyDescent="0.3">
      <c r="B71" s="62">
        <v>44186</v>
      </c>
      <c r="C71" s="36" t="s">
        <v>931</v>
      </c>
      <c r="D71" s="17"/>
      <c r="E71" s="17"/>
      <c r="F71" s="17"/>
      <c r="G71" s="17"/>
      <c r="H71" s="17">
        <v>300</v>
      </c>
      <c r="I71" s="22"/>
      <c r="J71" s="23">
        <f t="shared" si="6"/>
        <v>0</v>
      </c>
      <c r="K71" s="23">
        <f t="shared" si="7"/>
        <v>84532.3</v>
      </c>
    </row>
    <row r="72" spans="2:12" ht="18.75" x14ac:dyDescent="0.3">
      <c r="B72" s="63">
        <v>44186</v>
      </c>
      <c r="C72" s="74" t="s">
        <v>887</v>
      </c>
      <c r="D72" s="21"/>
      <c r="E72" s="21"/>
      <c r="F72" s="21"/>
      <c r="G72" s="21"/>
      <c r="H72" s="21">
        <v>4000</v>
      </c>
      <c r="I72" s="22"/>
      <c r="J72" s="23">
        <f t="shared" si="6"/>
        <v>0</v>
      </c>
      <c r="K72" s="23">
        <f t="shared" si="7"/>
        <v>80532.3</v>
      </c>
    </row>
    <row r="73" spans="2:12" ht="18.75" x14ac:dyDescent="0.3">
      <c r="B73" s="63">
        <v>44186</v>
      </c>
      <c r="C73" s="24" t="s">
        <v>932</v>
      </c>
      <c r="D73" s="21"/>
      <c r="E73" s="21"/>
      <c r="F73" s="21"/>
      <c r="G73" s="21"/>
      <c r="H73" s="21">
        <v>62.5</v>
      </c>
      <c r="I73" s="22"/>
      <c r="J73" s="23">
        <f t="shared" si="6"/>
        <v>0</v>
      </c>
      <c r="K73" s="23">
        <f t="shared" si="7"/>
        <v>80469.8</v>
      </c>
      <c r="L73" s="1"/>
    </row>
    <row r="74" spans="2:12" ht="18.75" x14ac:dyDescent="0.3">
      <c r="B74" s="63">
        <v>44186</v>
      </c>
      <c r="C74" s="36" t="s">
        <v>932</v>
      </c>
      <c r="D74" s="21"/>
      <c r="E74" s="21"/>
      <c r="F74" s="21"/>
      <c r="G74" s="21"/>
      <c r="H74" s="21">
        <v>102.6</v>
      </c>
      <c r="I74" s="22"/>
      <c r="J74" s="23">
        <f t="shared" si="6"/>
        <v>0</v>
      </c>
      <c r="K74" s="23">
        <f t="shared" si="7"/>
        <v>80367.199999999997</v>
      </c>
      <c r="L74" s="1"/>
    </row>
    <row r="75" spans="2:12" ht="18.75" x14ac:dyDescent="0.3">
      <c r="B75" s="63">
        <v>44187</v>
      </c>
      <c r="C75" s="20" t="s">
        <v>933</v>
      </c>
      <c r="D75" s="37"/>
      <c r="E75" s="37"/>
      <c r="F75" s="37"/>
      <c r="G75" s="21"/>
      <c r="H75" s="21">
        <v>339.15</v>
      </c>
      <c r="I75" s="22"/>
      <c r="J75" s="23">
        <f t="shared" si="6"/>
        <v>0</v>
      </c>
      <c r="K75" s="23">
        <f t="shared" si="7"/>
        <v>80028.05</v>
      </c>
      <c r="L75" s="1"/>
    </row>
    <row r="76" spans="2:12" ht="18.75" x14ac:dyDescent="0.3">
      <c r="B76" s="63">
        <v>44187</v>
      </c>
      <c r="C76" s="48" t="s">
        <v>959</v>
      </c>
      <c r="D76" s="37"/>
      <c r="E76" s="37"/>
      <c r="F76" s="37"/>
      <c r="G76" s="69"/>
      <c r="H76" s="21">
        <v>10200</v>
      </c>
      <c r="I76" s="22"/>
      <c r="J76" s="23">
        <f t="shared" si="6"/>
        <v>0</v>
      </c>
      <c r="K76" s="23">
        <f t="shared" si="7"/>
        <v>69828.05</v>
      </c>
    </row>
    <row r="77" spans="2:12" ht="18.75" x14ac:dyDescent="0.3">
      <c r="B77" s="63">
        <v>44187</v>
      </c>
      <c r="C77" s="48" t="s">
        <v>934</v>
      </c>
      <c r="D77" s="37"/>
      <c r="E77" s="37"/>
      <c r="F77" s="37"/>
      <c r="G77" s="69"/>
      <c r="H77" s="21">
        <v>800</v>
      </c>
      <c r="I77" s="22"/>
      <c r="J77" s="23">
        <f t="shared" si="6"/>
        <v>0</v>
      </c>
      <c r="K77" s="23">
        <f t="shared" si="7"/>
        <v>69028.05</v>
      </c>
    </row>
    <row r="78" spans="2:12" ht="18.75" x14ac:dyDescent="0.3">
      <c r="B78" s="63">
        <v>44188</v>
      </c>
      <c r="C78" s="36" t="s">
        <v>672</v>
      </c>
      <c r="D78" s="21"/>
      <c r="E78" s="21"/>
      <c r="F78" s="21"/>
      <c r="G78" s="21"/>
      <c r="H78" s="21">
        <v>385</v>
      </c>
      <c r="I78" s="22"/>
      <c r="J78" s="23">
        <f t="shared" si="6"/>
        <v>0</v>
      </c>
      <c r="K78" s="23">
        <f t="shared" si="7"/>
        <v>68643.05</v>
      </c>
    </row>
    <row r="79" spans="2:12" ht="18.75" x14ac:dyDescent="0.3">
      <c r="B79" s="63">
        <v>44188</v>
      </c>
      <c r="C79" s="24" t="s">
        <v>759</v>
      </c>
      <c r="D79" s="21"/>
      <c r="E79" s="21"/>
      <c r="F79" s="21"/>
      <c r="G79" s="21"/>
      <c r="H79" s="21">
        <v>400</v>
      </c>
      <c r="I79" s="22"/>
      <c r="J79" s="23">
        <f t="shared" si="6"/>
        <v>0</v>
      </c>
      <c r="K79" s="23">
        <f t="shared" si="7"/>
        <v>68243.05</v>
      </c>
    </row>
    <row r="80" spans="2:12" ht="18.75" x14ac:dyDescent="0.3">
      <c r="B80" s="63">
        <v>44189</v>
      </c>
      <c r="C80" s="24" t="s">
        <v>935</v>
      </c>
      <c r="D80" s="21"/>
      <c r="E80" s="21"/>
      <c r="F80" s="21"/>
      <c r="G80" s="21"/>
      <c r="H80" s="21">
        <v>82</v>
      </c>
      <c r="I80" s="22"/>
      <c r="J80" s="23">
        <f t="shared" si="6"/>
        <v>0</v>
      </c>
      <c r="K80" s="23">
        <f t="shared" si="7"/>
        <v>68161.05</v>
      </c>
    </row>
    <row r="81" spans="2:12" ht="18.75" x14ac:dyDescent="0.3">
      <c r="B81" s="63">
        <v>44189</v>
      </c>
      <c r="C81" s="20" t="s">
        <v>936</v>
      </c>
      <c r="D81" s="37"/>
      <c r="E81" s="21"/>
      <c r="F81" s="21"/>
      <c r="G81" s="21"/>
      <c r="H81" s="21">
        <v>1140.73</v>
      </c>
      <c r="I81" s="22"/>
      <c r="J81" s="23">
        <f t="shared" si="6"/>
        <v>0</v>
      </c>
      <c r="K81" s="23">
        <f t="shared" si="7"/>
        <v>67020.320000000007</v>
      </c>
    </row>
    <row r="82" spans="2:12" ht="18.75" x14ac:dyDescent="0.3">
      <c r="B82" s="63">
        <v>44189</v>
      </c>
      <c r="C82" s="20" t="s">
        <v>932</v>
      </c>
      <c r="D82" s="37"/>
      <c r="E82" s="21"/>
      <c r="F82" s="21"/>
      <c r="G82" s="21"/>
      <c r="H82" s="21">
        <v>1180</v>
      </c>
      <c r="I82" s="22"/>
      <c r="J82" s="23">
        <f t="shared" si="6"/>
        <v>0</v>
      </c>
      <c r="K82" s="23">
        <f t="shared" si="7"/>
        <v>65840.320000000007</v>
      </c>
    </row>
    <row r="83" spans="2:12" ht="18.75" x14ac:dyDescent="0.3">
      <c r="B83" s="63">
        <v>44189</v>
      </c>
      <c r="C83" s="20" t="s">
        <v>937</v>
      </c>
      <c r="D83" s="21"/>
      <c r="E83" s="21"/>
      <c r="F83" s="21"/>
      <c r="G83" s="21"/>
      <c r="H83" s="21">
        <v>595</v>
      </c>
      <c r="I83" s="22"/>
      <c r="J83" s="23">
        <f t="shared" si="6"/>
        <v>0</v>
      </c>
      <c r="K83" s="23">
        <f t="shared" si="7"/>
        <v>65245.320000000007</v>
      </c>
    </row>
    <row r="84" spans="2:12" ht="18.75" x14ac:dyDescent="0.3">
      <c r="B84" s="63">
        <v>44192</v>
      </c>
      <c r="C84" s="20" t="s">
        <v>928</v>
      </c>
      <c r="D84" s="21"/>
      <c r="E84" s="21"/>
      <c r="F84" s="21"/>
      <c r="G84" s="21"/>
      <c r="H84" s="21">
        <v>100</v>
      </c>
      <c r="I84" s="22"/>
      <c r="J84" s="23">
        <f t="shared" si="6"/>
        <v>0</v>
      </c>
      <c r="K84" s="23">
        <f t="shared" si="7"/>
        <v>65145.320000000007</v>
      </c>
    </row>
    <row r="85" spans="2:12" ht="18.75" x14ac:dyDescent="0.3">
      <c r="B85" s="63">
        <v>44192</v>
      </c>
      <c r="C85" s="20" t="s">
        <v>960</v>
      </c>
      <c r="D85" s="21"/>
      <c r="E85" s="21"/>
      <c r="F85" s="21"/>
      <c r="G85" s="21"/>
      <c r="H85" s="21">
        <v>300</v>
      </c>
      <c r="I85" s="22"/>
      <c r="J85" s="23">
        <f t="shared" si="6"/>
        <v>0</v>
      </c>
      <c r="K85" s="23">
        <f t="shared" si="7"/>
        <v>64845.320000000007</v>
      </c>
    </row>
    <row r="86" spans="2:12" ht="18.75" x14ac:dyDescent="0.3">
      <c r="B86" s="63">
        <v>44192</v>
      </c>
      <c r="C86" s="20" t="s">
        <v>855</v>
      </c>
      <c r="D86" s="21"/>
      <c r="E86" s="21"/>
      <c r="F86" s="21"/>
      <c r="G86" s="21"/>
      <c r="H86" s="21">
        <v>180</v>
      </c>
      <c r="I86" s="22"/>
      <c r="J86" s="23">
        <f t="shared" si="6"/>
        <v>0</v>
      </c>
      <c r="K86" s="23">
        <f t="shared" si="7"/>
        <v>64665.320000000007</v>
      </c>
    </row>
    <row r="87" spans="2:12" ht="18.75" x14ac:dyDescent="0.3">
      <c r="B87" s="63">
        <v>44192</v>
      </c>
      <c r="C87" s="36" t="s">
        <v>938</v>
      </c>
      <c r="D87" s="21">
        <v>34800</v>
      </c>
      <c r="E87" s="21"/>
      <c r="F87" s="21"/>
      <c r="G87" s="21"/>
      <c r="H87" s="57"/>
      <c r="I87" s="22"/>
      <c r="J87" s="23">
        <f t="shared" si="6"/>
        <v>0</v>
      </c>
      <c r="K87" s="23">
        <f t="shared" si="7"/>
        <v>99465.32</v>
      </c>
    </row>
    <row r="88" spans="2:12" ht="18.75" x14ac:dyDescent="0.3">
      <c r="B88" s="63">
        <v>44192</v>
      </c>
      <c r="C88" s="20" t="s">
        <v>955</v>
      </c>
      <c r="D88" s="21"/>
      <c r="E88" s="21"/>
      <c r="F88" s="21"/>
      <c r="G88" s="21"/>
      <c r="H88" s="21">
        <v>2599</v>
      </c>
      <c r="I88" s="22"/>
      <c r="J88" s="23">
        <f t="shared" si="6"/>
        <v>0</v>
      </c>
      <c r="K88" s="23">
        <f t="shared" si="7"/>
        <v>96866.32</v>
      </c>
    </row>
    <row r="89" spans="2:12" ht="18.75" x14ac:dyDescent="0.3">
      <c r="B89" s="63">
        <v>44193</v>
      </c>
      <c r="C89" s="20" t="s">
        <v>940</v>
      </c>
      <c r="D89" s="21"/>
      <c r="E89" s="21"/>
      <c r="F89" s="21"/>
      <c r="G89" s="21"/>
      <c r="H89" s="21">
        <v>715</v>
      </c>
      <c r="I89" s="22"/>
      <c r="J89" s="23">
        <f t="shared" si="6"/>
        <v>0</v>
      </c>
      <c r="K89" s="23">
        <f t="shared" si="7"/>
        <v>96151.32</v>
      </c>
      <c r="L89" s="1"/>
    </row>
    <row r="90" spans="2:12" ht="18.75" x14ac:dyDescent="0.3">
      <c r="B90" s="63">
        <v>44193</v>
      </c>
      <c r="C90" s="20" t="s">
        <v>941</v>
      </c>
      <c r="D90" s="21"/>
      <c r="E90" s="21"/>
      <c r="F90" s="21"/>
      <c r="G90" s="21"/>
      <c r="H90" s="21">
        <v>2142</v>
      </c>
      <c r="I90" s="22"/>
      <c r="J90" s="23">
        <f t="shared" si="6"/>
        <v>0</v>
      </c>
      <c r="K90" s="23">
        <f t="shared" si="7"/>
        <v>94009.32</v>
      </c>
    </row>
    <row r="91" spans="2:12" ht="18.75" x14ac:dyDescent="0.3">
      <c r="B91" s="63">
        <v>44193</v>
      </c>
      <c r="C91" s="20" t="s">
        <v>942</v>
      </c>
      <c r="D91" s="21"/>
      <c r="E91" s="21"/>
      <c r="F91" s="21"/>
      <c r="G91" s="21"/>
      <c r="H91" s="21">
        <v>75</v>
      </c>
      <c r="I91" s="22"/>
      <c r="J91" s="23">
        <f t="shared" si="6"/>
        <v>0</v>
      </c>
      <c r="K91" s="23">
        <f t="shared" si="7"/>
        <v>93934.32</v>
      </c>
    </row>
    <row r="92" spans="2:12" ht="18.75" x14ac:dyDescent="0.3">
      <c r="B92" s="63">
        <v>44193</v>
      </c>
      <c r="C92" s="20" t="s">
        <v>384</v>
      </c>
      <c r="D92" s="21"/>
      <c r="E92" s="21"/>
      <c r="F92" s="21"/>
      <c r="G92" s="21"/>
      <c r="H92" s="21">
        <v>443</v>
      </c>
      <c r="I92" s="22"/>
      <c r="J92" s="23">
        <f t="shared" si="6"/>
        <v>0</v>
      </c>
      <c r="K92" s="23">
        <f t="shared" si="7"/>
        <v>93491.32</v>
      </c>
    </row>
    <row r="93" spans="2:12" ht="18.75" x14ac:dyDescent="0.3">
      <c r="B93" s="63">
        <v>44193</v>
      </c>
      <c r="C93" s="20" t="s">
        <v>943</v>
      </c>
      <c r="D93" s="21"/>
      <c r="E93" s="21"/>
      <c r="F93" s="21"/>
      <c r="G93" s="21"/>
      <c r="H93" s="21">
        <v>850</v>
      </c>
      <c r="I93" s="22"/>
      <c r="J93" s="23">
        <f t="shared" si="6"/>
        <v>0</v>
      </c>
      <c r="K93" s="23">
        <f t="shared" si="7"/>
        <v>92641.32</v>
      </c>
    </row>
    <row r="94" spans="2:12" ht="18.75" x14ac:dyDescent="0.3">
      <c r="B94" s="63">
        <v>44193</v>
      </c>
      <c r="C94" s="20" t="s">
        <v>944</v>
      </c>
      <c r="D94" s="21"/>
      <c r="E94" s="21"/>
      <c r="F94" s="21"/>
      <c r="G94" s="21"/>
      <c r="H94" s="21">
        <v>200</v>
      </c>
      <c r="I94" s="22"/>
      <c r="J94" s="23">
        <f t="shared" si="6"/>
        <v>0</v>
      </c>
      <c r="K94" s="23">
        <f t="shared" si="7"/>
        <v>92441.32</v>
      </c>
    </row>
    <row r="95" spans="2:12" ht="18.75" x14ac:dyDescent="0.3">
      <c r="B95" s="63">
        <v>44193</v>
      </c>
      <c r="C95" s="20" t="s">
        <v>945</v>
      </c>
      <c r="D95" s="21"/>
      <c r="E95" s="21"/>
      <c r="F95" s="21"/>
      <c r="G95" s="21"/>
      <c r="H95" s="21">
        <v>350</v>
      </c>
      <c r="I95" s="22"/>
      <c r="J95" s="23">
        <f t="shared" si="6"/>
        <v>0</v>
      </c>
      <c r="K95" s="23">
        <f t="shared" si="7"/>
        <v>92091.32</v>
      </c>
      <c r="L95" s="1"/>
    </row>
    <row r="96" spans="2:12" ht="18.75" x14ac:dyDescent="0.3">
      <c r="B96" s="63">
        <v>44193</v>
      </c>
      <c r="C96" s="20" t="s">
        <v>946</v>
      </c>
      <c r="D96" s="21"/>
      <c r="E96" s="21"/>
      <c r="F96" s="21"/>
      <c r="G96" s="21"/>
      <c r="H96" s="21">
        <v>309.39999999999998</v>
      </c>
      <c r="I96" s="22"/>
      <c r="J96" s="23">
        <f t="shared" si="6"/>
        <v>0</v>
      </c>
      <c r="K96" s="23">
        <f t="shared" si="7"/>
        <v>91781.920000000013</v>
      </c>
    </row>
    <row r="97" spans="2:13" ht="18.75" x14ac:dyDescent="0.3">
      <c r="B97" s="63">
        <v>44193</v>
      </c>
      <c r="C97" s="27" t="s">
        <v>951</v>
      </c>
      <c r="D97" s="21"/>
      <c r="E97" s="21"/>
      <c r="F97" s="21"/>
      <c r="G97" s="21"/>
      <c r="H97" s="21">
        <v>800</v>
      </c>
      <c r="I97" s="22"/>
      <c r="J97" s="23">
        <f t="shared" si="6"/>
        <v>0</v>
      </c>
      <c r="K97" s="23">
        <f t="shared" si="7"/>
        <v>90981.920000000013</v>
      </c>
      <c r="L97" s="5"/>
    </row>
    <row r="98" spans="2:13" ht="18.75" x14ac:dyDescent="0.3">
      <c r="B98" s="63">
        <v>44193</v>
      </c>
      <c r="C98" s="27" t="s">
        <v>947</v>
      </c>
      <c r="D98" s="21"/>
      <c r="E98" s="21"/>
      <c r="F98" s="21"/>
      <c r="G98" s="21"/>
      <c r="H98" s="21">
        <v>800</v>
      </c>
      <c r="I98" s="22"/>
      <c r="J98" s="23">
        <f t="shared" si="6"/>
        <v>0</v>
      </c>
      <c r="K98" s="23">
        <f t="shared" si="7"/>
        <v>90181.920000000013</v>
      </c>
    </row>
    <row r="99" spans="2:13" ht="18.75" x14ac:dyDescent="0.3">
      <c r="B99" s="63">
        <v>44194</v>
      </c>
      <c r="C99" s="36" t="s">
        <v>902</v>
      </c>
      <c r="D99" s="21"/>
      <c r="E99" s="21"/>
      <c r="F99" s="21"/>
      <c r="G99" s="21"/>
      <c r="H99" s="21">
        <v>180.5</v>
      </c>
      <c r="I99" s="22"/>
      <c r="J99" s="23">
        <f t="shared" si="6"/>
        <v>0</v>
      </c>
      <c r="K99" s="23">
        <f t="shared" si="7"/>
        <v>90001.420000000013</v>
      </c>
    </row>
    <row r="100" spans="2:13" ht="18.75" x14ac:dyDescent="0.3">
      <c r="B100" s="63">
        <v>44195</v>
      </c>
      <c r="C100" s="36" t="s">
        <v>422</v>
      </c>
      <c r="D100" s="21"/>
      <c r="E100" s="21"/>
      <c r="F100" s="21"/>
      <c r="G100" s="21"/>
      <c r="H100" s="21">
        <v>2000</v>
      </c>
      <c r="I100" s="22"/>
      <c r="J100" s="23">
        <f t="shared" si="6"/>
        <v>0</v>
      </c>
      <c r="K100" s="23">
        <f t="shared" si="7"/>
        <v>88001.420000000013</v>
      </c>
    </row>
    <row r="101" spans="2:13" ht="18.75" x14ac:dyDescent="0.3">
      <c r="B101" s="63">
        <v>44196</v>
      </c>
      <c r="C101" s="24" t="s">
        <v>948</v>
      </c>
      <c r="D101" s="37"/>
      <c r="E101" s="21"/>
      <c r="F101" s="21"/>
      <c r="G101" s="21"/>
      <c r="H101" s="21">
        <v>1000</v>
      </c>
      <c r="I101" s="22"/>
      <c r="J101" s="23">
        <f t="shared" si="6"/>
        <v>0</v>
      </c>
      <c r="K101" s="23">
        <f t="shared" si="7"/>
        <v>87001.420000000013</v>
      </c>
    </row>
    <row r="102" spans="2:13" ht="18.75" x14ac:dyDescent="0.3">
      <c r="B102" s="63">
        <v>44196</v>
      </c>
      <c r="C102" s="24" t="s">
        <v>949</v>
      </c>
      <c r="D102" s="37"/>
      <c r="E102" s="21"/>
      <c r="F102" s="21"/>
      <c r="G102" s="21"/>
      <c r="H102" s="21">
        <v>3200</v>
      </c>
      <c r="I102" s="22"/>
      <c r="J102" s="23">
        <f t="shared" si="6"/>
        <v>0</v>
      </c>
      <c r="K102" s="23">
        <f t="shared" si="7"/>
        <v>83801.420000000013</v>
      </c>
    </row>
    <row r="103" spans="2:13" ht="19.5" thickBot="1" x14ac:dyDescent="0.35">
      <c r="B103" s="63">
        <v>44196</v>
      </c>
      <c r="C103" s="24" t="s">
        <v>950</v>
      </c>
      <c r="D103" s="37"/>
      <c r="E103" s="21"/>
      <c r="F103" s="21"/>
      <c r="G103" s="21"/>
      <c r="H103" s="21">
        <v>1000</v>
      </c>
      <c r="I103" s="22"/>
      <c r="J103" s="23">
        <f t="shared" si="6"/>
        <v>0</v>
      </c>
      <c r="K103" s="23">
        <f t="shared" si="7"/>
        <v>82801.420000000013</v>
      </c>
    </row>
    <row r="104" spans="2:13" ht="19.5" thickBot="1" x14ac:dyDescent="0.35">
      <c r="B104" s="65"/>
      <c r="C104" s="29" t="s">
        <v>0</v>
      </c>
      <c r="D104" s="40">
        <f>SUM(D55:D103)</f>
        <v>212100</v>
      </c>
      <c r="E104" s="66">
        <f>SUM(E55:E103)</f>
        <v>0</v>
      </c>
      <c r="F104" s="67">
        <f>SUM(D104:E104)</f>
        <v>212100</v>
      </c>
      <c r="G104" s="67">
        <f>SUM(G55:G103)</f>
        <v>0</v>
      </c>
      <c r="H104" s="30">
        <f>SUM(H55:H103)</f>
        <v>160067.79999999999</v>
      </c>
      <c r="I104" s="32">
        <f>SUM(G104:H104)</f>
        <v>160067.79999999999</v>
      </c>
      <c r="J104" s="34"/>
      <c r="K104" s="34"/>
      <c r="L104" s="1"/>
      <c r="M104" s="1">
        <f>SUM(D104:E104)</f>
        <v>212100</v>
      </c>
    </row>
    <row r="105" spans="2:13" ht="18.75" x14ac:dyDescent="0.3">
      <c r="B105" s="60" t="s">
        <v>1</v>
      </c>
      <c r="C105" s="9" t="s">
        <v>2</v>
      </c>
      <c r="D105" s="9" t="s">
        <v>3</v>
      </c>
      <c r="E105" s="9" t="s">
        <v>3</v>
      </c>
      <c r="F105" s="9" t="s">
        <v>8</v>
      </c>
      <c r="G105" s="9" t="s">
        <v>9</v>
      </c>
      <c r="H105" s="10" t="s">
        <v>9</v>
      </c>
      <c r="I105" s="10" t="s">
        <v>8</v>
      </c>
      <c r="J105" s="9" t="s">
        <v>7</v>
      </c>
      <c r="K105" s="10" t="s">
        <v>6</v>
      </c>
      <c r="L105" s="1"/>
    </row>
    <row r="106" spans="2:13" ht="19.5" thickBot="1" x14ac:dyDescent="0.35">
      <c r="B106" s="61"/>
      <c r="C106" s="11"/>
      <c r="D106" s="11" t="s">
        <v>5</v>
      </c>
      <c r="E106" s="11" t="s">
        <v>7</v>
      </c>
      <c r="F106" s="11" t="s">
        <v>3</v>
      </c>
      <c r="G106" s="11" t="s">
        <v>7</v>
      </c>
      <c r="H106" s="12" t="s">
        <v>5</v>
      </c>
      <c r="I106" s="12" t="s">
        <v>4</v>
      </c>
      <c r="J106" s="11"/>
      <c r="K106" s="12"/>
      <c r="L106" s="1"/>
    </row>
    <row r="107" spans="2:13" ht="19.5" thickBot="1" x14ac:dyDescent="0.35">
      <c r="B107" s="68"/>
      <c r="C107" s="41" t="s">
        <v>0</v>
      </c>
      <c r="D107" s="40">
        <v>212100</v>
      </c>
      <c r="E107" s="40">
        <v>0</v>
      </c>
      <c r="F107" s="40">
        <f>SUM(D107:E107)</f>
        <v>212100</v>
      </c>
      <c r="G107" s="40">
        <v>0</v>
      </c>
      <c r="H107" s="30">
        <v>160067.79999999999</v>
      </c>
      <c r="I107" s="30">
        <f>SUM(G107:H107)</f>
        <v>160067.79999999999</v>
      </c>
      <c r="J107" s="30">
        <v>0</v>
      </c>
      <c r="K107" s="34">
        <v>82801.42</v>
      </c>
      <c r="L107" s="1"/>
    </row>
    <row r="108" spans="2:13" ht="18.75" x14ac:dyDescent="0.3">
      <c r="B108" s="63">
        <v>44196</v>
      </c>
      <c r="C108" s="24" t="s">
        <v>956</v>
      </c>
      <c r="D108" s="37"/>
      <c r="E108" s="21"/>
      <c r="F108" s="21"/>
      <c r="G108" s="21"/>
      <c r="H108" s="21">
        <v>900</v>
      </c>
      <c r="I108" s="22"/>
      <c r="J108" s="23">
        <f>+J107+E108-G108</f>
        <v>0</v>
      </c>
      <c r="K108" s="23">
        <f>+K107+D108-H108</f>
        <v>81901.42</v>
      </c>
      <c r="L108" s="1"/>
    </row>
    <row r="109" spans="2:13" ht="18.75" x14ac:dyDescent="0.3">
      <c r="B109" s="63">
        <v>44196</v>
      </c>
      <c r="C109" s="24" t="s">
        <v>952</v>
      </c>
      <c r="D109" s="37"/>
      <c r="E109" s="21"/>
      <c r="F109" s="21"/>
      <c r="G109" s="21"/>
      <c r="H109" s="21">
        <v>4600</v>
      </c>
      <c r="I109" s="22"/>
      <c r="J109" s="23">
        <f t="shared" ref="J109:J121" si="8">+J108+E109-G109</f>
        <v>0</v>
      </c>
      <c r="K109" s="23">
        <f t="shared" ref="K109:K121" si="9">+K108+D109-H109</f>
        <v>77301.42</v>
      </c>
      <c r="L109" s="1"/>
    </row>
    <row r="110" spans="2:13" ht="18.75" x14ac:dyDescent="0.3">
      <c r="B110" s="63">
        <v>44196</v>
      </c>
      <c r="C110" s="24" t="s">
        <v>953</v>
      </c>
      <c r="D110" s="37"/>
      <c r="E110" s="21"/>
      <c r="F110" s="21"/>
      <c r="G110" s="21"/>
      <c r="H110" s="21">
        <v>1000</v>
      </c>
      <c r="I110" s="22"/>
      <c r="J110" s="23">
        <f t="shared" si="8"/>
        <v>0</v>
      </c>
      <c r="K110" s="23">
        <f t="shared" si="9"/>
        <v>76301.42</v>
      </c>
      <c r="L110" s="1"/>
    </row>
    <row r="111" spans="2:13" ht="18.75" x14ac:dyDescent="0.3">
      <c r="B111" s="63">
        <v>44196</v>
      </c>
      <c r="C111" s="24" t="s">
        <v>736</v>
      </c>
      <c r="D111" s="37"/>
      <c r="E111" s="21"/>
      <c r="F111" s="21"/>
      <c r="G111" s="21"/>
      <c r="H111" s="21">
        <v>850</v>
      </c>
      <c r="I111" s="22"/>
      <c r="J111" s="23">
        <f t="shared" si="8"/>
        <v>0</v>
      </c>
      <c r="K111" s="23">
        <f t="shared" si="9"/>
        <v>75451.42</v>
      </c>
      <c r="L111" s="1"/>
    </row>
    <row r="112" spans="2:13" ht="18.75" x14ac:dyDescent="0.3">
      <c r="B112" s="63">
        <v>44196</v>
      </c>
      <c r="C112" s="24" t="s">
        <v>869</v>
      </c>
      <c r="D112" s="37"/>
      <c r="E112" s="21"/>
      <c r="F112" s="21"/>
      <c r="G112" s="21"/>
      <c r="H112" s="21">
        <v>200</v>
      </c>
      <c r="I112" s="22"/>
      <c r="J112" s="23">
        <f t="shared" si="8"/>
        <v>0</v>
      </c>
      <c r="K112" s="23">
        <f t="shared" si="9"/>
        <v>75251.42</v>
      </c>
      <c r="L112" s="1"/>
    </row>
    <row r="113" spans="2:12" ht="18.75" x14ac:dyDescent="0.3">
      <c r="B113" s="63">
        <v>44196</v>
      </c>
      <c r="C113" s="24" t="s">
        <v>735</v>
      </c>
      <c r="D113" s="21"/>
      <c r="E113" s="21"/>
      <c r="F113" s="21"/>
      <c r="G113" s="22"/>
      <c r="H113" s="21">
        <v>300</v>
      </c>
      <c r="I113" s="22"/>
      <c r="J113" s="23">
        <f t="shared" si="8"/>
        <v>0</v>
      </c>
      <c r="K113" s="23">
        <f t="shared" si="9"/>
        <v>74951.42</v>
      </c>
      <c r="L113" s="1"/>
    </row>
    <row r="114" spans="2:12" ht="18.75" x14ac:dyDescent="0.3">
      <c r="B114" s="63">
        <v>44196</v>
      </c>
      <c r="C114" s="24" t="s">
        <v>958</v>
      </c>
      <c r="D114" s="21"/>
      <c r="E114" s="21"/>
      <c r="F114" s="21"/>
      <c r="G114" s="22"/>
      <c r="H114" s="21">
        <v>700</v>
      </c>
      <c r="I114" s="22"/>
      <c r="J114" s="23">
        <f t="shared" si="8"/>
        <v>0</v>
      </c>
      <c r="K114" s="23">
        <f t="shared" si="9"/>
        <v>74251.42</v>
      </c>
      <c r="L114" s="1"/>
    </row>
    <row r="115" spans="2:12" ht="18.75" x14ac:dyDescent="0.3">
      <c r="B115" s="63">
        <v>44196</v>
      </c>
      <c r="C115" s="24" t="s">
        <v>638</v>
      </c>
      <c r="D115" s="21"/>
      <c r="E115" s="21"/>
      <c r="F115" s="21"/>
      <c r="G115" s="22"/>
      <c r="H115" s="21">
        <v>3200</v>
      </c>
      <c r="I115" s="22"/>
      <c r="J115" s="23">
        <f t="shared" si="8"/>
        <v>0</v>
      </c>
      <c r="K115" s="23">
        <f t="shared" si="9"/>
        <v>71051.42</v>
      </c>
      <c r="L115" s="1"/>
    </row>
    <row r="116" spans="2:12" ht="18.75" x14ac:dyDescent="0.3">
      <c r="B116" s="63">
        <v>44196</v>
      </c>
      <c r="C116" s="48" t="s">
        <v>873</v>
      </c>
      <c r="D116" s="21"/>
      <c r="E116" s="21"/>
      <c r="F116" s="21"/>
      <c r="G116" s="21"/>
      <c r="H116" s="21">
        <v>3000</v>
      </c>
      <c r="I116" s="22"/>
      <c r="J116" s="23">
        <f t="shared" si="8"/>
        <v>0</v>
      </c>
      <c r="K116" s="23">
        <f t="shared" si="9"/>
        <v>68051.42</v>
      </c>
      <c r="L116" s="1"/>
    </row>
    <row r="117" spans="2:12" ht="18.75" x14ac:dyDescent="0.3">
      <c r="B117" s="63">
        <v>44196</v>
      </c>
      <c r="C117" s="27" t="s">
        <v>880</v>
      </c>
      <c r="D117" s="26">
        <v>9000</v>
      </c>
      <c r="E117" s="26"/>
      <c r="F117" s="26"/>
      <c r="G117" s="26"/>
      <c r="H117" s="21"/>
      <c r="I117" s="22"/>
      <c r="J117" s="23">
        <f t="shared" si="8"/>
        <v>0</v>
      </c>
      <c r="K117" s="23">
        <f t="shared" si="9"/>
        <v>77051.42</v>
      </c>
      <c r="L117" s="1"/>
    </row>
    <row r="118" spans="2:12" ht="18.75" x14ac:dyDescent="0.3">
      <c r="B118" s="63">
        <v>44196</v>
      </c>
      <c r="C118" s="27" t="s">
        <v>872</v>
      </c>
      <c r="D118" s="26"/>
      <c r="E118" s="26"/>
      <c r="F118" s="26"/>
      <c r="G118" s="26"/>
      <c r="H118" s="21">
        <v>9000</v>
      </c>
      <c r="I118" s="22"/>
      <c r="J118" s="23">
        <f t="shared" si="8"/>
        <v>0</v>
      </c>
      <c r="K118" s="23">
        <f t="shared" si="9"/>
        <v>68051.42</v>
      </c>
      <c r="L118" s="1"/>
    </row>
    <row r="119" spans="2:12" ht="18.75" x14ac:dyDescent="0.3">
      <c r="B119" s="63">
        <v>44196</v>
      </c>
      <c r="C119" s="27" t="s">
        <v>871</v>
      </c>
      <c r="D119" s="26"/>
      <c r="E119" s="26"/>
      <c r="F119" s="26"/>
      <c r="G119" s="26"/>
      <c r="H119" s="21">
        <v>29250</v>
      </c>
      <c r="I119" s="22"/>
      <c r="J119" s="23">
        <f t="shared" si="8"/>
        <v>0</v>
      </c>
      <c r="K119" s="23">
        <f t="shared" si="9"/>
        <v>38801.42</v>
      </c>
      <c r="L119" s="1"/>
    </row>
    <row r="120" spans="2:12" ht="18.75" x14ac:dyDescent="0.3">
      <c r="B120" s="63" t="s">
        <v>957</v>
      </c>
      <c r="C120" s="48" t="s">
        <v>299</v>
      </c>
      <c r="D120" s="21"/>
      <c r="E120" s="21"/>
      <c r="F120" s="21"/>
      <c r="G120" s="21"/>
      <c r="H120" s="21">
        <v>5600</v>
      </c>
      <c r="I120" s="22"/>
      <c r="J120" s="23">
        <f t="shared" si="8"/>
        <v>0</v>
      </c>
      <c r="K120" s="23">
        <f t="shared" si="9"/>
        <v>33201.42</v>
      </c>
      <c r="L120" s="1"/>
    </row>
    <row r="121" spans="2:12" ht="19.5" thickBot="1" x14ac:dyDescent="0.35">
      <c r="B121" s="63"/>
      <c r="C121" s="24"/>
      <c r="D121" s="21"/>
      <c r="E121" s="21"/>
      <c r="F121" s="21"/>
      <c r="G121" s="21"/>
      <c r="H121" s="21"/>
      <c r="I121" s="22"/>
      <c r="J121" s="23">
        <f t="shared" si="8"/>
        <v>0</v>
      </c>
      <c r="K121" s="23">
        <f t="shared" si="9"/>
        <v>33201.42</v>
      </c>
      <c r="L121" s="1"/>
    </row>
    <row r="122" spans="2:12" ht="19.5" thickBot="1" x14ac:dyDescent="0.35">
      <c r="B122" s="65"/>
      <c r="C122" s="29" t="s">
        <v>0</v>
      </c>
      <c r="D122" s="40">
        <f>SUM(D107:D121)</f>
        <v>221100</v>
      </c>
      <c r="E122" s="66">
        <f>SUM(E107:E121)</f>
        <v>0</v>
      </c>
      <c r="F122" s="67">
        <f>SUM(D122:E122)</f>
        <v>221100</v>
      </c>
      <c r="G122" s="67">
        <f>SUM(G107:G121)</f>
        <v>0</v>
      </c>
      <c r="H122" s="30">
        <f>SUM(H107:H121)</f>
        <v>218667.8</v>
      </c>
      <c r="I122" s="32">
        <f>SUM(G122:H122)</f>
        <v>218667.8</v>
      </c>
      <c r="J122" s="34"/>
      <c r="K122" s="34"/>
      <c r="L122" s="1"/>
    </row>
    <row r="123" spans="2:12" ht="19.5" thickBot="1" x14ac:dyDescent="0.35">
      <c r="B123" s="70"/>
      <c r="C123" s="7"/>
      <c r="D123" s="7"/>
      <c r="E123" s="7"/>
      <c r="F123" s="7"/>
      <c r="G123" s="7"/>
      <c r="H123" s="7"/>
      <c r="I123" s="38" t="s">
        <v>7</v>
      </c>
      <c r="J123" s="38" t="s">
        <v>6</v>
      </c>
      <c r="K123" s="39" t="s">
        <v>0</v>
      </c>
    </row>
    <row r="124" spans="2:12" ht="19.5" thickBot="1" x14ac:dyDescent="0.35">
      <c r="B124" s="70"/>
      <c r="C124" s="7"/>
      <c r="D124" s="7"/>
      <c r="E124" s="7"/>
      <c r="F124" s="7"/>
      <c r="G124" s="7"/>
      <c r="H124" s="7"/>
      <c r="I124" s="34">
        <v>0</v>
      </c>
      <c r="J124" s="34">
        <v>33201.42</v>
      </c>
      <c r="K124" s="34">
        <f>SUM(I124:J124)</f>
        <v>33201.42</v>
      </c>
    </row>
  </sheetData>
  <printOptions verticalCentered="1"/>
  <pageMargins left="0.70866141732283472" right="0.70866141732283472" top="0" bottom="0" header="0.31496062992125984" footer="0.31496062992125984"/>
  <pageSetup paperSize="9" scale="61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12</vt:i4>
      </vt:variant>
    </vt:vector>
  </HeadingPairs>
  <TitlesOfParts>
    <vt:vector size="25" baseType="lpstr">
      <vt:lpstr>ENERO-20 </vt:lpstr>
      <vt:lpstr>FEBRERO-20 </vt:lpstr>
      <vt:lpstr>MARZO-20</vt:lpstr>
      <vt:lpstr>ABRIL-20</vt:lpstr>
      <vt:lpstr>MAYO-20</vt:lpstr>
      <vt:lpstr>JUNIO-20</vt:lpstr>
      <vt:lpstr>JULIO-20</vt:lpstr>
      <vt:lpstr>AGOSTO-20</vt:lpstr>
      <vt:lpstr>SEPTIEMBRE-20 </vt:lpstr>
      <vt:lpstr>OCTUBRE-20</vt:lpstr>
      <vt:lpstr>NOVIEMBRE-20</vt:lpstr>
      <vt:lpstr>DICIEMBRE-20</vt:lpstr>
      <vt:lpstr>Hoja1</vt:lpstr>
      <vt:lpstr>'ABRIL-20'!Área_de_impresión</vt:lpstr>
      <vt:lpstr>'AGOSTO-20'!Área_de_impresión</vt:lpstr>
      <vt:lpstr>'DICIEMBRE-20'!Área_de_impresión</vt:lpstr>
      <vt:lpstr>'ENERO-20 '!Área_de_impresión</vt:lpstr>
      <vt:lpstr>'FEBRERO-20 '!Área_de_impresión</vt:lpstr>
      <vt:lpstr>'JULIO-20'!Área_de_impresión</vt:lpstr>
      <vt:lpstr>'JUNIO-20'!Área_de_impresión</vt:lpstr>
      <vt:lpstr>'MARZO-20'!Área_de_impresión</vt:lpstr>
      <vt:lpstr>'MAYO-20'!Área_de_impresión</vt:lpstr>
      <vt:lpstr>'NOVIEMBRE-20'!Área_de_impresión</vt:lpstr>
      <vt:lpstr>'OCTUBRE-20'!Área_de_impresión</vt:lpstr>
      <vt:lpstr>'SEPTIEMBRE-20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2020-12-29T23:44:15Z</cp:lastPrinted>
  <dcterms:created xsi:type="dcterms:W3CDTF">2014-03-03T21:03:38Z</dcterms:created>
  <dcterms:modified xsi:type="dcterms:W3CDTF">2021-02-26T23:52:52Z</dcterms:modified>
</cp:coreProperties>
</file>