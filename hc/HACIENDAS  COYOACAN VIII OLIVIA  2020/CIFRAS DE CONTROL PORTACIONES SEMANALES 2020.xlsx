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firstSheet="8" activeTab="11"/>
  </bookViews>
  <sheets>
    <sheet name="C C Aportaciones ENE 20" sheetId="5" r:id="rId1"/>
    <sheet name="C C Aportaciones FEB 20" sheetId="6" r:id="rId2"/>
    <sheet name="C C Aportacines MAR 20" sheetId="7" r:id="rId3"/>
    <sheet name="C C Aportaciones ABR 20  " sheetId="9" r:id="rId4"/>
    <sheet name="C C Aportaciones MAY 20" sheetId="12" r:id="rId5"/>
    <sheet name="C C Aportaciones JUN 20" sheetId="13" r:id="rId6"/>
    <sheet name="C C Aportaciones JUL 20   " sheetId="15" r:id="rId7"/>
    <sheet name="C C Aportaciones AGO 20   " sheetId="14" r:id="rId8"/>
    <sheet name="C C Aportaciones SEP 20" sheetId="16" r:id="rId9"/>
    <sheet name="C C Aportaciones OCT 20 " sheetId="17" r:id="rId10"/>
    <sheet name="C C Aportaciones NOV 20   " sheetId="18" r:id="rId11"/>
    <sheet name="C C Aportaciones DIC 20  " sheetId="8" r:id="rId12"/>
  </sheets>
  <definedNames>
    <definedName name="_xlnm.Print_Area" localSheetId="2">'C C Aportacines MAR 20'!$A$1:$O$4</definedName>
    <definedName name="_xlnm.Print_Area" localSheetId="3">'C C Aportaciones ABR 20  '!$A$1:$O$4</definedName>
    <definedName name="_xlnm.Print_Area" localSheetId="7">'C C Aportaciones AGO 20   '!$A$1:$O$4</definedName>
    <definedName name="_xlnm.Print_Area" localSheetId="11">'C C Aportaciones DIC 20  '!$A$1:$O$4</definedName>
    <definedName name="_xlnm.Print_Area" localSheetId="0">'C C Aportaciones ENE 20'!$A$1:$O$74</definedName>
    <definedName name="_xlnm.Print_Area" localSheetId="1">'C C Aportaciones FEB 20'!$A$1:$O$73</definedName>
    <definedName name="_xlnm.Print_Area" localSheetId="6">'C C Aportaciones JUL 20   '!$A$1:$O$4</definedName>
    <definedName name="_xlnm.Print_Area" localSheetId="5">'C C Aportaciones JUN 20'!$A$1:$O$1</definedName>
    <definedName name="_xlnm.Print_Area" localSheetId="4">'C C Aportaciones MAY 20'!$A$1:$O$4</definedName>
    <definedName name="_xlnm.Print_Area" localSheetId="10">'C C Aportaciones NOV 20   '!$A$1:$O$1</definedName>
    <definedName name="_xlnm.Print_Area" localSheetId="9">'C C Aportaciones OCT 20 '!$A$1:$O$4</definedName>
    <definedName name="_xlnm.Print_Area" localSheetId="8">'C C Aportaciones SEP 20'!$A$1:$O$4</definedName>
    <definedName name="_xlnm.Print_Titles" localSheetId="2">'C C Aportacines MAR 20'!$1:$4</definedName>
    <definedName name="_xlnm.Print_Titles" localSheetId="3">'C C Aportaciones ABR 20  '!$1:$4</definedName>
    <definedName name="_xlnm.Print_Titles" localSheetId="7">'C C Aportaciones AGO 20   '!$1:$4</definedName>
    <definedName name="_xlnm.Print_Titles" localSheetId="11">'C C Aportaciones DIC 20  '!$1:$4</definedName>
    <definedName name="_xlnm.Print_Titles" localSheetId="0">'C C Aportaciones ENE 20'!$1:$7</definedName>
    <definedName name="_xlnm.Print_Titles" localSheetId="1">'C C Aportaciones FEB 20'!$1:$7</definedName>
    <definedName name="_xlnm.Print_Titles" localSheetId="6">'C C Aportaciones JUL 20   '!$1:$4</definedName>
    <definedName name="_xlnm.Print_Titles" localSheetId="5">'C C Aportaciones JUN 20'!$1:$4</definedName>
    <definedName name="_xlnm.Print_Titles" localSheetId="4">'C C Aportaciones MAY 20'!$1:$4</definedName>
    <definedName name="_xlnm.Print_Titles" localSheetId="10">'C C Aportaciones NOV 20   '!$1:$4</definedName>
    <definedName name="_xlnm.Print_Titles" localSheetId="9">'C C Aportaciones OCT 20 '!$1:$4</definedName>
    <definedName name="_xlnm.Print_Titles" localSheetId="8">'C C Aportaciones SEP 20'!$1:$4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7" l="1"/>
  <c r="B6" i="17" l="1"/>
  <c r="N6" i="17"/>
  <c r="K6" i="17"/>
  <c r="E6" i="17"/>
  <c r="N6" i="16" l="1"/>
  <c r="K6" i="16"/>
  <c r="H6" i="16"/>
  <c r="K6" i="14" l="1"/>
  <c r="N6" i="14"/>
  <c r="H6" i="14" l="1"/>
  <c r="B6" i="14" l="1"/>
  <c r="E6" i="14"/>
  <c r="B6" i="15" l="1"/>
  <c r="B6" i="8" l="1"/>
  <c r="A6" i="8"/>
  <c r="K3" i="18" l="1"/>
  <c r="J3" i="18" l="1"/>
  <c r="H3" i="18" l="1"/>
  <c r="B3" i="18" l="1"/>
  <c r="E3" i="18" l="1"/>
  <c r="B6" i="9" l="1"/>
  <c r="A3" i="18" l="1"/>
  <c r="E6" i="9" l="1"/>
  <c r="D6" i="9"/>
  <c r="E6" i="7" l="1"/>
  <c r="B6" i="7" l="1"/>
  <c r="N6" i="5" l="1"/>
  <c r="M6" i="5"/>
  <c r="K6" i="7" l="1"/>
  <c r="H6" i="7"/>
  <c r="M6" i="7" l="1"/>
  <c r="N6" i="7"/>
  <c r="E6" i="12" l="1"/>
  <c r="E6" i="15" l="1"/>
  <c r="H3" i="13" l="1"/>
  <c r="E3" i="13" l="1"/>
  <c r="N6" i="12" l="1"/>
  <c r="M6" i="12"/>
  <c r="K6" i="5" l="1"/>
  <c r="K6" i="9" l="1"/>
  <c r="H6" i="9"/>
  <c r="E6" i="16" l="1"/>
  <c r="N3" i="18" l="1"/>
  <c r="M3" i="18"/>
  <c r="G3" i="18"/>
  <c r="D3" i="18"/>
  <c r="M6" i="17"/>
  <c r="J6" i="17"/>
  <c r="G6" i="17"/>
  <c r="D6" i="17"/>
  <c r="A6" i="17"/>
  <c r="I3" i="17"/>
  <c r="F3" i="17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D6" i="15"/>
  <c r="A6" i="15"/>
  <c r="I3" i="15"/>
  <c r="F3" i="15"/>
  <c r="M6" i="14"/>
  <c r="J6" i="14"/>
  <c r="G6" i="14"/>
  <c r="D6" i="14"/>
  <c r="A6" i="14"/>
  <c r="I3" i="14"/>
  <c r="F3" i="14"/>
  <c r="N3" i="13"/>
  <c r="M3" i="13"/>
  <c r="K3" i="13"/>
  <c r="J3" i="13"/>
  <c r="G3" i="13"/>
  <c r="D3" i="13"/>
  <c r="B3" i="13"/>
  <c r="A3" i="13"/>
  <c r="Q3" i="18" l="1"/>
  <c r="R3" i="18"/>
  <c r="R6" i="17"/>
  <c r="Q6" i="17"/>
  <c r="R6" i="16"/>
  <c r="Q6" i="16"/>
  <c r="R6" i="14"/>
  <c r="Q6" i="14"/>
  <c r="R6" i="15"/>
  <c r="Q6" i="15"/>
  <c r="R3" i="13"/>
  <c r="Q3" i="13"/>
  <c r="K6" i="12"/>
  <c r="J6" i="12"/>
  <c r="H6" i="12"/>
  <c r="G6" i="12"/>
  <c r="D6" i="12"/>
  <c r="B6" i="12"/>
  <c r="A6" i="12"/>
  <c r="I3" i="12"/>
  <c r="F3" i="12"/>
  <c r="Q6" i="12" l="1"/>
  <c r="R6" i="12"/>
  <c r="N6" i="9"/>
  <c r="M6" i="9"/>
  <c r="J6" i="9"/>
  <c r="G6" i="9"/>
  <c r="A6" i="9"/>
  <c r="I3" i="9"/>
  <c r="F3" i="9"/>
  <c r="Q6" i="9" l="1"/>
  <c r="N6" i="8"/>
  <c r="M6" i="8"/>
  <c r="K6" i="8"/>
  <c r="J6" i="8"/>
  <c r="H6" i="8"/>
  <c r="G6" i="8"/>
  <c r="E6" i="8"/>
  <c r="D6" i="8"/>
  <c r="I3" i="8"/>
  <c r="F3" i="8"/>
  <c r="Q6" i="8" l="1"/>
  <c r="R6" i="8"/>
  <c r="K6" i="6" l="1"/>
  <c r="E6" i="6"/>
  <c r="B6" i="6"/>
  <c r="J6" i="7" l="1"/>
  <c r="G6" i="7"/>
  <c r="D6" i="7"/>
  <c r="A6" i="7"/>
  <c r="I3" i="7"/>
  <c r="F3" i="7"/>
  <c r="Q6" i="7" l="1"/>
  <c r="R6" i="7"/>
  <c r="N6" i="6"/>
  <c r="M6" i="6"/>
  <c r="J6" i="6"/>
  <c r="H6" i="6"/>
  <c r="G6" i="6"/>
  <c r="D6" i="6"/>
  <c r="A6" i="6"/>
  <c r="R6" i="6" l="1"/>
  <c r="Q6" i="6"/>
  <c r="F3" i="6"/>
  <c r="I3" i="6"/>
  <c r="J6" i="5"/>
  <c r="H6" i="5"/>
  <c r="G6" i="5"/>
  <c r="E6" i="5"/>
  <c r="D6" i="5"/>
  <c r="B6" i="5"/>
  <c r="A6" i="5"/>
  <c r="Q6" i="5" l="1"/>
  <c r="F3" i="5"/>
  <c r="I3" i="5"/>
  <c r="P6" i="5" l="1"/>
  <c r="R6" i="9" l="1"/>
</calcChain>
</file>

<file path=xl/sharedStrings.xml><?xml version="1.0" encoding="utf-8"?>
<sst xmlns="http://schemas.openxmlformats.org/spreadsheetml/2006/main" count="2903" uniqueCount="592">
  <si>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</si>
  <si>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</si>
  <si>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</si>
  <si>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</si>
  <si>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</si>
  <si>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</si>
  <si>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</si>
  <si>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</si>
  <si>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</si>
  <si>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</si>
  <si>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</si>
  <si>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enero</t>
  </si>
  <si>
    <t>5a. Semana</t>
  </si>
  <si>
    <t>TOTAL MES</t>
  </si>
  <si>
    <t>$</t>
  </si>
  <si>
    <t>observación</t>
  </si>
  <si>
    <t>Pago Diciembre/19</t>
  </si>
  <si>
    <t>Pago Anualidad 2020</t>
  </si>
  <si>
    <t>$ 500 por mes</t>
  </si>
  <si>
    <t>Se le condonón 1 mes</t>
  </si>
  <si>
    <t>Pago Ene/Feb/20</t>
  </si>
  <si>
    <t>Pago Dic/19 Ene/Feb/20</t>
  </si>
  <si>
    <t>$ 250 por mes</t>
  </si>
  <si>
    <t>Pago Noviembre/19</t>
  </si>
  <si>
    <t>Pagp Nolv/Dic/19</t>
  </si>
  <si>
    <t>$ 400 por mes</t>
  </si>
  <si>
    <t>Pago Dic/19 Ene/20</t>
  </si>
  <si>
    <t>$ 300 y $ 500 por mes</t>
  </si>
  <si>
    <t>Pago Enero a Junio 2020</t>
  </si>
  <si>
    <t>$ 300 por mes</t>
  </si>
  <si>
    <t>Pago 1 T.E.# 199</t>
  </si>
  <si>
    <t>Pago Dic/19 $ 300 y 1 T.E.</t>
  </si>
  <si>
    <t># 726</t>
  </si>
  <si>
    <t>$ 700 por mes</t>
  </si>
  <si>
    <t xml:space="preserve">Pago Dic/19 $ 250 y </t>
  </si>
  <si>
    <t>Ene/20 $ 300</t>
  </si>
  <si>
    <t>Pago 1 T.E. # 406</t>
  </si>
  <si>
    <t>Pago Feb/Ene/20</t>
  </si>
  <si>
    <t>Pago Dic/19 $ 200</t>
  </si>
  <si>
    <t>Pago Dic/19 $ 400</t>
  </si>
  <si>
    <t>Ene/20 $ 500</t>
  </si>
  <si>
    <t>Pago 1 T.E. # 326 y 1 tarjetón</t>
  </si>
  <si>
    <t># 246</t>
  </si>
  <si>
    <t xml:space="preserve">Pago Nov/Dic/19 </t>
  </si>
  <si>
    <t>$ 200 por mes</t>
  </si>
  <si>
    <t>Pago Oct/Nov/19</t>
  </si>
  <si>
    <t xml:space="preserve">Pago Dic/19 $ 450 y </t>
  </si>
  <si>
    <t>Ene/20 $ 600</t>
  </si>
  <si>
    <t xml:space="preserve">Pago Dic/19 $ 200 y </t>
  </si>
  <si>
    <t>Ene/20 $ 250</t>
  </si>
  <si>
    <t>Se le condonó 1 mes</t>
  </si>
  <si>
    <t>Pago 1 tarjetón</t>
  </si>
  <si>
    <t>Pago 2 T.E.#250/262</t>
  </si>
  <si>
    <t>Pago 1 T.E.# 441</t>
  </si>
  <si>
    <t xml:space="preserve">C A N C E L A D O </t>
  </si>
  <si>
    <t>Pago Ene/Feb/19</t>
  </si>
  <si>
    <t>$ 200 y 1 tarjetón</t>
  </si>
  <si>
    <t xml:space="preserve">Pago Noviembre/19 y </t>
  </si>
  <si>
    <t>Enerol/20 $ 500 por mes</t>
  </si>
  <si>
    <t>Pago Ene/Feb/Mar/20</t>
  </si>
  <si>
    <t>Pago Febrero/20</t>
  </si>
  <si>
    <t>Pago Nov/Dic/19</t>
  </si>
  <si>
    <t>Pago 1 T.E.# 342</t>
  </si>
  <si>
    <t>Pago Enero y 1 tarjetón</t>
  </si>
  <si>
    <t>Pago Marzo/20</t>
  </si>
  <si>
    <t xml:space="preserve">Pago Dic/19 $ 400 y </t>
  </si>
  <si>
    <t>Pago Ene/Feb/Mar/Abr/</t>
  </si>
  <si>
    <t>May/Jun/20 $ 500 por mes</t>
  </si>
  <si>
    <t>Pago Oct/Nov/Dic/19</t>
  </si>
  <si>
    <t>Pago Oct/Nov/2019</t>
  </si>
  <si>
    <t>Pago Dic/19 $ 400 y Ene/20</t>
  </si>
  <si>
    <t>Pago 1 tarjetòn</t>
  </si>
  <si>
    <t>Pago anualidad 2020</t>
  </si>
  <si>
    <t>Se le condonò 1 mes</t>
  </si>
  <si>
    <t>$ 5000 en cheque y $ 500</t>
  </si>
  <si>
    <t>en efectivo</t>
  </si>
  <si>
    <t>Pago Ene/feb/20</t>
  </si>
  <si>
    <t>Pago 2 tarjetones</t>
  </si>
  <si>
    <t>Pago Feb/mar/abr/may/</t>
  </si>
  <si>
    <t>jun/20 $ 500 por mes</t>
  </si>
  <si>
    <t>y 2  T.E.# 1165 Y 2023</t>
  </si>
  <si>
    <t>Transferecia bancarìa</t>
  </si>
  <si>
    <t>Pago Sep/oct/nov/dic(19</t>
  </si>
  <si>
    <t>y ene/20 $ 400 por mes</t>
  </si>
  <si>
    <t>Pago Nov/dic/19</t>
  </si>
  <si>
    <t>C A N C E L A D O</t>
  </si>
  <si>
    <t>Pago 1 T.E.#311</t>
  </si>
  <si>
    <t>Pago Enero/20 y 1 T.E.</t>
  </si>
  <si>
    <t># 317</t>
  </si>
  <si>
    <t>Pago de Enero a Junio/20</t>
  </si>
  <si>
    <t>Pago 1 T.E.· 353 Y 1 tarjetòn</t>
  </si>
  <si>
    <t>Pago Enero/20 y 1 tarjetòn</t>
  </si>
  <si>
    <t>Pago Sep/oct/nov/dic/19</t>
  </si>
  <si>
    <t>$ 200 por mes y Enero</t>
  </si>
  <si>
    <t>Pago Enero/20 y 2 tarjeton</t>
  </si>
  <si>
    <t>Pago Dic/19 ene/feb/20</t>
  </si>
  <si>
    <t>Pago Dic/19 y ene/20</t>
  </si>
  <si>
    <t>Pago Ene/Feb/2020</t>
  </si>
  <si>
    <t>Pago Nov/Dic/19 Ene/20</t>
  </si>
  <si>
    <t xml:space="preserve">Pago Nov/Dic/19 $ 200 </t>
  </si>
  <si>
    <t>por mes Ene/20 $ 250</t>
  </si>
  <si>
    <t>Pago Dic/19 y Ene/20</t>
  </si>
  <si>
    <t>Pago Dic/19 $ 300  Ene/20</t>
  </si>
  <si>
    <t xml:space="preserve">Pago por reparación de </t>
  </si>
  <si>
    <t>pluma. Transferencia B.</t>
  </si>
  <si>
    <t>Pago Dic/19 $ 200 y Ene/20</t>
  </si>
  <si>
    <t>Pago T.E.#40</t>
  </si>
  <si>
    <t>Pago T.E.#62</t>
  </si>
  <si>
    <t>Pago T.E.# 69</t>
  </si>
  <si>
    <t>Pago T.E.#198</t>
  </si>
  <si>
    <t>Pago 1 Tajetón</t>
  </si>
  <si>
    <t>Pago Ene/20 y T.E.#452</t>
  </si>
  <si>
    <t>Transferencia Bancaría</t>
  </si>
  <si>
    <t>Pago 1 llave</t>
  </si>
  <si>
    <t>Pago Febrero</t>
  </si>
  <si>
    <t xml:space="preserve">Pago Ene/Feb/20 </t>
  </si>
  <si>
    <t>Pago Feb/Marz/20</t>
  </si>
  <si>
    <t>Pago Diciembre719</t>
  </si>
  <si>
    <t>Cheque $ 5000 y $ 500</t>
  </si>
  <si>
    <t>Pago Dic/19 $ 200 y Ene/</t>
  </si>
  <si>
    <t>feb/20 $ 300 por mes</t>
  </si>
  <si>
    <t>Pago Ene/feb/mar/20</t>
  </si>
  <si>
    <t>Pago Nov7dic/19 $ 300 por</t>
  </si>
  <si>
    <t>mes Ene/Feb/20 $ 400 por</t>
  </si>
  <si>
    <t xml:space="preserve">mes   </t>
  </si>
  <si>
    <t>Pago a/c Enero/20</t>
  </si>
  <si>
    <t>Pago 1 llave y 1 T.E.#253</t>
  </si>
  <si>
    <t>Pago Enero/20</t>
  </si>
  <si>
    <t>se condonó 1 mes</t>
  </si>
  <si>
    <t>Pago Febrero/20 y 1 T.E.</t>
  </si>
  <si>
    <t># 261</t>
  </si>
  <si>
    <t>$ 350 por mes</t>
  </si>
  <si>
    <t>#267</t>
  </si>
  <si>
    <t>$ 300 y Enero/20 $ 500</t>
  </si>
  <si>
    <t xml:space="preserve">$ 400 por mes </t>
  </si>
  <si>
    <t>Pago Enero/20 $ 250 y 2</t>
  </si>
  <si>
    <t>T.E.· 268/744</t>
  </si>
  <si>
    <t xml:space="preserve">Pago Enero/20 </t>
  </si>
  <si>
    <t xml:space="preserve">Pago Feb/20 $ 400 y </t>
  </si>
  <si>
    <t>$ 200 pago liq. Ene/Feb/20</t>
  </si>
  <si>
    <t>Ppago Ene/feb/mar/20</t>
  </si>
  <si>
    <t>Pago 1 T.E.· 284</t>
  </si>
  <si>
    <t>Pago Feb/Mar/20</t>
  </si>
  <si>
    <t xml:space="preserve">se le condonó 1 mes </t>
  </si>
  <si>
    <t>Pago Enero/20 y 1 T.E.#329</t>
  </si>
  <si>
    <t xml:space="preserve">Pago enero/20  </t>
  </si>
  <si>
    <t>Pago oct/19 $ 100 Pago</t>
  </si>
  <si>
    <t>nov/dic/29 $ 150 por mes</t>
  </si>
  <si>
    <t>Pago 1 llave  1 T.E.#294</t>
  </si>
  <si>
    <t>Pago Ene/feb/mar/abr/20</t>
  </si>
  <si>
    <t>Pago marzo720</t>
  </si>
  <si>
    <t xml:space="preserve">Pago Ene/feb/20 </t>
  </si>
  <si>
    <t>Pago enero/20</t>
  </si>
  <si>
    <t>Pago ene/feb/20</t>
  </si>
  <si>
    <t>Pago mar/abr/20</t>
  </si>
  <si>
    <t>$ 450 por mes</t>
  </si>
  <si>
    <t>Pago ene/feb/mar/20</t>
  </si>
  <si>
    <t>Pago 1 T.E.# 357</t>
  </si>
  <si>
    <t>y 3 T.E.#336/344/367</t>
  </si>
  <si>
    <t>Pago dic/19 $ 150 ene/feb/</t>
  </si>
  <si>
    <t>Pago T.E.#878</t>
  </si>
  <si>
    <t>Pago $ 600 oct/nov/dic/</t>
  </si>
  <si>
    <t>$ 200 por mes y ene/feb/20</t>
  </si>
  <si>
    <t>T.E.#720</t>
  </si>
  <si>
    <t>Pago abr/may/jun/jul/ago</t>
  </si>
  <si>
    <t>sep/20 $ 500 por mes</t>
  </si>
  <si>
    <t xml:space="preserve">Pago Ene/Feb $ 500 por </t>
  </si>
  <si>
    <t>mes y Dic/2019 $ 300</t>
  </si>
  <si>
    <t>Ene/feb/20 $ 500 por mes</t>
  </si>
  <si>
    <t>Pago Feb/ mar/20 $ 500</t>
  </si>
  <si>
    <t>por mes y 2 tarjetones</t>
  </si>
  <si>
    <t>Pago 1 T.E.# 730 y 1 tarjeto</t>
  </si>
  <si>
    <t>Pago Mar/abr/20</t>
  </si>
  <si>
    <t>Pago de Feb a Dic/20</t>
  </si>
  <si>
    <t>Pago liq. Anualidad</t>
  </si>
  <si>
    <t xml:space="preserve">Ene/feb/mar/20 $ 500 </t>
  </si>
  <si>
    <t xml:space="preserve">por mes   </t>
  </si>
  <si>
    <t>Pago Mayo/20</t>
  </si>
  <si>
    <t>Pago 1 T.E.# 783 y 1</t>
  </si>
  <si>
    <t>tarjetón</t>
  </si>
  <si>
    <t>Pago 1 T.E.# 741</t>
  </si>
  <si>
    <t>Pago feb/20 $ 500 y 1</t>
  </si>
  <si>
    <t>T.E.# 732</t>
  </si>
  <si>
    <t>Pago 1 T.E.# 749</t>
  </si>
  <si>
    <t>Pago 2 taretones</t>
  </si>
  <si>
    <t>Pago Feb/mar/20</t>
  </si>
  <si>
    <t>Pao abril/20</t>
  </si>
  <si>
    <t>Pago 1 T.E.#68</t>
  </si>
  <si>
    <t>Pago enero/20 y 1 tarjetón</t>
  </si>
  <si>
    <t>Pago Nov/dic/19 $ 150 por</t>
  </si>
  <si>
    <t>mes y ene/feb/mar/20</t>
  </si>
  <si>
    <t>Pago febrero/20</t>
  </si>
  <si>
    <t>Pago marzo/abri/20</t>
  </si>
  <si>
    <t xml:space="preserve">Pago ene/feb/mar/abr/ </t>
  </si>
  <si>
    <t xml:space="preserve">may/20 $ 250 por mes y </t>
  </si>
  <si>
    <t>2 T.E.# 759 Y 751</t>
  </si>
  <si>
    <t>Pago 1 T.E.# 760</t>
  </si>
  <si>
    <t>Pago 1 T.E.# 998</t>
  </si>
  <si>
    <t>Pago Abr/may/20</t>
  </si>
  <si>
    <t>Pago 1 T.E.# 1087</t>
  </si>
  <si>
    <t>$ 500 por mes y 1 T.E.#812</t>
  </si>
  <si>
    <t>Transferencia Bancaria</t>
  </si>
  <si>
    <t xml:space="preserve">Pago ene/feb/20 </t>
  </si>
  <si>
    <t>Pago ene a jun/20</t>
  </si>
  <si>
    <t>Pago nov/dic/20 $ 400 por</t>
  </si>
  <si>
    <t>mes y enero/20 $ 500</t>
  </si>
  <si>
    <t>Pago 1 T.E. # 36</t>
  </si>
  <si>
    <t>Pago 1 T.E.# 773</t>
  </si>
  <si>
    <t>Cambio de 2 tarjetas</t>
  </si>
  <si>
    <t>Pago feb/mar/20</t>
  </si>
  <si>
    <t>Liq. Marzo/20</t>
  </si>
  <si>
    <t>Ppago feb/mar/20</t>
  </si>
  <si>
    <t>Pago Marzo y 1 T.E.#816</t>
  </si>
  <si>
    <t>Pago 1 T.E. # 824</t>
  </si>
  <si>
    <t>Ppago ene/feb/mar/20</t>
  </si>
  <si>
    <t>Pago Feb/mar/abr/20</t>
  </si>
  <si>
    <t>Pago Marzo y 3 tarjetones</t>
  </si>
  <si>
    <t>Pago Abril/20</t>
  </si>
  <si>
    <t>T.E··323</t>
  </si>
  <si>
    <t xml:space="preserve">$ 500 por mes </t>
  </si>
  <si>
    <t>se depositò</t>
  </si>
  <si>
    <t>Pago Mar/abr/may/jun/20</t>
  </si>
  <si>
    <t>Pago ene/feb/mar/abr/20</t>
  </si>
  <si>
    <t>Pago abril/20</t>
  </si>
  <si>
    <t>Pago de enero a mayo/20</t>
  </si>
  <si>
    <t>Pago feb/mar(20</t>
  </si>
  <si>
    <t>Pago marzo y 1 T.E. #387</t>
  </si>
  <si>
    <t xml:space="preserve">$ 200 por mes de </t>
  </si>
  <si>
    <t>3 departamentos</t>
  </si>
  <si>
    <t>1,2 y 3</t>
  </si>
  <si>
    <t>transferencia bancaria</t>
  </si>
  <si>
    <t>Pago feb T.B.</t>
  </si>
  <si>
    <t>Pago de 2 tarjetones</t>
  </si>
  <si>
    <t>Pago marzo</t>
  </si>
  <si>
    <t>Pago feb/mar/20 y 2</t>
  </si>
  <si>
    <t>T.E. # 488 Y 489</t>
  </si>
  <si>
    <t>Pago abril Tranferencia B</t>
  </si>
  <si>
    <t>Pago marzo Tranf. Ban.</t>
  </si>
  <si>
    <t>Pagp mar/abr/20</t>
  </si>
  <si>
    <t xml:space="preserve">Pago marzo  </t>
  </si>
  <si>
    <t xml:space="preserve">Pago abril, 1 T.E.#159 y 1 </t>
  </si>
  <si>
    <t>Pagp abr/mar/jun/20</t>
  </si>
  <si>
    <t>Pago abr/may/jun/20</t>
  </si>
  <si>
    <t>Pago feb/mar/abr/20</t>
  </si>
  <si>
    <t>Pago T-E-# 427</t>
  </si>
  <si>
    <t>Pago febrero</t>
  </si>
  <si>
    <t>Pago mayo</t>
  </si>
  <si>
    <t>Pago enero y marzo</t>
  </si>
  <si>
    <t>Pago abr/may/20</t>
  </si>
  <si>
    <t>$ 250 por mes y 1 T.E.#13</t>
  </si>
  <si>
    <t>Pago marzo y 1 tarjetón</t>
  </si>
  <si>
    <t>Pago reparacion de pluma</t>
  </si>
  <si>
    <t>Pago abril Transferencia B</t>
  </si>
  <si>
    <t>Pago abr/mar/20</t>
  </si>
  <si>
    <t xml:space="preserve">Pago liq. Enero $ 100 y </t>
  </si>
  <si>
    <t>feb/mar/20 $ 500 por mes</t>
  </si>
  <si>
    <t>Pago 1 T.E.# 28</t>
  </si>
  <si>
    <t>Pago marzo $ 400 y a/c</t>
  </si>
  <si>
    <t>$ 100 abril</t>
  </si>
  <si>
    <t>Pago mar/abr/may/jun/</t>
  </si>
  <si>
    <t>jun/20 $ 400 por mes</t>
  </si>
  <si>
    <t xml:space="preserve">pago con cheque </t>
  </si>
  <si>
    <t>Pago mar/abr/may/20</t>
  </si>
  <si>
    <t>Pago 2 T.E.#702 Y 708</t>
  </si>
  <si>
    <t>Paga marzo</t>
  </si>
  <si>
    <t>Paga Mar/abr/20</t>
  </si>
  <si>
    <t>Pago Mar/abr/may/20</t>
  </si>
  <si>
    <t>$ 500 por mes y 1 T.E.#277</t>
  </si>
  <si>
    <t>Pago may/jun/20</t>
  </si>
  <si>
    <t>$ 500 por mes y 1 T.E.#269</t>
  </si>
  <si>
    <t>Pago abr/maY/jun/20</t>
  </si>
  <si>
    <t>Pago abril y 1 llave</t>
  </si>
  <si>
    <t>Pago feb/mar/abr/may/20</t>
  </si>
  <si>
    <t>Pago Junio</t>
  </si>
  <si>
    <t>Pago cuota extraordinaria</t>
  </si>
  <si>
    <t xml:space="preserve">complemeno de todos </t>
  </si>
  <si>
    <t>los meses del año</t>
  </si>
  <si>
    <t>cheque</t>
  </si>
  <si>
    <t>Transferencia bancaria</t>
  </si>
  <si>
    <t>Pago 1 T.E.#297</t>
  </si>
  <si>
    <t>Pago may/jun/jul/ago/20</t>
  </si>
  <si>
    <t>Pago abr//may/jun/20</t>
  </si>
  <si>
    <t>Pago 1 tarjeón</t>
  </si>
  <si>
    <t>Pago abr/may/jun/jun/20</t>
  </si>
  <si>
    <t>Pago feb/20 y a/c $ 100 a</t>
  </si>
  <si>
    <t>abril</t>
  </si>
  <si>
    <t>Pago abr/ay/jun/20</t>
  </si>
  <si>
    <t>Pago 2 T.E.#179 Y 362</t>
  </si>
  <si>
    <t>Pago May/jun/jul/20</t>
  </si>
  <si>
    <t>Pago abril $ 200 por mes</t>
  </si>
  <si>
    <t>depto 1,2 y 3</t>
  </si>
  <si>
    <t xml:space="preserve">Pago abril   </t>
  </si>
  <si>
    <t>Pago abril</t>
  </si>
  <si>
    <t>$ 250 por mes y 1 tarjetón</t>
  </si>
  <si>
    <t>Liq. Abril</t>
  </si>
  <si>
    <t>$ 400 por mes y 1 tarjetón</t>
  </si>
  <si>
    <t>Pago Jul/ago/20</t>
  </si>
  <si>
    <t>Pago 1 T.E.#530</t>
  </si>
  <si>
    <t>Tranferencia bancaria</t>
  </si>
  <si>
    <t>Pago mar/abr/ma/20</t>
  </si>
  <si>
    <t>Pago liq. De abr/may/20</t>
  </si>
  <si>
    <t>$ 50 por mes</t>
  </si>
  <si>
    <t>Pago 1 T.E.#817</t>
  </si>
  <si>
    <t>Pago jun/jul/20</t>
  </si>
  <si>
    <t>Pago mar/abr/mar/20</t>
  </si>
  <si>
    <t>Pago may/jun/jul/20</t>
  </si>
  <si>
    <t>Pago abri/may/20</t>
  </si>
  <si>
    <t>$ 500 por mes y 1 llave</t>
  </si>
  <si>
    <t>tarjertòn</t>
  </si>
  <si>
    <t xml:space="preserve">Pago mayo, 1 T.E.#297 Y 1 </t>
  </si>
  <si>
    <t>Pago junio/20</t>
  </si>
  <si>
    <t>Pago dic/19 $ 400 y ene/feb</t>
  </si>
  <si>
    <t xml:space="preserve">mar/abr/may/20 $ 500 </t>
  </si>
  <si>
    <t>por mes</t>
  </si>
  <si>
    <t>Pago liq. Marzo $ 100 y abr</t>
  </si>
  <si>
    <t>$  250 por mes</t>
  </si>
  <si>
    <t>Pago junio</t>
  </si>
  <si>
    <t>Pago 1 T.E.#820</t>
  </si>
  <si>
    <t>Pago abr/may/jun/jul/20</t>
  </si>
  <si>
    <t>Pago 2 T.E. # 969 Y 978</t>
  </si>
  <si>
    <t>Pago feb/mar/abr/may/jun/</t>
  </si>
  <si>
    <t xml:space="preserve">C A N C E L A DO </t>
  </si>
  <si>
    <t>Pago abr/may/un/20</t>
  </si>
  <si>
    <t>$ 100 por mes</t>
  </si>
  <si>
    <t>Pago junio T.B.</t>
  </si>
  <si>
    <t>Pago a/c mayo T.B.</t>
  </si>
  <si>
    <t>se aplico el mes de mayo</t>
  </si>
  <si>
    <t>Cuota extraordinaria</t>
  </si>
  <si>
    <t>Pago 1 T.E.# 09</t>
  </si>
  <si>
    <t>Pago junio y 1 tarjetón</t>
  </si>
  <si>
    <t>Pago 1 tarjetones</t>
  </si>
  <si>
    <t>Pago jun(jul(20</t>
  </si>
  <si>
    <t>Pago may(jun/20</t>
  </si>
  <si>
    <t>Pago de junio a noviembre</t>
  </si>
  <si>
    <t>Pago jun/jul/ago/20</t>
  </si>
  <si>
    <t>Pago 3 tarjetones</t>
  </si>
  <si>
    <t>Liq. Mayo</t>
  </si>
  <si>
    <t>Pago mayo/jun/20</t>
  </si>
  <si>
    <t>Pago mar/may/jun/20</t>
  </si>
  <si>
    <t>$ 600 por mes</t>
  </si>
  <si>
    <t xml:space="preserve">Pago jun/jul/20 </t>
  </si>
  <si>
    <t>Pago 1 tarjeton</t>
  </si>
  <si>
    <t>Pago 1 T.E.# 564</t>
  </si>
  <si>
    <t>Pago julio</t>
  </si>
  <si>
    <t>Pago 4 tarjetones</t>
  </si>
  <si>
    <t>2 T.E.# 584 Y 611</t>
  </si>
  <si>
    <t>Pago jul/ago/20</t>
  </si>
  <si>
    <t>$ 300 ´por mes</t>
  </si>
  <si>
    <t>transsferencia bancaria</t>
  </si>
  <si>
    <t xml:space="preserve">Paga mayo </t>
  </si>
  <si>
    <t>1 T.E.#699</t>
  </si>
  <si>
    <t>Pago de enero a julio/20</t>
  </si>
  <si>
    <t>$ 250 por mes y 1 T.E.#477</t>
  </si>
  <si>
    <t>Pago julio/20</t>
  </si>
  <si>
    <t>Pago 1 T.E.# 612</t>
  </si>
  <si>
    <t>Pago  2 tarjetones</t>
  </si>
  <si>
    <t>Pago jul/ago/sep/20</t>
  </si>
  <si>
    <t>Paga may/jun/20</t>
  </si>
  <si>
    <t>Pago por recuperaciòn de</t>
  </si>
  <si>
    <t>video UP_50</t>
  </si>
  <si>
    <t>Pago Jun/Jul/20</t>
  </si>
  <si>
    <t>Pago Julio</t>
  </si>
  <si>
    <t>Pago julio, 2 T.E.#838 Y</t>
  </si>
  <si>
    <t>849 y 1 tarjetòn</t>
  </si>
  <si>
    <t>Pago julio y 2 tarjetones</t>
  </si>
  <si>
    <t>$ 300 por mes y 1 tarjetòn</t>
  </si>
  <si>
    <t>Pago mayo $ 400 y a/c</t>
  </si>
  <si>
    <t>$ 200 Jun</t>
  </si>
  <si>
    <t>Liq. Mes junio</t>
  </si>
  <si>
    <t>Pago dif de jun/jul/20</t>
  </si>
  <si>
    <t>Transferenncia bancaria</t>
  </si>
  <si>
    <t>Pago 2 T.E.#803/827</t>
  </si>
  <si>
    <t xml:space="preserve">$ 300 por mes </t>
  </si>
  <si>
    <t>Pago jul/ago/sep/oct/20</t>
  </si>
  <si>
    <t xml:space="preserve">$ 200 por mes </t>
  </si>
  <si>
    <t>Pago de enero a junio</t>
  </si>
  <si>
    <t>$ 500 por mes y 2 T.E.</t>
  </si>
  <si>
    <t># 641/646 Y 1 llave</t>
  </si>
  <si>
    <t>Pago junio y 1 T.E.#772</t>
  </si>
  <si>
    <t>Pago septiembre</t>
  </si>
  <si>
    <t xml:space="preserve">Pago liq. $ 300 abril y </t>
  </si>
  <si>
    <t>$ 400 por mayo y junio</t>
  </si>
  <si>
    <t>Pago agosto</t>
  </si>
  <si>
    <t>Pago junio y a/c julio</t>
  </si>
  <si>
    <t>Pago T.E.·211</t>
  </si>
  <si>
    <t>Pago 1 T.E.#515 Y 1 tarjetòn</t>
  </si>
  <si>
    <t>Pago liq. $ 200</t>
  </si>
  <si>
    <t xml:space="preserve">Pago junio   </t>
  </si>
  <si>
    <t xml:space="preserve">Pago jul/ago/20 </t>
  </si>
  <si>
    <t>Pago 1 T.E.#760</t>
  </si>
  <si>
    <t>Pago de julio a diciembre</t>
  </si>
  <si>
    <t>Pago junio y 1 T.E.#456</t>
  </si>
  <si>
    <t>T.E.#524</t>
  </si>
  <si>
    <t>Pago julio y 1 T.E.#525</t>
  </si>
  <si>
    <t>Pago 1 T.E.# 349</t>
  </si>
  <si>
    <t>Pago de enero a julio</t>
  </si>
  <si>
    <t>Pago julio y 1 tarjetòn</t>
  </si>
  <si>
    <t>1 tarjetòn</t>
  </si>
  <si>
    <t>Pago julio, 1 T.E.#542 y</t>
  </si>
  <si>
    <t>Pago de enero a abril/20</t>
  </si>
  <si>
    <t>Pago ago/sep/20</t>
  </si>
  <si>
    <t>Paga jun/jul/ago/20</t>
  </si>
  <si>
    <t>Paga junio</t>
  </si>
  <si>
    <t>Paga 1 tarjetòn</t>
  </si>
  <si>
    <t>Pago liquidaciòn $ 150</t>
  </si>
  <si>
    <t>del mes de julio</t>
  </si>
  <si>
    <t>Paga de abril a noviembre</t>
  </si>
  <si>
    <t>$ 400 por mes se le condo-</t>
  </si>
  <si>
    <t>nò el mes de diciembre</t>
  </si>
  <si>
    <t>Pago de jul/ago/20</t>
  </si>
  <si>
    <t>Pago oct/nov/dic/20</t>
  </si>
  <si>
    <t>Pago diciembre/20</t>
  </si>
  <si>
    <t>Pago dic/20 y 1 tarjetón</t>
  </si>
  <si>
    <t>Pago jul/Ago/20</t>
  </si>
  <si>
    <t xml:space="preserve">Pago 1 camara </t>
  </si>
  <si>
    <t>Pago agosto y 2 tarjetones</t>
  </si>
  <si>
    <t>Pago ago/sep/oct/20</t>
  </si>
  <si>
    <t>Pago sep/oct/20</t>
  </si>
  <si>
    <t>Pago agosto y 1 llave</t>
  </si>
  <si>
    <t>Pago ago/sept/20</t>
  </si>
  <si>
    <t>Pago T.E.# 581</t>
  </si>
  <si>
    <t>Pago de mayo a sept</t>
  </si>
  <si>
    <t>Paggo jul/ago/20</t>
  </si>
  <si>
    <t>Pago liq. Julio</t>
  </si>
  <si>
    <t>Pago septiembre/20</t>
  </si>
  <si>
    <t>Pago sept/oct/nov/20</t>
  </si>
  <si>
    <t>Pago 1 T.E.# 817</t>
  </si>
  <si>
    <t xml:space="preserve">Pago julio $ 500 y a/c </t>
  </si>
  <si>
    <t>$ 200 de agosto</t>
  </si>
  <si>
    <t>Pago de agosto a diciembre</t>
  </si>
  <si>
    <t>para una cámara</t>
  </si>
  <si>
    <t>Pago julio a diciembre</t>
  </si>
  <si>
    <t xml:space="preserve">Pago julio </t>
  </si>
  <si>
    <t>$ 500  por mes</t>
  </si>
  <si>
    <t>Pago jul/ago/sept/20</t>
  </si>
  <si>
    <t>Pago de mayo a dic/20</t>
  </si>
  <si>
    <t>y 2 tarjetones</t>
  </si>
  <si>
    <t>Pago 1 T.E.# 693</t>
  </si>
  <si>
    <t>Pago de julio a octubre/20</t>
  </si>
  <si>
    <t>Pago de mayo a sept/20</t>
  </si>
  <si>
    <t>Pago ago/20 y cuota extra</t>
  </si>
  <si>
    <t>$ 300 cutora extraordinaria</t>
  </si>
  <si>
    <t>Pago octubre</t>
  </si>
  <si>
    <t>Pago 2 corbatines</t>
  </si>
  <si>
    <t>Pago 1 T.E.#682</t>
  </si>
  <si>
    <t>$ 250 por mes y 1 T.E.</t>
  </si>
  <si>
    <t># 470</t>
  </si>
  <si>
    <t>Pago de agosto a diciem-</t>
  </si>
  <si>
    <t>bre $ 250 por mes</t>
  </si>
  <si>
    <t>$400 por mes</t>
  </si>
  <si>
    <t>Pago sept/oct/20</t>
  </si>
  <si>
    <t>Pago T.E.#714</t>
  </si>
  <si>
    <t xml:space="preserve">Pago liq. Ago. $ 300 y </t>
  </si>
  <si>
    <t>sept. $ 500</t>
  </si>
  <si>
    <t>este recibo es de Sept.</t>
  </si>
  <si>
    <t>se aplico en agosto</t>
  </si>
  <si>
    <t>Pago ago/sept/oct/nov/20</t>
  </si>
  <si>
    <t>Pago diciembre</t>
  </si>
  <si>
    <t>Pago 1 T.E.# 589</t>
  </si>
  <si>
    <t>Recibo se aplicó en agosto</t>
  </si>
  <si>
    <t>Pago sept/oct/nov/dic/20</t>
  </si>
  <si>
    <t>Pago sept/20 $ 500 y 1 T.E.</t>
  </si>
  <si>
    <t># 721</t>
  </si>
  <si>
    <t>Pago ago/sept/oct/20</t>
  </si>
  <si>
    <t>Pago ago/sept/oct/nov/dic</t>
  </si>
  <si>
    <t>Pago octubre/20</t>
  </si>
  <si>
    <t>Pago a/c diciembre/20</t>
  </si>
  <si>
    <t xml:space="preserve">Pago sept $ 500 1 llave y </t>
  </si>
  <si>
    <t>2 tarjetones</t>
  </si>
  <si>
    <t>Pago oct/nov/20</t>
  </si>
  <si>
    <t>Pago 1 T.E.# 831</t>
  </si>
  <si>
    <t>Pago ago/sep/oct/nov/20</t>
  </si>
  <si>
    <t>Paga ago/sep/oct/20</t>
  </si>
  <si>
    <t xml:space="preserve">Pago oct/nov/di/20 y </t>
  </si>
  <si>
    <t>ene/feb/mar/21</t>
  </si>
  <si>
    <t>Pago 1 T.E.# 911</t>
  </si>
  <si>
    <t>Pago 1 cambio T.E. #800</t>
  </si>
  <si>
    <t>y 1 tarjetón</t>
  </si>
  <si>
    <t>y $ 700 cuota camara</t>
  </si>
  <si>
    <t>Pago 1 T.E.#926</t>
  </si>
  <si>
    <t>Pago se´/oct/nov/20</t>
  </si>
  <si>
    <t>Pago ago/sep/oct/nov/dic</t>
  </si>
  <si>
    <t>tranferencia bancaria</t>
  </si>
  <si>
    <t>Pago 1 T.E. # 975</t>
  </si>
  <si>
    <t>Pago sep/oct/nov/dic/20</t>
  </si>
  <si>
    <t>Pago T.E.#894</t>
  </si>
  <si>
    <t xml:space="preserve">Pago sep/20 $ 300 y 1 </t>
  </si>
  <si>
    <t>Pago 1 T.E.#588</t>
  </si>
  <si>
    <t>Pago Nov/dic/200</t>
  </si>
  <si>
    <t>Pago 1 T.E.#897</t>
  </si>
  <si>
    <t>Pago T.E.# 906</t>
  </si>
  <si>
    <t>$ 500 por mes y tarjetón</t>
  </si>
  <si>
    <t>Pago noviembre</t>
  </si>
  <si>
    <t>Pago jun/jul/ago/sep/oct/</t>
  </si>
  <si>
    <t>$ 500 por mes, 1 llave y</t>
  </si>
  <si>
    <t>4 T.E.# 836/902/1011/</t>
  </si>
  <si>
    <t>Pago 2 llaves</t>
  </si>
  <si>
    <t>Pago sep/oct/20 $ 500 x m</t>
  </si>
  <si>
    <t>Pago T.E.#905</t>
  </si>
  <si>
    <t>Pago liq. Octubre</t>
  </si>
  <si>
    <t>Pago T.E.#918</t>
  </si>
  <si>
    <t>Pago T.E.#837</t>
  </si>
  <si>
    <t>Pago octubre y 1 tarjetòn</t>
  </si>
  <si>
    <t>Pago nov/dic/20</t>
  </si>
  <si>
    <t>$ 500 por mes y 1 T.E.</t>
  </si>
  <si>
    <t># 855</t>
  </si>
  <si>
    <t>Liq. Diciembre</t>
  </si>
  <si>
    <t>Pago de junio a octubre</t>
  </si>
  <si>
    <t xml:space="preserve">$ 500 por mes y 2 </t>
  </si>
  <si>
    <t>T.E.# 854/860</t>
  </si>
  <si>
    <t>Pago de julio a octubre</t>
  </si>
  <si>
    <t>$ 300 por mes y 1</t>
  </si>
  <si>
    <t>T.E.#919</t>
  </si>
  <si>
    <t xml:space="preserve">$ 300 por mes   </t>
  </si>
  <si>
    <t>Pago 1 T.E.# 920</t>
  </si>
  <si>
    <t xml:space="preserve">$ 500 por mes   </t>
  </si>
  <si>
    <t>Pago 1 T.E.# 921</t>
  </si>
  <si>
    <t>Pago sep/oct/nov/20</t>
  </si>
  <si>
    <t xml:space="preserve">Pago recuperación de </t>
  </si>
  <si>
    <t>2 videos</t>
  </si>
  <si>
    <t>Pago de junio a diciembre</t>
  </si>
  <si>
    <t>Pago de enero a agosto</t>
  </si>
  <si>
    <t>Pago sep/oc/20</t>
  </si>
  <si>
    <t>Pago 1 T.E.#685   T.B.</t>
  </si>
  <si>
    <t>T.B.</t>
  </si>
  <si>
    <t>Pago sep/ oct/nov/20</t>
  </si>
  <si>
    <t>Pago abr/may/jun/jul/ago/20</t>
  </si>
  <si>
    <t>$ 250 por mes y 1 llave</t>
  </si>
  <si>
    <t>Pago 2 T.E.#453/484</t>
  </si>
  <si>
    <t>Pago oct/nov/dic/20 y ene/21</t>
  </si>
  <si>
    <t>Pago oct/nov/20 $ 500 por mes</t>
  </si>
  <si>
    <t>y 1  T.E. cambio tarjeta</t>
  </si>
  <si>
    <t>Pago anualidad 2021</t>
  </si>
  <si>
    <t>Pago dic/20 y ene/21</t>
  </si>
  <si>
    <t>Se condonò 1 mes</t>
  </si>
  <si>
    <t>Pago noviembre y 1 tarjetón</t>
  </si>
  <si>
    <t>Pago T.E.#914</t>
  </si>
  <si>
    <t>$ 500 por mes y 1 tarjetón</t>
  </si>
  <si>
    <t>Pago T.E.#693</t>
  </si>
  <si>
    <t>2 T.E.# 641/649</t>
  </si>
  <si>
    <t>se le condono 1 mes</t>
  </si>
  <si>
    <t>Pago 1 T.E. #502</t>
  </si>
  <si>
    <t>$ 500 por mes y a/c dic</t>
  </si>
  <si>
    <t>se le condonó 1 mes</t>
  </si>
  <si>
    <t>Pago T.E.#712</t>
  </si>
  <si>
    <t>Pago dciembre</t>
  </si>
  <si>
    <t>Pago ene/feb/mar/21</t>
  </si>
  <si>
    <t>Pago T.E.# 669</t>
  </si>
  <si>
    <t xml:space="preserve">Pago noviembre y 1 </t>
  </si>
  <si>
    <t>llave</t>
  </si>
  <si>
    <t xml:space="preserve">Cuota extraordinaria </t>
  </si>
  <si>
    <t>para camara</t>
  </si>
  <si>
    <t>T.E.# 713</t>
  </si>
  <si>
    <t>Pago 1 T.E.# 703</t>
  </si>
  <si>
    <t>Pago enero 2021</t>
  </si>
  <si>
    <t>Se le condono 1 mes</t>
  </si>
  <si>
    <t>Pago T.E.# 871</t>
  </si>
  <si>
    <t>y ene/21 $ 500 por mes</t>
  </si>
  <si>
    <t>Pago ago/sep/oct/ 20</t>
  </si>
  <si>
    <t>Pago dic/20 y ene/feb/21</t>
  </si>
  <si>
    <t>Pago nov/dic/20 y ene/21</t>
  </si>
  <si>
    <t>$ 500 por mes y 1 T.E.#874</t>
  </si>
  <si>
    <t>Pago tarjetón</t>
  </si>
  <si>
    <t>Pago oct/nov/20 $ 250 por</t>
  </si>
  <si>
    <t>mes y dic/20 $ 500</t>
  </si>
  <si>
    <t>Pago diciembre y 1 T.E.</t>
  </si>
  <si>
    <t xml:space="preserve"># 858   </t>
  </si>
  <si>
    <t>Pago de abril a dic/20 y ene</t>
  </si>
  <si>
    <t>21 $ 200 por mes</t>
  </si>
  <si>
    <t xml:space="preserve">Pago dic/20 ene/21 $ 250 </t>
  </si>
  <si>
    <t>por mes y 1 T.E.1134</t>
  </si>
  <si>
    <t>Pago diciembre y 1 llave</t>
  </si>
  <si>
    <t>Pago noviembre $ 300 y dic</t>
  </si>
  <si>
    <t xml:space="preserve">a/c $ 250 </t>
  </si>
  <si>
    <t xml:space="preserve">Pago dic/20 ene/21  </t>
  </si>
  <si>
    <t>Pago de enero a junio/21</t>
  </si>
  <si>
    <t>se condonò 1 mes</t>
  </si>
  <si>
    <t>Pago dic/20 ene/feb/21</t>
  </si>
  <si>
    <t>y 1 T.E.#84</t>
  </si>
  <si>
    <t>Pago dic/20 ene/21</t>
  </si>
  <si>
    <t>Pago 1 T.E.# 610 Y 1 tarjetò</t>
  </si>
  <si>
    <t>Pago 2 T.E.#867/868 y</t>
  </si>
  <si>
    <t>21 2do. Pago anualidad</t>
  </si>
  <si>
    <t xml:space="preserve">$ 250 por mes y pago </t>
  </si>
  <si>
    <t>anualidad 2021 $ 250 por</t>
  </si>
  <si>
    <t>mes, se condonò 1 mes</t>
  </si>
  <si>
    <t xml:space="preserve">$ 250 por mes y pago 1 </t>
  </si>
  <si>
    <t>T.E.# 845</t>
  </si>
  <si>
    <t>Pago enero 21</t>
  </si>
  <si>
    <t>$ 250 por  mes</t>
  </si>
  <si>
    <t>pago con ch # 344 y 345</t>
  </si>
  <si>
    <t>Pago ene/feb/21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</si>
</sst>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.00_ ;\-#,##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16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5" borderId="0" xfId="0" applyFont="1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49" fontId="0" fillId="5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0" fontId="0" fillId="0" borderId="0" xfId="0" applyFill="1" applyAlignment="1">
      <alignment horizontal="center"/>
    </xf>
    <xf numFmtId="0" fontId="2" fillId="0" borderId="0" xfId="0" applyFont="1"/>
    <xf numFmtId="0" fontId="0" fillId="6" borderId="5" xfId="0" applyFill="1" applyBorder="1" applyAlignment="1">
      <alignment horizontal="center"/>
    </xf>
    <xf numFmtId="164" fontId="7" fillId="8" borderId="0" xfId="0" applyNumberFormat="1" applyFont="1" applyFill="1" applyAlignment="1">
      <alignment vertical="center"/>
    </xf>
    <xf numFmtId="164" fontId="3" fillId="8" borderId="0" xfId="0" applyNumberFormat="1" applyFont="1" applyFill="1" applyAlignment="1">
      <alignment vertical="center"/>
    </xf>
    <xf numFmtId="17" fontId="0" fillId="6" borderId="0" xfId="0" applyNumberFormat="1" applyFill="1"/>
    <xf numFmtId="0" fontId="0" fillId="0" borderId="6" xfId="0" applyBorder="1"/>
    <xf numFmtId="0" fontId="8" fillId="5" borderId="0" xfId="0" applyFont="1" applyFill="1"/>
    <xf numFmtId="39" fontId="7" fillId="8" borderId="0" xfId="0" applyNumberFormat="1" applyFont="1" applyFill="1" applyAlignment="1">
      <alignment vertical="center"/>
    </xf>
    <xf numFmtId="15" fontId="9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9" fillId="5" borderId="1" xfId="0" applyNumberFormat="1" applyFont="1" applyFill="1" applyBorder="1" applyAlignment="1">
      <alignment horizontal="center"/>
    </xf>
    <xf numFmtId="1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7" borderId="0" xfId="0" applyNumberForma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5" fillId="9" borderId="0" xfId="0" applyFont="1" applyFill="1" applyBorder="1"/>
    <xf numFmtId="17" fontId="0" fillId="9" borderId="0" xfId="0" applyNumberFormat="1" applyFill="1"/>
    <xf numFmtId="0" fontId="0" fillId="0" borderId="0" xfId="0" applyFill="1"/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5" fontId="2" fillId="1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4" fontId="0" fillId="0" borderId="0" xfId="0" applyNumberFormat="1" applyFill="1" applyAlignment="1">
      <alignment horizontal="center"/>
    </xf>
    <xf numFmtId="4" fontId="0" fillId="4" borderId="0" xfId="0" applyNumberFormat="1" applyFill="1"/>
    <xf numFmtId="6" fontId="0" fillId="10" borderId="0" xfId="0" applyNumberFormat="1" applyFill="1"/>
    <xf numFmtId="0" fontId="0" fillId="5" borderId="0" xfId="0" applyFill="1" applyAlignment="1">
      <alignment horizontal="left"/>
    </xf>
    <xf numFmtId="4" fontId="0" fillId="5" borderId="0" xfId="0" applyNumberFormat="1" applyFill="1"/>
    <xf numFmtId="4" fontId="0" fillId="10" borderId="0" xfId="0" applyNumberFormat="1" applyFill="1"/>
    <xf numFmtId="4" fontId="0" fillId="9" borderId="0" xfId="0" applyNumberFormat="1" applyFill="1"/>
    <xf numFmtId="4" fontId="0" fillId="6" borderId="0" xfId="0" applyNumberFormat="1" applyFill="1"/>
    <xf numFmtId="4" fontId="0" fillId="0" borderId="0" xfId="0" applyNumberFormat="1" applyFill="1"/>
    <xf numFmtId="0" fontId="0" fillId="6" borderId="0" xfId="0" applyFill="1" applyAlignment="1">
      <alignment horizontal="center"/>
    </xf>
    <xf numFmtId="4" fontId="0" fillId="3" borderId="0" xfId="0" applyNumberFormat="1" applyFill="1"/>
    <xf numFmtId="0" fontId="9" fillId="9" borderId="1" xfId="0" applyFont="1" applyFill="1" applyBorder="1" applyAlignment="1">
      <alignment horizontal="center"/>
    </xf>
    <xf numFmtId="4" fontId="5" fillId="9" borderId="0" xfId="0" applyNumberFormat="1" applyFont="1" applyFill="1"/>
    <xf numFmtId="15" fontId="2" fillId="9" borderId="1" xfId="0" applyNumberFormat="1" applyFont="1" applyFill="1" applyBorder="1" applyAlignment="1">
      <alignment horizontal="center"/>
    </xf>
    <xf numFmtId="15" fontId="9" fillId="9" borderId="1" xfId="0" applyNumberFormat="1" applyFont="1" applyFill="1" applyBorder="1" applyAlignment="1">
      <alignment horizontal="center"/>
    </xf>
    <xf numFmtId="15" fontId="2" fillId="6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0" fontId="0" fillId="7" borderId="0" xfId="0" applyFill="1" applyAlignment="1">
      <alignment horizontal="left"/>
    </xf>
    <xf numFmtId="6" fontId="5" fillId="9" borderId="0" xfId="0" applyNumberFormat="1" applyFont="1" applyFill="1"/>
    <xf numFmtId="6" fontId="0" fillId="7" borderId="0" xfId="0" applyNumberFormat="1" applyFill="1"/>
    <xf numFmtId="4" fontId="0" fillId="0" borderId="0" xfId="0" applyNumberFormat="1" applyAlignment="1">
      <alignment horizontal="center"/>
    </xf>
    <xf numFmtId="6" fontId="0" fillId="9" borderId="0" xfId="0" applyNumberFormat="1" applyFill="1"/>
    <xf numFmtId="17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17" fontId="0" fillId="5" borderId="0" xfId="0" applyNumberFormat="1" applyFill="1"/>
    <xf numFmtId="0" fontId="9" fillId="6" borderId="1" xfId="0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8" fillId="4" borderId="0" xfId="0" applyFont="1" applyFill="1"/>
    <xf numFmtId="17" fontId="0" fillId="4" borderId="0" xfId="0" applyNumberFormat="1" applyFill="1"/>
    <xf numFmtId="6" fontId="0" fillId="4" borderId="0" xfId="0" applyNumberFormat="1" applyFill="1"/>
    <xf numFmtId="0" fontId="0" fillId="11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6" fontId="0" fillId="5" borderId="0" xfId="0" applyNumberFormat="1" applyFill="1"/>
    <xf numFmtId="165" fontId="0" fillId="5" borderId="0" xfId="0" applyNumberFormat="1" applyFill="1"/>
    <xf numFmtId="6" fontId="0" fillId="5" borderId="0" xfId="0" applyNumberFormat="1" applyFill="1" applyAlignment="1">
      <alignment horizontal="left"/>
    </xf>
    <xf numFmtId="4" fontId="0" fillId="7" borderId="0" xfId="0" applyNumberFormat="1" applyFill="1"/>
    <xf numFmtId="6" fontId="0" fillId="7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6" fontId="0" fillId="6" borderId="0" xfId="0" applyNumberFormat="1" applyFill="1" applyAlignment="1">
      <alignment horizontal="left"/>
    </xf>
    <xf numFmtId="2" fontId="0" fillId="6" borderId="0" xfId="0" applyNumberFormat="1" applyFill="1"/>
    <xf numFmtId="0" fontId="0" fillId="4" borderId="0" xfId="0" applyFill="1" applyAlignment="1">
      <alignment horizontal="left"/>
    </xf>
    <xf numFmtId="17" fontId="0" fillId="7" borderId="0" xfId="0" applyNumberFormat="1" applyFill="1" applyAlignment="1">
      <alignment horizontal="left"/>
    </xf>
    <xf numFmtId="17" fontId="0" fillId="5" borderId="0" xfId="0" applyNumberFormat="1" applyFill="1" applyAlignment="1">
      <alignment horizontal="left"/>
    </xf>
    <xf numFmtId="0" fontId="0" fillId="5" borderId="0" xfId="0" applyFont="1" applyFill="1" applyBorder="1" applyAlignment="1">
      <alignment horizontal="center"/>
    </xf>
    <xf numFmtId="17" fontId="0" fillId="6" borderId="0" xfId="0" applyNumberFormat="1" applyFill="1" applyAlignment="1">
      <alignment horizontal="left"/>
    </xf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6" fontId="0" fillId="4" borderId="0" xfId="0" applyNumberFormat="1" applyFill="1" applyAlignment="1">
      <alignment horizontal="left"/>
    </xf>
    <xf numFmtId="17" fontId="0" fillId="7" borderId="0" xfId="0" applyNumberFormat="1" applyFill="1"/>
    <xf numFmtId="0" fontId="0" fillId="5" borderId="0" xfId="0" applyFill="1" applyAlignment="1"/>
    <xf numFmtId="0" fontId="0" fillId="5" borderId="0" xfId="0" applyFont="1" applyFill="1" applyBorder="1" applyAlignment="1">
      <alignment horizontal="left"/>
    </xf>
    <xf numFmtId="0" fontId="8" fillId="3" borderId="0" xfId="0" applyFont="1" applyFill="1"/>
    <xf numFmtId="4" fontId="0" fillId="3" borderId="0" xfId="0" applyNumberFormat="1" applyFill="1" applyAlignment="1">
      <alignment horizontal="left"/>
    </xf>
    <xf numFmtId="6" fontId="12" fillId="9" borderId="0" xfId="0" applyNumberFormat="1" applyFont="1" applyFill="1" applyAlignment="1">
      <alignment horizontal="left"/>
    </xf>
    <xf numFmtId="6" fontId="5" fillId="9" borderId="0" xfId="0" applyNumberFormat="1" applyFont="1" applyFill="1" applyAlignment="1">
      <alignment horizontal="left"/>
    </xf>
    <xf numFmtId="0" fontId="0" fillId="12" borderId="0" xfId="0" applyFill="1"/>
    <xf numFmtId="0" fontId="0" fillId="13" borderId="0" xfId="0" applyFill="1" applyAlignment="1">
      <alignment horizontal="center"/>
    </xf>
    <xf numFmtId="4" fontId="0" fillId="13" borderId="0" xfId="0" applyNumberFormat="1" applyFill="1"/>
    <xf numFmtId="0" fontId="0" fillId="13" borderId="0" xfId="0" applyFill="1"/>
    <xf numFmtId="39" fontId="4" fillId="2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right"/>
    </xf>
    <xf numFmtId="165" fontId="4" fillId="2" borderId="0" xfId="1" applyNumberFormat="1" applyFont="1" applyFill="1" applyAlignment="1">
      <alignment vertical="center"/>
    </xf>
    <xf numFmtId="39" fontId="4" fillId="2" borderId="0" xfId="1" applyNumberFormat="1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Views>
    <sheetView topLeftCell="A5" zoomScaleNormal="100" workbookViewId="0">
      <pane ySplit="3" topLeftCell="A84" activePane="bottomLeft" state="frozen"/>
      <selection activeCell="A5" sqref="A5"/>
      <selection pane="bottomLeft" activeCell="E6" sqref="E6"/>
    </sheetView>
  </sheetViews>
  <sheetFormatPr baseColWidth="10" defaultRowHeight="15" x14ac:dyDescent="0.25"/>
  <cols>
    <col min="1" max="1" width="7.7109375" style="6" customWidth="1"/>
    <col min="2" max="2" width="8.140625" style="6" bestFit="1" customWidth="1"/>
    <col min="3" max="3" width="25.855468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4.140625" customWidth="1"/>
    <col min="10" max="10" width="7.7109375" style="6" customWidth="1"/>
    <col min="11" max="11" width="8.7109375" customWidth="1"/>
    <col min="12" max="12" width="24.14062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>
        <f>A6+D6+G6+J6+M6</f>
        <v>240</v>
      </c>
      <c r="H3" s="3" t="s">
        <v>3</v>
      </c>
      <c r="I3" s="2">
        <f>B6+E6+H6+K6+N6</f>
        <v>221200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39" t="s">
        <v>6</v>
      </c>
      <c r="K5" s="139"/>
      <c r="L5" s="139"/>
      <c r="M5" s="131" t="s">
        <v>12</v>
      </c>
      <c r="N5" s="131"/>
      <c r="O5" s="131"/>
      <c r="P5" s="131" t="s">
        <v>12</v>
      </c>
      <c r="Q5" s="131"/>
      <c r="R5" s="131"/>
    </row>
    <row r="6" spans="1:18" x14ac:dyDescent="0.25">
      <c r="A6" s="8">
        <f>SUBTOTAL(3,A8:A121)</f>
        <v>74</v>
      </c>
      <c r="B6" s="8">
        <f>SUBTOTAL(9,B8:B121)</f>
        <v>55850</v>
      </c>
      <c r="C6" s="35">
        <v>43835</v>
      </c>
      <c r="D6" s="8">
        <f>SUBTOTAL(3,D8:D121)</f>
        <v>56</v>
      </c>
      <c r="E6" s="1">
        <f>SUBTOTAL(9,E8:E121)</f>
        <v>47900</v>
      </c>
      <c r="F6" s="38">
        <v>43842</v>
      </c>
      <c r="G6" s="8">
        <f>SUBTOTAL(3,G8:G123)</f>
        <v>59</v>
      </c>
      <c r="H6" s="1">
        <f>SUBTOTAL(9,H8:H123)</f>
        <v>65650</v>
      </c>
      <c r="I6" s="39">
        <v>43849</v>
      </c>
      <c r="J6" s="8">
        <f>SUBTOTAL(3,J8:J121)</f>
        <v>51</v>
      </c>
      <c r="K6" s="1">
        <f>SUBTOTAL(9,K8:K121)</f>
        <v>51800</v>
      </c>
      <c r="L6" s="80">
        <v>43856</v>
      </c>
      <c r="M6" s="8">
        <f>SUBTOTAL(3,M8:M124)</f>
        <v>0</v>
      </c>
      <c r="N6" s="1">
        <f>SUBTOTAL(9,N8:N124)</f>
        <v>0</v>
      </c>
      <c r="O6" s="81"/>
      <c r="P6" s="1">
        <f>+D6+G6+J6+M6</f>
        <v>166</v>
      </c>
      <c r="Q6" s="1">
        <f>+E6+H6+K6+N6</f>
        <v>165350</v>
      </c>
      <c r="R6" s="81">
        <v>42400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P7" s="90" t="s">
        <v>1</v>
      </c>
      <c r="Q7" s="90" t="s">
        <v>3</v>
      </c>
      <c r="R7" s="90" t="s">
        <v>2</v>
      </c>
    </row>
    <row r="8" spans="1:18" x14ac:dyDescent="0.25">
      <c r="A8" s="16">
        <v>21121</v>
      </c>
      <c r="B8" s="102">
        <v>600</v>
      </c>
      <c r="C8" s="17" t="s">
        <v>16</v>
      </c>
      <c r="D8" s="13">
        <v>21195</v>
      </c>
      <c r="E8" s="70">
        <v>5500</v>
      </c>
      <c r="F8" s="14"/>
      <c r="G8" s="9">
        <v>21251</v>
      </c>
      <c r="H8" s="76">
        <v>400</v>
      </c>
      <c r="I8" s="10" t="s">
        <v>69</v>
      </c>
      <c r="J8" s="50">
        <v>21310</v>
      </c>
      <c r="K8" s="78">
        <v>1000</v>
      </c>
      <c r="L8" s="51" t="s">
        <v>97</v>
      </c>
      <c r="M8" s="75"/>
      <c r="N8" s="73"/>
      <c r="O8" s="15"/>
      <c r="P8" s="6"/>
      <c r="Q8" s="6"/>
    </row>
    <row r="9" spans="1:18" x14ac:dyDescent="0.25">
      <c r="A9" s="16">
        <v>21122</v>
      </c>
      <c r="B9" s="102">
        <v>500</v>
      </c>
      <c r="C9" s="21"/>
      <c r="D9" s="13"/>
      <c r="E9" s="70"/>
      <c r="F9" s="23"/>
      <c r="G9" s="9"/>
      <c r="H9" s="76"/>
      <c r="I9" s="10" t="s">
        <v>44</v>
      </c>
      <c r="J9" s="50"/>
      <c r="K9" s="78"/>
      <c r="L9" s="51" t="s">
        <v>18</v>
      </c>
      <c r="M9" s="75"/>
      <c r="N9" s="73"/>
      <c r="O9" s="15"/>
      <c r="P9" s="86"/>
      <c r="Q9" s="86"/>
    </row>
    <row r="10" spans="1:18" x14ac:dyDescent="0.25">
      <c r="A10" s="16">
        <v>21123</v>
      </c>
      <c r="B10" s="102">
        <v>5500</v>
      </c>
      <c r="C10" s="17" t="s">
        <v>17</v>
      </c>
      <c r="D10" s="13"/>
      <c r="E10" s="70"/>
      <c r="F10" s="14"/>
      <c r="G10" s="9">
        <v>21252</v>
      </c>
      <c r="H10" s="76">
        <v>900</v>
      </c>
      <c r="I10" s="10" t="s">
        <v>70</v>
      </c>
      <c r="J10" s="50">
        <v>21311</v>
      </c>
      <c r="K10" s="78">
        <v>650</v>
      </c>
      <c r="L10" s="51" t="s">
        <v>99</v>
      </c>
      <c r="M10" s="75"/>
      <c r="N10" s="73"/>
      <c r="O10" s="105"/>
    </row>
    <row r="11" spans="1:18" x14ac:dyDescent="0.25">
      <c r="A11" s="16"/>
      <c r="B11" s="102"/>
      <c r="C11" s="17" t="s">
        <v>18</v>
      </c>
      <c r="D11" s="13">
        <v>21196</v>
      </c>
      <c r="E11" s="70">
        <v>50</v>
      </c>
      <c r="F11" s="14" t="s">
        <v>51</v>
      </c>
      <c r="G11" s="9"/>
      <c r="H11" s="76"/>
      <c r="I11" s="104">
        <v>500</v>
      </c>
      <c r="J11" s="50"/>
      <c r="K11" s="78"/>
      <c r="L11" s="51" t="s">
        <v>100</v>
      </c>
      <c r="M11" s="75"/>
      <c r="N11" s="73"/>
      <c r="O11" s="15"/>
    </row>
    <row r="12" spans="1:18" x14ac:dyDescent="0.25">
      <c r="A12" s="16"/>
      <c r="B12" s="102"/>
      <c r="C12" s="17" t="s">
        <v>19</v>
      </c>
      <c r="D12" s="13">
        <v>21197</v>
      </c>
      <c r="E12" s="70">
        <v>400</v>
      </c>
      <c r="F12" s="14" t="s">
        <v>16</v>
      </c>
      <c r="G12" s="9">
        <v>21253</v>
      </c>
      <c r="H12" s="76">
        <v>50</v>
      </c>
      <c r="I12" s="10" t="s">
        <v>71</v>
      </c>
      <c r="J12" s="53">
        <v>21312</v>
      </c>
      <c r="K12" s="72">
        <v>400</v>
      </c>
      <c r="L12" s="56" t="s">
        <v>101</v>
      </c>
      <c r="M12" s="75"/>
      <c r="N12" s="73"/>
      <c r="O12" s="15"/>
    </row>
    <row r="13" spans="1:18" x14ac:dyDescent="0.25">
      <c r="A13" s="16">
        <v>21124</v>
      </c>
      <c r="B13" s="102">
        <v>1000</v>
      </c>
      <c r="C13" s="17" t="s">
        <v>20</v>
      </c>
      <c r="D13" s="13">
        <v>21198</v>
      </c>
      <c r="E13" s="70">
        <v>500</v>
      </c>
      <c r="F13" s="14" t="s">
        <v>52</v>
      </c>
      <c r="G13" s="9">
        <v>21254</v>
      </c>
      <c r="H13" s="76">
        <v>5500</v>
      </c>
      <c r="I13" s="10" t="s">
        <v>72</v>
      </c>
      <c r="J13" s="50"/>
      <c r="K13" s="78"/>
      <c r="L13" s="51" t="s">
        <v>44</v>
      </c>
      <c r="M13" s="75"/>
      <c r="N13" s="73"/>
      <c r="O13" s="15"/>
    </row>
    <row r="14" spans="1:18" x14ac:dyDescent="0.25">
      <c r="A14" s="16"/>
      <c r="B14" s="102"/>
      <c r="C14" s="17" t="s">
        <v>18</v>
      </c>
      <c r="D14" s="13">
        <v>21199</v>
      </c>
      <c r="E14" s="70">
        <v>500</v>
      </c>
      <c r="F14" s="14"/>
      <c r="G14" s="9"/>
      <c r="H14" s="76"/>
      <c r="I14" s="118" t="s">
        <v>18</v>
      </c>
      <c r="J14" s="50">
        <v>21313</v>
      </c>
      <c r="K14" s="78">
        <v>5500</v>
      </c>
      <c r="L14" s="51" t="s">
        <v>72</v>
      </c>
      <c r="M14" s="75"/>
      <c r="N14" s="73"/>
      <c r="O14" s="15"/>
    </row>
    <row r="15" spans="1:18" x14ac:dyDescent="0.25">
      <c r="A15" s="16">
        <v>21125</v>
      </c>
      <c r="B15" s="102">
        <v>750</v>
      </c>
      <c r="C15" s="17" t="s">
        <v>21</v>
      </c>
      <c r="D15" s="13">
        <v>21200</v>
      </c>
      <c r="E15" s="70">
        <v>3000</v>
      </c>
      <c r="F15" s="14" t="s">
        <v>17</v>
      </c>
      <c r="G15" s="9"/>
      <c r="H15" s="76"/>
      <c r="I15" s="10" t="s">
        <v>73</v>
      </c>
      <c r="J15" s="50"/>
      <c r="K15" s="78"/>
      <c r="L15" s="51" t="s">
        <v>18</v>
      </c>
      <c r="M15" s="75"/>
      <c r="N15" s="73"/>
      <c r="O15" s="15"/>
    </row>
    <row r="16" spans="1:18" x14ac:dyDescent="0.25">
      <c r="A16" s="16"/>
      <c r="B16" s="102"/>
      <c r="C16" s="17" t="s">
        <v>22</v>
      </c>
      <c r="D16" s="13"/>
      <c r="E16" s="70"/>
      <c r="F16" s="14" t="s">
        <v>29</v>
      </c>
      <c r="G16" s="9">
        <v>21255</v>
      </c>
      <c r="H16" s="76">
        <v>5500</v>
      </c>
      <c r="I16" s="24" t="s">
        <v>72</v>
      </c>
      <c r="J16" s="50"/>
      <c r="K16" s="78"/>
      <c r="L16" s="51" t="s">
        <v>50</v>
      </c>
      <c r="M16" s="75"/>
      <c r="N16" s="73"/>
      <c r="O16" s="15"/>
    </row>
    <row r="17" spans="1:15" x14ac:dyDescent="0.25">
      <c r="A17" s="16">
        <v>21126</v>
      </c>
      <c r="B17" s="102">
        <v>500</v>
      </c>
      <c r="C17" s="17"/>
      <c r="D17" s="13">
        <v>21201</v>
      </c>
      <c r="E17" s="70">
        <v>200</v>
      </c>
      <c r="F17" s="14" t="s">
        <v>53</v>
      </c>
      <c r="G17" s="9"/>
      <c r="H17" s="76"/>
      <c r="I17" s="10" t="s">
        <v>18</v>
      </c>
      <c r="J17" s="50">
        <v>21314</v>
      </c>
      <c r="K17" s="78">
        <v>700</v>
      </c>
      <c r="L17" s="51" t="s">
        <v>102</v>
      </c>
      <c r="M17" s="75"/>
      <c r="N17" s="73"/>
      <c r="O17" s="15"/>
    </row>
    <row r="18" spans="1:15" x14ac:dyDescent="0.25">
      <c r="A18" s="16">
        <v>21127</v>
      </c>
      <c r="B18" s="102">
        <v>5500</v>
      </c>
      <c r="C18" s="17" t="s">
        <v>17</v>
      </c>
      <c r="D18" s="13">
        <v>21202</v>
      </c>
      <c r="E18" s="70">
        <v>50</v>
      </c>
      <c r="F18" s="14" t="s">
        <v>51</v>
      </c>
      <c r="G18" s="9"/>
      <c r="H18" s="76"/>
      <c r="I18" s="10" t="s">
        <v>74</v>
      </c>
      <c r="J18" s="50"/>
      <c r="K18" s="78"/>
      <c r="L18" s="120">
        <v>400</v>
      </c>
      <c r="M18" s="75"/>
      <c r="N18" s="73"/>
      <c r="O18" s="15"/>
    </row>
    <row r="19" spans="1:15" x14ac:dyDescent="0.25">
      <c r="A19" s="16"/>
      <c r="B19" s="102"/>
      <c r="C19" s="17" t="s">
        <v>18</v>
      </c>
      <c r="D19" s="13">
        <v>21203</v>
      </c>
      <c r="E19" s="70"/>
      <c r="F19" s="14" t="s">
        <v>54</v>
      </c>
      <c r="G19" s="9"/>
      <c r="H19" s="76"/>
      <c r="I19" s="10" t="s">
        <v>75</v>
      </c>
      <c r="J19" s="50">
        <v>21315</v>
      </c>
      <c r="K19" s="78">
        <v>400</v>
      </c>
      <c r="L19" s="51" t="s">
        <v>23</v>
      </c>
      <c r="M19" s="75"/>
      <c r="N19" s="73"/>
      <c r="O19" s="31"/>
    </row>
    <row r="20" spans="1:15" x14ac:dyDescent="0.25">
      <c r="A20" s="16"/>
      <c r="B20" s="102"/>
      <c r="C20" s="17" t="s">
        <v>19</v>
      </c>
      <c r="D20" s="13">
        <v>21204</v>
      </c>
      <c r="E20" s="70">
        <v>400</v>
      </c>
      <c r="F20" s="14"/>
      <c r="G20" s="9"/>
      <c r="H20" s="76"/>
      <c r="I20" s="10" t="s">
        <v>73</v>
      </c>
      <c r="J20" s="50">
        <v>21316</v>
      </c>
      <c r="K20" s="78">
        <v>250</v>
      </c>
      <c r="L20" s="51"/>
      <c r="M20" s="75"/>
      <c r="N20" s="73"/>
      <c r="O20" s="15"/>
    </row>
    <row r="21" spans="1:15" x14ac:dyDescent="0.25">
      <c r="A21" s="16">
        <v>21128</v>
      </c>
      <c r="B21" s="102">
        <v>500</v>
      </c>
      <c r="C21" s="17"/>
      <c r="D21" s="13">
        <v>21205</v>
      </c>
      <c r="E21" s="70">
        <v>600</v>
      </c>
      <c r="F21" s="14" t="s">
        <v>55</v>
      </c>
      <c r="G21" s="9">
        <v>21256</v>
      </c>
      <c r="H21" s="76">
        <v>1000</v>
      </c>
      <c r="I21" s="10" t="s">
        <v>76</v>
      </c>
      <c r="J21" s="53">
        <v>21317</v>
      </c>
      <c r="K21" s="72">
        <v>2000</v>
      </c>
      <c r="L21" s="51" t="s">
        <v>103</v>
      </c>
      <c r="M21" s="75"/>
      <c r="N21" s="73"/>
      <c r="O21" s="15"/>
    </row>
    <row r="22" spans="1:15" x14ac:dyDescent="0.25">
      <c r="A22" s="16">
        <v>21129</v>
      </c>
      <c r="B22" s="102">
        <v>400</v>
      </c>
      <c r="C22" s="17"/>
      <c r="D22" s="13"/>
      <c r="E22" s="70"/>
      <c r="F22" s="14" t="s">
        <v>29</v>
      </c>
      <c r="G22" s="9"/>
      <c r="H22" s="76"/>
      <c r="I22" s="25" t="s">
        <v>18</v>
      </c>
      <c r="J22" s="50"/>
      <c r="K22" s="78"/>
      <c r="L22" s="51" t="s">
        <v>104</v>
      </c>
      <c r="M22" s="75"/>
      <c r="N22" s="73"/>
      <c r="O22" s="15"/>
    </row>
    <row r="23" spans="1:15" x14ac:dyDescent="0.25">
      <c r="A23" s="16">
        <v>21130</v>
      </c>
      <c r="B23" s="102">
        <v>500</v>
      </c>
      <c r="C23" s="17"/>
      <c r="D23" s="13">
        <v>21206</v>
      </c>
      <c r="E23" s="70">
        <v>300</v>
      </c>
      <c r="F23" s="14"/>
      <c r="G23" s="9">
        <v>21257</v>
      </c>
      <c r="H23" s="76">
        <v>100</v>
      </c>
      <c r="I23" s="10" t="s">
        <v>77</v>
      </c>
      <c r="J23" s="50">
        <v>21318</v>
      </c>
      <c r="K23" s="78">
        <v>500</v>
      </c>
      <c r="L23" s="51" t="s">
        <v>105</v>
      </c>
      <c r="M23" s="75"/>
      <c r="N23" s="73"/>
      <c r="O23" s="15"/>
    </row>
    <row r="24" spans="1:15" x14ac:dyDescent="0.25">
      <c r="A24" s="16">
        <v>21131</v>
      </c>
      <c r="B24" s="102">
        <v>500</v>
      </c>
      <c r="C24" s="103"/>
      <c r="D24" s="13">
        <v>21207</v>
      </c>
      <c r="E24" s="70">
        <v>500</v>
      </c>
      <c r="F24" s="101"/>
      <c r="G24" s="9">
        <v>21258</v>
      </c>
      <c r="H24" s="76">
        <v>5500</v>
      </c>
      <c r="I24" s="10" t="s">
        <v>72</v>
      </c>
      <c r="J24" s="50"/>
      <c r="K24" s="78"/>
      <c r="L24" s="51" t="s">
        <v>22</v>
      </c>
      <c r="M24" s="75"/>
      <c r="N24" s="73"/>
      <c r="O24" s="15"/>
    </row>
    <row r="25" spans="1:15" x14ac:dyDescent="0.25">
      <c r="A25" s="16">
        <v>21132</v>
      </c>
      <c r="B25" s="102">
        <v>500</v>
      </c>
      <c r="C25" s="17"/>
      <c r="D25" s="13">
        <v>21208</v>
      </c>
      <c r="E25" s="70">
        <v>400</v>
      </c>
      <c r="F25" s="14"/>
      <c r="G25" s="9"/>
      <c r="H25" s="76"/>
      <c r="I25" s="10" t="s">
        <v>18</v>
      </c>
      <c r="J25" s="50">
        <v>21319</v>
      </c>
      <c r="K25" s="78">
        <v>350</v>
      </c>
      <c r="L25" s="51"/>
      <c r="M25" s="75"/>
      <c r="N25" s="73"/>
      <c r="O25" s="15"/>
    </row>
    <row r="26" spans="1:15" x14ac:dyDescent="0.25">
      <c r="A26" s="16">
        <v>21133</v>
      </c>
      <c r="B26" s="102">
        <v>400</v>
      </c>
      <c r="C26" s="17" t="s">
        <v>23</v>
      </c>
      <c r="D26" s="13">
        <v>21209</v>
      </c>
      <c r="E26" s="70">
        <v>250</v>
      </c>
      <c r="F26" s="14" t="s">
        <v>16</v>
      </c>
      <c r="G26" s="9"/>
      <c r="H26" s="76"/>
      <c r="I26" s="10" t="s">
        <v>73</v>
      </c>
      <c r="J26" s="50">
        <v>21320</v>
      </c>
      <c r="K26" s="78">
        <v>1200</v>
      </c>
      <c r="L26" s="51" t="s">
        <v>68</v>
      </c>
      <c r="M26" s="75"/>
      <c r="N26" s="73"/>
      <c r="O26" s="15"/>
    </row>
    <row r="27" spans="1:15" x14ac:dyDescent="0.25">
      <c r="A27" s="16">
        <v>21134</v>
      </c>
      <c r="B27" s="102">
        <v>800</v>
      </c>
      <c r="C27" s="17" t="s">
        <v>24</v>
      </c>
      <c r="D27" s="13"/>
      <c r="E27" s="70"/>
      <c r="F27" s="14" t="s">
        <v>56</v>
      </c>
      <c r="G27" s="9">
        <v>21259</v>
      </c>
      <c r="H27" s="76">
        <v>3500</v>
      </c>
      <c r="I27" s="10" t="s">
        <v>78</v>
      </c>
      <c r="J27" s="50"/>
      <c r="K27" s="78"/>
      <c r="L27" s="51" t="s">
        <v>25</v>
      </c>
      <c r="M27" s="75"/>
      <c r="N27" s="73"/>
      <c r="O27" s="15"/>
    </row>
    <row r="28" spans="1:15" x14ac:dyDescent="0.25">
      <c r="A28" s="16"/>
      <c r="B28" s="102"/>
      <c r="C28" s="17" t="s">
        <v>25</v>
      </c>
      <c r="D28" s="13">
        <v>21210</v>
      </c>
      <c r="E28" s="70">
        <v>1000</v>
      </c>
      <c r="F28" s="14" t="s">
        <v>57</v>
      </c>
      <c r="G28" s="9"/>
      <c r="H28" s="76"/>
      <c r="I28" s="10" t="s">
        <v>79</v>
      </c>
      <c r="J28" s="50">
        <v>21321</v>
      </c>
      <c r="K28" s="78">
        <v>250</v>
      </c>
      <c r="L28" s="51" t="s">
        <v>106</v>
      </c>
      <c r="M28" s="75"/>
      <c r="N28" s="73"/>
      <c r="O28" s="15"/>
    </row>
    <row r="29" spans="1:15" x14ac:dyDescent="0.25">
      <c r="A29" s="16">
        <v>21135</v>
      </c>
      <c r="B29" s="102">
        <v>800</v>
      </c>
      <c r="C29" s="17" t="s">
        <v>26</v>
      </c>
      <c r="D29" s="13"/>
      <c r="E29" s="70"/>
      <c r="F29" s="14" t="s">
        <v>58</v>
      </c>
      <c r="G29" s="9"/>
      <c r="H29" s="76"/>
      <c r="I29" s="10" t="s">
        <v>80</v>
      </c>
      <c r="J29" s="50">
        <v>21322</v>
      </c>
      <c r="K29" s="78">
        <v>200</v>
      </c>
      <c r="L29" s="51" t="s">
        <v>107</v>
      </c>
      <c r="M29" s="75"/>
      <c r="N29" s="73"/>
      <c r="O29" s="15"/>
    </row>
    <row r="30" spans="1:15" x14ac:dyDescent="0.25">
      <c r="A30" s="16"/>
      <c r="B30" s="102"/>
      <c r="C30" s="17" t="s">
        <v>27</v>
      </c>
      <c r="D30" s="13">
        <v>21211</v>
      </c>
      <c r="E30" s="70">
        <v>500</v>
      </c>
      <c r="F30" s="14"/>
      <c r="G30" s="9">
        <v>21260</v>
      </c>
      <c r="H30" s="76">
        <v>400</v>
      </c>
      <c r="I30" s="10" t="s">
        <v>81</v>
      </c>
      <c r="J30" s="50">
        <v>21323</v>
      </c>
      <c r="K30" s="78">
        <v>500</v>
      </c>
      <c r="L30" s="51"/>
      <c r="M30" s="75"/>
      <c r="N30" s="73"/>
      <c r="O30" s="15"/>
    </row>
    <row r="31" spans="1:15" x14ac:dyDescent="0.25">
      <c r="A31" s="16">
        <v>21136</v>
      </c>
      <c r="B31" s="102">
        <v>1800</v>
      </c>
      <c r="C31" s="103" t="s">
        <v>28</v>
      </c>
      <c r="D31" s="13">
        <v>21212</v>
      </c>
      <c r="E31" s="70">
        <v>500</v>
      </c>
      <c r="F31" s="101"/>
      <c r="G31" s="9">
        <v>21261</v>
      </c>
      <c r="H31" s="76">
        <v>400</v>
      </c>
      <c r="I31" s="10" t="s">
        <v>81</v>
      </c>
      <c r="J31" s="50">
        <v>21324</v>
      </c>
      <c r="K31" s="78">
        <v>300</v>
      </c>
      <c r="L31" s="51"/>
      <c r="M31" s="75"/>
      <c r="N31" s="73"/>
      <c r="O31" s="15"/>
    </row>
    <row r="32" spans="1:15" x14ac:dyDescent="0.25">
      <c r="A32" s="16"/>
      <c r="B32" s="102"/>
      <c r="C32" s="17" t="s">
        <v>29</v>
      </c>
      <c r="D32" s="13">
        <v>21213</v>
      </c>
      <c r="E32" s="70">
        <v>400</v>
      </c>
      <c r="F32" s="14" t="s">
        <v>16</v>
      </c>
      <c r="G32" s="9">
        <v>21262</v>
      </c>
      <c r="H32" s="76">
        <v>2000</v>
      </c>
      <c r="I32" s="10" t="s">
        <v>82</v>
      </c>
      <c r="J32" s="50">
        <v>21325</v>
      </c>
      <c r="K32" s="78">
        <v>500</v>
      </c>
      <c r="L32" s="51"/>
      <c r="M32" s="75"/>
      <c r="N32" s="73"/>
      <c r="O32" s="15"/>
    </row>
    <row r="33" spans="1:15" x14ac:dyDescent="0.25">
      <c r="A33" s="16">
        <v>21137</v>
      </c>
      <c r="B33" s="102">
        <v>500</v>
      </c>
      <c r="C33" s="17"/>
      <c r="D33" s="13">
        <v>21214</v>
      </c>
      <c r="E33" s="70">
        <v>400</v>
      </c>
      <c r="F33" s="14" t="s">
        <v>16</v>
      </c>
      <c r="G33" s="9"/>
      <c r="H33" s="76"/>
      <c r="I33" s="10" t="s">
        <v>83</v>
      </c>
      <c r="J33" s="50">
        <v>21326</v>
      </c>
      <c r="K33" s="78">
        <v>250</v>
      </c>
      <c r="L33" s="51" t="s">
        <v>108</v>
      </c>
      <c r="M33" s="75"/>
      <c r="N33" s="73"/>
      <c r="O33" s="15"/>
    </row>
    <row r="34" spans="1:15" x14ac:dyDescent="0.25">
      <c r="A34" s="16">
        <v>21138</v>
      </c>
      <c r="B34" s="102">
        <v>400</v>
      </c>
      <c r="C34" s="17"/>
      <c r="D34" s="13">
        <v>21215</v>
      </c>
      <c r="E34" s="70">
        <v>1500</v>
      </c>
      <c r="F34" s="20" t="s">
        <v>59</v>
      </c>
      <c r="G34" s="9"/>
      <c r="H34" s="76"/>
      <c r="I34" s="10" t="s">
        <v>81</v>
      </c>
      <c r="J34" s="50">
        <v>21327</v>
      </c>
      <c r="K34" s="78">
        <v>250</v>
      </c>
      <c r="L34" s="51" t="s">
        <v>109</v>
      </c>
      <c r="M34" s="75"/>
      <c r="N34" s="73"/>
      <c r="O34" s="15"/>
    </row>
    <row r="35" spans="1:15" x14ac:dyDescent="0.25">
      <c r="A35" s="16">
        <v>21139</v>
      </c>
      <c r="B35" s="102">
        <v>400</v>
      </c>
      <c r="C35" s="17"/>
      <c r="D35" s="13"/>
      <c r="E35" s="70"/>
      <c r="F35" s="14" t="s">
        <v>18</v>
      </c>
      <c r="G35" s="9">
        <v>21263</v>
      </c>
      <c r="H35" s="76">
        <v>800</v>
      </c>
      <c r="I35" s="10" t="s">
        <v>84</v>
      </c>
      <c r="J35" s="50">
        <v>21328</v>
      </c>
      <c r="K35" s="78">
        <v>250</v>
      </c>
      <c r="L35" s="51"/>
      <c r="M35" s="75"/>
      <c r="N35" s="73"/>
      <c r="O35" s="15"/>
    </row>
    <row r="36" spans="1:15" x14ac:dyDescent="0.25">
      <c r="A36" s="16">
        <v>21140</v>
      </c>
      <c r="B36" s="102">
        <v>250</v>
      </c>
      <c r="C36" s="17" t="s">
        <v>30</v>
      </c>
      <c r="D36" s="13">
        <v>21216</v>
      </c>
      <c r="E36" s="70">
        <v>500</v>
      </c>
      <c r="F36" s="14"/>
      <c r="G36" s="9"/>
      <c r="H36" s="76"/>
      <c r="I36" s="10" t="s">
        <v>25</v>
      </c>
      <c r="J36" s="50">
        <v>21329</v>
      </c>
      <c r="K36" s="78">
        <v>500</v>
      </c>
      <c r="L36" s="51"/>
      <c r="M36" s="75"/>
      <c r="N36" s="73"/>
      <c r="O36" s="15"/>
    </row>
    <row r="37" spans="1:15" x14ac:dyDescent="0.25">
      <c r="A37" s="16">
        <v>21141</v>
      </c>
      <c r="B37" s="102">
        <v>400</v>
      </c>
      <c r="C37" s="17"/>
      <c r="D37" s="13">
        <v>21217</v>
      </c>
      <c r="E37" s="70">
        <v>50</v>
      </c>
      <c r="F37" s="14" t="s">
        <v>51</v>
      </c>
      <c r="G37" s="9">
        <v>21264</v>
      </c>
      <c r="H37" s="76">
        <v>5500</v>
      </c>
      <c r="I37" s="10" t="s">
        <v>72</v>
      </c>
      <c r="J37" s="50">
        <v>21330</v>
      </c>
      <c r="K37" s="78">
        <v>1200</v>
      </c>
      <c r="L37" s="52" t="s">
        <v>59</v>
      </c>
      <c r="M37" s="75"/>
      <c r="N37" s="73"/>
      <c r="O37" s="15"/>
    </row>
    <row r="38" spans="1:15" x14ac:dyDescent="0.25">
      <c r="A38" s="16">
        <v>21142</v>
      </c>
      <c r="B38" s="102">
        <v>450</v>
      </c>
      <c r="C38" s="17"/>
      <c r="D38" s="13">
        <v>21218</v>
      </c>
      <c r="E38" s="70">
        <v>400</v>
      </c>
      <c r="F38" s="14" t="s">
        <v>16</v>
      </c>
      <c r="G38" s="9"/>
      <c r="H38" s="76"/>
      <c r="I38" s="10" t="s">
        <v>18</v>
      </c>
      <c r="J38" s="50"/>
      <c r="K38" s="78"/>
      <c r="L38" s="52" t="s">
        <v>25</v>
      </c>
      <c r="M38" s="75"/>
      <c r="N38" s="73"/>
      <c r="O38" s="15"/>
    </row>
    <row r="39" spans="1:15" x14ac:dyDescent="0.25">
      <c r="A39" s="16">
        <v>21143</v>
      </c>
      <c r="B39" s="102">
        <v>500</v>
      </c>
      <c r="C39" s="17" t="s">
        <v>20</v>
      </c>
      <c r="D39" s="13">
        <v>21219</v>
      </c>
      <c r="E39" s="70">
        <v>5500</v>
      </c>
      <c r="F39" s="14" t="s">
        <v>17</v>
      </c>
      <c r="G39" s="9"/>
      <c r="H39" s="76"/>
      <c r="I39" s="10" t="s">
        <v>73</v>
      </c>
      <c r="J39" s="50">
        <v>21331</v>
      </c>
      <c r="K39" s="78">
        <v>900</v>
      </c>
      <c r="L39" s="51" t="s">
        <v>70</v>
      </c>
      <c r="M39" s="75"/>
      <c r="N39" s="73"/>
      <c r="O39" s="15"/>
    </row>
    <row r="40" spans="1:15" x14ac:dyDescent="0.25">
      <c r="A40" s="16"/>
      <c r="B40" s="102"/>
      <c r="C40" s="17" t="s">
        <v>22</v>
      </c>
      <c r="D40" s="13"/>
      <c r="E40" s="70"/>
      <c r="F40" s="14" t="s">
        <v>18</v>
      </c>
      <c r="G40" s="9">
        <v>21265</v>
      </c>
      <c r="H40" s="76">
        <v>50</v>
      </c>
      <c r="I40" s="10" t="s">
        <v>71</v>
      </c>
      <c r="J40" s="50"/>
      <c r="K40" s="78"/>
      <c r="L40" s="51" t="s">
        <v>18</v>
      </c>
      <c r="M40" s="75"/>
      <c r="N40" s="73"/>
      <c r="O40" s="15"/>
    </row>
    <row r="41" spans="1:15" x14ac:dyDescent="0.25">
      <c r="A41" s="16">
        <v>21144</v>
      </c>
      <c r="B41" s="102">
        <v>500</v>
      </c>
      <c r="C41" s="17" t="s">
        <v>31</v>
      </c>
      <c r="D41" s="13"/>
      <c r="E41" s="70"/>
      <c r="F41" s="14" t="s">
        <v>50</v>
      </c>
      <c r="G41" s="9">
        <v>21266</v>
      </c>
      <c r="H41" s="76">
        <v>5500</v>
      </c>
      <c r="I41" s="10" t="s">
        <v>72</v>
      </c>
      <c r="J41" s="50">
        <v>21332</v>
      </c>
      <c r="K41" s="78">
        <v>50</v>
      </c>
      <c r="L41" s="51" t="s">
        <v>110</v>
      </c>
      <c r="M41" s="75"/>
      <c r="N41" s="73"/>
      <c r="O41" s="15"/>
    </row>
    <row r="42" spans="1:15" x14ac:dyDescent="0.25">
      <c r="A42" s="16"/>
      <c r="B42" s="102"/>
      <c r="C42" s="17" t="s">
        <v>32</v>
      </c>
      <c r="D42" s="13">
        <v>21220</v>
      </c>
      <c r="E42" s="70">
        <v>500</v>
      </c>
      <c r="F42" s="14"/>
      <c r="G42" s="9"/>
      <c r="H42" s="76"/>
      <c r="I42" s="10" t="s">
        <v>18</v>
      </c>
      <c r="J42" s="50">
        <v>21333</v>
      </c>
      <c r="K42" s="78">
        <v>500</v>
      </c>
      <c r="L42" s="51"/>
      <c r="M42" s="75"/>
      <c r="N42" s="73"/>
      <c r="O42" s="15"/>
    </row>
    <row r="43" spans="1:15" x14ac:dyDescent="0.25">
      <c r="A43" s="16">
        <v>21145</v>
      </c>
      <c r="B43" s="102">
        <v>500</v>
      </c>
      <c r="C43" s="17"/>
      <c r="D43" s="13">
        <v>21221</v>
      </c>
      <c r="E43" s="70">
        <v>800</v>
      </c>
      <c r="F43" s="14" t="s">
        <v>20</v>
      </c>
      <c r="G43" s="9"/>
      <c r="H43" s="76"/>
      <c r="I43" s="10" t="s">
        <v>73</v>
      </c>
      <c r="J43" s="53">
        <v>21334</v>
      </c>
      <c r="K43" s="72">
        <v>750</v>
      </c>
      <c r="L43" s="51" t="s">
        <v>111</v>
      </c>
      <c r="M43" s="75"/>
      <c r="N43" s="73"/>
      <c r="O43" s="15"/>
    </row>
    <row r="44" spans="1:15" x14ac:dyDescent="0.25">
      <c r="A44" s="16">
        <v>21146</v>
      </c>
      <c r="B44" s="102">
        <v>200</v>
      </c>
      <c r="C44" s="17"/>
      <c r="D44" s="13"/>
      <c r="E44" s="70"/>
      <c r="F44" s="14" t="s">
        <v>25</v>
      </c>
      <c r="G44" s="9">
        <v>21267</v>
      </c>
      <c r="H44" s="76">
        <v>500</v>
      </c>
      <c r="I44" s="10"/>
      <c r="J44" s="50">
        <v>21335</v>
      </c>
      <c r="K44" s="78">
        <v>900</v>
      </c>
      <c r="L44" s="51" t="s">
        <v>70</v>
      </c>
      <c r="M44" s="75"/>
      <c r="N44" s="73"/>
      <c r="O44" s="15"/>
    </row>
    <row r="45" spans="1:15" x14ac:dyDescent="0.25">
      <c r="A45" s="16">
        <v>21147</v>
      </c>
      <c r="B45" s="102">
        <v>7700</v>
      </c>
      <c r="C45" s="17" t="s">
        <v>17</v>
      </c>
      <c r="D45" s="13">
        <v>21222</v>
      </c>
      <c r="E45" s="70">
        <v>250</v>
      </c>
      <c r="F45" s="14" t="s">
        <v>60</v>
      </c>
      <c r="G45" s="9">
        <v>21268</v>
      </c>
      <c r="H45" s="76">
        <v>200</v>
      </c>
      <c r="I45" s="10"/>
      <c r="J45" s="53"/>
      <c r="K45" s="72"/>
      <c r="L45" s="121">
        <v>500</v>
      </c>
      <c r="M45" s="75"/>
      <c r="N45" s="73"/>
      <c r="O45" s="31"/>
    </row>
    <row r="46" spans="1:15" x14ac:dyDescent="0.25">
      <c r="A46" s="16"/>
      <c r="B46" s="102"/>
      <c r="C46" s="17" t="s">
        <v>33</v>
      </c>
      <c r="D46" s="13">
        <v>21223</v>
      </c>
      <c r="E46" s="70">
        <v>800</v>
      </c>
      <c r="F46" s="14" t="s">
        <v>61</v>
      </c>
      <c r="G46" s="9">
        <v>21269</v>
      </c>
      <c r="H46" s="76"/>
      <c r="I46" s="10" t="s">
        <v>85</v>
      </c>
      <c r="J46" s="50"/>
      <c r="K46" s="78"/>
      <c r="L46" s="51" t="s">
        <v>112</v>
      </c>
      <c r="M46" s="75"/>
      <c r="N46" s="73"/>
      <c r="O46" s="15"/>
    </row>
    <row r="47" spans="1:15" x14ac:dyDescent="0.25">
      <c r="A47" s="16"/>
      <c r="B47" s="102"/>
      <c r="C47" s="17" t="s">
        <v>19</v>
      </c>
      <c r="D47" s="13"/>
      <c r="E47" s="70"/>
      <c r="F47" s="14" t="s">
        <v>25</v>
      </c>
      <c r="G47" s="9">
        <v>21270</v>
      </c>
      <c r="H47" s="76">
        <v>250</v>
      </c>
      <c r="I47" s="10" t="s">
        <v>86</v>
      </c>
      <c r="J47" s="50">
        <v>21336</v>
      </c>
      <c r="K47" s="78">
        <v>5500</v>
      </c>
      <c r="L47" s="51" t="s">
        <v>72</v>
      </c>
      <c r="M47" s="75"/>
      <c r="N47" s="73"/>
      <c r="O47" s="15"/>
    </row>
    <row r="48" spans="1:15" x14ac:dyDescent="0.25">
      <c r="A48" s="16">
        <v>21148</v>
      </c>
      <c r="B48" s="102">
        <v>550</v>
      </c>
      <c r="C48" s="17" t="s">
        <v>34</v>
      </c>
      <c r="D48" s="13">
        <v>21224</v>
      </c>
      <c r="E48" s="70">
        <v>200</v>
      </c>
      <c r="F48" s="14" t="s">
        <v>62</v>
      </c>
      <c r="G48" s="9">
        <v>21271</v>
      </c>
      <c r="H48" s="76">
        <v>500</v>
      </c>
      <c r="I48" s="10" t="s">
        <v>60</v>
      </c>
      <c r="J48" s="50"/>
      <c r="K48" s="78"/>
      <c r="L48" s="51" t="s">
        <v>18</v>
      </c>
      <c r="M48" s="75"/>
      <c r="N48" s="73"/>
      <c r="O48" s="15"/>
    </row>
    <row r="49" spans="1:15" x14ac:dyDescent="0.25">
      <c r="A49" s="16"/>
      <c r="B49" s="102"/>
      <c r="C49" s="17" t="s">
        <v>35</v>
      </c>
      <c r="D49" s="13">
        <v>21225</v>
      </c>
      <c r="E49" s="70">
        <v>5500</v>
      </c>
      <c r="F49" s="14" t="s">
        <v>17</v>
      </c>
      <c r="G49" s="9">
        <v>21272</v>
      </c>
      <c r="H49" s="76">
        <v>50</v>
      </c>
      <c r="I49" s="10" t="s">
        <v>71</v>
      </c>
      <c r="J49" s="50"/>
      <c r="K49" s="78"/>
      <c r="L49" s="51" t="s">
        <v>50</v>
      </c>
      <c r="M49" s="75"/>
      <c r="N49" s="73"/>
      <c r="O49" s="15"/>
    </row>
    <row r="50" spans="1:15" x14ac:dyDescent="0.25">
      <c r="A50" s="16">
        <v>21149</v>
      </c>
      <c r="B50" s="102">
        <v>250</v>
      </c>
      <c r="C50" s="17"/>
      <c r="D50" s="13"/>
      <c r="E50" s="70"/>
      <c r="F50" s="14" t="s">
        <v>18</v>
      </c>
      <c r="G50" s="9">
        <v>21273</v>
      </c>
      <c r="H50" s="76">
        <v>650</v>
      </c>
      <c r="I50" s="10" t="s">
        <v>87</v>
      </c>
      <c r="J50" s="53">
        <v>21337</v>
      </c>
      <c r="K50" s="78">
        <v>300</v>
      </c>
      <c r="L50" s="54" t="s">
        <v>113</v>
      </c>
      <c r="M50" s="75"/>
      <c r="N50" s="73"/>
      <c r="O50" s="15"/>
    </row>
    <row r="51" spans="1:15" x14ac:dyDescent="0.25">
      <c r="A51" s="16">
        <v>21150</v>
      </c>
      <c r="B51" s="102">
        <v>500</v>
      </c>
      <c r="C51" s="17"/>
      <c r="D51" s="13"/>
      <c r="E51" s="70"/>
      <c r="F51" s="14" t="s">
        <v>50</v>
      </c>
      <c r="G51" s="9"/>
      <c r="H51" s="76"/>
      <c r="I51" s="10" t="s">
        <v>88</v>
      </c>
      <c r="J51" s="53">
        <v>21338</v>
      </c>
      <c r="K51" s="78">
        <v>500</v>
      </c>
      <c r="L51" s="55"/>
      <c r="M51" s="75"/>
      <c r="N51" s="73"/>
      <c r="O51" s="15"/>
    </row>
    <row r="52" spans="1:15" x14ac:dyDescent="0.25">
      <c r="A52" s="16">
        <v>21151</v>
      </c>
      <c r="B52" s="102">
        <v>500</v>
      </c>
      <c r="C52" s="17"/>
      <c r="D52" s="13">
        <v>21226</v>
      </c>
      <c r="E52" s="70">
        <v>500</v>
      </c>
      <c r="F52" s="14"/>
      <c r="G52" s="9">
        <v>21274</v>
      </c>
      <c r="H52" s="76">
        <v>300</v>
      </c>
      <c r="I52" s="10"/>
      <c r="J52" s="53">
        <v>21339</v>
      </c>
      <c r="K52" s="72">
        <v>5500</v>
      </c>
      <c r="L52" s="54" t="s">
        <v>72</v>
      </c>
      <c r="M52" s="75"/>
      <c r="N52" s="73"/>
      <c r="O52" s="15"/>
    </row>
    <row r="53" spans="1:15" x14ac:dyDescent="0.25">
      <c r="A53" s="16">
        <v>21152</v>
      </c>
      <c r="B53" s="102">
        <v>400</v>
      </c>
      <c r="C53" s="17" t="s">
        <v>16</v>
      </c>
      <c r="D53" s="13">
        <v>21227</v>
      </c>
      <c r="E53" s="70">
        <v>50</v>
      </c>
      <c r="F53" s="14" t="s">
        <v>51</v>
      </c>
      <c r="G53" s="9">
        <v>21275</v>
      </c>
      <c r="H53" s="76">
        <v>5500</v>
      </c>
      <c r="I53" s="10" t="s">
        <v>72</v>
      </c>
      <c r="J53" s="53"/>
      <c r="K53" s="72"/>
      <c r="L53" s="54" t="s">
        <v>18</v>
      </c>
      <c r="M53" s="75"/>
      <c r="N53" s="73"/>
      <c r="O53" s="15"/>
    </row>
    <row r="54" spans="1:15" x14ac:dyDescent="0.25">
      <c r="A54" s="16">
        <v>21153</v>
      </c>
      <c r="B54" s="102">
        <v>250</v>
      </c>
      <c r="C54" s="17"/>
      <c r="D54" s="13">
        <v>21228</v>
      </c>
      <c r="E54" s="70">
        <v>500</v>
      </c>
      <c r="F54" s="14"/>
      <c r="G54" s="9"/>
      <c r="H54" s="76"/>
      <c r="I54" s="10" t="s">
        <v>18</v>
      </c>
      <c r="J54" s="53"/>
      <c r="K54" s="72"/>
      <c r="L54" s="54" t="s">
        <v>50</v>
      </c>
      <c r="M54" s="75"/>
      <c r="N54" s="73"/>
      <c r="O54" s="15"/>
    </row>
    <row r="55" spans="1:15" x14ac:dyDescent="0.25">
      <c r="A55" s="16">
        <v>21154</v>
      </c>
      <c r="B55" s="102">
        <v>700</v>
      </c>
      <c r="C55" s="17"/>
      <c r="D55" s="13">
        <v>21229</v>
      </c>
      <c r="E55" s="70">
        <v>400</v>
      </c>
      <c r="F55" s="14" t="s">
        <v>16</v>
      </c>
      <c r="G55" s="9"/>
      <c r="H55" s="76"/>
      <c r="I55" s="10" t="s">
        <v>73</v>
      </c>
      <c r="J55" s="53">
        <v>21340</v>
      </c>
      <c r="K55" s="72">
        <v>500</v>
      </c>
      <c r="L55" s="54" t="s">
        <v>114</v>
      </c>
      <c r="M55" s="75"/>
      <c r="N55" s="73"/>
      <c r="O55" s="15"/>
    </row>
    <row r="56" spans="1:15" x14ac:dyDescent="0.25">
      <c r="A56" s="16">
        <v>21155</v>
      </c>
      <c r="B56" s="102">
        <v>400</v>
      </c>
      <c r="C56" s="17"/>
      <c r="D56" s="13">
        <v>21230</v>
      </c>
      <c r="E56" s="70">
        <v>500</v>
      </c>
      <c r="F56" s="23"/>
      <c r="G56" s="9">
        <v>21276</v>
      </c>
      <c r="H56" s="76">
        <v>1800</v>
      </c>
      <c r="I56" s="10" t="s">
        <v>89</v>
      </c>
      <c r="J56" s="53">
        <v>21341</v>
      </c>
      <c r="K56" s="72">
        <v>250</v>
      </c>
      <c r="L56" s="54"/>
      <c r="M56" s="75"/>
      <c r="N56" s="73"/>
      <c r="O56" s="15"/>
    </row>
    <row r="57" spans="1:15" x14ac:dyDescent="0.25">
      <c r="A57" s="16">
        <v>21156</v>
      </c>
      <c r="B57" s="102">
        <v>250</v>
      </c>
      <c r="C57" s="17"/>
      <c r="D57" s="13">
        <v>21231</v>
      </c>
      <c r="E57" s="70">
        <v>500</v>
      </c>
      <c r="F57" s="23"/>
      <c r="G57" s="9"/>
      <c r="H57" s="76"/>
      <c r="I57" s="10" t="s">
        <v>29</v>
      </c>
      <c r="J57" s="53">
        <v>21342</v>
      </c>
      <c r="K57" s="72">
        <v>900</v>
      </c>
      <c r="L57" s="54" t="s">
        <v>98</v>
      </c>
      <c r="M57" s="75"/>
      <c r="N57" s="73"/>
      <c r="O57" s="15"/>
    </row>
    <row r="58" spans="1:15" x14ac:dyDescent="0.25">
      <c r="A58" s="16">
        <v>21157</v>
      </c>
      <c r="B58" s="102">
        <v>400</v>
      </c>
      <c r="C58" s="17"/>
      <c r="D58" s="13">
        <v>21232</v>
      </c>
      <c r="E58" s="70">
        <v>500</v>
      </c>
      <c r="F58" s="14"/>
      <c r="G58" s="9">
        <v>21277</v>
      </c>
      <c r="H58" s="76">
        <v>300</v>
      </c>
      <c r="I58" s="10" t="s">
        <v>90</v>
      </c>
      <c r="J58" s="53"/>
      <c r="K58" s="72"/>
      <c r="L58" s="54" t="s">
        <v>29</v>
      </c>
      <c r="M58" s="75"/>
      <c r="N58" s="73"/>
      <c r="O58" s="15"/>
    </row>
    <row r="59" spans="1:15" x14ac:dyDescent="0.25">
      <c r="A59" s="16">
        <v>21158</v>
      </c>
      <c r="B59" s="102">
        <v>500</v>
      </c>
      <c r="C59" s="17"/>
      <c r="D59" s="13">
        <v>21233</v>
      </c>
      <c r="E59" s="70">
        <v>550</v>
      </c>
      <c r="F59" s="14" t="s">
        <v>63</v>
      </c>
      <c r="G59" s="9">
        <v>21278</v>
      </c>
      <c r="H59" s="76">
        <v>500</v>
      </c>
      <c r="I59" s="10"/>
      <c r="J59" s="53">
        <v>21343</v>
      </c>
      <c r="K59" s="72">
        <v>250</v>
      </c>
      <c r="L59" s="54"/>
      <c r="M59" s="75"/>
      <c r="N59" s="73"/>
      <c r="O59" s="15"/>
    </row>
    <row r="60" spans="1:15" x14ac:dyDescent="0.25">
      <c r="A60" s="16">
        <v>21159</v>
      </c>
      <c r="B60" s="102">
        <v>500</v>
      </c>
      <c r="C60" s="17"/>
      <c r="D60" s="13">
        <v>21234</v>
      </c>
      <c r="E60" s="70">
        <v>800</v>
      </c>
      <c r="F60" s="23" t="s">
        <v>20</v>
      </c>
      <c r="G60" s="9">
        <v>21279</v>
      </c>
      <c r="H60" s="76">
        <v>900</v>
      </c>
      <c r="I60" s="10" t="s">
        <v>70</v>
      </c>
      <c r="J60" s="53">
        <v>21344</v>
      </c>
      <c r="K60" s="72">
        <v>250</v>
      </c>
      <c r="L60" s="54"/>
      <c r="M60" s="75"/>
      <c r="N60" s="73"/>
      <c r="O60" s="15"/>
    </row>
    <row r="61" spans="1:15" x14ac:dyDescent="0.25">
      <c r="A61" s="16">
        <v>21160</v>
      </c>
      <c r="B61" s="102">
        <v>500</v>
      </c>
      <c r="C61" s="17"/>
      <c r="D61" s="13"/>
      <c r="E61" s="70"/>
      <c r="F61" s="14" t="s">
        <v>25</v>
      </c>
      <c r="G61" s="9"/>
      <c r="H61" s="76"/>
      <c r="I61" s="104">
        <v>500</v>
      </c>
      <c r="J61" s="53">
        <v>21345</v>
      </c>
      <c r="K61" s="72">
        <v>250</v>
      </c>
      <c r="L61" s="54"/>
      <c r="M61" s="75"/>
      <c r="N61" s="73"/>
      <c r="O61" s="15"/>
    </row>
    <row r="62" spans="1:15" x14ac:dyDescent="0.25">
      <c r="A62" s="16">
        <v>21161</v>
      </c>
      <c r="B62" s="102">
        <v>500</v>
      </c>
      <c r="C62" s="17"/>
      <c r="D62" s="13">
        <v>21235</v>
      </c>
      <c r="E62" s="70">
        <v>500</v>
      </c>
      <c r="F62" s="14"/>
      <c r="G62" s="9">
        <v>21280</v>
      </c>
      <c r="H62" s="76">
        <v>350</v>
      </c>
      <c r="I62" s="10" t="s">
        <v>91</v>
      </c>
      <c r="J62" s="53">
        <v>21346</v>
      </c>
      <c r="K62" s="72">
        <v>300</v>
      </c>
      <c r="L62" s="54"/>
      <c r="M62" s="75"/>
      <c r="N62" s="73"/>
      <c r="O62" s="15"/>
    </row>
    <row r="63" spans="1:15" x14ac:dyDescent="0.25">
      <c r="A63" s="16">
        <v>21162</v>
      </c>
      <c r="B63" s="102">
        <v>250</v>
      </c>
      <c r="C63" s="17" t="s">
        <v>36</v>
      </c>
      <c r="D63" s="13">
        <v>21236</v>
      </c>
      <c r="E63" s="70">
        <v>1000</v>
      </c>
      <c r="F63" s="14" t="s">
        <v>20</v>
      </c>
      <c r="G63" s="9">
        <v>21281</v>
      </c>
      <c r="H63" s="76">
        <v>900</v>
      </c>
      <c r="I63" s="10" t="s">
        <v>70</v>
      </c>
      <c r="J63" s="53">
        <v>21347</v>
      </c>
      <c r="K63" s="72">
        <v>500</v>
      </c>
      <c r="L63" s="54"/>
      <c r="M63" s="75"/>
      <c r="N63" s="73"/>
      <c r="O63" s="15"/>
    </row>
    <row r="64" spans="1:15" x14ac:dyDescent="0.25">
      <c r="A64" s="16">
        <v>21163</v>
      </c>
      <c r="B64" s="102">
        <v>500</v>
      </c>
      <c r="C64" s="17"/>
      <c r="D64" s="13"/>
      <c r="E64" s="70"/>
      <c r="F64" s="14" t="s">
        <v>18</v>
      </c>
      <c r="G64" s="9"/>
      <c r="H64" s="76"/>
      <c r="I64" s="104">
        <v>500</v>
      </c>
      <c r="J64" s="53">
        <v>21348</v>
      </c>
      <c r="K64" s="72">
        <v>250</v>
      </c>
      <c r="L64" s="54"/>
      <c r="M64" s="75"/>
      <c r="N64" s="73"/>
      <c r="O64" s="15"/>
    </row>
    <row r="65" spans="1:15" x14ac:dyDescent="0.25">
      <c r="A65" s="16">
        <v>21164</v>
      </c>
      <c r="B65" s="102">
        <v>500</v>
      </c>
      <c r="C65" s="17" t="s">
        <v>37</v>
      </c>
      <c r="D65" s="13">
        <v>21237</v>
      </c>
      <c r="E65" s="70">
        <v>300</v>
      </c>
      <c r="F65" s="14"/>
      <c r="G65" s="9">
        <v>21282</v>
      </c>
      <c r="H65" s="76">
        <v>500</v>
      </c>
      <c r="I65" s="104"/>
      <c r="J65" s="53">
        <v>21349</v>
      </c>
      <c r="K65" s="72">
        <v>1000</v>
      </c>
      <c r="L65" s="54" t="s">
        <v>97</v>
      </c>
      <c r="M65" s="75"/>
      <c r="N65" s="73"/>
      <c r="O65" s="15"/>
    </row>
    <row r="66" spans="1:15" x14ac:dyDescent="0.25">
      <c r="A66" s="16"/>
      <c r="B66" s="102"/>
      <c r="C66" s="17" t="s">
        <v>22</v>
      </c>
      <c r="D66" s="13">
        <v>21238</v>
      </c>
      <c r="E66" s="70">
        <v>500</v>
      </c>
      <c r="F66" s="14" t="s">
        <v>20</v>
      </c>
      <c r="G66" s="9">
        <v>21283</v>
      </c>
      <c r="H66" s="76">
        <v>900</v>
      </c>
      <c r="I66" s="10" t="s">
        <v>70</v>
      </c>
      <c r="J66" s="53"/>
      <c r="K66" s="72"/>
      <c r="L66" s="54" t="s">
        <v>18</v>
      </c>
      <c r="M66" s="75"/>
      <c r="N66" s="73"/>
      <c r="O66" s="15"/>
    </row>
    <row r="67" spans="1:15" x14ac:dyDescent="0.25">
      <c r="A67" s="16">
        <v>21165</v>
      </c>
      <c r="B67" s="102">
        <v>600</v>
      </c>
      <c r="C67" s="17"/>
      <c r="D67" s="13"/>
      <c r="E67" s="70"/>
      <c r="F67" s="14" t="s">
        <v>22</v>
      </c>
      <c r="G67" s="9"/>
      <c r="H67" s="76"/>
      <c r="I67" s="104">
        <v>500</v>
      </c>
      <c r="J67" s="50">
        <v>21350</v>
      </c>
      <c r="K67" s="78">
        <v>5500</v>
      </c>
      <c r="L67" s="51" t="s">
        <v>72</v>
      </c>
      <c r="M67" s="75"/>
      <c r="N67" s="73"/>
      <c r="O67" s="15"/>
    </row>
    <row r="68" spans="1:15" x14ac:dyDescent="0.25">
      <c r="A68" s="16">
        <v>21166</v>
      </c>
      <c r="B68" s="102">
        <v>500</v>
      </c>
      <c r="C68" s="17"/>
      <c r="D68" s="13">
        <v>21239</v>
      </c>
      <c r="E68" s="70">
        <v>250</v>
      </c>
      <c r="F68" s="14" t="s">
        <v>64</v>
      </c>
      <c r="G68" s="9">
        <v>21284</v>
      </c>
      <c r="H68" s="76">
        <v>500</v>
      </c>
      <c r="I68" s="10"/>
      <c r="J68" s="50"/>
      <c r="K68" s="78"/>
      <c r="L68" s="51" t="s">
        <v>18</v>
      </c>
      <c r="M68" s="75"/>
      <c r="N68" s="73"/>
      <c r="O68" s="15"/>
    </row>
    <row r="69" spans="1:15" x14ac:dyDescent="0.25">
      <c r="A69" s="16">
        <v>21167</v>
      </c>
      <c r="B69" s="102">
        <v>300</v>
      </c>
      <c r="C69" s="17"/>
      <c r="D69" s="13">
        <v>21240</v>
      </c>
      <c r="E69" s="70">
        <v>300</v>
      </c>
      <c r="F69" s="14"/>
      <c r="G69" s="9">
        <v>21285</v>
      </c>
      <c r="H69" s="76">
        <v>800</v>
      </c>
      <c r="I69" s="10" t="s">
        <v>84</v>
      </c>
      <c r="J69" s="50"/>
      <c r="K69" s="78"/>
      <c r="L69" s="51" t="s">
        <v>50</v>
      </c>
      <c r="M69" s="75"/>
      <c r="N69" s="73"/>
      <c r="O69" s="15"/>
    </row>
    <row r="70" spans="1:15" x14ac:dyDescent="0.25">
      <c r="A70" s="16">
        <v>21168</v>
      </c>
      <c r="B70" s="102">
        <v>400</v>
      </c>
      <c r="C70" s="17"/>
      <c r="D70" s="13">
        <v>21241</v>
      </c>
      <c r="E70" s="70">
        <v>500</v>
      </c>
      <c r="F70" s="14"/>
      <c r="G70" s="9"/>
      <c r="H70" s="76"/>
      <c r="I70" s="10" t="s">
        <v>25</v>
      </c>
      <c r="J70" s="50">
        <v>21351</v>
      </c>
      <c r="K70" s="78">
        <v>600</v>
      </c>
      <c r="L70" s="51" t="s">
        <v>115</v>
      </c>
      <c r="M70" s="75"/>
      <c r="N70" s="73"/>
      <c r="O70" s="15"/>
    </row>
    <row r="71" spans="1:15" x14ac:dyDescent="0.25">
      <c r="A71" s="16">
        <v>21169</v>
      </c>
      <c r="B71" s="102">
        <v>500</v>
      </c>
      <c r="C71" s="17"/>
      <c r="D71" s="13">
        <v>21242</v>
      </c>
      <c r="E71" s="70">
        <v>500</v>
      </c>
      <c r="F71" s="14"/>
      <c r="G71" s="9">
        <v>21286</v>
      </c>
      <c r="H71" s="76">
        <v>500</v>
      </c>
      <c r="I71" s="10"/>
      <c r="J71" s="50"/>
      <c r="K71" s="78"/>
      <c r="L71" s="51" t="s">
        <v>29</v>
      </c>
      <c r="M71" s="75"/>
      <c r="N71" s="73"/>
      <c r="O71" s="15"/>
    </row>
    <row r="72" spans="1:15" x14ac:dyDescent="0.25">
      <c r="A72" s="16">
        <v>21170</v>
      </c>
      <c r="B72" s="102">
        <v>300</v>
      </c>
      <c r="C72" s="17"/>
      <c r="D72" s="13">
        <v>21243</v>
      </c>
      <c r="E72" s="70">
        <v>900</v>
      </c>
      <c r="F72" s="14" t="s">
        <v>65</v>
      </c>
      <c r="G72" s="9">
        <v>21287</v>
      </c>
      <c r="H72" s="76"/>
      <c r="I72" s="10" t="s">
        <v>85</v>
      </c>
      <c r="J72" s="50">
        <v>21352</v>
      </c>
      <c r="K72" s="78">
        <v>300</v>
      </c>
      <c r="L72" s="51"/>
      <c r="M72" s="75"/>
      <c r="N72" s="73"/>
      <c r="O72" s="15"/>
    </row>
    <row r="73" spans="1:15" x14ac:dyDescent="0.25">
      <c r="A73" s="16">
        <v>21171</v>
      </c>
      <c r="B73" s="102">
        <v>450</v>
      </c>
      <c r="C73" s="17" t="s">
        <v>38</v>
      </c>
      <c r="D73" s="13"/>
      <c r="E73" s="70"/>
      <c r="F73" s="14" t="s">
        <v>40</v>
      </c>
      <c r="G73" s="9">
        <v>21288</v>
      </c>
      <c r="H73" s="76">
        <v>250</v>
      </c>
      <c r="I73" s="10"/>
      <c r="J73" s="50">
        <v>21353</v>
      </c>
      <c r="K73" s="78">
        <v>500</v>
      </c>
      <c r="L73" s="51" t="s">
        <v>116</v>
      </c>
      <c r="M73" s="75"/>
      <c r="N73" s="73"/>
      <c r="O73" s="15"/>
    </row>
    <row r="74" spans="1:15" x14ac:dyDescent="0.25">
      <c r="A74" s="16"/>
      <c r="B74" s="102"/>
      <c r="C74" s="17" t="s">
        <v>49</v>
      </c>
      <c r="D74" s="13">
        <v>21244</v>
      </c>
      <c r="E74" s="70">
        <v>900</v>
      </c>
      <c r="F74" s="14" t="s">
        <v>65</v>
      </c>
      <c r="G74" s="9">
        <v>21289</v>
      </c>
      <c r="H74" s="76">
        <v>900</v>
      </c>
      <c r="I74" s="10" t="s">
        <v>70</v>
      </c>
      <c r="J74" s="50"/>
      <c r="K74" s="78"/>
      <c r="L74" s="51" t="s">
        <v>22</v>
      </c>
      <c r="M74" s="75"/>
      <c r="N74" s="73"/>
      <c r="O74" s="15"/>
    </row>
    <row r="75" spans="1:15" x14ac:dyDescent="0.25">
      <c r="A75" s="16">
        <v>21172</v>
      </c>
      <c r="B75" s="102">
        <v>200</v>
      </c>
      <c r="C75" s="17"/>
      <c r="D75" s="13"/>
      <c r="E75" s="70"/>
      <c r="F75" s="14" t="s">
        <v>40</v>
      </c>
      <c r="G75" s="9"/>
      <c r="H75" s="76"/>
      <c r="I75" s="104">
        <v>500</v>
      </c>
      <c r="J75" s="50">
        <v>21354</v>
      </c>
      <c r="K75" s="78">
        <v>400</v>
      </c>
      <c r="L75" s="51" t="s">
        <v>117</v>
      </c>
      <c r="M75" s="75"/>
      <c r="N75" s="73"/>
      <c r="O75" s="15"/>
    </row>
    <row r="76" spans="1:15" x14ac:dyDescent="0.25">
      <c r="A76" s="16">
        <v>21173</v>
      </c>
      <c r="B76" s="102">
        <v>900</v>
      </c>
      <c r="C76" s="17" t="s">
        <v>39</v>
      </c>
      <c r="D76" s="13">
        <v>21245</v>
      </c>
      <c r="E76" s="70">
        <v>500</v>
      </c>
      <c r="F76" s="14"/>
      <c r="G76" s="9">
        <v>21290</v>
      </c>
      <c r="H76" s="76">
        <v>1050</v>
      </c>
      <c r="I76" s="10" t="s">
        <v>92</v>
      </c>
      <c r="J76" s="50">
        <v>21355</v>
      </c>
      <c r="K76" s="78">
        <v>500</v>
      </c>
      <c r="L76" s="51"/>
      <c r="M76" s="75"/>
      <c r="N76" s="73"/>
      <c r="O76" s="15"/>
    </row>
    <row r="77" spans="1:15" x14ac:dyDescent="0.25">
      <c r="A77" s="16"/>
      <c r="B77" s="102"/>
      <c r="C77" s="17" t="s">
        <v>40</v>
      </c>
      <c r="D77" s="13">
        <v>21246</v>
      </c>
      <c r="E77" s="70">
        <v>3000</v>
      </c>
      <c r="F77" s="14" t="s">
        <v>66</v>
      </c>
      <c r="G77" s="9"/>
      <c r="H77" s="76"/>
      <c r="I77" s="10" t="s">
        <v>93</v>
      </c>
      <c r="J77" s="50">
        <v>21356</v>
      </c>
      <c r="K77" s="78">
        <v>5500</v>
      </c>
      <c r="L77" s="51" t="s">
        <v>72</v>
      </c>
      <c r="M77" s="75"/>
      <c r="N77" s="73"/>
      <c r="O77" s="15"/>
    </row>
    <row r="78" spans="1:15" x14ac:dyDescent="0.25">
      <c r="A78" s="16">
        <v>21174</v>
      </c>
      <c r="B78" s="102">
        <v>400</v>
      </c>
      <c r="C78" s="17" t="s">
        <v>16</v>
      </c>
      <c r="D78" s="13"/>
      <c r="E78" s="70"/>
      <c r="F78" s="14" t="s">
        <v>67</v>
      </c>
      <c r="G78" s="9"/>
      <c r="H78" s="76"/>
      <c r="I78" s="104">
        <v>250</v>
      </c>
      <c r="J78" s="50"/>
      <c r="K78" s="78"/>
      <c r="L78" s="51" t="s">
        <v>18</v>
      </c>
      <c r="M78" s="75"/>
      <c r="N78" s="73"/>
      <c r="O78" s="15"/>
    </row>
    <row r="79" spans="1:15" x14ac:dyDescent="0.25">
      <c r="A79" s="16">
        <v>21175</v>
      </c>
      <c r="B79" s="102">
        <v>500</v>
      </c>
      <c r="C79" s="17"/>
      <c r="D79" s="13">
        <v>21247</v>
      </c>
      <c r="E79" s="70">
        <v>400</v>
      </c>
      <c r="F79" s="14"/>
      <c r="G79" s="9">
        <v>21291</v>
      </c>
      <c r="H79" s="76">
        <v>500</v>
      </c>
      <c r="I79" s="10"/>
      <c r="J79" s="50"/>
      <c r="K79" s="78"/>
      <c r="L79" s="51" t="s">
        <v>50</v>
      </c>
      <c r="M79" s="75"/>
      <c r="N79" s="73"/>
      <c r="O79" s="15"/>
    </row>
    <row r="80" spans="1:15" x14ac:dyDescent="0.25">
      <c r="A80" s="16">
        <v>21176</v>
      </c>
      <c r="B80" s="102">
        <v>500</v>
      </c>
      <c r="C80" s="17"/>
      <c r="D80" s="13">
        <v>21248</v>
      </c>
      <c r="E80" s="70">
        <v>1200</v>
      </c>
      <c r="F80" s="14" t="s">
        <v>68</v>
      </c>
      <c r="G80" s="9">
        <v>21292</v>
      </c>
      <c r="H80" s="76">
        <v>900</v>
      </c>
      <c r="I80" s="10" t="s">
        <v>70</v>
      </c>
      <c r="J80" s="50"/>
      <c r="K80" s="78"/>
      <c r="L80" s="51" t="s">
        <v>118</v>
      </c>
      <c r="M80" s="75"/>
      <c r="N80" s="73"/>
      <c r="O80" s="15"/>
    </row>
    <row r="81" spans="1:15" x14ac:dyDescent="0.25">
      <c r="A81" s="16">
        <v>21177</v>
      </c>
      <c r="B81" s="102">
        <v>300</v>
      </c>
      <c r="C81" s="17" t="s">
        <v>41</v>
      </c>
      <c r="D81" s="13"/>
      <c r="E81" s="70"/>
      <c r="F81" s="14" t="s">
        <v>25</v>
      </c>
      <c r="G81" s="9"/>
      <c r="H81" s="76"/>
      <c r="I81" s="104">
        <v>500</v>
      </c>
      <c r="J81" s="50">
        <v>21357</v>
      </c>
      <c r="K81" s="78"/>
      <c r="L81" s="51" t="s">
        <v>85</v>
      </c>
      <c r="M81" s="75"/>
      <c r="N81" s="73"/>
      <c r="O81" s="15"/>
    </row>
    <row r="82" spans="1:15" x14ac:dyDescent="0.25">
      <c r="A82" s="16">
        <v>21178</v>
      </c>
      <c r="B82" s="102">
        <v>500</v>
      </c>
      <c r="C82" s="17"/>
      <c r="D82" s="13">
        <v>21249</v>
      </c>
      <c r="E82" s="70">
        <v>500</v>
      </c>
      <c r="F82" s="14" t="s">
        <v>20</v>
      </c>
      <c r="G82" s="9">
        <v>21293</v>
      </c>
      <c r="H82" s="76">
        <v>400</v>
      </c>
      <c r="I82" s="10" t="s">
        <v>16</v>
      </c>
      <c r="J82" s="50">
        <v>21358</v>
      </c>
      <c r="K82" s="78">
        <v>600</v>
      </c>
      <c r="L82" s="51" t="s">
        <v>20</v>
      </c>
      <c r="M82" s="75"/>
      <c r="N82" s="73"/>
      <c r="O82" s="15"/>
    </row>
    <row r="83" spans="1:15" x14ac:dyDescent="0.25">
      <c r="A83" s="16">
        <v>21179</v>
      </c>
      <c r="B83" s="102">
        <v>500</v>
      </c>
      <c r="C83" s="17"/>
      <c r="D83" s="13"/>
      <c r="E83" s="70"/>
      <c r="F83" s="14" t="s">
        <v>22</v>
      </c>
      <c r="G83" s="9">
        <v>21294</v>
      </c>
      <c r="H83" s="119">
        <v>1000</v>
      </c>
      <c r="I83" s="10" t="s">
        <v>76</v>
      </c>
      <c r="J83" s="50"/>
      <c r="K83" s="78"/>
      <c r="L83" s="51" t="s">
        <v>29</v>
      </c>
      <c r="M83" s="75"/>
      <c r="N83" s="73"/>
      <c r="O83" s="15"/>
    </row>
    <row r="84" spans="1:15" x14ac:dyDescent="0.25">
      <c r="A84" s="16">
        <v>21180</v>
      </c>
      <c r="B84" s="102">
        <v>400</v>
      </c>
      <c r="C84" s="115" t="s">
        <v>23</v>
      </c>
      <c r="D84" s="13">
        <v>21250</v>
      </c>
      <c r="E84" s="70">
        <v>900</v>
      </c>
      <c r="F84" s="14" t="s">
        <v>65</v>
      </c>
      <c r="G84" s="9"/>
      <c r="H84" s="76"/>
      <c r="I84" s="10" t="s">
        <v>18</v>
      </c>
      <c r="J84" s="50">
        <v>21359</v>
      </c>
      <c r="K84" s="78">
        <v>600</v>
      </c>
      <c r="L84" s="51" t="s">
        <v>59</v>
      </c>
      <c r="M84" s="75"/>
      <c r="N84" s="73"/>
      <c r="O84" s="15"/>
    </row>
    <row r="85" spans="1:15" x14ac:dyDescent="0.25">
      <c r="A85" s="16">
        <v>21181</v>
      </c>
      <c r="B85" s="102">
        <v>500</v>
      </c>
      <c r="C85" s="17"/>
      <c r="D85" s="13"/>
      <c r="E85" s="70"/>
      <c r="F85" s="14" t="s">
        <v>40</v>
      </c>
      <c r="G85" s="9">
        <v>21295</v>
      </c>
      <c r="H85" s="76">
        <v>600</v>
      </c>
      <c r="I85" s="10" t="s">
        <v>76</v>
      </c>
      <c r="J85" s="50"/>
      <c r="K85" s="78"/>
      <c r="L85" s="51" t="s">
        <v>29</v>
      </c>
      <c r="M85" s="75"/>
      <c r="N85" s="73"/>
      <c r="O85" s="15"/>
    </row>
    <row r="86" spans="1:15" x14ac:dyDescent="0.25">
      <c r="A86" s="16">
        <v>21182</v>
      </c>
      <c r="B86" s="102">
        <v>550</v>
      </c>
      <c r="C86" s="17" t="s">
        <v>31</v>
      </c>
      <c r="D86" s="13"/>
      <c r="E86" s="70"/>
      <c r="F86" s="14"/>
      <c r="G86" s="9"/>
      <c r="H86" s="76"/>
      <c r="I86" s="10" t="s">
        <v>29</v>
      </c>
      <c r="J86" s="50">
        <v>21360</v>
      </c>
      <c r="K86" s="78">
        <v>800</v>
      </c>
      <c r="L86" s="51" t="s">
        <v>119</v>
      </c>
      <c r="M86" s="75"/>
      <c r="N86" s="73"/>
      <c r="O86" s="15"/>
    </row>
    <row r="87" spans="1:15" x14ac:dyDescent="0.25">
      <c r="A87" s="16"/>
      <c r="B87" s="102"/>
      <c r="C87" s="17" t="s">
        <v>42</v>
      </c>
      <c r="D87" s="13"/>
      <c r="E87" s="70"/>
      <c r="F87" s="14"/>
      <c r="G87" s="9">
        <v>21296</v>
      </c>
      <c r="H87" s="76">
        <v>1200</v>
      </c>
      <c r="I87" s="10" t="s">
        <v>68</v>
      </c>
      <c r="J87" s="50"/>
      <c r="K87" s="78"/>
      <c r="L87" s="51" t="s">
        <v>120</v>
      </c>
      <c r="M87" s="75"/>
      <c r="N87" s="73"/>
      <c r="O87" s="15"/>
    </row>
    <row r="88" spans="1:15" x14ac:dyDescent="0.25">
      <c r="A88" s="16">
        <v>21183</v>
      </c>
      <c r="B88" s="102">
        <v>500</v>
      </c>
      <c r="C88" s="17"/>
      <c r="D88" s="13"/>
      <c r="E88" s="70"/>
      <c r="F88" s="14"/>
      <c r="G88" s="9"/>
      <c r="H88" s="76"/>
      <c r="I88" s="104" t="s">
        <v>25</v>
      </c>
      <c r="J88" s="50"/>
      <c r="K88" s="78"/>
      <c r="L88" s="51"/>
      <c r="M88" s="75"/>
      <c r="N88" s="73"/>
      <c r="O88" s="15"/>
    </row>
    <row r="89" spans="1:15" x14ac:dyDescent="0.25">
      <c r="A89" s="16">
        <v>21184</v>
      </c>
      <c r="B89" s="102">
        <v>400</v>
      </c>
      <c r="C89" s="17"/>
      <c r="D89" s="13"/>
      <c r="E89" s="70"/>
      <c r="F89" s="14"/>
      <c r="G89" s="9">
        <v>21297</v>
      </c>
      <c r="H89" s="76">
        <v>800</v>
      </c>
      <c r="I89" s="10" t="s">
        <v>84</v>
      </c>
      <c r="J89" s="50"/>
      <c r="K89" s="78"/>
      <c r="L89" s="51"/>
      <c r="M89" s="75"/>
      <c r="N89" s="73"/>
      <c r="O89" s="15"/>
    </row>
    <row r="90" spans="1:15" x14ac:dyDescent="0.25">
      <c r="A90" s="16">
        <v>21185</v>
      </c>
      <c r="B90" s="102">
        <v>500</v>
      </c>
      <c r="C90" s="17"/>
      <c r="D90" s="13"/>
      <c r="E90" s="70"/>
      <c r="F90" s="14"/>
      <c r="G90" s="9"/>
      <c r="H90" s="76"/>
      <c r="I90" s="10" t="s">
        <v>25</v>
      </c>
      <c r="J90" s="50"/>
      <c r="K90" s="78"/>
      <c r="L90" s="51"/>
      <c r="M90" s="75"/>
      <c r="N90" s="73"/>
      <c r="O90" s="15"/>
    </row>
    <row r="91" spans="1:15" x14ac:dyDescent="0.25">
      <c r="A91" s="16">
        <v>21186</v>
      </c>
      <c r="B91" s="102">
        <v>300</v>
      </c>
      <c r="C91" s="17"/>
      <c r="D91" s="13"/>
      <c r="E91" s="70"/>
      <c r="F91" s="14"/>
      <c r="G91" s="9">
        <v>21298</v>
      </c>
      <c r="H91" s="76">
        <v>600</v>
      </c>
      <c r="I91" s="10" t="s">
        <v>94</v>
      </c>
      <c r="J91" s="50"/>
      <c r="K91" s="78"/>
      <c r="L91" s="51"/>
      <c r="M91" s="75"/>
      <c r="N91" s="73"/>
      <c r="O91" s="15"/>
    </row>
    <row r="92" spans="1:15" x14ac:dyDescent="0.25">
      <c r="A92" s="16">
        <v>21187</v>
      </c>
      <c r="B92" s="102">
        <v>800</v>
      </c>
      <c r="C92" s="17" t="s">
        <v>43</v>
      </c>
      <c r="D92" s="13"/>
      <c r="E92" s="70"/>
      <c r="F92" s="14"/>
      <c r="G92" s="9">
        <v>21299</v>
      </c>
      <c r="H92" s="76">
        <v>400</v>
      </c>
      <c r="I92" s="10"/>
      <c r="J92" s="50"/>
      <c r="K92" s="78"/>
      <c r="L92" s="51"/>
      <c r="M92" s="75"/>
      <c r="N92" s="73"/>
      <c r="O92" s="15"/>
    </row>
    <row r="93" spans="1:15" x14ac:dyDescent="0.25">
      <c r="A93" s="16"/>
      <c r="B93" s="102"/>
      <c r="C93" s="17" t="s">
        <v>25</v>
      </c>
      <c r="D93" s="13"/>
      <c r="E93" s="70"/>
      <c r="F93" s="14"/>
      <c r="G93" s="9">
        <v>21300</v>
      </c>
      <c r="H93" s="76"/>
      <c r="I93" s="10" t="s">
        <v>85</v>
      </c>
      <c r="J93" s="50"/>
      <c r="K93" s="78"/>
      <c r="L93" s="51"/>
      <c r="M93" s="75"/>
      <c r="N93" s="73"/>
      <c r="O93" s="15"/>
    </row>
    <row r="94" spans="1:15" x14ac:dyDescent="0.25">
      <c r="A94" s="16">
        <v>21188</v>
      </c>
      <c r="B94" s="102">
        <v>2200</v>
      </c>
      <c r="C94" s="17" t="s">
        <v>17</v>
      </c>
      <c r="D94" s="13"/>
      <c r="E94" s="70"/>
      <c r="F94" s="14"/>
      <c r="G94" s="9">
        <v>21301</v>
      </c>
      <c r="H94" s="76">
        <v>500</v>
      </c>
      <c r="I94" s="10"/>
      <c r="J94" s="50"/>
      <c r="K94" s="78"/>
      <c r="L94" s="51"/>
      <c r="M94" s="75"/>
      <c r="N94" s="73"/>
      <c r="O94" s="15"/>
    </row>
    <row r="95" spans="1:15" x14ac:dyDescent="0.25">
      <c r="A95" s="16"/>
      <c r="B95" s="102"/>
      <c r="C95" s="85" t="s">
        <v>44</v>
      </c>
      <c r="D95" s="13"/>
      <c r="E95" s="70"/>
      <c r="F95" s="14"/>
      <c r="G95" s="9">
        <v>21302</v>
      </c>
      <c r="H95" s="76">
        <v>500</v>
      </c>
      <c r="I95" s="10"/>
      <c r="J95" s="50"/>
      <c r="K95" s="78"/>
      <c r="L95" s="51"/>
      <c r="M95" s="75"/>
      <c r="N95" s="73"/>
      <c r="O95" s="15"/>
    </row>
    <row r="96" spans="1:15" x14ac:dyDescent="0.25">
      <c r="A96" s="16">
        <v>21189</v>
      </c>
      <c r="B96" s="102">
        <v>800</v>
      </c>
      <c r="C96" s="17" t="s">
        <v>45</v>
      </c>
      <c r="D96" s="13"/>
      <c r="E96" s="70"/>
      <c r="F96" s="14"/>
      <c r="G96" s="9">
        <v>21303</v>
      </c>
      <c r="H96" s="76">
        <v>250</v>
      </c>
      <c r="I96" s="10"/>
      <c r="J96" s="50"/>
      <c r="K96" s="78"/>
      <c r="L96" s="51"/>
      <c r="M96" s="75"/>
      <c r="N96" s="73"/>
      <c r="O96" s="15"/>
    </row>
    <row r="97" spans="1:15" x14ac:dyDescent="0.25">
      <c r="A97" s="16"/>
      <c r="B97" s="102"/>
      <c r="C97" s="17" t="s">
        <v>25</v>
      </c>
      <c r="D97" s="13"/>
      <c r="E97" s="70"/>
      <c r="F97" s="14"/>
      <c r="G97" s="9">
        <v>21304</v>
      </c>
      <c r="H97" s="76">
        <v>300</v>
      </c>
      <c r="I97" s="10"/>
      <c r="J97" s="50"/>
      <c r="K97" s="78"/>
      <c r="L97" s="51"/>
      <c r="M97" s="75"/>
      <c r="N97" s="73"/>
      <c r="O97" s="15"/>
    </row>
    <row r="98" spans="1:15" x14ac:dyDescent="0.25">
      <c r="A98" s="16">
        <v>21190</v>
      </c>
      <c r="B98" s="102">
        <v>1050</v>
      </c>
      <c r="C98" s="17" t="s">
        <v>46</v>
      </c>
      <c r="D98" s="13"/>
      <c r="E98" s="70"/>
      <c r="F98" s="14"/>
      <c r="G98" s="9">
        <v>21305</v>
      </c>
      <c r="H98" s="76">
        <v>500</v>
      </c>
      <c r="I98" s="10"/>
      <c r="J98" s="50"/>
      <c r="K98" s="78"/>
      <c r="L98" s="51"/>
      <c r="M98" s="75"/>
      <c r="N98" s="73"/>
      <c r="O98" s="15"/>
    </row>
    <row r="99" spans="1:15" x14ac:dyDescent="0.25">
      <c r="A99" s="16"/>
      <c r="B99" s="102"/>
      <c r="C99" s="17" t="s">
        <v>47</v>
      </c>
      <c r="D99" s="13"/>
      <c r="E99" s="70"/>
      <c r="F99" s="14"/>
      <c r="G99" s="9">
        <v>21306</v>
      </c>
      <c r="H99" s="76"/>
      <c r="I99" s="10" t="s">
        <v>85</v>
      </c>
      <c r="J99" s="50"/>
      <c r="K99" s="78"/>
      <c r="L99" s="51"/>
      <c r="M99" s="75"/>
      <c r="N99" s="73"/>
      <c r="O99" s="15"/>
    </row>
    <row r="100" spans="1:15" x14ac:dyDescent="0.25">
      <c r="A100" s="16">
        <v>21191</v>
      </c>
      <c r="B100" s="102">
        <v>500</v>
      </c>
      <c r="C100" s="17" t="s">
        <v>48</v>
      </c>
      <c r="D100" s="13"/>
      <c r="E100" s="70"/>
      <c r="F100" s="14"/>
      <c r="G100" s="9">
        <v>21307</v>
      </c>
      <c r="H100" s="76">
        <v>400</v>
      </c>
      <c r="I100" s="10" t="s">
        <v>23</v>
      </c>
      <c r="J100" s="50"/>
      <c r="K100" s="78"/>
      <c r="L100" s="51"/>
      <c r="M100" s="75"/>
      <c r="N100" s="73"/>
      <c r="O100" s="15"/>
    </row>
    <row r="101" spans="1:15" x14ac:dyDescent="0.25">
      <c r="A101" s="16"/>
      <c r="B101" s="102"/>
      <c r="C101" s="17" t="s">
        <v>35</v>
      </c>
      <c r="D101" s="13"/>
      <c r="E101" s="70"/>
      <c r="F101" s="14"/>
      <c r="G101" s="9">
        <v>21308</v>
      </c>
      <c r="H101" s="76">
        <v>1200</v>
      </c>
      <c r="I101" s="10" t="s">
        <v>95</v>
      </c>
      <c r="J101" s="50"/>
      <c r="K101" s="78"/>
      <c r="L101" s="51"/>
      <c r="M101" s="75"/>
      <c r="N101" s="73"/>
      <c r="O101" s="15"/>
    </row>
    <row r="102" spans="1:15" x14ac:dyDescent="0.25">
      <c r="A102" s="16">
        <v>21192</v>
      </c>
      <c r="B102" s="102">
        <v>450</v>
      </c>
      <c r="C102" s="17" t="s">
        <v>38</v>
      </c>
      <c r="D102" s="13"/>
      <c r="E102" s="70"/>
      <c r="F102" s="14"/>
      <c r="G102" s="9"/>
      <c r="H102" s="76"/>
      <c r="I102" s="10" t="s">
        <v>25</v>
      </c>
      <c r="J102" s="50"/>
      <c r="K102" s="78"/>
      <c r="L102" s="51"/>
      <c r="M102" s="75"/>
      <c r="N102" s="73"/>
      <c r="O102" s="15"/>
    </row>
    <row r="103" spans="1:15" x14ac:dyDescent="0.25">
      <c r="A103" s="16"/>
      <c r="B103" s="102"/>
      <c r="C103" s="17" t="s">
        <v>49</v>
      </c>
      <c r="D103" s="13"/>
      <c r="E103" s="70"/>
      <c r="F103" s="14"/>
      <c r="G103" s="9">
        <v>21309</v>
      </c>
      <c r="H103" s="76">
        <v>400</v>
      </c>
      <c r="I103" s="10" t="s">
        <v>96</v>
      </c>
      <c r="J103" s="50"/>
      <c r="K103" s="78"/>
      <c r="L103" s="51"/>
      <c r="M103" s="75"/>
      <c r="N103" s="73"/>
      <c r="O103" s="15"/>
    </row>
    <row r="104" spans="1:15" x14ac:dyDescent="0.25">
      <c r="A104" s="16">
        <v>21193</v>
      </c>
      <c r="B104" s="102">
        <v>250</v>
      </c>
      <c r="C104" s="17"/>
      <c r="D104" s="13"/>
      <c r="E104" s="70"/>
      <c r="F104" s="14"/>
      <c r="G104" s="9"/>
      <c r="H104" s="76"/>
      <c r="I104" s="10" t="s">
        <v>44</v>
      </c>
      <c r="J104" s="50"/>
      <c r="K104" s="78"/>
      <c r="L104" s="51"/>
      <c r="M104" s="75"/>
      <c r="N104" s="73"/>
      <c r="O104" s="15"/>
    </row>
    <row r="105" spans="1:15" x14ac:dyDescent="0.25">
      <c r="A105" s="16">
        <v>21194</v>
      </c>
      <c r="B105" s="102"/>
      <c r="C105" s="17"/>
      <c r="D105" s="13"/>
      <c r="E105" s="70"/>
      <c r="F105" s="14"/>
      <c r="G105" s="9"/>
      <c r="H105" s="76"/>
      <c r="I105" s="10"/>
      <c r="J105" s="50"/>
      <c r="K105" s="78"/>
      <c r="L105" s="51"/>
      <c r="M105" s="75"/>
      <c r="N105" s="73"/>
      <c r="O105" s="15"/>
    </row>
    <row r="106" spans="1:15" x14ac:dyDescent="0.25">
      <c r="A106" s="16"/>
      <c r="B106" s="102"/>
      <c r="C106" s="17"/>
      <c r="D106" s="13"/>
      <c r="E106" s="70"/>
      <c r="F106" s="14"/>
      <c r="G106" s="9"/>
      <c r="H106" s="76"/>
      <c r="I106" s="10"/>
      <c r="J106" s="50"/>
      <c r="K106" s="78"/>
      <c r="L106" s="51"/>
      <c r="M106" s="75"/>
      <c r="N106" s="73"/>
      <c r="O106" s="15"/>
    </row>
    <row r="107" spans="1:15" x14ac:dyDescent="0.25">
      <c r="A107" s="16"/>
      <c r="B107" s="102"/>
      <c r="C107" s="17"/>
      <c r="D107" s="13"/>
      <c r="E107" s="70"/>
      <c r="F107" s="14"/>
      <c r="G107" s="9"/>
      <c r="H107" s="76"/>
      <c r="I107" s="10"/>
      <c r="J107" s="50"/>
      <c r="K107" s="78"/>
      <c r="L107" s="51"/>
      <c r="M107" s="75"/>
      <c r="N107" s="73"/>
      <c r="O107" s="15"/>
    </row>
    <row r="108" spans="1:15" x14ac:dyDescent="0.25">
      <c r="A108" s="16"/>
      <c r="B108" s="102"/>
      <c r="C108" s="17"/>
      <c r="D108" s="13"/>
      <c r="E108" s="70"/>
      <c r="F108" s="14"/>
      <c r="G108" s="9"/>
      <c r="H108" s="76"/>
      <c r="I108" s="10"/>
      <c r="J108" s="50"/>
      <c r="K108" s="78"/>
      <c r="L108" s="51"/>
      <c r="M108" s="75"/>
      <c r="N108" s="73"/>
      <c r="O108" s="15"/>
    </row>
    <row r="109" spans="1:15" x14ac:dyDescent="0.25">
      <c r="A109" s="16"/>
      <c r="B109" s="102"/>
      <c r="C109" s="17"/>
      <c r="D109" s="13"/>
      <c r="E109" s="70"/>
      <c r="F109" s="14"/>
      <c r="G109" s="9"/>
      <c r="H109" s="76"/>
      <c r="I109" s="10"/>
      <c r="J109" s="50"/>
      <c r="K109" s="78"/>
      <c r="L109" s="51"/>
      <c r="M109" s="75"/>
      <c r="N109" s="73"/>
      <c r="O109" s="15"/>
    </row>
    <row r="110" spans="1:15" x14ac:dyDescent="0.25">
      <c r="A110" s="16"/>
      <c r="B110" s="102"/>
      <c r="C110" s="17"/>
      <c r="D110" s="13"/>
      <c r="E110" s="70"/>
      <c r="F110" s="14"/>
      <c r="G110" s="9"/>
      <c r="H110" s="76"/>
      <c r="I110" s="10"/>
      <c r="J110" s="50"/>
      <c r="K110" s="78"/>
      <c r="L110" s="51"/>
      <c r="M110" s="75"/>
      <c r="N110" s="73"/>
      <c r="O110" s="15"/>
    </row>
    <row r="111" spans="1:15" x14ac:dyDescent="0.25">
      <c r="A111" s="16"/>
      <c r="B111" s="102"/>
      <c r="C111" s="17"/>
      <c r="D111" s="13"/>
      <c r="E111" s="70"/>
      <c r="F111" s="14"/>
      <c r="G111" s="9"/>
      <c r="H111" s="76"/>
      <c r="I111" s="10"/>
      <c r="J111" s="50"/>
      <c r="K111" s="78"/>
      <c r="L111" s="51"/>
      <c r="M111" s="75"/>
      <c r="N111" s="73"/>
      <c r="O111" s="15"/>
    </row>
    <row r="112" spans="1:15" x14ac:dyDescent="0.25">
      <c r="G112" s="9"/>
      <c r="H112" s="76"/>
      <c r="I112" s="10"/>
    </row>
    <row r="113" spans="7:9" x14ac:dyDescent="0.25">
      <c r="G113" s="9"/>
      <c r="H113" s="76"/>
      <c r="I113" s="10"/>
    </row>
  </sheetData>
  <mergeCells count="9">
    <mergeCell ref="P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1"/>
  <sheetViews>
    <sheetView topLeftCell="A5" zoomScaleNormal="100" workbookViewId="0">
      <pane ySplit="3" topLeftCell="A44" activePane="bottomLeft" state="frozen"/>
      <selection activeCell="A5" sqref="A5"/>
      <selection pane="bottomLeft" activeCell="D48" sqref="D4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>
        <f>A6+D6+G6+J6+M6</f>
        <v>205</v>
      </c>
      <c r="H3" s="3" t="s">
        <v>3</v>
      </c>
      <c r="I3" s="2">
        <f>B6+E6+H6+K6+N6</f>
        <v>157140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39" t="s">
        <v>6</v>
      </c>
      <c r="K5" s="139"/>
      <c r="L5" s="139"/>
      <c r="M5" s="131" t="s">
        <v>12</v>
      </c>
      <c r="N5" s="131"/>
      <c r="O5" s="131"/>
      <c r="P5" s="27"/>
      <c r="Q5" s="140" t="s">
        <v>13</v>
      </c>
      <c r="R5" s="140"/>
    </row>
    <row r="6" spans="1:18" x14ac:dyDescent="0.25">
      <c r="A6" s="8">
        <f>SUBTOTAL(3,A8:A122)</f>
        <v>55</v>
      </c>
      <c r="B6" s="8">
        <f>SUBTOTAL(9,B8:B122)</f>
        <v>33190</v>
      </c>
      <c r="C6" s="35">
        <v>43863</v>
      </c>
      <c r="D6" s="8">
        <f>SUBTOTAL(3,D8:D121)</f>
        <v>61</v>
      </c>
      <c r="E6" s="1">
        <f>SUBTOTAL(9,E8:E121)</f>
        <v>46300</v>
      </c>
      <c r="F6" s="38">
        <v>43870</v>
      </c>
      <c r="G6" s="8">
        <f>SUBTOTAL(3,G8:G121)</f>
        <v>53</v>
      </c>
      <c r="H6" s="1">
        <f>SUBTOTAL(9,H8:H121)</f>
        <v>47150</v>
      </c>
      <c r="I6" s="39">
        <v>43877</v>
      </c>
      <c r="J6" s="8">
        <f>SUBTOTAL(3,J8:J107)</f>
        <v>36</v>
      </c>
      <c r="K6" s="1">
        <f>SUM(K8:K145)</f>
        <v>30500</v>
      </c>
      <c r="L6" s="79">
        <v>43884</v>
      </c>
      <c r="M6" s="1">
        <f>SUBTOTAL(3,M8:M121)</f>
        <v>0</v>
      </c>
      <c r="N6" s="1">
        <f>SUBTOTAL(9,N8:N121)</f>
        <v>0</v>
      </c>
      <c r="O6" s="82"/>
      <c r="Q6" s="30">
        <f>+A6+'C C Aportaciones FEB 20'!D6+G6+J6+M6</f>
        <v>205</v>
      </c>
      <c r="R6" s="29">
        <f>+B6+E6+H6+K6+N6</f>
        <v>157140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59" t="s">
        <v>1</v>
      </c>
      <c r="K7" s="59" t="s">
        <v>3</v>
      </c>
      <c r="L7" s="59" t="s">
        <v>2</v>
      </c>
      <c r="M7" s="41" t="s">
        <v>1</v>
      </c>
      <c r="N7" s="41" t="s">
        <v>3</v>
      </c>
      <c r="O7" s="41" t="s">
        <v>2</v>
      </c>
      <c r="Q7" s="42" t="s">
        <v>9</v>
      </c>
      <c r="R7" s="42" t="s">
        <v>3</v>
      </c>
    </row>
    <row r="8" spans="1:18" x14ac:dyDescent="0.25">
      <c r="A8" s="16">
        <v>21372</v>
      </c>
      <c r="B8" s="49">
        <v>1500</v>
      </c>
      <c r="C8" s="17" t="s">
        <v>121</v>
      </c>
      <c r="D8" s="13">
        <v>21427</v>
      </c>
      <c r="E8" s="70"/>
      <c r="F8" s="14" t="s">
        <v>54</v>
      </c>
      <c r="G8" s="9">
        <v>21488</v>
      </c>
      <c r="H8" s="76">
        <v>1500</v>
      </c>
      <c r="I8" s="10" t="s">
        <v>121</v>
      </c>
      <c r="J8" s="50">
        <v>21541</v>
      </c>
      <c r="K8" s="78">
        <v>1300</v>
      </c>
      <c r="L8" s="51" t="s">
        <v>166</v>
      </c>
      <c r="M8" s="75"/>
      <c r="N8" s="73"/>
      <c r="O8" s="15"/>
    </row>
    <row r="9" spans="1:18" x14ac:dyDescent="0.25">
      <c r="A9" s="16"/>
      <c r="B9" s="49"/>
      <c r="C9" s="17" t="s">
        <v>18</v>
      </c>
      <c r="D9" s="13">
        <v>21428</v>
      </c>
      <c r="E9" s="70">
        <v>4400</v>
      </c>
      <c r="F9" s="23" t="s">
        <v>72</v>
      </c>
      <c r="G9" s="9"/>
      <c r="H9" s="76"/>
      <c r="I9" s="10" t="s">
        <v>18</v>
      </c>
      <c r="J9" s="50"/>
      <c r="K9" s="78"/>
      <c r="L9" s="51" t="s">
        <v>167</v>
      </c>
      <c r="M9" s="75"/>
      <c r="N9" s="73"/>
      <c r="O9" s="15"/>
    </row>
    <row r="10" spans="1:18" x14ac:dyDescent="0.25">
      <c r="A10" s="16">
        <v>21373</v>
      </c>
      <c r="B10" s="49">
        <v>1400</v>
      </c>
      <c r="C10" s="17" t="s">
        <v>122</v>
      </c>
      <c r="D10" s="13"/>
      <c r="E10" s="70"/>
      <c r="F10" s="14" t="s">
        <v>134</v>
      </c>
      <c r="G10" s="9">
        <v>21489</v>
      </c>
      <c r="H10" s="76">
        <v>50</v>
      </c>
      <c r="I10" s="10" t="s">
        <v>51</v>
      </c>
      <c r="J10" s="50">
        <v>21542</v>
      </c>
      <c r="K10" s="78">
        <v>500</v>
      </c>
      <c r="L10" s="51"/>
      <c r="M10" s="75"/>
      <c r="N10" s="73"/>
      <c r="O10" s="15"/>
    </row>
    <row r="11" spans="1:18" x14ac:dyDescent="0.25">
      <c r="A11" s="16"/>
      <c r="B11" s="49"/>
      <c r="C11" s="17" t="s">
        <v>123</v>
      </c>
      <c r="D11" s="13"/>
      <c r="E11" s="70"/>
      <c r="F11" s="14" t="s">
        <v>73</v>
      </c>
      <c r="G11" s="9">
        <v>21490</v>
      </c>
      <c r="H11" s="76">
        <v>500</v>
      </c>
      <c r="I11" s="10" t="s">
        <v>142</v>
      </c>
      <c r="J11" s="50">
        <v>21543</v>
      </c>
      <c r="K11" s="78">
        <v>1400</v>
      </c>
      <c r="L11" s="51" t="s">
        <v>39</v>
      </c>
      <c r="M11" s="75"/>
      <c r="N11" s="73"/>
      <c r="O11" s="15"/>
    </row>
    <row r="12" spans="1:18" x14ac:dyDescent="0.25">
      <c r="A12" s="16"/>
      <c r="B12" s="49"/>
      <c r="C12" s="17" t="s">
        <v>124</v>
      </c>
      <c r="D12" s="13">
        <v>21429</v>
      </c>
      <c r="E12" s="70">
        <v>700</v>
      </c>
      <c r="F12" s="14" t="s">
        <v>135</v>
      </c>
      <c r="G12" s="9"/>
      <c r="H12" s="76"/>
      <c r="I12" s="10" t="s">
        <v>22</v>
      </c>
      <c r="J12" s="50"/>
      <c r="K12" s="78"/>
      <c r="L12" s="51" t="s">
        <v>168</v>
      </c>
      <c r="M12" s="75"/>
      <c r="N12" s="73"/>
      <c r="O12" s="15"/>
    </row>
    <row r="13" spans="1:18" x14ac:dyDescent="0.25">
      <c r="A13" s="16">
        <v>21374</v>
      </c>
      <c r="B13" s="49"/>
      <c r="C13" s="17" t="s">
        <v>85</v>
      </c>
      <c r="D13" s="13"/>
      <c r="E13" s="70"/>
      <c r="F13" s="14" t="s">
        <v>136</v>
      </c>
      <c r="G13" s="9">
        <v>21491</v>
      </c>
      <c r="H13" s="76">
        <v>300</v>
      </c>
      <c r="I13" s="10" t="s">
        <v>113</v>
      </c>
      <c r="J13" s="50">
        <v>21544</v>
      </c>
      <c r="K13" s="78">
        <v>250</v>
      </c>
      <c r="L13" s="51"/>
      <c r="M13" s="75"/>
      <c r="N13" s="73"/>
      <c r="O13" s="15"/>
    </row>
    <row r="14" spans="1:18" x14ac:dyDescent="0.25">
      <c r="A14" s="16">
        <v>21375</v>
      </c>
      <c r="B14" s="49">
        <v>500</v>
      </c>
      <c r="C14" s="17"/>
      <c r="D14" s="13">
        <v>21430</v>
      </c>
      <c r="E14" s="70">
        <v>500</v>
      </c>
      <c r="F14" s="14" t="s">
        <v>137</v>
      </c>
      <c r="G14" s="9">
        <v>21492</v>
      </c>
      <c r="H14" s="76">
        <v>500</v>
      </c>
      <c r="I14" s="10" t="s">
        <v>144</v>
      </c>
      <c r="J14" s="50">
        <v>21545</v>
      </c>
      <c r="K14" s="78">
        <v>500</v>
      </c>
      <c r="L14" s="51"/>
      <c r="M14" s="75"/>
      <c r="N14" s="73"/>
      <c r="O14" s="15"/>
    </row>
    <row r="15" spans="1:18" x14ac:dyDescent="0.25">
      <c r="A15" s="16">
        <v>21376</v>
      </c>
      <c r="B15" s="49">
        <v>450</v>
      </c>
      <c r="C15" s="17"/>
      <c r="D15" s="13">
        <v>21431</v>
      </c>
      <c r="E15" s="70"/>
      <c r="F15" s="14" t="s">
        <v>54</v>
      </c>
      <c r="G15" s="9">
        <v>21493</v>
      </c>
      <c r="H15" s="76">
        <v>250</v>
      </c>
      <c r="I15" s="10" t="s">
        <v>145</v>
      </c>
      <c r="J15" s="50">
        <v>21546</v>
      </c>
      <c r="K15" s="78">
        <v>1500</v>
      </c>
      <c r="L15" s="51" t="s">
        <v>121</v>
      </c>
      <c r="M15" s="75"/>
      <c r="N15" s="73"/>
      <c r="O15" s="15"/>
    </row>
    <row r="16" spans="1:18" x14ac:dyDescent="0.25">
      <c r="A16" s="16">
        <v>21377</v>
      </c>
      <c r="B16" s="49">
        <v>500</v>
      </c>
      <c r="C16" s="17"/>
      <c r="D16" s="13">
        <v>21432</v>
      </c>
      <c r="E16" s="70">
        <v>600</v>
      </c>
      <c r="F16" s="14" t="s">
        <v>138</v>
      </c>
      <c r="G16" s="9">
        <v>21494</v>
      </c>
      <c r="H16" s="76">
        <v>500</v>
      </c>
      <c r="I16" s="24" t="s">
        <v>76</v>
      </c>
      <c r="J16" s="50"/>
      <c r="K16" s="78"/>
      <c r="L16" s="51" t="s">
        <v>18</v>
      </c>
      <c r="M16" s="75"/>
      <c r="N16" s="73"/>
      <c r="O16" s="15"/>
    </row>
    <row r="17" spans="1:15" x14ac:dyDescent="0.25">
      <c r="A17" s="16">
        <v>21378</v>
      </c>
      <c r="B17" s="49">
        <v>500</v>
      </c>
      <c r="C17" s="17"/>
      <c r="D17" s="13"/>
      <c r="E17" s="70"/>
      <c r="F17" s="14" t="s">
        <v>139</v>
      </c>
      <c r="G17" s="9"/>
      <c r="H17" s="76"/>
      <c r="I17" s="10" t="s">
        <v>22</v>
      </c>
      <c r="J17" s="50">
        <v>21547</v>
      </c>
      <c r="K17" s="78">
        <v>1100</v>
      </c>
      <c r="L17" s="51" t="s">
        <v>169</v>
      </c>
      <c r="M17" s="75"/>
      <c r="N17" s="73"/>
      <c r="O17" s="15"/>
    </row>
    <row r="18" spans="1:15" x14ac:dyDescent="0.25">
      <c r="A18" s="16">
        <v>21379</v>
      </c>
      <c r="B18" s="49">
        <v>400</v>
      </c>
      <c r="C18" s="17" t="s">
        <v>125</v>
      </c>
      <c r="D18" s="13">
        <v>21433</v>
      </c>
      <c r="E18" s="70">
        <v>1500</v>
      </c>
      <c r="F18" s="14" t="s">
        <v>140</v>
      </c>
      <c r="G18" s="9">
        <v>21495</v>
      </c>
      <c r="H18" s="76">
        <v>300</v>
      </c>
      <c r="I18" s="10"/>
      <c r="J18" s="50"/>
      <c r="K18" s="78"/>
      <c r="L18" s="51" t="s">
        <v>170</v>
      </c>
      <c r="M18" s="75"/>
      <c r="N18" s="73"/>
      <c r="O18" s="15"/>
    </row>
    <row r="19" spans="1:15" x14ac:dyDescent="0.25">
      <c r="A19" s="16">
        <v>21380</v>
      </c>
      <c r="B19" s="49">
        <v>500</v>
      </c>
      <c r="C19" s="17"/>
      <c r="D19" s="13"/>
      <c r="E19" s="70"/>
      <c r="F19" s="14" t="s">
        <v>18</v>
      </c>
      <c r="G19" s="9">
        <v>21496</v>
      </c>
      <c r="H19" s="76">
        <v>800</v>
      </c>
      <c r="I19" s="10" t="s">
        <v>76</v>
      </c>
      <c r="J19" s="50">
        <v>21548</v>
      </c>
      <c r="K19" s="78">
        <v>500</v>
      </c>
      <c r="L19" s="51"/>
      <c r="M19" s="75"/>
      <c r="N19" s="73"/>
      <c r="O19" s="15"/>
    </row>
    <row r="20" spans="1:15" x14ac:dyDescent="0.25">
      <c r="A20" s="16">
        <v>21381</v>
      </c>
      <c r="B20" s="49">
        <v>500</v>
      </c>
      <c r="C20" s="17"/>
      <c r="D20" s="13">
        <v>21434</v>
      </c>
      <c r="E20" s="70">
        <v>600</v>
      </c>
      <c r="F20" s="14" t="s">
        <v>127</v>
      </c>
      <c r="G20" s="9"/>
      <c r="H20" s="76"/>
      <c r="I20" s="10" t="s">
        <v>25</v>
      </c>
      <c r="J20" s="50">
        <v>21549</v>
      </c>
      <c r="K20" s="78">
        <v>500</v>
      </c>
      <c r="L20" s="51"/>
      <c r="M20" s="75"/>
      <c r="N20" s="73"/>
      <c r="O20" s="15"/>
    </row>
    <row r="21" spans="1:15" x14ac:dyDescent="0.25">
      <c r="A21" s="16">
        <v>21382</v>
      </c>
      <c r="B21" s="49">
        <v>500</v>
      </c>
      <c r="C21" s="17"/>
      <c r="D21" s="13">
        <v>21435</v>
      </c>
      <c r="E21" s="70"/>
      <c r="F21" s="14" t="s">
        <v>54</v>
      </c>
      <c r="G21" s="9">
        <v>21497</v>
      </c>
      <c r="H21" s="76">
        <v>400</v>
      </c>
      <c r="I21" s="10" t="s">
        <v>146</v>
      </c>
      <c r="J21" s="50">
        <v>21550</v>
      </c>
      <c r="K21" s="78">
        <v>300</v>
      </c>
      <c r="L21" s="51" t="s">
        <v>171</v>
      </c>
      <c r="M21" s="75"/>
      <c r="N21" s="73"/>
      <c r="O21" s="15"/>
    </row>
    <row r="22" spans="1:15" x14ac:dyDescent="0.25">
      <c r="A22" s="16">
        <v>21383</v>
      </c>
      <c r="B22" s="49">
        <v>500</v>
      </c>
      <c r="C22" s="17"/>
      <c r="D22" s="13">
        <v>21436</v>
      </c>
      <c r="E22" s="70">
        <v>750</v>
      </c>
      <c r="F22" s="14" t="s">
        <v>59</v>
      </c>
      <c r="G22" s="9"/>
      <c r="H22" s="76"/>
      <c r="I22" s="25" t="s">
        <v>147</v>
      </c>
      <c r="J22" s="50">
        <v>21551</v>
      </c>
      <c r="K22" s="78">
        <v>50</v>
      </c>
      <c r="L22" s="51" t="s">
        <v>51</v>
      </c>
      <c r="M22" s="75"/>
      <c r="N22" s="73"/>
      <c r="O22" s="15"/>
    </row>
    <row r="23" spans="1:15" x14ac:dyDescent="0.25">
      <c r="A23" s="16">
        <v>21384</v>
      </c>
      <c r="B23" s="49">
        <v>1000</v>
      </c>
      <c r="C23" s="17" t="s">
        <v>76</v>
      </c>
      <c r="D23" s="13"/>
      <c r="E23" s="70"/>
      <c r="F23" s="14" t="s">
        <v>22</v>
      </c>
      <c r="G23" s="9">
        <v>21498</v>
      </c>
      <c r="H23" s="76">
        <v>600</v>
      </c>
      <c r="I23" s="10" t="s">
        <v>142</v>
      </c>
      <c r="J23" s="50">
        <v>21552</v>
      </c>
      <c r="K23" s="78">
        <v>800</v>
      </c>
      <c r="L23" s="52" t="s">
        <v>76</v>
      </c>
      <c r="M23" s="75"/>
      <c r="N23" s="73"/>
      <c r="O23" s="15"/>
    </row>
    <row r="24" spans="1:15" x14ac:dyDescent="0.25">
      <c r="A24" s="16"/>
      <c r="B24" s="49"/>
      <c r="C24" s="17" t="s">
        <v>18</v>
      </c>
      <c r="D24" s="13">
        <v>21437</v>
      </c>
      <c r="E24" s="70">
        <v>600</v>
      </c>
      <c r="F24" s="14" t="s">
        <v>20</v>
      </c>
      <c r="G24" s="9"/>
      <c r="H24" s="76"/>
      <c r="I24" s="10" t="s">
        <v>29</v>
      </c>
      <c r="J24" s="50"/>
      <c r="K24" s="78"/>
      <c r="L24" s="52" t="s">
        <v>25</v>
      </c>
      <c r="M24" s="75"/>
      <c r="N24" s="73"/>
      <c r="O24" s="15"/>
    </row>
    <row r="25" spans="1:15" x14ac:dyDescent="0.25">
      <c r="A25" s="16">
        <v>21385</v>
      </c>
      <c r="B25" s="49">
        <v>550</v>
      </c>
      <c r="C25" s="17" t="s">
        <v>126</v>
      </c>
      <c r="D25" s="13"/>
      <c r="E25" s="70"/>
      <c r="F25" s="14" t="s">
        <v>29</v>
      </c>
      <c r="G25" s="9">
        <v>21499</v>
      </c>
      <c r="H25" s="76">
        <v>550</v>
      </c>
      <c r="I25" s="10" t="s">
        <v>148</v>
      </c>
      <c r="J25" s="50">
        <v>21553</v>
      </c>
      <c r="K25" s="78">
        <v>1000</v>
      </c>
      <c r="L25" s="51" t="s">
        <v>172</v>
      </c>
      <c r="M25" s="75"/>
      <c r="N25" s="73"/>
      <c r="O25" s="15"/>
    </row>
    <row r="26" spans="1:15" x14ac:dyDescent="0.25">
      <c r="A26" s="16">
        <v>21386</v>
      </c>
      <c r="B26" s="49"/>
      <c r="C26" s="17" t="s">
        <v>85</v>
      </c>
      <c r="D26" s="13">
        <v>21438</v>
      </c>
      <c r="E26" s="70">
        <v>1000</v>
      </c>
      <c r="F26" s="14" t="s">
        <v>20</v>
      </c>
      <c r="G26" s="9">
        <v>21500</v>
      </c>
      <c r="H26" s="76">
        <v>500</v>
      </c>
      <c r="I26" s="10"/>
      <c r="J26" s="50"/>
      <c r="K26" s="78"/>
      <c r="L26" s="51" t="s">
        <v>18</v>
      </c>
      <c r="M26" s="75"/>
      <c r="N26" s="73"/>
      <c r="O26" s="15"/>
    </row>
    <row r="27" spans="1:15" x14ac:dyDescent="0.25">
      <c r="A27" s="16">
        <v>21387</v>
      </c>
      <c r="B27" s="49">
        <v>400</v>
      </c>
      <c r="C27" s="17" t="s">
        <v>127</v>
      </c>
      <c r="D27" s="13"/>
      <c r="E27" s="70"/>
      <c r="F27" s="14" t="s">
        <v>18</v>
      </c>
      <c r="G27" s="9">
        <v>21501</v>
      </c>
      <c r="H27" s="76">
        <v>500</v>
      </c>
      <c r="I27" s="10"/>
      <c r="J27" s="50">
        <v>21554</v>
      </c>
      <c r="K27" s="78">
        <v>500</v>
      </c>
      <c r="L27" s="51" t="s">
        <v>127</v>
      </c>
      <c r="M27" s="75"/>
      <c r="N27" s="73"/>
      <c r="O27" s="15"/>
    </row>
    <row r="28" spans="1:15" x14ac:dyDescent="0.25">
      <c r="A28" s="16">
        <v>21388</v>
      </c>
      <c r="B28" s="49">
        <v>4400</v>
      </c>
      <c r="C28" s="17" t="s">
        <v>72</v>
      </c>
      <c r="D28" s="13">
        <v>21439</v>
      </c>
      <c r="E28" s="70">
        <v>500</v>
      </c>
      <c r="F28" s="14"/>
      <c r="G28" s="9">
        <v>21502</v>
      </c>
      <c r="H28" s="76">
        <v>2000</v>
      </c>
      <c r="I28" s="10" t="s">
        <v>149</v>
      </c>
      <c r="J28" s="50">
        <v>21555</v>
      </c>
      <c r="K28" s="78">
        <v>500</v>
      </c>
      <c r="L28" s="51"/>
      <c r="M28" s="75"/>
      <c r="N28" s="73"/>
      <c r="O28" s="15"/>
    </row>
    <row r="29" spans="1:15" x14ac:dyDescent="0.25">
      <c r="A29" s="16"/>
      <c r="B29" s="49"/>
      <c r="C29" s="17" t="s">
        <v>25</v>
      </c>
      <c r="D29" s="13">
        <v>21440</v>
      </c>
      <c r="E29" s="70">
        <v>1000</v>
      </c>
      <c r="F29" s="14" t="s">
        <v>20</v>
      </c>
      <c r="G29" s="9"/>
      <c r="H29" s="76"/>
      <c r="I29" s="10" t="s">
        <v>18</v>
      </c>
      <c r="J29" s="50">
        <v>21556</v>
      </c>
      <c r="K29" s="78">
        <v>50</v>
      </c>
      <c r="L29" s="51" t="s">
        <v>51</v>
      </c>
      <c r="M29" s="75"/>
      <c r="N29" s="73"/>
      <c r="O29" s="15"/>
    </row>
    <row r="30" spans="1:15" x14ac:dyDescent="0.25">
      <c r="A30" s="16"/>
      <c r="B30" s="49"/>
      <c r="C30" s="17" t="s">
        <v>128</v>
      </c>
      <c r="D30" s="13"/>
      <c r="E30" s="70"/>
      <c r="F30" s="14" t="s">
        <v>18</v>
      </c>
      <c r="G30" s="9">
        <v>21503</v>
      </c>
      <c r="H30" s="76">
        <v>1000</v>
      </c>
      <c r="I30" s="10" t="s">
        <v>142</v>
      </c>
      <c r="J30" s="53">
        <v>21557</v>
      </c>
      <c r="K30" s="78"/>
      <c r="L30" s="51"/>
      <c r="M30" s="75"/>
      <c r="N30" s="73"/>
      <c r="O30" s="15"/>
    </row>
    <row r="31" spans="1:15" x14ac:dyDescent="0.25">
      <c r="A31" s="16">
        <v>21389</v>
      </c>
      <c r="B31" s="49">
        <v>500</v>
      </c>
      <c r="C31" s="17"/>
      <c r="D31" s="13">
        <v>21441</v>
      </c>
      <c r="E31" s="70">
        <v>400</v>
      </c>
      <c r="F31" s="14"/>
      <c r="G31" s="9"/>
      <c r="H31" s="76"/>
      <c r="I31" s="10" t="s">
        <v>18</v>
      </c>
      <c r="J31" s="50"/>
      <c r="K31" s="78">
        <v>2500</v>
      </c>
      <c r="L31" s="51" t="s">
        <v>173</v>
      </c>
      <c r="M31" s="75"/>
      <c r="N31" s="73"/>
      <c r="O31" s="15"/>
    </row>
    <row r="32" spans="1:15" x14ac:dyDescent="0.25">
      <c r="A32" s="16">
        <v>21390</v>
      </c>
      <c r="B32" s="49">
        <v>750</v>
      </c>
      <c r="C32" s="17" t="s">
        <v>129</v>
      </c>
      <c r="D32" s="13">
        <v>21442</v>
      </c>
      <c r="E32" s="70">
        <v>500</v>
      </c>
      <c r="F32" s="14" t="s">
        <v>127</v>
      </c>
      <c r="G32" s="9">
        <v>21504</v>
      </c>
      <c r="H32" s="76">
        <v>250</v>
      </c>
      <c r="I32" s="10" t="s">
        <v>150</v>
      </c>
      <c r="J32" s="53"/>
      <c r="K32" s="78"/>
      <c r="L32" s="51" t="s">
        <v>174</v>
      </c>
      <c r="M32" s="75"/>
      <c r="N32" s="73"/>
      <c r="O32" s="15"/>
    </row>
    <row r="33" spans="1:15" x14ac:dyDescent="0.25">
      <c r="A33" s="16"/>
      <c r="B33" s="49"/>
      <c r="C33" s="17" t="s">
        <v>130</v>
      </c>
      <c r="D33" s="13">
        <v>21443</v>
      </c>
      <c r="E33" s="70">
        <v>400</v>
      </c>
      <c r="F33" s="14" t="s">
        <v>20</v>
      </c>
      <c r="G33" s="9">
        <v>21505</v>
      </c>
      <c r="H33" s="76">
        <v>400</v>
      </c>
      <c r="I33" s="10"/>
      <c r="J33" s="50"/>
      <c r="K33" s="78"/>
      <c r="L33" s="51" t="s">
        <v>22</v>
      </c>
      <c r="M33" s="75"/>
      <c r="N33" s="73"/>
      <c r="O33" s="15"/>
    </row>
    <row r="34" spans="1:15" x14ac:dyDescent="0.25">
      <c r="A34" s="16">
        <v>21391</v>
      </c>
      <c r="B34" s="49">
        <v>700</v>
      </c>
      <c r="C34" s="17" t="s">
        <v>76</v>
      </c>
      <c r="D34" s="13"/>
      <c r="E34" s="70"/>
      <c r="F34" s="14" t="s">
        <v>44</v>
      </c>
      <c r="G34" s="9">
        <v>21506</v>
      </c>
      <c r="H34" s="76">
        <v>600</v>
      </c>
      <c r="I34" s="10" t="s">
        <v>151</v>
      </c>
      <c r="J34" s="50"/>
      <c r="K34" s="78"/>
      <c r="L34" s="51" t="s">
        <v>50</v>
      </c>
      <c r="M34" s="75"/>
      <c r="N34" s="73"/>
      <c r="O34" s="15"/>
    </row>
    <row r="35" spans="1:15" x14ac:dyDescent="0.25">
      <c r="A35" s="16"/>
      <c r="B35" s="49"/>
      <c r="C35" s="17" t="s">
        <v>131</v>
      </c>
      <c r="D35" s="13">
        <v>21444</v>
      </c>
      <c r="E35" s="70">
        <v>500</v>
      </c>
      <c r="F35" s="20"/>
      <c r="G35" s="9"/>
      <c r="H35" s="76"/>
      <c r="I35" s="10" t="s">
        <v>29</v>
      </c>
      <c r="J35" s="53">
        <v>21558</v>
      </c>
      <c r="K35" s="78">
        <v>500</v>
      </c>
      <c r="L35" s="51"/>
      <c r="M35" s="75"/>
      <c r="N35" s="73"/>
      <c r="O35" s="15"/>
    </row>
    <row r="36" spans="1:15" x14ac:dyDescent="0.25">
      <c r="A36" s="16">
        <v>21392</v>
      </c>
      <c r="B36" s="49">
        <v>700</v>
      </c>
      <c r="C36" s="17" t="s">
        <v>76</v>
      </c>
      <c r="D36" s="13">
        <v>21445</v>
      </c>
      <c r="E36" s="70">
        <v>50</v>
      </c>
      <c r="F36" s="14" t="s">
        <v>71</v>
      </c>
      <c r="G36" s="9">
        <v>21507</v>
      </c>
      <c r="H36" s="76">
        <v>500</v>
      </c>
      <c r="I36" s="10" t="s">
        <v>152</v>
      </c>
      <c r="J36" s="53">
        <v>21559</v>
      </c>
      <c r="K36" s="78">
        <v>1900</v>
      </c>
      <c r="L36" s="55" t="s">
        <v>39</v>
      </c>
      <c r="M36" s="75"/>
      <c r="N36" s="73"/>
      <c r="O36" s="15"/>
    </row>
    <row r="37" spans="1:15" x14ac:dyDescent="0.25">
      <c r="A37" s="16"/>
      <c r="B37" s="49"/>
      <c r="C37" s="17" t="s">
        <v>131</v>
      </c>
      <c r="D37" s="13">
        <v>21446</v>
      </c>
      <c r="E37" s="70">
        <v>1000</v>
      </c>
      <c r="F37" s="14" t="s">
        <v>20</v>
      </c>
      <c r="G37" s="9">
        <v>21508</v>
      </c>
      <c r="H37" s="76">
        <v>1000</v>
      </c>
      <c r="I37" s="10" t="s">
        <v>153</v>
      </c>
      <c r="J37" s="53"/>
      <c r="K37" s="72"/>
      <c r="L37" s="51" t="s">
        <v>175</v>
      </c>
      <c r="M37" s="75"/>
      <c r="N37" s="73"/>
      <c r="O37" s="15"/>
    </row>
    <row r="38" spans="1:15" x14ac:dyDescent="0.25">
      <c r="A38" s="16">
        <v>21393</v>
      </c>
      <c r="B38" s="49">
        <v>500</v>
      </c>
      <c r="C38" s="17"/>
      <c r="D38" s="13"/>
      <c r="E38" s="70"/>
      <c r="F38" s="14" t="s">
        <v>18</v>
      </c>
      <c r="G38" s="9"/>
      <c r="H38" s="76"/>
      <c r="I38" s="10" t="s">
        <v>18</v>
      </c>
      <c r="J38" s="53"/>
      <c r="K38" s="72"/>
      <c r="L38" s="54" t="s">
        <v>176</v>
      </c>
      <c r="M38" s="75"/>
      <c r="N38" s="73"/>
      <c r="O38" s="15"/>
    </row>
    <row r="39" spans="1:15" x14ac:dyDescent="0.25">
      <c r="A39" s="16">
        <v>21394</v>
      </c>
      <c r="B39" s="49">
        <v>500</v>
      </c>
      <c r="C39" s="17"/>
      <c r="D39" s="13">
        <v>21447</v>
      </c>
      <c r="E39" s="70">
        <v>500</v>
      </c>
      <c r="F39" s="14"/>
      <c r="G39" s="9">
        <v>21509</v>
      </c>
      <c r="H39" s="76">
        <v>500</v>
      </c>
      <c r="I39" s="10" t="s">
        <v>154</v>
      </c>
      <c r="J39" s="53">
        <v>21560</v>
      </c>
      <c r="K39" s="72">
        <v>500</v>
      </c>
      <c r="L39" s="51"/>
      <c r="M39" s="75"/>
      <c r="N39" s="73"/>
      <c r="O39" s="15"/>
    </row>
    <row r="40" spans="1:15" x14ac:dyDescent="0.25">
      <c r="A40" s="16">
        <v>21395</v>
      </c>
      <c r="B40" s="49">
        <v>500</v>
      </c>
      <c r="C40" s="17"/>
      <c r="D40" s="13">
        <v>21448</v>
      </c>
      <c r="E40" s="70">
        <v>500</v>
      </c>
      <c r="F40" s="14"/>
      <c r="G40" s="9"/>
      <c r="H40" s="76"/>
      <c r="I40" s="10" t="s">
        <v>22</v>
      </c>
      <c r="J40" s="53">
        <v>21561</v>
      </c>
      <c r="K40" s="72">
        <v>5500</v>
      </c>
      <c r="L40" s="51" t="s">
        <v>72</v>
      </c>
      <c r="M40" s="75"/>
      <c r="N40" s="73"/>
      <c r="O40" s="15"/>
    </row>
    <row r="41" spans="1:15" x14ac:dyDescent="0.25">
      <c r="A41" s="16">
        <v>21396</v>
      </c>
      <c r="B41" s="49">
        <v>500</v>
      </c>
      <c r="C41" s="17"/>
      <c r="D41" s="13">
        <v>21449</v>
      </c>
      <c r="E41" s="70">
        <v>500</v>
      </c>
      <c r="F41" s="14"/>
      <c r="G41" s="9">
        <v>21510</v>
      </c>
      <c r="H41" s="76">
        <v>900</v>
      </c>
      <c r="I41" s="10" t="s">
        <v>153</v>
      </c>
      <c r="J41" s="53"/>
      <c r="K41" s="72"/>
      <c r="L41" s="51" t="s">
        <v>18</v>
      </c>
      <c r="M41" s="75"/>
      <c r="N41" s="73"/>
      <c r="O41" s="15"/>
    </row>
    <row r="42" spans="1:15" x14ac:dyDescent="0.25">
      <c r="A42" s="16">
        <v>21397</v>
      </c>
      <c r="B42" s="49">
        <v>500</v>
      </c>
      <c r="C42" s="17"/>
      <c r="D42" s="13">
        <v>21450</v>
      </c>
      <c r="E42" s="70">
        <v>800</v>
      </c>
      <c r="F42" s="14"/>
      <c r="G42" s="9"/>
      <c r="H42" s="76"/>
      <c r="I42" s="10" t="s">
        <v>155</v>
      </c>
      <c r="J42" s="53"/>
      <c r="K42" s="72"/>
      <c r="L42" s="51" t="s">
        <v>50</v>
      </c>
      <c r="M42" s="75"/>
      <c r="N42" s="73"/>
      <c r="O42" s="15"/>
    </row>
    <row r="43" spans="1:15" x14ac:dyDescent="0.25">
      <c r="A43" s="16">
        <v>21398</v>
      </c>
      <c r="B43" s="49">
        <v>500</v>
      </c>
      <c r="C43" s="17"/>
      <c r="D43" s="13">
        <v>21451</v>
      </c>
      <c r="E43" s="70">
        <v>500</v>
      </c>
      <c r="F43" s="14"/>
      <c r="G43" s="9">
        <v>21511</v>
      </c>
      <c r="H43" s="76">
        <v>250</v>
      </c>
      <c r="I43" s="10"/>
      <c r="J43" s="53">
        <v>21562</v>
      </c>
      <c r="K43" s="72">
        <v>500</v>
      </c>
      <c r="L43" s="51"/>
      <c r="M43" s="75"/>
      <c r="N43" s="73"/>
      <c r="O43" s="15"/>
    </row>
    <row r="44" spans="1:15" x14ac:dyDescent="0.25">
      <c r="A44" s="16">
        <v>21399</v>
      </c>
      <c r="B44" s="49">
        <v>500</v>
      </c>
      <c r="C44" s="17"/>
      <c r="D44" s="13">
        <v>21452</v>
      </c>
      <c r="E44" s="70">
        <v>500</v>
      </c>
      <c r="F44" s="14"/>
      <c r="G44" s="9">
        <v>21512</v>
      </c>
      <c r="H44" s="76">
        <v>400</v>
      </c>
      <c r="I44" s="10"/>
      <c r="J44" s="53">
        <v>21563</v>
      </c>
      <c r="K44" s="72">
        <v>200</v>
      </c>
      <c r="L44" s="51"/>
      <c r="M44" s="75"/>
      <c r="N44" s="73"/>
      <c r="O44" s="15"/>
    </row>
    <row r="45" spans="1:15" x14ac:dyDescent="0.25">
      <c r="A45" s="16">
        <v>21400</v>
      </c>
      <c r="B45" s="49">
        <v>1200</v>
      </c>
      <c r="C45" s="17" t="s">
        <v>121</v>
      </c>
      <c r="D45" s="13">
        <v>21453</v>
      </c>
      <c r="E45" s="70">
        <v>500</v>
      </c>
      <c r="F45" s="14" t="s">
        <v>127</v>
      </c>
      <c r="G45" s="9">
        <v>21513</v>
      </c>
      <c r="H45" s="76">
        <v>100</v>
      </c>
      <c r="I45" s="10" t="s">
        <v>77</v>
      </c>
      <c r="J45" s="53">
        <v>21564</v>
      </c>
      <c r="K45" s="72">
        <v>1000</v>
      </c>
      <c r="L45" s="51" t="s">
        <v>172</v>
      </c>
      <c r="M45" s="75"/>
      <c r="N45" s="73"/>
      <c r="O45" s="15"/>
    </row>
    <row r="46" spans="1:15" x14ac:dyDescent="0.25">
      <c r="A46" s="16"/>
      <c r="B46" s="49"/>
      <c r="C46" s="17" t="s">
        <v>25</v>
      </c>
      <c r="D46" s="13">
        <v>21454</v>
      </c>
      <c r="E46" s="70">
        <v>500</v>
      </c>
      <c r="F46" s="69"/>
      <c r="G46" s="9">
        <v>21514</v>
      </c>
      <c r="H46" s="76">
        <v>800</v>
      </c>
      <c r="I46" s="10" t="s">
        <v>153</v>
      </c>
      <c r="J46" s="53"/>
      <c r="K46" s="72"/>
      <c r="L46" s="51" t="s">
        <v>18</v>
      </c>
      <c r="M46" s="75"/>
      <c r="N46" s="73"/>
      <c r="O46" s="15"/>
    </row>
    <row r="47" spans="1:15" x14ac:dyDescent="0.25">
      <c r="A47" s="16">
        <v>21401</v>
      </c>
      <c r="B47" s="49">
        <v>1000</v>
      </c>
      <c r="C47" s="17" t="s">
        <v>76</v>
      </c>
      <c r="D47" s="13">
        <v>21455</v>
      </c>
      <c r="E47" s="70">
        <v>300</v>
      </c>
      <c r="F47" s="14"/>
      <c r="G47" s="9"/>
      <c r="H47" s="76"/>
      <c r="I47" s="10" t="s">
        <v>25</v>
      </c>
      <c r="J47" s="53">
        <v>21565</v>
      </c>
      <c r="K47" s="72">
        <v>500</v>
      </c>
      <c r="L47" s="51" t="s">
        <v>177</v>
      </c>
      <c r="M47" s="75"/>
      <c r="N47" s="73"/>
      <c r="O47" s="15"/>
    </row>
    <row r="48" spans="1:15" x14ac:dyDescent="0.25">
      <c r="A48" s="16"/>
      <c r="B48" s="49"/>
      <c r="C48" s="17" t="s">
        <v>18</v>
      </c>
      <c r="D48" s="13">
        <v>21456</v>
      </c>
      <c r="E48" s="70">
        <v>250</v>
      </c>
      <c r="F48" s="14"/>
      <c r="G48" s="9">
        <v>21515</v>
      </c>
      <c r="H48" s="76">
        <v>1200</v>
      </c>
      <c r="I48" s="10" t="s">
        <v>156</v>
      </c>
      <c r="J48" s="53">
        <v>21566</v>
      </c>
      <c r="K48" s="72">
        <v>1000</v>
      </c>
      <c r="L48" s="51" t="s">
        <v>151</v>
      </c>
      <c r="M48" s="75"/>
      <c r="N48" s="73"/>
      <c r="O48" s="15"/>
    </row>
    <row r="49" spans="1:15" x14ac:dyDescent="0.25">
      <c r="A49" s="16">
        <v>21402</v>
      </c>
      <c r="B49" s="49">
        <v>500</v>
      </c>
      <c r="C49" s="17"/>
      <c r="D49" s="13">
        <v>21457</v>
      </c>
      <c r="E49" s="70">
        <v>700</v>
      </c>
      <c r="F49" s="14" t="s">
        <v>20</v>
      </c>
      <c r="G49" s="9"/>
      <c r="H49" s="76"/>
      <c r="I49" s="10" t="s">
        <v>25</v>
      </c>
      <c r="J49" s="53"/>
      <c r="K49" s="72"/>
      <c r="L49" s="54" t="s">
        <v>18</v>
      </c>
      <c r="M49" s="75"/>
      <c r="N49" s="73"/>
      <c r="O49" s="15"/>
    </row>
    <row r="50" spans="1:15" x14ac:dyDescent="0.25">
      <c r="A50" s="16">
        <v>21403</v>
      </c>
      <c r="B50" s="49">
        <v>500</v>
      </c>
      <c r="C50" s="17" t="s">
        <v>127</v>
      </c>
      <c r="D50" s="13"/>
      <c r="E50" s="70"/>
      <c r="F50" s="14" t="s">
        <v>131</v>
      </c>
      <c r="G50" s="9">
        <v>21516</v>
      </c>
      <c r="H50" s="76">
        <v>500</v>
      </c>
      <c r="I50" s="10" t="s">
        <v>152</v>
      </c>
      <c r="J50" s="53">
        <v>21567</v>
      </c>
      <c r="K50" s="72">
        <v>1350</v>
      </c>
      <c r="L50" s="51" t="s">
        <v>121</v>
      </c>
      <c r="M50" s="75"/>
      <c r="N50" s="73"/>
      <c r="O50" s="15"/>
    </row>
    <row r="51" spans="1:15" x14ac:dyDescent="0.25">
      <c r="A51" s="16">
        <v>21404</v>
      </c>
      <c r="B51" s="49"/>
      <c r="C51" s="17" t="s">
        <v>85</v>
      </c>
      <c r="D51" s="13">
        <v>21458</v>
      </c>
      <c r="E51" s="70">
        <v>500</v>
      </c>
      <c r="F51" s="14"/>
      <c r="G51" s="9">
        <v>21517</v>
      </c>
      <c r="H51" s="76">
        <v>1000</v>
      </c>
      <c r="I51" s="10" t="s">
        <v>153</v>
      </c>
      <c r="J51" s="53"/>
      <c r="K51" s="72"/>
      <c r="L51" s="51" t="s">
        <v>155</v>
      </c>
      <c r="M51" s="75"/>
      <c r="N51" s="73"/>
      <c r="O51" s="15"/>
    </row>
    <row r="52" spans="1:15" x14ac:dyDescent="0.25">
      <c r="A52" s="16">
        <v>21405</v>
      </c>
      <c r="B52" s="49">
        <v>500</v>
      </c>
      <c r="C52" s="17" t="s">
        <v>127</v>
      </c>
      <c r="D52" s="13">
        <v>21459</v>
      </c>
      <c r="E52" s="70">
        <v>300</v>
      </c>
      <c r="F52" s="14"/>
      <c r="G52" s="9"/>
      <c r="H52" s="76"/>
      <c r="I52" s="10" t="s">
        <v>18</v>
      </c>
      <c r="J52" s="50">
        <v>21568</v>
      </c>
      <c r="K52" s="78">
        <v>250</v>
      </c>
      <c r="L52" s="51"/>
      <c r="M52" s="75"/>
      <c r="N52" s="73"/>
      <c r="O52" s="15"/>
    </row>
    <row r="53" spans="1:15" x14ac:dyDescent="0.25">
      <c r="A53" s="16">
        <v>21406</v>
      </c>
      <c r="B53" s="49">
        <v>500</v>
      </c>
      <c r="C53" s="17"/>
      <c r="D53" s="13">
        <v>21460</v>
      </c>
      <c r="E53" s="70">
        <v>700</v>
      </c>
      <c r="F53" s="14"/>
      <c r="G53" s="9">
        <v>21518</v>
      </c>
      <c r="H53" s="76">
        <v>400</v>
      </c>
      <c r="I53" s="10" t="s">
        <v>154</v>
      </c>
      <c r="J53" s="50">
        <v>21569</v>
      </c>
      <c r="K53" s="78">
        <v>1200</v>
      </c>
      <c r="L53" s="51" t="s">
        <v>121</v>
      </c>
      <c r="M53" s="75"/>
      <c r="N53" s="73"/>
      <c r="O53" s="15"/>
    </row>
    <row r="54" spans="1:15" x14ac:dyDescent="0.25">
      <c r="A54" s="16">
        <v>21407</v>
      </c>
      <c r="B54" s="49">
        <v>400</v>
      </c>
      <c r="C54" s="17" t="s">
        <v>16</v>
      </c>
      <c r="D54" s="13">
        <v>21461</v>
      </c>
      <c r="E54" s="70">
        <v>5500</v>
      </c>
      <c r="F54" s="14" t="s">
        <v>72</v>
      </c>
      <c r="G54" s="9"/>
      <c r="H54" s="76"/>
      <c r="I54" s="10" t="s">
        <v>44</v>
      </c>
      <c r="J54" s="50"/>
      <c r="K54" s="78"/>
      <c r="L54" s="51" t="s">
        <v>25</v>
      </c>
      <c r="M54" s="75"/>
      <c r="N54" s="73"/>
      <c r="O54" s="15"/>
    </row>
    <row r="55" spans="1:15" x14ac:dyDescent="0.25">
      <c r="A55" s="16">
        <v>21408</v>
      </c>
      <c r="B55" s="49">
        <v>500</v>
      </c>
      <c r="C55" s="17" t="s">
        <v>129</v>
      </c>
      <c r="D55" s="13"/>
      <c r="E55" s="70"/>
      <c r="F55" s="23" t="s">
        <v>18</v>
      </c>
      <c r="G55" s="9">
        <v>21519</v>
      </c>
      <c r="H55" s="76">
        <v>300</v>
      </c>
      <c r="I55" s="10"/>
      <c r="J55" s="50">
        <v>21570</v>
      </c>
      <c r="K55" s="78">
        <v>300</v>
      </c>
      <c r="L55" s="51" t="s">
        <v>178</v>
      </c>
      <c r="M55" s="75"/>
      <c r="N55" s="73"/>
      <c r="O55" s="15"/>
    </row>
    <row r="56" spans="1:15" x14ac:dyDescent="0.25">
      <c r="A56" s="16"/>
      <c r="B56" s="49"/>
      <c r="C56" s="103" t="s">
        <v>132</v>
      </c>
      <c r="D56" s="13"/>
      <c r="E56" s="70"/>
      <c r="F56" s="23" t="s">
        <v>73</v>
      </c>
      <c r="G56" s="9">
        <v>21520</v>
      </c>
      <c r="H56" s="76">
        <v>1000</v>
      </c>
      <c r="I56" s="10" t="s">
        <v>153</v>
      </c>
      <c r="J56" s="50"/>
      <c r="K56" s="78"/>
      <c r="L56" s="84" t="s">
        <v>179</v>
      </c>
      <c r="M56" s="75"/>
      <c r="N56" s="73"/>
      <c r="O56" s="15"/>
    </row>
    <row r="57" spans="1:15" x14ac:dyDescent="0.25">
      <c r="A57" s="16">
        <v>21409</v>
      </c>
      <c r="B57" s="49">
        <v>400</v>
      </c>
      <c r="C57" s="17"/>
      <c r="D57" s="13">
        <v>21462</v>
      </c>
      <c r="E57" s="70">
        <v>1000</v>
      </c>
      <c r="F57" s="69" t="s">
        <v>20</v>
      </c>
      <c r="G57" s="9"/>
      <c r="H57" s="76"/>
      <c r="I57" s="10" t="s">
        <v>18</v>
      </c>
      <c r="J57" s="50">
        <v>21571</v>
      </c>
      <c r="K57" s="78">
        <v>250</v>
      </c>
      <c r="L57" s="51" t="s">
        <v>180</v>
      </c>
      <c r="M57" s="75"/>
      <c r="N57" s="73"/>
      <c r="O57" s="15"/>
    </row>
    <row r="58" spans="1:15" x14ac:dyDescent="0.25">
      <c r="A58" s="16">
        <v>21410</v>
      </c>
      <c r="B58" s="49">
        <v>800</v>
      </c>
      <c r="C58" s="17" t="s">
        <v>16</v>
      </c>
      <c r="D58" s="13"/>
      <c r="E58" s="70"/>
      <c r="F58" s="14" t="s">
        <v>18</v>
      </c>
      <c r="G58" s="9">
        <v>21521</v>
      </c>
      <c r="H58" s="76">
        <v>1000</v>
      </c>
      <c r="I58" s="10" t="s">
        <v>153</v>
      </c>
      <c r="J58" s="53">
        <v>21572</v>
      </c>
      <c r="K58" s="72">
        <v>750</v>
      </c>
      <c r="L58" s="54" t="s">
        <v>181</v>
      </c>
      <c r="M58" s="75"/>
      <c r="N58" s="73"/>
      <c r="O58" s="15"/>
    </row>
    <row r="59" spans="1:15" x14ac:dyDescent="0.25">
      <c r="A59" s="16"/>
      <c r="B59" s="49"/>
      <c r="C59" s="17" t="s">
        <v>133</v>
      </c>
      <c r="D59" s="13">
        <v>21463</v>
      </c>
      <c r="E59" s="70">
        <v>250</v>
      </c>
      <c r="F59" s="23" t="s">
        <v>141</v>
      </c>
      <c r="G59" s="9"/>
      <c r="H59" s="76"/>
      <c r="I59" s="10" t="s">
        <v>18</v>
      </c>
      <c r="J59" s="53"/>
      <c r="K59" s="72"/>
      <c r="L59" s="54" t="s">
        <v>182</v>
      </c>
      <c r="M59" s="75"/>
      <c r="N59" s="73"/>
      <c r="O59" s="15"/>
    </row>
    <row r="60" spans="1:15" x14ac:dyDescent="0.25">
      <c r="A60" s="16">
        <v>21411</v>
      </c>
      <c r="B60" s="49">
        <v>500</v>
      </c>
      <c r="C60" s="17" t="s">
        <v>76</v>
      </c>
      <c r="D60" s="13">
        <v>21464</v>
      </c>
      <c r="E60" s="70">
        <v>800</v>
      </c>
      <c r="F60" s="14" t="s">
        <v>20</v>
      </c>
      <c r="G60" s="9">
        <v>21522</v>
      </c>
      <c r="H60" s="76">
        <v>250</v>
      </c>
      <c r="I60" s="10" t="s">
        <v>157</v>
      </c>
      <c r="J60" s="53">
        <v>21573</v>
      </c>
      <c r="K60" s="78">
        <v>400</v>
      </c>
      <c r="L60" s="51"/>
      <c r="M60" s="75"/>
      <c r="N60" s="73"/>
      <c r="O60" s="15"/>
    </row>
    <row r="61" spans="1:15" x14ac:dyDescent="0.25">
      <c r="A61" s="16"/>
      <c r="B61" s="49"/>
      <c r="C61" s="17" t="s">
        <v>22</v>
      </c>
      <c r="D61" s="13"/>
      <c r="E61" s="70"/>
      <c r="F61" s="14" t="s">
        <v>134</v>
      </c>
      <c r="G61" s="9">
        <v>21523</v>
      </c>
      <c r="H61" s="76">
        <v>6250</v>
      </c>
      <c r="I61" s="10" t="s">
        <v>72</v>
      </c>
      <c r="J61" s="53">
        <v>21574</v>
      </c>
      <c r="K61" s="72">
        <v>250</v>
      </c>
      <c r="L61" s="51" t="s">
        <v>183</v>
      </c>
      <c r="M61" s="75"/>
      <c r="N61" s="73"/>
      <c r="O61" s="15"/>
    </row>
    <row r="62" spans="1:15" x14ac:dyDescent="0.25">
      <c r="A62" s="16">
        <v>21412</v>
      </c>
      <c r="B62" s="49">
        <v>300</v>
      </c>
      <c r="C62" s="21"/>
      <c r="D62" s="13">
        <v>21465</v>
      </c>
      <c r="E62" s="70">
        <v>400</v>
      </c>
      <c r="F62" s="14" t="s">
        <v>64</v>
      </c>
      <c r="G62" s="9"/>
      <c r="H62" s="76"/>
      <c r="I62" s="10" t="s">
        <v>18</v>
      </c>
      <c r="J62" s="53">
        <v>21575</v>
      </c>
      <c r="K62" s="72">
        <v>400</v>
      </c>
      <c r="L62" s="54"/>
      <c r="M62" s="75"/>
      <c r="N62" s="73"/>
      <c r="O62" s="15"/>
    </row>
    <row r="63" spans="1:15" x14ac:dyDescent="0.25">
      <c r="A63" s="16">
        <v>21413</v>
      </c>
      <c r="B63" s="49">
        <v>500</v>
      </c>
      <c r="C63" s="17"/>
      <c r="D63" s="13">
        <v>21466</v>
      </c>
      <c r="E63" s="70">
        <v>500</v>
      </c>
      <c r="F63" s="14"/>
      <c r="G63" s="9"/>
      <c r="H63" s="76"/>
      <c r="I63" s="10" t="s">
        <v>143</v>
      </c>
      <c r="J63" s="53">
        <v>21576</v>
      </c>
      <c r="K63" s="72">
        <v>500</v>
      </c>
      <c r="L63" s="54"/>
      <c r="M63" s="75"/>
      <c r="N63" s="73"/>
      <c r="O63" s="15"/>
    </row>
    <row r="64" spans="1:15" x14ac:dyDescent="0.25">
      <c r="A64" s="16">
        <v>21414</v>
      </c>
      <c r="B64" s="49">
        <v>250</v>
      </c>
      <c r="C64" s="17"/>
      <c r="D64" s="13">
        <v>21467</v>
      </c>
      <c r="E64" s="70">
        <v>500</v>
      </c>
      <c r="F64" s="14"/>
      <c r="G64" s="9"/>
      <c r="H64" s="76"/>
      <c r="I64" s="10" t="s">
        <v>158</v>
      </c>
      <c r="J64" s="53"/>
      <c r="K64" s="72"/>
      <c r="L64" s="54"/>
      <c r="M64" s="75"/>
      <c r="N64" s="73"/>
      <c r="O64" s="15"/>
    </row>
    <row r="65" spans="1:15" x14ac:dyDescent="0.25">
      <c r="A65" s="16">
        <v>21415</v>
      </c>
      <c r="B65" s="49">
        <v>400</v>
      </c>
      <c r="C65" s="17"/>
      <c r="D65" s="13">
        <v>21468</v>
      </c>
      <c r="E65" s="70">
        <v>600</v>
      </c>
      <c r="F65" s="14"/>
      <c r="G65" s="9">
        <v>21524</v>
      </c>
      <c r="H65" s="76">
        <v>50</v>
      </c>
      <c r="I65" s="10" t="s">
        <v>51</v>
      </c>
      <c r="J65" s="53"/>
      <c r="K65" s="72"/>
      <c r="L65" s="54"/>
      <c r="M65" s="75"/>
      <c r="N65" s="73"/>
      <c r="O65" s="15"/>
    </row>
    <row r="66" spans="1:15" x14ac:dyDescent="0.25">
      <c r="A66" s="16">
        <v>21416</v>
      </c>
      <c r="B66" s="49">
        <v>500</v>
      </c>
      <c r="C66" s="17" t="s">
        <v>76</v>
      </c>
      <c r="D66" s="13">
        <v>21469</v>
      </c>
      <c r="E66" s="70">
        <v>400</v>
      </c>
      <c r="F66" s="14"/>
      <c r="G66" s="9">
        <v>21525</v>
      </c>
      <c r="H66" s="76">
        <v>300</v>
      </c>
      <c r="I66" s="10" t="s">
        <v>152</v>
      </c>
      <c r="J66" s="53"/>
      <c r="K66" s="72"/>
      <c r="L66" s="54"/>
      <c r="M66" s="75"/>
      <c r="N66" s="73"/>
      <c r="O66" s="15"/>
    </row>
    <row r="67" spans="1:15" x14ac:dyDescent="0.25">
      <c r="A67" s="16"/>
      <c r="B67" s="49"/>
      <c r="C67" s="17" t="s">
        <v>22</v>
      </c>
      <c r="D67" s="13">
        <v>21470</v>
      </c>
      <c r="E67" s="70">
        <v>400</v>
      </c>
      <c r="F67" s="14"/>
      <c r="G67" s="9">
        <v>21526</v>
      </c>
      <c r="H67" s="76"/>
      <c r="I67" s="10" t="s">
        <v>54</v>
      </c>
      <c r="J67" s="53"/>
      <c r="K67" s="72"/>
      <c r="L67" s="54"/>
      <c r="M67" s="75"/>
      <c r="N67" s="73"/>
      <c r="O67" s="15"/>
    </row>
    <row r="68" spans="1:15" x14ac:dyDescent="0.25">
      <c r="A68" s="16">
        <v>21417</v>
      </c>
      <c r="B68" s="49">
        <v>250</v>
      </c>
      <c r="C68" s="83"/>
      <c r="D68" s="13">
        <v>21471</v>
      </c>
      <c r="E68" s="70">
        <v>200</v>
      </c>
      <c r="F68" s="14"/>
      <c r="G68" s="9">
        <v>21527</v>
      </c>
      <c r="H68" s="76">
        <v>5500</v>
      </c>
      <c r="I68" s="10" t="s">
        <v>72</v>
      </c>
      <c r="J68" s="53"/>
      <c r="K68" s="72"/>
      <c r="L68" s="54"/>
      <c r="M68" s="75"/>
      <c r="N68" s="73"/>
      <c r="O68" s="15"/>
    </row>
    <row r="69" spans="1:15" x14ac:dyDescent="0.25">
      <c r="A69" s="16">
        <v>21418</v>
      </c>
      <c r="B69" s="49">
        <v>500</v>
      </c>
      <c r="C69" s="17" t="s">
        <v>127</v>
      </c>
      <c r="D69" s="13">
        <v>21472</v>
      </c>
      <c r="E69" s="70">
        <v>500</v>
      </c>
      <c r="F69" s="14"/>
      <c r="G69" s="9"/>
      <c r="H69" s="76"/>
      <c r="I69" s="10" t="s">
        <v>18</v>
      </c>
      <c r="J69" s="53"/>
      <c r="K69" s="72"/>
      <c r="L69" s="54"/>
      <c r="M69" s="75"/>
      <c r="N69" s="73"/>
      <c r="O69" s="15"/>
    </row>
    <row r="70" spans="1:15" x14ac:dyDescent="0.25">
      <c r="A70" s="16">
        <v>21419</v>
      </c>
      <c r="B70" s="49">
        <v>500</v>
      </c>
      <c r="C70" s="17"/>
      <c r="D70" s="13">
        <v>21473</v>
      </c>
      <c r="E70" s="70">
        <v>500</v>
      </c>
      <c r="F70" s="14"/>
      <c r="G70" s="9">
        <v>21528</v>
      </c>
      <c r="H70" s="76">
        <v>5500</v>
      </c>
      <c r="I70" s="10" t="s">
        <v>72</v>
      </c>
      <c r="J70" s="53"/>
      <c r="K70" s="72"/>
      <c r="L70" s="54"/>
      <c r="M70" s="75"/>
      <c r="N70" s="73"/>
      <c r="O70" s="15"/>
    </row>
    <row r="71" spans="1:15" x14ac:dyDescent="0.25">
      <c r="A71" s="16">
        <v>21420</v>
      </c>
      <c r="B71" s="49">
        <v>500</v>
      </c>
      <c r="C71" s="22"/>
      <c r="D71" s="13">
        <v>21474</v>
      </c>
      <c r="E71" s="70">
        <v>800</v>
      </c>
      <c r="F71" s="14" t="s">
        <v>20</v>
      </c>
      <c r="G71" s="9"/>
      <c r="H71" s="76"/>
      <c r="I71" s="10" t="s">
        <v>18</v>
      </c>
      <c r="J71" s="53"/>
      <c r="K71" s="72"/>
      <c r="L71" s="54"/>
      <c r="M71" s="75"/>
      <c r="N71" s="73"/>
      <c r="O71" s="15"/>
    </row>
    <row r="72" spans="1:15" x14ac:dyDescent="0.25">
      <c r="A72" s="16">
        <v>21421</v>
      </c>
      <c r="B72" s="49">
        <v>1000</v>
      </c>
      <c r="C72" s="17" t="s">
        <v>76</v>
      </c>
      <c r="D72" s="13"/>
      <c r="E72" s="70"/>
      <c r="F72" s="14" t="s">
        <v>134</v>
      </c>
      <c r="G72" s="11">
        <v>21529</v>
      </c>
      <c r="H72" s="67">
        <v>500</v>
      </c>
      <c r="I72" s="12"/>
      <c r="J72" s="53"/>
      <c r="K72" s="72"/>
      <c r="L72" s="54"/>
      <c r="M72" s="75"/>
      <c r="N72" s="73"/>
      <c r="O72" s="15"/>
    </row>
    <row r="73" spans="1:15" x14ac:dyDescent="0.25">
      <c r="A73" s="16"/>
      <c r="B73" s="49"/>
      <c r="C73" s="17" t="s">
        <v>18</v>
      </c>
      <c r="D73" s="13">
        <v>21475</v>
      </c>
      <c r="E73" s="70">
        <v>5500</v>
      </c>
      <c r="F73" s="14" t="s">
        <v>72</v>
      </c>
      <c r="G73" s="11">
        <v>21530</v>
      </c>
      <c r="H73" s="67">
        <v>700</v>
      </c>
      <c r="I73" s="12" t="s">
        <v>153</v>
      </c>
      <c r="J73" s="53"/>
      <c r="K73" s="72"/>
      <c r="L73" s="54"/>
      <c r="M73" s="75"/>
      <c r="N73" s="73"/>
      <c r="O73" s="15"/>
    </row>
    <row r="74" spans="1:15" x14ac:dyDescent="0.25">
      <c r="A74" s="16">
        <v>21422</v>
      </c>
      <c r="B74" s="49">
        <v>440</v>
      </c>
      <c r="C74" s="17"/>
      <c r="D74" s="13"/>
      <c r="E74" s="70"/>
      <c r="F74" s="14" t="s">
        <v>18</v>
      </c>
      <c r="G74" s="11"/>
      <c r="H74" s="67"/>
      <c r="I74" s="12" t="s">
        <v>131</v>
      </c>
      <c r="J74" s="53"/>
      <c r="K74" s="72"/>
      <c r="L74" s="54"/>
      <c r="M74" s="75"/>
      <c r="N74" s="73"/>
      <c r="O74" s="15"/>
    </row>
    <row r="75" spans="1:15" x14ac:dyDescent="0.25">
      <c r="A75" s="16">
        <v>21423</v>
      </c>
      <c r="B75" s="49">
        <v>250</v>
      </c>
      <c r="C75" s="17"/>
      <c r="D75" s="13"/>
      <c r="E75" s="70"/>
      <c r="F75" s="14" t="s">
        <v>73</v>
      </c>
      <c r="G75" s="11">
        <v>21531</v>
      </c>
      <c r="H75" s="67">
        <v>600</v>
      </c>
      <c r="I75" s="12" t="s">
        <v>121</v>
      </c>
      <c r="J75" s="53"/>
      <c r="K75" s="72"/>
      <c r="L75" s="54"/>
      <c r="M75" s="75"/>
      <c r="N75" s="73"/>
      <c r="O75" s="15"/>
    </row>
    <row r="76" spans="1:15" x14ac:dyDescent="0.25">
      <c r="A76" s="16">
        <v>21424</v>
      </c>
      <c r="B76" s="49">
        <v>500</v>
      </c>
      <c r="C76" s="17"/>
      <c r="D76" s="13">
        <v>21476</v>
      </c>
      <c r="E76" s="70">
        <v>400</v>
      </c>
      <c r="F76" s="14"/>
      <c r="G76" s="11"/>
      <c r="H76" s="67"/>
      <c r="I76" s="12" t="s">
        <v>44</v>
      </c>
      <c r="J76" s="53"/>
      <c r="K76" s="72"/>
      <c r="L76" s="54"/>
      <c r="M76" s="75"/>
      <c r="N76" s="73"/>
      <c r="O76" s="15"/>
    </row>
    <row r="77" spans="1:15" x14ac:dyDescent="0.25">
      <c r="A77" s="16">
        <v>21425</v>
      </c>
      <c r="B77" s="49">
        <v>500</v>
      </c>
      <c r="C77" s="17" t="s">
        <v>127</v>
      </c>
      <c r="D77" s="13">
        <v>21477</v>
      </c>
      <c r="E77" s="70">
        <v>300</v>
      </c>
      <c r="F77" s="14" t="s">
        <v>113</v>
      </c>
      <c r="G77" s="11">
        <v>21532</v>
      </c>
      <c r="H77" s="67">
        <v>400</v>
      </c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21426</v>
      </c>
      <c r="B78" s="49">
        <v>250</v>
      </c>
      <c r="C78" s="17" t="s">
        <v>127</v>
      </c>
      <c r="D78" s="13">
        <v>21478</v>
      </c>
      <c r="E78" s="70">
        <v>300</v>
      </c>
      <c r="F78" s="14"/>
      <c r="G78" s="11">
        <v>21533</v>
      </c>
      <c r="H78" s="67">
        <v>550</v>
      </c>
      <c r="I78" s="12" t="s">
        <v>159</v>
      </c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/>
      <c r="D79" s="13">
        <v>21479</v>
      </c>
      <c r="E79" s="70">
        <v>500</v>
      </c>
      <c r="F79" s="14"/>
      <c r="G79" s="11"/>
      <c r="H79" s="67"/>
      <c r="I79" s="12" t="s">
        <v>44</v>
      </c>
      <c r="J79" s="53"/>
      <c r="K79" s="72"/>
      <c r="L79" s="54"/>
      <c r="M79" s="75"/>
      <c r="N79" s="73"/>
      <c r="O79" s="15"/>
    </row>
    <row r="80" spans="1:15" x14ac:dyDescent="0.25">
      <c r="A80" s="16"/>
      <c r="B80" s="49"/>
      <c r="C80" s="17"/>
      <c r="D80" s="13">
        <v>21480</v>
      </c>
      <c r="E80" s="70">
        <v>500</v>
      </c>
      <c r="F80" s="14"/>
      <c r="G80" s="11">
        <v>21534</v>
      </c>
      <c r="H80" s="67">
        <v>200</v>
      </c>
      <c r="I80" s="12" t="s">
        <v>160</v>
      </c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/>
      <c r="D81" s="13">
        <v>21481</v>
      </c>
      <c r="E81" s="70">
        <v>1000</v>
      </c>
      <c r="F81" s="14" t="s">
        <v>142</v>
      </c>
      <c r="G81" s="11">
        <v>21535</v>
      </c>
      <c r="H81" s="67">
        <v>50</v>
      </c>
      <c r="I81" s="12" t="s">
        <v>51</v>
      </c>
      <c r="J81" s="53"/>
      <c r="K81" s="72"/>
      <c r="L81" s="54"/>
      <c r="M81" s="75"/>
      <c r="N81" s="73"/>
      <c r="O81" s="15"/>
    </row>
    <row r="82" spans="1:15" x14ac:dyDescent="0.25">
      <c r="A82" s="16"/>
      <c r="B82" s="49"/>
      <c r="C82" s="17"/>
      <c r="D82" s="13"/>
      <c r="E82" s="70"/>
      <c r="F82" s="14" t="s">
        <v>18</v>
      </c>
      <c r="G82" s="11">
        <v>21536</v>
      </c>
      <c r="H82" s="67">
        <v>1350</v>
      </c>
      <c r="I82" s="12" t="s">
        <v>161</v>
      </c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/>
      <c r="D83" s="13">
        <v>21482</v>
      </c>
      <c r="E83" s="70">
        <v>400</v>
      </c>
      <c r="F83" s="14"/>
      <c r="G83" s="11"/>
      <c r="H83" s="67"/>
      <c r="I83" s="12" t="s">
        <v>162</v>
      </c>
      <c r="J83" s="53"/>
      <c r="K83" s="72"/>
      <c r="L83" s="54"/>
      <c r="M83" s="75"/>
      <c r="N83" s="73"/>
      <c r="O83" s="15"/>
    </row>
    <row r="84" spans="1:15" x14ac:dyDescent="0.25">
      <c r="A84" s="16"/>
      <c r="B84" s="49"/>
      <c r="C84" s="17"/>
      <c r="D84" s="13">
        <v>21483</v>
      </c>
      <c r="E84" s="70">
        <v>200</v>
      </c>
      <c r="F84" s="14"/>
      <c r="G84" s="11"/>
      <c r="H84" s="67"/>
      <c r="I84" s="12" t="s">
        <v>22</v>
      </c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/>
      <c r="D85" s="13">
        <v>21484</v>
      </c>
      <c r="E85" s="70">
        <v>400</v>
      </c>
      <c r="F85" s="14" t="s">
        <v>20</v>
      </c>
      <c r="G85" s="11"/>
      <c r="H85" s="67"/>
      <c r="I85" s="12" t="s">
        <v>163</v>
      </c>
      <c r="J85" s="53"/>
      <c r="K85" s="72"/>
      <c r="L85" s="54"/>
      <c r="M85" s="75"/>
      <c r="N85" s="73"/>
      <c r="O85" s="15"/>
    </row>
    <row r="86" spans="1:15" x14ac:dyDescent="0.25">
      <c r="A86" s="16"/>
      <c r="B86" s="49"/>
      <c r="C86" s="17"/>
      <c r="D86" s="13"/>
      <c r="E86" s="70"/>
      <c r="F86" s="14" t="s">
        <v>44</v>
      </c>
      <c r="G86" s="11">
        <v>21537</v>
      </c>
      <c r="H86" s="67">
        <v>200</v>
      </c>
      <c r="I86" s="12" t="s">
        <v>157</v>
      </c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/>
      <c r="D87" s="13">
        <v>21485</v>
      </c>
      <c r="E87" s="70">
        <v>400</v>
      </c>
      <c r="F87" s="14" t="s">
        <v>20</v>
      </c>
      <c r="G87" s="11">
        <v>21538</v>
      </c>
      <c r="H87" s="67">
        <v>3000</v>
      </c>
      <c r="I87" s="12" t="s">
        <v>164</v>
      </c>
      <c r="J87" s="53"/>
      <c r="K87" s="72"/>
      <c r="L87" s="54"/>
      <c r="M87" s="75"/>
      <c r="N87" s="73"/>
      <c r="O87" s="15"/>
    </row>
    <row r="88" spans="1:15" x14ac:dyDescent="0.25">
      <c r="A88" s="16"/>
      <c r="B88" s="49"/>
      <c r="C88" s="17"/>
      <c r="D88" s="13"/>
      <c r="E88" s="70"/>
      <c r="F88" s="14" t="s">
        <v>44</v>
      </c>
      <c r="G88" s="11"/>
      <c r="H88" s="67"/>
      <c r="I88" s="12" t="s">
        <v>165</v>
      </c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/>
      <c r="D89" s="13">
        <v>21486</v>
      </c>
      <c r="E89" s="70">
        <v>1500</v>
      </c>
      <c r="F89" s="14" t="s">
        <v>59</v>
      </c>
      <c r="G89" s="11">
        <v>21539</v>
      </c>
      <c r="H89" s="67"/>
      <c r="I89" s="12" t="s">
        <v>54</v>
      </c>
      <c r="J89" s="53"/>
      <c r="K89" s="72"/>
      <c r="L89" s="54"/>
      <c r="M89" s="75"/>
      <c r="N89" s="73"/>
      <c r="O89" s="15"/>
    </row>
    <row r="90" spans="1:15" x14ac:dyDescent="0.25">
      <c r="A90" s="16"/>
      <c r="B90" s="49"/>
      <c r="C90" s="17"/>
      <c r="D90" s="13"/>
      <c r="E90" s="70"/>
      <c r="F90" s="14" t="s">
        <v>18</v>
      </c>
      <c r="G90" s="11">
        <v>21540</v>
      </c>
      <c r="H90" s="67">
        <v>400</v>
      </c>
      <c r="I90" s="12" t="s">
        <v>152</v>
      </c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/>
      <c r="D91" s="13">
        <v>21487</v>
      </c>
      <c r="E91" s="70">
        <v>500</v>
      </c>
      <c r="F91" s="14"/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53"/>
      <c r="K100" s="72"/>
      <c r="L100" s="57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2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26"/>
      <c r="C536" s="58"/>
      <c r="D536" s="26"/>
      <c r="E536" s="58"/>
      <c r="F536" s="58"/>
      <c r="G536" s="26"/>
      <c r="H536" s="58"/>
      <c r="I536" s="58"/>
      <c r="J536" s="26"/>
      <c r="K536" s="58"/>
      <c r="L536" s="58"/>
      <c r="M536" s="58"/>
      <c r="N536" s="58"/>
      <c r="O536" s="58"/>
    </row>
    <row r="537" spans="1:15" x14ac:dyDescent="0.25">
      <c r="A537" s="26"/>
      <c r="B537" s="26"/>
      <c r="C537" s="58"/>
      <c r="D537" s="26"/>
      <c r="E537" s="58"/>
      <c r="F537" s="58"/>
      <c r="G537" s="26"/>
      <c r="H537" s="58"/>
      <c r="I537" s="58"/>
      <c r="J537" s="26"/>
      <c r="K537" s="58"/>
      <c r="L537" s="58"/>
      <c r="M537" s="58"/>
      <c r="N537" s="58"/>
      <c r="O537" s="58"/>
    </row>
    <row r="538" spans="1:15" x14ac:dyDescent="0.25">
      <c r="A538" s="26"/>
      <c r="B538" s="26"/>
      <c r="C538" s="58"/>
      <c r="D538" s="26"/>
      <c r="E538" s="58"/>
      <c r="F538" s="58"/>
      <c r="G538" s="26"/>
      <c r="H538" s="58"/>
      <c r="I538" s="58"/>
      <c r="J538" s="26"/>
      <c r="K538" s="58"/>
      <c r="L538" s="58"/>
      <c r="M538" s="58"/>
      <c r="N538" s="58"/>
      <c r="O538" s="58"/>
    </row>
    <row r="539" spans="1:15" x14ac:dyDescent="0.25">
      <c r="A539" s="26"/>
      <c r="B539" s="26"/>
      <c r="C539" s="58"/>
      <c r="D539" s="26"/>
      <c r="E539" s="58"/>
      <c r="F539" s="58"/>
      <c r="G539" s="26"/>
      <c r="H539" s="58"/>
      <c r="I539" s="58"/>
      <c r="J539" s="26"/>
      <c r="K539" s="58"/>
      <c r="L539" s="58"/>
      <c r="M539" s="58"/>
      <c r="N539" s="58"/>
      <c r="O539" s="58"/>
    </row>
    <row r="540" spans="1:15" x14ac:dyDescent="0.25">
      <c r="A540" s="26"/>
      <c r="B540" s="26"/>
      <c r="C540" s="58"/>
      <c r="D540" s="26"/>
      <c r="E540" s="58"/>
      <c r="F540" s="58"/>
      <c r="G540" s="26"/>
      <c r="H540" s="58"/>
      <c r="I540" s="58"/>
      <c r="J540" s="26"/>
      <c r="K540" s="58"/>
      <c r="L540" s="58"/>
      <c r="M540" s="58"/>
      <c r="N540" s="58"/>
      <c r="O540" s="58"/>
    </row>
    <row r="541" spans="1:15" x14ac:dyDescent="0.25">
      <c r="A541" s="26"/>
      <c r="B541" s="26"/>
      <c r="C541" s="58"/>
      <c r="D541" s="26"/>
      <c r="E541" s="58"/>
      <c r="F541" s="58"/>
      <c r="G541" s="26"/>
      <c r="H541" s="58"/>
      <c r="I541" s="58"/>
      <c r="J541" s="26"/>
      <c r="K541" s="58"/>
      <c r="L541" s="58"/>
      <c r="M541" s="58"/>
      <c r="N541" s="58"/>
      <c r="O541" s="58"/>
    </row>
    <row r="542" spans="1:15" x14ac:dyDescent="0.25">
      <c r="A542" s="26"/>
      <c r="B542" s="26"/>
      <c r="C542" s="58"/>
      <c r="D542" s="26"/>
      <c r="E542" s="58"/>
      <c r="F542" s="58"/>
      <c r="G542" s="26"/>
      <c r="H542" s="58"/>
      <c r="I542" s="58"/>
      <c r="J542" s="26"/>
      <c r="K542" s="58"/>
      <c r="L542" s="58"/>
      <c r="M542" s="58"/>
      <c r="N542" s="58"/>
      <c r="O542" s="58"/>
    </row>
    <row r="543" spans="1:15" x14ac:dyDescent="0.25">
      <c r="A543" s="26"/>
      <c r="B543" s="26"/>
      <c r="C543" s="58"/>
      <c r="D543" s="26"/>
      <c r="E543" s="58"/>
      <c r="F543" s="58"/>
      <c r="G543" s="26"/>
      <c r="H543" s="58"/>
      <c r="I543" s="58"/>
      <c r="J543" s="26"/>
      <c r="K543" s="58"/>
      <c r="L543" s="58"/>
      <c r="M543" s="58"/>
      <c r="N543" s="58"/>
      <c r="O543" s="58"/>
    </row>
    <row r="544" spans="1:15" x14ac:dyDescent="0.25">
      <c r="A544" s="26"/>
      <c r="B544" s="26"/>
      <c r="C544" s="58"/>
      <c r="D544" s="26"/>
      <c r="E544" s="58"/>
      <c r="F544" s="58"/>
      <c r="G544" s="26"/>
      <c r="H544" s="58"/>
      <c r="I544" s="58"/>
      <c r="J544" s="26"/>
      <c r="K544" s="58"/>
      <c r="L544" s="58"/>
      <c r="M544" s="58"/>
      <c r="N544" s="58"/>
      <c r="O544" s="58"/>
    </row>
    <row r="545" spans="1:15" x14ac:dyDescent="0.25">
      <c r="A545" s="26"/>
      <c r="B545" s="26"/>
      <c r="C545" s="58"/>
      <c r="D545" s="26"/>
      <c r="E545" s="58"/>
      <c r="F545" s="58"/>
      <c r="G545" s="26"/>
      <c r="H545" s="58"/>
      <c r="I545" s="58"/>
      <c r="J545" s="26"/>
      <c r="K545" s="58"/>
      <c r="L545" s="58"/>
      <c r="M545" s="58"/>
      <c r="N545" s="58"/>
      <c r="O545" s="58"/>
    </row>
    <row r="546" spans="1:15" x14ac:dyDescent="0.25">
      <c r="A546" s="26"/>
      <c r="B546" s="26"/>
      <c r="C546" s="58"/>
      <c r="D546" s="26"/>
      <c r="E546" s="58"/>
      <c r="F546" s="58"/>
      <c r="G546" s="26"/>
      <c r="H546" s="58"/>
      <c r="I546" s="58"/>
      <c r="J546" s="26"/>
      <c r="K546" s="58"/>
      <c r="L546" s="58"/>
      <c r="M546" s="58"/>
      <c r="N546" s="58"/>
      <c r="O546" s="58"/>
    </row>
    <row r="547" spans="1:15" x14ac:dyDescent="0.25">
      <c r="A547" s="26"/>
      <c r="B547" s="26"/>
      <c r="C547" s="58"/>
      <c r="D547" s="26"/>
      <c r="E547" s="58"/>
      <c r="F547" s="58"/>
      <c r="G547" s="26"/>
      <c r="H547" s="58"/>
      <c r="I547" s="58"/>
      <c r="J547" s="26"/>
      <c r="K547" s="58"/>
      <c r="L547" s="58"/>
      <c r="M547" s="58"/>
      <c r="N547" s="58"/>
      <c r="O547" s="58"/>
    </row>
    <row r="548" spans="1:15" x14ac:dyDescent="0.25">
      <c r="A548" s="26"/>
      <c r="B548" s="26"/>
      <c r="C548" s="58"/>
      <c r="D548" s="26"/>
      <c r="E548" s="58"/>
      <c r="F548" s="58"/>
      <c r="G548" s="26"/>
      <c r="H548" s="58"/>
      <c r="I548" s="58"/>
      <c r="J548" s="26"/>
      <c r="K548" s="58"/>
      <c r="L548" s="58"/>
      <c r="M548" s="58"/>
      <c r="N548" s="58"/>
      <c r="O548" s="58"/>
    </row>
    <row r="549" spans="1:15" x14ac:dyDescent="0.25">
      <c r="A549" s="26"/>
      <c r="B549" s="26"/>
      <c r="C549" s="58"/>
      <c r="D549" s="26"/>
      <c r="E549" s="58"/>
      <c r="F549" s="58"/>
      <c r="G549" s="26"/>
      <c r="H549" s="58"/>
      <c r="I549" s="58"/>
      <c r="J549" s="26"/>
      <c r="K549" s="58"/>
      <c r="L549" s="58"/>
      <c r="M549" s="58"/>
      <c r="N549" s="58"/>
      <c r="O549" s="58"/>
    </row>
    <row r="550" spans="1:15" x14ac:dyDescent="0.25">
      <c r="A550" s="26"/>
      <c r="B550" s="26"/>
      <c r="C550" s="58"/>
      <c r="D550" s="26"/>
      <c r="E550" s="58"/>
      <c r="F550" s="58"/>
      <c r="G550" s="26"/>
      <c r="H550" s="58"/>
      <c r="I550" s="58"/>
      <c r="J550" s="26"/>
      <c r="K550" s="58"/>
      <c r="L550" s="58"/>
      <c r="M550" s="58"/>
      <c r="N550" s="58"/>
      <c r="O550" s="58"/>
    </row>
    <row r="551" spans="1:15" x14ac:dyDescent="0.25">
      <c r="A551" s="26"/>
      <c r="B551" s="26"/>
      <c r="C551" s="58"/>
      <c r="D551" s="26"/>
      <c r="E551" s="58"/>
      <c r="F551" s="58"/>
      <c r="G551" s="26"/>
      <c r="H551" s="58"/>
      <c r="I551" s="58"/>
      <c r="J551" s="26"/>
      <c r="K551" s="58"/>
      <c r="L551" s="58"/>
      <c r="M551" s="58"/>
      <c r="N551" s="58"/>
      <c r="O551" s="58"/>
    </row>
    <row r="552" spans="1:15" x14ac:dyDescent="0.25">
      <c r="A552" s="26"/>
      <c r="B552" s="26"/>
      <c r="C552" s="58"/>
      <c r="D552" s="26"/>
      <c r="E552" s="58"/>
      <c r="F552" s="58"/>
      <c r="G552" s="26"/>
      <c r="H552" s="58"/>
      <c r="I552" s="58"/>
      <c r="J552" s="26"/>
      <c r="K552" s="58"/>
      <c r="L552" s="58"/>
      <c r="M552" s="58"/>
      <c r="N552" s="58"/>
      <c r="O552" s="58"/>
    </row>
    <row r="553" spans="1:15" x14ac:dyDescent="0.25">
      <c r="A553" s="26"/>
      <c r="B553" s="26"/>
      <c r="C553" s="58"/>
      <c r="D553" s="26"/>
      <c r="E553" s="58"/>
      <c r="F553" s="58"/>
      <c r="G553" s="26"/>
      <c r="H553" s="58"/>
      <c r="I553" s="58"/>
      <c r="J553" s="26"/>
      <c r="K553" s="58"/>
      <c r="L553" s="58"/>
      <c r="M553" s="58"/>
      <c r="N553" s="58"/>
      <c r="O553" s="58"/>
    </row>
    <row r="554" spans="1:15" x14ac:dyDescent="0.25">
      <c r="A554" s="26"/>
      <c r="B554" s="26"/>
      <c r="C554" s="58"/>
      <c r="D554" s="26"/>
      <c r="E554" s="58"/>
      <c r="F554" s="58"/>
      <c r="G554" s="26"/>
      <c r="H554" s="58"/>
      <c r="I554" s="58"/>
      <c r="J554" s="26"/>
      <c r="K554" s="58"/>
      <c r="L554" s="58"/>
      <c r="M554" s="58"/>
      <c r="N554" s="58"/>
      <c r="O554" s="58"/>
    </row>
    <row r="555" spans="1:15" x14ac:dyDescent="0.25">
      <c r="A555" s="26"/>
      <c r="B555" s="26"/>
      <c r="C555" s="58"/>
      <c r="D555" s="26"/>
      <c r="E555" s="58"/>
      <c r="F555" s="58"/>
      <c r="G555" s="26"/>
      <c r="H555" s="58"/>
      <c r="I555" s="58"/>
      <c r="J555" s="26"/>
      <c r="K555" s="58"/>
      <c r="L555" s="58"/>
      <c r="M555" s="58"/>
      <c r="N555" s="58"/>
      <c r="O555" s="58"/>
    </row>
    <row r="556" spans="1:15" x14ac:dyDescent="0.25">
      <c r="A556" s="26"/>
      <c r="B556" s="26"/>
      <c r="C556" s="58"/>
      <c r="D556" s="26"/>
      <c r="E556" s="58"/>
      <c r="F556" s="58"/>
      <c r="G556" s="26"/>
      <c r="H556" s="58"/>
      <c r="I556" s="58"/>
      <c r="J556" s="26"/>
      <c r="K556" s="58"/>
      <c r="L556" s="58"/>
      <c r="M556" s="58"/>
      <c r="N556" s="58"/>
      <c r="O556" s="58"/>
    </row>
    <row r="557" spans="1:15" x14ac:dyDescent="0.25">
      <c r="A557" s="26"/>
      <c r="B557" s="26"/>
      <c r="C557" s="58"/>
      <c r="D557" s="26"/>
      <c r="E557" s="58"/>
      <c r="F557" s="58"/>
      <c r="G557" s="26"/>
      <c r="H557" s="58"/>
      <c r="I557" s="58"/>
      <c r="J557" s="26"/>
      <c r="K557" s="58"/>
      <c r="L557" s="58"/>
      <c r="M557" s="58"/>
      <c r="N557" s="58"/>
      <c r="O557" s="58"/>
    </row>
    <row r="558" spans="1:15" x14ac:dyDescent="0.25">
      <c r="A558" s="26"/>
      <c r="B558" s="26"/>
      <c r="C558" s="58"/>
      <c r="D558" s="26"/>
      <c r="E558" s="58"/>
      <c r="F558" s="58"/>
      <c r="G558" s="26"/>
      <c r="H558" s="58"/>
      <c r="I558" s="58"/>
      <c r="J558" s="26"/>
      <c r="K558" s="58"/>
      <c r="L558" s="58"/>
      <c r="M558" s="58"/>
      <c r="N558" s="58"/>
      <c r="O558" s="58"/>
    </row>
    <row r="559" spans="1:15" x14ac:dyDescent="0.25">
      <c r="A559" s="26"/>
      <c r="B559" s="26"/>
      <c r="C559" s="58"/>
      <c r="D559" s="26"/>
      <c r="E559" s="58"/>
      <c r="F559" s="58"/>
      <c r="G559" s="26"/>
      <c r="H559" s="58"/>
      <c r="I559" s="58"/>
      <c r="J559" s="26"/>
      <c r="K559" s="58"/>
      <c r="L559" s="58"/>
      <c r="M559" s="58"/>
      <c r="N559" s="58"/>
      <c r="O559" s="58"/>
    </row>
    <row r="560" spans="1:15" x14ac:dyDescent="0.25">
      <c r="A560" s="26"/>
      <c r="B560" s="26"/>
      <c r="C560" s="58"/>
      <c r="D560" s="26"/>
      <c r="E560" s="58"/>
      <c r="F560" s="58"/>
      <c r="G560" s="26"/>
      <c r="H560" s="58"/>
      <c r="I560" s="58"/>
      <c r="J560" s="26"/>
      <c r="K560" s="58"/>
      <c r="L560" s="58"/>
      <c r="M560" s="58"/>
      <c r="N560" s="58"/>
      <c r="O560" s="58"/>
    </row>
    <row r="561" spans="1:15" x14ac:dyDescent="0.25">
      <c r="A561" s="26"/>
      <c r="B561" s="26"/>
      <c r="C561" s="58"/>
      <c r="D561" s="26"/>
      <c r="E561" s="58"/>
      <c r="F561" s="58"/>
      <c r="G561" s="26"/>
      <c r="H561" s="58"/>
      <c r="I561" s="58"/>
      <c r="J561" s="26"/>
      <c r="K561" s="58"/>
      <c r="L561" s="58"/>
      <c r="M561" s="58"/>
      <c r="N561" s="58"/>
      <c r="O561" s="58"/>
    </row>
    <row r="562" spans="1:15" x14ac:dyDescent="0.25">
      <c r="A562" s="26"/>
      <c r="B562" s="26"/>
      <c r="C562" s="58"/>
      <c r="D562" s="26"/>
      <c r="E562" s="58"/>
      <c r="F562" s="58"/>
      <c r="G562" s="26"/>
      <c r="H562" s="58"/>
      <c r="I562" s="58"/>
      <c r="J562" s="26"/>
      <c r="K562" s="58"/>
      <c r="L562" s="58"/>
      <c r="M562" s="58"/>
      <c r="N562" s="58"/>
      <c r="O562" s="58"/>
    </row>
    <row r="563" spans="1:15" x14ac:dyDescent="0.25">
      <c r="A563" s="26"/>
      <c r="B563" s="26"/>
      <c r="C563" s="58"/>
      <c r="D563" s="26"/>
      <c r="E563" s="58"/>
      <c r="F563" s="58"/>
      <c r="G563" s="26"/>
      <c r="H563" s="58"/>
      <c r="I563" s="58"/>
      <c r="J563" s="26"/>
      <c r="K563" s="58"/>
      <c r="L563" s="58"/>
      <c r="M563" s="58"/>
      <c r="N563" s="58"/>
      <c r="O563" s="58"/>
    </row>
    <row r="564" spans="1:15" x14ac:dyDescent="0.25">
      <c r="A564" s="26"/>
      <c r="B564" s="26"/>
      <c r="C564" s="58"/>
      <c r="D564" s="26"/>
      <c r="E564" s="58"/>
      <c r="F564" s="58"/>
      <c r="G564" s="26"/>
      <c r="H564" s="58"/>
      <c r="I564" s="58"/>
      <c r="J564" s="26"/>
      <c r="K564" s="58"/>
      <c r="L564" s="58"/>
      <c r="M564" s="58"/>
      <c r="N564" s="58"/>
      <c r="O564" s="58"/>
    </row>
    <row r="565" spans="1:15" x14ac:dyDescent="0.25">
      <c r="A565" s="26"/>
      <c r="B565" s="26"/>
      <c r="C565" s="58"/>
      <c r="D565" s="26"/>
      <c r="E565" s="58"/>
      <c r="F565" s="58"/>
      <c r="G565" s="26"/>
      <c r="H565" s="58"/>
      <c r="I565" s="58"/>
      <c r="J565" s="26"/>
      <c r="K565" s="58"/>
      <c r="L565" s="58"/>
      <c r="M565" s="58"/>
      <c r="N565" s="58"/>
      <c r="O565" s="58"/>
    </row>
    <row r="566" spans="1:15" x14ac:dyDescent="0.25">
      <c r="A566" s="26"/>
      <c r="B566" s="26"/>
      <c r="C566" s="58"/>
      <c r="D566" s="26"/>
      <c r="E566" s="58"/>
      <c r="F566" s="58"/>
      <c r="G566" s="26"/>
      <c r="H566" s="58"/>
      <c r="I566" s="58"/>
      <c r="J566" s="26"/>
      <c r="K566" s="58"/>
      <c r="L566" s="58"/>
      <c r="M566" s="58"/>
      <c r="N566" s="58"/>
      <c r="O566" s="58"/>
    </row>
    <row r="567" spans="1:15" x14ac:dyDescent="0.25">
      <c r="A567" s="26"/>
      <c r="B567" s="26"/>
      <c r="C567" s="58"/>
      <c r="D567" s="26"/>
      <c r="E567" s="58"/>
      <c r="F567" s="58"/>
      <c r="G567" s="26"/>
      <c r="H567" s="58"/>
      <c r="I567" s="58"/>
      <c r="J567" s="26"/>
      <c r="K567" s="58"/>
      <c r="L567" s="58"/>
      <c r="M567" s="58"/>
      <c r="N567" s="58"/>
      <c r="O567" s="58"/>
    </row>
    <row r="568" spans="1:15" x14ac:dyDescent="0.25">
      <c r="A568" s="26"/>
      <c r="B568" s="26"/>
      <c r="C568" s="58"/>
      <c r="D568" s="26"/>
      <c r="E568" s="58"/>
      <c r="F568" s="58"/>
      <c r="G568" s="26"/>
      <c r="H568" s="58"/>
      <c r="I568" s="58"/>
      <c r="J568" s="26"/>
      <c r="K568" s="58"/>
      <c r="L568" s="58"/>
      <c r="M568" s="58"/>
      <c r="N568" s="58"/>
      <c r="O568" s="58"/>
    </row>
    <row r="569" spans="1:15" x14ac:dyDescent="0.25">
      <c r="A569" s="26"/>
      <c r="B569" s="26"/>
      <c r="C569" s="58"/>
      <c r="D569" s="26"/>
      <c r="E569" s="58"/>
      <c r="F569" s="58"/>
      <c r="G569" s="26"/>
      <c r="H569" s="58"/>
      <c r="I569" s="58"/>
      <c r="J569" s="26"/>
      <c r="K569" s="58"/>
      <c r="L569" s="58"/>
      <c r="M569" s="58"/>
      <c r="N569" s="58"/>
      <c r="O569" s="58"/>
    </row>
    <row r="570" spans="1:15" x14ac:dyDescent="0.25">
      <c r="A570" s="26"/>
      <c r="B570" s="26"/>
      <c r="C570" s="58"/>
      <c r="D570" s="26"/>
      <c r="E570" s="58"/>
      <c r="F570" s="58"/>
      <c r="G570" s="26"/>
      <c r="H570" s="58"/>
      <c r="I570" s="58"/>
      <c r="J570" s="26"/>
      <c r="K570" s="58"/>
      <c r="L570" s="58"/>
      <c r="M570" s="58"/>
      <c r="N570" s="58"/>
      <c r="O570" s="58"/>
    </row>
    <row r="571" spans="1:15" x14ac:dyDescent="0.25">
      <c r="A571" s="26"/>
      <c r="B571" s="26"/>
      <c r="C571" s="58"/>
      <c r="D571" s="26"/>
      <c r="E571" s="58"/>
      <c r="F571" s="58"/>
      <c r="G571" s="26"/>
      <c r="H571" s="58"/>
      <c r="I571" s="58"/>
      <c r="J571" s="26"/>
      <c r="K571" s="58"/>
      <c r="L571" s="58"/>
      <c r="M571" s="58"/>
      <c r="N571" s="58"/>
      <c r="O571" s="58"/>
    </row>
    <row r="572" spans="1:15" x14ac:dyDescent="0.25">
      <c r="A572" s="26"/>
      <c r="B572" s="26"/>
      <c r="C572" s="58"/>
      <c r="D572" s="26"/>
      <c r="E572" s="58"/>
      <c r="F572" s="58"/>
      <c r="G572" s="26"/>
      <c r="H572" s="58"/>
      <c r="I572" s="58"/>
      <c r="J572" s="26"/>
      <c r="K572" s="58"/>
      <c r="L572" s="58"/>
      <c r="M572" s="58"/>
      <c r="N572" s="58"/>
      <c r="O572" s="58"/>
    </row>
    <row r="573" spans="1:15" x14ac:dyDescent="0.25">
      <c r="A573" s="26"/>
      <c r="B573" s="26"/>
      <c r="C573" s="58"/>
      <c r="D573" s="26"/>
      <c r="E573" s="58"/>
      <c r="F573" s="58"/>
      <c r="G573" s="26"/>
      <c r="H573" s="58"/>
      <c r="I573" s="58"/>
      <c r="J573" s="26"/>
      <c r="K573" s="58"/>
      <c r="L573" s="58"/>
      <c r="M573" s="58"/>
      <c r="N573" s="58"/>
      <c r="O573" s="58"/>
    </row>
    <row r="574" spans="1:15" x14ac:dyDescent="0.25">
      <c r="A574" s="26"/>
      <c r="B574" s="26"/>
      <c r="C574" s="58"/>
      <c r="D574" s="26"/>
      <c r="E574" s="58"/>
      <c r="F574" s="58"/>
      <c r="G574" s="26"/>
      <c r="H574" s="58"/>
      <c r="I574" s="58"/>
      <c r="J574" s="26"/>
      <c r="K574" s="58"/>
      <c r="L574" s="58"/>
      <c r="M574" s="58"/>
      <c r="N574" s="58"/>
      <c r="O574" s="58"/>
    </row>
    <row r="575" spans="1:15" x14ac:dyDescent="0.25">
      <c r="A575" s="26"/>
      <c r="B575" s="26"/>
      <c r="C575" s="58"/>
      <c r="D575" s="26"/>
      <c r="E575" s="58"/>
      <c r="F575" s="58"/>
      <c r="G575" s="26"/>
      <c r="H575" s="58"/>
      <c r="I575" s="58"/>
      <c r="J575" s="26"/>
      <c r="K575" s="58"/>
      <c r="L575" s="58"/>
      <c r="M575" s="58"/>
      <c r="N575" s="58"/>
      <c r="O575" s="58"/>
    </row>
    <row r="576" spans="1:15" x14ac:dyDescent="0.25">
      <c r="A576" s="26"/>
      <c r="B576" s="26"/>
      <c r="C576" s="58"/>
      <c r="D576" s="26"/>
      <c r="E576" s="58"/>
      <c r="F576" s="58"/>
      <c r="G576" s="26"/>
      <c r="H576" s="58"/>
      <c r="I576" s="58"/>
      <c r="J576" s="26"/>
      <c r="K576" s="58"/>
      <c r="L576" s="58"/>
      <c r="M576" s="58"/>
      <c r="N576" s="58"/>
      <c r="O576" s="58"/>
    </row>
    <row r="577" spans="1:15" x14ac:dyDescent="0.25">
      <c r="A577" s="26"/>
      <c r="B577" s="26"/>
      <c r="C577" s="58"/>
      <c r="D577" s="26"/>
      <c r="E577" s="58"/>
      <c r="F577" s="58"/>
      <c r="G577" s="26"/>
      <c r="H577" s="58"/>
      <c r="I577" s="58"/>
      <c r="J577" s="26"/>
      <c r="K577" s="58"/>
      <c r="L577" s="58"/>
      <c r="M577" s="58"/>
      <c r="N577" s="58"/>
      <c r="O577" s="58"/>
    </row>
    <row r="578" spans="1:15" x14ac:dyDescent="0.25">
      <c r="A578" s="26"/>
      <c r="B578" s="26"/>
      <c r="C578" s="58"/>
      <c r="D578" s="26"/>
      <c r="E578" s="58"/>
      <c r="F578" s="58"/>
      <c r="G578" s="26"/>
      <c r="H578" s="58"/>
      <c r="I578" s="58"/>
      <c r="J578" s="26"/>
      <c r="K578" s="58"/>
      <c r="L578" s="58"/>
      <c r="M578" s="58"/>
      <c r="N578" s="58"/>
      <c r="O578" s="58"/>
    </row>
    <row r="579" spans="1:15" x14ac:dyDescent="0.25">
      <c r="A579" s="26"/>
      <c r="B579" s="26"/>
      <c r="C579" s="58"/>
      <c r="D579" s="26"/>
      <c r="E579" s="58"/>
      <c r="F579" s="58"/>
      <c r="G579" s="26"/>
      <c r="H579" s="58"/>
      <c r="I579" s="58"/>
      <c r="J579" s="26"/>
      <c r="K579" s="58"/>
      <c r="L579" s="58"/>
      <c r="M579" s="58"/>
      <c r="N579" s="58"/>
      <c r="O579" s="58"/>
    </row>
    <row r="580" spans="1:15" x14ac:dyDescent="0.25">
      <c r="A580" s="26"/>
      <c r="B580" s="26"/>
      <c r="C580" s="58"/>
      <c r="D580" s="26"/>
      <c r="E580" s="58"/>
      <c r="F580" s="58"/>
      <c r="G580" s="26"/>
      <c r="H580" s="58"/>
      <c r="I580" s="58"/>
      <c r="J580" s="26"/>
      <c r="K580" s="58"/>
      <c r="L580" s="58"/>
      <c r="M580" s="58"/>
      <c r="N580" s="58"/>
      <c r="O580" s="58"/>
    </row>
    <row r="581" spans="1:15" x14ac:dyDescent="0.25">
      <c r="A581" s="26"/>
      <c r="B581" s="26"/>
      <c r="C581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D5" zoomScaleNormal="100" workbookViewId="0">
      <pane ySplit="3" topLeftCell="A28" activePane="bottomLeft" state="frozen"/>
      <selection activeCell="A5" sqref="A5"/>
      <selection pane="bottomLeft" activeCell="G6" sqref="G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10.42578125" customWidth="1"/>
    <col min="12" max="12" width="25.14062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39" t="s">
        <v>6</v>
      </c>
      <c r="K5" s="139"/>
      <c r="L5" s="139"/>
      <c r="M5" s="131" t="s">
        <v>12</v>
      </c>
      <c r="N5" s="141"/>
      <c r="O5" s="142"/>
      <c r="Q5" s="140" t="s">
        <v>13</v>
      </c>
      <c r="R5" s="140"/>
    </row>
    <row r="6" spans="1:18" x14ac:dyDescent="0.25">
      <c r="A6" s="8">
        <f>SUBTOTAL(3,A8:A120)</f>
        <v>64</v>
      </c>
      <c r="B6" s="8">
        <f>SUBTOTAL(9,B8:B141)</f>
        <v>37250</v>
      </c>
      <c r="C6" s="35">
        <v>43891</v>
      </c>
      <c r="D6" s="8">
        <f>SUBTOTAL(3,D9:D121)</f>
        <v>71</v>
      </c>
      <c r="E6" s="1">
        <f>SUBTOTAL(9,E8:E121)</f>
        <v>52000</v>
      </c>
      <c r="F6" s="38">
        <v>43898</v>
      </c>
      <c r="G6" s="8">
        <f>SUBTOTAL(3,G8:G120)</f>
        <v>32</v>
      </c>
      <c r="H6" s="1">
        <f>SUBTOTAL(9,H8:H120)</f>
        <v>15400</v>
      </c>
      <c r="I6" s="39">
        <v>43905</v>
      </c>
      <c r="J6" s="8">
        <f>SUBTOTAL(3,J8:J110)</f>
        <v>33</v>
      </c>
      <c r="K6" s="1">
        <f>SUBTOTAL(9,K8:K110)</f>
        <v>20050</v>
      </c>
      <c r="L6" s="79">
        <v>43912</v>
      </c>
      <c r="M6" s="1">
        <f>SUBTOTAL(3,M8:M120)</f>
        <v>29</v>
      </c>
      <c r="N6" s="1">
        <f>SUBTOTAL(9,N8:N120)</f>
        <v>16800</v>
      </c>
      <c r="O6" s="81">
        <v>43919</v>
      </c>
      <c r="Q6" s="30">
        <f>+A6+D6+G6+J6+M6</f>
        <v>229</v>
      </c>
      <c r="R6" s="34">
        <f>+B6+E6+H6+K6+N6</f>
        <v>141500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77" t="s">
        <v>1</v>
      </c>
      <c r="K7" s="77" t="s">
        <v>3</v>
      </c>
      <c r="L7" s="77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21579</v>
      </c>
      <c r="B8" s="49">
        <v>300</v>
      </c>
      <c r="C8" s="17"/>
      <c r="D8" s="110">
        <v>21643</v>
      </c>
      <c r="E8" s="70"/>
      <c r="F8" s="117" t="s">
        <v>54</v>
      </c>
      <c r="G8" s="11">
        <v>21715</v>
      </c>
      <c r="H8" s="67">
        <v>600</v>
      </c>
      <c r="I8" s="12" t="s">
        <v>60</v>
      </c>
      <c r="J8" s="53">
        <v>21747</v>
      </c>
      <c r="K8" s="72">
        <v>50</v>
      </c>
      <c r="L8" s="54" t="s">
        <v>71</v>
      </c>
      <c r="M8" s="75">
        <v>21780</v>
      </c>
      <c r="N8" s="73">
        <v>500</v>
      </c>
      <c r="O8" s="15"/>
      <c r="Q8" s="32"/>
      <c r="R8" s="32"/>
    </row>
    <row r="9" spans="1:18" x14ac:dyDescent="0.25">
      <c r="A9" s="16">
        <v>21580</v>
      </c>
      <c r="B9" s="49">
        <v>500</v>
      </c>
      <c r="C9" s="17" t="s">
        <v>191</v>
      </c>
      <c r="D9" s="13">
        <v>21644</v>
      </c>
      <c r="E9" s="70">
        <v>1500</v>
      </c>
      <c r="F9" s="116" t="s">
        <v>156</v>
      </c>
      <c r="G9" s="11">
        <v>21716</v>
      </c>
      <c r="H9" s="67">
        <v>300</v>
      </c>
      <c r="I9" s="12"/>
      <c r="J9" s="53">
        <v>21748</v>
      </c>
      <c r="K9" s="72">
        <v>600</v>
      </c>
      <c r="L9" s="54" t="s">
        <v>172</v>
      </c>
      <c r="M9" s="75">
        <v>21781</v>
      </c>
      <c r="N9" s="73">
        <v>500</v>
      </c>
      <c r="O9" s="15"/>
    </row>
    <row r="10" spans="1:18" x14ac:dyDescent="0.25">
      <c r="A10" s="16">
        <v>21581</v>
      </c>
      <c r="B10" s="49">
        <v>500</v>
      </c>
      <c r="C10" s="17"/>
      <c r="D10" s="13"/>
      <c r="E10" s="70"/>
      <c r="F10" s="14" t="s">
        <v>18</v>
      </c>
      <c r="G10" s="11">
        <v>21717</v>
      </c>
      <c r="H10" s="67">
        <v>1200</v>
      </c>
      <c r="I10" s="12" t="s">
        <v>121</v>
      </c>
      <c r="J10" s="53"/>
      <c r="K10" s="72"/>
      <c r="L10" s="54" t="s">
        <v>29</v>
      </c>
      <c r="M10" s="75">
        <v>21782</v>
      </c>
      <c r="N10" s="73">
        <v>500</v>
      </c>
      <c r="O10" s="15" t="s">
        <v>223</v>
      </c>
    </row>
    <row r="11" spans="1:18" x14ac:dyDescent="0.25">
      <c r="A11" s="16">
        <v>21582</v>
      </c>
      <c r="B11" s="49">
        <v>500</v>
      </c>
      <c r="C11" s="17"/>
      <c r="D11" s="13">
        <v>21645</v>
      </c>
      <c r="E11" s="70">
        <v>500</v>
      </c>
      <c r="F11" s="14" t="s">
        <v>191</v>
      </c>
      <c r="G11" s="11"/>
      <c r="H11" s="67"/>
      <c r="I11" s="96" t="s">
        <v>25</v>
      </c>
      <c r="J11" s="53">
        <v>21749</v>
      </c>
      <c r="K11" s="72">
        <v>400</v>
      </c>
      <c r="L11" s="54"/>
      <c r="M11" s="75">
        <v>21783</v>
      </c>
      <c r="N11" s="73">
        <v>250</v>
      </c>
      <c r="O11" s="15"/>
    </row>
    <row r="12" spans="1:18" x14ac:dyDescent="0.25">
      <c r="A12" s="16">
        <v>21583</v>
      </c>
      <c r="B12" s="49">
        <v>500</v>
      </c>
      <c r="C12" s="17"/>
      <c r="D12" s="13">
        <v>21646</v>
      </c>
      <c r="E12" s="70">
        <v>500</v>
      </c>
      <c r="F12" s="99" t="s">
        <v>152</v>
      </c>
      <c r="G12" s="11">
        <v>21718</v>
      </c>
      <c r="H12" s="67">
        <v>500</v>
      </c>
      <c r="I12" s="12"/>
      <c r="J12" s="53">
        <v>21750</v>
      </c>
      <c r="K12" s="72">
        <v>500</v>
      </c>
      <c r="L12" s="54"/>
      <c r="M12" s="75">
        <v>21784</v>
      </c>
      <c r="N12" s="73">
        <v>500</v>
      </c>
      <c r="O12" s="15"/>
    </row>
    <row r="13" spans="1:18" x14ac:dyDescent="0.25">
      <c r="A13" s="16">
        <v>21584</v>
      </c>
      <c r="B13" s="49">
        <v>250</v>
      </c>
      <c r="C13" s="17" t="s">
        <v>191</v>
      </c>
      <c r="D13" s="13">
        <v>21647</v>
      </c>
      <c r="E13" s="70">
        <v>200</v>
      </c>
      <c r="F13" s="14" t="s">
        <v>191</v>
      </c>
      <c r="G13" s="11">
        <v>21719</v>
      </c>
      <c r="H13" s="67">
        <v>100</v>
      </c>
      <c r="I13" s="12" t="s">
        <v>184</v>
      </c>
      <c r="J13" s="53">
        <v>21751</v>
      </c>
      <c r="K13" s="72">
        <v>1200</v>
      </c>
      <c r="L13" s="54" t="s">
        <v>215</v>
      </c>
      <c r="M13" s="75">
        <v>21785</v>
      </c>
      <c r="N13" s="73">
        <v>500</v>
      </c>
      <c r="O13" s="15"/>
    </row>
    <row r="14" spans="1:18" x14ac:dyDescent="0.25">
      <c r="A14" s="16">
        <v>21585</v>
      </c>
      <c r="B14" s="49">
        <v>400</v>
      </c>
      <c r="C14" s="17"/>
      <c r="D14" s="13">
        <v>21648</v>
      </c>
      <c r="E14" s="70">
        <v>3000</v>
      </c>
      <c r="F14" s="14" t="s">
        <v>203</v>
      </c>
      <c r="G14" s="11">
        <v>21720</v>
      </c>
      <c r="H14" s="67">
        <v>500</v>
      </c>
      <c r="I14" s="12"/>
      <c r="J14" s="53"/>
      <c r="K14" s="72"/>
      <c r="L14" s="54" t="s">
        <v>25</v>
      </c>
      <c r="M14" s="75">
        <v>21786</v>
      </c>
      <c r="N14" s="73">
        <v>500</v>
      </c>
      <c r="O14" s="31" t="s">
        <v>223</v>
      </c>
    </row>
    <row r="15" spans="1:18" x14ac:dyDescent="0.25">
      <c r="A15" s="16">
        <v>21586</v>
      </c>
      <c r="B15" s="49">
        <v>250</v>
      </c>
      <c r="C15" s="17"/>
      <c r="D15" s="13"/>
      <c r="E15" s="70"/>
      <c r="F15" s="14" t="s">
        <v>18</v>
      </c>
      <c r="G15" s="11">
        <v>21721</v>
      </c>
      <c r="H15" s="67">
        <v>1000</v>
      </c>
      <c r="I15" s="12" t="s">
        <v>185</v>
      </c>
      <c r="J15" s="53">
        <v>21752</v>
      </c>
      <c r="K15" s="72">
        <v>300</v>
      </c>
      <c r="L15" s="54"/>
      <c r="M15" s="75">
        <v>21787</v>
      </c>
      <c r="N15" s="73">
        <v>1500</v>
      </c>
      <c r="O15" s="15" t="s">
        <v>224</v>
      </c>
    </row>
    <row r="16" spans="1:18" x14ac:dyDescent="0.25">
      <c r="A16" s="16">
        <v>21587</v>
      </c>
      <c r="B16" s="49">
        <v>500</v>
      </c>
      <c r="C16" s="17"/>
      <c r="D16" s="13">
        <v>21649</v>
      </c>
      <c r="E16" s="70">
        <v>700</v>
      </c>
      <c r="F16" s="91" t="s">
        <v>191</v>
      </c>
      <c r="G16" s="11"/>
      <c r="H16" s="67"/>
      <c r="I16" s="12" t="s">
        <v>18</v>
      </c>
      <c r="J16" s="53">
        <v>21753</v>
      </c>
      <c r="K16" s="72">
        <v>500</v>
      </c>
      <c r="L16" s="54"/>
      <c r="M16" s="75"/>
      <c r="N16" s="73"/>
      <c r="O16" s="15" t="s">
        <v>29</v>
      </c>
    </row>
    <row r="17" spans="1:15" x14ac:dyDescent="0.25">
      <c r="A17" s="16">
        <v>21588</v>
      </c>
      <c r="B17" s="49">
        <v>500</v>
      </c>
      <c r="C17" s="17"/>
      <c r="D17" s="13">
        <v>21650</v>
      </c>
      <c r="E17" s="70">
        <v>600</v>
      </c>
      <c r="F17" s="14" t="s">
        <v>156</v>
      </c>
      <c r="G17" s="11">
        <v>21722</v>
      </c>
      <c r="H17" s="67">
        <v>500</v>
      </c>
      <c r="I17" s="12"/>
      <c r="J17" s="53">
        <v>21754</v>
      </c>
      <c r="K17" s="72">
        <v>400</v>
      </c>
      <c r="L17" s="54"/>
      <c r="M17" s="75">
        <v>21788</v>
      </c>
      <c r="N17" s="73">
        <v>350</v>
      </c>
      <c r="O17" s="15" t="s">
        <v>191</v>
      </c>
    </row>
    <row r="18" spans="1:15" x14ac:dyDescent="0.25">
      <c r="A18" s="16">
        <v>21589</v>
      </c>
      <c r="B18" s="49">
        <v>500</v>
      </c>
      <c r="C18" s="17"/>
      <c r="D18" s="13"/>
      <c r="E18" s="70"/>
      <c r="F18" s="14" t="s">
        <v>44</v>
      </c>
      <c r="G18" s="11">
        <v>21723</v>
      </c>
      <c r="H18" s="67">
        <v>250</v>
      </c>
      <c r="I18" s="12"/>
      <c r="J18" s="53">
        <v>21755</v>
      </c>
      <c r="K18" s="72">
        <v>250</v>
      </c>
      <c r="L18" s="54"/>
      <c r="M18" s="75">
        <v>21789</v>
      </c>
      <c r="N18" s="73">
        <v>500</v>
      </c>
      <c r="O18" s="15" t="s">
        <v>191</v>
      </c>
    </row>
    <row r="19" spans="1:15" x14ac:dyDescent="0.25">
      <c r="A19" s="16">
        <v>21590</v>
      </c>
      <c r="B19" s="49">
        <v>1000</v>
      </c>
      <c r="C19" s="17" t="s">
        <v>192</v>
      </c>
      <c r="D19" s="13">
        <v>21651</v>
      </c>
      <c r="E19" s="70">
        <v>400</v>
      </c>
      <c r="F19" s="14" t="s">
        <v>153</v>
      </c>
      <c r="G19" s="11">
        <v>21724</v>
      </c>
      <c r="H19" s="67">
        <v>250</v>
      </c>
      <c r="I19" s="12" t="s">
        <v>186</v>
      </c>
      <c r="J19" s="53">
        <v>21756</v>
      </c>
      <c r="K19" s="72">
        <v>400</v>
      </c>
      <c r="L19" s="54"/>
      <c r="M19" s="75">
        <v>21790</v>
      </c>
      <c r="N19" s="73">
        <v>500</v>
      </c>
      <c r="O19" s="15"/>
    </row>
    <row r="20" spans="1:15" x14ac:dyDescent="0.25">
      <c r="A20" s="16"/>
      <c r="B20" s="49"/>
      <c r="C20" s="17" t="s">
        <v>18</v>
      </c>
      <c r="D20" s="13"/>
      <c r="E20" s="70"/>
      <c r="F20" s="14" t="s">
        <v>44</v>
      </c>
      <c r="G20" s="11">
        <v>21725</v>
      </c>
      <c r="H20" s="67">
        <v>500</v>
      </c>
      <c r="I20" s="12"/>
      <c r="J20" s="53">
        <v>21757</v>
      </c>
      <c r="K20" s="72">
        <v>500</v>
      </c>
      <c r="L20" s="54"/>
      <c r="M20" s="75">
        <v>21791</v>
      </c>
      <c r="N20" s="73">
        <v>1500</v>
      </c>
      <c r="O20" s="15" t="s">
        <v>215</v>
      </c>
    </row>
    <row r="21" spans="1:15" x14ac:dyDescent="0.25">
      <c r="A21" s="16">
        <v>21591</v>
      </c>
      <c r="B21" s="49">
        <v>500</v>
      </c>
      <c r="C21" s="17"/>
      <c r="D21" s="13">
        <v>21652</v>
      </c>
      <c r="E21" s="70">
        <v>5500</v>
      </c>
      <c r="F21" s="14" t="s">
        <v>72</v>
      </c>
      <c r="G21" s="11">
        <v>21726</v>
      </c>
      <c r="H21" s="67">
        <v>50</v>
      </c>
      <c r="I21" s="12" t="s">
        <v>51</v>
      </c>
      <c r="J21" s="53">
        <v>21758</v>
      </c>
      <c r="K21" s="72">
        <v>600</v>
      </c>
      <c r="L21" s="54" t="s">
        <v>121</v>
      </c>
      <c r="M21" s="75"/>
      <c r="N21" s="73"/>
      <c r="O21" s="15" t="s">
        <v>18</v>
      </c>
    </row>
    <row r="22" spans="1:15" x14ac:dyDescent="0.25">
      <c r="A22" s="16">
        <v>21592</v>
      </c>
      <c r="B22" s="49">
        <v>2000</v>
      </c>
      <c r="C22" s="17" t="s">
        <v>149</v>
      </c>
      <c r="D22" s="13"/>
      <c r="E22" s="70"/>
      <c r="F22" s="14" t="s">
        <v>18</v>
      </c>
      <c r="G22" s="11">
        <v>21727</v>
      </c>
      <c r="H22" s="67">
        <v>250</v>
      </c>
      <c r="I22" s="12" t="s">
        <v>187</v>
      </c>
      <c r="J22" s="53"/>
      <c r="K22" s="72"/>
      <c r="L22" s="54" t="s">
        <v>44</v>
      </c>
      <c r="M22" s="75">
        <v>21792</v>
      </c>
      <c r="N22" s="73">
        <v>500</v>
      </c>
      <c r="O22" s="15" t="s">
        <v>223</v>
      </c>
    </row>
    <row r="23" spans="1:15" x14ac:dyDescent="0.25">
      <c r="A23" s="16"/>
      <c r="B23" s="49"/>
      <c r="C23" s="17" t="s">
        <v>18</v>
      </c>
      <c r="D23" s="13"/>
      <c r="E23" s="70"/>
      <c r="F23" s="14" t="s">
        <v>143</v>
      </c>
      <c r="G23" s="11">
        <v>21728</v>
      </c>
      <c r="H23" s="67">
        <v>500</v>
      </c>
      <c r="I23" s="12" t="s">
        <v>185</v>
      </c>
      <c r="J23" s="53">
        <v>21759</v>
      </c>
      <c r="K23" s="72">
        <v>600</v>
      </c>
      <c r="L23" s="54" t="s">
        <v>121</v>
      </c>
      <c r="M23" s="75">
        <v>21793</v>
      </c>
      <c r="N23" s="73">
        <v>50</v>
      </c>
      <c r="O23" s="15" t="s">
        <v>51</v>
      </c>
    </row>
    <row r="24" spans="1:15" x14ac:dyDescent="0.25">
      <c r="A24" s="16">
        <v>21593</v>
      </c>
      <c r="B24" s="49">
        <v>800</v>
      </c>
      <c r="C24" s="17"/>
      <c r="D24" s="13">
        <v>21653</v>
      </c>
      <c r="E24" s="70">
        <v>500</v>
      </c>
      <c r="F24" s="14" t="s">
        <v>153</v>
      </c>
      <c r="G24" s="11"/>
      <c r="H24" s="67"/>
      <c r="I24" s="12" t="s">
        <v>22</v>
      </c>
      <c r="J24" s="53"/>
      <c r="K24" s="72"/>
      <c r="L24" s="54" t="s">
        <v>44</v>
      </c>
      <c r="M24" s="75">
        <v>21794</v>
      </c>
      <c r="N24" s="73">
        <v>500</v>
      </c>
      <c r="O24" s="15"/>
    </row>
    <row r="25" spans="1:15" x14ac:dyDescent="0.25">
      <c r="A25" s="16">
        <v>21594</v>
      </c>
      <c r="B25" s="49">
        <v>500</v>
      </c>
      <c r="C25" s="17" t="s">
        <v>76</v>
      </c>
      <c r="D25" s="13"/>
      <c r="E25" s="70"/>
      <c r="F25" s="101" t="s">
        <v>22</v>
      </c>
      <c r="G25" s="11">
        <v>21729</v>
      </c>
      <c r="H25" s="67">
        <v>500</v>
      </c>
      <c r="I25" s="12"/>
      <c r="J25" s="53">
        <v>21760</v>
      </c>
      <c r="K25" s="72">
        <v>500</v>
      </c>
      <c r="L25" s="54"/>
      <c r="M25" s="75">
        <v>21795</v>
      </c>
      <c r="N25" s="73">
        <v>600</v>
      </c>
      <c r="O25" s="15" t="s">
        <v>225</v>
      </c>
    </row>
    <row r="26" spans="1:15" x14ac:dyDescent="0.25">
      <c r="A26" s="16"/>
      <c r="B26" s="49"/>
      <c r="C26" s="17" t="s">
        <v>22</v>
      </c>
      <c r="D26" s="13">
        <v>21654</v>
      </c>
      <c r="E26" s="70">
        <v>1300</v>
      </c>
      <c r="F26" s="14" t="s">
        <v>204</v>
      </c>
      <c r="G26" s="11">
        <v>21730</v>
      </c>
      <c r="H26" s="67">
        <v>500</v>
      </c>
      <c r="I26" s="12"/>
      <c r="J26" s="53">
        <v>21761</v>
      </c>
      <c r="K26" s="72">
        <v>400</v>
      </c>
      <c r="L26" s="54"/>
      <c r="M26" s="75"/>
      <c r="N26" s="73"/>
      <c r="O26" s="15" t="s">
        <v>29</v>
      </c>
    </row>
    <row r="27" spans="1:15" x14ac:dyDescent="0.25">
      <c r="A27" s="16">
        <v>21595</v>
      </c>
      <c r="B27" s="49">
        <v>500</v>
      </c>
      <c r="C27" s="17"/>
      <c r="D27" s="13"/>
      <c r="E27" s="70"/>
      <c r="F27" s="14" t="s">
        <v>205</v>
      </c>
      <c r="G27" s="11">
        <v>21731</v>
      </c>
      <c r="H27" s="67">
        <v>500</v>
      </c>
      <c r="I27" s="12"/>
      <c r="J27" s="53">
        <v>21762</v>
      </c>
      <c r="K27" s="72">
        <v>700</v>
      </c>
      <c r="L27" s="54"/>
      <c r="M27" s="75">
        <v>21796</v>
      </c>
      <c r="N27" s="73">
        <v>800</v>
      </c>
      <c r="O27" s="31" t="s">
        <v>223</v>
      </c>
    </row>
    <row r="28" spans="1:15" x14ac:dyDescent="0.25">
      <c r="A28" s="16">
        <v>21596</v>
      </c>
      <c r="B28" s="49">
        <v>500</v>
      </c>
      <c r="C28" s="17"/>
      <c r="D28" s="13">
        <v>21655</v>
      </c>
      <c r="E28" s="70">
        <v>500</v>
      </c>
      <c r="F28" s="14" t="s">
        <v>191</v>
      </c>
      <c r="G28" s="11">
        <v>21732</v>
      </c>
      <c r="H28" s="67">
        <v>600</v>
      </c>
      <c r="I28" s="12" t="s">
        <v>185</v>
      </c>
      <c r="J28" s="53">
        <v>21763</v>
      </c>
      <c r="K28" s="72">
        <v>900</v>
      </c>
      <c r="L28" s="87" t="s">
        <v>215</v>
      </c>
      <c r="M28" s="75">
        <v>21797</v>
      </c>
      <c r="N28" s="73">
        <v>250</v>
      </c>
      <c r="O28" s="15"/>
    </row>
    <row r="29" spans="1:15" x14ac:dyDescent="0.25">
      <c r="A29" s="16">
        <v>21597</v>
      </c>
      <c r="B29" s="49">
        <v>500</v>
      </c>
      <c r="C29" s="17"/>
      <c r="D29" s="13">
        <v>21656</v>
      </c>
      <c r="E29" s="70">
        <v>250</v>
      </c>
      <c r="F29" s="14" t="s">
        <v>206</v>
      </c>
      <c r="G29" s="11"/>
      <c r="H29" s="67"/>
      <c r="I29" s="12" t="s">
        <v>29</v>
      </c>
      <c r="J29" s="53"/>
      <c r="K29" s="72"/>
      <c r="L29" s="54" t="s">
        <v>29</v>
      </c>
      <c r="M29" s="75">
        <v>21798</v>
      </c>
      <c r="N29" s="73">
        <v>500</v>
      </c>
      <c r="O29" s="15"/>
    </row>
    <row r="30" spans="1:15" x14ac:dyDescent="0.25">
      <c r="A30" s="16">
        <v>21598</v>
      </c>
      <c r="B30" s="49">
        <v>1750</v>
      </c>
      <c r="C30" s="17" t="s">
        <v>193</v>
      </c>
      <c r="D30" s="13">
        <v>21657</v>
      </c>
      <c r="E30" s="70">
        <v>500</v>
      </c>
      <c r="F30" s="14"/>
      <c r="G30" s="11">
        <v>21733</v>
      </c>
      <c r="H30" s="67">
        <v>250</v>
      </c>
      <c r="I30" s="12"/>
      <c r="J30" s="53">
        <v>21764</v>
      </c>
      <c r="K30" s="72">
        <v>500</v>
      </c>
      <c r="L30" s="54"/>
      <c r="M30" s="75">
        <v>21799</v>
      </c>
      <c r="N30" s="73">
        <v>750</v>
      </c>
      <c r="O30" s="15" t="s">
        <v>226</v>
      </c>
    </row>
    <row r="31" spans="1:15" x14ac:dyDescent="0.25">
      <c r="A31" s="16"/>
      <c r="B31" s="49"/>
      <c r="C31" s="17" t="s">
        <v>194</v>
      </c>
      <c r="D31" s="13">
        <v>21658</v>
      </c>
      <c r="E31" s="70"/>
      <c r="F31" s="14" t="s">
        <v>54</v>
      </c>
      <c r="G31" s="11">
        <v>21734</v>
      </c>
      <c r="H31" s="67">
        <v>400</v>
      </c>
      <c r="I31" s="12" t="s">
        <v>60</v>
      </c>
      <c r="J31" s="53">
        <v>21765</v>
      </c>
      <c r="K31" s="72">
        <v>550</v>
      </c>
      <c r="L31" s="54" t="s">
        <v>216</v>
      </c>
      <c r="M31" s="75">
        <v>21800</v>
      </c>
      <c r="N31" s="73">
        <v>800</v>
      </c>
      <c r="O31" s="15" t="s">
        <v>209</v>
      </c>
    </row>
    <row r="32" spans="1:15" x14ac:dyDescent="0.25">
      <c r="A32" s="16"/>
      <c r="B32" s="49"/>
      <c r="C32" s="17" t="s">
        <v>195</v>
      </c>
      <c r="D32" s="13">
        <v>21659</v>
      </c>
      <c r="E32" s="70">
        <v>800</v>
      </c>
      <c r="F32" s="14" t="s">
        <v>153</v>
      </c>
      <c r="G32" s="11">
        <v>21735</v>
      </c>
      <c r="H32" s="67">
        <v>500</v>
      </c>
      <c r="I32" s="12" t="s">
        <v>60</v>
      </c>
      <c r="J32" s="53">
        <v>21766</v>
      </c>
      <c r="K32" s="72">
        <v>600</v>
      </c>
      <c r="L32" s="54" t="s">
        <v>172</v>
      </c>
      <c r="M32" s="75"/>
      <c r="N32" s="73"/>
      <c r="O32" s="15" t="s">
        <v>25</v>
      </c>
    </row>
    <row r="33" spans="1:15" x14ac:dyDescent="0.25">
      <c r="A33" s="16">
        <v>21599</v>
      </c>
      <c r="B33" s="49">
        <v>450</v>
      </c>
      <c r="C33" s="17"/>
      <c r="D33" s="13"/>
      <c r="E33" s="70"/>
      <c r="F33" s="14" t="s">
        <v>25</v>
      </c>
      <c r="G33" s="11">
        <v>21736</v>
      </c>
      <c r="H33" s="67">
        <v>1000</v>
      </c>
      <c r="I33" s="12" t="s">
        <v>172</v>
      </c>
      <c r="J33" s="53"/>
      <c r="K33" s="72"/>
      <c r="L33" s="54" t="s">
        <v>29</v>
      </c>
      <c r="M33" s="75">
        <v>21801</v>
      </c>
      <c r="N33" s="73">
        <v>500</v>
      </c>
      <c r="O33" s="15"/>
    </row>
    <row r="34" spans="1:15" x14ac:dyDescent="0.25">
      <c r="A34" s="16">
        <v>21600</v>
      </c>
      <c r="B34" s="49">
        <v>1000</v>
      </c>
      <c r="C34" s="17" t="s">
        <v>153</v>
      </c>
      <c r="D34" s="13">
        <v>21660</v>
      </c>
      <c r="E34" s="70">
        <v>1500</v>
      </c>
      <c r="F34" s="14" t="s">
        <v>156</v>
      </c>
      <c r="G34" s="11"/>
      <c r="H34" s="67"/>
      <c r="I34" s="12" t="s">
        <v>18</v>
      </c>
      <c r="J34" s="53">
        <v>21767</v>
      </c>
      <c r="K34" s="72">
        <v>500</v>
      </c>
      <c r="L34" s="54" t="s">
        <v>217</v>
      </c>
      <c r="M34" s="75">
        <v>21802</v>
      </c>
      <c r="N34" s="73">
        <v>1000</v>
      </c>
      <c r="O34" s="31" t="s">
        <v>209</v>
      </c>
    </row>
    <row r="35" spans="1:15" x14ac:dyDescent="0.25">
      <c r="A35" s="16"/>
      <c r="B35" s="49"/>
      <c r="C35" s="17" t="s">
        <v>18</v>
      </c>
      <c r="D35" s="13"/>
      <c r="E35" s="70"/>
      <c r="F35" s="14" t="s">
        <v>18</v>
      </c>
      <c r="G35" s="11">
        <v>21737</v>
      </c>
      <c r="H35" s="67">
        <v>500</v>
      </c>
      <c r="I35" s="12"/>
      <c r="J35" s="53">
        <v>21768</v>
      </c>
      <c r="K35" s="72">
        <v>700</v>
      </c>
      <c r="L35" s="54" t="s">
        <v>172</v>
      </c>
      <c r="M35" s="75"/>
      <c r="N35" s="73"/>
      <c r="O35" s="15" t="s">
        <v>18</v>
      </c>
    </row>
    <row r="36" spans="1:15" x14ac:dyDescent="0.25">
      <c r="A36" s="16">
        <v>21601</v>
      </c>
      <c r="B36" s="49">
        <v>500</v>
      </c>
      <c r="C36" s="17"/>
      <c r="D36" s="13">
        <v>21661</v>
      </c>
      <c r="E36" s="70">
        <v>250</v>
      </c>
      <c r="F36" s="14"/>
      <c r="G36" s="11">
        <v>21738</v>
      </c>
      <c r="H36" s="67">
        <v>450</v>
      </c>
      <c r="I36" s="12" t="s">
        <v>188</v>
      </c>
      <c r="J36" s="53"/>
      <c r="K36" s="72"/>
      <c r="L36" s="54" t="s">
        <v>131</v>
      </c>
      <c r="M36" s="75">
        <v>21803</v>
      </c>
      <c r="N36" s="73">
        <v>600</v>
      </c>
      <c r="O36" s="15" t="s">
        <v>209</v>
      </c>
    </row>
    <row r="37" spans="1:15" x14ac:dyDescent="0.25">
      <c r="A37" s="16">
        <v>21602</v>
      </c>
      <c r="B37" s="49">
        <v>500</v>
      </c>
      <c r="C37" s="17" t="s">
        <v>191</v>
      </c>
      <c r="D37" s="13">
        <v>21662</v>
      </c>
      <c r="E37" s="70">
        <v>1000</v>
      </c>
      <c r="F37" s="14" t="s">
        <v>153</v>
      </c>
      <c r="G37" s="11">
        <v>21739</v>
      </c>
      <c r="H37" s="67">
        <v>900</v>
      </c>
      <c r="I37" s="12" t="s">
        <v>189</v>
      </c>
      <c r="J37" s="53">
        <v>21769</v>
      </c>
      <c r="K37" s="72">
        <v>500</v>
      </c>
      <c r="L37" s="54"/>
      <c r="M37" s="75"/>
      <c r="N37" s="73"/>
      <c r="O37" s="15" t="s">
        <v>29</v>
      </c>
    </row>
    <row r="38" spans="1:15" x14ac:dyDescent="0.25">
      <c r="A38" s="16">
        <v>21603</v>
      </c>
      <c r="B38" s="49">
        <v>1000</v>
      </c>
      <c r="C38" s="17" t="s">
        <v>153</v>
      </c>
      <c r="D38" s="13"/>
      <c r="E38" s="70"/>
      <c r="F38" s="14" t="s">
        <v>18</v>
      </c>
      <c r="G38" s="11"/>
      <c r="H38" s="67"/>
      <c r="I38" s="12" t="s">
        <v>190</v>
      </c>
      <c r="J38" s="53">
        <v>21770</v>
      </c>
      <c r="K38" s="72">
        <v>500</v>
      </c>
      <c r="L38" s="54"/>
      <c r="M38" s="75">
        <v>21804</v>
      </c>
      <c r="N38" s="73">
        <v>250</v>
      </c>
      <c r="O38" s="15" t="s">
        <v>191</v>
      </c>
    </row>
    <row r="39" spans="1:15" x14ac:dyDescent="0.25">
      <c r="A39" s="16"/>
      <c r="B39" s="49"/>
      <c r="C39" s="17" t="s">
        <v>18</v>
      </c>
      <c r="D39" s="13">
        <v>21663</v>
      </c>
      <c r="E39" s="70">
        <v>500</v>
      </c>
      <c r="F39" s="14" t="s">
        <v>191</v>
      </c>
      <c r="G39" s="11"/>
      <c r="H39" s="67"/>
      <c r="I39" s="12" t="s">
        <v>44</v>
      </c>
      <c r="J39" s="53">
        <v>21771</v>
      </c>
      <c r="K39" s="72">
        <v>500</v>
      </c>
      <c r="L39" s="54"/>
      <c r="M39" s="75">
        <v>21805</v>
      </c>
      <c r="N39" s="73">
        <v>1200</v>
      </c>
      <c r="O39" s="15" t="s">
        <v>209</v>
      </c>
    </row>
    <row r="40" spans="1:15" x14ac:dyDescent="0.25">
      <c r="A40" s="16">
        <v>21604</v>
      </c>
      <c r="B40" s="49">
        <v>300</v>
      </c>
      <c r="C40" s="17" t="s">
        <v>113</v>
      </c>
      <c r="D40" s="13">
        <v>21664</v>
      </c>
      <c r="E40" s="70">
        <v>500</v>
      </c>
      <c r="F40" s="14" t="s">
        <v>191</v>
      </c>
      <c r="G40" s="11">
        <v>21740</v>
      </c>
      <c r="H40" s="67">
        <v>500</v>
      </c>
      <c r="I40" s="12"/>
      <c r="J40" s="53">
        <v>21772</v>
      </c>
      <c r="K40" s="72">
        <v>500</v>
      </c>
      <c r="L40" s="54" t="s">
        <v>198</v>
      </c>
      <c r="M40" s="75"/>
      <c r="N40" s="73"/>
      <c r="O40" s="15" t="s">
        <v>227</v>
      </c>
    </row>
    <row r="41" spans="1:15" x14ac:dyDescent="0.25">
      <c r="A41" s="16">
        <v>21605</v>
      </c>
      <c r="B41" s="49">
        <v>400</v>
      </c>
      <c r="C41" s="17"/>
      <c r="D41" s="13">
        <v>21665</v>
      </c>
      <c r="E41" s="70">
        <v>500</v>
      </c>
      <c r="F41" s="14"/>
      <c r="G41" s="11">
        <v>21741</v>
      </c>
      <c r="H41" s="67">
        <v>500</v>
      </c>
      <c r="I41" s="12"/>
      <c r="J41" s="53"/>
      <c r="K41" s="72"/>
      <c r="L41" s="54" t="s">
        <v>22</v>
      </c>
      <c r="M41" s="75"/>
      <c r="N41" s="73"/>
      <c r="O41" s="15" t="s">
        <v>228</v>
      </c>
    </row>
    <row r="42" spans="1:15" x14ac:dyDescent="0.25">
      <c r="A42" s="16">
        <v>21606</v>
      </c>
      <c r="B42" s="49">
        <v>250</v>
      </c>
      <c r="C42" s="17" t="s">
        <v>196</v>
      </c>
      <c r="D42" s="13">
        <v>21666</v>
      </c>
      <c r="E42" s="70">
        <v>300</v>
      </c>
      <c r="F42" s="14" t="s">
        <v>191</v>
      </c>
      <c r="G42" s="11">
        <v>21742</v>
      </c>
      <c r="H42" s="67">
        <v>250</v>
      </c>
      <c r="I42" s="12"/>
      <c r="J42" s="53">
        <v>21773</v>
      </c>
      <c r="K42" s="72">
        <v>250</v>
      </c>
      <c r="L42" s="54" t="s">
        <v>218</v>
      </c>
      <c r="M42" s="75"/>
      <c r="N42" s="73"/>
      <c r="O42" s="15" t="s">
        <v>229</v>
      </c>
    </row>
    <row r="43" spans="1:15" x14ac:dyDescent="0.25">
      <c r="A43" s="16">
        <v>21607</v>
      </c>
      <c r="B43" s="49">
        <v>1000</v>
      </c>
      <c r="C43" s="17" t="s">
        <v>153</v>
      </c>
      <c r="D43" s="13">
        <v>21667</v>
      </c>
      <c r="E43" s="70">
        <v>300</v>
      </c>
      <c r="F43" s="14"/>
      <c r="G43" s="11">
        <v>21743</v>
      </c>
      <c r="H43" s="67">
        <v>50</v>
      </c>
      <c r="I43" s="12" t="s">
        <v>51</v>
      </c>
      <c r="J43" s="53">
        <v>21774</v>
      </c>
      <c r="K43" s="72">
        <v>750</v>
      </c>
      <c r="L43" s="54" t="s">
        <v>121</v>
      </c>
      <c r="M43" s="75">
        <v>21806</v>
      </c>
      <c r="N43" s="73">
        <v>400</v>
      </c>
      <c r="O43" s="15" t="s">
        <v>230</v>
      </c>
    </row>
    <row r="44" spans="1:15" x14ac:dyDescent="0.25">
      <c r="A44" s="16"/>
      <c r="B44" s="49"/>
      <c r="C44" s="17" t="s">
        <v>18</v>
      </c>
      <c r="D44" s="13">
        <v>21668</v>
      </c>
      <c r="E44" s="70">
        <v>250</v>
      </c>
      <c r="F44" s="14" t="s">
        <v>207</v>
      </c>
      <c r="G44" s="11">
        <v>21744</v>
      </c>
      <c r="H44" s="67">
        <v>250</v>
      </c>
      <c r="I44" s="12" t="s">
        <v>60</v>
      </c>
      <c r="J44" s="53"/>
      <c r="K44" s="72"/>
      <c r="L44" s="54" t="s">
        <v>22</v>
      </c>
      <c r="M44" s="75">
        <v>21807</v>
      </c>
      <c r="N44" s="73">
        <v>250</v>
      </c>
      <c r="O44" s="15" t="s">
        <v>231</v>
      </c>
    </row>
    <row r="45" spans="1:15" x14ac:dyDescent="0.25">
      <c r="A45" s="16">
        <v>21608</v>
      </c>
      <c r="B45" s="49">
        <v>500</v>
      </c>
      <c r="C45" s="17"/>
      <c r="D45" s="13">
        <v>21669</v>
      </c>
      <c r="E45" s="70">
        <v>500</v>
      </c>
      <c r="F45" s="14"/>
      <c r="G45" s="11">
        <v>21745</v>
      </c>
      <c r="H45" s="67">
        <v>250</v>
      </c>
      <c r="I45" s="12" t="s">
        <v>60</v>
      </c>
      <c r="J45" s="53">
        <v>21775</v>
      </c>
      <c r="K45" s="72">
        <v>1000</v>
      </c>
      <c r="L45" s="54" t="s">
        <v>209</v>
      </c>
      <c r="M45" s="75">
        <v>21808</v>
      </c>
      <c r="N45" s="73">
        <v>250</v>
      </c>
      <c r="O45" s="15" t="s">
        <v>230</v>
      </c>
    </row>
    <row r="46" spans="1:15" x14ac:dyDescent="0.25">
      <c r="A46" s="16">
        <v>21609</v>
      </c>
      <c r="B46" s="49">
        <v>500</v>
      </c>
      <c r="C46" s="17"/>
      <c r="D46" s="13">
        <v>21670</v>
      </c>
      <c r="E46" s="70"/>
      <c r="F46" s="14" t="s">
        <v>208</v>
      </c>
      <c r="G46" s="11">
        <v>21746</v>
      </c>
      <c r="H46" s="67">
        <v>1000</v>
      </c>
      <c r="I46" s="12" t="s">
        <v>185</v>
      </c>
      <c r="J46" s="53"/>
      <c r="K46" s="72"/>
      <c r="L46" s="54" t="s">
        <v>219</v>
      </c>
      <c r="M46" s="75"/>
      <c r="N46" s="73"/>
      <c r="O46" s="15"/>
    </row>
    <row r="47" spans="1:15" x14ac:dyDescent="0.25">
      <c r="A47" s="16">
        <v>21610</v>
      </c>
      <c r="B47" s="49">
        <v>250</v>
      </c>
      <c r="C47" s="17" t="s">
        <v>197</v>
      </c>
      <c r="D47" s="13">
        <v>21671</v>
      </c>
      <c r="E47" s="70">
        <v>500</v>
      </c>
      <c r="F47" s="14"/>
      <c r="G47" s="11"/>
      <c r="H47" s="67"/>
      <c r="I47" s="12" t="s">
        <v>18</v>
      </c>
      <c r="J47" s="53"/>
      <c r="K47" s="72"/>
      <c r="L47" s="54" t="s">
        <v>220</v>
      </c>
      <c r="M47" s="75"/>
      <c r="N47" s="73"/>
      <c r="O47" s="15"/>
    </row>
    <row r="48" spans="1:15" x14ac:dyDescent="0.25">
      <c r="A48" s="16">
        <v>21611</v>
      </c>
      <c r="B48" s="49">
        <v>500</v>
      </c>
      <c r="C48" s="17"/>
      <c r="D48" s="13">
        <v>21672</v>
      </c>
      <c r="E48" s="70">
        <v>1000</v>
      </c>
      <c r="F48" s="14" t="s">
        <v>209</v>
      </c>
      <c r="G48" s="11"/>
      <c r="H48" s="67"/>
      <c r="I48" s="12"/>
      <c r="J48" s="53">
        <v>21776</v>
      </c>
      <c r="K48" s="72">
        <v>1000</v>
      </c>
      <c r="L48" s="54" t="s">
        <v>221</v>
      </c>
      <c r="M48" s="75"/>
      <c r="N48" s="73"/>
      <c r="O48" s="15"/>
    </row>
    <row r="49" spans="1:15" x14ac:dyDescent="0.25">
      <c r="A49" s="16">
        <v>21612</v>
      </c>
      <c r="B49" s="49">
        <v>500</v>
      </c>
      <c r="C49" s="17"/>
      <c r="D49" s="13"/>
      <c r="E49" s="70"/>
      <c r="F49" s="14" t="s">
        <v>18</v>
      </c>
      <c r="G49" s="11"/>
      <c r="H49" s="67"/>
      <c r="I49" s="12"/>
      <c r="J49" s="53"/>
      <c r="K49" s="72"/>
      <c r="L49" s="54" t="s">
        <v>22</v>
      </c>
      <c r="M49" s="75"/>
      <c r="N49" s="73"/>
      <c r="O49" s="15"/>
    </row>
    <row r="50" spans="1:15" x14ac:dyDescent="0.25">
      <c r="A50" s="16">
        <v>21613</v>
      </c>
      <c r="B50" s="49">
        <v>500</v>
      </c>
      <c r="C50" s="17"/>
      <c r="D50" s="13">
        <v>21673</v>
      </c>
      <c r="E50" s="70">
        <v>500</v>
      </c>
      <c r="F50" s="14" t="s">
        <v>191</v>
      </c>
      <c r="G50" s="11"/>
      <c r="H50" s="67"/>
      <c r="I50" s="12"/>
      <c r="J50" s="53">
        <v>21777</v>
      </c>
      <c r="K50" s="72">
        <v>1000</v>
      </c>
      <c r="L50" s="54" t="s">
        <v>185</v>
      </c>
      <c r="M50" s="75"/>
      <c r="N50" s="73"/>
      <c r="O50" s="15"/>
    </row>
    <row r="51" spans="1:15" x14ac:dyDescent="0.25">
      <c r="A51" s="16">
        <v>21614</v>
      </c>
      <c r="B51" s="49">
        <v>500</v>
      </c>
      <c r="C51" s="17"/>
      <c r="D51" s="13">
        <v>21674</v>
      </c>
      <c r="E51" s="70">
        <v>400</v>
      </c>
      <c r="F51" s="14"/>
      <c r="G51" s="11"/>
      <c r="H51" s="67"/>
      <c r="I51" s="12"/>
      <c r="J51" s="53"/>
      <c r="K51" s="72"/>
      <c r="L51" s="54" t="s">
        <v>219</v>
      </c>
      <c r="M51" s="75"/>
      <c r="N51" s="73"/>
      <c r="O51" s="15"/>
    </row>
    <row r="52" spans="1:15" x14ac:dyDescent="0.25">
      <c r="A52" s="16">
        <v>21615</v>
      </c>
      <c r="B52" s="49">
        <v>1000</v>
      </c>
      <c r="C52" s="17" t="s">
        <v>153</v>
      </c>
      <c r="D52" s="13">
        <v>21675</v>
      </c>
      <c r="E52" s="70">
        <v>500</v>
      </c>
      <c r="F52" s="14"/>
      <c r="G52" s="11"/>
      <c r="H52" s="67"/>
      <c r="I52" s="12"/>
      <c r="J52" s="53">
        <v>21778</v>
      </c>
      <c r="K52" s="72">
        <v>400</v>
      </c>
      <c r="L52" s="54" t="s">
        <v>185</v>
      </c>
      <c r="M52" s="75"/>
      <c r="N52" s="73"/>
      <c r="O52" s="15"/>
    </row>
    <row r="53" spans="1:15" x14ac:dyDescent="0.25">
      <c r="A53" s="16"/>
      <c r="B53" s="49"/>
      <c r="C53" s="17" t="s">
        <v>18</v>
      </c>
      <c r="D53" s="13">
        <v>21676</v>
      </c>
      <c r="E53" s="70">
        <v>500</v>
      </c>
      <c r="F53" s="14" t="s">
        <v>152</v>
      </c>
      <c r="G53" s="11"/>
      <c r="H53" s="67"/>
      <c r="I53" s="12"/>
      <c r="J53" s="53"/>
      <c r="K53" s="72"/>
      <c r="L53" s="54" t="s">
        <v>44</v>
      </c>
      <c r="M53" s="75"/>
      <c r="N53" s="73"/>
      <c r="O53" s="15"/>
    </row>
    <row r="54" spans="1:15" x14ac:dyDescent="0.25">
      <c r="A54" s="16">
        <v>21616</v>
      </c>
      <c r="B54" s="49">
        <v>300</v>
      </c>
      <c r="C54" s="17" t="s">
        <v>191</v>
      </c>
      <c r="D54" s="13">
        <v>21677</v>
      </c>
      <c r="E54" s="70">
        <v>50</v>
      </c>
      <c r="F54" s="14" t="s">
        <v>210</v>
      </c>
      <c r="G54" s="11"/>
      <c r="H54" s="67"/>
      <c r="I54" s="12"/>
      <c r="J54" s="53">
        <v>21779</v>
      </c>
      <c r="K54" s="72">
        <v>2000</v>
      </c>
      <c r="L54" s="54" t="s">
        <v>222</v>
      </c>
      <c r="M54" s="75"/>
      <c r="N54" s="73"/>
      <c r="O54" s="15"/>
    </row>
    <row r="55" spans="1:15" x14ac:dyDescent="0.25">
      <c r="A55" s="16">
        <v>21617</v>
      </c>
      <c r="B55" s="49">
        <v>300</v>
      </c>
      <c r="C55" s="17" t="s">
        <v>191</v>
      </c>
      <c r="D55" s="13">
        <v>21678</v>
      </c>
      <c r="E55" s="70">
        <v>600</v>
      </c>
      <c r="F55" s="69" t="s">
        <v>156</v>
      </c>
      <c r="G55" s="11"/>
      <c r="H55" s="67"/>
      <c r="I55" s="12"/>
      <c r="J55" s="53"/>
      <c r="K55" s="72"/>
      <c r="L55" s="54" t="s">
        <v>219</v>
      </c>
      <c r="M55" s="75"/>
      <c r="N55" s="73"/>
      <c r="O55" s="15"/>
    </row>
    <row r="56" spans="1:15" x14ac:dyDescent="0.25">
      <c r="A56" s="16">
        <v>21618</v>
      </c>
      <c r="B56" s="49">
        <v>300</v>
      </c>
      <c r="C56" s="17"/>
      <c r="D56" s="13"/>
      <c r="E56" s="70"/>
      <c r="F56" s="14" t="s">
        <v>44</v>
      </c>
      <c r="G56" s="11"/>
      <c r="H56" s="67"/>
      <c r="I56" s="12"/>
      <c r="J56" s="53"/>
      <c r="K56" s="72"/>
      <c r="L56" s="54"/>
      <c r="M56" s="75"/>
      <c r="N56" s="73"/>
      <c r="O56" s="15"/>
    </row>
    <row r="57" spans="1:15" x14ac:dyDescent="0.25">
      <c r="A57" s="16">
        <v>21619</v>
      </c>
      <c r="B57" s="49">
        <v>500</v>
      </c>
      <c r="C57" s="17"/>
      <c r="D57" s="13">
        <v>21679</v>
      </c>
      <c r="E57" s="70">
        <v>500</v>
      </c>
      <c r="F57" s="14"/>
      <c r="G57" s="11"/>
      <c r="H57" s="67"/>
      <c r="I57" s="12"/>
      <c r="J57" s="53"/>
      <c r="K57" s="72"/>
      <c r="L57" s="54"/>
      <c r="M57" s="75"/>
      <c r="N57" s="73"/>
      <c r="O57" s="15"/>
    </row>
    <row r="58" spans="1:15" x14ac:dyDescent="0.25">
      <c r="A58" s="16">
        <v>21620</v>
      </c>
      <c r="B58" s="49">
        <v>1500</v>
      </c>
      <c r="C58" s="17" t="s">
        <v>156</v>
      </c>
      <c r="D58" s="13">
        <v>21680</v>
      </c>
      <c r="E58" s="70">
        <v>250</v>
      </c>
      <c r="F58" s="14"/>
      <c r="G58" s="11"/>
      <c r="H58" s="67"/>
      <c r="I58" s="12"/>
      <c r="J58" s="53"/>
      <c r="K58" s="72"/>
      <c r="L58" s="54"/>
      <c r="M58" s="75"/>
      <c r="N58" s="73"/>
      <c r="O58" s="15"/>
    </row>
    <row r="59" spans="1:15" x14ac:dyDescent="0.25">
      <c r="A59" s="16"/>
      <c r="B59" s="49"/>
      <c r="C59" s="17" t="s">
        <v>18</v>
      </c>
      <c r="D59" s="13">
        <v>21681</v>
      </c>
      <c r="E59" s="70">
        <v>500</v>
      </c>
      <c r="F59" s="14"/>
      <c r="G59" s="11"/>
      <c r="H59" s="67"/>
      <c r="I59" s="12"/>
      <c r="J59" s="53"/>
      <c r="K59" s="72"/>
      <c r="L59" s="54"/>
      <c r="M59" s="75"/>
      <c r="N59" s="73"/>
      <c r="O59" s="15"/>
    </row>
    <row r="60" spans="1:15" x14ac:dyDescent="0.25">
      <c r="A60" s="16">
        <v>21621</v>
      </c>
      <c r="B60" s="49">
        <v>500</v>
      </c>
      <c r="C60" s="85"/>
      <c r="D60" s="13">
        <v>21682</v>
      </c>
      <c r="E60" s="70">
        <v>500</v>
      </c>
      <c r="F60" s="14"/>
      <c r="G60" s="11"/>
      <c r="H60" s="67"/>
      <c r="I60" s="12"/>
      <c r="J60" s="53"/>
      <c r="K60" s="72"/>
      <c r="L60" s="54"/>
      <c r="M60" s="75"/>
      <c r="N60" s="73"/>
      <c r="O60" s="15"/>
    </row>
    <row r="61" spans="1:15" x14ac:dyDescent="0.25">
      <c r="A61" s="16">
        <v>21622</v>
      </c>
      <c r="B61" s="49">
        <v>200</v>
      </c>
      <c r="C61" s="17"/>
      <c r="D61" s="13">
        <v>21683</v>
      </c>
      <c r="E61" s="70"/>
      <c r="F61" s="14" t="s">
        <v>54</v>
      </c>
      <c r="G61" s="11"/>
      <c r="H61" s="67"/>
      <c r="I61" s="12"/>
      <c r="J61" s="53"/>
      <c r="K61" s="72"/>
      <c r="L61" s="54"/>
      <c r="M61" s="75"/>
      <c r="N61" s="73"/>
      <c r="O61" s="15"/>
    </row>
    <row r="62" spans="1:15" x14ac:dyDescent="0.25">
      <c r="A62" s="16">
        <v>21623</v>
      </c>
      <c r="B62" s="49">
        <v>500</v>
      </c>
      <c r="C62" s="17" t="s">
        <v>198</v>
      </c>
      <c r="D62" s="13">
        <v>21684</v>
      </c>
      <c r="E62" s="70">
        <v>800</v>
      </c>
      <c r="F62" s="14" t="s">
        <v>154</v>
      </c>
      <c r="G62" s="11"/>
      <c r="H62" s="67"/>
      <c r="I62" s="12"/>
      <c r="J62" s="53"/>
      <c r="K62" s="72"/>
      <c r="L62" s="54"/>
      <c r="M62" s="75"/>
      <c r="N62" s="73"/>
      <c r="O62" s="15"/>
    </row>
    <row r="63" spans="1:15" x14ac:dyDescent="0.25">
      <c r="A63" s="16"/>
      <c r="B63" s="49"/>
      <c r="C63" s="17" t="s">
        <v>22</v>
      </c>
      <c r="D63" s="13"/>
      <c r="E63" s="70"/>
      <c r="F63" s="14" t="s">
        <v>25</v>
      </c>
      <c r="G63" s="11"/>
      <c r="H63" s="67"/>
      <c r="I63" s="12"/>
      <c r="J63" s="53"/>
      <c r="K63" s="72"/>
      <c r="L63" s="54"/>
      <c r="M63" s="75"/>
      <c r="N63" s="73"/>
      <c r="O63" s="15"/>
    </row>
    <row r="64" spans="1:15" x14ac:dyDescent="0.25">
      <c r="A64" s="16">
        <v>21624</v>
      </c>
      <c r="B64" s="49">
        <v>500</v>
      </c>
      <c r="C64" s="17"/>
      <c r="D64" s="13">
        <v>21685</v>
      </c>
      <c r="E64" s="70">
        <v>750</v>
      </c>
      <c r="F64" s="14" t="s">
        <v>156</v>
      </c>
      <c r="G64" s="11"/>
      <c r="H64" s="67"/>
      <c r="I64" s="12"/>
      <c r="J64" s="53"/>
      <c r="K64" s="72"/>
      <c r="L64" s="54"/>
      <c r="M64" s="75"/>
      <c r="N64" s="73"/>
      <c r="O64" s="15"/>
    </row>
    <row r="65" spans="1:15" x14ac:dyDescent="0.25">
      <c r="A65" s="16">
        <v>21625</v>
      </c>
      <c r="B65" s="49">
        <v>600</v>
      </c>
      <c r="C65" s="17" t="s">
        <v>192</v>
      </c>
      <c r="D65" s="13"/>
      <c r="E65" s="70"/>
      <c r="F65" s="14" t="s">
        <v>22</v>
      </c>
      <c r="G65" s="11"/>
      <c r="H65" s="67"/>
      <c r="I65" s="12"/>
      <c r="J65" s="53"/>
      <c r="K65" s="72"/>
      <c r="L65" s="54"/>
      <c r="M65" s="75"/>
      <c r="N65" s="73"/>
      <c r="O65" s="15"/>
    </row>
    <row r="66" spans="1:15" x14ac:dyDescent="0.25">
      <c r="A66" s="16"/>
      <c r="B66" s="49"/>
      <c r="C66" s="115" t="s">
        <v>29</v>
      </c>
      <c r="D66" s="13">
        <v>21686</v>
      </c>
      <c r="E66" s="70">
        <v>500</v>
      </c>
      <c r="F66" s="14" t="s">
        <v>191</v>
      </c>
      <c r="G66" s="11"/>
      <c r="H66" s="67"/>
      <c r="I66" s="12"/>
      <c r="J66" s="53"/>
      <c r="K66" s="72"/>
      <c r="L66" s="54"/>
      <c r="M66" s="75"/>
      <c r="N66" s="73"/>
      <c r="O66" s="15"/>
    </row>
    <row r="67" spans="1:15" x14ac:dyDescent="0.25">
      <c r="A67" s="16">
        <v>21626</v>
      </c>
      <c r="B67" s="49">
        <v>600</v>
      </c>
      <c r="C67" s="17" t="s">
        <v>192</v>
      </c>
      <c r="D67" s="13">
        <v>21687</v>
      </c>
      <c r="E67" s="70">
        <v>1000</v>
      </c>
      <c r="F67" s="14" t="s">
        <v>211</v>
      </c>
      <c r="G67" s="11"/>
      <c r="H67" s="67"/>
      <c r="I67" s="12"/>
      <c r="J67" s="53"/>
      <c r="K67" s="72"/>
      <c r="L67" s="54"/>
      <c r="M67" s="75"/>
      <c r="N67" s="73"/>
      <c r="O67" s="15"/>
    </row>
    <row r="68" spans="1:15" x14ac:dyDescent="0.25">
      <c r="A68" s="16"/>
      <c r="B68" s="49"/>
      <c r="C68" s="17" t="s">
        <v>29</v>
      </c>
      <c r="D68" s="13"/>
      <c r="E68" s="70"/>
      <c r="F68" s="14" t="s">
        <v>18</v>
      </c>
      <c r="G68" s="11"/>
      <c r="H68" s="67"/>
      <c r="I68" s="12"/>
      <c r="J68" s="53"/>
      <c r="K68" s="72"/>
      <c r="L68" s="54"/>
      <c r="M68" s="75"/>
      <c r="N68" s="73"/>
      <c r="O68" s="15"/>
    </row>
    <row r="69" spans="1:15" x14ac:dyDescent="0.25">
      <c r="A69" s="16">
        <v>21627</v>
      </c>
      <c r="B69" s="49">
        <v>700</v>
      </c>
      <c r="C69" s="17" t="s">
        <v>153</v>
      </c>
      <c r="D69" s="13">
        <v>21688</v>
      </c>
      <c r="E69" s="70">
        <v>300</v>
      </c>
      <c r="F69" s="14"/>
      <c r="G69" s="11"/>
      <c r="H69" s="67"/>
      <c r="I69" s="12"/>
      <c r="J69" s="53"/>
      <c r="K69" s="72"/>
      <c r="L69" s="54"/>
      <c r="M69" s="75"/>
      <c r="N69" s="73"/>
      <c r="O69" s="15"/>
    </row>
    <row r="70" spans="1:15" x14ac:dyDescent="0.25">
      <c r="A70" s="16"/>
      <c r="B70" s="49"/>
      <c r="C70" s="17" t="s">
        <v>131</v>
      </c>
      <c r="D70" s="13">
        <v>21689</v>
      </c>
      <c r="E70" s="70">
        <v>750</v>
      </c>
      <c r="F70" s="14" t="s">
        <v>212</v>
      </c>
      <c r="G70" s="11"/>
      <c r="H70" s="67"/>
      <c r="I70" s="12"/>
      <c r="J70" s="53"/>
      <c r="K70" s="72"/>
      <c r="L70" s="54"/>
      <c r="M70" s="75"/>
      <c r="N70" s="73"/>
      <c r="O70" s="15"/>
    </row>
    <row r="71" spans="1:15" x14ac:dyDescent="0.25">
      <c r="A71" s="16">
        <v>21628</v>
      </c>
      <c r="B71" s="49">
        <v>200</v>
      </c>
      <c r="C71" s="17" t="s">
        <v>199</v>
      </c>
      <c r="D71" s="13">
        <v>21690</v>
      </c>
      <c r="E71" s="70">
        <v>1000</v>
      </c>
      <c r="F71" s="14" t="s">
        <v>153</v>
      </c>
      <c r="G71" s="11"/>
      <c r="H71" s="67"/>
      <c r="I71" s="12"/>
      <c r="J71" s="53"/>
      <c r="K71" s="72"/>
      <c r="L71" s="54"/>
      <c r="M71" s="75"/>
      <c r="N71" s="73"/>
      <c r="O71" s="15"/>
    </row>
    <row r="72" spans="1:15" x14ac:dyDescent="0.25">
      <c r="A72" s="16">
        <v>21629</v>
      </c>
      <c r="B72" s="49"/>
      <c r="C72" s="17" t="s">
        <v>54</v>
      </c>
      <c r="D72" s="13"/>
      <c r="E72" s="70"/>
      <c r="F72" s="14" t="s">
        <v>18</v>
      </c>
      <c r="G72" s="11"/>
      <c r="H72" s="67"/>
      <c r="I72" s="12"/>
      <c r="J72" s="53"/>
      <c r="K72" s="72"/>
      <c r="L72" s="54"/>
      <c r="M72" s="75"/>
      <c r="N72" s="73"/>
      <c r="O72" s="15"/>
    </row>
    <row r="73" spans="1:15" x14ac:dyDescent="0.25">
      <c r="A73" s="16">
        <v>21630</v>
      </c>
      <c r="B73" s="49">
        <v>1500</v>
      </c>
      <c r="C73" s="17" t="s">
        <v>156</v>
      </c>
      <c r="D73" s="13">
        <v>21691</v>
      </c>
      <c r="E73" s="70">
        <v>500</v>
      </c>
      <c r="F73" s="14"/>
      <c r="G73" s="11"/>
      <c r="H73" s="67"/>
      <c r="I73" s="12"/>
      <c r="J73" s="53"/>
      <c r="K73" s="72"/>
      <c r="L73" s="54"/>
      <c r="M73" s="75"/>
      <c r="N73" s="73"/>
      <c r="O73" s="15"/>
    </row>
    <row r="74" spans="1:15" x14ac:dyDescent="0.25">
      <c r="A74" s="16"/>
      <c r="B74" s="49"/>
      <c r="C74" s="17" t="s">
        <v>18</v>
      </c>
      <c r="D74" s="13">
        <v>21692</v>
      </c>
      <c r="E74" s="70">
        <v>1000</v>
      </c>
      <c r="F74" s="14" t="s">
        <v>153</v>
      </c>
      <c r="G74" s="11"/>
      <c r="H74" s="67"/>
      <c r="I74" s="12"/>
      <c r="J74" s="53"/>
      <c r="K74" s="72"/>
      <c r="L74" s="54"/>
      <c r="M74" s="75"/>
      <c r="N74" s="73"/>
      <c r="O74" s="15"/>
    </row>
    <row r="75" spans="1:15" x14ac:dyDescent="0.25">
      <c r="A75" s="16">
        <v>21631</v>
      </c>
      <c r="B75" s="49">
        <v>300</v>
      </c>
      <c r="C75" s="17" t="s">
        <v>152</v>
      </c>
      <c r="D75" s="13"/>
      <c r="E75" s="70"/>
      <c r="F75" s="14" t="s">
        <v>18</v>
      </c>
      <c r="G75" s="11"/>
      <c r="H75" s="67"/>
      <c r="I75" s="12"/>
      <c r="J75" s="53"/>
      <c r="K75" s="72"/>
      <c r="L75" s="54"/>
      <c r="M75" s="75"/>
      <c r="N75" s="73"/>
      <c r="O75" s="15"/>
    </row>
    <row r="76" spans="1:15" x14ac:dyDescent="0.25">
      <c r="A76" s="16">
        <v>21632</v>
      </c>
      <c r="B76" s="49">
        <v>800</v>
      </c>
      <c r="C76" s="17" t="s">
        <v>153</v>
      </c>
      <c r="D76" s="13">
        <v>21693</v>
      </c>
      <c r="E76" s="70">
        <v>600</v>
      </c>
      <c r="F76" s="14"/>
      <c r="G76" s="11"/>
      <c r="H76" s="67"/>
      <c r="I76" s="12"/>
      <c r="J76" s="53"/>
      <c r="K76" s="72"/>
      <c r="L76" s="54"/>
      <c r="M76" s="75"/>
      <c r="N76" s="73"/>
      <c r="O76" s="15"/>
    </row>
    <row r="77" spans="1:15" x14ac:dyDescent="0.25">
      <c r="A77" s="16"/>
      <c r="B77" s="49"/>
      <c r="C77" s="17" t="s">
        <v>25</v>
      </c>
      <c r="D77" s="13">
        <v>21694</v>
      </c>
      <c r="E77" s="70">
        <v>500</v>
      </c>
      <c r="F77" s="14"/>
      <c r="G77" s="11"/>
      <c r="H77" s="67"/>
      <c r="I77" s="12"/>
      <c r="J77" s="53"/>
      <c r="K77" s="72"/>
      <c r="L77" s="54"/>
      <c r="M77" s="75"/>
      <c r="N77" s="73"/>
      <c r="O77" s="15"/>
    </row>
    <row r="78" spans="1:15" x14ac:dyDescent="0.25">
      <c r="A78" s="16">
        <v>21633</v>
      </c>
      <c r="B78" s="49">
        <v>1750</v>
      </c>
      <c r="C78" s="17" t="s">
        <v>156</v>
      </c>
      <c r="D78" s="13">
        <v>21695</v>
      </c>
      <c r="E78" s="70">
        <v>250</v>
      </c>
      <c r="F78" s="14" t="s">
        <v>191</v>
      </c>
      <c r="G78" s="11"/>
      <c r="H78" s="67"/>
      <c r="I78" s="12"/>
      <c r="J78" s="53"/>
      <c r="K78" s="72"/>
      <c r="L78" s="54"/>
      <c r="M78" s="75"/>
      <c r="N78" s="73"/>
      <c r="O78" s="15"/>
    </row>
    <row r="79" spans="1:15" x14ac:dyDescent="0.25">
      <c r="A79" s="16"/>
      <c r="B79" s="49"/>
      <c r="C79" s="17" t="s">
        <v>200</v>
      </c>
      <c r="D79" s="13">
        <v>21696</v>
      </c>
      <c r="E79" s="70">
        <v>250</v>
      </c>
      <c r="F79" s="14" t="s">
        <v>213</v>
      </c>
      <c r="G79" s="11"/>
      <c r="H79" s="67"/>
      <c r="I79" s="12"/>
      <c r="J79" s="53"/>
      <c r="K79" s="72"/>
      <c r="L79" s="54"/>
      <c r="M79" s="75"/>
      <c r="N79" s="73"/>
      <c r="O79" s="15"/>
    </row>
    <row r="80" spans="1:15" x14ac:dyDescent="0.25">
      <c r="A80" s="16">
        <v>21634</v>
      </c>
      <c r="B80" s="49">
        <v>1000</v>
      </c>
      <c r="C80" s="17" t="s">
        <v>153</v>
      </c>
      <c r="D80" s="13">
        <v>21697</v>
      </c>
      <c r="E80" s="70">
        <v>500</v>
      </c>
      <c r="F80" s="14" t="s">
        <v>152</v>
      </c>
      <c r="G80" s="11"/>
      <c r="H80" s="67"/>
      <c r="I80" s="12"/>
      <c r="J80" s="53"/>
      <c r="K80" s="72"/>
      <c r="L80" s="54"/>
      <c r="M80" s="75"/>
      <c r="N80" s="73"/>
      <c r="O80" s="15"/>
    </row>
    <row r="81" spans="1:15" x14ac:dyDescent="0.25">
      <c r="A81" s="16"/>
      <c r="B81" s="49"/>
      <c r="C81" s="17" t="s">
        <v>18</v>
      </c>
      <c r="D81" s="13">
        <v>21698</v>
      </c>
      <c r="E81" s="70">
        <v>250</v>
      </c>
      <c r="F81" s="14"/>
      <c r="G81" s="11"/>
      <c r="H81" s="67"/>
      <c r="I81" s="12"/>
      <c r="J81" s="53"/>
      <c r="K81" s="72"/>
      <c r="L81" s="54"/>
      <c r="M81" s="75"/>
      <c r="N81" s="73"/>
      <c r="O81" s="15"/>
    </row>
    <row r="82" spans="1:15" x14ac:dyDescent="0.25">
      <c r="A82" s="16">
        <v>21635</v>
      </c>
      <c r="B82" s="49">
        <v>500</v>
      </c>
      <c r="C82" s="17" t="s">
        <v>153</v>
      </c>
      <c r="D82" s="13">
        <v>21699</v>
      </c>
      <c r="E82" s="70">
        <v>300</v>
      </c>
      <c r="F82" s="14"/>
      <c r="G82" s="11"/>
      <c r="H82" s="67"/>
      <c r="I82" s="12"/>
      <c r="J82" s="53"/>
      <c r="K82" s="72"/>
      <c r="L82" s="54"/>
      <c r="M82" s="75"/>
      <c r="N82" s="73"/>
      <c r="O82" s="15"/>
    </row>
    <row r="83" spans="1:15" x14ac:dyDescent="0.25">
      <c r="A83" s="16"/>
      <c r="B83" s="49"/>
      <c r="C83" s="17" t="s">
        <v>22</v>
      </c>
      <c r="D83" s="13">
        <v>21700</v>
      </c>
      <c r="E83" s="70">
        <v>400</v>
      </c>
      <c r="F83" s="14"/>
      <c r="G83" s="11"/>
      <c r="H83" s="67"/>
      <c r="I83" s="12"/>
      <c r="J83" s="53"/>
      <c r="K83" s="72"/>
      <c r="L83" s="54"/>
      <c r="M83" s="75"/>
      <c r="N83" s="73"/>
      <c r="O83" s="15"/>
    </row>
    <row r="84" spans="1:15" x14ac:dyDescent="0.25">
      <c r="A84" s="16">
        <v>21636</v>
      </c>
      <c r="B84" s="49">
        <v>1000</v>
      </c>
      <c r="C84" s="17" t="s">
        <v>153</v>
      </c>
      <c r="D84" s="13">
        <v>21701</v>
      </c>
      <c r="E84" s="70">
        <v>500</v>
      </c>
      <c r="F84" s="14"/>
      <c r="G84" s="11"/>
      <c r="H84" s="67"/>
      <c r="I84" s="12"/>
      <c r="J84" s="53"/>
      <c r="K84" s="72"/>
      <c r="L84" s="54"/>
      <c r="M84" s="75"/>
      <c r="N84" s="73"/>
      <c r="O84" s="15"/>
    </row>
    <row r="85" spans="1:15" x14ac:dyDescent="0.25">
      <c r="A85" s="16"/>
      <c r="B85" s="49"/>
      <c r="C85" s="17" t="s">
        <v>18</v>
      </c>
      <c r="D85" s="13">
        <v>21702</v>
      </c>
      <c r="E85" s="70">
        <v>400</v>
      </c>
      <c r="F85" s="14"/>
      <c r="G85" s="11"/>
      <c r="H85" s="67"/>
      <c r="I85" s="12"/>
      <c r="J85" s="53"/>
      <c r="K85" s="72"/>
      <c r="L85" s="54"/>
      <c r="M85" s="75"/>
      <c r="N85" s="73"/>
      <c r="O85" s="15"/>
    </row>
    <row r="86" spans="1:15" x14ac:dyDescent="0.25">
      <c r="A86" s="16">
        <v>21637</v>
      </c>
      <c r="B86" s="49">
        <v>800</v>
      </c>
      <c r="C86" s="17" t="s">
        <v>153</v>
      </c>
      <c r="D86" s="13">
        <v>21703</v>
      </c>
      <c r="E86" s="70">
        <v>500</v>
      </c>
      <c r="F86" s="14" t="s">
        <v>191</v>
      </c>
      <c r="G86" s="11"/>
      <c r="H86" s="67"/>
      <c r="I86" s="12"/>
      <c r="J86" s="53"/>
      <c r="K86" s="72"/>
      <c r="L86" s="54"/>
      <c r="M86" s="75"/>
      <c r="N86" s="73"/>
      <c r="O86" s="15"/>
    </row>
    <row r="87" spans="1:15" x14ac:dyDescent="0.25">
      <c r="A87" s="16"/>
      <c r="B87" s="49"/>
      <c r="C87" s="17" t="s">
        <v>25</v>
      </c>
      <c r="D87" s="13">
        <v>21704</v>
      </c>
      <c r="E87" s="70">
        <v>200</v>
      </c>
      <c r="F87" s="14"/>
      <c r="G87" s="11"/>
      <c r="H87" s="67"/>
      <c r="I87" s="12"/>
      <c r="J87" s="53"/>
      <c r="K87" s="72"/>
      <c r="L87" s="54"/>
      <c r="M87" s="75"/>
      <c r="N87" s="73"/>
      <c r="O87" s="15"/>
    </row>
    <row r="88" spans="1:15" x14ac:dyDescent="0.25">
      <c r="A88" s="16">
        <v>21638</v>
      </c>
      <c r="B88" s="49"/>
      <c r="C88" s="17" t="s">
        <v>191</v>
      </c>
      <c r="D88" s="13">
        <v>21705</v>
      </c>
      <c r="E88" s="70">
        <v>500</v>
      </c>
      <c r="F88" s="14"/>
      <c r="G88" s="11"/>
      <c r="H88" s="67"/>
      <c r="I88" s="12"/>
      <c r="J88" s="53"/>
      <c r="K88" s="72"/>
      <c r="L88" s="54"/>
      <c r="M88" s="75"/>
      <c r="N88" s="73"/>
      <c r="O88" s="15"/>
    </row>
    <row r="89" spans="1:15" x14ac:dyDescent="0.25">
      <c r="A89" s="16"/>
      <c r="B89" s="49"/>
      <c r="C89" s="17" t="s">
        <v>201</v>
      </c>
      <c r="D89" s="13">
        <v>21706</v>
      </c>
      <c r="E89" s="70">
        <v>800</v>
      </c>
      <c r="F89" s="14" t="s">
        <v>153</v>
      </c>
      <c r="G89" s="11"/>
      <c r="H89" s="67"/>
      <c r="I89" s="12"/>
      <c r="J89" s="53"/>
      <c r="K89" s="72"/>
      <c r="L89" s="54"/>
      <c r="M89" s="75"/>
      <c r="N89" s="73"/>
      <c r="O89" s="15"/>
    </row>
    <row r="90" spans="1:15" x14ac:dyDescent="0.25">
      <c r="A90" s="16">
        <v>21639</v>
      </c>
      <c r="B90" s="49"/>
      <c r="C90" s="17" t="s">
        <v>202</v>
      </c>
      <c r="D90" s="13"/>
      <c r="E90" s="70"/>
      <c r="F90" s="14" t="s">
        <v>25</v>
      </c>
      <c r="G90" s="11"/>
      <c r="H90" s="67"/>
      <c r="I90" s="12"/>
      <c r="J90" s="53"/>
      <c r="K90" s="72"/>
      <c r="L90" s="54"/>
      <c r="M90" s="75"/>
      <c r="N90" s="73"/>
      <c r="O90" s="15"/>
    </row>
    <row r="91" spans="1:15" x14ac:dyDescent="0.25">
      <c r="A91" s="16"/>
      <c r="B91" s="49"/>
      <c r="C91" s="17" t="s">
        <v>22</v>
      </c>
      <c r="D91" s="13">
        <v>21707</v>
      </c>
      <c r="E91" s="70">
        <v>1000</v>
      </c>
      <c r="F91" s="14" t="s">
        <v>153</v>
      </c>
      <c r="G91" s="11"/>
      <c r="H91" s="67"/>
      <c r="I91" s="12"/>
      <c r="J91" s="53"/>
      <c r="K91" s="72"/>
      <c r="L91" s="54"/>
      <c r="M91" s="75"/>
      <c r="N91" s="73"/>
      <c r="O91" s="15"/>
    </row>
    <row r="92" spans="1:15" x14ac:dyDescent="0.25">
      <c r="A92" s="16"/>
      <c r="B92" s="49"/>
      <c r="C92" s="17" t="s">
        <v>201</v>
      </c>
      <c r="D92" s="13"/>
      <c r="E92" s="70"/>
      <c r="F92" s="14" t="s">
        <v>18</v>
      </c>
      <c r="G92" s="11"/>
      <c r="H92" s="67"/>
      <c r="I92" s="12"/>
      <c r="J92" s="53"/>
      <c r="K92" s="72"/>
      <c r="L92" s="54"/>
      <c r="M92" s="75"/>
      <c r="N92" s="73"/>
      <c r="O92" s="15"/>
    </row>
    <row r="93" spans="1:15" x14ac:dyDescent="0.25">
      <c r="A93" s="16">
        <v>21640</v>
      </c>
      <c r="B93" s="49"/>
      <c r="C93" s="17" t="s">
        <v>152</v>
      </c>
      <c r="D93" s="13">
        <v>21708</v>
      </c>
      <c r="E93" s="70">
        <v>500</v>
      </c>
      <c r="F93" s="14" t="s">
        <v>209</v>
      </c>
      <c r="G93" s="11"/>
      <c r="H93" s="67"/>
      <c r="I93" s="12"/>
      <c r="J93" s="53"/>
      <c r="K93" s="72"/>
      <c r="L93" s="54"/>
      <c r="M93" s="75"/>
      <c r="N93" s="73"/>
      <c r="O93" s="15"/>
    </row>
    <row r="94" spans="1:15" x14ac:dyDescent="0.25">
      <c r="A94" s="16"/>
      <c r="B94" s="49"/>
      <c r="C94" s="17" t="s">
        <v>201</v>
      </c>
      <c r="D94" s="13"/>
      <c r="E94" s="70"/>
      <c r="F94" s="14" t="s">
        <v>22</v>
      </c>
      <c r="G94" s="11"/>
      <c r="H94" s="67"/>
      <c r="I94" s="12"/>
      <c r="J94" s="53"/>
      <c r="K94" s="72"/>
      <c r="L94" s="54"/>
      <c r="M94" s="75"/>
      <c r="N94" s="73"/>
      <c r="O94" s="15"/>
    </row>
    <row r="95" spans="1:15" x14ac:dyDescent="0.25">
      <c r="A95" s="16">
        <v>21641</v>
      </c>
      <c r="B95" s="49"/>
      <c r="C95" s="17" t="s">
        <v>54</v>
      </c>
      <c r="D95" s="13">
        <v>21709</v>
      </c>
      <c r="E95" s="70">
        <v>400</v>
      </c>
      <c r="F95" s="14"/>
      <c r="G95" s="11"/>
      <c r="H95" s="67"/>
      <c r="I95" s="12"/>
      <c r="J95" s="53"/>
      <c r="K95" s="72"/>
      <c r="L95" s="54"/>
      <c r="M95" s="75"/>
      <c r="N95" s="73"/>
      <c r="O95" s="15"/>
    </row>
    <row r="96" spans="1:15" x14ac:dyDescent="0.25">
      <c r="A96" s="16">
        <v>21642</v>
      </c>
      <c r="B96" s="49">
        <v>500</v>
      </c>
      <c r="C96" s="17" t="s">
        <v>201</v>
      </c>
      <c r="D96" s="13">
        <v>21710</v>
      </c>
      <c r="E96" s="70">
        <v>400</v>
      </c>
      <c r="F96" s="14"/>
      <c r="G96" s="11"/>
      <c r="H96" s="67"/>
      <c r="I96" s="12"/>
      <c r="J96" s="53"/>
      <c r="K96" s="72"/>
      <c r="L96" s="54"/>
      <c r="M96" s="75"/>
      <c r="N96" s="73"/>
      <c r="O96" s="15"/>
    </row>
    <row r="97" spans="1:15" x14ac:dyDescent="0.25">
      <c r="A97" s="16"/>
      <c r="B97" s="49"/>
      <c r="C97" s="17"/>
      <c r="D97" s="13">
        <v>21711</v>
      </c>
      <c r="E97" s="70">
        <v>5500</v>
      </c>
      <c r="F97" s="14" t="s">
        <v>72</v>
      </c>
      <c r="G97" s="11"/>
      <c r="H97" s="67"/>
      <c r="I97" s="12"/>
      <c r="J97" s="53"/>
      <c r="K97" s="72"/>
      <c r="L97" s="54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 t="s">
        <v>18</v>
      </c>
      <c r="G98" s="11"/>
      <c r="H98" s="67"/>
      <c r="I98" s="12"/>
      <c r="J98" s="53"/>
      <c r="K98" s="72"/>
      <c r="L98" s="54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 t="s">
        <v>143</v>
      </c>
      <c r="G99" s="11"/>
      <c r="H99" s="67"/>
      <c r="I99" s="12"/>
      <c r="J99" s="53"/>
      <c r="K99" s="72"/>
      <c r="L99" s="54"/>
      <c r="M99" s="75"/>
      <c r="N99" s="73"/>
      <c r="O99" s="15"/>
    </row>
    <row r="100" spans="1:15" x14ac:dyDescent="0.25">
      <c r="A100" s="16"/>
      <c r="B100" s="49"/>
      <c r="C100" s="17"/>
      <c r="D100" s="13">
        <v>21712</v>
      </c>
      <c r="E100" s="70">
        <v>1500</v>
      </c>
      <c r="F100" s="14" t="s">
        <v>214</v>
      </c>
      <c r="G100" s="11"/>
      <c r="H100" s="67"/>
      <c r="I100" s="12"/>
      <c r="J100" s="53"/>
      <c r="K100" s="72"/>
      <c r="L100" s="54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 t="s">
        <v>18</v>
      </c>
      <c r="G101" s="11"/>
      <c r="H101" s="67"/>
      <c r="I101" s="12"/>
      <c r="J101" s="53"/>
      <c r="K101" s="72"/>
      <c r="L101" s="54"/>
      <c r="M101" s="75"/>
      <c r="N101" s="73"/>
      <c r="O101" s="15"/>
    </row>
    <row r="102" spans="1:15" x14ac:dyDescent="0.25">
      <c r="A102" s="16"/>
      <c r="B102" s="49"/>
      <c r="C102" s="17"/>
      <c r="D102" s="13">
        <v>21713</v>
      </c>
      <c r="E102" s="70">
        <v>500</v>
      </c>
      <c r="F102" s="14" t="s">
        <v>209</v>
      </c>
      <c r="G102" s="11"/>
      <c r="H102" s="67"/>
      <c r="I102" s="12"/>
      <c r="J102" s="53"/>
      <c r="K102" s="72"/>
      <c r="L102" s="54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 t="s">
        <v>22</v>
      </c>
      <c r="G103" s="11"/>
      <c r="H103" s="67"/>
      <c r="I103" s="12"/>
      <c r="J103" s="53"/>
      <c r="K103" s="72"/>
      <c r="L103" s="54"/>
      <c r="M103" s="75"/>
      <c r="N103" s="73"/>
      <c r="O103" s="15"/>
    </row>
    <row r="104" spans="1:15" x14ac:dyDescent="0.25">
      <c r="A104" s="16"/>
      <c r="B104" s="49"/>
      <c r="C104" s="17"/>
      <c r="D104" s="13">
        <v>21714</v>
      </c>
      <c r="E104" s="70">
        <v>1500</v>
      </c>
      <c r="F104" s="14" t="s">
        <v>156</v>
      </c>
      <c r="G104" s="11"/>
      <c r="H104" s="67"/>
      <c r="I104" s="12"/>
      <c r="J104" s="53"/>
      <c r="K104" s="72"/>
      <c r="L104" s="54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 t="s">
        <v>18</v>
      </c>
      <c r="G105" s="11"/>
      <c r="H105" s="67"/>
      <c r="I105" s="12"/>
      <c r="J105" s="53"/>
      <c r="K105" s="72"/>
      <c r="L105" s="54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53"/>
      <c r="K106" s="72"/>
      <c r="L106" s="54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53"/>
      <c r="K107" s="72"/>
      <c r="L107" s="54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53"/>
      <c r="K108" s="72"/>
      <c r="L108" s="54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53"/>
      <c r="K109" s="72"/>
      <c r="L109" s="54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53"/>
      <c r="K110" s="72"/>
      <c r="L110" s="54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53"/>
      <c r="K111" s="72"/>
      <c r="L111" s="54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53"/>
      <c r="K112" s="72"/>
      <c r="L112" s="54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53"/>
      <c r="K113" s="72"/>
      <c r="L113" s="54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53"/>
      <c r="K114" s="72"/>
      <c r="L114" s="54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53"/>
      <c r="K115" s="72"/>
      <c r="L115" s="54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53"/>
      <c r="K116" s="72"/>
      <c r="L116" s="54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53"/>
      <c r="K117" s="72"/>
      <c r="L117" s="54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53"/>
      <c r="K118" s="72"/>
      <c r="L118" s="54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53"/>
      <c r="K119" s="72"/>
      <c r="L119" s="54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53"/>
      <c r="K120" s="72"/>
      <c r="L120" s="54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53"/>
      <c r="K121" s="72"/>
      <c r="L121" s="54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53"/>
      <c r="K122" s="72"/>
      <c r="L122" s="54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53"/>
      <c r="K123" s="72"/>
      <c r="L123" s="54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53"/>
      <c r="K124" s="72"/>
      <c r="L124" s="54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53"/>
      <c r="K125" s="72"/>
      <c r="L125" s="54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53"/>
      <c r="K126" s="72"/>
      <c r="L126" s="54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53"/>
      <c r="K127" s="72"/>
      <c r="L127" s="54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53"/>
      <c r="K128" s="72"/>
      <c r="L128" s="54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53"/>
      <c r="K129" s="72"/>
      <c r="L129" s="54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53"/>
      <c r="K130" s="72"/>
      <c r="L130" s="54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53"/>
      <c r="K131" s="72"/>
      <c r="L131" s="54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53"/>
      <c r="K132" s="72"/>
      <c r="L132" s="54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53"/>
      <c r="K133" s="72"/>
      <c r="L133" s="54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53"/>
      <c r="K134" s="72"/>
      <c r="L134" s="54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53"/>
      <c r="K135" s="72"/>
      <c r="L135" s="54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53"/>
      <c r="K136" s="72"/>
      <c r="L136" s="54"/>
      <c r="M136" s="75"/>
      <c r="N136" s="73"/>
      <c r="O136" s="15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53"/>
      <c r="K137" s="72"/>
      <c r="L137" s="54"/>
      <c r="M137" s="75"/>
      <c r="N137" s="73"/>
      <c r="O137" s="15"/>
    </row>
    <row r="138" spans="1:15" x14ac:dyDescent="0.25">
      <c r="A138" s="16"/>
      <c r="B138" s="49"/>
      <c r="C138" s="17"/>
      <c r="D138" s="13"/>
      <c r="E138" s="70"/>
      <c r="F138" s="14"/>
      <c r="G138" s="11"/>
      <c r="H138" s="67"/>
      <c r="I138" s="12"/>
      <c r="J138" s="53"/>
      <c r="K138" s="72"/>
      <c r="L138" s="54"/>
      <c r="M138" s="75"/>
      <c r="N138" s="73"/>
      <c r="O138" s="15"/>
    </row>
    <row r="139" spans="1:15" x14ac:dyDescent="0.25">
      <c r="A139" s="16"/>
      <c r="B139" s="49"/>
      <c r="C139" s="17"/>
      <c r="D139" s="13"/>
      <c r="E139" s="70"/>
      <c r="F139" s="14"/>
      <c r="G139" s="11"/>
      <c r="H139" s="67"/>
      <c r="I139" s="12"/>
      <c r="J139" s="53"/>
      <c r="K139" s="72"/>
      <c r="L139" s="54"/>
      <c r="M139" s="75"/>
      <c r="N139" s="73"/>
      <c r="O139" s="15"/>
    </row>
    <row r="140" spans="1:15" x14ac:dyDescent="0.25">
      <c r="A140" s="16"/>
      <c r="B140" s="49"/>
      <c r="C140" s="17"/>
      <c r="D140" s="13"/>
      <c r="E140" s="70"/>
      <c r="F140" s="14"/>
      <c r="G140" s="11"/>
      <c r="H140" s="67"/>
      <c r="I140" s="12"/>
      <c r="J140" s="53"/>
      <c r="K140" s="72"/>
      <c r="L140" s="54"/>
      <c r="M140" s="75"/>
      <c r="N140" s="73"/>
      <c r="O140" s="15"/>
    </row>
    <row r="141" spans="1:15" x14ac:dyDescent="0.25">
      <c r="A141" s="16"/>
      <c r="B141" s="49"/>
      <c r="C141" s="17"/>
      <c r="D141" s="13"/>
      <c r="E141" s="70"/>
      <c r="F141" s="14"/>
      <c r="G141" s="11"/>
      <c r="H141" s="67"/>
      <c r="I141" s="12"/>
      <c r="J141" s="53"/>
      <c r="K141" s="72"/>
      <c r="L141" s="54"/>
      <c r="M141" s="75"/>
      <c r="N141" s="73"/>
      <c r="O141" s="15"/>
    </row>
    <row r="142" spans="1:15" x14ac:dyDescent="0.25">
      <c r="A142" s="16"/>
      <c r="B142" s="49"/>
      <c r="C142" s="17"/>
      <c r="D142" s="13"/>
      <c r="E142" s="70"/>
      <c r="F142" s="14"/>
      <c r="G142" s="11"/>
      <c r="H142" s="67"/>
      <c r="I142" s="12"/>
      <c r="J142" s="53"/>
      <c r="K142" s="72"/>
      <c r="L142" s="54"/>
      <c r="M142" s="75"/>
      <c r="N142" s="73"/>
      <c r="O142" s="15"/>
    </row>
    <row r="143" spans="1:15" x14ac:dyDescent="0.25">
      <c r="A143" s="16"/>
      <c r="B143" s="49"/>
      <c r="C143" s="17"/>
      <c r="D143" s="13"/>
      <c r="E143" s="70"/>
      <c r="F143" s="14"/>
      <c r="G143" s="11"/>
      <c r="H143" s="67"/>
      <c r="I143" s="12"/>
      <c r="J143" s="53"/>
      <c r="K143" s="72"/>
      <c r="L143" s="54"/>
      <c r="M143" s="75"/>
      <c r="N143" s="73"/>
      <c r="O143" s="15"/>
    </row>
    <row r="144" spans="1:15" x14ac:dyDescent="0.25">
      <c r="A144" s="16"/>
      <c r="B144" s="49"/>
      <c r="C144" s="17"/>
      <c r="D144" s="13"/>
      <c r="E144" s="70"/>
      <c r="F144" s="14"/>
      <c r="G144" s="11"/>
      <c r="H144" s="67"/>
      <c r="I144" s="12"/>
      <c r="J144" s="53"/>
      <c r="K144" s="72"/>
      <c r="L144" s="54"/>
      <c r="M144" s="75"/>
      <c r="N144" s="73"/>
      <c r="O144" s="15"/>
    </row>
    <row r="145" spans="1:15" x14ac:dyDescent="0.25">
      <c r="A145" s="16"/>
      <c r="B145" s="49"/>
      <c r="C145" s="17"/>
      <c r="D145" s="13"/>
      <c r="E145" s="70"/>
      <c r="F145" s="14"/>
      <c r="G145" s="11"/>
      <c r="H145" s="67"/>
      <c r="I145" s="12"/>
      <c r="J145" s="53"/>
      <c r="K145" s="72"/>
      <c r="L145" s="54"/>
      <c r="M145" s="75"/>
      <c r="N145" s="73"/>
      <c r="O145" s="15"/>
    </row>
    <row r="146" spans="1:15" x14ac:dyDescent="0.25">
      <c r="A146" s="16"/>
      <c r="B146" s="49"/>
      <c r="C146" s="17"/>
      <c r="D146" s="13"/>
      <c r="E146" s="70"/>
      <c r="F146" s="14"/>
      <c r="G146" s="11"/>
      <c r="H146" s="67"/>
      <c r="I146" s="12"/>
      <c r="J146" s="53"/>
      <c r="K146" s="72"/>
      <c r="L146" s="54"/>
      <c r="M146" s="75"/>
      <c r="N146" s="73"/>
      <c r="O146" s="15"/>
    </row>
    <row r="147" spans="1:15" x14ac:dyDescent="0.25">
      <c r="A147" s="16"/>
      <c r="B147" s="49"/>
      <c r="C147" s="17"/>
      <c r="D147" s="13"/>
      <c r="E147" s="70"/>
      <c r="F147" s="14"/>
      <c r="G147" s="11"/>
      <c r="H147" s="67"/>
      <c r="I147" s="12"/>
      <c r="J147" s="53"/>
      <c r="K147" s="72"/>
      <c r="L147" s="54"/>
      <c r="M147" s="75"/>
      <c r="N147" s="73"/>
      <c r="O147" s="15"/>
    </row>
    <row r="148" spans="1:15" x14ac:dyDescent="0.25">
      <c r="A148" s="16"/>
      <c r="B148" s="49"/>
      <c r="C148" s="17"/>
      <c r="D148" s="13"/>
      <c r="E148" s="70"/>
      <c r="F148" s="14"/>
      <c r="G148" s="11"/>
      <c r="H148" s="67"/>
      <c r="I148" s="12"/>
      <c r="J148" s="53"/>
      <c r="K148" s="72"/>
      <c r="L148" s="54"/>
      <c r="M148" s="75"/>
      <c r="N148" s="73"/>
      <c r="O148" s="15"/>
    </row>
    <row r="149" spans="1:15" x14ac:dyDescent="0.25">
      <c r="A149" s="16"/>
      <c r="B149" s="49"/>
      <c r="C149" s="17"/>
      <c r="D149" s="13"/>
      <c r="E149" s="70"/>
      <c r="F149" s="14"/>
      <c r="G149" s="11"/>
      <c r="H149" s="67"/>
      <c r="I149" s="12"/>
      <c r="J149" s="53"/>
      <c r="K149" s="72"/>
      <c r="L149" s="54"/>
      <c r="M149" s="75"/>
      <c r="N149" s="73"/>
      <c r="O149" s="15"/>
    </row>
    <row r="150" spans="1:15" x14ac:dyDescent="0.25">
      <c r="A150" s="26"/>
      <c r="B150" s="26"/>
      <c r="C150" s="58"/>
      <c r="D150" s="13"/>
      <c r="E150" s="70"/>
      <c r="F150" s="14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D535" s="26"/>
      <c r="E535" s="58"/>
      <c r="F535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7"/>
  <sheetViews>
    <sheetView topLeftCell="D5" workbookViewId="0">
      <pane ySplit="3" topLeftCell="A76" activePane="bottomLeft" state="frozen"/>
      <selection activeCell="A5" sqref="A5"/>
      <selection pane="bottomLeft" activeCell="L88" sqref="L88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SUBTOTAL(3,A8:A120)</f>
        <v>65</v>
      </c>
      <c r="B6" s="8">
        <f>SUBTOTAL(9,B8:B120)</f>
        <v>33750</v>
      </c>
      <c r="C6" s="35">
        <v>43926</v>
      </c>
      <c r="D6" s="8">
        <f>SUBTOTAL(3,D8:D121)</f>
        <v>43</v>
      </c>
      <c r="E6" s="1">
        <f>SUBTOTAL(9,E8:E121)</f>
        <v>26840</v>
      </c>
      <c r="F6" s="38">
        <v>43933</v>
      </c>
      <c r="G6" s="8">
        <f>SUBTOTAL(3,G8:G123)</f>
        <v>59</v>
      </c>
      <c r="H6" s="1">
        <f>SUBTOTAL(9,H8:H123)</f>
        <v>49550</v>
      </c>
      <c r="I6" s="39">
        <v>43940</v>
      </c>
      <c r="J6" s="8">
        <f>SUBTOTAL(3,J8:J110)</f>
        <v>54</v>
      </c>
      <c r="K6" s="1">
        <f>SUBTOTAL(9,K8:K110)</f>
        <v>33850</v>
      </c>
      <c r="L6" s="63">
        <v>43946</v>
      </c>
      <c r="M6" s="1">
        <f>SUBTOTAL(3,M8:M120)</f>
        <v>0</v>
      </c>
      <c r="N6" s="1">
        <f>SUBTOTAL(9,N8:N120)</f>
        <v>0</v>
      </c>
      <c r="O6" s="82"/>
      <c r="Q6" s="30">
        <f>+A6+D6+G6+J6+M6</f>
        <v>221</v>
      </c>
      <c r="R6" s="29">
        <f>+B6+E6+H6+K6+N6</f>
        <v>143990</v>
      </c>
    </row>
    <row r="7" spans="1:18" x14ac:dyDescent="0.25">
      <c r="A7" s="43" t="s">
        <v>1</v>
      </c>
      <c r="B7" s="43" t="s">
        <v>3</v>
      </c>
      <c r="C7" s="43" t="s">
        <v>2</v>
      </c>
      <c r="D7" s="44" t="s">
        <v>1</v>
      </c>
      <c r="E7" s="44" t="s">
        <v>3</v>
      </c>
      <c r="F7" s="44" t="s">
        <v>2</v>
      </c>
      <c r="G7" s="45" t="s">
        <v>1</v>
      </c>
      <c r="H7" s="45" t="s">
        <v>3</v>
      </c>
      <c r="I7" s="45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21809</v>
      </c>
      <c r="B8" s="49">
        <v>300</v>
      </c>
      <c r="C8" s="17"/>
      <c r="D8" s="13">
        <v>21874</v>
      </c>
      <c r="E8" s="70">
        <v>300</v>
      </c>
      <c r="F8" s="14"/>
      <c r="G8" s="11">
        <v>21917</v>
      </c>
      <c r="H8" s="67">
        <v>500</v>
      </c>
      <c r="I8" s="12" t="s">
        <v>263</v>
      </c>
      <c r="J8" s="61">
        <v>21976</v>
      </c>
      <c r="K8" s="71">
        <v>500</v>
      </c>
      <c r="L8" s="62" t="s">
        <v>248</v>
      </c>
      <c r="M8" s="75"/>
      <c r="N8" s="106"/>
      <c r="O8" s="15"/>
      <c r="Q8" s="32"/>
      <c r="R8" s="32"/>
    </row>
    <row r="9" spans="1:18" x14ac:dyDescent="0.25">
      <c r="A9" s="16">
        <v>21810</v>
      </c>
      <c r="B9" s="49"/>
      <c r="C9" s="17" t="s">
        <v>54</v>
      </c>
      <c r="D9" s="13">
        <v>21875</v>
      </c>
      <c r="E9" s="70">
        <v>800</v>
      </c>
      <c r="F9" s="14" t="s">
        <v>154</v>
      </c>
      <c r="G9" s="11">
        <v>21918</v>
      </c>
      <c r="H9" s="67">
        <v>1200</v>
      </c>
      <c r="I9" s="12" t="s">
        <v>215</v>
      </c>
      <c r="J9" s="61"/>
      <c r="K9" s="71"/>
      <c r="L9" s="62" t="s">
        <v>22</v>
      </c>
      <c r="M9" s="75"/>
      <c r="N9" s="73"/>
      <c r="O9" s="15"/>
    </row>
    <row r="10" spans="1:18" x14ac:dyDescent="0.25">
      <c r="A10" s="16">
        <v>21811</v>
      </c>
      <c r="B10" s="49">
        <v>100</v>
      </c>
      <c r="C10" s="17" t="s">
        <v>232</v>
      </c>
      <c r="D10" s="13"/>
      <c r="E10" s="70"/>
      <c r="F10" s="14" t="s">
        <v>25</v>
      </c>
      <c r="G10" s="11"/>
      <c r="H10" s="67"/>
      <c r="I10" s="12" t="s">
        <v>134</v>
      </c>
      <c r="J10" s="61">
        <v>21977</v>
      </c>
      <c r="K10" s="71"/>
      <c r="L10" s="62" t="s">
        <v>54</v>
      </c>
      <c r="M10" s="75"/>
      <c r="N10" s="73"/>
      <c r="O10" s="15"/>
    </row>
    <row r="11" spans="1:18" x14ac:dyDescent="0.25">
      <c r="A11" s="16">
        <v>21812</v>
      </c>
      <c r="B11" s="49">
        <v>600</v>
      </c>
      <c r="C11" s="17" t="s">
        <v>233</v>
      </c>
      <c r="D11" s="13">
        <v>21876</v>
      </c>
      <c r="E11" s="70"/>
      <c r="F11" s="14" t="s">
        <v>54</v>
      </c>
      <c r="G11" s="11"/>
      <c r="H11" s="67"/>
      <c r="I11" s="122" t="s">
        <v>230</v>
      </c>
      <c r="J11" s="61">
        <v>21978</v>
      </c>
      <c r="K11" s="71">
        <v>500</v>
      </c>
      <c r="L11" s="62" t="s">
        <v>154</v>
      </c>
      <c r="M11" s="75"/>
      <c r="N11" s="73"/>
      <c r="O11" s="15"/>
    </row>
    <row r="12" spans="1:18" x14ac:dyDescent="0.25">
      <c r="A12" s="16">
        <v>21813</v>
      </c>
      <c r="B12" s="49">
        <v>1000</v>
      </c>
      <c r="C12" s="17" t="s">
        <v>234</v>
      </c>
      <c r="D12" s="13">
        <v>21877</v>
      </c>
      <c r="E12" s="70">
        <v>1000</v>
      </c>
      <c r="F12" s="14" t="s">
        <v>253</v>
      </c>
      <c r="G12" s="11">
        <v>21919</v>
      </c>
      <c r="H12" s="67">
        <v>1200</v>
      </c>
      <c r="I12" s="12" t="s">
        <v>121</v>
      </c>
      <c r="J12" s="61"/>
      <c r="K12" s="71"/>
      <c r="L12" s="62" t="s">
        <v>22</v>
      </c>
      <c r="M12" s="75"/>
      <c r="N12" s="73"/>
      <c r="O12" s="15"/>
    </row>
    <row r="13" spans="1:18" x14ac:dyDescent="0.25">
      <c r="A13" s="16"/>
      <c r="B13" s="49"/>
      <c r="C13" s="17" t="s">
        <v>235</v>
      </c>
      <c r="D13" s="13"/>
      <c r="E13" s="70"/>
      <c r="F13" s="14" t="s">
        <v>18</v>
      </c>
      <c r="G13" s="11"/>
      <c r="H13" s="67"/>
      <c r="I13" s="12" t="s">
        <v>134</v>
      </c>
      <c r="J13" s="61">
        <v>21979</v>
      </c>
      <c r="K13" s="71">
        <v>500</v>
      </c>
      <c r="L13" s="62"/>
      <c r="M13" s="75"/>
      <c r="N13" s="73"/>
      <c r="O13" s="15"/>
    </row>
    <row r="14" spans="1:18" ht="15" customHeight="1" x14ac:dyDescent="0.25">
      <c r="A14" s="16">
        <v>21814</v>
      </c>
      <c r="B14" s="49">
        <v>500</v>
      </c>
      <c r="C14" s="17" t="s">
        <v>236</v>
      </c>
      <c r="D14" s="13">
        <v>21878</v>
      </c>
      <c r="E14" s="70">
        <v>1000</v>
      </c>
      <c r="F14" s="14" t="s">
        <v>253</v>
      </c>
      <c r="G14" s="11">
        <v>21920</v>
      </c>
      <c r="H14" s="67">
        <v>2000</v>
      </c>
      <c r="I14" s="12" t="s">
        <v>149</v>
      </c>
      <c r="J14" s="61">
        <v>21980</v>
      </c>
      <c r="K14" s="71">
        <v>750</v>
      </c>
      <c r="L14" s="62" t="s">
        <v>262</v>
      </c>
      <c r="M14" s="75"/>
      <c r="N14" s="73"/>
      <c r="O14" s="111"/>
    </row>
    <row r="15" spans="1:18" hidden="1" x14ac:dyDescent="0.25">
      <c r="A15" s="16"/>
      <c r="B15" s="49"/>
      <c r="C15" s="17"/>
      <c r="D15" s="13"/>
      <c r="E15" s="70"/>
      <c r="F15" s="14"/>
      <c r="G15" s="11"/>
      <c r="H15" s="67"/>
      <c r="I15" s="12"/>
      <c r="J15" s="61"/>
      <c r="K15" s="71"/>
      <c r="L15" s="88"/>
      <c r="M15" s="75"/>
      <c r="N15" s="73"/>
      <c r="O15" s="15"/>
    </row>
    <row r="16" spans="1:18" x14ac:dyDescent="0.25">
      <c r="A16" s="16">
        <v>21815</v>
      </c>
      <c r="B16" s="49">
        <v>250</v>
      </c>
      <c r="C16" s="17" t="s">
        <v>237</v>
      </c>
      <c r="D16" s="13"/>
      <c r="E16" s="70"/>
      <c r="F16" s="14" t="s">
        <v>18</v>
      </c>
      <c r="G16" s="11"/>
      <c r="H16" s="67"/>
      <c r="I16" s="12" t="s">
        <v>18</v>
      </c>
      <c r="J16" s="61"/>
      <c r="K16" s="71"/>
      <c r="L16" s="62" t="s">
        <v>22</v>
      </c>
      <c r="M16" s="75"/>
      <c r="N16" s="73"/>
      <c r="O16" s="15"/>
    </row>
    <row r="17" spans="1:15" x14ac:dyDescent="0.25">
      <c r="A17" s="16">
        <v>21816</v>
      </c>
      <c r="B17" s="49">
        <v>400</v>
      </c>
      <c r="C17" s="17" t="s">
        <v>238</v>
      </c>
      <c r="D17" s="13">
        <v>21879</v>
      </c>
      <c r="E17" s="70">
        <v>500</v>
      </c>
      <c r="F17" s="14" t="s">
        <v>233</v>
      </c>
      <c r="G17" s="11"/>
      <c r="H17" s="67"/>
      <c r="I17" s="122" t="s">
        <v>277</v>
      </c>
      <c r="J17" s="61">
        <v>21981</v>
      </c>
      <c r="K17" s="71">
        <v>1000</v>
      </c>
      <c r="L17" s="62" t="s">
        <v>248</v>
      </c>
      <c r="M17" s="75"/>
      <c r="N17" s="73"/>
      <c r="O17" s="15"/>
    </row>
    <row r="18" spans="1:15" x14ac:dyDescent="0.25">
      <c r="A18" s="16"/>
      <c r="B18" s="49"/>
      <c r="C18" s="17" t="s">
        <v>44</v>
      </c>
      <c r="D18" s="13">
        <v>21880</v>
      </c>
      <c r="E18" s="70">
        <v>500</v>
      </c>
      <c r="F18" s="14"/>
      <c r="G18" s="11">
        <v>21921</v>
      </c>
      <c r="H18" s="67">
        <v>250</v>
      </c>
      <c r="I18" s="12" t="s">
        <v>233</v>
      </c>
      <c r="J18" s="61"/>
      <c r="K18" s="71"/>
      <c r="L18" s="62" t="s">
        <v>18</v>
      </c>
      <c r="M18" s="75"/>
      <c r="N18" s="73"/>
      <c r="O18" s="15"/>
    </row>
    <row r="19" spans="1:15" x14ac:dyDescent="0.25">
      <c r="A19" s="16">
        <v>21817</v>
      </c>
      <c r="B19" s="49">
        <v>300</v>
      </c>
      <c r="C19" s="17" t="s">
        <v>239</v>
      </c>
      <c r="D19" s="13">
        <v>21881</v>
      </c>
      <c r="E19" s="70">
        <v>250</v>
      </c>
      <c r="F19" s="33"/>
      <c r="G19" s="11">
        <v>21922</v>
      </c>
      <c r="H19" s="67">
        <v>1000</v>
      </c>
      <c r="I19" s="12" t="s">
        <v>154</v>
      </c>
      <c r="J19" s="61">
        <v>21982</v>
      </c>
      <c r="K19" s="71">
        <v>1000</v>
      </c>
      <c r="L19" s="62" t="s">
        <v>248</v>
      </c>
      <c r="M19" s="75"/>
      <c r="N19" s="73"/>
      <c r="O19" s="15"/>
    </row>
    <row r="20" spans="1:15" x14ac:dyDescent="0.25">
      <c r="A20" s="16">
        <v>21818</v>
      </c>
      <c r="B20" s="49">
        <v>500</v>
      </c>
      <c r="C20" s="17"/>
      <c r="D20" s="13">
        <v>21882</v>
      </c>
      <c r="E20" s="70">
        <v>400</v>
      </c>
      <c r="F20" s="14"/>
      <c r="G20" s="11"/>
      <c r="H20" s="67"/>
      <c r="I20" s="12" t="s">
        <v>18</v>
      </c>
      <c r="J20" s="61"/>
      <c r="K20" s="71"/>
      <c r="L20" s="62" t="s">
        <v>18</v>
      </c>
      <c r="M20" s="75"/>
      <c r="N20" s="73"/>
      <c r="O20" s="15"/>
    </row>
    <row r="21" spans="1:15" x14ac:dyDescent="0.25">
      <c r="A21" s="16">
        <v>21819</v>
      </c>
      <c r="B21" s="49">
        <v>250</v>
      </c>
      <c r="C21" s="17"/>
      <c r="D21" s="13">
        <v>21883</v>
      </c>
      <c r="E21" s="70">
        <v>1500</v>
      </c>
      <c r="F21" s="14" t="s">
        <v>243</v>
      </c>
      <c r="G21" s="11">
        <v>21923</v>
      </c>
      <c r="H21" s="67">
        <v>500</v>
      </c>
      <c r="I21" s="12"/>
      <c r="J21" s="61"/>
      <c r="K21" s="71"/>
      <c r="L21" s="62" t="s">
        <v>278</v>
      </c>
      <c r="M21" s="75"/>
      <c r="N21" s="73"/>
      <c r="O21" s="15"/>
    </row>
    <row r="22" spans="1:15" x14ac:dyDescent="0.25">
      <c r="A22" s="16">
        <v>21820</v>
      </c>
      <c r="B22" s="49">
        <v>500</v>
      </c>
      <c r="C22" s="17"/>
      <c r="D22" s="13"/>
      <c r="E22" s="70"/>
      <c r="F22" s="14" t="s">
        <v>18</v>
      </c>
      <c r="G22" s="11">
        <v>21924</v>
      </c>
      <c r="H22" s="67">
        <v>3600</v>
      </c>
      <c r="I22" s="12" t="s">
        <v>72</v>
      </c>
      <c r="J22" s="61">
        <v>21983</v>
      </c>
      <c r="K22" s="71">
        <v>1000</v>
      </c>
      <c r="L22" s="62" t="s">
        <v>154</v>
      </c>
      <c r="M22" s="75"/>
      <c r="N22" s="73"/>
      <c r="O22" s="15"/>
    </row>
    <row r="23" spans="1:15" x14ac:dyDescent="0.25">
      <c r="A23" s="16">
        <v>21821</v>
      </c>
      <c r="B23" s="49">
        <v>500</v>
      </c>
      <c r="C23" s="17"/>
      <c r="D23" s="13">
        <v>21884</v>
      </c>
      <c r="E23" s="70">
        <v>400</v>
      </c>
      <c r="F23" s="14"/>
      <c r="G23" s="11"/>
      <c r="H23" s="67"/>
      <c r="I23" s="12" t="s">
        <v>29</v>
      </c>
      <c r="J23" s="61"/>
      <c r="K23" s="71"/>
      <c r="L23" s="62" t="s">
        <v>18</v>
      </c>
      <c r="M23" s="75"/>
      <c r="N23" s="73"/>
      <c r="O23" s="15"/>
    </row>
    <row r="24" spans="1:15" x14ac:dyDescent="0.25">
      <c r="A24" s="16">
        <v>21822</v>
      </c>
      <c r="B24" s="49">
        <v>750</v>
      </c>
      <c r="C24" s="17" t="s">
        <v>156</v>
      </c>
      <c r="D24" s="13">
        <v>21885</v>
      </c>
      <c r="E24" s="70">
        <v>50</v>
      </c>
      <c r="F24" s="14" t="s">
        <v>51</v>
      </c>
      <c r="G24" s="11"/>
      <c r="H24" s="67"/>
      <c r="I24" s="122" t="s">
        <v>230</v>
      </c>
      <c r="J24" s="61">
        <v>21984</v>
      </c>
      <c r="K24" s="71">
        <v>250</v>
      </c>
      <c r="L24" s="62" t="s">
        <v>279</v>
      </c>
      <c r="M24" s="75"/>
      <c r="N24" s="73"/>
      <c r="O24" s="15"/>
    </row>
    <row r="25" spans="1:15" x14ac:dyDescent="0.25">
      <c r="A25" s="16"/>
      <c r="B25" s="49"/>
      <c r="C25" s="17" t="s">
        <v>22</v>
      </c>
      <c r="D25" s="13">
        <v>21886</v>
      </c>
      <c r="E25" s="70">
        <v>440</v>
      </c>
      <c r="F25" s="14" t="s">
        <v>233</v>
      </c>
      <c r="G25" s="11">
        <v>21925</v>
      </c>
      <c r="H25" s="67">
        <v>500</v>
      </c>
      <c r="I25" s="12" t="s">
        <v>264</v>
      </c>
      <c r="J25" s="61">
        <v>21985</v>
      </c>
      <c r="K25" s="71">
        <v>500</v>
      </c>
      <c r="L25" s="62" t="s">
        <v>154</v>
      </c>
      <c r="M25" s="75"/>
      <c r="N25" s="73"/>
      <c r="O25" s="15"/>
    </row>
    <row r="26" spans="1:15" x14ac:dyDescent="0.25">
      <c r="A26" s="16">
        <v>21823</v>
      </c>
      <c r="B26" s="49">
        <v>550</v>
      </c>
      <c r="C26" s="17" t="s">
        <v>240</v>
      </c>
      <c r="D26" s="13">
        <v>21887</v>
      </c>
      <c r="E26" s="70">
        <v>300</v>
      </c>
      <c r="F26" s="14" t="s">
        <v>245</v>
      </c>
      <c r="G26" s="11">
        <v>21926</v>
      </c>
      <c r="H26" s="67">
        <v>1000</v>
      </c>
      <c r="I26" s="12" t="s">
        <v>265</v>
      </c>
      <c r="J26" s="61"/>
      <c r="K26" s="71"/>
      <c r="L26" s="62" t="s">
        <v>22</v>
      </c>
      <c r="M26" s="75"/>
      <c r="N26" s="73"/>
      <c r="O26" s="15"/>
    </row>
    <row r="27" spans="1:15" x14ac:dyDescent="0.25">
      <c r="A27" s="16"/>
      <c r="B27" s="49"/>
      <c r="C27" s="17" t="s">
        <v>179</v>
      </c>
      <c r="D27" s="13">
        <v>21888</v>
      </c>
      <c r="E27" s="70">
        <v>1000</v>
      </c>
      <c r="F27" s="14" t="s">
        <v>248</v>
      </c>
      <c r="G27" s="11"/>
      <c r="H27" s="67"/>
      <c r="I27" s="12" t="s">
        <v>18</v>
      </c>
      <c r="J27" s="61">
        <v>21986</v>
      </c>
      <c r="K27" s="71">
        <v>2000</v>
      </c>
      <c r="L27" s="62" t="s">
        <v>280</v>
      </c>
      <c r="M27" s="75"/>
      <c r="N27" s="73"/>
      <c r="O27" s="31"/>
    </row>
    <row r="28" spans="1:15" x14ac:dyDescent="0.25">
      <c r="A28" s="16">
        <v>21824</v>
      </c>
      <c r="B28" s="49">
        <v>250</v>
      </c>
      <c r="C28" s="17"/>
      <c r="D28" s="13"/>
      <c r="E28" s="70"/>
      <c r="F28" s="14" t="s">
        <v>18</v>
      </c>
      <c r="G28" s="11">
        <v>21927</v>
      </c>
      <c r="H28" s="67">
        <v>500</v>
      </c>
      <c r="I28" s="12"/>
      <c r="J28" s="61"/>
      <c r="K28" s="71"/>
      <c r="L28" s="62" t="s">
        <v>18</v>
      </c>
      <c r="M28" s="75"/>
      <c r="N28" s="73"/>
      <c r="O28" s="15"/>
    </row>
    <row r="29" spans="1:15" x14ac:dyDescent="0.25">
      <c r="A29" s="16">
        <v>21825</v>
      </c>
      <c r="B29" s="49">
        <v>300</v>
      </c>
      <c r="C29" s="17" t="s">
        <v>233</v>
      </c>
      <c r="D29" s="13">
        <v>21889</v>
      </c>
      <c r="E29" s="70">
        <v>1100</v>
      </c>
      <c r="F29" s="14" t="s">
        <v>254</v>
      </c>
      <c r="G29" s="11">
        <v>21928</v>
      </c>
      <c r="H29" s="67">
        <v>1000</v>
      </c>
      <c r="I29" s="12" t="s">
        <v>154</v>
      </c>
      <c r="J29" s="61">
        <v>21987</v>
      </c>
      <c r="K29" s="71">
        <v>1200</v>
      </c>
      <c r="L29" s="62" t="s">
        <v>242</v>
      </c>
      <c r="M29" s="75"/>
      <c r="N29" s="73"/>
      <c r="O29" s="15"/>
    </row>
    <row r="30" spans="1:15" x14ac:dyDescent="0.25">
      <c r="A30" s="16">
        <v>21826</v>
      </c>
      <c r="B30" s="49">
        <v>1500</v>
      </c>
      <c r="C30" s="17" t="s">
        <v>241</v>
      </c>
      <c r="D30" s="13"/>
      <c r="E30" s="70"/>
      <c r="F30" s="14" t="s">
        <v>255</v>
      </c>
      <c r="G30" s="11"/>
      <c r="H30" s="67"/>
      <c r="I30" s="12" t="s">
        <v>18</v>
      </c>
      <c r="J30" s="61"/>
      <c r="K30" s="71"/>
      <c r="L30" s="62" t="s">
        <v>134</v>
      </c>
      <c r="M30" s="75"/>
      <c r="N30" s="73"/>
      <c r="O30" s="15"/>
    </row>
    <row r="31" spans="1:15" x14ac:dyDescent="0.25">
      <c r="A31" s="16"/>
      <c r="B31" s="49"/>
      <c r="C31" s="17" t="s">
        <v>18</v>
      </c>
      <c r="D31" s="13">
        <v>21890</v>
      </c>
      <c r="E31" s="70">
        <v>500</v>
      </c>
      <c r="F31" s="14" t="s">
        <v>233</v>
      </c>
      <c r="G31" s="11">
        <v>21929</v>
      </c>
      <c r="H31" s="67">
        <v>1500</v>
      </c>
      <c r="I31" s="12" t="s">
        <v>266</v>
      </c>
      <c r="J31" s="61">
        <v>21988</v>
      </c>
      <c r="K31" s="71">
        <v>500</v>
      </c>
      <c r="L31" s="62" t="s">
        <v>246</v>
      </c>
      <c r="M31" s="75"/>
      <c r="N31" s="73"/>
      <c r="O31" s="15"/>
    </row>
    <row r="32" spans="1:15" x14ac:dyDescent="0.25">
      <c r="A32" s="16">
        <v>21827</v>
      </c>
      <c r="B32" s="49">
        <v>500</v>
      </c>
      <c r="C32" s="17"/>
      <c r="D32" s="13">
        <v>21891</v>
      </c>
      <c r="E32" s="70">
        <v>700</v>
      </c>
      <c r="F32" s="14"/>
      <c r="G32" s="11"/>
      <c r="H32" s="67"/>
      <c r="I32" s="12" t="s">
        <v>18</v>
      </c>
      <c r="J32" s="61">
        <v>21989</v>
      </c>
      <c r="K32" s="71">
        <v>500</v>
      </c>
      <c r="L32" s="62"/>
      <c r="M32" s="75"/>
      <c r="N32" s="73"/>
      <c r="O32" s="15"/>
    </row>
    <row r="33" spans="1:15" x14ac:dyDescent="0.25">
      <c r="A33" s="16">
        <v>21828</v>
      </c>
      <c r="B33" s="49">
        <v>500</v>
      </c>
      <c r="C33" s="17"/>
      <c r="D33" s="13">
        <v>21892</v>
      </c>
      <c r="E33" s="70">
        <v>300</v>
      </c>
      <c r="F33" s="14"/>
      <c r="G33" s="11">
        <v>21930</v>
      </c>
      <c r="H33" s="67">
        <v>250</v>
      </c>
      <c r="I33" s="12" t="s">
        <v>264</v>
      </c>
      <c r="J33" s="61">
        <v>21990</v>
      </c>
      <c r="K33" s="71">
        <v>500</v>
      </c>
      <c r="L33" s="62"/>
      <c r="M33" s="75"/>
      <c r="N33" s="73"/>
      <c r="O33" s="15"/>
    </row>
    <row r="34" spans="1:15" x14ac:dyDescent="0.25">
      <c r="A34" s="16">
        <v>21829</v>
      </c>
      <c r="B34" s="49">
        <v>450</v>
      </c>
      <c r="C34" s="17"/>
      <c r="D34" s="13">
        <v>21893</v>
      </c>
      <c r="E34" s="70">
        <v>1000</v>
      </c>
      <c r="F34" s="14" t="s">
        <v>154</v>
      </c>
      <c r="G34" s="11">
        <v>21931</v>
      </c>
      <c r="H34" s="67"/>
      <c r="I34" s="12" t="s">
        <v>54</v>
      </c>
      <c r="J34" s="61">
        <v>21991</v>
      </c>
      <c r="K34" s="71">
        <v>300</v>
      </c>
      <c r="L34" s="62"/>
      <c r="M34" s="75"/>
      <c r="N34" s="73"/>
      <c r="O34" s="31"/>
    </row>
    <row r="35" spans="1:15" x14ac:dyDescent="0.25">
      <c r="A35" s="16">
        <v>21830</v>
      </c>
      <c r="B35" s="49">
        <v>50</v>
      </c>
      <c r="C35" s="17" t="s">
        <v>51</v>
      </c>
      <c r="D35" s="13"/>
      <c r="E35" s="70"/>
      <c r="F35" s="14" t="s">
        <v>18</v>
      </c>
      <c r="G35" s="11">
        <v>21932</v>
      </c>
      <c r="H35" s="67">
        <v>1000</v>
      </c>
      <c r="I35" s="12" t="s">
        <v>209</v>
      </c>
      <c r="J35" s="61">
        <v>21992</v>
      </c>
      <c r="K35" s="71">
        <v>400</v>
      </c>
      <c r="L35" s="62"/>
      <c r="M35" s="75"/>
      <c r="N35" s="73"/>
      <c r="O35" s="15"/>
    </row>
    <row r="36" spans="1:15" x14ac:dyDescent="0.25">
      <c r="A36" s="16">
        <v>21831</v>
      </c>
      <c r="B36" s="49">
        <v>300</v>
      </c>
      <c r="C36" s="17"/>
      <c r="D36" s="13">
        <v>21894</v>
      </c>
      <c r="E36" s="70">
        <v>500</v>
      </c>
      <c r="F36" s="14" t="s">
        <v>246</v>
      </c>
      <c r="G36" s="11"/>
      <c r="H36" s="67"/>
      <c r="I36" s="12" t="s">
        <v>18</v>
      </c>
      <c r="J36" s="61">
        <v>21993</v>
      </c>
      <c r="K36" s="71">
        <v>500</v>
      </c>
      <c r="L36" s="62"/>
      <c r="M36" s="75"/>
      <c r="N36" s="73"/>
      <c r="O36" s="15"/>
    </row>
    <row r="37" spans="1:15" x14ac:dyDescent="0.25">
      <c r="A37" s="16">
        <v>21832</v>
      </c>
      <c r="B37" s="49">
        <v>1000</v>
      </c>
      <c r="C37" s="17" t="s">
        <v>154</v>
      </c>
      <c r="D37" s="13">
        <v>21895</v>
      </c>
      <c r="E37" s="70">
        <v>500</v>
      </c>
      <c r="F37" s="14"/>
      <c r="G37" s="11">
        <v>21933</v>
      </c>
      <c r="H37" s="67">
        <v>500</v>
      </c>
      <c r="I37" s="122" t="s">
        <v>230</v>
      </c>
      <c r="J37" s="61">
        <v>21994</v>
      </c>
      <c r="K37" s="71">
        <v>500</v>
      </c>
      <c r="L37" s="62"/>
      <c r="M37" s="75"/>
      <c r="N37" s="73"/>
      <c r="O37" s="15"/>
    </row>
    <row r="38" spans="1:15" x14ac:dyDescent="0.25">
      <c r="A38" s="16"/>
      <c r="B38" s="49"/>
      <c r="C38" s="17" t="s">
        <v>18</v>
      </c>
      <c r="D38" s="13">
        <v>21896</v>
      </c>
      <c r="E38" s="70">
        <v>250</v>
      </c>
      <c r="F38" s="14"/>
      <c r="G38" s="11">
        <v>21934</v>
      </c>
      <c r="H38" s="67">
        <v>400</v>
      </c>
      <c r="I38" s="12"/>
      <c r="J38" s="61">
        <v>21995</v>
      </c>
      <c r="K38" s="71">
        <v>700</v>
      </c>
      <c r="L38" s="62" t="s">
        <v>248</v>
      </c>
      <c r="M38" s="75"/>
      <c r="N38" s="73"/>
      <c r="O38" s="15"/>
    </row>
    <row r="39" spans="1:15" x14ac:dyDescent="0.25">
      <c r="A39" s="16">
        <v>21833</v>
      </c>
      <c r="B39" s="49">
        <v>250</v>
      </c>
      <c r="C39" s="17"/>
      <c r="D39" s="13">
        <v>21897</v>
      </c>
      <c r="E39" s="70">
        <v>250</v>
      </c>
      <c r="F39" s="14"/>
      <c r="G39" s="11">
        <v>21935</v>
      </c>
      <c r="H39" s="67">
        <v>250</v>
      </c>
      <c r="I39" s="12"/>
      <c r="J39" s="61"/>
      <c r="K39" s="71"/>
      <c r="L39" s="62" t="s">
        <v>22</v>
      </c>
      <c r="M39" s="75"/>
      <c r="N39" s="73"/>
      <c r="O39" s="15"/>
    </row>
    <row r="40" spans="1:15" x14ac:dyDescent="0.25">
      <c r="A40" s="16">
        <v>21834</v>
      </c>
      <c r="B40" s="49">
        <v>500</v>
      </c>
      <c r="C40" s="17" t="s">
        <v>233</v>
      </c>
      <c r="D40" s="13">
        <v>21898</v>
      </c>
      <c r="E40" s="70">
        <v>250</v>
      </c>
      <c r="F40" s="14" t="s">
        <v>256</v>
      </c>
      <c r="G40" s="11">
        <v>21936</v>
      </c>
      <c r="H40" s="67">
        <v>250</v>
      </c>
      <c r="I40" s="12" t="s">
        <v>191</v>
      </c>
      <c r="J40" s="61">
        <v>21996</v>
      </c>
      <c r="K40" s="71">
        <v>1050</v>
      </c>
      <c r="L40" s="62" t="s">
        <v>262</v>
      </c>
      <c r="M40" s="75"/>
      <c r="N40" s="73"/>
      <c r="O40" s="15"/>
    </row>
    <row r="41" spans="1:15" x14ac:dyDescent="0.25">
      <c r="A41" s="16">
        <v>21835</v>
      </c>
      <c r="B41" s="49">
        <v>1500</v>
      </c>
      <c r="C41" s="17" t="s">
        <v>242</v>
      </c>
      <c r="D41" s="13">
        <v>21899</v>
      </c>
      <c r="E41" s="70">
        <v>250</v>
      </c>
      <c r="F41" s="14"/>
      <c r="G41" s="11">
        <v>21937</v>
      </c>
      <c r="H41" s="67">
        <v>1000</v>
      </c>
      <c r="I41" s="12" t="s">
        <v>172</v>
      </c>
      <c r="J41" s="61"/>
      <c r="K41" s="71"/>
      <c r="L41" s="62" t="s">
        <v>131</v>
      </c>
      <c r="M41" s="75"/>
      <c r="N41" s="73"/>
      <c r="O41" s="15"/>
    </row>
    <row r="42" spans="1:15" x14ac:dyDescent="0.25">
      <c r="A42" s="16"/>
      <c r="B42" s="49"/>
      <c r="C42" s="17" t="s">
        <v>18</v>
      </c>
      <c r="D42" s="13">
        <v>21900</v>
      </c>
      <c r="E42" s="70">
        <v>250</v>
      </c>
      <c r="F42" s="14" t="s">
        <v>233</v>
      </c>
      <c r="G42" s="11"/>
      <c r="H42" s="67"/>
      <c r="I42" s="12" t="s">
        <v>18</v>
      </c>
      <c r="J42" s="61">
        <v>21997</v>
      </c>
      <c r="K42" s="71">
        <v>1000</v>
      </c>
      <c r="L42" s="62" t="s">
        <v>185</v>
      </c>
      <c r="M42" s="75"/>
      <c r="N42" s="73"/>
      <c r="O42" s="15"/>
    </row>
    <row r="43" spans="1:15" x14ac:dyDescent="0.25">
      <c r="A43" s="16">
        <v>21836</v>
      </c>
      <c r="B43" s="49">
        <v>500</v>
      </c>
      <c r="C43" s="17"/>
      <c r="D43" s="13">
        <v>21901</v>
      </c>
      <c r="E43" s="70">
        <v>500</v>
      </c>
      <c r="F43" s="14"/>
      <c r="G43" s="11">
        <v>21938</v>
      </c>
      <c r="H43" s="67">
        <v>600</v>
      </c>
      <c r="I43" s="12"/>
      <c r="J43" s="61"/>
      <c r="K43" s="71"/>
      <c r="L43" s="62" t="s">
        <v>18</v>
      </c>
      <c r="M43" s="75"/>
      <c r="N43" s="73"/>
      <c r="O43" s="15"/>
    </row>
    <row r="44" spans="1:15" x14ac:dyDescent="0.25">
      <c r="A44" s="16">
        <v>21837</v>
      </c>
      <c r="B44" s="49"/>
      <c r="C44" s="17" t="s">
        <v>54</v>
      </c>
      <c r="D44" s="13">
        <v>21902</v>
      </c>
      <c r="E44" s="70">
        <v>1500</v>
      </c>
      <c r="F44" s="14" t="s">
        <v>243</v>
      </c>
      <c r="G44" s="11">
        <v>21939</v>
      </c>
      <c r="H44" s="67">
        <v>500</v>
      </c>
      <c r="I44" s="12"/>
      <c r="J44" s="61">
        <v>21998</v>
      </c>
      <c r="K44" s="71">
        <v>1500</v>
      </c>
      <c r="L44" s="62" t="s">
        <v>281</v>
      </c>
      <c r="M44" s="75"/>
      <c r="N44" s="73"/>
      <c r="O44" s="15"/>
    </row>
    <row r="45" spans="1:15" x14ac:dyDescent="0.25">
      <c r="A45" s="16">
        <v>21838</v>
      </c>
      <c r="B45" s="49">
        <v>500</v>
      </c>
      <c r="C45" s="17"/>
      <c r="D45" s="13"/>
      <c r="E45" s="70"/>
      <c r="F45" s="14" t="s">
        <v>18</v>
      </c>
      <c r="G45" s="11">
        <v>21940</v>
      </c>
      <c r="H45" s="67">
        <v>1000</v>
      </c>
      <c r="I45" s="12" t="s">
        <v>154</v>
      </c>
      <c r="J45" s="61"/>
      <c r="K45" s="71"/>
      <c r="L45" s="62" t="s">
        <v>18</v>
      </c>
      <c r="M45" s="75"/>
      <c r="N45" s="73"/>
      <c r="O45" s="15"/>
    </row>
    <row r="46" spans="1:15" x14ac:dyDescent="0.25">
      <c r="A46" s="16">
        <v>21839</v>
      </c>
      <c r="B46" s="49">
        <v>500</v>
      </c>
      <c r="C46" s="17"/>
      <c r="D46" s="13">
        <v>21903</v>
      </c>
      <c r="E46" s="70">
        <v>500</v>
      </c>
      <c r="F46" s="14"/>
      <c r="G46" s="11"/>
      <c r="H46" s="67"/>
      <c r="I46" s="12" t="s">
        <v>18</v>
      </c>
      <c r="J46" s="61">
        <v>21999</v>
      </c>
      <c r="K46" s="71">
        <v>500</v>
      </c>
      <c r="L46" s="62"/>
      <c r="M46" s="75"/>
      <c r="N46" s="73"/>
      <c r="O46" s="15"/>
    </row>
    <row r="47" spans="1:15" x14ac:dyDescent="0.25">
      <c r="A47" s="16">
        <v>21840</v>
      </c>
      <c r="B47" s="49">
        <v>500</v>
      </c>
      <c r="C47" s="17"/>
      <c r="D47" s="13">
        <v>21904</v>
      </c>
      <c r="E47" s="70">
        <v>500</v>
      </c>
      <c r="F47" s="14" t="s">
        <v>154</v>
      </c>
      <c r="G47" s="11">
        <v>21941</v>
      </c>
      <c r="H47" s="67">
        <v>500</v>
      </c>
      <c r="I47" s="12"/>
      <c r="J47" s="61">
        <v>22000</v>
      </c>
      <c r="K47" s="71">
        <v>50</v>
      </c>
      <c r="L47" s="62" t="s">
        <v>282</v>
      </c>
      <c r="M47" s="75"/>
      <c r="N47" s="73"/>
      <c r="O47" s="15"/>
    </row>
    <row r="48" spans="1:15" x14ac:dyDescent="0.25">
      <c r="A48" s="16">
        <v>21841</v>
      </c>
      <c r="B48" s="49">
        <v>500</v>
      </c>
      <c r="C48" s="17"/>
      <c r="D48" s="13"/>
      <c r="E48" s="70"/>
      <c r="F48" s="14" t="s">
        <v>22</v>
      </c>
      <c r="G48" s="11">
        <v>21942</v>
      </c>
      <c r="H48" s="67">
        <v>2250</v>
      </c>
      <c r="I48" s="12" t="s">
        <v>222</v>
      </c>
      <c r="J48" s="61">
        <v>22001</v>
      </c>
      <c r="K48" s="71"/>
      <c r="L48" s="62" t="s">
        <v>54</v>
      </c>
      <c r="M48" s="75"/>
      <c r="N48" s="73"/>
      <c r="O48" s="15"/>
    </row>
    <row r="49" spans="1:15" x14ac:dyDescent="0.25">
      <c r="A49" s="16">
        <v>21842</v>
      </c>
      <c r="B49" s="49">
        <v>1500</v>
      </c>
      <c r="C49" s="17" t="s">
        <v>243</v>
      </c>
      <c r="D49" s="13">
        <v>21905</v>
      </c>
      <c r="E49" s="70">
        <v>500</v>
      </c>
      <c r="F49" s="14" t="s">
        <v>233</v>
      </c>
      <c r="G49" s="11"/>
      <c r="H49" s="67"/>
      <c r="I49" s="12" t="s">
        <v>267</v>
      </c>
      <c r="J49" s="61">
        <v>22002</v>
      </c>
      <c r="K49" s="71">
        <v>1000</v>
      </c>
      <c r="L49" s="62" t="s">
        <v>248</v>
      </c>
      <c r="M49" s="75"/>
      <c r="N49" s="73"/>
      <c r="O49" s="15"/>
    </row>
    <row r="50" spans="1:15" x14ac:dyDescent="0.25">
      <c r="A50" s="16"/>
      <c r="B50" s="49"/>
      <c r="C50" s="17" t="s">
        <v>18</v>
      </c>
      <c r="D50" s="13">
        <v>21906</v>
      </c>
      <c r="E50" s="70">
        <v>250</v>
      </c>
      <c r="F50" s="14"/>
      <c r="G50" s="11">
        <v>21943</v>
      </c>
      <c r="H50" s="67">
        <v>800</v>
      </c>
      <c r="I50" s="12" t="s">
        <v>154</v>
      </c>
      <c r="J50" s="61"/>
      <c r="K50" s="71"/>
      <c r="L50" s="62" t="s">
        <v>18</v>
      </c>
      <c r="M50" s="75"/>
      <c r="N50" s="73"/>
      <c r="O50" s="15"/>
    </row>
    <row r="51" spans="1:15" x14ac:dyDescent="0.25">
      <c r="A51" s="16">
        <v>21843</v>
      </c>
      <c r="B51" s="49">
        <v>1000</v>
      </c>
      <c r="C51" s="17" t="s">
        <v>154</v>
      </c>
      <c r="D51" s="13">
        <v>21907</v>
      </c>
      <c r="E51" s="70">
        <v>500</v>
      </c>
      <c r="F51" s="14"/>
      <c r="G51" s="11"/>
      <c r="H51" s="67"/>
      <c r="I51" s="12" t="s">
        <v>25</v>
      </c>
      <c r="J51" s="61">
        <v>22003</v>
      </c>
      <c r="K51" s="71">
        <v>300</v>
      </c>
      <c r="L51" s="62" t="s">
        <v>246</v>
      </c>
      <c r="M51" s="75"/>
      <c r="N51" s="73"/>
      <c r="O51" s="15"/>
    </row>
    <row r="52" spans="1:15" x14ac:dyDescent="0.25">
      <c r="A52" s="16"/>
      <c r="B52" s="49"/>
      <c r="C52" s="17" t="s">
        <v>18</v>
      </c>
      <c r="D52" s="13">
        <v>21908</v>
      </c>
      <c r="E52" s="70">
        <v>500</v>
      </c>
      <c r="F52" s="14" t="s">
        <v>257</v>
      </c>
      <c r="G52" s="11">
        <v>21944</v>
      </c>
      <c r="H52" s="67">
        <v>500</v>
      </c>
      <c r="I52" s="12"/>
      <c r="J52" s="61">
        <v>22004</v>
      </c>
      <c r="K52" s="71">
        <v>2000</v>
      </c>
      <c r="L52" s="62" t="s">
        <v>283</v>
      </c>
      <c r="M52" s="75"/>
      <c r="N52" s="73"/>
      <c r="O52" s="15"/>
    </row>
    <row r="53" spans="1:15" x14ac:dyDescent="0.25">
      <c r="A53" s="16">
        <v>21844</v>
      </c>
      <c r="B53" s="49">
        <v>800</v>
      </c>
      <c r="C53" s="17" t="s">
        <v>154</v>
      </c>
      <c r="D53" s="13"/>
      <c r="E53" s="70"/>
      <c r="F53" s="14" t="s">
        <v>258</v>
      </c>
      <c r="G53" s="11">
        <v>21945</v>
      </c>
      <c r="H53" s="67">
        <v>500</v>
      </c>
      <c r="I53" s="12"/>
      <c r="J53" s="61"/>
      <c r="K53" s="71"/>
      <c r="L53" s="62" t="s">
        <v>18</v>
      </c>
      <c r="M53" s="75"/>
      <c r="N53" s="73"/>
      <c r="O53" s="15"/>
    </row>
    <row r="54" spans="1:15" x14ac:dyDescent="0.25">
      <c r="A54" s="16"/>
      <c r="B54" s="49"/>
      <c r="C54" s="17" t="s">
        <v>25</v>
      </c>
      <c r="D54" s="13">
        <v>21909</v>
      </c>
      <c r="E54" s="70">
        <v>500</v>
      </c>
      <c r="F54" s="14"/>
      <c r="G54" s="11">
        <v>21946</v>
      </c>
      <c r="H54" s="67">
        <v>1000</v>
      </c>
      <c r="I54" s="12" t="s">
        <v>248</v>
      </c>
      <c r="J54" s="61">
        <v>22005</v>
      </c>
      <c r="K54" s="71">
        <v>500</v>
      </c>
      <c r="L54" s="62"/>
      <c r="M54" s="75"/>
      <c r="N54" s="73"/>
      <c r="O54" s="15"/>
    </row>
    <row r="55" spans="1:15" x14ac:dyDescent="0.25">
      <c r="A55" s="16">
        <v>21845</v>
      </c>
      <c r="B55" s="49">
        <v>500</v>
      </c>
      <c r="C55" s="17"/>
      <c r="D55" s="13">
        <v>21910</v>
      </c>
      <c r="E55" s="70">
        <v>250</v>
      </c>
      <c r="F55" s="14" t="s">
        <v>233</v>
      </c>
      <c r="G55" s="11"/>
      <c r="H55" s="67"/>
      <c r="I55" s="12" t="s">
        <v>18</v>
      </c>
      <c r="J55" s="61">
        <v>22006</v>
      </c>
      <c r="K55" s="71">
        <v>250</v>
      </c>
      <c r="L55" s="62"/>
      <c r="M55" s="75"/>
      <c r="N55" s="73"/>
      <c r="O55" s="15"/>
    </row>
    <row r="56" spans="1:15" x14ac:dyDescent="0.25">
      <c r="A56" s="16">
        <v>21846</v>
      </c>
      <c r="B56" s="49">
        <v>500</v>
      </c>
      <c r="C56" s="17"/>
      <c r="D56" s="13">
        <v>21911</v>
      </c>
      <c r="E56" s="70">
        <v>250</v>
      </c>
      <c r="F56" s="14" t="s">
        <v>233</v>
      </c>
      <c r="G56" s="11">
        <v>21947</v>
      </c>
      <c r="H56" s="67">
        <v>1000</v>
      </c>
      <c r="I56" s="12" t="s">
        <v>154</v>
      </c>
      <c r="J56" s="61">
        <v>22007</v>
      </c>
      <c r="K56" s="71">
        <v>500</v>
      </c>
      <c r="L56" s="62" t="s">
        <v>284</v>
      </c>
      <c r="M56" s="75"/>
      <c r="N56" s="73"/>
      <c r="O56" s="15"/>
    </row>
    <row r="57" spans="1:15" x14ac:dyDescent="0.25">
      <c r="A57" s="16">
        <v>21847</v>
      </c>
      <c r="B57" s="49">
        <v>600</v>
      </c>
      <c r="C57" s="17"/>
      <c r="D57" s="13">
        <v>21912</v>
      </c>
      <c r="E57" s="70">
        <v>2000</v>
      </c>
      <c r="F57" s="14" t="s">
        <v>259</v>
      </c>
      <c r="G57" s="11"/>
      <c r="H57" s="67"/>
      <c r="I57" s="12" t="s">
        <v>18</v>
      </c>
      <c r="J57" s="61"/>
      <c r="K57" s="71"/>
      <c r="L57" s="62" t="s">
        <v>285</v>
      </c>
      <c r="M57" s="75"/>
      <c r="N57" s="73"/>
      <c r="O57" s="15"/>
    </row>
    <row r="58" spans="1:15" x14ac:dyDescent="0.25">
      <c r="A58" s="16">
        <v>21848</v>
      </c>
      <c r="B58" s="49">
        <v>50</v>
      </c>
      <c r="C58" s="17" t="s">
        <v>51</v>
      </c>
      <c r="D58" s="13"/>
      <c r="E58" s="70"/>
      <c r="F58" s="14" t="s">
        <v>260</v>
      </c>
      <c r="G58" s="11">
        <v>21948</v>
      </c>
      <c r="H58" s="67">
        <v>400</v>
      </c>
      <c r="I58" s="12"/>
      <c r="J58" s="61">
        <v>22008</v>
      </c>
      <c r="K58" s="71">
        <v>500</v>
      </c>
      <c r="L58" s="62"/>
      <c r="M58" s="75"/>
      <c r="N58" s="73"/>
      <c r="O58" s="15"/>
    </row>
    <row r="59" spans="1:15" x14ac:dyDescent="0.25">
      <c r="A59" s="16">
        <v>21849</v>
      </c>
      <c r="B59" s="49">
        <v>250</v>
      </c>
      <c r="C59" s="17" t="s">
        <v>244</v>
      </c>
      <c r="D59" s="13"/>
      <c r="E59" s="70"/>
      <c r="F59" s="14" t="s">
        <v>261</v>
      </c>
      <c r="G59" s="11">
        <v>21949</v>
      </c>
      <c r="H59" s="67">
        <v>500</v>
      </c>
      <c r="I59" s="12" t="s">
        <v>268</v>
      </c>
      <c r="J59" s="61">
        <v>22009</v>
      </c>
      <c r="K59" s="71">
        <v>1000</v>
      </c>
      <c r="L59" s="62" t="s">
        <v>154</v>
      </c>
      <c r="M59" s="75"/>
      <c r="N59" s="73"/>
      <c r="O59" s="15"/>
    </row>
    <row r="60" spans="1:15" x14ac:dyDescent="0.25">
      <c r="A60" s="16">
        <v>21850</v>
      </c>
      <c r="B60" s="49">
        <v>200</v>
      </c>
      <c r="C60" s="17"/>
      <c r="D60" s="13">
        <v>21913</v>
      </c>
      <c r="E60" s="70">
        <v>2100</v>
      </c>
      <c r="F60" s="14" t="s">
        <v>262</v>
      </c>
      <c r="G60" s="11"/>
      <c r="H60" s="67"/>
      <c r="I60" s="12" t="s">
        <v>22</v>
      </c>
      <c r="J60" s="61"/>
      <c r="K60" s="71"/>
      <c r="L60" s="62" t="s">
        <v>18</v>
      </c>
      <c r="M60" s="75"/>
      <c r="N60" s="73"/>
      <c r="O60" s="15"/>
    </row>
    <row r="61" spans="1:15" x14ac:dyDescent="0.25">
      <c r="A61" s="16">
        <v>21851</v>
      </c>
      <c r="B61" s="49">
        <v>300</v>
      </c>
      <c r="C61" s="17" t="s">
        <v>245</v>
      </c>
      <c r="D61" s="13"/>
      <c r="E61" s="70"/>
      <c r="F61" s="14" t="s">
        <v>33</v>
      </c>
      <c r="G61" s="11">
        <v>21950</v>
      </c>
      <c r="H61" s="67">
        <v>1500</v>
      </c>
      <c r="I61" s="12" t="s">
        <v>243</v>
      </c>
      <c r="J61" s="61">
        <v>22010</v>
      </c>
      <c r="K61" s="71">
        <v>1000</v>
      </c>
      <c r="L61" s="62" t="s">
        <v>248</v>
      </c>
      <c r="M61" s="75"/>
      <c r="N61" s="73"/>
      <c r="O61" s="15"/>
    </row>
    <row r="62" spans="1:15" x14ac:dyDescent="0.25">
      <c r="A62" s="16">
        <v>21852</v>
      </c>
      <c r="B62" s="49">
        <v>500</v>
      </c>
      <c r="C62" s="17"/>
      <c r="D62" s="13">
        <v>21914</v>
      </c>
      <c r="E62" s="70">
        <v>1500</v>
      </c>
      <c r="F62" s="14" t="s">
        <v>262</v>
      </c>
      <c r="G62" s="11"/>
      <c r="H62" s="67"/>
      <c r="I62" s="12" t="s">
        <v>18</v>
      </c>
      <c r="J62" s="61"/>
      <c r="K62" s="71"/>
      <c r="L62" s="62" t="s">
        <v>18</v>
      </c>
      <c r="M62" s="75"/>
      <c r="N62" s="73"/>
      <c r="O62" s="15"/>
    </row>
    <row r="63" spans="1:15" x14ac:dyDescent="0.25">
      <c r="A63" s="16">
        <v>21853</v>
      </c>
      <c r="B63" s="49">
        <v>300</v>
      </c>
      <c r="C63" s="17" t="s">
        <v>246</v>
      </c>
      <c r="D63" s="13"/>
      <c r="E63" s="70"/>
      <c r="F63" s="14" t="s">
        <v>18</v>
      </c>
      <c r="G63" s="11">
        <v>21951</v>
      </c>
      <c r="H63" s="67">
        <v>500</v>
      </c>
      <c r="I63" s="12" t="s">
        <v>233</v>
      </c>
      <c r="J63" s="61">
        <v>22011</v>
      </c>
      <c r="K63" s="71">
        <v>500</v>
      </c>
      <c r="L63" s="62"/>
      <c r="M63" s="75"/>
      <c r="N63" s="73"/>
      <c r="O63" s="15"/>
    </row>
    <row r="64" spans="1:15" x14ac:dyDescent="0.25">
      <c r="A64" s="16">
        <v>21854</v>
      </c>
      <c r="B64" s="49">
        <v>300</v>
      </c>
      <c r="C64" s="17" t="s">
        <v>246</v>
      </c>
      <c r="D64" s="13">
        <v>21915</v>
      </c>
      <c r="E64" s="70">
        <v>1000</v>
      </c>
      <c r="F64" s="14" t="s">
        <v>154</v>
      </c>
      <c r="G64" s="11">
        <v>21952</v>
      </c>
      <c r="H64" s="67">
        <v>1750</v>
      </c>
      <c r="I64" s="12" t="s">
        <v>243</v>
      </c>
      <c r="J64" s="61">
        <v>22012</v>
      </c>
      <c r="K64" s="71">
        <v>500</v>
      </c>
      <c r="L64" s="62"/>
      <c r="M64" s="75"/>
      <c r="N64" s="73"/>
      <c r="O64" s="15"/>
    </row>
    <row r="65" spans="1:15" x14ac:dyDescent="0.25">
      <c r="A65" s="16">
        <v>21855</v>
      </c>
      <c r="B65" s="49">
        <v>400</v>
      </c>
      <c r="C65" s="17" t="s">
        <v>247</v>
      </c>
      <c r="D65" s="13"/>
      <c r="E65" s="70"/>
      <c r="F65" s="14" t="s">
        <v>18</v>
      </c>
      <c r="G65" s="11"/>
      <c r="H65" s="67"/>
      <c r="I65" s="12" t="s">
        <v>269</v>
      </c>
      <c r="J65" s="61">
        <v>22013</v>
      </c>
      <c r="K65" s="71">
        <v>250</v>
      </c>
      <c r="L65" s="62"/>
      <c r="M65" s="75"/>
      <c r="N65" s="73"/>
      <c r="O65" s="15"/>
    </row>
    <row r="66" spans="1:15" x14ac:dyDescent="0.25">
      <c r="A66" s="16"/>
      <c r="B66" s="49"/>
      <c r="C66" s="85" t="s">
        <v>44</v>
      </c>
      <c r="D66" s="13">
        <v>21916</v>
      </c>
      <c r="E66" s="70">
        <v>200</v>
      </c>
      <c r="F66" s="14" t="s">
        <v>233</v>
      </c>
      <c r="G66" s="11">
        <v>21953</v>
      </c>
      <c r="H66" s="67">
        <v>1500</v>
      </c>
      <c r="I66" s="12" t="s">
        <v>270</v>
      </c>
      <c r="J66" s="61">
        <v>22014</v>
      </c>
      <c r="K66" s="71">
        <v>500</v>
      </c>
      <c r="L66" s="62" t="s">
        <v>154</v>
      </c>
      <c r="M66" s="75"/>
      <c r="N66" s="73"/>
      <c r="O66" s="15"/>
    </row>
    <row r="67" spans="1:15" x14ac:dyDescent="0.25">
      <c r="A67" s="16">
        <v>21856</v>
      </c>
      <c r="B67" s="49">
        <v>1000</v>
      </c>
      <c r="C67" s="17" t="s">
        <v>248</v>
      </c>
      <c r="D67" s="13"/>
      <c r="E67" s="70"/>
      <c r="F67" s="14"/>
      <c r="G67" s="11"/>
      <c r="H67" s="67"/>
      <c r="I67" s="12" t="s">
        <v>18</v>
      </c>
      <c r="J67" s="61"/>
      <c r="K67" s="71"/>
      <c r="L67" s="62" t="s">
        <v>22</v>
      </c>
      <c r="M67" s="75"/>
      <c r="N67" s="73"/>
      <c r="O67" s="15"/>
    </row>
    <row r="68" spans="1:15" x14ac:dyDescent="0.25">
      <c r="A68" s="16"/>
      <c r="B68" s="49"/>
      <c r="C68" s="17" t="s">
        <v>18</v>
      </c>
      <c r="D68" s="13"/>
      <c r="E68" s="70"/>
      <c r="F68" s="14"/>
      <c r="G68" s="11">
        <v>21954</v>
      </c>
      <c r="H68" s="67">
        <v>800</v>
      </c>
      <c r="I68" s="12" t="s">
        <v>271</v>
      </c>
      <c r="J68" s="61">
        <v>22015</v>
      </c>
      <c r="K68" s="71"/>
      <c r="L68" s="62" t="s">
        <v>54</v>
      </c>
      <c r="M68" s="75"/>
      <c r="N68" s="73"/>
      <c r="O68" s="15"/>
    </row>
    <row r="69" spans="1:15" x14ac:dyDescent="0.25">
      <c r="A69" s="16">
        <v>21857</v>
      </c>
      <c r="B69" s="49">
        <v>400</v>
      </c>
      <c r="C69" s="17" t="s">
        <v>154</v>
      </c>
      <c r="D69" s="13"/>
      <c r="E69" s="70"/>
      <c r="F69" s="14"/>
      <c r="G69" s="11">
        <v>21955</v>
      </c>
      <c r="H69" s="67">
        <v>1200</v>
      </c>
      <c r="I69" s="12" t="s">
        <v>272</v>
      </c>
      <c r="J69" s="61">
        <v>22016</v>
      </c>
      <c r="K69" s="71">
        <v>250</v>
      </c>
      <c r="L69" s="62"/>
      <c r="M69" s="75"/>
      <c r="N69" s="73"/>
      <c r="O69" s="15"/>
    </row>
    <row r="70" spans="1:15" x14ac:dyDescent="0.25">
      <c r="A70" s="16"/>
      <c r="B70" s="49"/>
      <c r="C70" s="17" t="s">
        <v>44</v>
      </c>
      <c r="D70" s="13"/>
      <c r="E70" s="70"/>
      <c r="F70" s="14"/>
      <c r="G70" s="11"/>
      <c r="H70" s="67"/>
      <c r="I70" s="96" t="s">
        <v>29</v>
      </c>
      <c r="J70" s="61">
        <v>22017</v>
      </c>
      <c r="K70" s="71">
        <v>1000</v>
      </c>
      <c r="L70" s="62" t="s">
        <v>268</v>
      </c>
      <c r="M70" s="75"/>
      <c r="N70" s="73"/>
      <c r="O70" s="15"/>
    </row>
    <row r="71" spans="1:15" x14ac:dyDescent="0.25">
      <c r="A71" s="16">
        <v>21858</v>
      </c>
      <c r="B71" s="49">
        <v>1000</v>
      </c>
      <c r="C71" s="17" t="s">
        <v>243</v>
      </c>
      <c r="D71" s="13"/>
      <c r="E71" s="70"/>
      <c r="F71" s="14"/>
      <c r="G71" s="11">
        <v>21956</v>
      </c>
      <c r="H71" s="67">
        <v>500</v>
      </c>
      <c r="I71" s="12" t="s">
        <v>273</v>
      </c>
      <c r="J71" s="61"/>
      <c r="K71" s="71"/>
      <c r="L71" s="62" t="s">
        <v>18</v>
      </c>
      <c r="M71" s="75"/>
      <c r="N71" s="73"/>
      <c r="O71" s="15"/>
    </row>
    <row r="72" spans="1:15" x14ac:dyDescent="0.25">
      <c r="A72" s="16"/>
      <c r="B72" s="49"/>
      <c r="C72" s="17" t="s">
        <v>249</v>
      </c>
      <c r="D72" s="13"/>
      <c r="E72" s="70"/>
      <c r="F72" s="14"/>
      <c r="G72" s="11">
        <v>21957</v>
      </c>
      <c r="H72" s="67">
        <v>1200</v>
      </c>
      <c r="I72" s="12" t="s">
        <v>266</v>
      </c>
      <c r="J72" s="61">
        <v>22018</v>
      </c>
      <c r="K72" s="71">
        <v>300</v>
      </c>
      <c r="L72" s="62"/>
      <c r="M72" s="75"/>
      <c r="N72" s="73"/>
      <c r="O72" s="15"/>
    </row>
    <row r="73" spans="1:15" x14ac:dyDescent="0.25">
      <c r="A73" s="16">
        <v>21859</v>
      </c>
      <c r="B73" s="49">
        <v>500</v>
      </c>
      <c r="C73" s="17"/>
      <c r="D73" s="13"/>
      <c r="E73" s="70"/>
      <c r="F73" s="14"/>
      <c r="G73" s="11"/>
      <c r="H73" s="67"/>
      <c r="I73" s="12" t="s">
        <v>25</v>
      </c>
      <c r="J73" s="61">
        <v>22019</v>
      </c>
      <c r="K73" s="71">
        <v>500</v>
      </c>
      <c r="L73" s="62"/>
      <c r="M73" s="75"/>
      <c r="N73" s="73"/>
      <c r="O73" s="15"/>
    </row>
    <row r="74" spans="1:15" x14ac:dyDescent="0.25">
      <c r="A74" s="16">
        <v>21860</v>
      </c>
      <c r="B74" s="49">
        <v>500</v>
      </c>
      <c r="C74" s="17"/>
      <c r="D74" s="13"/>
      <c r="E74" s="70"/>
      <c r="F74" s="14"/>
      <c r="G74" s="11">
        <v>21958</v>
      </c>
      <c r="H74" s="67">
        <v>250</v>
      </c>
      <c r="I74" s="12" t="s">
        <v>233</v>
      </c>
      <c r="J74" s="61">
        <v>22020</v>
      </c>
      <c r="K74" s="71">
        <v>600</v>
      </c>
      <c r="L74" s="62" t="s">
        <v>154</v>
      </c>
      <c r="M74" s="75"/>
      <c r="N74" s="73"/>
      <c r="O74" s="15"/>
    </row>
    <row r="75" spans="1:15" x14ac:dyDescent="0.25">
      <c r="A75" s="16">
        <v>21861</v>
      </c>
      <c r="B75" s="49">
        <v>550</v>
      </c>
      <c r="C75" s="17" t="s">
        <v>250</v>
      </c>
      <c r="D75" s="13"/>
      <c r="E75" s="70"/>
      <c r="F75" s="14"/>
      <c r="G75" s="11">
        <v>21959</v>
      </c>
      <c r="H75" s="67">
        <v>500</v>
      </c>
      <c r="I75" s="12" t="s">
        <v>233</v>
      </c>
      <c r="J75" s="61"/>
      <c r="K75" s="71"/>
      <c r="L75" s="62" t="s">
        <v>29</v>
      </c>
      <c r="M75" s="75"/>
      <c r="N75" s="73"/>
      <c r="O75" s="15"/>
    </row>
    <row r="76" spans="1:15" x14ac:dyDescent="0.25">
      <c r="A76" s="16">
        <v>21862</v>
      </c>
      <c r="B76" s="49">
        <v>600</v>
      </c>
      <c r="C76" s="17" t="s">
        <v>154</v>
      </c>
      <c r="D76" s="13"/>
      <c r="E76" s="70"/>
      <c r="F76" s="14"/>
      <c r="G76" s="11">
        <v>21960</v>
      </c>
      <c r="H76" s="67">
        <v>250</v>
      </c>
      <c r="I76" s="12"/>
      <c r="J76" s="61">
        <v>22021</v>
      </c>
      <c r="K76" s="71">
        <v>600</v>
      </c>
      <c r="L76" s="62" t="s">
        <v>286</v>
      </c>
      <c r="M76" s="75"/>
      <c r="N76" s="73"/>
      <c r="O76" s="15"/>
    </row>
    <row r="77" spans="1:15" x14ac:dyDescent="0.25">
      <c r="A77" s="16"/>
      <c r="B77" s="49"/>
      <c r="C77" s="17" t="s">
        <v>29</v>
      </c>
      <c r="D77" s="13"/>
      <c r="E77" s="70"/>
      <c r="F77" s="14"/>
      <c r="G77" s="11">
        <v>21961</v>
      </c>
      <c r="H77" s="67">
        <v>500</v>
      </c>
      <c r="I77" s="12" t="s">
        <v>268</v>
      </c>
      <c r="J77" s="61"/>
      <c r="K77" s="71"/>
      <c r="L77" s="62" t="s">
        <v>44</v>
      </c>
      <c r="M77" s="75"/>
      <c r="N77" s="73"/>
      <c r="O77" s="15"/>
    </row>
    <row r="78" spans="1:15" x14ac:dyDescent="0.25">
      <c r="A78" s="16">
        <v>21863</v>
      </c>
      <c r="B78" s="49">
        <v>500</v>
      </c>
      <c r="C78" s="17" t="s">
        <v>245</v>
      </c>
      <c r="D78" s="13"/>
      <c r="E78" s="70"/>
      <c r="F78" s="14"/>
      <c r="G78" s="11"/>
      <c r="H78" s="67"/>
      <c r="I78" s="12" t="s">
        <v>22</v>
      </c>
      <c r="J78" s="61">
        <v>22022</v>
      </c>
      <c r="K78" s="71">
        <v>400</v>
      </c>
      <c r="L78" s="62"/>
      <c r="M78" s="75"/>
      <c r="N78" s="73"/>
      <c r="O78" s="15"/>
    </row>
    <row r="79" spans="1:15" x14ac:dyDescent="0.25">
      <c r="A79" s="16">
        <v>21864</v>
      </c>
      <c r="B79" s="49">
        <v>500</v>
      </c>
      <c r="C79" s="17" t="s">
        <v>251</v>
      </c>
      <c r="D79" s="13"/>
      <c r="E79" s="70"/>
      <c r="F79" s="14"/>
      <c r="G79" s="11">
        <v>21962</v>
      </c>
      <c r="H79" s="67">
        <v>1000</v>
      </c>
      <c r="I79" s="12" t="s">
        <v>154</v>
      </c>
      <c r="J79" s="61">
        <v>22023</v>
      </c>
      <c r="K79" s="71">
        <v>200</v>
      </c>
      <c r="L79" s="62"/>
      <c r="M79" s="75"/>
      <c r="N79" s="73"/>
      <c r="O79" s="15"/>
    </row>
    <row r="80" spans="1:15" x14ac:dyDescent="0.25">
      <c r="A80" s="16">
        <v>21865</v>
      </c>
      <c r="B80" s="49">
        <v>500</v>
      </c>
      <c r="C80" s="17"/>
      <c r="D80" s="13"/>
      <c r="E80" s="70"/>
      <c r="F80" s="14"/>
      <c r="G80" s="11"/>
      <c r="H80" s="67"/>
      <c r="I80" s="12" t="s">
        <v>18</v>
      </c>
      <c r="J80" s="61">
        <v>22024</v>
      </c>
      <c r="K80" s="71">
        <v>400</v>
      </c>
      <c r="L80" s="62"/>
      <c r="M80" s="75"/>
      <c r="N80" s="73"/>
      <c r="O80" s="15"/>
    </row>
    <row r="81" spans="1:15" x14ac:dyDescent="0.25">
      <c r="A81" s="16">
        <v>21866</v>
      </c>
      <c r="B81" s="49">
        <v>500</v>
      </c>
      <c r="C81" s="17"/>
      <c r="D81" s="13"/>
      <c r="E81" s="70"/>
      <c r="F81" s="14"/>
      <c r="G81" s="11">
        <v>21963</v>
      </c>
      <c r="H81" s="67">
        <v>1000</v>
      </c>
      <c r="I81" s="12" t="s">
        <v>154</v>
      </c>
      <c r="J81" s="61">
        <v>22025</v>
      </c>
      <c r="K81" s="71">
        <v>400</v>
      </c>
      <c r="L81" s="62"/>
      <c r="M81" s="75"/>
      <c r="N81" s="73"/>
      <c r="O81" s="15"/>
    </row>
    <row r="82" spans="1:15" x14ac:dyDescent="0.25">
      <c r="A82" s="16">
        <v>21867</v>
      </c>
      <c r="B82" s="49">
        <v>300</v>
      </c>
      <c r="C82" s="17"/>
      <c r="D82" s="13"/>
      <c r="E82" s="70"/>
      <c r="F82" s="14"/>
      <c r="G82" s="11"/>
      <c r="H82" s="67"/>
      <c r="I82" s="12" t="s">
        <v>18</v>
      </c>
      <c r="J82" s="61">
        <v>22026</v>
      </c>
      <c r="K82" s="71">
        <v>500</v>
      </c>
      <c r="L82" s="62" t="s">
        <v>278</v>
      </c>
      <c r="M82" s="75"/>
      <c r="N82" s="73"/>
      <c r="O82" s="15"/>
    </row>
    <row r="83" spans="1:15" x14ac:dyDescent="0.25">
      <c r="A83" s="16">
        <v>21868</v>
      </c>
      <c r="B83" s="49">
        <v>50</v>
      </c>
      <c r="C83" s="17" t="s">
        <v>51</v>
      </c>
      <c r="D83" s="13"/>
      <c r="E83" s="70"/>
      <c r="F83" s="14"/>
      <c r="G83" s="11">
        <v>21964</v>
      </c>
      <c r="H83" s="67">
        <v>800</v>
      </c>
      <c r="I83" s="12" t="s">
        <v>154</v>
      </c>
      <c r="J83" s="61">
        <v>22027</v>
      </c>
      <c r="K83" s="71">
        <v>500</v>
      </c>
      <c r="L83" s="62" t="s">
        <v>287</v>
      </c>
      <c r="M83" s="75"/>
      <c r="N83" s="73"/>
      <c r="O83" s="15"/>
    </row>
    <row r="84" spans="1:15" x14ac:dyDescent="0.25">
      <c r="A84" s="16">
        <v>21869</v>
      </c>
      <c r="B84" s="49">
        <v>250</v>
      </c>
      <c r="C84" s="17" t="s">
        <v>252</v>
      </c>
      <c r="D84" s="13"/>
      <c r="E84" s="70"/>
      <c r="F84" s="14"/>
      <c r="G84" s="11"/>
      <c r="H84" s="67"/>
      <c r="I84" s="12" t="s">
        <v>25</v>
      </c>
      <c r="J84" s="61">
        <v>22028</v>
      </c>
      <c r="K84" s="71">
        <v>1200</v>
      </c>
      <c r="L84" s="62" t="s">
        <v>288</v>
      </c>
      <c r="M84" s="75"/>
      <c r="N84" s="73"/>
      <c r="O84" s="15"/>
    </row>
    <row r="85" spans="1:15" x14ac:dyDescent="0.25">
      <c r="A85" s="16">
        <v>21870</v>
      </c>
      <c r="B85" s="49">
        <v>1500</v>
      </c>
      <c r="C85" s="17" t="s">
        <v>243</v>
      </c>
      <c r="D85" s="13"/>
      <c r="E85" s="70"/>
      <c r="F85" s="14"/>
      <c r="G85" s="11">
        <v>21965</v>
      </c>
      <c r="H85" s="67">
        <v>800</v>
      </c>
      <c r="I85" s="12" t="s">
        <v>248</v>
      </c>
      <c r="J85" s="61"/>
      <c r="K85" s="71"/>
      <c r="L85" s="62" t="s">
        <v>134</v>
      </c>
      <c r="M85" s="75"/>
      <c r="N85" s="73"/>
      <c r="O85" s="15"/>
    </row>
    <row r="86" spans="1:15" x14ac:dyDescent="0.25">
      <c r="A86" s="16"/>
      <c r="B86" s="49"/>
      <c r="C86" s="17" t="s">
        <v>18</v>
      </c>
      <c r="D86" s="13"/>
      <c r="E86" s="70"/>
      <c r="F86" s="14"/>
      <c r="G86" s="11"/>
      <c r="H86" s="67"/>
      <c r="I86" s="12" t="s">
        <v>25</v>
      </c>
      <c r="J86" s="61">
        <v>22029</v>
      </c>
      <c r="K86" s="71">
        <v>1000</v>
      </c>
      <c r="L86" s="62" t="s">
        <v>185</v>
      </c>
      <c r="M86" s="75"/>
      <c r="N86" s="73"/>
      <c r="O86" s="15"/>
    </row>
    <row r="87" spans="1:15" x14ac:dyDescent="0.25">
      <c r="A87" s="16">
        <v>21871</v>
      </c>
      <c r="B87" s="49">
        <v>500</v>
      </c>
      <c r="C87" s="17"/>
      <c r="D87" s="13"/>
      <c r="E87" s="70"/>
      <c r="F87" s="14"/>
      <c r="G87" s="11">
        <v>21966</v>
      </c>
      <c r="H87" s="67">
        <v>1000</v>
      </c>
      <c r="I87" s="12" t="s">
        <v>248</v>
      </c>
      <c r="J87" s="61"/>
      <c r="K87" s="71"/>
      <c r="L87" s="62" t="s">
        <v>18</v>
      </c>
      <c r="M87" s="75"/>
      <c r="N87" s="73"/>
      <c r="O87" s="15"/>
    </row>
    <row r="88" spans="1:15" x14ac:dyDescent="0.25">
      <c r="A88" s="16">
        <v>21872</v>
      </c>
      <c r="B88" s="49">
        <v>400</v>
      </c>
      <c r="C88" s="17"/>
      <c r="D88" s="13"/>
      <c r="E88" s="70"/>
      <c r="F88" s="14"/>
      <c r="G88" s="11"/>
      <c r="H88" s="67"/>
      <c r="I88" s="12" t="s">
        <v>18</v>
      </c>
      <c r="J88" s="61"/>
      <c r="K88" s="71"/>
      <c r="L88" s="62"/>
      <c r="M88" s="75"/>
      <c r="N88" s="73"/>
      <c r="O88" s="15"/>
    </row>
    <row r="89" spans="1:15" x14ac:dyDescent="0.25">
      <c r="A89" s="16">
        <v>21873</v>
      </c>
      <c r="B89" s="49">
        <v>900</v>
      </c>
      <c r="C89" s="17" t="s">
        <v>243</v>
      </c>
      <c r="D89" s="13"/>
      <c r="E89" s="70"/>
      <c r="F89" s="14"/>
      <c r="G89" s="11">
        <v>21967</v>
      </c>
      <c r="H89" s="67">
        <v>200</v>
      </c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29</v>
      </c>
      <c r="D90" s="26"/>
      <c r="E90" s="74"/>
      <c r="F90" s="58"/>
      <c r="G90" s="11">
        <v>21968</v>
      </c>
      <c r="H90" s="67">
        <v>1000</v>
      </c>
      <c r="I90" s="12" t="s">
        <v>154</v>
      </c>
      <c r="J90" s="26"/>
      <c r="K90" s="58"/>
      <c r="L90" s="58"/>
      <c r="M90" s="58"/>
      <c r="N90" s="58"/>
      <c r="O90" s="58"/>
    </row>
    <row r="91" spans="1:15" x14ac:dyDescent="0.25">
      <c r="A91" s="16"/>
      <c r="B91" s="49"/>
      <c r="C91" s="17"/>
      <c r="D91" s="26"/>
      <c r="E91" s="74"/>
      <c r="F91" s="58"/>
      <c r="G91" s="11"/>
      <c r="H91" s="67"/>
      <c r="I91" s="12" t="s">
        <v>18</v>
      </c>
      <c r="J91" s="26"/>
      <c r="K91" s="58"/>
      <c r="L91" s="58"/>
      <c r="M91" s="58"/>
      <c r="N91" s="58"/>
      <c r="O91" s="58"/>
    </row>
    <row r="92" spans="1:15" x14ac:dyDescent="0.25">
      <c r="A92" s="16"/>
      <c r="B92" s="49"/>
      <c r="C92" s="17"/>
      <c r="D92" s="26"/>
      <c r="E92" s="74"/>
      <c r="F92" s="58"/>
      <c r="G92" s="11">
        <v>21969</v>
      </c>
      <c r="H92" s="67">
        <v>1000</v>
      </c>
      <c r="I92" s="12" t="s">
        <v>248</v>
      </c>
      <c r="J92" s="26"/>
      <c r="K92" s="58"/>
      <c r="L92" s="58"/>
      <c r="M92" s="58"/>
      <c r="N92" s="58"/>
      <c r="O92" s="58"/>
    </row>
    <row r="93" spans="1:15" x14ac:dyDescent="0.25">
      <c r="A93" s="16"/>
      <c r="B93" s="49"/>
      <c r="C93" s="17"/>
      <c r="D93" s="26"/>
      <c r="E93" s="74"/>
      <c r="F93" s="58"/>
      <c r="G93" s="11"/>
      <c r="H93" s="67"/>
      <c r="I93" s="12" t="s">
        <v>18</v>
      </c>
      <c r="J93" s="26"/>
      <c r="K93" s="58"/>
      <c r="L93" s="58"/>
      <c r="M93" s="58"/>
      <c r="N93" s="58"/>
      <c r="O93" s="58"/>
    </row>
    <row r="94" spans="1:15" x14ac:dyDescent="0.25">
      <c r="A94" s="16"/>
      <c r="B94" s="49"/>
      <c r="C94" s="17"/>
      <c r="D94" s="26"/>
      <c r="E94" s="74"/>
      <c r="F94" s="58"/>
      <c r="G94" s="11">
        <v>21970</v>
      </c>
      <c r="H94" s="67">
        <v>450</v>
      </c>
      <c r="I94" s="12"/>
      <c r="J94" s="26"/>
      <c r="K94" s="58"/>
      <c r="L94" s="58"/>
      <c r="M94" s="58"/>
      <c r="N94" s="58"/>
      <c r="O94" s="58"/>
    </row>
    <row r="95" spans="1:15" x14ac:dyDescent="0.25">
      <c r="A95" s="16"/>
      <c r="B95" s="49"/>
      <c r="C95" s="17"/>
      <c r="D95" s="26"/>
      <c r="E95" s="74"/>
      <c r="F95" s="58"/>
      <c r="G95" s="11">
        <v>21971</v>
      </c>
      <c r="H95" s="67">
        <v>500</v>
      </c>
      <c r="I95" s="12"/>
      <c r="J95" s="26"/>
      <c r="K95" s="58"/>
      <c r="L95" s="58"/>
      <c r="M95" s="58"/>
      <c r="N95" s="58"/>
      <c r="O95" s="58"/>
    </row>
    <row r="96" spans="1:15" x14ac:dyDescent="0.25">
      <c r="A96" s="16"/>
      <c r="B96" s="49"/>
      <c r="C96" s="17"/>
      <c r="D96" s="26"/>
      <c r="E96" s="74"/>
      <c r="F96" s="58"/>
      <c r="G96" s="11">
        <v>21972</v>
      </c>
      <c r="H96" s="67">
        <v>500</v>
      </c>
      <c r="I96" s="12"/>
      <c r="J96" s="26"/>
      <c r="K96" s="58"/>
      <c r="L96" s="58"/>
      <c r="M96" s="58"/>
      <c r="N96" s="58"/>
      <c r="O96" s="58"/>
    </row>
    <row r="97" spans="1:15" x14ac:dyDescent="0.25">
      <c r="A97" s="16"/>
      <c r="B97" s="49"/>
      <c r="C97" s="17"/>
      <c r="D97" s="26"/>
      <c r="E97" s="74"/>
      <c r="F97" s="58"/>
      <c r="G97" s="11">
        <v>21973</v>
      </c>
      <c r="H97" s="67">
        <v>1000</v>
      </c>
      <c r="I97" s="12" t="s">
        <v>248</v>
      </c>
      <c r="J97" s="26"/>
      <c r="K97" s="58"/>
      <c r="L97" s="58"/>
      <c r="M97" s="58"/>
      <c r="N97" s="58"/>
      <c r="O97" s="58"/>
    </row>
    <row r="98" spans="1:15" x14ac:dyDescent="0.25">
      <c r="A98" s="16"/>
      <c r="B98" s="49"/>
      <c r="C98" s="17"/>
      <c r="D98" s="26"/>
      <c r="E98" s="74"/>
      <c r="F98" s="58"/>
      <c r="G98" s="11"/>
      <c r="H98" s="67"/>
      <c r="I98" s="12" t="s">
        <v>18</v>
      </c>
      <c r="J98" s="26"/>
      <c r="K98" s="58"/>
      <c r="L98" s="58"/>
      <c r="M98" s="58"/>
      <c r="N98" s="58"/>
      <c r="O98" s="58"/>
    </row>
    <row r="99" spans="1:15" x14ac:dyDescent="0.25">
      <c r="A99" s="26"/>
      <c r="B99" s="66"/>
      <c r="C99" s="58"/>
      <c r="D99" s="26"/>
      <c r="E99" s="74"/>
      <c r="F99" s="58"/>
      <c r="G99" s="11">
        <v>21974</v>
      </c>
      <c r="H99" s="67">
        <v>300</v>
      </c>
      <c r="I99" s="12" t="s">
        <v>113</v>
      </c>
      <c r="J99" s="26"/>
      <c r="K99" s="58"/>
      <c r="L99" s="58"/>
      <c r="M99" s="58"/>
      <c r="N99" s="58"/>
      <c r="O99" s="58"/>
    </row>
    <row r="100" spans="1:15" x14ac:dyDescent="0.25">
      <c r="A100" s="26"/>
      <c r="B100" s="66"/>
      <c r="C100" s="58"/>
      <c r="D100" s="26"/>
      <c r="E100" s="74"/>
      <c r="F100" s="58"/>
      <c r="G100" s="11">
        <v>21975</v>
      </c>
      <c r="H100" s="67">
        <v>1600</v>
      </c>
      <c r="I100" s="12" t="s">
        <v>274</v>
      </c>
      <c r="J100" s="26"/>
      <c r="K100" s="58"/>
      <c r="L100" s="58"/>
      <c r="M100" s="58"/>
      <c r="N100" s="58"/>
      <c r="O100" s="58"/>
    </row>
    <row r="101" spans="1:15" x14ac:dyDescent="0.25">
      <c r="A101" s="26"/>
      <c r="B101" s="66"/>
      <c r="C101" s="58"/>
      <c r="D101" s="26"/>
      <c r="E101" s="74"/>
      <c r="F101" s="58"/>
      <c r="G101" s="11"/>
      <c r="H101" s="67"/>
      <c r="I101" s="12" t="s">
        <v>275</v>
      </c>
      <c r="J101" s="26"/>
      <c r="K101" s="58"/>
      <c r="L101" s="58"/>
      <c r="M101" s="58"/>
      <c r="N101" s="58"/>
      <c r="O101" s="58"/>
    </row>
    <row r="102" spans="1:15" x14ac:dyDescent="0.25">
      <c r="A102" s="26"/>
      <c r="B102" s="66"/>
      <c r="C102" s="58"/>
      <c r="D102" s="26"/>
      <c r="E102" s="74"/>
      <c r="F102" s="58"/>
      <c r="G102" s="11"/>
      <c r="H102" s="67"/>
      <c r="I102" s="12" t="s">
        <v>276</v>
      </c>
      <c r="J102" s="26"/>
      <c r="K102" s="58"/>
      <c r="L102" s="58"/>
      <c r="M102" s="58"/>
      <c r="N102" s="58"/>
      <c r="O102" s="58"/>
    </row>
    <row r="103" spans="1:15" x14ac:dyDescent="0.25">
      <c r="A103" s="26"/>
      <c r="B103" s="66"/>
      <c r="C103" s="58"/>
      <c r="D103" s="26"/>
      <c r="E103" s="74"/>
      <c r="F103" s="58"/>
      <c r="G103" s="11"/>
      <c r="H103" s="67"/>
      <c r="I103" s="12"/>
      <c r="J103" s="26"/>
      <c r="K103" s="58"/>
      <c r="L103" s="58"/>
      <c r="M103" s="58"/>
      <c r="N103" s="58"/>
      <c r="O103" s="58"/>
    </row>
    <row r="104" spans="1:15" x14ac:dyDescent="0.25">
      <c r="A104" s="26"/>
      <c r="B104" s="66"/>
      <c r="C104" s="58"/>
      <c r="D104" s="26"/>
      <c r="E104" s="74"/>
      <c r="F104" s="58"/>
      <c r="G104" s="26"/>
      <c r="H104" s="58"/>
      <c r="I104" s="58"/>
      <c r="J104" s="26"/>
      <c r="K104" s="58"/>
      <c r="L104" s="58"/>
      <c r="M104" s="58"/>
      <c r="N104" s="58"/>
      <c r="O104" s="58"/>
    </row>
    <row r="105" spans="1:15" x14ac:dyDescent="0.25">
      <c r="A105" s="26"/>
      <c r="B105" s="66"/>
      <c r="C105" s="58"/>
      <c r="D105" s="26"/>
      <c r="E105" s="74"/>
      <c r="F105" s="58"/>
      <c r="G105" s="26"/>
      <c r="H105" s="58"/>
      <c r="I105" s="58"/>
      <c r="J105" s="26"/>
      <c r="K105" s="58"/>
      <c r="L105" s="58"/>
      <c r="M105" s="58"/>
      <c r="N105" s="58"/>
      <c r="O105" s="58"/>
    </row>
    <row r="106" spans="1:15" x14ac:dyDescent="0.25">
      <c r="A106" s="26"/>
      <c r="B106" s="26"/>
      <c r="C106" s="58"/>
      <c r="D106" s="26"/>
      <c r="E106" s="74"/>
      <c r="F106" s="58"/>
      <c r="G106" s="26"/>
      <c r="H106" s="58"/>
      <c r="I106" s="58"/>
      <c r="J106" s="26"/>
      <c r="K106" s="58"/>
      <c r="L106" s="58"/>
      <c r="M106" s="58"/>
      <c r="N106" s="58"/>
      <c r="O106" s="58"/>
    </row>
    <row r="107" spans="1:15" x14ac:dyDescent="0.25">
      <c r="A107" s="26"/>
      <c r="B107" s="26"/>
      <c r="C107" s="58"/>
      <c r="D107" s="26"/>
      <c r="E107" s="74"/>
      <c r="F107" s="58"/>
      <c r="G107" s="26"/>
      <c r="H107" s="58"/>
      <c r="I107" s="58"/>
      <c r="J107" s="26"/>
      <c r="K107" s="58"/>
      <c r="L107" s="58"/>
      <c r="M107" s="58"/>
      <c r="N107" s="58"/>
      <c r="O107" s="58"/>
    </row>
    <row r="108" spans="1:15" x14ac:dyDescent="0.25">
      <c r="A108" s="26"/>
      <c r="B108" s="26"/>
      <c r="C108" s="58"/>
      <c r="D108" s="26"/>
      <c r="E108" s="74"/>
      <c r="F108" s="58"/>
      <c r="G108" s="26"/>
      <c r="H108" s="58"/>
      <c r="I108" s="58"/>
      <c r="J108" s="26"/>
      <c r="K108" s="58"/>
      <c r="L108" s="58"/>
      <c r="M108" s="58"/>
      <c r="N108" s="58"/>
      <c r="O108" s="58"/>
    </row>
    <row r="109" spans="1:15" x14ac:dyDescent="0.25">
      <c r="A109" s="26"/>
      <c r="B109" s="26"/>
      <c r="C109" s="58"/>
      <c r="D109" s="26"/>
      <c r="E109" s="74"/>
      <c r="F109" s="58"/>
      <c r="G109" s="26"/>
      <c r="H109" s="58"/>
      <c r="I109" s="58"/>
      <c r="J109" s="26"/>
      <c r="K109" s="58"/>
      <c r="L109" s="58"/>
      <c r="M109" s="58"/>
      <c r="N109" s="58"/>
      <c r="O109" s="58"/>
    </row>
    <row r="110" spans="1:15" x14ac:dyDescent="0.25">
      <c r="A110" s="26"/>
      <c r="B110" s="26"/>
      <c r="C110" s="58"/>
      <c r="D110" s="26"/>
      <c r="E110" s="58"/>
      <c r="F110" s="58"/>
      <c r="G110" s="26"/>
      <c r="H110" s="58"/>
      <c r="I110" s="58"/>
      <c r="J110" s="26"/>
      <c r="K110" s="58"/>
      <c r="L110" s="58"/>
      <c r="M110" s="58"/>
      <c r="N110" s="58"/>
      <c r="O110" s="58"/>
    </row>
    <row r="111" spans="1:15" x14ac:dyDescent="0.25">
      <c r="A111" s="26"/>
      <c r="B111" s="26"/>
      <c r="C111" s="58"/>
      <c r="D111" s="26"/>
      <c r="E111" s="58"/>
      <c r="F111" s="58"/>
      <c r="G111" s="26"/>
      <c r="H111" s="58"/>
      <c r="I111" s="58"/>
      <c r="J111" s="26"/>
      <c r="K111" s="58"/>
      <c r="L111" s="58"/>
      <c r="M111" s="58"/>
      <c r="N111" s="58"/>
      <c r="O111" s="58"/>
    </row>
    <row r="112" spans="1:15" x14ac:dyDescent="0.25">
      <c r="A112" s="26"/>
      <c r="B112" s="26"/>
      <c r="C112" s="58"/>
      <c r="D112" s="26"/>
      <c r="E112" s="58"/>
      <c r="F112" s="58"/>
      <c r="G112" s="26"/>
      <c r="H112" s="58"/>
      <c r="I112" s="58"/>
      <c r="J112" s="26"/>
      <c r="K112" s="58"/>
      <c r="L112" s="58"/>
      <c r="M112" s="58"/>
      <c r="N112" s="58"/>
      <c r="O112" s="58"/>
    </row>
    <row r="113" spans="1:15" x14ac:dyDescent="0.25">
      <c r="A113" s="26"/>
      <c r="B113" s="2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2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2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2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2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2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2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2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2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2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2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2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2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2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2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2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2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2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2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2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2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2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2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2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2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2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2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2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2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2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2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2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2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2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2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2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2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2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2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2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2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2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2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2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2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2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2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2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2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2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2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2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2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2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2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2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2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2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2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2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2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2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2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2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2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2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2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2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2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2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2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2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2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2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2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2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2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2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2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2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2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2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2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2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2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2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2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2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2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2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2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2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2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2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2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2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2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2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2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2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2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2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2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2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2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2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2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2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2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2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2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2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2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2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2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2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2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2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2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2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2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2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2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2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2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2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2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2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2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2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2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2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2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2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2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2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2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2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2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2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2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2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2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2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2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2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2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2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2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2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2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2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2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2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2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2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2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2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2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2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2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2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2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2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2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2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2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2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2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2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2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2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2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2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2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2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2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2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2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2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2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2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2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2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2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2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2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2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2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2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2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2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2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2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2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2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2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2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2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2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2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2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2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2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2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2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2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2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2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2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2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2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2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2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2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2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2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2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2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2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2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2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2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2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2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2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2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2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2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2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2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2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2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2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2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2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2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2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2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2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2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2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2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2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2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2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2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2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2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2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2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2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2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2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2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2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2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2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2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2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2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2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2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2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2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2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2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2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2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2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2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2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2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2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2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2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2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2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2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2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2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2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2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2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2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2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2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2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2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2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2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2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2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2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2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2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2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2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2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2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2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2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2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2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2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2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2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2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2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2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2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2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2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2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2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2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2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2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2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2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2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2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2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2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2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2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2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2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2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2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2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2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2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2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2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2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2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2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2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2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2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2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2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2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2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2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2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2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2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2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2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2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2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2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2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2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2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2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2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2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2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2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2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2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2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2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2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2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2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2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2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2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2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2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2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2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2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2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2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2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2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2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2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2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2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2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2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2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2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2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2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2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2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2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2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2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2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2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2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2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2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2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2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2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2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2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2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2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2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2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2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2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2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2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2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2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8" x14ac:dyDescent="0.25">
      <c r="A529" s="26"/>
      <c r="B529" s="2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8" x14ac:dyDescent="0.25">
      <c r="A530" s="26"/>
      <c r="B530" s="2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8" x14ac:dyDescent="0.25">
      <c r="A531" s="26"/>
      <c r="B531" s="2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8" x14ac:dyDescent="0.25">
      <c r="A532" s="26"/>
      <c r="B532" s="2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8" x14ac:dyDescent="0.25">
      <c r="A533" s="26"/>
      <c r="B533" s="2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8" x14ac:dyDescent="0.25">
      <c r="A534" s="26"/>
      <c r="B534" s="2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8" x14ac:dyDescent="0.25">
      <c r="D535" s="26"/>
      <c r="E535" s="58"/>
      <c r="F535" s="58"/>
      <c r="G535" s="26"/>
      <c r="H535" s="58"/>
      <c r="I535" s="58"/>
    </row>
    <row r="536" spans="1:18" x14ac:dyDescent="0.25">
      <c r="G536" s="26"/>
      <c r="H536" s="58"/>
      <c r="I536" s="58"/>
      <c r="R536" t="s">
        <v>14</v>
      </c>
    </row>
    <row r="537" spans="1:18" x14ac:dyDescent="0.25">
      <c r="G537" s="26"/>
      <c r="H537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C5" zoomScale="98" zoomScaleNormal="98" workbookViewId="0">
      <pane ySplit="3" topLeftCell="A37" activePane="bottomLeft" state="frozen"/>
      <selection activeCell="A5" sqref="A5"/>
      <selection pane="bottomLeft" activeCell="O56" sqref="O56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5.7109375" customWidth="1"/>
    <col min="13" max="13" width="7.7109375" style="6" customWidth="1"/>
    <col min="14" max="14" width="8.71093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44" t="s">
        <v>10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46" t="s">
        <v>0</v>
      </c>
      <c r="B5" s="146"/>
      <c r="C5" s="146"/>
      <c r="D5" s="147" t="s">
        <v>4</v>
      </c>
      <c r="E5" s="147"/>
      <c r="F5" s="147"/>
      <c r="G5" s="148" t="s">
        <v>5</v>
      </c>
      <c r="H5" s="148"/>
      <c r="I5" s="148"/>
      <c r="J5" s="149" t="s">
        <v>6</v>
      </c>
      <c r="K5" s="149"/>
      <c r="L5" s="149"/>
      <c r="M5" s="150" t="s">
        <v>12</v>
      </c>
      <c r="N5" s="150"/>
      <c r="O5" s="150"/>
      <c r="Q5" s="140" t="s">
        <v>13</v>
      </c>
      <c r="R5" s="140"/>
    </row>
    <row r="6" spans="1:18" x14ac:dyDescent="0.25">
      <c r="A6" s="8">
        <f>SUBTOTAL(3,A8:A121)</f>
        <v>64</v>
      </c>
      <c r="B6" s="8">
        <f>SUBTOTAL(9,B8:B121)</f>
        <v>35500</v>
      </c>
      <c r="C6" s="35">
        <v>43954</v>
      </c>
      <c r="D6" s="8">
        <f>SUBTOTAL(3,D8:D119)</f>
        <v>43</v>
      </c>
      <c r="E6" s="1">
        <f>SUBTOTAL(9,E8:E119)</f>
        <v>22300</v>
      </c>
      <c r="F6" s="38">
        <v>43961</v>
      </c>
      <c r="G6" s="8">
        <f>SUBTOTAL(3,G8:G120)</f>
        <v>35</v>
      </c>
      <c r="H6" s="1">
        <f>SUBTOTAL(9,H8:H120)</f>
        <v>23050</v>
      </c>
      <c r="I6" s="39">
        <v>43968</v>
      </c>
      <c r="J6" s="8">
        <f>SUBTOTAL(3,J8:J110)</f>
        <v>30</v>
      </c>
      <c r="K6" s="1">
        <f>SUBTOTAL(9,K8:K110)</f>
        <v>20700</v>
      </c>
      <c r="L6" s="63">
        <v>43975</v>
      </c>
      <c r="M6" s="8">
        <f>SUBTOTAL(3,M8:M110)</f>
        <v>39</v>
      </c>
      <c r="N6" s="1">
        <f>SUBTOTAL(9,N8:N110)</f>
        <v>20800</v>
      </c>
      <c r="O6" s="81">
        <v>43982</v>
      </c>
      <c r="Q6" s="30">
        <f>+A6+D6+G6+J6+M6</f>
        <v>211</v>
      </c>
      <c r="R6" s="29">
        <f>+B6+E6+H6+K6+N6</f>
        <v>122350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2</v>
      </c>
      <c r="M7" s="92" t="s">
        <v>1</v>
      </c>
      <c r="N7" s="92" t="s">
        <v>3</v>
      </c>
      <c r="O7" s="92" t="s">
        <v>2</v>
      </c>
      <c r="Q7" s="28" t="s">
        <v>9</v>
      </c>
      <c r="R7" s="28" t="s">
        <v>3</v>
      </c>
    </row>
    <row r="8" spans="1:18" x14ac:dyDescent="0.25">
      <c r="A8" s="16">
        <v>22030</v>
      </c>
      <c r="B8" s="49">
        <v>250</v>
      </c>
      <c r="C8" s="17" t="s">
        <v>298</v>
      </c>
      <c r="D8" s="13">
        <v>22094</v>
      </c>
      <c r="E8" s="70">
        <v>500</v>
      </c>
      <c r="F8" s="14"/>
      <c r="G8" s="11">
        <v>22137</v>
      </c>
      <c r="H8" s="67">
        <v>250</v>
      </c>
      <c r="I8" s="12" t="s">
        <v>292</v>
      </c>
      <c r="J8" s="61">
        <v>22172</v>
      </c>
      <c r="K8" s="71">
        <v>500</v>
      </c>
      <c r="L8" s="62"/>
      <c r="M8" s="75">
        <v>22202</v>
      </c>
      <c r="N8" s="73">
        <v>500</v>
      </c>
      <c r="O8" s="15" t="s">
        <v>316</v>
      </c>
      <c r="Q8" s="32"/>
      <c r="R8" s="32"/>
    </row>
    <row r="9" spans="1:18" x14ac:dyDescent="0.25">
      <c r="A9" s="16">
        <v>22031</v>
      </c>
      <c r="B9" s="49">
        <v>500</v>
      </c>
      <c r="C9" s="17"/>
      <c r="D9" s="13">
        <v>22095</v>
      </c>
      <c r="E9" s="70">
        <v>1000</v>
      </c>
      <c r="F9" s="14" t="s">
        <v>248</v>
      </c>
      <c r="G9" s="11"/>
      <c r="H9" s="67"/>
      <c r="I9" s="12" t="s">
        <v>230</v>
      </c>
      <c r="J9" s="61">
        <v>22173</v>
      </c>
      <c r="K9" s="71">
        <v>500</v>
      </c>
      <c r="L9" s="62" t="s">
        <v>248</v>
      </c>
      <c r="M9" s="75">
        <v>22203</v>
      </c>
      <c r="N9" s="73">
        <v>500</v>
      </c>
      <c r="O9" s="15" t="s">
        <v>248</v>
      </c>
    </row>
    <row r="10" spans="1:18" x14ac:dyDescent="0.25">
      <c r="A10" s="16">
        <v>22032</v>
      </c>
      <c r="B10" s="49">
        <v>800</v>
      </c>
      <c r="C10" s="17"/>
      <c r="D10" s="13"/>
      <c r="E10" s="70"/>
      <c r="F10" s="14" t="s">
        <v>18</v>
      </c>
      <c r="G10" s="11">
        <v>22138</v>
      </c>
      <c r="H10" s="67">
        <v>300</v>
      </c>
      <c r="I10" s="12" t="s">
        <v>292</v>
      </c>
      <c r="J10" s="61"/>
      <c r="K10" s="71"/>
      <c r="L10" s="62" t="s">
        <v>315</v>
      </c>
      <c r="M10" s="75"/>
      <c r="N10" s="73"/>
      <c r="O10" s="15" t="s">
        <v>22</v>
      </c>
    </row>
    <row r="11" spans="1:18" x14ac:dyDescent="0.25">
      <c r="A11" s="16">
        <v>22033</v>
      </c>
      <c r="B11" s="49">
        <v>250</v>
      </c>
      <c r="C11" s="17"/>
      <c r="D11" s="13"/>
      <c r="E11" s="70"/>
      <c r="F11" s="14" t="s">
        <v>278</v>
      </c>
      <c r="G11" s="11">
        <v>22139</v>
      </c>
      <c r="H11" s="67">
        <v>1500</v>
      </c>
      <c r="I11" s="12" t="s">
        <v>242</v>
      </c>
      <c r="J11" s="61">
        <v>22174</v>
      </c>
      <c r="K11" s="71">
        <v>500</v>
      </c>
      <c r="L11" s="62"/>
      <c r="M11" s="75">
        <v>22204</v>
      </c>
      <c r="N11" s="73">
        <v>500</v>
      </c>
      <c r="O11" s="15"/>
    </row>
    <row r="12" spans="1:18" x14ac:dyDescent="0.25">
      <c r="A12" s="16">
        <v>22034</v>
      </c>
      <c r="B12" s="49">
        <v>600</v>
      </c>
      <c r="C12" s="17" t="s">
        <v>289</v>
      </c>
      <c r="D12" s="13">
        <v>22096</v>
      </c>
      <c r="E12" s="70">
        <v>300</v>
      </c>
      <c r="F12" s="14" t="s">
        <v>233</v>
      </c>
      <c r="G12" s="11"/>
      <c r="H12" s="67"/>
      <c r="I12" s="12" t="s">
        <v>18</v>
      </c>
      <c r="J12" s="61">
        <v>22175</v>
      </c>
      <c r="K12" s="71">
        <v>350</v>
      </c>
      <c r="L12" s="62" t="s">
        <v>316</v>
      </c>
      <c r="M12" s="75">
        <v>22205</v>
      </c>
      <c r="N12" s="73">
        <v>500</v>
      </c>
      <c r="O12" s="15"/>
    </row>
    <row r="13" spans="1:18" x14ac:dyDescent="0.25">
      <c r="A13" s="16"/>
      <c r="B13" s="49"/>
      <c r="C13" s="17" t="s">
        <v>290</v>
      </c>
      <c r="D13" s="13">
        <v>22097</v>
      </c>
      <c r="E13" s="70">
        <v>500</v>
      </c>
      <c r="F13" s="14" t="s">
        <v>248</v>
      </c>
      <c r="G13" s="11">
        <v>22140</v>
      </c>
      <c r="H13" s="67">
        <v>1000</v>
      </c>
      <c r="I13" s="12" t="s">
        <v>248</v>
      </c>
      <c r="J13" s="61">
        <v>22176</v>
      </c>
      <c r="K13" s="71">
        <v>250</v>
      </c>
      <c r="L13" s="62"/>
      <c r="M13" s="75">
        <v>22206</v>
      </c>
      <c r="N13" s="73">
        <v>500</v>
      </c>
      <c r="O13" s="15"/>
    </row>
    <row r="14" spans="1:18" x14ac:dyDescent="0.25">
      <c r="A14" s="16">
        <v>22035</v>
      </c>
      <c r="B14" s="49">
        <v>250</v>
      </c>
      <c r="C14" s="17"/>
      <c r="D14" s="13"/>
      <c r="E14" s="70"/>
      <c r="F14" s="14" t="s">
        <v>22</v>
      </c>
      <c r="G14" s="11"/>
      <c r="H14" s="67"/>
      <c r="I14" s="12" t="s">
        <v>18</v>
      </c>
      <c r="J14" s="61">
        <v>22177</v>
      </c>
      <c r="K14" s="71">
        <v>1500</v>
      </c>
      <c r="L14" s="62" t="s">
        <v>242</v>
      </c>
      <c r="M14" s="75">
        <v>22207</v>
      </c>
      <c r="N14" s="73">
        <v>500</v>
      </c>
      <c r="O14" s="15"/>
    </row>
    <row r="15" spans="1:18" x14ac:dyDescent="0.25">
      <c r="A15" s="16">
        <v>22036</v>
      </c>
      <c r="B15" s="49">
        <v>500</v>
      </c>
      <c r="C15" s="17" t="s">
        <v>291</v>
      </c>
      <c r="D15" s="13">
        <v>22098</v>
      </c>
      <c r="E15" s="70">
        <v>500</v>
      </c>
      <c r="F15" s="14"/>
      <c r="G15" s="11">
        <v>22141</v>
      </c>
      <c r="H15" s="67">
        <v>500</v>
      </c>
      <c r="I15" s="12"/>
      <c r="J15" s="61"/>
      <c r="K15" s="71"/>
      <c r="L15" s="62" t="s">
        <v>18</v>
      </c>
      <c r="M15" s="75">
        <v>22208</v>
      </c>
      <c r="N15" s="73">
        <v>500</v>
      </c>
      <c r="O15" s="93"/>
    </row>
    <row r="16" spans="1:18" x14ac:dyDescent="0.25">
      <c r="A16" s="16">
        <v>22037</v>
      </c>
      <c r="B16" s="49">
        <v>500</v>
      </c>
      <c r="C16" s="17"/>
      <c r="D16" s="13">
        <v>22099</v>
      </c>
      <c r="E16" s="70">
        <v>100</v>
      </c>
      <c r="F16" s="14" t="s">
        <v>300</v>
      </c>
      <c r="G16" s="11">
        <v>22142</v>
      </c>
      <c r="H16" s="67">
        <v>600</v>
      </c>
      <c r="I16" s="12"/>
      <c r="J16" s="61">
        <v>22178</v>
      </c>
      <c r="K16" s="71">
        <v>500</v>
      </c>
      <c r="L16" s="62"/>
      <c r="M16" s="75">
        <v>22209</v>
      </c>
      <c r="N16" s="73">
        <v>300</v>
      </c>
      <c r="O16" s="15" t="s">
        <v>316</v>
      </c>
    </row>
    <row r="17" spans="1:15" x14ac:dyDescent="0.25">
      <c r="A17" s="16">
        <v>22038</v>
      </c>
      <c r="B17" s="49">
        <v>500</v>
      </c>
      <c r="C17" s="17"/>
      <c r="D17" s="13"/>
      <c r="E17" s="70"/>
      <c r="F17" s="33" t="s">
        <v>301</v>
      </c>
      <c r="G17" s="11">
        <v>22143</v>
      </c>
      <c r="H17" s="67">
        <v>1800</v>
      </c>
      <c r="I17" s="12" t="s">
        <v>262</v>
      </c>
      <c r="J17" s="61">
        <v>22179</v>
      </c>
      <c r="K17" s="71">
        <v>400</v>
      </c>
      <c r="L17" s="88"/>
      <c r="M17" s="75">
        <v>22210</v>
      </c>
      <c r="N17" s="73">
        <v>500</v>
      </c>
      <c r="O17" s="15"/>
    </row>
    <row r="18" spans="1:15" x14ac:dyDescent="0.25">
      <c r="A18" s="16">
        <v>22039</v>
      </c>
      <c r="B18" s="49">
        <v>500</v>
      </c>
      <c r="C18" s="17" t="s">
        <v>292</v>
      </c>
      <c r="D18" s="13">
        <v>22100</v>
      </c>
      <c r="E18" s="70">
        <v>700</v>
      </c>
      <c r="F18" s="14"/>
      <c r="G18" s="11"/>
      <c r="H18" s="67"/>
      <c r="I18" s="94" t="s">
        <v>307</v>
      </c>
      <c r="J18" s="61">
        <v>22180</v>
      </c>
      <c r="K18" s="71">
        <v>300</v>
      </c>
      <c r="L18" s="62"/>
      <c r="M18" s="75">
        <v>22211</v>
      </c>
      <c r="N18" s="73">
        <v>500</v>
      </c>
      <c r="O18" s="15" t="s">
        <v>316</v>
      </c>
    </row>
    <row r="19" spans="1:15" x14ac:dyDescent="0.25">
      <c r="A19" s="16">
        <v>22040</v>
      </c>
      <c r="B19" s="49">
        <v>500</v>
      </c>
      <c r="C19" s="17" t="s">
        <v>154</v>
      </c>
      <c r="D19" s="13">
        <v>22101</v>
      </c>
      <c r="E19" s="70">
        <v>200</v>
      </c>
      <c r="F19" s="14" t="s">
        <v>292</v>
      </c>
      <c r="G19" s="11">
        <v>22144</v>
      </c>
      <c r="H19" s="67">
        <v>700</v>
      </c>
      <c r="I19" s="12" t="s">
        <v>309</v>
      </c>
      <c r="J19" s="61">
        <v>22181</v>
      </c>
      <c r="K19" s="71">
        <v>400</v>
      </c>
      <c r="L19" s="62"/>
      <c r="M19" s="75">
        <v>22212</v>
      </c>
      <c r="N19" s="73">
        <v>500</v>
      </c>
      <c r="O19" s="15" t="s">
        <v>316</v>
      </c>
    </row>
    <row r="20" spans="1:15" x14ac:dyDescent="0.25">
      <c r="A20" s="16"/>
      <c r="B20" s="49"/>
      <c r="C20" s="17" t="s">
        <v>22</v>
      </c>
      <c r="D20" s="13">
        <v>22102</v>
      </c>
      <c r="E20" s="70">
        <v>300</v>
      </c>
      <c r="F20" s="14"/>
      <c r="G20" s="11"/>
      <c r="H20" s="67"/>
      <c r="I20" s="12" t="s">
        <v>308</v>
      </c>
      <c r="J20" s="61">
        <v>22182</v>
      </c>
      <c r="K20" s="71">
        <v>400</v>
      </c>
      <c r="L20" s="62" t="s">
        <v>292</v>
      </c>
      <c r="M20" s="75">
        <v>22213</v>
      </c>
      <c r="N20" s="73">
        <v>500</v>
      </c>
      <c r="O20" s="15" t="s">
        <v>316</v>
      </c>
    </row>
    <row r="21" spans="1:15" x14ac:dyDescent="0.25">
      <c r="A21" s="16">
        <v>22041</v>
      </c>
      <c r="B21" s="49">
        <v>500</v>
      </c>
      <c r="C21" s="17" t="s">
        <v>292</v>
      </c>
      <c r="D21" s="13">
        <v>22103</v>
      </c>
      <c r="E21" s="70">
        <v>500</v>
      </c>
      <c r="F21" s="14"/>
      <c r="G21" s="11">
        <v>22145</v>
      </c>
      <c r="H21" s="67">
        <v>500</v>
      </c>
      <c r="I21" s="12"/>
      <c r="J21" s="61">
        <v>22183</v>
      </c>
      <c r="K21" s="71">
        <v>250</v>
      </c>
      <c r="L21" s="62" t="s">
        <v>317</v>
      </c>
      <c r="M21" s="75">
        <v>22214</v>
      </c>
      <c r="N21" s="73"/>
      <c r="O21" s="15" t="s">
        <v>321</v>
      </c>
    </row>
    <row r="22" spans="1:15" x14ac:dyDescent="0.25">
      <c r="A22" s="16">
        <v>22042</v>
      </c>
      <c r="B22" s="49">
        <v>500</v>
      </c>
      <c r="C22" s="17"/>
      <c r="D22" s="13">
        <v>22104</v>
      </c>
      <c r="E22" s="70">
        <v>500</v>
      </c>
      <c r="F22" s="14"/>
      <c r="G22" s="11">
        <v>22146</v>
      </c>
      <c r="H22" s="67">
        <v>250</v>
      </c>
      <c r="I22" s="12"/>
      <c r="J22" s="61">
        <v>22184</v>
      </c>
      <c r="K22" s="71">
        <v>500</v>
      </c>
      <c r="L22" s="62"/>
      <c r="M22" s="75">
        <v>22215</v>
      </c>
      <c r="N22" s="73">
        <v>750</v>
      </c>
      <c r="O22" s="15" t="s">
        <v>322</v>
      </c>
    </row>
    <row r="23" spans="1:15" x14ac:dyDescent="0.25">
      <c r="A23" s="16">
        <v>22043</v>
      </c>
      <c r="B23" s="49">
        <v>500</v>
      </c>
      <c r="C23" s="17"/>
      <c r="D23" s="13">
        <v>22105</v>
      </c>
      <c r="E23" s="70">
        <v>500</v>
      </c>
      <c r="F23" s="14"/>
      <c r="G23" s="11">
        <v>22147</v>
      </c>
      <c r="H23" s="67">
        <v>600</v>
      </c>
      <c r="I23" s="12" t="s">
        <v>248</v>
      </c>
      <c r="J23" s="61">
        <v>22185</v>
      </c>
      <c r="K23" s="71">
        <v>1000</v>
      </c>
      <c r="L23" s="62" t="s">
        <v>268</v>
      </c>
      <c r="M23" s="75"/>
      <c r="N23" s="73"/>
      <c r="O23" s="15" t="s">
        <v>22</v>
      </c>
    </row>
    <row r="24" spans="1:15" x14ac:dyDescent="0.25">
      <c r="A24" s="16">
        <v>22044</v>
      </c>
      <c r="B24" s="49">
        <v>600</v>
      </c>
      <c r="C24" s="17" t="s">
        <v>154</v>
      </c>
      <c r="D24" s="13">
        <v>22106</v>
      </c>
      <c r="E24" s="70">
        <v>500</v>
      </c>
      <c r="F24" s="14"/>
      <c r="G24" s="11"/>
      <c r="H24" s="67"/>
      <c r="I24" s="12" t="s">
        <v>29</v>
      </c>
      <c r="J24" s="61"/>
      <c r="K24" s="71"/>
      <c r="L24" s="62" t="s">
        <v>18</v>
      </c>
      <c r="M24" s="75">
        <v>22216</v>
      </c>
      <c r="N24" s="73">
        <v>300</v>
      </c>
      <c r="O24" s="15"/>
    </row>
    <row r="25" spans="1:15" x14ac:dyDescent="0.25">
      <c r="A25" s="16"/>
      <c r="B25" s="49"/>
      <c r="C25" s="17" t="s">
        <v>29</v>
      </c>
      <c r="D25" s="13">
        <v>22107</v>
      </c>
      <c r="E25" s="70">
        <v>500</v>
      </c>
      <c r="F25" s="14"/>
      <c r="G25" s="11">
        <v>22148</v>
      </c>
      <c r="H25" s="67">
        <v>200</v>
      </c>
      <c r="I25" s="12"/>
      <c r="J25" s="61">
        <v>22186</v>
      </c>
      <c r="K25" s="71">
        <v>1000</v>
      </c>
      <c r="L25" s="62" t="s">
        <v>248</v>
      </c>
      <c r="M25" s="75">
        <v>22217</v>
      </c>
      <c r="N25" s="73">
        <v>500</v>
      </c>
      <c r="O25" s="15" t="s">
        <v>316</v>
      </c>
    </row>
    <row r="26" spans="1:15" x14ac:dyDescent="0.25">
      <c r="A26" s="16">
        <v>22045</v>
      </c>
      <c r="B26" s="49">
        <v>500</v>
      </c>
      <c r="C26" s="17"/>
      <c r="D26" s="13">
        <v>22108</v>
      </c>
      <c r="E26" s="70">
        <v>500</v>
      </c>
      <c r="F26" s="14"/>
      <c r="G26" s="11">
        <v>22149</v>
      </c>
      <c r="H26" s="67">
        <v>600</v>
      </c>
      <c r="I26" s="12" t="s">
        <v>248</v>
      </c>
      <c r="J26" s="61"/>
      <c r="K26" s="71"/>
      <c r="L26" s="62" t="s">
        <v>18</v>
      </c>
      <c r="M26" s="75">
        <v>22218</v>
      </c>
      <c r="N26" s="73">
        <v>1000</v>
      </c>
      <c r="O26" s="15" t="s">
        <v>268</v>
      </c>
    </row>
    <row r="27" spans="1:15" x14ac:dyDescent="0.25">
      <c r="A27" s="16">
        <v>22046</v>
      </c>
      <c r="B27" s="49">
        <v>450</v>
      </c>
      <c r="C27" s="17"/>
      <c r="D27" s="13">
        <v>22109</v>
      </c>
      <c r="E27" s="70">
        <v>250</v>
      </c>
      <c r="F27" s="14" t="s">
        <v>302</v>
      </c>
      <c r="G27" s="11"/>
      <c r="H27" s="67"/>
      <c r="I27" s="12" t="s">
        <v>29</v>
      </c>
      <c r="J27" s="61">
        <v>22187</v>
      </c>
      <c r="K27" s="71">
        <v>400</v>
      </c>
      <c r="L27" s="62"/>
      <c r="M27" s="75"/>
      <c r="N27" s="73"/>
      <c r="O27" s="15" t="s">
        <v>18</v>
      </c>
    </row>
    <row r="28" spans="1:15" x14ac:dyDescent="0.25">
      <c r="A28" s="16">
        <v>22047</v>
      </c>
      <c r="B28" s="49">
        <v>500</v>
      </c>
      <c r="C28" s="17"/>
      <c r="D28" s="13">
        <v>22110</v>
      </c>
      <c r="E28" s="70">
        <v>400</v>
      </c>
      <c r="F28" s="14"/>
      <c r="G28" s="11">
        <v>22150</v>
      </c>
      <c r="H28" s="67">
        <v>500</v>
      </c>
      <c r="I28" s="12"/>
      <c r="J28" s="61">
        <v>22188</v>
      </c>
      <c r="K28" s="71">
        <v>1000</v>
      </c>
      <c r="L28" s="62" t="s">
        <v>268</v>
      </c>
      <c r="M28" s="75">
        <v>22219</v>
      </c>
      <c r="N28" s="73">
        <v>500</v>
      </c>
      <c r="O28" s="15" t="s">
        <v>316</v>
      </c>
    </row>
    <row r="29" spans="1:15" x14ac:dyDescent="0.25">
      <c r="A29" s="16">
        <v>22048</v>
      </c>
      <c r="B29" s="49">
        <v>550</v>
      </c>
      <c r="C29" s="17" t="s">
        <v>248</v>
      </c>
      <c r="D29" s="13">
        <v>22111</v>
      </c>
      <c r="E29" s="70">
        <v>500</v>
      </c>
      <c r="F29" s="14" t="s">
        <v>292</v>
      </c>
      <c r="G29" s="11">
        <v>22151</v>
      </c>
      <c r="H29" s="67">
        <v>500</v>
      </c>
      <c r="I29" s="12" t="s">
        <v>310</v>
      </c>
      <c r="J29" s="61"/>
      <c r="K29" s="71"/>
      <c r="L29" s="62" t="s">
        <v>18</v>
      </c>
      <c r="M29" s="75">
        <v>22220</v>
      </c>
      <c r="N29" s="73">
        <v>500</v>
      </c>
      <c r="O29" s="15"/>
    </row>
    <row r="30" spans="1:15" x14ac:dyDescent="0.25">
      <c r="A30" s="16"/>
      <c r="B30" s="49"/>
      <c r="C30" s="17" t="s">
        <v>293</v>
      </c>
      <c r="D30" s="13">
        <v>22112</v>
      </c>
      <c r="E30" s="70">
        <v>300</v>
      </c>
      <c r="F30" s="14"/>
      <c r="G30" s="11">
        <v>22152</v>
      </c>
      <c r="H30" s="67">
        <v>700</v>
      </c>
      <c r="I30" s="12" t="s">
        <v>268</v>
      </c>
      <c r="J30" s="61">
        <v>22189</v>
      </c>
      <c r="K30" s="71">
        <v>300</v>
      </c>
      <c r="L30" s="62"/>
      <c r="M30" s="75">
        <v>22221</v>
      </c>
      <c r="N30" s="73">
        <v>500</v>
      </c>
      <c r="O30" s="15"/>
    </row>
    <row r="31" spans="1:15" x14ac:dyDescent="0.25">
      <c r="A31" s="16">
        <v>22049</v>
      </c>
      <c r="B31" s="49">
        <v>750</v>
      </c>
      <c r="C31" s="17" t="s">
        <v>270</v>
      </c>
      <c r="D31" s="13">
        <v>22113</v>
      </c>
      <c r="E31" s="70">
        <v>200</v>
      </c>
      <c r="F31" s="14"/>
      <c r="G31" s="11"/>
      <c r="H31" s="67"/>
      <c r="I31" s="12" t="s">
        <v>131</v>
      </c>
      <c r="J31" s="61">
        <v>22190</v>
      </c>
      <c r="K31" s="71">
        <v>1200</v>
      </c>
      <c r="L31" s="62" t="s">
        <v>318</v>
      </c>
      <c r="M31" s="75">
        <v>22222</v>
      </c>
      <c r="N31" s="73">
        <v>1000</v>
      </c>
      <c r="O31" s="15" t="s">
        <v>268</v>
      </c>
    </row>
    <row r="32" spans="1:15" x14ac:dyDescent="0.25">
      <c r="A32" s="16"/>
      <c r="B32" s="49"/>
      <c r="C32" s="17" t="s">
        <v>22</v>
      </c>
      <c r="D32" s="13">
        <v>22114</v>
      </c>
      <c r="E32" s="70">
        <v>250</v>
      </c>
      <c r="F32" s="14"/>
      <c r="G32" s="11">
        <v>22153</v>
      </c>
      <c r="H32" s="67">
        <v>500</v>
      </c>
      <c r="I32" s="12"/>
      <c r="J32" s="61"/>
      <c r="K32" s="71"/>
      <c r="L32" s="62" t="s">
        <v>29</v>
      </c>
      <c r="M32" s="75"/>
      <c r="N32" s="73"/>
      <c r="O32" s="15" t="s">
        <v>18</v>
      </c>
    </row>
    <row r="33" spans="1:15" x14ac:dyDescent="0.25">
      <c r="A33" s="16">
        <v>22050</v>
      </c>
      <c r="B33" s="49">
        <v>500</v>
      </c>
      <c r="C33" s="17" t="s">
        <v>154</v>
      </c>
      <c r="D33" s="13">
        <v>22115</v>
      </c>
      <c r="E33" s="70">
        <v>1200</v>
      </c>
      <c r="F33" s="14" t="s">
        <v>262</v>
      </c>
      <c r="G33" s="11">
        <v>22154</v>
      </c>
      <c r="H33" s="67">
        <v>250</v>
      </c>
      <c r="I33" s="12" t="s">
        <v>310</v>
      </c>
      <c r="J33" s="61">
        <v>22191</v>
      </c>
      <c r="K33" s="71">
        <v>1000</v>
      </c>
      <c r="L33" s="62" t="s">
        <v>268</v>
      </c>
      <c r="M33" s="75">
        <v>22223</v>
      </c>
      <c r="N33" s="73">
        <v>500</v>
      </c>
      <c r="O33" s="15" t="s">
        <v>303</v>
      </c>
    </row>
    <row r="34" spans="1:15" x14ac:dyDescent="0.25">
      <c r="A34" s="16"/>
      <c r="B34" s="49"/>
      <c r="C34" s="17" t="s">
        <v>22</v>
      </c>
      <c r="D34" s="13"/>
      <c r="E34" s="70"/>
      <c r="F34" s="14" t="s">
        <v>25</v>
      </c>
      <c r="G34" s="11">
        <v>22155</v>
      </c>
      <c r="H34" s="67">
        <v>450</v>
      </c>
      <c r="I34" s="12"/>
      <c r="J34" s="61"/>
      <c r="K34" s="71"/>
      <c r="L34" s="62" t="s">
        <v>18</v>
      </c>
      <c r="M34" s="75"/>
      <c r="N34" s="73"/>
      <c r="O34" s="15" t="s">
        <v>22</v>
      </c>
    </row>
    <row r="35" spans="1:15" x14ac:dyDescent="0.25">
      <c r="A35" s="16">
        <v>22051</v>
      </c>
      <c r="B35" s="49">
        <v>500</v>
      </c>
      <c r="C35" s="17" t="s">
        <v>292</v>
      </c>
      <c r="D35" s="13">
        <v>22116</v>
      </c>
      <c r="E35" s="70">
        <v>500</v>
      </c>
      <c r="F35" s="14" t="s">
        <v>292</v>
      </c>
      <c r="G35" s="11">
        <v>22156</v>
      </c>
      <c r="H35" s="67">
        <v>500</v>
      </c>
      <c r="I35" s="12"/>
      <c r="J35" s="61">
        <v>22192</v>
      </c>
      <c r="K35" s="71">
        <v>500</v>
      </c>
      <c r="L35" s="62"/>
      <c r="M35" s="75">
        <v>22224</v>
      </c>
      <c r="N35" s="73">
        <v>500</v>
      </c>
      <c r="O35" s="15" t="s">
        <v>316</v>
      </c>
    </row>
    <row r="36" spans="1:15" x14ac:dyDescent="0.25">
      <c r="A36" s="16">
        <v>22052</v>
      </c>
      <c r="B36" s="49">
        <v>500</v>
      </c>
      <c r="C36" s="17" t="s">
        <v>292</v>
      </c>
      <c r="D36" s="13">
        <v>22117</v>
      </c>
      <c r="E36" s="70">
        <v>250</v>
      </c>
      <c r="F36" s="14"/>
      <c r="G36" s="11">
        <v>22157</v>
      </c>
      <c r="H36" s="67">
        <v>300</v>
      </c>
      <c r="I36" s="12"/>
      <c r="J36" s="61">
        <v>22193</v>
      </c>
      <c r="K36" s="71">
        <v>500</v>
      </c>
      <c r="L36" s="62" t="s">
        <v>319</v>
      </c>
      <c r="M36" s="75">
        <v>22225</v>
      </c>
      <c r="N36" s="73">
        <v>250</v>
      </c>
      <c r="O36" s="15" t="s">
        <v>316</v>
      </c>
    </row>
    <row r="37" spans="1:15" x14ac:dyDescent="0.25">
      <c r="A37" s="16">
        <v>22053</v>
      </c>
      <c r="B37" s="49">
        <v>500</v>
      </c>
      <c r="C37" s="17" t="s">
        <v>233</v>
      </c>
      <c r="D37" s="13">
        <v>22118</v>
      </c>
      <c r="E37" s="70">
        <v>1000</v>
      </c>
      <c r="F37" s="14" t="s">
        <v>248</v>
      </c>
      <c r="G37" s="11">
        <v>22158</v>
      </c>
      <c r="H37" s="67">
        <v>500</v>
      </c>
      <c r="I37" s="12"/>
      <c r="J37" s="61">
        <v>22194</v>
      </c>
      <c r="K37" s="71">
        <v>300</v>
      </c>
      <c r="L37" s="62" t="s">
        <v>292</v>
      </c>
      <c r="M37" s="75">
        <v>22226</v>
      </c>
      <c r="N37" s="73">
        <v>1000</v>
      </c>
      <c r="O37" s="15" t="s">
        <v>268</v>
      </c>
    </row>
    <row r="38" spans="1:15" x14ac:dyDescent="0.25">
      <c r="A38" s="16">
        <v>22054</v>
      </c>
      <c r="B38" s="49">
        <v>800</v>
      </c>
      <c r="C38" s="17" t="s">
        <v>154</v>
      </c>
      <c r="D38" s="13"/>
      <c r="E38" s="70"/>
      <c r="F38" s="14" t="s">
        <v>18</v>
      </c>
      <c r="G38" s="11">
        <v>22159</v>
      </c>
      <c r="H38" s="67">
        <v>500</v>
      </c>
      <c r="I38" s="12"/>
      <c r="J38" s="61">
        <v>22195</v>
      </c>
      <c r="K38" s="71">
        <v>400</v>
      </c>
      <c r="L38" s="62"/>
      <c r="M38" s="75"/>
      <c r="N38" s="73"/>
      <c r="O38" s="15" t="s">
        <v>18</v>
      </c>
    </row>
    <row r="39" spans="1:15" x14ac:dyDescent="0.25">
      <c r="A39" s="16"/>
      <c r="B39" s="49"/>
      <c r="C39" s="17" t="s">
        <v>25</v>
      </c>
      <c r="D39" s="13">
        <v>22119</v>
      </c>
      <c r="E39" s="70">
        <v>1000</v>
      </c>
      <c r="F39" s="14" t="s">
        <v>154</v>
      </c>
      <c r="G39" s="11">
        <v>22160</v>
      </c>
      <c r="H39" s="67">
        <v>500</v>
      </c>
      <c r="I39" s="12"/>
      <c r="J39" s="61">
        <v>22196</v>
      </c>
      <c r="K39" s="71">
        <v>400</v>
      </c>
      <c r="L39" s="62"/>
      <c r="M39" s="75">
        <v>22227</v>
      </c>
      <c r="N39" s="73">
        <v>250</v>
      </c>
      <c r="O39" s="15" t="s">
        <v>316</v>
      </c>
    </row>
    <row r="40" spans="1:15" x14ac:dyDescent="0.25">
      <c r="A40" s="16">
        <v>22055</v>
      </c>
      <c r="B40" s="49">
        <v>300</v>
      </c>
      <c r="C40" s="17"/>
      <c r="D40" s="13"/>
      <c r="E40" s="70"/>
      <c r="F40" s="14" t="s">
        <v>18</v>
      </c>
      <c r="G40" s="11">
        <v>22161</v>
      </c>
      <c r="H40" s="67">
        <v>400</v>
      </c>
      <c r="I40" s="12"/>
      <c r="J40" s="61">
        <v>22197</v>
      </c>
      <c r="K40" s="71">
        <v>500</v>
      </c>
      <c r="L40" s="62"/>
      <c r="M40" s="75">
        <v>22228</v>
      </c>
      <c r="N40" s="73">
        <v>500</v>
      </c>
      <c r="O40" s="15"/>
    </row>
    <row r="41" spans="1:15" x14ac:dyDescent="0.25">
      <c r="A41" s="16">
        <v>22056</v>
      </c>
      <c r="B41" s="49">
        <v>500</v>
      </c>
      <c r="C41" s="17"/>
      <c r="D41" s="13">
        <v>22120</v>
      </c>
      <c r="E41" s="70">
        <v>250</v>
      </c>
      <c r="F41" s="14"/>
      <c r="G41" s="11">
        <v>22162</v>
      </c>
      <c r="H41" s="67">
        <v>500</v>
      </c>
      <c r="I41" s="12"/>
      <c r="J41" s="61">
        <v>22198</v>
      </c>
      <c r="K41" s="71">
        <v>1500</v>
      </c>
      <c r="L41" s="62" t="s">
        <v>242</v>
      </c>
      <c r="M41" s="75">
        <v>22229</v>
      </c>
      <c r="N41" s="73">
        <v>800</v>
      </c>
      <c r="O41" s="15" t="s">
        <v>318</v>
      </c>
    </row>
    <row r="42" spans="1:15" x14ac:dyDescent="0.25">
      <c r="A42" s="16">
        <v>22057</v>
      </c>
      <c r="B42" s="49">
        <v>500</v>
      </c>
      <c r="C42" s="17" t="s">
        <v>233</v>
      </c>
      <c r="D42" s="13">
        <v>22121</v>
      </c>
      <c r="E42" s="70">
        <v>200</v>
      </c>
      <c r="F42" s="14"/>
      <c r="G42" s="11">
        <v>22163</v>
      </c>
      <c r="H42" s="67">
        <v>250</v>
      </c>
      <c r="I42" s="12"/>
      <c r="J42" s="61"/>
      <c r="K42" s="71"/>
      <c r="L42" s="62" t="s">
        <v>18</v>
      </c>
      <c r="M42" s="75"/>
      <c r="N42" s="73"/>
      <c r="O42" s="15" t="s">
        <v>44</v>
      </c>
    </row>
    <row r="43" spans="1:15" x14ac:dyDescent="0.25">
      <c r="A43" s="16">
        <v>22058</v>
      </c>
      <c r="B43" s="49">
        <v>500</v>
      </c>
      <c r="C43" s="17" t="s">
        <v>292</v>
      </c>
      <c r="D43" s="13">
        <v>22122</v>
      </c>
      <c r="E43" s="70">
        <v>500</v>
      </c>
      <c r="F43" s="14" t="s">
        <v>303</v>
      </c>
      <c r="G43" s="11">
        <v>22164</v>
      </c>
      <c r="H43" s="67">
        <v>600</v>
      </c>
      <c r="I43" s="12" t="s">
        <v>248</v>
      </c>
      <c r="J43" s="61">
        <v>22199</v>
      </c>
      <c r="K43" s="71">
        <v>2500</v>
      </c>
      <c r="L43" s="62" t="s">
        <v>320</v>
      </c>
      <c r="M43" s="75">
        <v>22230</v>
      </c>
      <c r="N43" s="73">
        <v>400</v>
      </c>
      <c r="O43" s="15"/>
    </row>
    <row r="44" spans="1:15" x14ac:dyDescent="0.25">
      <c r="A44" s="16">
        <v>22059</v>
      </c>
      <c r="B44" s="49">
        <v>500</v>
      </c>
      <c r="C44" s="17" t="s">
        <v>292</v>
      </c>
      <c r="D44" s="13"/>
      <c r="E44" s="70"/>
      <c r="F44" s="14" t="s">
        <v>22</v>
      </c>
      <c r="G44" s="11"/>
      <c r="H44" s="67"/>
      <c r="I44" s="12" t="s">
        <v>29</v>
      </c>
      <c r="J44" s="61"/>
      <c r="K44" s="71"/>
      <c r="L44" s="62" t="s">
        <v>18</v>
      </c>
      <c r="M44" s="75">
        <v>22231</v>
      </c>
      <c r="N44" s="73">
        <v>300</v>
      </c>
      <c r="O44" s="15"/>
    </row>
    <row r="45" spans="1:15" x14ac:dyDescent="0.25">
      <c r="A45" s="16">
        <v>22060</v>
      </c>
      <c r="B45" s="49">
        <v>1000</v>
      </c>
      <c r="C45" s="17" t="s">
        <v>154</v>
      </c>
      <c r="D45" s="13">
        <v>22123</v>
      </c>
      <c r="E45" s="70">
        <v>1000</v>
      </c>
      <c r="F45" s="14" t="s">
        <v>248</v>
      </c>
      <c r="G45" s="11">
        <v>22165</v>
      </c>
      <c r="H45" s="67"/>
      <c r="I45" s="12" t="s">
        <v>54</v>
      </c>
      <c r="J45" s="61">
        <v>22200</v>
      </c>
      <c r="K45" s="71">
        <v>500</v>
      </c>
      <c r="L45" s="62" t="s">
        <v>303</v>
      </c>
      <c r="M45" s="75">
        <v>22232</v>
      </c>
      <c r="N45" s="73">
        <v>1000</v>
      </c>
      <c r="O45" s="15" t="s">
        <v>272</v>
      </c>
    </row>
    <row r="46" spans="1:15" x14ac:dyDescent="0.25">
      <c r="A46" s="16"/>
      <c r="B46" s="49"/>
      <c r="C46" s="17" t="s">
        <v>18</v>
      </c>
      <c r="D46" s="13"/>
      <c r="E46" s="70"/>
      <c r="F46" s="14" t="s">
        <v>18</v>
      </c>
      <c r="G46" s="11">
        <v>22166</v>
      </c>
      <c r="H46" s="67">
        <v>1200</v>
      </c>
      <c r="I46" s="94" t="s">
        <v>242</v>
      </c>
      <c r="J46" s="61"/>
      <c r="K46" s="71"/>
      <c r="L46" s="62" t="s">
        <v>22</v>
      </c>
      <c r="M46" s="75"/>
      <c r="N46" s="73"/>
      <c r="O46" s="15" t="s">
        <v>323</v>
      </c>
    </row>
    <row r="47" spans="1:15" x14ac:dyDescent="0.25">
      <c r="A47" s="16">
        <v>22061</v>
      </c>
      <c r="B47" s="49">
        <v>500</v>
      </c>
      <c r="C47" s="17"/>
      <c r="D47" s="13">
        <v>22124</v>
      </c>
      <c r="E47" s="70">
        <v>500</v>
      </c>
      <c r="F47" s="14" t="s">
        <v>248</v>
      </c>
      <c r="G47" s="11"/>
      <c r="H47" s="67"/>
      <c r="I47" s="12" t="s">
        <v>25</v>
      </c>
      <c r="J47" s="61">
        <v>22201</v>
      </c>
      <c r="K47" s="71">
        <v>1350</v>
      </c>
      <c r="L47" s="62" t="s">
        <v>242</v>
      </c>
      <c r="M47" s="75">
        <v>22233</v>
      </c>
      <c r="N47" s="73">
        <v>500</v>
      </c>
      <c r="O47" s="15" t="s">
        <v>316</v>
      </c>
    </row>
    <row r="48" spans="1:15" x14ac:dyDescent="0.25">
      <c r="A48" s="16">
        <v>22062</v>
      </c>
      <c r="B48" s="49">
        <v>500</v>
      </c>
      <c r="C48" s="17"/>
      <c r="D48" s="13"/>
      <c r="E48" s="70"/>
      <c r="F48" s="14" t="s">
        <v>22</v>
      </c>
      <c r="G48" s="11">
        <v>22167</v>
      </c>
      <c r="H48" s="67">
        <v>600</v>
      </c>
      <c r="I48" s="12" t="s">
        <v>154</v>
      </c>
      <c r="J48" s="61"/>
      <c r="K48" s="71"/>
      <c r="L48" s="62" t="s">
        <v>155</v>
      </c>
      <c r="M48" s="75">
        <v>22234</v>
      </c>
      <c r="N48" s="73">
        <v>400</v>
      </c>
      <c r="O48" s="15"/>
    </row>
    <row r="49" spans="1:15" x14ac:dyDescent="0.25">
      <c r="A49" s="16">
        <v>22063</v>
      </c>
      <c r="B49" s="49">
        <v>300</v>
      </c>
      <c r="C49" s="17" t="s">
        <v>294</v>
      </c>
      <c r="D49" s="13">
        <v>22125</v>
      </c>
      <c r="E49" s="70">
        <v>1050</v>
      </c>
      <c r="F49" s="14" t="s">
        <v>262</v>
      </c>
      <c r="G49" s="11"/>
      <c r="H49" s="67"/>
      <c r="I49" s="12" t="s">
        <v>29</v>
      </c>
      <c r="J49" s="61"/>
      <c r="K49" s="71"/>
      <c r="L49" s="62"/>
      <c r="M49" s="75">
        <v>22235</v>
      </c>
      <c r="N49" s="73">
        <v>1000</v>
      </c>
      <c r="O49" s="15" t="s">
        <v>303</v>
      </c>
    </row>
    <row r="50" spans="1:15" x14ac:dyDescent="0.25">
      <c r="A50" s="16">
        <v>22064</v>
      </c>
      <c r="B50" s="49"/>
      <c r="C50" s="17" t="s">
        <v>54</v>
      </c>
      <c r="D50" s="13"/>
      <c r="E50" s="70"/>
      <c r="F50" s="14" t="s">
        <v>131</v>
      </c>
      <c r="G50" s="11">
        <v>22168</v>
      </c>
      <c r="H50" s="67">
        <v>2900</v>
      </c>
      <c r="I50" s="12" t="s">
        <v>311</v>
      </c>
      <c r="J50" s="61"/>
      <c r="K50" s="71"/>
      <c r="L50" s="62"/>
      <c r="M50" s="75"/>
      <c r="N50" s="73"/>
      <c r="O50" s="15" t="s">
        <v>18</v>
      </c>
    </row>
    <row r="51" spans="1:15" x14ac:dyDescent="0.25">
      <c r="A51" s="16">
        <v>22065</v>
      </c>
      <c r="B51" s="49">
        <v>250</v>
      </c>
      <c r="C51" s="17"/>
      <c r="D51" s="13">
        <v>22126</v>
      </c>
      <c r="E51" s="70">
        <v>500</v>
      </c>
      <c r="F51" s="14"/>
      <c r="G51" s="11"/>
      <c r="H51" s="67"/>
      <c r="I51" s="12" t="s">
        <v>312</v>
      </c>
      <c r="J51" s="61"/>
      <c r="K51" s="71"/>
      <c r="L51" s="62"/>
      <c r="M51" s="75">
        <v>22236</v>
      </c>
      <c r="N51" s="73">
        <v>1000</v>
      </c>
      <c r="O51" s="15" t="s">
        <v>268</v>
      </c>
    </row>
    <row r="52" spans="1:15" x14ac:dyDescent="0.25">
      <c r="A52" s="16">
        <v>22066</v>
      </c>
      <c r="B52" s="49">
        <v>1000</v>
      </c>
      <c r="C52" s="17" t="s">
        <v>154</v>
      </c>
      <c r="D52" s="13">
        <v>22127</v>
      </c>
      <c r="E52" s="70">
        <v>500</v>
      </c>
      <c r="F52" s="14"/>
      <c r="G52" s="11"/>
      <c r="H52" s="67"/>
      <c r="I52" s="12" t="s">
        <v>313</v>
      </c>
      <c r="J52" s="61"/>
      <c r="K52" s="71"/>
      <c r="L52" s="62"/>
      <c r="M52" s="75"/>
      <c r="N52" s="73"/>
      <c r="O52" s="15" t="s">
        <v>18</v>
      </c>
    </row>
    <row r="53" spans="1:15" x14ac:dyDescent="0.25">
      <c r="A53" s="16"/>
      <c r="B53" s="49"/>
      <c r="C53" s="17" t="s">
        <v>18</v>
      </c>
      <c r="D53" s="13">
        <v>22128</v>
      </c>
      <c r="E53" s="70">
        <v>300</v>
      </c>
      <c r="F53" s="14"/>
      <c r="G53" s="11">
        <v>22169</v>
      </c>
      <c r="H53" s="67">
        <v>600</v>
      </c>
      <c r="I53" s="12" t="s">
        <v>314</v>
      </c>
      <c r="J53" s="61"/>
      <c r="K53" s="71"/>
      <c r="L53" s="62"/>
      <c r="M53" s="75">
        <v>22237</v>
      </c>
      <c r="N53" s="73">
        <v>500</v>
      </c>
      <c r="O53" s="15" t="s">
        <v>324</v>
      </c>
    </row>
    <row r="54" spans="1:15" x14ac:dyDescent="0.25">
      <c r="A54" s="16">
        <v>22067</v>
      </c>
      <c r="B54" s="49">
        <v>850</v>
      </c>
      <c r="C54" s="17" t="s">
        <v>248</v>
      </c>
      <c r="D54" s="13">
        <v>22129</v>
      </c>
      <c r="E54" s="70">
        <v>500</v>
      </c>
      <c r="F54" s="14"/>
      <c r="G54" s="11"/>
      <c r="H54" s="67"/>
      <c r="I54" s="114">
        <v>500</v>
      </c>
      <c r="J54" s="61"/>
      <c r="K54" s="71"/>
      <c r="L54" s="62"/>
      <c r="M54" s="75">
        <v>22238</v>
      </c>
      <c r="N54" s="73">
        <v>600</v>
      </c>
      <c r="O54" s="15"/>
    </row>
    <row r="55" spans="1:15" x14ac:dyDescent="0.25">
      <c r="A55" s="16"/>
      <c r="B55" s="49"/>
      <c r="C55" s="17" t="s">
        <v>295</v>
      </c>
      <c r="D55" s="13">
        <v>22130</v>
      </c>
      <c r="E55" s="70">
        <v>400</v>
      </c>
      <c r="F55" s="14" t="s">
        <v>268</v>
      </c>
      <c r="G55" s="11">
        <v>22170</v>
      </c>
      <c r="H55" s="67">
        <v>1000</v>
      </c>
      <c r="I55" s="12" t="s">
        <v>248</v>
      </c>
      <c r="J55" s="61"/>
      <c r="K55" s="71"/>
      <c r="L55" s="62"/>
      <c r="M55" s="75">
        <v>22239</v>
      </c>
      <c r="N55" s="73"/>
      <c r="O55" s="15" t="s">
        <v>321</v>
      </c>
    </row>
    <row r="56" spans="1:15" x14ac:dyDescent="0.25">
      <c r="A56" s="16">
        <v>22068</v>
      </c>
      <c r="B56" s="49">
        <v>500</v>
      </c>
      <c r="C56" s="17"/>
      <c r="D56" s="13"/>
      <c r="E56" s="70"/>
      <c r="F56" s="14" t="s">
        <v>44</v>
      </c>
      <c r="G56" s="11"/>
      <c r="H56" s="67"/>
      <c r="I56" s="12" t="s">
        <v>18</v>
      </c>
      <c r="J56" s="61"/>
      <c r="K56" s="71"/>
      <c r="L56" s="62"/>
      <c r="M56" s="75">
        <v>22240</v>
      </c>
      <c r="N56" s="73">
        <v>450</v>
      </c>
      <c r="O56" s="15" t="s">
        <v>325</v>
      </c>
    </row>
    <row r="57" spans="1:15" x14ac:dyDescent="0.25">
      <c r="A57" s="16">
        <v>22069</v>
      </c>
      <c r="B57" s="49">
        <v>500</v>
      </c>
      <c r="C57" s="17" t="s">
        <v>292</v>
      </c>
      <c r="D57" s="13">
        <v>22131</v>
      </c>
      <c r="E57" s="70"/>
      <c r="F57" s="14" t="s">
        <v>54</v>
      </c>
      <c r="G57" s="11">
        <v>22171</v>
      </c>
      <c r="H57" s="67">
        <v>1000</v>
      </c>
      <c r="I57" s="12" t="s">
        <v>303</v>
      </c>
      <c r="J57" s="61"/>
      <c r="K57" s="71"/>
      <c r="L57" s="62"/>
      <c r="M57" s="75"/>
      <c r="N57" s="73"/>
      <c r="O57" s="15"/>
    </row>
    <row r="58" spans="1:15" x14ac:dyDescent="0.25">
      <c r="A58" s="16">
        <v>22070</v>
      </c>
      <c r="B58" s="49">
        <v>1000</v>
      </c>
      <c r="C58" s="17" t="s">
        <v>296</v>
      </c>
      <c r="D58" s="13">
        <v>22132</v>
      </c>
      <c r="E58" s="70">
        <v>900</v>
      </c>
      <c r="F58" s="14" t="s">
        <v>304</v>
      </c>
      <c r="G58" s="11"/>
      <c r="H58" s="67"/>
      <c r="I58" s="12" t="s">
        <v>18</v>
      </c>
      <c r="J58" s="61"/>
      <c r="K58" s="71"/>
      <c r="L58" s="62"/>
      <c r="M58" s="75"/>
      <c r="N58" s="73"/>
      <c r="O58" s="15"/>
    </row>
    <row r="59" spans="1:15" x14ac:dyDescent="0.25">
      <c r="A59" s="16"/>
      <c r="B59" s="49"/>
      <c r="C59" s="17" t="s">
        <v>18</v>
      </c>
      <c r="D59" s="13"/>
      <c r="E59" s="70"/>
      <c r="F59" s="14" t="s">
        <v>29</v>
      </c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22071</v>
      </c>
      <c r="B60" s="49">
        <v>500</v>
      </c>
      <c r="C60" s="17"/>
      <c r="D60" s="13">
        <v>22133</v>
      </c>
      <c r="E60" s="70">
        <v>750</v>
      </c>
      <c r="F60" s="14" t="s">
        <v>305</v>
      </c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22072</v>
      </c>
      <c r="B61" s="49">
        <v>1000</v>
      </c>
      <c r="C61" s="17" t="s">
        <v>248</v>
      </c>
      <c r="D61" s="13"/>
      <c r="E61" s="70"/>
      <c r="F61" s="14" t="s">
        <v>22</v>
      </c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/>
      <c r="B62" s="49"/>
      <c r="C62" s="17" t="s">
        <v>18</v>
      </c>
      <c r="D62" s="13">
        <v>22134</v>
      </c>
      <c r="E62" s="70">
        <v>500</v>
      </c>
      <c r="F62" s="14"/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22073</v>
      </c>
      <c r="B63" s="49">
        <v>400</v>
      </c>
      <c r="C63" s="17" t="s">
        <v>292</v>
      </c>
      <c r="D63" s="13">
        <v>22135</v>
      </c>
      <c r="E63" s="70">
        <v>500</v>
      </c>
      <c r="F63" s="14"/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22074</v>
      </c>
      <c r="B64" s="49">
        <v>800</v>
      </c>
      <c r="C64" s="17" t="s">
        <v>248</v>
      </c>
      <c r="D64" s="13">
        <v>22136</v>
      </c>
      <c r="E64" s="70">
        <v>1000</v>
      </c>
      <c r="F64" s="14" t="s">
        <v>306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25</v>
      </c>
      <c r="D65" s="13"/>
      <c r="E65" s="70"/>
      <c r="F65" s="14" t="s">
        <v>18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22075</v>
      </c>
      <c r="B66" s="49">
        <v>500</v>
      </c>
      <c r="C66" s="17"/>
      <c r="D66" s="13"/>
      <c r="E66" s="70"/>
      <c r="F66" s="14" t="s">
        <v>278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22076</v>
      </c>
      <c r="B67" s="49">
        <v>500</v>
      </c>
      <c r="C67" s="17"/>
      <c r="D67" s="13"/>
      <c r="E67" s="70"/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22077</v>
      </c>
      <c r="B68" s="49">
        <v>250</v>
      </c>
      <c r="C68" s="17" t="s">
        <v>297</v>
      </c>
      <c r="D68" s="13"/>
      <c r="E68" s="70"/>
      <c r="F68" s="14"/>
      <c r="G68" s="11"/>
      <c r="H68" s="67"/>
      <c r="I68" s="107"/>
      <c r="J68" s="61"/>
      <c r="K68" s="71"/>
      <c r="L68" s="62"/>
      <c r="M68" s="75"/>
      <c r="N68" s="73"/>
      <c r="O68" s="15"/>
    </row>
    <row r="69" spans="1:15" x14ac:dyDescent="0.25">
      <c r="A69" s="16">
        <v>22078</v>
      </c>
      <c r="B69" s="49">
        <v>1000</v>
      </c>
      <c r="C69" s="17" t="s">
        <v>248</v>
      </c>
      <c r="D69" s="13"/>
      <c r="E69" s="70"/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/>
      <c r="B70" s="49"/>
      <c r="C70" s="17" t="s">
        <v>18</v>
      </c>
      <c r="D70" s="13"/>
      <c r="E70" s="70"/>
      <c r="F70" s="14"/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22079</v>
      </c>
      <c r="B71" s="49">
        <v>300</v>
      </c>
      <c r="C71" s="17"/>
      <c r="D71" s="13"/>
      <c r="E71" s="70"/>
      <c r="F71" s="14"/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22080</v>
      </c>
      <c r="B72" s="49">
        <v>1000</v>
      </c>
      <c r="C72" s="17" t="s">
        <v>268</v>
      </c>
      <c r="D72" s="13"/>
      <c r="E72" s="70"/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/>
      <c r="B73" s="49"/>
      <c r="C73" s="17" t="s">
        <v>18</v>
      </c>
      <c r="D73" s="13"/>
      <c r="E73" s="70"/>
      <c r="F73" s="14"/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22081</v>
      </c>
      <c r="B74" s="49">
        <v>50</v>
      </c>
      <c r="C74" s="17" t="s">
        <v>51</v>
      </c>
      <c r="D74" s="13"/>
      <c r="E74" s="70"/>
      <c r="F74" s="14"/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22082</v>
      </c>
      <c r="B75" s="49">
        <v>250</v>
      </c>
      <c r="C75" s="17"/>
      <c r="D75" s="13"/>
      <c r="E75" s="70"/>
      <c r="F75" s="14"/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22083</v>
      </c>
      <c r="B76" s="49">
        <v>500</v>
      </c>
      <c r="C76" s="17"/>
      <c r="D76" s="13"/>
      <c r="E76" s="70"/>
      <c r="F76" s="14"/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22084</v>
      </c>
      <c r="B77" s="49">
        <v>1000</v>
      </c>
      <c r="C77" s="17" t="s">
        <v>268</v>
      </c>
      <c r="D77" s="13"/>
      <c r="E77" s="70"/>
      <c r="F77" s="14"/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18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22085</v>
      </c>
      <c r="B79" s="49">
        <v>1500</v>
      </c>
      <c r="C79" s="17" t="s">
        <v>299</v>
      </c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/>
      <c r="B80" s="49"/>
      <c r="C80" s="17" t="s">
        <v>18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22086</v>
      </c>
      <c r="B81" s="49">
        <v>500</v>
      </c>
      <c r="C81" s="17" t="s">
        <v>248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 t="s">
        <v>22</v>
      </c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22087</v>
      </c>
      <c r="B83" s="49">
        <v>250</v>
      </c>
      <c r="C83" s="17" t="s">
        <v>292</v>
      </c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22088</v>
      </c>
      <c r="B84" s="49">
        <v>600</v>
      </c>
      <c r="C84" s="17" t="s">
        <v>292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22089</v>
      </c>
      <c r="B85" s="49">
        <v>400</v>
      </c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22090</v>
      </c>
      <c r="B86" s="49">
        <v>1200</v>
      </c>
      <c r="C86" s="17" t="s">
        <v>262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/>
      <c r="B87" s="49"/>
      <c r="C87" s="17" t="s">
        <v>25</v>
      </c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22091</v>
      </c>
      <c r="B88" s="49">
        <v>500</v>
      </c>
      <c r="C88" s="17" t="s">
        <v>298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22092</v>
      </c>
      <c r="B89" s="49">
        <v>500</v>
      </c>
      <c r="C89" s="17" t="s">
        <v>298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22093</v>
      </c>
      <c r="B90" s="49">
        <v>500</v>
      </c>
      <c r="C90" s="17" t="s">
        <v>292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/>
      <c r="B91" s="49"/>
      <c r="C91" s="17" t="s">
        <v>298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/>
      <c r="B92" s="49"/>
      <c r="C92" s="17"/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/>
      <c r="B94" s="49"/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/>
      <c r="B96" s="49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64"/>
      <c r="B111" s="64"/>
      <c r="C111" s="65"/>
      <c r="D111" s="64"/>
      <c r="E111" s="65"/>
      <c r="F111" s="65"/>
      <c r="G111" s="64"/>
      <c r="H111" s="65"/>
      <c r="I111" s="65"/>
      <c r="J111" s="64"/>
      <c r="K111" s="65"/>
      <c r="L111" s="65"/>
      <c r="M111" s="64"/>
      <c r="N111" s="65"/>
      <c r="O111" s="65"/>
    </row>
    <row r="112" spans="1:15" x14ac:dyDescent="0.25">
      <c r="A112" s="64"/>
      <c r="B112" s="64"/>
      <c r="C112" s="65"/>
      <c r="D112" s="64"/>
      <c r="E112" s="65"/>
      <c r="F112" s="65"/>
      <c r="G112" s="64"/>
      <c r="H112" s="65"/>
      <c r="I112" s="65"/>
      <c r="J112" s="64"/>
      <c r="K112" s="65"/>
      <c r="L112" s="65"/>
      <c r="M112" s="64"/>
      <c r="N112" s="65"/>
      <c r="O112" s="65"/>
    </row>
    <row r="113" spans="1:15" x14ac:dyDescent="0.25">
      <c r="A113" s="64"/>
      <c r="B113" s="64"/>
      <c r="C113" s="65"/>
      <c r="D113" s="64"/>
      <c r="E113" s="65"/>
      <c r="F113" s="65"/>
      <c r="G113" s="64"/>
      <c r="H113" s="65"/>
      <c r="I113" s="65"/>
      <c r="J113" s="64"/>
      <c r="K113" s="65"/>
      <c r="L113" s="65"/>
      <c r="M113" s="64"/>
      <c r="N113" s="65"/>
      <c r="O113" s="65"/>
    </row>
    <row r="114" spans="1:15" x14ac:dyDescent="0.25">
      <c r="A114" s="64"/>
      <c r="B114" s="64"/>
      <c r="C114" s="65"/>
      <c r="D114" s="64"/>
      <c r="E114" s="65"/>
      <c r="F114" s="65"/>
      <c r="G114" s="64"/>
      <c r="H114" s="65"/>
      <c r="I114" s="65"/>
      <c r="J114" s="64"/>
      <c r="K114" s="65"/>
      <c r="L114" s="65"/>
      <c r="M114" s="64"/>
      <c r="N114" s="65"/>
      <c r="O114" s="65"/>
    </row>
    <row r="115" spans="1:15" x14ac:dyDescent="0.25">
      <c r="A115" s="64"/>
      <c r="B115" s="64"/>
      <c r="C115" s="65"/>
      <c r="D115" s="64"/>
      <c r="E115" s="65"/>
      <c r="F115" s="65"/>
      <c r="G115" s="64"/>
      <c r="H115" s="65"/>
      <c r="I115" s="65"/>
      <c r="J115" s="64"/>
      <c r="K115" s="65"/>
      <c r="L115" s="65"/>
      <c r="M115" s="64"/>
      <c r="N115" s="65"/>
      <c r="O115" s="65"/>
    </row>
    <row r="116" spans="1:15" x14ac:dyDescent="0.25">
      <c r="A116" s="64"/>
      <c r="B116" s="64"/>
      <c r="C116" s="65"/>
      <c r="D116" s="64"/>
      <c r="E116" s="65"/>
      <c r="F116" s="65"/>
      <c r="G116" s="64"/>
      <c r="H116" s="65"/>
      <c r="I116" s="65"/>
      <c r="J116" s="64"/>
      <c r="K116" s="65"/>
      <c r="L116" s="65"/>
      <c r="M116" s="64"/>
      <c r="N116" s="65"/>
      <c r="O116" s="65"/>
    </row>
    <row r="117" spans="1:15" x14ac:dyDescent="0.25">
      <c r="A117" s="64"/>
      <c r="B117" s="64"/>
      <c r="C117" s="65"/>
      <c r="D117" s="64"/>
      <c r="E117" s="65"/>
      <c r="F117" s="65"/>
      <c r="G117" s="64"/>
      <c r="H117" s="65"/>
      <c r="I117" s="65"/>
      <c r="J117" s="64"/>
      <c r="K117" s="65"/>
      <c r="L117" s="65"/>
      <c r="M117" s="64"/>
      <c r="N117" s="65"/>
      <c r="O117" s="65"/>
    </row>
    <row r="118" spans="1:15" x14ac:dyDescent="0.25">
      <c r="A118" s="64"/>
      <c r="B118" s="64"/>
      <c r="C118" s="65"/>
      <c r="D118" s="64"/>
      <c r="E118" s="65"/>
      <c r="F118" s="65"/>
      <c r="G118" s="64"/>
      <c r="H118" s="65"/>
      <c r="I118" s="65"/>
      <c r="J118" s="64"/>
      <c r="K118" s="65"/>
      <c r="L118" s="65"/>
      <c r="M118" s="64"/>
      <c r="N118" s="65"/>
      <c r="O118" s="65"/>
    </row>
    <row r="119" spans="1:15" x14ac:dyDescent="0.25">
      <c r="A119" s="64"/>
      <c r="B119" s="64"/>
      <c r="C119" s="65"/>
      <c r="D119" s="64"/>
      <c r="E119" s="65"/>
      <c r="F119" s="65"/>
      <c r="G119" s="64"/>
      <c r="H119" s="65"/>
      <c r="I119" s="65"/>
      <c r="J119" s="64"/>
      <c r="K119" s="65"/>
      <c r="L119" s="65"/>
      <c r="M119" s="64"/>
      <c r="N119" s="65"/>
      <c r="O119" s="65"/>
    </row>
    <row r="120" spans="1:15" x14ac:dyDescent="0.25">
      <c r="A120" s="64"/>
      <c r="B120" s="64"/>
      <c r="C120" s="65"/>
      <c r="D120" s="64"/>
      <c r="E120" s="65"/>
      <c r="F120" s="65"/>
      <c r="G120" s="64"/>
      <c r="H120" s="65"/>
      <c r="I120" s="65"/>
      <c r="J120" s="64"/>
      <c r="K120" s="65"/>
      <c r="L120" s="65"/>
      <c r="M120" s="64"/>
      <c r="N120" s="65"/>
      <c r="O120" s="65"/>
    </row>
    <row r="121" spans="1:15" x14ac:dyDescent="0.25">
      <c r="A121" s="64"/>
      <c r="B121" s="64"/>
      <c r="C121" s="65"/>
      <c r="D121" s="64"/>
      <c r="E121" s="65"/>
      <c r="F121" s="65"/>
      <c r="G121" s="64"/>
      <c r="H121" s="65"/>
      <c r="I121" s="65"/>
      <c r="J121" s="64"/>
      <c r="K121" s="65"/>
      <c r="L121" s="65"/>
      <c r="M121" s="64"/>
      <c r="N121" s="65"/>
      <c r="O121" s="65"/>
    </row>
    <row r="122" spans="1:15" x14ac:dyDescent="0.25">
      <c r="A122" s="64"/>
      <c r="B122" s="64"/>
      <c r="C122" s="65"/>
      <c r="D122" s="64"/>
      <c r="E122" s="65"/>
      <c r="F122" s="65"/>
      <c r="G122" s="64"/>
      <c r="H122" s="65"/>
      <c r="I122" s="65"/>
      <c r="J122" s="64"/>
      <c r="K122" s="65"/>
      <c r="L122" s="65"/>
      <c r="M122" s="64"/>
      <c r="N122" s="65"/>
      <c r="O122" s="65"/>
    </row>
    <row r="123" spans="1:15" x14ac:dyDescent="0.25">
      <c r="A123" s="64"/>
      <c r="B123" s="64"/>
      <c r="C123" s="65"/>
      <c r="D123" s="64"/>
      <c r="E123" s="65"/>
      <c r="F123" s="65"/>
      <c r="G123" s="64"/>
      <c r="H123" s="65"/>
      <c r="I123" s="65"/>
      <c r="J123" s="64"/>
      <c r="K123" s="65"/>
      <c r="L123" s="65"/>
      <c r="M123" s="64"/>
      <c r="N123" s="65"/>
      <c r="O123" s="65"/>
    </row>
    <row r="124" spans="1:15" x14ac:dyDescent="0.25">
      <c r="A124" s="64"/>
      <c r="B124" s="64"/>
      <c r="C124" s="65"/>
      <c r="D124" s="64"/>
      <c r="E124" s="65"/>
      <c r="F124" s="65"/>
      <c r="G124" s="64"/>
      <c r="H124" s="65"/>
      <c r="I124" s="65"/>
      <c r="J124" s="64"/>
      <c r="K124" s="65"/>
      <c r="L124" s="65"/>
      <c r="M124" s="64"/>
      <c r="N124" s="65"/>
      <c r="O124" s="65"/>
    </row>
    <row r="125" spans="1:15" x14ac:dyDescent="0.25">
      <c r="A125" s="64"/>
      <c r="B125" s="64"/>
      <c r="C125" s="65"/>
      <c r="D125" s="64"/>
      <c r="E125" s="65"/>
      <c r="F125" s="65"/>
      <c r="G125" s="64"/>
      <c r="H125" s="65"/>
      <c r="I125" s="65"/>
      <c r="J125" s="64"/>
      <c r="K125" s="65"/>
      <c r="L125" s="65"/>
      <c r="M125" s="64"/>
      <c r="N125" s="65"/>
      <c r="O125" s="65"/>
    </row>
    <row r="126" spans="1:15" x14ac:dyDescent="0.25">
      <c r="A126" s="64"/>
      <c r="B126" s="64"/>
      <c r="C126" s="65"/>
      <c r="D126" s="64"/>
      <c r="E126" s="65"/>
      <c r="F126" s="65"/>
      <c r="G126" s="64"/>
      <c r="H126" s="65"/>
      <c r="I126" s="65"/>
      <c r="J126" s="64"/>
      <c r="K126" s="65"/>
      <c r="L126" s="65"/>
      <c r="M126" s="64"/>
      <c r="N126" s="65"/>
      <c r="O126" s="65"/>
    </row>
    <row r="127" spans="1:15" x14ac:dyDescent="0.25">
      <c r="A127" s="64"/>
      <c r="B127" s="64"/>
      <c r="C127" s="65"/>
      <c r="D127" s="64"/>
      <c r="E127" s="65"/>
      <c r="F127" s="65"/>
      <c r="G127" s="64"/>
      <c r="H127" s="65"/>
      <c r="I127" s="65"/>
      <c r="J127" s="64"/>
      <c r="K127" s="65"/>
      <c r="L127" s="65"/>
      <c r="M127" s="64"/>
      <c r="N127" s="65"/>
      <c r="O127" s="65"/>
    </row>
    <row r="128" spans="1:15" x14ac:dyDescent="0.25">
      <c r="A128" s="64"/>
      <c r="B128" s="64"/>
      <c r="C128" s="65"/>
      <c r="D128" s="64"/>
      <c r="E128" s="65"/>
      <c r="F128" s="65"/>
      <c r="G128" s="64"/>
      <c r="H128" s="65"/>
      <c r="I128" s="65"/>
      <c r="J128" s="64"/>
      <c r="K128" s="65"/>
      <c r="L128" s="65"/>
      <c r="M128" s="64"/>
      <c r="N128" s="65"/>
      <c r="O128" s="65"/>
    </row>
    <row r="129" spans="1:15" x14ac:dyDescent="0.25">
      <c r="A129" s="64"/>
      <c r="B129" s="64"/>
      <c r="C129" s="65"/>
      <c r="D129" s="64"/>
      <c r="E129" s="65"/>
      <c r="F129" s="65"/>
      <c r="G129" s="64"/>
      <c r="H129" s="65"/>
      <c r="I129" s="65"/>
      <c r="J129" s="64"/>
      <c r="K129" s="65"/>
      <c r="L129" s="65"/>
      <c r="M129" s="64"/>
      <c r="N129" s="65"/>
      <c r="O129" s="65"/>
    </row>
    <row r="130" spans="1:15" x14ac:dyDescent="0.25">
      <c r="A130" s="64"/>
      <c r="B130" s="64"/>
      <c r="C130" s="65"/>
      <c r="D130" s="64"/>
      <c r="E130" s="65"/>
      <c r="F130" s="65"/>
      <c r="G130" s="64"/>
      <c r="H130" s="65"/>
      <c r="I130" s="65"/>
      <c r="J130" s="64"/>
      <c r="K130" s="65"/>
      <c r="L130" s="65"/>
      <c r="M130" s="64"/>
      <c r="N130" s="65"/>
      <c r="O130" s="65"/>
    </row>
    <row r="131" spans="1:15" x14ac:dyDescent="0.25">
      <c r="A131" s="64"/>
      <c r="B131" s="64"/>
      <c r="C131" s="65"/>
      <c r="D131" s="64"/>
      <c r="E131" s="65"/>
      <c r="F131" s="65"/>
      <c r="G131" s="64"/>
      <c r="H131" s="65"/>
      <c r="I131" s="65"/>
      <c r="J131" s="64"/>
      <c r="K131" s="65"/>
      <c r="L131" s="65"/>
      <c r="M131" s="64"/>
      <c r="N131" s="65"/>
      <c r="O131" s="65"/>
    </row>
    <row r="132" spans="1:15" x14ac:dyDescent="0.25">
      <c r="A132" s="64"/>
      <c r="B132" s="64"/>
      <c r="C132" s="65"/>
      <c r="D132" s="64"/>
      <c r="E132" s="65"/>
      <c r="F132" s="65"/>
      <c r="G132" s="64"/>
      <c r="H132" s="65"/>
      <c r="I132" s="65"/>
      <c r="J132" s="64"/>
      <c r="K132" s="65"/>
      <c r="L132" s="65"/>
      <c r="M132" s="64"/>
      <c r="N132" s="65"/>
      <c r="O132" s="65"/>
    </row>
    <row r="133" spans="1:15" x14ac:dyDescent="0.25">
      <c r="A133" s="64"/>
      <c r="B133" s="64"/>
      <c r="C133" s="65"/>
      <c r="D133" s="64"/>
      <c r="E133" s="65"/>
      <c r="F133" s="65"/>
      <c r="G133" s="64"/>
      <c r="H133" s="65"/>
      <c r="I133" s="65"/>
      <c r="J133" s="64"/>
      <c r="K133" s="65"/>
      <c r="L133" s="65"/>
      <c r="M133" s="64"/>
      <c r="N133" s="65"/>
      <c r="O133" s="65"/>
    </row>
    <row r="134" spans="1:15" x14ac:dyDescent="0.25">
      <c r="A134" s="64"/>
      <c r="B134" s="64"/>
      <c r="C134" s="65"/>
      <c r="D134" s="64"/>
      <c r="E134" s="65"/>
      <c r="F134" s="65"/>
      <c r="G134" s="64"/>
      <c r="H134" s="65"/>
      <c r="I134" s="65"/>
      <c r="J134" s="64"/>
      <c r="K134" s="65"/>
      <c r="L134" s="65"/>
      <c r="M134" s="64"/>
      <c r="N134" s="65"/>
      <c r="O134" s="65"/>
    </row>
    <row r="135" spans="1:15" x14ac:dyDescent="0.25">
      <c r="A135" s="64"/>
      <c r="B135" s="64"/>
      <c r="C135" s="65"/>
      <c r="D135" s="64"/>
      <c r="E135" s="65"/>
      <c r="F135" s="65"/>
      <c r="G135" s="64"/>
      <c r="H135" s="65"/>
      <c r="I135" s="65"/>
      <c r="J135" s="64"/>
      <c r="K135" s="65"/>
      <c r="L135" s="65"/>
      <c r="M135" s="64"/>
      <c r="N135" s="65"/>
      <c r="O135" s="65"/>
    </row>
    <row r="136" spans="1:15" x14ac:dyDescent="0.25">
      <c r="A136" s="64"/>
      <c r="B136" s="64"/>
      <c r="C136" s="65"/>
      <c r="D136" s="64"/>
      <c r="E136" s="65"/>
      <c r="F136" s="65"/>
      <c r="G136" s="64"/>
      <c r="H136" s="65"/>
      <c r="I136" s="65"/>
      <c r="J136" s="64"/>
      <c r="K136" s="65"/>
      <c r="L136" s="65"/>
      <c r="M136" s="64"/>
      <c r="N136" s="65"/>
      <c r="O136" s="65"/>
    </row>
    <row r="137" spans="1:15" x14ac:dyDescent="0.25">
      <c r="A137" s="64"/>
      <c r="B137" s="64"/>
      <c r="C137" s="65"/>
      <c r="D137" s="64"/>
      <c r="E137" s="65"/>
      <c r="F137" s="65"/>
      <c r="G137" s="64"/>
      <c r="H137" s="65"/>
      <c r="I137" s="65"/>
      <c r="J137" s="64"/>
      <c r="K137" s="65"/>
      <c r="L137" s="65"/>
      <c r="M137" s="64"/>
      <c r="N137" s="65"/>
      <c r="O137" s="65"/>
    </row>
    <row r="138" spans="1:15" x14ac:dyDescent="0.25">
      <c r="A138" s="64"/>
      <c r="B138" s="64"/>
      <c r="C138" s="65"/>
      <c r="D138" s="64"/>
      <c r="E138" s="65"/>
      <c r="F138" s="65"/>
      <c r="G138" s="64"/>
      <c r="H138" s="65"/>
      <c r="I138" s="65"/>
      <c r="J138" s="64"/>
      <c r="K138" s="65"/>
      <c r="L138" s="65"/>
      <c r="M138" s="64"/>
      <c r="N138" s="65"/>
      <c r="O138" s="65"/>
    </row>
    <row r="139" spans="1:15" x14ac:dyDescent="0.25">
      <c r="A139" s="64"/>
      <c r="B139" s="64"/>
      <c r="C139" s="65"/>
      <c r="D139" s="64"/>
      <c r="E139" s="65"/>
      <c r="F139" s="65"/>
      <c r="G139" s="64"/>
      <c r="H139" s="65"/>
      <c r="I139" s="65"/>
      <c r="J139" s="64"/>
      <c r="K139" s="65"/>
      <c r="L139" s="65"/>
      <c r="M139" s="64"/>
      <c r="N139" s="65"/>
      <c r="O139" s="65"/>
    </row>
    <row r="140" spans="1:15" x14ac:dyDescent="0.25">
      <c r="A140" s="64"/>
      <c r="B140" s="64"/>
      <c r="C140" s="65"/>
      <c r="D140" s="64"/>
      <c r="E140" s="65"/>
      <c r="F140" s="65"/>
      <c r="G140" s="64"/>
      <c r="H140" s="65"/>
      <c r="I140" s="65"/>
      <c r="J140" s="64"/>
      <c r="K140" s="65"/>
      <c r="L140" s="65"/>
      <c r="M140" s="64"/>
      <c r="N140" s="65"/>
      <c r="O140" s="65"/>
    </row>
    <row r="141" spans="1:15" x14ac:dyDescent="0.25">
      <c r="A141" s="64"/>
      <c r="B141" s="64"/>
      <c r="C141" s="65"/>
      <c r="D141" s="64"/>
      <c r="E141" s="65"/>
      <c r="F141" s="65"/>
      <c r="G141" s="64"/>
      <c r="H141" s="65"/>
      <c r="I141" s="65"/>
      <c r="J141" s="64"/>
      <c r="K141" s="65"/>
      <c r="L141" s="65"/>
      <c r="M141" s="64"/>
      <c r="N141" s="65"/>
      <c r="O141" s="65"/>
    </row>
    <row r="142" spans="1:15" x14ac:dyDescent="0.25">
      <c r="A142" s="64"/>
      <c r="B142" s="64"/>
      <c r="C142" s="65"/>
      <c r="D142" s="64"/>
      <c r="E142" s="65"/>
      <c r="F142" s="65"/>
      <c r="G142" s="64"/>
      <c r="H142" s="65"/>
      <c r="I142" s="65"/>
      <c r="J142" s="64"/>
      <c r="K142" s="65"/>
      <c r="L142" s="65"/>
      <c r="M142" s="64"/>
      <c r="N142" s="65"/>
      <c r="O142" s="65"/>
    </row>
    <row r="143" spans="1:15" x14ac:dyDescent="0.25">
      <c r="A143" s="64"/>
      <c r="B143" s="64"/>
      <c r="C143" s="65"/>
      <c r="D143" s="64"/>
      <c r="E143" s="65"/>
      <c r="F143" s="65"/>
      <c r="G143" s="64"/>
      <c r="H143" s="65"/>
      <c r="I143" s="65"/>
      <c r="J143" s="64"/>
      <c r="K143" s="65"/>
      <c r="L143" s="65"/>
      <c r="M143" s="64"/>
      <c r="N143" s="65"/>
      <c r="O143" s="65"/>
    </row>
    <row r="144" spans="1:15" x14ac:dyDescent="0.25">
      <c r="A144" s="64"/>
      <c r="B144" s="64"/>
      <c r="C144" s="65"/>
      <c r="D144" s="64"/>
      <c r="E144" s="65"/>
      <c r="F144" s="65"/>
      <c r="G144" s="64"/>
      <c r="H144" s="65"/>
      <c r="I144" s="65"/>
      <c r="J144" s="64"/>
      <c r="K144" s="65"/>
      <c r="L144" s="65"/>
      <c r="M144" s="64"/>
      <c r="N144" s="65"/>
      <c r="O144" s="65"/>
    </row>
    <row r="145" spans="1:15" x14ac:dyDescent="0.25">
      <c r="A145" s="64"/>
      <c r="B145" s="64"/>
      <c r="C145" s="65"/>
      <c r="D145" s="64"/>
      <c r="E145" s="65"/>
      <c r="F145" s="65"/>
      <c r="G145" s="64"/>
      <c r="H145" s="65"/>
      <c r="I145" s="65"/>
      <c r="J145" s="64"/>
      <c r="K145" s="65"/>
      <c r="L145" s="65"/>
      <c r="M145" s="64"/>
      <c r="N145" s="65"/>
      <c r="O145" s="65"/>
    </row>
    <row r="146" spans="1:15" x14ac:dyDescent="0.25">
      <c r="A146" s="64"/>
      <c r="B146" s="64"/>
      <c r="C146" s="65"/>
      <c r="D146" s="64"/>
      <c r="E146" s="65"/>
      <c r="F146" s="65"/>
      <c r="G146" s="64"/>
      <c r="H146" s="65"/>
      <c r="I146" s="65"/>
      <c r="J146" s="64"/>
      <c r="K146" s="65"/>
      <c r="L146" s="65"/>
      <c r="M146" s="64"/>
      <c r="N146" s="65"/>
      <c r="O146" s="65"/>
    </row>
    <row r="147" spans="1:15" x14ac:dyDescent="0.25">
      <c r="A147" s="64"/>
      <c r="B147" s="64"/>
      <c r="C147" s="65"/>
      <c r="D147" s="64"/>
      <c r="E147" s="65"/>
      <c r="F147" s="65"/>
      <c r="G147" s="64"/>
      <c r="H147" s="65"/>
      <c r="I147" s="65"/>
      <c r="J147" s="64"/>
      <c r="K147" s="65"/>
      <c r="L147" s="65"/>
      <c r="M147" s="64"/>
      <c r="N147" s="65"/>
      <c r="O147" s="65"/>
    </row>
    <row r="148" spans="1:15" x14ac:dyDescent="0.25">
      <c r="A148" s="64"/>
      <c r="B148" s="64"/>
      <c r="C148" s="65"/>
      <c r="D148" s="64"/>
      <c r="E148" s="65"/>
      <c r="F148" s="65"/>
      <c r="G148" s="64"/>
      <c r="H148" s="65"/>
      <c r="I148" s="65"/>
      <c r="J148" s="64"/>
      <c r="K148" s="65"/>
      <c r="L148" s="65"/>
      <c r="M148" s="64"/>
      <c r="N148" s="65"/>
      <c r="O148" s="65"/>
    </row>
    <row r="149" spans="1:15" x14ac:dyDescent="0.25">
      <c r="A149" s="64"/>
      <c r="B149" s="64"/>
      <c r="C149" s="65"/>
      <c r="D149" s="64"/>
      <c r="E149" s="65"/>
      <c r="F149" s="65"/>
      <c r="G149" s="64"/>
      <c r="H149" s="65"/>
      <c r="I149" s="65"/>
      <c r="J149" s="64"/>
      <c r="K149" s="65"/>
      <c r="L149" s="65"/>
      <c r="M149" s="64"/>
      <c r="N149" s="65"/>
      <c r="O149" s="65"/>
    </row>
    <row r="150" spans="1:15" x14ac:dyDescent="0.25">
      <c r="A150" s="64"/>
      <c r="B150" s="64"/>
      <c r="C150" s="65"/>
      <c r="D150" s="64"/>
      <c r="E150" s="65"/>
      <c r="F150" s="65"/>
      <c r="G150" s="64"/>
      <c r="H150" s="65"/>
      <c r="I150" s="65"/>
      <c r="J150" s="64"/>
      <c r="K150" s="65"/>
      <c r="L150" s="65"/>
      <c r="M150" s="64"/>
      <c r="N150" s="65"/>
      <c r="O150" s="65"/>
    </row>
    <row r="151" spans="1:15" x14ac:dyDescent="0.25">
      <c r="A151" s="64"/>
      <c r="B151" s="64"/>
      <c r="C151" s="65"/>
      <c r="D151" s="64"/>
      <c r="E151" s="65"/>
      <c r="F151" s="65"/>
      <c r="G151" s="64"/>
      <c r="H151" s="65"/>
      <c r="I151" s="65"/>
      <c r="J151" s="64"/>
      <c r="K151" s="65"/>
      <c r="L151" s="65"/>
      <c r="M151" s="64"/>
      <c r="N151" s="65"/>
      <c r="O151" s="65"/>
    </row>
    <row r="152" spans="1:15" x14ac:dyDescent="0.25">
      <c r="A152" s="64"/>
      <c r="B152" s="64"/>
      <c r="C152" s="65"/>
      <c r="D152" s="64"/>
      <c r="E152" s="65"/>
      <c r="F152" s="65"/>
      <c r="G152" s="64"/>
      <c r="H152" s="65"/>
      <c r="I152" s="65"/>
      <c r="J152" s="64"/>
      <c r="K152" s="65"/>
      <c r="L152" s="65"/>
      <c r="M152" s="64"/>
      <c r="N152" s="65"/>
      <c r="O152" s="65"/>
    </row>
    <row r="153" spans="1:15" x14ac:dyDescent="0.25">
      <c r="A153" s="64"/>
      <c r="B153" s="64"/>
      <c r="C153" s="65"/>
      <c r="D153" s="64"/>
      <c r="E153" s="65"/>
      <c r="F153" s="65"/>
      <c r="G153" s="64"/>
      <c r="H153" s="65"/>
      <c r="I153" s="65"/>
      <c r="J153" s="64"/>
      <c r="K153" s="65"/>
      <c r="L153" s="65"/>
      <c r="M153" s="64"/>
      <c r="N153" s="65"/>
      <c r="O153" s="65"/>
    </row>
    <row r="154" spans="1:15" x14ac:dyDescent="0.25">
      <c r="A154" s="64"/>
      <c r="B154" s="64"/>
      <c r="C154" s="65"/>
      <c r="D154" s="64"/>
      <c r="E154" s="65"/>
      <c r="F154" s="65"/>
      <c r="G154" s="64"/>
      <c r="H154" s="65"/>
      <c r="I154" s="65"/>
      <c r="J154" s="64"/>
      <c r="K154" s="65"/>
      <c r="L154" s="65"/>
      <c r="M154" s="64"/>
      <c r="N154" s="65"/>
      <c r="O154" s="65"/>
    </row>
    <row r="155" spans="1:15" x14ac:dyDescent="0.25">
      <c r="A155" s="64"/>
      <c r="B155" s="64"/>
      <c r="C155" s="65"/>
      <c r="D155" s="64"/>
      <c r="E155" s="65"/>
      <c r="F155" s="65"/>
      <c r="G155" s="64"/>
      <c r="H155" s="65"/>
      <c r="I155" s="65"/>
      <c r="J155" s="64"/>
      <c r="K155" s="65"/>
      <c r="L155" s="65"/>
      <c r="M155" s="64"/>
      <c r="N155" s="65"/>
      <c r="O155" s="65"/>
    </row>
    <row r="156" spans="1:15" x14ac:dyDescent="0.25">
      <c r="A156" s="64"/>
      <c r="B156" s="64"/>
      <c r="C156" s="65"/>
      <c r="D156" s="64"/>
      <c r="E156" s="65"/>
      <c r="F156" s="65"/>
      <c r="G156" s="64"/>
      <c r="H156" s="65"/>
      <c r="I156" s="65"/>
      <c r="J156" s="64"/>
      <c r="K156" s="65"/>
      <c r="L156" s="65"/>
      <c r="M156" s="64"/>
      <c r="N156" s="65"/>
      <c r="O156" s="65"/>
    </row>
    <row r="157" spans="1:15" x14ac:dyDescent="0.25">
      <c r="A157" s="64"/>
      <c r="B157" s="64"/>
      <c r="C157" s="65"/>
      <c r="D157" s="64"/>
      <c r="E157" s="65"/>
      <c r="F157" s="65"/>
      <c r="G157" s="64"/>
      <c r="H157" s="65"/>
      <c r="I157" s="65"/>
      <c r="J157" s="64"/>
      <c r="K157" s="65"/>
      <c r="L157" s="65"/>
      <c r="M157" s="64"/>
      <c r="N157" s="65"/>
      <c r="O157" s="65"/>
    </row>
    <row r="158" spans="1:15" x14ac:dyDescent="0.25">
      <c r="A158" s="64"/>
      <c r="B158" s="64"/>
      <c r="C158" s="65"/>
      <c r="D158" s="64"/>
      <c r="E158" s="65"/>
      <c r="F158" s="65"/>
      <c r="G158" s="64"/>
      <c r="H158" s="65"/>
      <c r="I158" s="65"/>
      <c r="J158" s="64"/>
      <c r="K158" s="65"/>
      <c r="L158" s="65"/>
      <c r="M158" s="64"/>
      <c r="N158" s="65"/>
      <c r="O158" s="65"/>
    </row>
    <row r="159" spans="1:15" x14ac:dyDescent="0.25">
      <c r="A159" s="64"/>
      <c r="B159" s="64"/>
      <c r="C159" s="65"/>
      <c r="D159" s="64"/>
      <c r="E159" s="65"/>
      <c r="F159" s="65"/>
      <c r="G159" s="64"/>
      <c r="H159" s="65"/>
      <c r="I159" s="65"/>
      <c r="J159" s="64"/>
      <c r="K159" s="65"/>
      <c r="L159" s="65"/>
      <c r="M159" s="64"/>
      <c r="N159" s="65"/>
      <c r="O159" s="65"/>
    </row>
    <row r="160" spans="1:15" x14ac:dyDescent="0.25">
      <c r="A160" s="64"/>
      <c r="B160" s="64"/>
      <c r="C160" s="65"/>
      <c r="D160" s="64"/>
      <c r="E160" s="65"/>
      <c r="F160" s="65"/>
      <c r="G160" s="64"/>
      <c r="H160" s="65"/>
      <c r="I160" s="65"/>
      <c r="J160" s="64"/>
      <c r="K160" s="65"/>
      <c r="L160" s="65"/>
      <c r="M160" s="64"/>
      <c r="N160" s="65"/>
      <c r="O160" s="65"/>
    </row>
    <row r="161" spans="1:15" x14ac:dyDescent="0.25">
      <c r="A161" s="64"/>
      <c r="B161" s="64"/>
      <c r="C161" s="65"/>
      <c r="D161" s="64"/>
      <c r="E161" s="65"/>
      <c r="F161" s="65"/>
      <c r="G161" s="64"/>
      <c r="H161" s="65"/>
      <c r="I161" s="65"/>
      <c r="J161" s="64"/>
      <c r="K161" s="65"/>
      <c r="L161" s="65"/>
      <c r="M161" s="64"/>
      <c r="N161" s="65"/>
      <c r="O161" s="65"/>
    </row>
    <row r="162" spans="1:15" x14ac:dyDescent="0.25">
      <c r="A162" s="64"/>
      <c r="B162" s="64"/>
      <c r="C162" s="65"/>
      <c r="D162" s="64"/>
      <c r="E162" s="65"/>
      <c r="F162" s="65"/>
      <c r="G162" s="64"/>
      <c r="H162" s="65"/>
      <c r="I162" s="65"/>
      <c r="J162" s="64"/>
      <c r="K162" s="65"/>
      <c r="L162" s="65"/>
      <c r="M162" s="64"/>
      <c r="N162" s="65"/>
      <c r="O162" s="65"/>
    </row>
    <row r="163" spans="1:15" x14ac:dyDescent="0.25">
      <c r="A163" s="64"/>
      <c r="B163" s="64"/>
      <c r="C163" s="65"/>
      <c r="D163" s="64"/>
      <c r="E163" s="65"/>
      <c r="F163" s="65"/>
      <c r="G163" s="64"/>
      <c r="H163" s="65"/>
      <c r="I163" s="65"/>
      <c r="J163" s="64"/>
      <c r="K163" s="65"/>
      <c r="L163" s="65"/>
      <c r="M163" s="64"/>
      <c r="N163" s="65"/>
      <c r="O163" s="65"/>
    </row>
    <row r="164" spans="1:15" x14ac:dyDescent="0.25">
      <c r="A164" s="64"/>
      <c r="B164" s="64"/>
      <c r="C164" s="65"/>
      <c r="D164" s="64"/>
      <c r="E164" s="65"/>
      <c r="F164" s="65"/>
      <c r="G164" s="64"/>
      <c r="H164" s="65"/>
      <c r="I164" s="65"/>
      <c r="J164" s="64"/>
      <c r="K164" s="65"/>
      <c r="L164" s="65"/>
      <c r="M164" s="64"/>
      <c r="N164" s="65"/>
      <c r="O164" s="65"/>
    </row>
    <row r="165" spans="1:15" x14ac:dyDescent="0.25">
      <c r="A165" s="64"/>
      <c r="B165" s="64"/>
      <c r="C165" s="65"/>
      <c r="D165" s="64"/>
      <c r="E165" s="65"/>
      <c r="F165" s="65"/>
      <c r="G165" s="64"/>
      <c r="H165" s="65"/>
      <c r="I165" s="65"/>
      <c r="J165" s="64"/>
      <c r="K165" s="65"/>
      <c r="L165" s="65"/>
      <c r="M165" s="64"/>
      <c r="N165" s="65"/>
      <c r="O165" s="65"/>
    </row>
    <row r="166" spans="1:15" x14ac:dyDescent="0.25">
      <c r="A166" s="64"/>
      <c r="B166" s="64"/>
      <c r="C166" s="65"/>
      <c r="D166" s="64"/>
      <c r="E166" s="65"/>
      <c r="F166" s="65"/>
      <c r="G166" s="64"/>
      <c r="H166" s="65"/>
      <c r="I166" s="65"/>
      <c r="J166" s="64"/>
      <c r="K166" s="65"/>
      <c r="L166" s="65"/>
      <c r="M166" s="64"/>
      <c r="N166" s="65"/>
      <c r="O166" s="65"/>
    </row>
    <row r="167" spans="1:15" x14ac:dyDescent="0.25">
      <c r="A167" s="64"/>
      <c r="B167" s="64"/>
      <c r="C167" s="65"/>
      <c r="D167" s="64"/>
      <c r="E167" s="65"/>
      <c r="F167" s="65"/>
      <c r="G167" s="64"/>
      <c r="H167" s="65"/>
      <c r="I167" s="65"/>
      <c r="J167" s="64"/>
      <c r="K167" s="65"/>
      <c r="L167" s="65"/>
      <c r="M167" s="64"/>
      <c r="N167" s="65"/>
      <c r="O167" s="65"/>
    </row>
    <row r="168" spans="1:15" x14ac:dyDescent="0.25">
      <c r="A168" s="64"/>
      <c r="B168" s="64"/>
      <c r="C168" s="65"/>
      <c r="D168" s="64"/>
      <c r="E168" s="65"/>
      <c r="F168" s="65"/>
      <c r="G168" s="64"/>
      <c r="H168" s="65"/>
      <c r="I168" s="65"/>
      <c r="J168" s="64"/>
      <c r="K168" s="65"/>
      <c r="L168" s="65"/>
      <c r="M168" s="64"/>
      <c r="N168" s="65"/>
      <c r="O168" s="65"/>
    </row>
    <row r="169" spans="1:15" x14ac:dyDescent="0.25">
      <c r="A169" s="64"/>
      <c r="B169" s="64"/>
      <c r="C169" s="65"/>
      <c r="D169" s="64"/>
      <c r="E169" s="65"/>
      <c r="F169" s="65"/>
      <c r="G169" s="64"/>
      <c r="H169" s="65"/>
      <c r="I169" s="65"/>
      <c r="J169" s="64"/>
      <c r="K169" s="65"/>
      <c r="L169" s="65"/>
      <c r="M169" s="64"/>
      <c r="N169" s="65"/>
      <c r="O169" s="65"/>
    </row>
    <row r="170" spans="1:15" x14ac:dyDescent="0.25">
      <c r="A170" s="64"/>
      <c r="B170" s="64"/>
      <c r="C170" s="65"/>
      <c r="D170" s="64"/>
      <c r="E170" s="65"/>
      <c r="F170" s="65"/>
      <c r="G170" s="64"/>
      <c r="H170" s="65"/>
      <c r="I170" s="65"/>
      <c r="J170" s="64"/>
      <c r="K170" s="65"/>
      <c r="L170" s="65"/>
      <c r="M170" s="64"/>
      <c r="N170" s="65"/>
      <c r="O170" s="65"/>
    </row>
    <row r="171" spans="1:15" x14ac:dyDescent="0.25">
      <c r="A171" s="64"/>
      <c r="B171" s="64"/>
      <c r="C171" s="65"/>
      <c r="D171" s="64"/>
      <c r="E171" s="65"/>
      <c r="F171" s="65"/>
      <c r="G171" s="64"/>
      <c r="H171" s="65"/>
      <c r="I171" s="65"/>
      <c r="J171" s="64"/>
      <c r="K171" s="65"/>
      <c r="L171" s="65"/>
      <c r="M171" s="64"/>
      <c r="N171" s="65"/>
      <c r="O171" s="65"/>
    </row>
    <row r="172" spans="1:15" x14ac:dyDescent="0.25">
      <c r="A172" s="64"/>
      <c r="B172" s="64"/>
      <c r="C172" s="65"/>
      <c r="D172" s="64"/>
      <c r="E172" s="65"/>
      <c r="F172" s="65"/>
      <c r="G172" s="64"/>
      <c r="H172" s="65"/>
      <c r="I172" s="65"/>
      <c r="J172" s="64"/>
      <c r="K172" s="65"/>
      <c r="L172" s="65"/>
      <c r="M172" s="64"/>
      <c r="N172" s="65"/>
      <c r="O172" s="65"/>
    </row>
    <row r="173" spans="1:15" x14ac:dyDescent="0.25">
      <c r="A173" s="64"/>
      <c r="B173" s="64"/>
      <c r="C173" s="65"/>
      <c r="D173" s="64"/>
      <c r="E173" s="65"/>
      <c r="F173" s="65"/>
      <c r="G173" s="64"/>
      <c r="H173" s="65"/>
      <c r="I173" s="65"/>
      <c r="J173" s="64"/>
      <c r="K173" s="65"/>
      <c r="L173" s="65"/>
      <c r="M173" s="64"/>
      <c r="N173" s="65"/>
      <c r="O173" s="65"/>
    </row>
    <row r="174" spans="1:15" x14ac:dyDescent="0.25">
      <c r="A174" s="64"/>
      <c r="B174" s="64"/>
      <c r="C174" s="65"/>
      <c r="D174" s="64"/>
      <c r="E174" s="65"/>
      <c r="F174" s="65"/>
      <c r="G174" s="64"/>
      <c r="H174" s="65"/>
      <c r="I174" s="65"/>
      <c r="J174" s="64"/>
      <c r="K174" s="65"/>
      <c r="L174" s="65"/>
      <c r="M174" s="64"/>
      <c r="N174" s="65"/>
      <c r="O174" s="65"/>
    </row>
    <row r="175" spans="1:15" x14ac:dyDescent="0.25">
      <c r="A175" s="64"/>
      <c r="B175" s="64"/>
      <c r="C175" s="65"/>
      <c r="D175" s="64"/>
      <c r="E175" s="65"/>
      <c r="F175" s="65"/>
      <c r="G175" s="64"/>
      <c r="H175" s="65"/>
      <c r="I175" s="65"/>
      <c r="J175" s="64"/>
      <c r="K175" s="65"/>
      <c r="L175" s="65"/>
      <c r="M175" s="64"/>
      <c r="N175" s="65"/>
      <c r="O175" s="65"/>
    </row>
    <row r="176" spans="1:15" x14ac:dyDescent="0.25">
      <c r="A176" s="64"/>
      <c r="B176" s="64"/>
      <c r="C176" s="65"/>
      <c r="D176" s="64"/>
      <c r="E176" s="65"/>
      <c r="F176" s="65"/>
      <c r="G176" s="64"/>
      <c r="H176" s="65"/>
      <c r="I176" s="65"/>
      <c r="J176" s="64"/>
      <c r="K176" s="65"/>
      <c r="L176" s="65"/>
      <c r="M176" s="64"/>
      <c r="N176" s="65"/>
      <c r="O176" s="65"/>
    </row>
    <row r="177" spans="1:15" x14ac:dyDescent="0.25">
      <c r="A177" s="64"/>
      <c r="B177" s="64"/>
      <c r="C177" s="65"/>
      <c r="D177" s="64"/>
      <c r="E177" s="65"/>
      <c r="F177" s="65"/>
      <c r="G177" s="64"/>
      <c r="H177" s="65"/>
      <c r="I177" s="65"/>
      <c r="J177" s="64"/>
      <c r="K177" s="65"/>
      <c r="L177" s="65"/>
      <c r="M177" s="64"/>
      <c r="N177" s="65"/>
      <c r="O177" s="65"/>
    </row>
    <row r="178" spans="1:15" x14ac:dyDescent="0.25">
      <c r="A178" s="64"/>
      <c r="B178" s="64"/>
      <c r="C178" s="65"/>
      <c r="D178" s="64"/>
      <c r="E178" s="65"/>
      <c r="F178" s="65"/>
      <c r="G178" s="64"/>
      <c r="H178" s="65"/>
      <c r="I178" s="65"/>
      <c r="J178" s="64"/>
      <c r="K178" s="65"/>
      <c r="L178" s="65"/>
      <c r="M178" s="64"/>
      <c r="N178" s="65"/>
      <c r="O178" s="65"/>
    </row>
    <row r="179" spans="1:15" x14ac:dyDescent="0.25">
      <c r="A179" s="64"/>
      <c r="B179" s="64"/>
      <c r="C179" s="65"/>
      <c r="D179" s="64"/>
      <c r="E179" s="65"/>
      <c r="F179" s="65"/>
      <c r="G179" s="64"/>
      <c r="H179" s="65"/>
      <c r="I179" s="65"/>
      <c r="J179" s="64"/>
      <c r="K179" s="65"/>
      <c r="L179" s="65"/>
      <c r="M179" s="64"/>
      <c r="N179" s="65"/>
      <c r="O179" s="65"/>
    </row>
    <row r="180" spans="1:15" x14ac:dyDescent="0.25">
      <c r="A180" s="64"/>
      <c r="B180" s="64"/>
      <c r="C180" s="65"/>
      <c r="D180" s="64"/>
      <c r="E180" s="65"/>
      <c r="F180" s="65"/>
      <c r="G180" s="64"/>
      <c r="H180" s="65"/>
      <c r="I180" s="65"/>
      <c r="J180" s="64"/>
      <c r="K180" s="65"/>
      <c r="L180" s="65"/>
      <c r="M180" s="64"/>
      <c r="N180" s="65"/>
      <c r="O180" s="65"/>
    </row>
    <row r="181" spans="1:15" x14ac:dyDescent="0.25">
      <c r="A181" s="64"/>
      <c r="B181" s="64"/>
      <c r="C181" s="65"/>
      <c r="D181" s="64"/>
      <c r="E181" s="65"/>
      <c r="F181" s="65"/>
      <c r="G181" s="64"/>
      <c r="H181" s="65"/>
      <c r="I181" s="65"/>
      <c r="J181" s="64"/>
      <c r="K181" s="65"/>
      <c r="L181" s="65"/>
      <c r="M181" s="64"/>
      <c r="N181" s="65"/>
      <c r="O181" s="65"/>
    </row>
    <row r="182" spans="1:15" x14ac:dyDescent="0.25">
      <c r="A182" s="64"/>
      <c r="B182" s="64"/>
      <c r="C182" s="65"/>
      <c r="D182" s="64"/>
      <c r="E182" s="65"/>
      <c r="F182" s="65"/>
      <c r="G182" s="64"/>
      <c r="H182" s="65"/>
      <c r="I182" s="65"/>
      <c r="J182" s="64"/>
      <c r="K182" s="65"/>
      <c r="L182" s="65"/>
      <c r="M182" s="64"/>
      <c r="N182" s="65"/>
      <c r="O182" s="65"/>
    </row>
    <row r="183" spans="1:15" x14ac:dyDescent="0.25">
      <c r="A183" s="64"/>
      <c r="B183" s="64"/>
      <c r="C183" s="65"/>
      <c r="D183" s="64"/>
      <c r="E183" s="65"/>
      <c r="F183" s="65"/>
      <c r="G183" s="64"/>
      <c r="H183" s="65"/>
      <c r="I183" s="65"/>
      <c r="J183" s="64"/>
      <c r="K183" s="65"/>
      <c r="L183" s="65"/>
      <c r="M183" s="64"/>
      <c r="N183" s="65"/>
      <c r="O183" s="65"/>
    </row>
    <row r="184" spans="1:15" x14ac:dyDescent="0.25">
      <c r="A184" s="64"/>
      <c r="B184" s="64"/>
      <c r="C184" s="65"/>
      <c r="D184" s="64"/>
      <c r="E184" s="65"/>
      <c r="F184" s="65"/>
      <c r="G184" s="64"/>
      <c r="H184" s="65"/>
      <c r="I184" s="65"/>
      <c r="J184" s="64"/>
      <c r="K184" s="65"/>
      <c r="L184" s="65"/>
      <c r="M184" s="64"/>
      <c r="N184" s="65"/>
      <c r="O184" s="65"/>
    </row>
    <row r="185" spans="1:15" x14ac:dyDescent="0.25">
      <c r="A185" s="64"/>
      <c r="B185" s="64"/>
      <c r="C185" s="65"/>
      <c r="D185" s="64"/>
      <c r="E185" s="65"/>
      <c r="F185" s="65"/>
      <c r="G185" s="64"/>
      <c r="H185" s="65"/>
      <c r="I185" s="65"/>
      <c r="J185" s="64"/>
      <c r="K185" s="65"/>
      <c r="L185" s="65"/>
      <c r="M185" s="64"/>
      <c r="N185" s="65"/>
      <c r="O185" s="65"/>
    </row>
    <row r="186" spans="1:15" x14ac:dyDescent="0.25">
      <c r="A186" s="64"/>
      <c r="B186" s="64"/>
      <c r="C186" s="65"/>
      <c r="D186" s="64"/>
      <c r="E186" s="65"/>
      <c r="F186" s="65"/>
      <c r="G186" s="64"/>
      <c r="H186" s="65"/>
      <c r="I186" s="65"/>
      <c r="J186" s="64"/>
      <c r="K186" s="65"/>
      <c r="L186" s="65"/>
      <c r="M186" s="64"/>
      <c r="N186" s="65"/>
      <c r="O186" s="65"/>
    </row>
    <row r="187" spans="1:15" x14ac:dyDescent="0.25">
      <c r="A187" s="64"/>
      <c r="B187" s="64"/>
      <c r="C187" s="65"/>
      <c r="D187" s="64"/>
      <c r="E187" s="65"/>
      <c r="F187" s="65"/>
      <c r="G187" s="64"/>
      <c r="H187" s="65"/>
      <c r="I187" s="65"/>
      <c r="J187" s="64"/>
      <c r="K187" s="65"/>
      <c r="L187" s="65"/>
      <c r="M187" s="64"/>
      <c r="N187" s="65"/>
      <c r="O187" s="65"/>
    </row>
    <row r="188" spans="1:15" x14ac:dyDescent="0.25">
      <c r="A188" s="64"/>
      <c r="B188" s="64"/>
      <c r="C188" s="65"/>
      <c r="D188" s="64"/>
      <c r="E188" s="65"/>
      <c r="F188" s="65"/>
      <c r="G188" s="64"/>
      <c r="H188" s="65"/>
      <c r="I188" s="65"/>
      <c r="J188" s="64"/>
      <c r="K188" s="65"/>
      <c r="L188" s="65"/>
      <c r="M188" s="64"/>
      <c r="N188" s="65"/>
      <c r="O188" s="65"/>
    </row>
    <row r="189" spans="1:15" x14ac:dyDescent="0.25">
      <c r="A189" s="64"/>
      <c r="B189" s="64"/>
      <c r="C189" s="65"/>
      <c r="D189" s="64"/>
      <c r="E189" s="65"/>
      <c r="F189" s="65"/>
      <c r="G189" s="64"/>
      <c r="H189" s="65"/>
      <c r="I189" s="65"/>
      <c r="J189" s="64"/>
      <c r="K189" s="65"/>
      <c r="L189" s="65"/>
      <c r="M189" s="64"/>
      <c r="N189" s="65"/>
      <c r="O189" s="65"/>
    </row>
    <row r="190" spans="1:15" x14ac:dyDescent="0.25">
      <c r="A190" s="64"/>
      <c r="B190" s="64"/>
      <c r="C190" s="65"/>
      <c r="D190" s="64"/>
      <c r="E190" s="65"/>
      <c r="F190" s="65"/>
      <c r="G190" s="64"/>
      <c r="H190" s="65"/>
      <c r="I190" s="65"/>
      <c r="J190" s="64"/>
      <c r="K190" s="65"/>
      <c r="L190" s="65"/>
      <c r="M190" s="64"/>
      <c r="N190" s="65"/>
      <c r="O190" s="65"/>
    </row>
    <row r="191" spans="1:15" x14ac:dyDescent="0.25">
      <c r="A191" s="64"/>
      <c r="B191" s="64"/>
      <c r="C191" s="65"/>
      <c r="D191" s="64"/>
      <c r="E191" s="65"/>
      <c r="F191" s="65"/>
      <c r="G191" s="64"/>
      <c r="H191" s="65"/>
      <c r="I191" s="65"/>
      <c r="J191" s="64"/>
      <c r="K191" s="65"/>
      <c r="L191" s="65"/>
      <c r="M191" s="64"/>
      <c r="N191" s="65"/>
      <c r="O191" s="65"/>
    </row>
    <row r="192" spans="1:15" x14ac:dyDescent="0.25">
      <c r="A192" s="64"/>
      <c r="B192" s="64"/>
      <c r="C192" s="65"/>
      <c r="D192" s="64"/>
      <c r="E192" s="65"/>
      <c r="F192" s="65"/>
      <c r="G192" s="64"/>
      <c r="H192" s="65"/>
      <c r="I192" s="65"/>
      <c r="J192" s="64"/>
      <c r="K192" s="65"/>
      <c r="L192" s="65"/>
      <c r="M192" s="64"/>
      <c r="N192" s="65"/>
      <c r="O192" s="65"/>
    </row>
    <row r="193" spans="1:15" x14ac:dyDescent="0.25">
      <c r="A193" s="64"/>
      <c r="B193" s="64"/>
      <c r="C193" s="65"/>
      <c r="D193" s="64"/>
      <c r="E193" s="65"/>
      <c r="F193" s="65"/>
      <c r="G193" s="64"/>
      <c r="H193" s="65"/>
      <c r="I193" s="65"/>
      <c r="J193" s="64"/>
      <c r="K193" s="65"/>
      <c r="L193" s="65"/>
      <c r="M193" s="64"/>
      <c r="N193" s="65"/>
      <c r="O193" s="65"/>
    </row>
    <row r="194" spans="1:15" x14ac:dyDescent="0.25">
      <c r="A194" s="64"/>
      <c r="B194" s="64"/>
      <c r="C194" s="65"/>
      <c r="D194" s="64"/>
      <c r="E194" s="65"/>
      <c r="F194" s="65"/>
      <c r="G194" s="64"/>
      <c r="H194" s="65"/>
      <c r="I194" s="65"/>
      <c r="J194" s="64"/>
      <c r="K194" s="65"/>
      <c r="L194" s="65"/>
      <c r="M194" s="64"/>
      <c r="N194" s="65"/>
      <c r="O194" s="65"/>
    </row>
    <row r="195" spans="1:15" x14ac:dyDescent="0.25">
      <c r="A195" s="64"/>
      <c r="B195" s="64"/>
      <c r="C195" s="65"/>
      <c r="D195" s="64"/>
      <c r="E195" s="65"/>
      <c r="F195" s="65"/>
      <c r="G195" s="64"/>
      <c r="H195" s="65"/>
      <c r="I195" s="65"/>
      <c r="J195" s="64"/>
      <c r="K195" s="65"/>
      <c r="L195" s="65"/>
      <c r="M195" s="64"/>
      <c r="N195" s="65"/>
      <c r="O195" s="65"/>
    </row>
    <row r="196" spans="1:15" x14ac:dyDescent="0.25">
      <c r="A196" s="64"/>
      <c r="B196" s="64"/>
      <c r="C196" s="65"/>
      <c r="D196" s="64"/>
      <c r="E196" s="65"/>
      <c r="F196" s="65"/>
      <c r="G196" s="64"/>
      <c r="H196" s="65"/>
      <c r="I196" s="65"/>
      <c r="J196" s="64"/>
      <c r="K196" s="65"/>
      <c r="L196" s="65"/>
      <c r="M196" s="64"/>
      <c r="N196" s="65"/>
      <c r="O196" s="65"/>
    </row>
    <row r="197" spans="1:15" x14ac:dyDescent="0.25">
      <c r="A197" s="64"/>
      <c r="B197" s="64"/>
      <c r="C197" s="65"/>
      <c r="D197" s="64"/>
      <c r="E197" s="65"/>
      <c r="F197" s="65"/>
      <c r="G197" s="64"/>
      <c r="H197" s="65"/>
      <c r="I197" s="65"/>
      <c r="J197" s="64"/>
      <c r="K197" s="65"/>
      <c r="L197" s="65"/>
      <c r="M197" s="64"/>
      <c r="N197" s="65"/>
      <c r="O197" s="65"/>
    </row>
    <row r="198" spans="1:15" x14ac:dyDescent="0.25">
      <c r="A198" s="64"/>
      <c r="B198" s="64"/>
      <c r="C198" s="65"/>
      <c r="D198" s="64"/>
      <c r="E198" s="65"/>
      <c r="F198" s="65"/>
      <c r="G198" s="64"/>
      <c r="H198" s="65"/>
      <c r="I198" s="65"/>
      <c r="J198" s="64"/>
      <c r="K198" s="65"/>
      <c r="L198" s="65"/>
      <c r="M198" s="64"/>
      <c r="N198" s="65"/>
      <c r="O198" s="65"/>
    </row>
    <row r="199" spans="1:15" x14ac:dyDescent="0.25">
      <c r="A199" s="64"/>
      <c r="B199" s="64"/>
      <c r="C199" s="65"/>
      <c r="D199" s="64"/>
      <c r="E199" s="65"/>
      <c r="F199" s="65"/>
      <c r="G199" s="64"/>
      <c r="H199" s="65"/>
      <c r="I199" s="65"/>
      <c r="J199" s="64"/>
      <c r="K199" s="65"/>
      <c r="L199" s="65"/>
      <c r="M199" s="64"/>
      <c r="N199" s="65"/>
      <c r="O199" s="65"/>
    </row>
    <row r="200" spans="1:15" x14ac:dyDescent="0.25">
      <c r="A200" s="64"/>
      <c r="B200" s="64"/>
      <c r="C200" s="65"/>
      <c r="D200" s="64"/>
      <c r="E200" s="65"/>
      <c r="F200" s="65"/>
      <c r="G200" s="64"/>
      <c r="H200" s="65"/>
      <c r="I200" s="65"/>
      <c r="J200" s="64"/>
      <c r="K200" s="65"/>
      <c r="L200" s="65"/>
      <c r="M200" s="64"/>
      <c r="N200" s="65"/>
      <c r="O200" s="65"/>
    </row>
    <row r="201" spans="1:15" x14ac:dyDescent="0.25">
      <c r="A201" s="64"/>
      <c r="B201" s="64"/>
      <c r="C201" s="65"/>
      <c r="D201" s="64"/>
      <c r="E201" s="65"/>
      <c r="F201" s="65"/>
      <c r="G201" s="64"/>
      <c r="H201" s="65"/>
      <c r="I201" s="65"/>
      <c r="J201" s="64"/>
      <c r="K201" s="65"/>
      <c r="L201" s="65"/>
      <c r="M201" s="64"/>
      <c r="N201" s="65"/>
      <c r="O201" s="65"/>
    </row>
    <row r="202" spans="1:15" x14ac:dyDescent="0.25">
      <c r="A202" s="64"/>
      <c r="B202" s="64"/>
      <c r="C202" s="65"/>
      <c r="D202" s="64"/>
      <c r="E202" s="65"/>
      <c r="F202" s="65"/>
      <c r="G202" s="64"/>
      <c r="H202" s="65"/>
      <c r="I202" s="65"/>
      <c r="J202" s="64"/>
      <c r="K202" s="65"/>
      <c r="L202" s="65"/>
      <c r="M202" s="64"/>
      <c r="N202" s="65"/>
      <c r="O202" s="65"/>
    </row>
    <row r="203" spans="1:15" x14ac:dyDescent="0.25">
      <c r="A203" s="64"/>
      <c r="B203" s="64"/>
      <c r="C203" s="65"/>
      <c r="D203" s="64"/>
      <c r="E203" s="65"/>
      <c r="F203" s="65"/>
      <c r="G203" s="64"/>
      <c r="H203" s="65"/>
      <c r="I203" s="65"/>
      <c r="J203" s="64"/>
      <c r="K203" s="65"/>
      <c r="L203" s="65"/>
      <c r="M203" s="64"/>
      <c r="N203" s="65"/>
      <c r="O203" s="65"/>
    </row>
    <row r="204" spans="1:15" x14ac:dyDescent="0.25">
      <c r="A204" s="64"/>
      <c r="B204" s="64"/>
      <c r="C204" s="65"/>
      <c r="D204" s="64"/>
      <c r="E204" s="65"/>
      <c r="F204" s="65"/>
      <c r="G204" s="64"/>
      <c r="H204" s="65"/>
      <c r="I204" s="65"/>
      <c r="J204" s="64"/>
      <c r="K204" s="65"/>
      <c r="L204" s="65"/>
      <c r="M204" s="64"/>
      <c r="N204" s="65"/>
      <c r="O204" s="65"/>
    </row>
    <row r="205" spans="1:15" x14ac:dyDescent="0.25">
      <c r="A205" s="64"/>
      <c r="B205" s="64"/>
      <c r="C205" s="65"/>
      <c r="D205" s="64"/>
      <c r="E205" s="65"/>
      <c r="F205" s="65"/>
      <c r="G205" s="64"/>
      <c r="H205" s="65"/>
      <c r="I205" s="65"/>
      <c r="J205" s="64"/>
      <c r="K205" s="65"/>
      <c r="L205" s="65"/>
      <c r="M205" s="64"/>
      <c r="N205" s="65"/>
      <c r="O205" s="65"/>
    </row>
    <row r="206" spans="1:15" x14ac:dyDescent="0.25">
      <c r="A206" s="64"/>
      <c r="B206" s="64"/>
      <c r="C206" s="65"/>
      <c r="D206" s="64"/>
      <c r="E206" s="65"/>
      <c r="F206" s="65"/>
      <c r="G206" s="64"/>
      <c r="H206" s="65"/>
      <c r="I206" s="65"/>
      <c r="J206" s="64"/>
      <c r="K206" s="65"/>
      <c r="L206" s="65"/>
      <c r="M206" s="64"/>
      <c r="N206" s="65"/>
      <c r="O206" s="65"/>
    </row>
    <row r="207" spans="1:15" x14ac:dyDescent="0.25">
      <c r="A207" s="64"/>
      <c r="B207" s="64"/>
      <c r="C207" s="65"/>
      <c r="D207" s="64"/>
      <c r="E207" s="65"/>
      <c r="F207" s="65"/>
      <c r="G207" s="64"/>
      <c r="H207" s="65"/>
      <c r="I207" s="65"/>
      <c r="J207" s="64"/>
      <c r="K207" s="65"/>
      <c r="L207" s="65"/>
      <c r="M207" s="64"/>
      <c r="N207" s="65"/>
      <c r="O207" s="65"/>
    </row>
    <row r="208" spans="1:15" x14ac:dyDescent="0.25">
      <c r="A208" s="64"/>
      <c r="B208" s="64"/>
      <c r="C208" s="65"/>
      <c r="D208" s="64"/>
      <c r="E208" s="65"/>
      <c r="F208" s="65"/>
      <c r="G208" s="64"/>
      <c r="H208" s="65"/>
      <c r="I208" s="65"/>
      <c r="J208" s="64"/>
      <c r="K208" s="65"/>
      <c r="L208" s="65"/>
      <c r="M208" s="64"/>
      <c r="N208" s="65"/>
      <c r="O208" s="65"/>
    </row>
    <row r="209" spans="1:15" x14ac:dyDescent="0.25">
      <c r="A209" s="64"/>
      <c r="B209" s="64"/>
      <c r="C209" s="65"/>
      <c r="D209" s="64"/>
      <c r="E209" s="65"/>
      <c r="F209" s="65"/>
      <c r="G209" s="64"/>
      <c r="H209" s="65"/>
      <c r="I209" s="65"/>
      <c r="J209" s="64"/>
      <c r="K209" s="65"/>
      <c r="L209" s="65"/>
      <c r="M209" s="64"/>
      <c r="N209" s="65"/>
      <c r="O209" s="65"/>
    </row>
    <row r="210" spans="1:15" x14ac:dyDescent="0.25">
      <c r="A210" s="64"/>
      <c r="B210" s="64"/>
      <c r="C210" s="65"/>
      <c r="D210" s="64"/>
      <c r="E210" s="65"/>
      <c r="F210" s="65"/>
      <c r="G210" s="64"/>
      <c r="H210" s="65"/>
      <c r="I210" s="65"/>
      <c r="J210" s="64"/>
      <c r="K210" s="65"/>
      <c r="L210" s="65"/>
      <c r="M210" s="64"/>
      <c r="N210" s="65"/>
      <c r="O210" s="65"/>
    </row>
    <row r="211" spans="1:15" x14ac:dyDescent="0.25">
      <c r="A211" s="64"/>
      <c r="B211" s="64"/>
      <c r="C211" s="65"/>
      <c r="D211" s="64"/>
      <c r="E211" s="65"/>
      <c r="F211" s="65"/>
      <c r="G211" s="64"/>
      <c r="H211" s="65"/>
      <c r="I211" s="65"/>
      <c r="J211" s="64"/>
      <c r="K211" s="65"/>
      <c r="L211" s="65"/>
      <c r="M211" s="64"/>
      <c r="N211" s="65"/>
      <c r="O211" s="65"/>
    </row>
    <row r="212" spans="1:15" x14ac:dyDescent="0.25">
      <c r="A212" s="64"/>
      <c r="B212" s="64"/>
      <c r="C212" s="65"/>
      <c r="D212" s="64"/>
      <c r="E212" s="65"/>
      <c r="F212" s="65"/>
      <c r="G212" s="64"/>
      <c r="H212" s="65"/>
      <c r="I212" s="65"/>
      <c r="J212" s="64"/>
      <c r="K212" s="65"/>
      <c r="L212" s="65"/>
      <c r="M212" s="64"/>
      <c r="N212" s="65"/>
      <c r="O212" s="65"/>
    </row>
    <row r="213" spans="1:15" x14ac:dyDescent="0.25">
      <c r="A213" s="64"/>
      <c r="B213" s="64"/>
      <c r="C213" s="65"/>
      <c r="D213" s="64"/>
      <c r="E213" s="65"/>
      <c r="F213" s="65"/>
      <c r="G213" s="64"/>
      <c r="H213" s="65"/>
      <c r="I213" s="65"/>
      <c r="J213" s="64"/>
      <c r="K213" s="65"/>
      <c r="L213" s="65"/>
      <c r="M213" s="64"/>
      <c r="N213" s="65"/>
      <c r="O213" s="65"/>
    </row>
    <row r="214" spans="1:15" x14ac:dyDescent="0.25">
      <c r="A214" s="64"/>
      <c r="B214" s="64"/>
      <c r="C214" s="65"/>
      <c r="D214" s="64"/>
      <c r="E214" s="65"/>
      <c r="F214" s="65"/>
      <c r="G214" s="64"/>
      <c r="H214" s="65"/>
      <c r="I214" s="65"/>
      <c r="J214" s="64"/>
      <c r="K214" s="65"/>
      <c r="L214" s="65"/>
      <c r="M214" s="64"/>
      <c r="N214" s="65"/>
      <c r="O214" s="65"/>
    </row>
    <row r="215" spans="1:15" x14ac:dyDescent="0.25">
      <c r="A215" s="64"/>
      <c r="B215" s="64"/>
      <c r="C215" s="65"/>
      <c r="D215" s="64"/>
      <c r="E215" s="65"/>
      <c r="F215" s="65"/>
      <c r="G215" s="64"/>
      <c r="H215" s="65"/>
      <c r="I215" s="65"/>
      <c r="J215" s="64"/>
      <c r="K215" s="65"/>
      <c r="L215" s="65"/>
      <c r="M215" s="64"/>
      <c r="N215" s="65"/>
      <c r="O215" s="65"/>
    </row>
    <row r="216" spans="1:15" x14ac:dyDescent="0.25">
      <c r="A216" s="64"/>
      <c r="B216" s="64"/>
      <c r="C216" s="65"/>
      <c r="D216" s="64"/>
      <c r="E216" s="65"/>
      <c r="F216" s="65"/>
      <c r="G216" s="64"/>
      <c r="H216" s="65"/>
      <c r="I216" s="65"/>
      <c r="J216" s="64"/>
      <c r="K216" s="65"/>
      <c r="L216" s="65"/>
      <c r="M216" s="64"/>
      <c r="N216" s="65"/>
      <c r="O216" s="65"/>
    </row>
    <row r="217" spans="1:15" x14ac:dyDescent="0.25">
      <c r="A217" s="64"/>
      <c r="B217" s="64"/>
      <c r="C217" s="65"/>
      <c r="D217" s="64"/>
      <c r="E217" s="65"/>
      <c r="F217" s="65"/>
      <c r="G217" s="64"/>
      <c r="H217" s="65"/>
      <c r="I217" s="65"/>
      <c r="J217" s="64"/>
      <c r="K217" s="65"/>
      <c r="L217" s="65"/>
      <c r="M217" s="64"/>
      <c r="N217" s="65"/>
      <c r="O217" s="65"/>
    </row>
    <row r="218" spans="1:15" x14ac:dyDescent="0.25">
      <c r="A218" s="64"/>
      <c r="B218" s="64"/>
      <c r="C218" s="65"/>
      <c r="D218" s="64"/>
      <c r="E218" s="65"/>
      <c r="F218" s="65"/>
      <c r="G218" s="64"/>
      <c r="H218" s="65"/>
      <c r="I218" s="65"/>
      <c r="J218" s="64"/>
      <c r="K218" s="65"/>
      <c r="L218" s="65"/>
      <c r="M218" s="64"/>
      <c r="N218" s="65"/>
      <c r="O218" s="65"/>
    </row>
    <row r="219" spans="1:15" x14ac:dyDescent="0.25">
      <c r="A219" s="64"/>
      <c r="B219" s="64"/>
      <c r="C219" s="65"/>
      <c r="D219" s="64"/>
      <c r="E219" s="65"/>
      <c r="F219" s="65"/>
      <c r="G219" s="64"/>
      <c r="H219" s="65"/>
      <c r="I219" s="65"/>
      <c r="J219" s="64"/>
      <c r="K219" s="65"/>
      <c r="L219" s="65"/>
      <c r="M219" s="64"/>
      <c r="N219" s="65"/>
      <c r="O219" s="65"/>
    </row>
    <row r="220" spans="1:15" x14ac:dyDescent="0.25">
      <c r="A220" s="64"/>
      <c r="B220" s="64"/>
      <c r="C220" s="65"/>
      <c r="D220" s="64"/>
      <c r="E220" s="65"/>
      <c r="F220" s="65"/>
      <c r="G220" s="64"/>
      <c r="H220" s="65"/>
      <c r="I220" s="65"/>
      <c r="J220" s="64"/>
      <c r="K220" s="65"/>
      <c r="L220" s="65"/>
      <c r="M220" s="64"/>
      <c r="N220" s="65"/>
      <c r="O220" s="65"/>
    </row>
    <row r="221" spans="1:15" x14ac:dyDescent="0.25">
      <c r="A221" s="64"/>
      <c r="B221" s="64"/>
      <c r="C221" s="65"/>
      <c r="D221" s="64"/>
      <c r="E221" s="65"/>
      <c r="F221" s="65"/>
      <c r="G221" s="64"/>
      <c r="H221" s="65"/>
      <c r="I221" s="65"/>
      <c r="J221" s="64"/>
      <c r="K221" s="65"/>
      <c r="L221" s="65"/>
      <c r="M221" s="64"/>
      <c r="N221" s="65"/>
      <c r="O221" s="65"/>
    </row>
    <row r="222" spans="1:15" x14ac:dyDescent="0.25">
      <c r="A222" s="64"/>
      <c r="B222" s="64"/>
      <c r="C222" s="65"/>
      <c r="D222" s="64"/>
      <c r="E222" s="65"/>
      <c r="F222" s="65"/>
      <c r="G222" s="64"/>
      <c r="H222" s="65"/>
      <c r="I222" s="65"/>
      <c r="J222" s="64"/>
      <c r="K222" s="65"/>
      <c r="L222" s="65"/>
      <c r="M222" s="64"/>
      <c r="N222" s="65"/>
      <c r="O222" s="65"/>
    </row>
    <row r="223" spans="1:15" x14ac:dyDescent="0.25">
      <c r="A223" s="64"/>
      <c r="B223" s="64"/>
      <c r="C223" s="65"/>
      <c r="D223" s="64"/>
      <c r="E223" s="65"/>
      <c r="F223" s="65"/>
      <c r="G223" s="64"/>
      <c r="H223" s="65"/>
      <c r="I223" s="65"/>
      <c r="J223" s="64"/>
      <c r="K223" s="65"/>
      <c r="L223" s="65"/>
      <c r="M223" s="64"/>
      <c r="N223" s="65"/>
      <c r="O223" s="65"/>
    </row>
    <row r="224" spans="1:15" x14ac:dyDescent="0.25">
      <c r="A224" s="64"/>
      <c r="B224" s="64"/>
      <c r="C224" s="65"/>
      <c r="D224" s="64"/>
      <c r="E224" s="65"/>
      <c r="F224" s="65"/>
      <c r="G224" s="64"/>
      <c r="H224" s="65"/>
      <c r="I224" s="65"/>
      <c r="J224" s="64"/>
      <c r="K224" s="65"/>
      <c r="L224" s="65"/>
      <c r="M224" s="64"/>
      <c r="N224" s="65"/>
      <c r="O224" s="65"/>
    </row>
    <row r="225" spans="1:15" x14ac:dyDescent="0.25">
      <c r="A225" s="64"/>
      <c r="B225" s="64"/>
      <c r="C225" s="65"/>
      <c r="D225" s="64"/>
      <c r="E225" s="65"/>
      <c r="F225" s="65"/>
      <c r="G225" s="64"/>
      <c r="H225" s="65"/>
      <c r="I225" s="65"/>
      <c r="J225" s="64"/>
      <c r="K225" s="65"/>
      <c r="L225" s="65"/>
      <c r="M225" s="64"/>
      <c r="N225" s="65"/>
      <c r="O225" s="65"/>
    </row>
    <row r="226" spans="1:15" x14ac:dyDescent="0.25">
      <c r="A226" s="64"/>
      <c r="B226" s="64"/>
      <c r="C226" s="65"/>
      <c r="D226" s="64"/>
      <c r="E226" s="65"/>
      <c r="F226" s="65"/>
      <c r="G226" s="64"/>
      <c r="H226" s="65"/>
      <c r="I226" s="65"/>
      <c r="J226" s="64"/>
      <c r="K226" s="65"/>
      <c r="L226" s="65"/>
      <c r="M226" s="64"/>
      <c r="N226" s="65"/>
      <c r="O226" s="65"/>
    </row>
    <row r="227" spans="1:15" x14ac:dyDescent="0.25">
      <c r="A227" s="64"/>
      <c r="B227" s="64"/>
      <c r="C227" s="65"/>
      <c r="D227" s="64"/>
      <c r="E227" s="65"/>
      <c r="F227" s="65"/>
      <c r="G227" s="64"/>
      <c r="H227" s="65"/>
      <c r="I227" s="65"/>
      <c r="J227" s="64"/>
      <c r="K227" s="65"/>
      <c r="L227" s="65"/>
      <c r="M227" s="64"/>
      <c r="N227" s="65"/>
      <c r="O227" s="65"/>
    </row>
    <row r="228" spans="1:15" x14ac:dyDescent="0.25">
      <c r="A228" s="64"/>
      <c r="B228" s="64"/>
      <c r="C228" s="65"/>
      <c r="D228" s="64"/>
      <c r="E228" s="65"/>
      <c r="F228" s="65"/>
      <c r="G228" s="64"/>
      <c r="H228" s="65"/>
      <c r="I228" s="65"/>
      <c r="J228" s="64"/>
      <c r="K228" s="65"/>
      <c r="L228" s="65"/>
      <c r="M228" s="64"/>
      <c r="N228" s="65"/>
      <c r="O228" s="65"/>
    </row>
    <row r="229" spans="1:15" x14ac:dyDescent="0.25">
      <c r="A229" s="64"/>
      <c r="B229" s="64"/>
      <c r="C229" s="65"/>
      <c r="D229" s="64"/>
      <c r="E229" s="65"/>
      <c r="F229" s="65"/>
      <c r="G229" s="64"/>
      <c r="H229" s="65"/>
      <c r="I229" s="65"/>
      <c r="J229" s="64"/>
      <c r="K229" s="65"/>
      <c r="L229" s="65"/>
      <c r="M229" s="64"/>
      <c r="N229" s="65"/>
      <c r="O229" s="65"/>
    </row>
    <row r="230" spans="1:15" x14ac:dyDescent="0.25">
      <c r="A230" s="64"/>
      <c r="B230" s="64"/>
      <c r="C230" s="65"/>
      <c r="D230" s="64"/>
      <c r="E230" s="65"/>
      <c r="F230" s="65"/>
      <c r="G230" s="64"/>
      <c r="H230" s="65"/>
      <c r="I230" s="65"/>
      <c r="J230" s="64"/>
      <c r="K230" s="65"/>
      <c r="L230" s="65"/>
      <c r="M230" s="64"/>
      <c r="N230" s="65"/>
      <c r="O230" s="65"/>
    </row>
    <row r="231" spans="1:15" x14ac:dyDescent="0.25">
      <c r="A231" s="64"/>
      <c r="B231" s="64"/>
      <c r="C231" s="65"/>
      <c r="D231" s="64"/>
      <c r="E231" s="65"/>
      <c r="F231" s="65"/>
      <c r="G231" s="64"/>
      <c r="H231" s="65"/>
      <c r="I231" s="65"/>
      <c r="J231" s="64"/>
      <c r="K231" s="65"/>
      <c r="L231" s="65"/>
      <c r="M231" s="64"/>
      <c r="N231" s="65"/>
      <c r="O231" s="65"/>
    </row>
    <row r="232" spans="1:15" x14ac:dyDescent="0.25">
      <c r="A232" s="64"/>
      <c r="B232" s="64"/>
      <c r="C232" s="65"/>
      <c r="D232" s="64"/>
      <c r="E232" s="65"/>
      <c r="F232" s="65"/>
      <c r="G232" s="64"/>
      <c r="H232" s="65"/>
      <c r="I232" s="65"/>
      <c r="J232" s="64"/>
      <c r="K232" s="65"/>
      <c r="L232" s="65"/>
      <c r="M232" s="64"/>
      <c r="N232" s="65"/>
      <c r="O232" s="65"/>
    </row>
    <row r="233" spans="1:15" x14ac:dyDescent="0.25">
      <c r="A233" s="64"/>
      <c r="B233" s="64"/>
      <c r="C233" s="65"/>
      <c r="D233" s="64"/>
      <c r="E233" s="65"/>
      <c r="F233" s="65"/>
      <c r="G233" s="64"/>
      <c r="H233" s="65"/>
      <c r="I233" s="65"/>
      <c r="J233" s="64"/>
      <c r="K233" s="65"/>
      <c r="L233" s="65"/>
      <c r="M233" s="64"/>
      <c r="N233" s="65"/>
      <c r="O233" s="65"/>
    </row>
    <row r="234" spans="1:15" x14ac:dyDescent="0.25">
      <c r="A234" s="64"/>
      <c r="B234" s="64"/>
      <c r="C234" s="65"/>
      <c r="D234" s="64"/>
      <c r="E234" s="65"/>
      <c r="F234" s="65"/>
      <c r="G234" s="64"/>
      <c r="H234" s="65"/>
      <c r="I234" s="65"/>
      <c r="J234" s="64"/>
      <c r="K234" s="65"/>
      <c r="L234" s="65"/>
      <c r="M234" s="64"/>
      <c r="N234" s="65"/>
      <c r="O234" s="65"/>
    </row>
    <row r="235" spans="1:15" x14ac:dyDescent="0.25">
      <c r="A235" s="64"/>
      <c r="B235" s="64"/>
      <c r="C235" s="65"/>
      <c r="D235" s="64"/>
      <c r="E235" s="65"/>
      <c r="F235" s="65"/>
      <c r="G235" s="64"/>
      <c r="H235" s="65"/>
      <c r="I235" s="65"/>
      <c r="J235" s="64"/>
      <c r="K235" s="65"/>
      <c r="L235" s="65"/>
      <c r="M235" s="64"/>
      <c r="N235" s="65"/>
      <c r="O235" s="65"/>
    </row>
    <row r="236" spans="1:15" x14ac:dyDescent="0.25">
      <c r="A236" s="64"/>
      <c r="B236" s="64"/>
      <c r="C236" s="65"/>
      <c r="D236" s="64"/>
      <c r="E236" s="65"/>
      <c r="F236" s="65"/>
      <c r="G236" s="64"/>
      <c r="H236" s="65"/>
      <c r="I236" s="65"/>
      <c r="J236" s="64"/>
      <c r="K236" s="65"/>
      <c r="L236" s="65"/>
      <c r="M236" s="64"/>
      <c r="N236" s="65"/>
      <c r="O236" s="65"/>
    </row>
    <row r="237" spans="1:15" x14ac:dyDescent="0.25">
      <c r="A237" s="64"/>
      <c r="B237" s="64"/>
      <c r="C237" s="65"/>
      <c r="D237" s="64"/>
      <c r="E237" s="65"/>
      <c r="F237" s="65"/>
      <c r="G237" s="64"/>
      <c r="H237" s="65"/>
      <c r="I237" s="65"/>
      <c r="J237" s="64"/>
      <c r="K237" s="65"/>
      <c r="L237" s="65"/>
      <c r="M237" s="64"/>
      <c r="N237" s="65"/>
      <c r="O237" s="65"/>
    </row>
    <row r="238" spans="1:15" x14ac:dyDescent="0.25">
      <c r="A238" s="64"/>
      <c r="B238" s="64"/>
      <c r="C238" s="65"/>
      <c r="D238" s="64"/>
      <c r="E238" s="65"/>
      <c r="F238" s="65"/>
      <c r="G238" s="64"/>
      <c r="H238" s="65"/>
      <c r="I238" s="65"/>
      <c r="J238" s="64"/>
      <c r="K238" s="65"/>
      <c r="L238" s="65"/>
      <c r="M238" s="64"/>
      <c r="N238" s="65"/>
      <c r="O238" s="65"/>
    </row>
    <row r="239" spans="1:15" x14ac:dyDescent="0.25">
      <c r="A239" s="64"/>
      <c r="B239" s="64"/>
      <c r="C239" s="65"/>
      <c r="D239" s="64"/>
      <c r="E239" s="65"/>
      <c r="F239" s="65"/>
      <c r="G239" s="64"/>
      <c r="H239" s="65"/>
      <c r="I239" s="65"/>
      <c r="J239" s="64"/>
      <c r="K239" s="65"/>
      <c r="L239" s="65"/>
      <c r="M239" s="64"/>
      <c r="N239" s="65"/>
      <c r="O239" s="65"/>
    </row>
    <row r="240" spans="1:15" x14ac:dyDescent="0.25">
      <c r="A240" s="64"/>
      <c r="B240" s="64"/>
      <c r="C240" s="65"/>
      <c r="D240" s="64"/>
      <c r="E240" s="65"/>
      <c r="F240" s="65"/>
      <c r="G240" s="64"/>
      <c r="H240" s="65"/>
      <c r="I240" s="65"/>
      <c r="J240" s="64"/>
      <c r="K240" s="65"/>
      <c r="L240" s="65"/>
      <c r="M240" s="64"/>
      <c r="N240" s="65"/>
      <c r="O240" s="65"/>
    </row>
    <row r="241" spans="1:15" x14ac:dyDescent="0.25">
      <c r="A241" s="64"/>
      <c r="B241" s="64"/>
      <c r="C241" s="65"/>
      <c r="D241" s="64"/>
      <c r="E241" s="65"/>
      <c r="F241" s="65"/>
      <c r="G241" s="64"/>
      <c r="H241" s="65"/>
      <c r="I241" s="65"/>
      <c r="J241" s="64"/>
      <c r="K241" s="65"/>
      <c r="L241" s="65"/>
      <c r="M241" s="64"/>
      <c r="N241" s="65"/>
      <c r="O241" s="65"/>
    </row>
    <row r="242" spans="1:15" x14ac:dyDescent="0.25">
      <c r="A242" s="64"/>
      <c r="B242" s="64"/>
      <c r="C242" s="65"/>
      <c r="D242" s="64"/>
      <c r="E242" s="65"/>
      <c r="F242" s="65"/>
      <c r="G242" s="64"/>
      <c r="H242" s="65"/>
      <c r="I242" s="65"/>
      <c r="J242" s="64"/>
      <c r="K242" s="65"/>
      <c r="L242" s="65"/>
      <c r="M242" s="64"/>
      <c r="N242" s="65"/>
      <c r="O242" s="65"/>
    </row>
    <row r="243" spans="1:15" x14ac:dyDescent="0.25">
      <c r="A243" s="64"/>
      <c r="B243" s="64"/>
      <c r="C243" s="65"/>
      <c r="D243" s="64"/>
      <c r="E243" s="65"/>
      <c r="F243" s="65"/>
      <c r="G243" s="64"/>
      <c r="H243" s="65"/>
      <c r="I243" s="65"/>
      <c r="J243" s="64"/>
      <c r="K243" s="65"/>
      <c r="L243" s="65"/>
      <c r="M243" s="64"/>
      <c r="N243" s="65"/>
      <c r="O243" s="65"/>
    </row>
    <row r="244" spans="1:15" x14ac:dyDescent="0.25">
      <c r="A244" s="64"/>
      <c r="B244" s="64"/>
      <c r="C244" s="65"/>
      <c r="D244" s="64"/>
      <c r="E244" s="65"/>
      <c r="F244" s="65"/>
      <c r="G244" s="64"/>
      <c r="H244" s="65"/>
      <c r="I244" s="65"/>
      <c r="J244" s="64"/>
      <c r="K244" s="65"/>
      <c r="L244" s="65"/>
      <c r="M244" s="64"/>
      <c r="N244" s="65"/>
      <c r="O244" s="65"/>
    </row>
    <row r="245" spans="1:15" x14ac:dyDescent="0.25">
      <c r="A245" s="64"/>
      <c r="B245" s="64"/>
      <c r="C245" s="65"/>
      <c r="D245" s="64"/>
      <c r="E245" s="65"/>
      <c r="F245" s="65"/>
      <c r="G245" s="64"/>
      <c r="H245" s="65"/>
      <c r="I245" s="65"/>
      <c r="J245" s="64"/>
      <c r="K245" s="65"/>
      <c r="L245" s="65"/>
      <c r="M245" s="64"/>
      <c r="N245" s="65"/>
      <c r="O245" s="65"/>
    </row>
    <row r="246" spans="1:15" x14ac:dyDescent="0.25">
      <c r="A246" s="64"/>
      <c r="B246" s="64"/>
      <c r="C246" s="65"/>
      <c r="D246" s="64"/>
      <c r="E246" s="65"/>
      <c r="F246" s="65"/>
      <c r="G246" s="64"/>
      <c r="H246" s="65"/>
      <c r="I246" s="65"/>
      <c r="J246" s="64"/>
      <c r="K246" s="65"/>
      <c r="L246" s="65"/>
      <c r="M246" s="64"/>
      <c r="N246" s="65"/>
      <c r="O246" s="65"/>
    </row>
    <row r="247" spans="1:15" x14ac:dyDescent="0.25">
      <c r="A247" s="64"/>
      <c r="B247" s="64"/>
      <c r="C247" s="65"/>
      <c r="D247" s="64"/>
      <c r="E247" s="65"/>
      <c r="F247" s="65"/>
      <c r="G247" s="64"/>
      <c r="H247" s="65"/>
      <c r="I247" s="65"/>
      <c r="J247" s="64"/>
      <c r="K247" s="65"/>
      <c r="L247" s="65"/>
      <c r="M247" s="64"/>
      <c r="N247" s="65"/>
      <c r="O247" s="65"/>
    </row>
    <row r="248" spans="1:15" x14ac:dyDescent="0.25">
      <c r="A248" s="64"/>
      <c r="B248" s="64"/>
      <c r="C248" s="65"/>
      <c r="D248" s="64"/>
      <c r="E248" s="65"/>
      <c r="F248" s="65"/>
      <c r="G248" s="64"/>
      <c r="H248" s="65"/>
      <c r="I248" s="65"/>
      <c r="J248" s="64"/>
      <c r="K248" s="65"/>
      <c r="L248" s="65"/>
      <c r="M248" s="64"/>
      <c r="N248" s="65"/>
      <c r="O248" s="65"/>
    </row>
    <row r="249" spans="1:15" x14ac:dyDescent="0.25">
      <c r="A249" s="64"/>
      <c r="B249" s="64"/>
      <c r="C249" s="65"/>
      <c r="D249" s="64"/>
      <c r="E249" s="65"/>
      <c r="F249" s="65"/>
      <c r="G249" s="64"/>
      <c r="H249" s="65"/>
      <c r="I249" s="65"/>
      <c r="J249" s="64"/>
      <c r="K249" s="65"/>
      <c r="L249" s="65"/>
      <c r="M249" s="64"/>
      <c r="N249" s="65"/>
      <c r="O249" s="65"/>
    </row>
    <row r="250" spans="1:15" x14ac:dyDescent="0.25">
      <c r="A250" s="64"/>
      <c r="B250" s="64"/>
      <c r="C250" s="65"/>
      <c r="D250" s="64"/>
      <c r="E250" s="65"/>
      <c r="F250" s="65"/>
      <c r="G250" s="64"/>
      <c r="H250" s="65"/>
      <c r="I250" s="65"/>
      <c r="J250" s="64"/>
      <c r="K250" s="65"/>
      <c r="L250" s="65"/>
      <c r="M250" s="64"/>
      <c r="N250" s="65"/>
      <c r="O250" s="65"/>
    </row>
    <row r="251" spans="1:15" x14ac:dyDescent="0.25">
      <c r="A251" s="64"/>
      <c r="B251" s="64"/>
      <c r="C251" s="65"/>
      <c r="D251" s="64"/>
      <c r="E251" s="65"/>
      <c r="F251" s="65"/>
      <c r="G251" s="64"/>
      <c r="H251" s="65"/>
      <c r="I251" s="65"/>
      <c r="J251" s="64"/>
      <c r="K251" s="65"/>
      <c r="L251" s="65"/>
      <c r="M251" s="64"/>
      <c r="N251" s="65"/>
      <c r="O251" s="65"/>
    </row>
    <row r="252" spans="1:15" x14ac:dyDescent="0.25">
      <c r="A252" s="64"/>
      <c r="B252" s="64"/>
      <c r="C252" s="65"/>
      <c r="D252" s="64"/>
      <c r="E252" s="65"/>
      <c r="F252" s="65"/>
      <c r="G252" s="64"/>
      <c r="H252" s="65"/>
      <c r="I252" s="65"/>
      <c r="J252" s="64"/>
      <c r="K252" s="65"/>
      <c r="L252" s="65"/>
      <c r="M252" s="64"/>
      <c r="N252" s="65"/>
      <c r="O252" s="65"/>
    </row>
    <row r="253" spans="1:15" x14ac:dyDescent="0.25">
      <c r="A253" s="64"/>
      <c r="B253" s="64"/>
      <c r="C253" s="65"/>
      <c r="D253" s="64"/>
      <c r="E253" s="65"/>
      <c r="F253" s="65"/>
      <c r="G253" s="64"/>
      <c r="H253" s="65"/>
      <c r="I253" s="65"/>
      <c r="J253" s="64"/>
      <c r="K253" s="65"/>
      <c r="L253" s="65"/>
      <c r="M253" s="64"/>
      <c r="N253" s="65"/>
      <c r="O253" s="65"/>
    </row>
    <row r="254" spans="1:15" x14ac:dyDescent="0.25">
      <c r="A254" s="64"/>
      <c r="B254" s="64"/>
      <c r="C254" s="65"/>
      <c r="D254" s="64"/>
      <c r="E254" s="65"/>
      <c r="F254" s="65"/>
      <c r="G254" s="64"/>
      <c r="H254" s="65"/>
      <c r="I254" s="65"/>
      <c r="J254" s="64"/>
      <c r="K254" s="65"/>
      <c r="L254" s="65"/>
      <c r="M254" s="64"/>
      <c r="N254" s="65"/>
      <c r="O254" s="65"/>
    </row>
    <row r="255" spans="1:15" x14ac:dyDescent="0.25">
      <c r="A255" s="64"/>
      <c r="B255" s="64"/>
      <c r="C255" s="65"/>
      <c r="D255" s="64"/>
      <c r="E255" s="65"/>
      <c r="F255" s="65"/>
      <c r="G255" s="64"/>
      <c r="H255" s="65"/>
      <c r="I255" s="65"/>
      <c r="J255" s="64"/>
      <c r="K255" s="65"/>
      <c r="L255" s="65"/>
      <c r="M255" s="64"/>
      <c r="N255" s="65"/>
      <c r="O255" s="65"/>
    </row>
    <row r="256" spans="1:15" x14ac:dyDescent="0.25">
      <c r="A256" s="64"/>
      <c r="B256" s="64"/>
      <c r="C256" s="65"/>
      <c r="D256" s="64"/>
      <c r="E256" s="65"/>
      <c r="F256" s="65"/>
      <c r="G256" s="64"/>
      <c r="H256" s="65"/>
      <c r="I256" s="65"/>
      <c r="J256" s="64"/>
      <c r="K256" s="65"/>
      <c r="L256" s="65"/>
      <c r="M256" s="64"/>
      <c r="N256" s="65"/>
      <c r="O256" s="65"/>
    </row>
    <row r="257" spans="1:15" x14ac:dyDescent="0.25">
      <c r="A257" s="64"/>
      <c r="B257" s="64"/>
      <c r="C257" s="65"/>
      <c r="D257" s="64"/>
      <c r="E257" s="65"/>
      <c r="F257" s="65"/>
      <c r="G257" s="64"/>
      <c r="H257" s="65"/>
      <c r="I257" s="65"/>
      <c r="J257" s="64"/>
      <c r="K257" s="65"/>
      <c r="L257" s="65"/>
      <c r="M257" s="64"/>
      <c r="N257" s="65"/>
      <c r="O257" s="65"/>
    </row>
    <row r="258" spans="1:15" x14ac:dyDescent="0.25">
      <c r="A258" s="64"/>
      <c r="B258" s="64"/>
      <c r="C258" s="65"/>
      <c r="D258" s="64"/>
      <c r="E258" s="65"/>
      <c r="F258" s="65"/>
      <c r="G258" s="64"/>
      <c r="H258" s="65"/>
      <c r="I258" s="65"/>
      <c r="J258" s="64"/>
      <c r="K258" s="65"/>
      <c r="L258" s="65"/>
      <c r="M258" s="64"/>
      <c r="N258" s="65"/>
      <c r="O258" s="65"/>
    </row>
    <row r="259" spans="1:15" x14ac:dyDescent="0.25">
      <c r="A259" s="64"/>
      <c r="B259" s="64"/>
      <c r="C259" s="65"/>
      <c r="D259" s="64"/>
      <c r="E259" s="65"/>
      <c r="F259" s="65"/>
      <c r="G259" s="64"/>
      <c r="H259" s="65"/>
      <c r="I259" s="65"/>
      <c r="J259" s="64"/>
      <c r="K259" s="65"/>
      <c r="L259" s="65"/>
      <c r="M259" s="64"/>
      <c r="N259" s="65"/>
      <c r="O259" s="65"/>
    </row>
    <row r="260" spans="1:15" x14ac:dyDescent="0.25">
      <c r="A260" s="64"/>
      <c r="B260" s="64"/>
      <c r="C260" s="65"/>
      <c r="D260" s="64"/>
      <c r="E260" s="65"/>
      <c r="F260" s="65"/>
      <c r="G260" s="64"/>
      <c r="H260" s="65"/>
      <c r="I260" s="65"/>
      <c r="J260" s="64"/>
      <c r="K260" s="65"/>
      <c r="L260" s="65"/>
      <c r="M260" s="64"/>
      <c r="N260" s="65"/>
      <c r="O260" s="65"/>
    </row>
    <row r="261" spans="1:15" x14ac:dyDescent="0.25">
      <c r="A261" s="64"/>
      <c r="B261" s="64"/>
      <c r="C261" s="65"/>
      <c r="D261" s="64"/>
      <c r="E261" s="65"/>
      <c r="F261" s="65"/>
      <c r="G261" s="64"/>
      <c r="H261" s="65"/>
      <c r="I261" s="65"/>
      <c r="J261" s="64"/>
      <c r="K261" s="65"/>
      <c r="L261" s="65"/>
      <c r="M261" s="64"/>
      <c r="N261" s="65"/>
      <c r="O261" s="65"/>
    </row>
    <row r="262" spans="1:15" x14ac:dyDescent="0.25">
      <c r="A262" s="64"/>
      <c r="B262" s="64"/>
      <c r="C262" s="65"/>
      <c r="D262" s="64"/>
      <c r="E262" s="65"/>
      <c r="F262" s="65"/>
      <c r="G262" s="64"/>
      <c r="H262" s="65"/>
      <c r="I262" s="65"/>
      <c r="J262" s="64"/>
      <c r="K262" s="65"/>
      <c r="L262" s="65"/>
      <c r="M262" s="64"/>
      <c r="N262" s="65"/>
      <c r="O262" s="65"/>
    </row>
    <row r="263" spans="1:15" x14ac:dyDescent="0.25">
      <c r="A263" s="64"/>
      <c r="B263" s="64"/>
      <c r="C263" s="65"/>
      <c r="D263" s="64"/>
      <c r="E263" s="65"/>
      <c r="F263" s="65"/>
      <c r="G263" s="64"/>
      <c r="H263" s="65"/>
      <c r="I263" s="65"/>
      <c r="J263" s="64"/>
      <c r="K263" s="65"/>
      <c r="L263" s="65"/>
      <c r="M263" s="64"/>
      <c r="N263" s="65"/>
      <c r="O263" s="65"/>
    </row>
    <row r="264" spans="1:15" x14ac:dyDescent="0.25">
      <c r="A264" s="64"/>
      <c r="B264" s="64"/>
      <c r="C264" s="65"/>
      <c r="D264" s="64"/>
      <c r="E264" s="65"/>
      <c r="F264" s="65"/>
      <c r="G264" s="64"/>
      <c r="H264" s="65"/>
      <c r="I264" s="65"/>
      <c r="J264" s="64"/>
      <c r="K264" s="65"/>
      <c r="L264" s="65"/>
      <c r="M264" s="64"/>
      <c r="N264" s="65"/>
      <c r="O264" s="65"/>
    </row>
    <row r="265" spans="1:15" x14ac:dyDescent="0.25">
      <c r="A265" s="64"/>
      <c r="B265" s="64"/>
      <c r="C265" s="65"/>
      <c r="D265" s="64"/>
      <c r="E265" s="65"/>
      <c r="F265" s="65"/>
      <c r="G265" s="64"/>
      <c r="H265" s="65"/>
      <c r="I265" s="65"/>
      <c r="J265" s="64"/>
      <c r="K265" s="65"/>
      <c r="L265" s="65"/>
      <c r="M265" s="64"/>
      <c r="N265" s="65"/>
      <c r="O265" s="65"/>
    </row>
    <row r="266" spans="1:15" x14ac:dyDescent="0.25">
      <c r="A266" s="64"/>
      <c r="B266" s="64"/>
      <c r="C266" s="65"/>
      <c r="D266" s="64"/>
      <c r="E266" s="65"/>
      <c r="F266" s="65"/>
      <c r="G266" s="64"/>
      <c r="H266" s="65"/>
      <c r="I266" s="65"/>
      <c r="J266" s="64"/>
      <c r="K266" s="65"/>
      <c r="L266" s="65"/>
      <c r="M266" s="64"/>
      <c r="N266" s="65"/>
      <c r="O266" s="65"/>
    </row>
    <row r="267" spans="1:15" x14ac:dyDescent="0.25">
      <c r="A267" s="64"/>
      <c r="B267" s="64"/>
      <c r="C267" s="65"/>
      <c r="D267" s="64"/>
      <c r="E267" s="65"/>
      <c r="F267" s="65"/>
      <c r="G267" s="64"/>
      <c r="H267" s="65"/>
      <c r="I267" s="65"/>
      <c r="J267" s="64"/>
      <c r="K267" s="65"/>
      <c r="L267" s="65"/>
      <c r="M267" s="64"/>
      <c r="N267" s="65"/>
      <c r="O267" s="65"/>
    </row>
    <row r="268" spans="1:15" x14ac:dyDescent="0.25">
      <c r="A268" s="64"/>
      <c r="B268" s="64"/>
      <c r="C268" s="65"/>
      <c r="D268" s="64"/>
      <c r="E268" s="65"/>
      <c r="F268" s="65"/>
      <c r="G268" s="64"/>
      <c r="H268" s="65"/>
      <c r="I268" s="65"/>
      <c r="J268" s="64"/>
      <c r="K268" s="65"/>
      <c r="L268" s="65"/>
      <c r="M268" s="64"/>
      <c r="N268" s="65"/>
      <c r="O268" s="65"/>
    </row>
    <row r="269" spans="1:15" x14ac:dyDescent="0.25">
      <c r="A269" s="64"/>
      <c r="B269" s="64"/>
      <c r="C269" s="65"/>
      <c r="D269" s="64"/>
      <c r="E269" s="65"/>
      <c r="F269" s="65"/>
      <c r="G269" s="64"/>
      <c r="H269" s="65"/>
      <c r="I269" s="65"/>
      <c r="J269" s="64"/>
      <c r="K269" s="65"/>
      <c r="L269" s="65"/>
      <c r="M269" s="64"/>
      <c r="N269" s="65"/>
      <c r="O269" s="65"/>
    </row>
    <row r="270" spans="1:15" x14ac:dyDescent="0.25">
      <c r="A270" s="64"/>
      <c r="B270" s="64"/>
      <c r="C270" s="65"/>
      <c r="D270" s="64"/>
      <c r="E270" s="65"/>
      <c r="F270" s="65"/>
      <c r="G270" s="64"/>
      <c r="H270" s="65"/>
      <c r="I270" s="65"/>
      <c r="J270" s="64"/>
      <c r="K270" s="65"/>
      <c r="L270" s="65"/>
      <c r="M270" s="64"/>
      <c r="N270" s="65"/>
      <c r="O270" s="65"/>
    </row>
    <row r="271" spans="1:15" x14ac:dyDescent="0.25">
      <c r="A271" s="64"/>
      <c r="B271" s="64"/>
      <c r="C271" s="65"/>
      <c r="D271" s="64"/>
      <c r="E271" s="65"/>
      <c r="F271" s="65"/>
      <c r="G271" s="64"/>
      <c r="H271" s="65"/>
      <c r="I271" s="65"/>
      <c r="J271" s="64"/>
      <c r="K271" s="65"/>
      <c r="L271" s="65"/>
      <c r="M271" s="64"/>
      <c r="N271" s="65"/>
      <c r="O271" s="65"/>
    </row>
    <row r="272" spans="1:15" x14ac:dyDescent="0.25">
      <c r="A272" s="64"/>
      <c r="B272" s="64"/>
      <c r="C272" s="65"/>
      <c r="D272" s="64"/>
      <c r="E272" s="65"/>
      <c r="F272" s="65"/>
      <c r="G272" s="64"/>
      <c r="H272" s="65"/>
      <c r="I272" s="65"/>
      <c r="J272" s="64"/>
      <c r="K272" s="65"/>
      <c r="L272" s="65"/>
      <c r="M272" s="64"/>
      <c r="N272" s="65"/>
      <c r="O272" s="65"/>
    </row>
    <row r="273" spans="1:15" x14ac:dyDescent="0.25">
      <c r="A273" s="64"/>
      <c r="B273" s="64"/>
      <c r="C273" s="65"/>
      <c r="D273" s="64"/>
      <c r="E273" s="65"/>
      <c r="F273" s="65"/>
      <c r="G273" s="64"/>
      <c r="H273" s="65"/>
      <c r="I273" s="65"/>
      <c r="J273" s="64"/>
      <c r="K273" s="65"/>
      <c r="L273" s="65"/>
      <c r="M273" s="64"/>
      <c r="N273" s="65"/>
      <c r="O273" s="65"/>
    </row>
    <row r="274" spans="1:15" x14ac:dyDescent="0.25">
      <c r="A274" s="64"/>
      <c r="B274" s="64"/>
      <c r="C274" s="65"/>
      <c r="D274" s="64"/>
      <c r="E274" s="65"/>
      <c r="F274" s="65"/>
      <c r="G274" s="64"/>
      <c r="H274" s="65"/>
      <c r="I274" s="65"/>
      <c r="J274" s="64"/>
      <c r="K274" s="65"/>
      <c r="L274" s="65"/>
      <c r="M274" s="64"/>
      <c r="N274" s="65"/>
      <c r="O274" s="65"/>
    </row>
    <row r="275" spans="1:15" x14ac:dyDescent="0.25">
      <c r="A275" s="64"/>
      <c r="B275" s="64"/>
      <c r="C275" s="65"/>
      <c r="D275" s="64"/>
      <c r="E275" s="65"/>
      <c r="F275" s="65"/>
      <c r="G275" s="64"/>
      <c r="H275" s="65"/>
      <c r="I275" s="65"/>
      <c r="J275" s="64"/>
      <c r="K275" s="65"/>
      <c r="L275" s="65"/>
      <c r="M275" s="64"/>
      <c r="N275" s="65"/>
      <c r="O275" s="65"/>
    </row>
    <row r="276" spans="1:15" x14ac:dyDescent="0.25">
      <c r="A276" s="64"/>
      <c r="B276" s="64"/>
      <c r="C276" s="65"/>
      <c r="D276" s="64"/>
      <c r="E276" s="65"/>
      <c r="F276" s="65"/>
      <c r="G276" s="64"/>
      <c r="H276" s="65"/>
      <c r="I276" s="65"/>
      <c r="J276" s="64"/>
      <c r="K276" s="65"/>
      <c r="L276" s="65"/>
      <c r="M276" s="64"/>
      <c r="N276" s="65"/>
      <c r="O276" s="65"/>
    </row>
    <row r="277" spans="1:15" x14ac:dyDescent="0.25">
      <c r="A277" s="64"/>
      <c r="B277" s="64"/>
      <c r="C277" s="65"/>
      <c r="D277" s="64"/>
      <c r="E277" s="65"/>
      <c r="F277" s="65"/>
      <c r="G277" s="64"/>
      <c r="H277" s="65"/>
      <c r="I277" s="65"/>
      <c r="J277" s="64"/>
      <c r="K277" s="65"/>
      <c r="L277" s="65"/>
      <c r="M277" s="64"/>
      <c r="N277" s="65"/>
      <c r="O277" s="65"/>
    </row>
    <row r="278" spans="1:15" x14ac:dyDescent="0.25">
      <c r="A278" s="64"/>
      <c r="B278" s="64"/>
      <c r="C278" s="65"/>
      <c r="D278" s="64"/>
      <c r="E278" s="65"/>
      <c r="F278" s="65"/>
      <c r="G278" s="64"/>
      <c r="H278" s="65"/>
      <c r="I278" s="65"/>
      <c r="J278" s="64"/>
      <c r="K278" s="65"/>
      <c r="L278" s="65"/>
      <c r="M278" s="64"/>
      <c r="N278" s="65"/>
      <c r="O278" s="65"/>
    </row>
    <row r="279" spans="1:15" x14ac:dyDescent="0.25">
      <c r="A279" s="64"/>
      <c r="B279" s="64"/>
      <c r="C279" s="65"/>
      <c r="D279" s="64"/>
      <c r="E279" s="65"/>
      <c r="F279" s="65"/>
      <c r="G279" s="64"/>
      <c r="H279" s="65"/>
      <c r="I279" s="65"/>
      <c r="J279" s="64"/>
      <c r="K279" s="65"/>
      <c r="L279" s="65"/>
      <c r="M279" s="64"/>
      <c r="N279" s="65"/>
      <c r="O279" s="65"/>
    </row>
    <row r="280" spans="1:15" x14ac:dyDescent="0.25">
      <c r="A280" s="64"/>
      <c r="B280" s="64"/>
      <c r="C280" s="65"/>
      <c r="D280" s="64"/>
      <c r="E280" s="65"/>
      <c r="F280" s="65"/>
      <c r="G280" s="64"/>
      <c r="H280" s="65"/>
      <c r="I280" s="65"/>
      <c r="J280" s="64"/>
      <c r="K280" s="65"/>
      <c r="L280" s="65"/>
      <c r="M280" s="64"/>
      <c r="N280" s="65"/>
      <c r="O280" s="65"/>
    </row>
    <row r="281" spans="1:15" x14ac:dyDescent="0.25">
      <c r="A281" s="64"/>
      <c r="B281" s="64"/>
      <c r="C281" s="65"/>
      <c r="D281" s="64"/>
      <c r="E281" s="65"/>
      <c r="F281" s="65"/>
      <c r="G281" s="64"/>
      <c r="H281" s="65"/>
      <c r="I281" s="65"/>
      <c r="J281" s="64"/>
      <c r="K281" s="65"/>
      <c r="L281" s="65"/>
      <c r="M281" s="64"/>
      <c r="N281" s="65"/>
      <c r="O281" s="65"/>
    </row>
    <row r="282" spans="1:15" x14ac:dyDescent="0.25">
      <c r="A282" s="64"/>
      <c r="B282" s="64"/>
      <c r="C282" s="65"/>
      <c r="D282" s="64"/>
      <c r="E282" s="65"/>
      <c r="F282" s="65"/>
      <c r="G282" s="64"/>
      <c r="H282" s="65"/>
      <c r="I282" s="65"/>
      <c r="J282" s="64"/>
      <c r="K282" s="65"/>
      <c r="L282" s="65"/>
      <c r="M282" s="64"/>
      <c r="N282" s="65"/>
      <c r="O282" s="65"/>
    </row>
    <row r="283" spans="1:15" x14ac:dyDescent="0.25">
      <c r="A283" s="64"/>
      <c r="B283" s="64"/>
      <c r="C283" s="65"/>
      <c r="D283" s="64"/>
      <c r="E283" s="65"/>
      <c r="F283" s="65"/>
      <c r="G283" s="64"/>
      <c r="H283" s="65"/>
      <c r="I283" s="65"/>
      <c r="J283" s="64"/>
      <c r="K283" s="65"/>
      <c r="L283" s="65"/>
      <c r="M283" s="64"/>
      <c r="N283" s="65"/>
      <c r="O283" s="65"/>
    </row>
    <row r="284" spans="1:15" x14ac:dyDescent="0.25">
      <c r="A284" s="64"/>
      <c r="B284" s="64"/>
      <c r="C284" s="65"/>
      <c r="D284" s="64"/>
      <c r="E284" s="65"/>
      <c r="F284" s="65"/>
      <c r="G284" s="64"/>
      <c r="H284" s="65"/>
      <c r="I284" s="65"/>
      <c r="J284" s="64"/>
      <c r="K284" s="65"/>
      <c r="L284" s="65"/>
      <c r="M284" s="64"/>
      <c r="N284" s="65"/>
      <c r="O284" s="65"/>
    </row>
    <row r="285" spans="1:15" x14ac:dyDescent="0.25">
      <c r="A285" s="64"/>
      <c r="B285" s="64"/>
      <c r="C285" s="65"/>
      <c r="D285" s="64"/>
      <c r="E285" s="65"/>
      <c r="F285" s="65"/>
      <c r="G285" s="64"/>
      <c r="H285" s="65"/>
      <c r="I285" s="65"/>
      <c r="J285" s="64"/>
      <c r="K285" s="65"/>
      <c r="L285" s="65"/>
      <c r="M285" s="64"/>
      <c r="N285" s="65"/>
      <c r="O285" s="65"/>
    </row>
    <row r="286" spans="1:15" x14ac:dyDescent="0.25">
      <c r="A286" s="64"/>
      <c r="B286" s="64"/>
      <c r="C286" s="65"/>
      <c r="D286" s="64"/>
      <c r="E286" s="65"/>
      <c r="F286" s="65"/>
      <c r="G286" s="64"/>
      <c r="H286" s="65"/>
      <c r="I286" s="65"/>
      <c r="J286" s="64"/>
      <c r="K286" s="65"/>
      <c r="L286" s="65"/>
      <c r="M286" s="64"/>
      <c r="N286" s="65"/>
      <c r="O286" s="65"/>
    </row>
    <row r="287" spans="1:15" x14ac:dyDescent="0.25">
      <c r="A287" s="64"/>
      <c r="B287" s="64"/>
      <c r="C287" s="65"/>
      <c r="D287" s="64"/>
      <c r="E287" s="65"/>
      <c r="F287" s="65"/>
      <c r="G287" s="64"/>
      <c r="H287" s="65"/>
      <c r="I287" s="65"/>
      <c r="J287" s="64"/>
      <c r="K287" s="65"/>
      <c r="L287" s="65"/>
      <c r="M287" s="64"/>
      <c r="N287" s="65"/>
      <c r="O287" s="65"/>
    </row>
    <row r="288" spans="1:15" x14ac:dyDescent="0.25">
      <c r="A288" s="64"/>
      <c r="B288" s="64"/>
      <c r="C288" s="65"/>
      <c r="D288" s="64"/>
      <c r="E288" s="65"/>
      <c r="F288" s="65"/>
      <c r="G288" s="64"/>
      <c r="H288" s="65"/>
      <c r="I288" s="65"/>
      <c r="J288" s="64"/>
      <c r="K288" s="65"/>
      <c r="L288" s="65"/>
      <c r="M288" s="64"/>
      <c r="N288" s="65"/>
      <c r="O288" s="65"/>
    </row>
    <row r="289" spans="1:15" x14ac:dyDescent="0.25">
      <c r="A289" s="64"/>
      <c r="B289" s="64"/>
      <c r="C289" s="65"/>
      <c r="D289" s="64"/>
      <c r="E289" s="65"/>
      <c r="F289" s="65"/>
      <c r="G289" s="64"/>
      <c r="H289" s="65"/>
      <c r="I289" s="65"/>
      <c r="J289" s="64"/>
      <c r="K289" s="65"/>
      <c r="L289" s="65"/>
      <c r="M289" s="64"/>
      <c r="N289" s="65"/>
      <c r="O289" s="65"/>
    </row>
    <row r="290" spans="1:15" x14ac:dyDescent="0.25">
      <c r="A290" s="64"/>
      <c r="B290" s="64"/>
      <c r="C290" s="65"/>
      <c r="D290" s="64"/>
      <c r="E290" s="65"/>
      <c r="F290" s="65"/>
      <c r="G290" s="64"/>
      <c r="H290" s="65"/>
      <c r="I290" s="65"/>
      <c r="J290" s="64"/>
      <c r="K290" s="65"/>
      <c r="L290" s="65"/>
      <c r="M290" s="64"/>
      <c r="N290" s="65"/>
      <c r="O290" s="65"/>
    </row>
    <row r="291" spans="1:15" x14ac:dyDescent="0.25">
      <c r="A291" s="64"/>
      <c r="B291" s="64"/>
      <c r="C291" s="65"/>
      <c r="D291" s="64"/>
      <c r="E291" s="65"/>
      <c r="F291" s="65"/>
      <c r="G291" s="64"/>
      <c r="H291" s="65"/>
      <c r="I291" s="65"/>
      <c r="J291" s="64"/>
      <c r="K291" s="65"/>
      <c r="L291" s="65"/>
      <c r="M291" s="64"/>
      <c r="N291" s="65"/>
      <c r="O291" s="65"/>
    </row>
    <row r="292" spans="1:15" x14ac:dyDescent="0.25">
      <c r="A292" s="64"/>
      <c r="B292" s="64"/>
      <c r="C292" s="65"/>
      <c r="D292" s="64"/>
      <c r="E292" s="65"/>
      <c r="F292" s="65"/>
      <c r="G292" s="64"/>
      <c r="H292" s="65"/>
      <c r="I292" s="65"/>
      <c r="J292" s="64"/>
      <c r="K292" s="65"/>
      <c r="L292" s="65"/>
      <c r="M292" s="64"/>
      <c r="N292" s="65"/>
      <c r="O292" s="65"/>
    </row>
    <row r="293" spans="1:15" x14ac:dyDescent="0.25">
      <c r="A293" s="64"/>
      <c r="B293" s="64"/>
      <c r="C293" s="65"/>
      <c r="D293" s="64"/>
      <c r="E293" s="65"/>
      <c r="F293" s="65"/>
      <c r="G293" s="64"/>
      <c r="H293" s="65"/>
      <c r="I293" s="65"/>
      <c r="J293" s="64"/>
      <c r="K293" s="65"/>
      <c r="L293" s="65"/>
      <c r="M293" s="64"/>
      <c r="N293" s="65"/>
      <c r="O293" s="65"/>
    </row>
    <row r="294" spans="1:15" x14ac:dyDescent="0.25">
      <c r="A294" s="64"/>
      <c r="B294" s="64"/>
      <c r="C294" s="65"/>
      <c r="D294" s="64"/>
      <c r="E294" s="65"/>
      <c r="F294" s="65"/>
      <c r="G294" s="64"/>
      <c r="H294" s="65"/>
      <c r="I294" s="65"/>
      <c r="J294" s="64"/>
      <c r="K294" s="65"/>
      <c r="L294" s="65"/>
      <c r="M294" s="64"/>
      <c r="N294" s="65"/>
      <c r="O294" s="65"/>
    </row>
    <row r="295" spans="1:15" x14ac:dyDescent="0.25">
      <c r="A295" s="64"/>
      <c r="B295" s="64"/>
      <c r="C295" s="65"/>
      <c r="D295" s="64"/>
      <c r="E295" s="65"/>
      <c r="F295" s="65"/>
      <c r="G295" s="64"/>
      <c r="H295" s="65"/>
      <c r="I295" s="65"/>
      <c r="J295" s="64"/>
      <c r="K295" s="65"/>
      <c r="L295" s="65"/>
      <c r="M295" s="64"/>
      <c r="N295" s="65"/>
      <c r="O295" s="65"/>
    </row>
    <row r="296" spans="1:15" x14ac:dyDescent="0.25">
      <c r="A296" s="64"/>
      <c r="B296" s="64"/>
      <c r="C296" s="65"/>
      <c r="D296" s="64"/>
      <c r="E296" s="65"/>
      <c r="F296" s="65"/>
      <c r="G296" s="64"/>
      <c r="H296" s="65"/>
      <c r="I296" s="65"/>
      <c r="J296" s="64"/>
      <c r="K296" s="65"/>
      <c r="L296" s="65"/>
      <c r="M296" s="64"/>
      <c r="N296" s="65"/>
      <c r="O296" s="65"/>
    </row>
    <row r="297" spans="1:15" x14ac:dyDescent="0.25">
      <c r="A297" s="64"/>
      <c r="B297" s="64"/>
      <c r="C297" s="65"/>
      <c r="D297" s="64"/>
      <c r="E297" s="65"/>
      <c r="F297" s="65"/>
      <c r="G297" s="64"/>
      <c r="H297" s="65"/>
      <c r="I297" s="65"/>
      <c r="J297" s="64"/>
      <c r="K297" s="65"/>
      <c r="L297" s="65"/>
      <c r="M297" s="64"/>
      <c r="N297" s="65"/>
      <c r="O297" s="65"/>
    </row>
    <row r="298" spans="1:15" x14ac:dyDescent="0.25">
      <c r="A298" s="64"/>
      <c r="B298" s="64"/>
      <c r="C298" s="65"/>
      <c r="D298" s="64"/>
      <c r="E298" s="65"/>
      <c r="F298" s="65"/>
      <c r="G298" s="64"/>
      <c r="H298" s="65"/>
      <c r="I298" s="65"/>
      <c r="J298" s="64"/>
      <c r="K298" s="65"/>
      <c r="L298" s="65"/>
      <c r="M298" s="64"/>
      <c r="N298" s="65"/>
      <c r="O298" s="65"/>
    </row>
    <row r="299" spans="1:15" x14ac:dyDescent="0.25">
      <c r="A299" s="64"/>
      <c r="B299" s="64"/>
      <c r="C299" s="65"/>
      <c r="D299" s="64"/>
      <c r="E299" s="65"/>
      <c r="F299" s="65"/>
      <c r="G299" s="64"/>
      <c r="H299" s="65"/>
      <c r="I299" s="65"/>
      <c r="J299" s="64"/>
      <c r="K299" s="65"/>
      <c r="L299" s="65"/>
      <c r="M299" s="64"/>
      <c r="N299" s="65"/>
      <c r="O299" s="65"/>
    </row>
    <row r="300" spans="1:15" x14ac:dyDescent="0.25">
      <c r="A300" s="64"/>
      <c r="B300" s="64"/>
      <c r="C300" s="65"/>
      <c r="D300" s="64"/>
      <c r="E300" s="65"/>
      <c r="F300" s="65"/>
      <c r="G300" s="64"/>
      <c r="H300" s="65"/>
      <c r="I300" s="65"/>
      <c r="J300" s="64"/>
      <c r="K300" s="65"/>
      <c r="L300" s="65"/>
      <c r="M300" s="64"/>
      <c r="N300" s="65"/>
      <c r="O300" s="65"/>
    </row>
    <row r="301" spans="1:15" x14ac:dyDescent="0.25">
      <c r="A301" s="64"/>
      <c r="B301" s="64"/>
      <c r="C301" s="65"/>
      <c r="D301" s="64"/>
      <c r="E301" s="65"/>
      <c r="F301" s="65"/>
      <c r="G301" s="64"/>
      <c r="H301" s="65"/>
      <c r="I301" s="65"/>
      <c r="J301" s="64"/>
      <c r="K301" s="65"/>
      <c r="L301" s="65"/>
      <c r="M301" s="64"/>
      <c r="N301" s="65"/>
      <c r="O301" s="65"/>
    </row>
    <row r="302" spans="1:15" x14ac:dyDescent="0.25">
      <c r="A302" s="64"/>
      <c r="B302" s="64"/>
      <c r="C302" s="65"/>
      <c r="D302" s="64"/>
      <c r="E302" s="65"/>
      <c r="F302" s="65"/>
      <c r="G302" s="64"/>
      <c r="H302" s="65"/>
      <c r="I302" s="65"/>
      <c r="J302" s="64"/>
      <c r="K302" s="65"/>
      <c r="L302" s="65"/>
      <c r="M302" s="64"/>
      <c r="N302" s="65"/>
      <c r="O302" s="65"/>
    </row>
    <row r="303" spans="1:15" x14ac:dyDescent="0.25">
      <c r="A303" s="64"/>
      <c r="B303" s="64"/>
      <c r="C303" s="65"/>
      <c r="D303" s="64"/>
      <c r="E303" s="65"/>
      <c r="F303" s="65"/>
      <c r="G303" s="64"/>
      <c r="H303" s="65"/>
      <c r="I303" s="65"/>
      <c r="J303" s="64"/>
      <c r="K303" s="65"/>
      <c r="L303" s="65"/>
      <c r="M303" s="64"/>
      <c r="N303" s="65"/>
      <c r="O303" s="65"/>
    </row>
    <row r="304" spans="1:15" x14ac:dyDescent="0.25">
      <c r="A304" s="64"/>
      <c r="B304" s="64"/>
      <c r="C304" s="65"/>
      <c r="D304" s="64"/>
      <c r="E304" s="65"/>
      <c r="F304" s="65"/>
      <c r="G304" s="64"/>
      <c r="H304" s="65"/>
      <c r="I304" s="65"/>
      <c r="J304" s="64"/>
      <c r="K304" s="65"/>
      <c r="L304" s="65"/>
      <c r="M304" s="64"/>
      <c r="N304" s="65"/>
      <c r="O304" s="65"/>
    </row>
    <row r="305" spans="1:15" x14ac:dyDescent="0.25">
      <c r="A305" s="64"/>
      <c r="B305" s="64"/>
      <c r="C305" s="65"/>
      <c r="D305" s="64"/>
      <c r="E305" s="65"/>
      <c r="F305" s="65"/>
      <c r="G305" s="64"/>
      <c r="H305" s="65"/>
      <c r="I305" s="65"/>
      <c r="J305" s="64"/>
      <c r="K305" s="65"/>
      <c r="L305" s="65"/>
      <c r="M305" s="64"/>
      <c r="N305" s="65"/>
      <c r="O305" s="65"/>
    </row>
    <row r="306" spans="1:15" x14ac:dyDescent="0.25">
      <c r="A306" s="64"/>
      <c r="B306" s="64"/>
      <c r="C306" s="65"/>
      <c r="D306" s="64"/>
      <c r="E306" s="65"/>
      <c r="F306" s="65"/>
      <c r="G306" s="64"/>
      <c r="H306" s="65"/>
      <c r="I306" s="65"/>
      <c r="J306" s="64"/>
      <c r="K306" s="65"/>
      <c r="L306" s="65"/>
      <c r="M306" s="64"/>
      <c r="N306" s="65"/>
      <c r="O306" s="65"/>
    </row>
    <row r="307" spans="1:15" x14ac:dyDescent="0.25">
      <c r="A307" s="64"/>
      <c r="B307" s="64"/>
      <c r="C307" s="65"/>
      <c r="D307" s="64"/>
      <c r="E307" s="65"/>
      <c r="F307" s="65"/>
      <c r="G307" s="64"/>
      <c r="H307" s="65"/>
      <c r="I307" s="65"/>
      <c r="J307" s="64"/>
      <c r="K307" s="65"/>
      <c r="L307" s="65"/>
      <c r="M307" s="64"/>
      <c r="N307" s="65"/>
      <c r="O307" s="65"/>
    </row>
    <row r="308" spans="1:15" x14ac:dyDescent="0.25">
      <c r="A308" s="64"/>
      <c r="B308" s="64"/>
      <c r="C308" s="65"/>
      <c r="D308" s="64"/>
      <c r="E308" s="65"/>
      <c r="F308" s="65"/>
      <c r="G308" s="64"/>
      <c r="H308" s="65"/>
      <c r="I308" s="65"/>
      <c r="J308" s="64"/>
      <c r="K308" s="65"/>
      <c r="L308" s="65"/>
      <c r="M308" s="64"/>
      <c r="N308" s="65"/>
      <c r="O308" s="65"/>
    </row>
    <row r="309" spans="1:15" x14ac:dyDescent="0.25">
      <c r="A309" s="64"/>
      <c r="B309" s="64"/>
      <c r="C309" s="65"/>
      <c r="D309" s="64"/>
      <c r="E309" s="65"/>
      <c r="F309" s="65"/>
      <c r="G309" s="64"/>
      <c r="H309" s="65"/>
      <c r="I309" s="65"/>
      <c r="J309" s="64"/>
      <c r="K309" s="65"/>
      <c r="L309" s="65"/>
      <c r="M309" s="64"/>
      <c r="N309" s="65"/>
      <c r="O309" s="65"/>
    </row>
    <row r="310" spans="1:15" x14ac:dyDescent="0.25">
      <c r="A310" s="64"/>
      <c r="B310" s="64"/>
      <c r="C310" s="65"/>
      <c r="D310" s="64"/>
      <c r="E310" s="65"/>
      <c r="F310" s="65"/>
      <c r="G310" s="64"/>
      <c r="H310" s="65"/>
      <c r="I310" s="65"/>
      <c r="J310" s="64"/>
      <c r="K310" s="65"/>
      <c r="L310" s="65"/>
      <c r="M310" s="64"/>
      <c r="N310" s="65"/>
      <c r="O310" s="65"/>
    </row>
    <row r="311" spans="1:15" x14ac:dyDescent="0.25">
      <c r="A311" s="64"/>
      <c r="B311" s="64"/>
      <c r="C311" s="65"/>
      <c r="D311" s="64"/>
      <c r="E311" s="65"/>
      <c r="F311" s="65"/>
      <c r="G311" s="64"/>
      <c r="H311" s="65"/>
      <c r="I311" s="65"/>
      <c r="J311" s="64"/>
      <c r="K311" s="65"/>
      <c r="L311" s="65"/>
      <c r="M311" s="64"/>
      <c r="N311" s="65"/>
      <c r="O311" s="65"/>
    </row>
    <row r="312" spans="1:15" x14ac:dyDescent="0.25">
      <c r="A312" s="64"/>
      <c r="B312" s="64"/>
      <c r="C312" s="65"/>
      <c r="D312" s="64"/>
      <c r="E312" s="65"/>
      <c r="F312" s="65"/>
      <c r="G312" s="64"/>
      <c r="H312" s="65"/>
      <c r="I312" s="65"/>
      <c r="J312" s="64"/>
      <c r="K312" s="65"/>
      <c r="L312" s="65"/>
      <c r="M312" s="64"/>
      <c r="N312" s="65"/>
      <c r="O312" s="65"/>
    </row>
    <row r="313" spans="1:15" x14ac:dyDescent="0.25">
      <c r="A313" s="64"/>
      <c r="B313" s="64"/>
      <c r="C313" s="65"/>
      <c r="D313" s="64"/>
      <c r="E313" s="65"/>
      <c r="F313" s="65"/>
      <c r="G313" s="64"/>
      <c r="H313" s="65"/>
      <c r="I313" s="65"/>
      <c r="J313" s="64"/>
      <c r="K313" s="65"/>
      <c r="L313" s="65"/>
      <c r="M313" s="64"/>
      <c r="N313" s="65"/>
      <c r="O313" s="65"/>
    </row>
    <row r="314" spans="1:15" x14ac:dyDescent="0.25">
      <c r="A314" s="64"/>
      <c r="B314" s="64"/>
      <c r="C314" s="65"/>
      <c r="D314" s="64"/>
      <c r="E314" s="65"/>
      <c r="F314" s="65"/>
      <c r="G314" s="64"/>
      <c r="H314" s="65"/>
      <c r="I314" s="65"/>
      <c r="J314" s="64"/>
      <c r="K314" s="65"/>
      <c r="L314" s="65"/>
      <c r="M314" s="64"/>
      <c r="N314" s="65"/>
      <c r="O314" s="65"/>
    </row>
    <row r="315" spans="1:15" x14ac:dyDescent="0.25">
      <c r="A315" s="64"/>
      <c r="B315" s="64"/>
      <c r="C315" s="65"/>
      <c r="D315" s="64"/>
      <c r="E315" s="65"/>
      <c r="F315" s="65"/>
      <c r="G315" s="64"/>
      <c r="H315" s="65"/>
      <c r="I315" s="65"/>
      <c r="J315" s="64"/>
      <c r="K315" s="65"/>
      <c r="L315" s="65"/>
      <c r="M315" s="64"/>
      <c r="N315" s="65"/>
      <c r="O315" s="65"/>
    </row>
    <row r="316" spans="1:15" x14ac:dyDescent="0.25">
      <c r="A316" s="64"/>
      <c r="B316" s="64"/>
      <c r="C316" s="65"/>
      <c r="D316" s="64"/>
      <c r="E316" s="65"/>
      <c r="F316" s="65"/>
      <c r="G316" s="64"/>
      <c r="H316" s="65"/>
      <c r="I316" s="65"/>
      <c r="J316" s="64"/>
      <c r="K316" s="65"/>
      <c r="L316" s="65"/>
      <c r="M316" s="64"/>
      <c r="N316" s="65"/>
      <c r="O316" s="65"/>
    </row>
    <row r="317" spans="1:15" x14ac:dyDescent="0.25">
      <c r="A317" s="64"/>
      <c r="B317" s="64"/>
      <c r="C317" s="65"/>
      <c r="D317" s="64"/>
      <c r="E317" s="65"/>
      <c r="F317" s="65"/>
      <c r="G317" s="64"/>
      <c r="H317" s="65"/>
      <c r="I317" s="65"/>
      <c r="J317" s="64"/>
      <c r="K317" s="65"/>
      <c r="L317" s="65"/>
      <c r="M317" s="64"/>
      <c r="N317" s="65"/>
      <c r="O317" s="65"/>
    </row>
    <row r="318" spans="1:15" x14ac:dyDescent="0.25">
      <c r="A318" s="64"/>
      <c r="B318" s="64"/>
      <c r="C318" s="65"/>
      <c r="D318" s="64"/>
      <c r="E318" s="65"/>
      <c r="F318" s="65"/>
      <c r="G318" s="64"/>
      <c r="H318" s="65"/>
      <c r="I318" s="65"/>
      <c r="J318" s="64"/>
      <c r="K318" s="65"/>
      <c r="L318" s="65"/>
      <c r="M318" s="64"/>
      <c r="N318" s="65"/>
      <c r="O318" s="65"/>
    </row>
    <row r="319" spans="1:15" x14ac:dyDescent="0.25">
      <c r="A319" s="64"/>
      <c r="B319" s="64"/>
      <c r="C319" s="65"/>
      <c r="D319" s="64"/>
      <c r="E319" s="65"/>
      <c r="F319" s="65"/>
      <c r="G319" s="64"/>
      <c r="H319" s="65"/>
      <c r="I319" s="65"/>
      <c r="J319" s="64"/>
      <c r="K319" s="65"/>
      <c r="L319" s="65"/>
      <c r="M319" s="64"/>
      <c r="N319" s="65"/>
      <c r="O319" s="65"/>
    </row>
    <row r="320" spans="1:15" x14ac:dyDescent="0.25">
      <c r="A320" s="64"/>
      <c r="B320" s="64"/>
      <c r="C320" s="65"/>
      <c r="D320" s="64"/>
      <c r="E320" s="65"/>
      <c r="F320" s="65"/>
      <c r="G320" s="64"/>
      <c r="H320" s="65"/>
      <c r="I320" s="65"/>
      <c r="J320" s="64"/>
      <c r="K320" s="65"/>
      <c r="L320" s="65"/>
      <c r="M320" s="64"/>
      <c r="N320" s="65"/>
      <c r="O320" s="65"/>
    </row>
    <row r="321" spans="1:15" x14ac:dyDescent="0.25">
      <c r="A321" s="64"/>
      <c r="B321" s="64"/>
      <c r="C321" s="65"/>
      <c r="D321" s="64"/>
      <c r="E321" s="65"/>
      <c r="F321" s="65"/>
      <c r="G321" s="64"/>
      <c r="H321" s="65"/>
      <c r="I321" s="65"/>
      <c r="J321" s="64"/>
      <c r="K321" s="65"/>
      <c r="L321" s="65"/>
      <c r="M321" s="64"/>
      <c r="N321" s="65"/>
      <c r="O321" s="65"/>
    </row>
    <row r="322" spans="1:15" x14ac:dyDescent="0.25">
      <c r="A322" s="64"/>
      <c r="B322" s="64"/>
      <c r="C322" s="65"/>
      <c r="D322" s="64"/>
      <c r="E322" s="65"/>
      <c r="F322" s="65"/>
      <c r="G322" s="64"/>
      <c r="H322" s="65"/>
      <c r="I322" s="65"/>
      <c r="J322" s="64"/>
      <c r="K322" s="65"/>
      <c r="L322" s="65"/>
      <c r="M322" s="64"/>
      <c r="N322" s="65"/>
      <c r="O322" s="65"/>
    </row>
    <row r="323" spans="1:15" x14ac:dyDescent="0.25">
      <c r="A323" s="64"/>
      <c r="B323" s="64"/>
      <c r="C323" s="65"/>
      <c r="D323" s="64"/>
      <c r="E323" s="65"/>
      <c r="F323" s="65"/>
      <c r="G323" s="64"/>
      <c r="H323" s="65"/>
      <c r="I323" s="65"/>
      <c r="J323" s="64"/>
      <c r="K323" s="65"/>
      <c r="L323" s="65"/>
      <c r="M323" s="64"/>
      <c r="N323" s="65"/>
      <c r="O323" s="65"/>
    </row>
    <row r="324" spans="1:15" x14ac:dyDescent="0.25">
      <c r="A324" s="64"/>
      <c r="B324" s="64"/>
      <c r="C324" s="65"/>
      <c r="D324" s="64"/>
      <c r="E324" s="65"/>
      <c r="F324" s="65"/>
      <c r="G324" s="64"/>
      <c r="H324" s="65"/>
      <c r="I324" s="65"/>
      <c r="J324" s="64"/>
      <c r="K324" s="65"/>
      <c r="L324" s="65"/>
      <c r="M324" s="64"/>
      <c r="N324" s="65"/>
      <c r="O324" s="65"/>
    </row>
    <row r="325" spans="1:15" x14ac:dyDescent="0.25">
      <c r="A325" s="64"/>
      <c r="B325" s="64"/>
      <c r="C325" s="65"/>
      <c r="D325" s="64"/>
      <c r="E325" s="65"/>
      <c r="F325" s="65"/>
      <c r="G325" s="64"/>
      <c r="H325" s="65"/>
      <c r="I325" s="65"/>
      <c r="J325" s="64"/>
      <c r="K325" s="65"/>
      <c r="L325" s="65"/>
      <c r="M325" s="64"/>
      <c r="N325" s="65"/>
      <c r="O325" s="65"/>
    </row>
    <row r="326" spans="1:15" x14ac:dyDescent="0.25">
      <c r="A326" s="64"/>
      <c r="B326" s="64"/>
      <c r="C326" s="65"/>
      <c r="D326" s="64"/>
      <c r="E326" s="65"/>
      <c r="F326" s="65"/>
      <c r="G326" s="64"/>
      <c r="H326" s="65"/>
      <c r="I326" s="65"/>
      <c r="J326" s="64"/>
      <c r="K326" s="65"/>
      <c r="L326" s="65"/>
      <c r="M326" s="64"/>
      <c r="N326" s="65"/>
      <c r="O326" s="65"/>
    </row>
    <row r="327" spans="1:15" x14ac:dyDescent="0.25">
      <c r="A327" s="64"/>
      <c r="B327" s="64"/>
      <c r="C327" s="65"/>
      <c r="D327" s="64"/>
      <c r="E327" s="65"/>
      <c r="F327" s="65"/>
      <c r="G327" s="64"/>
      <c r="H327" s="65"/>
      <c r="I327" s="65"/>
      <c r="J327" s="64"/>
      <c r="K327" s="65"/>
      <c r="L327" s="65"/>
      <c r="M327" s="64"/>
      <c r="N327" s="65"/>
      <c r="O327" s="65"/>
    </row>
    <row r="328" spans="1:15" x14ac:dyDescent="0.25">
      <c r="A328" s="64"/>
      <c r="B328" s="64"/>
      <c r="C328" s="65"/>
      <c r="D328" s="64"/>
      <c r="E328" s="65"/>
      <c r="F328" s="65"/>
      <c r="G328" s="64"/>
      <c r="H328" s="65"/>
      <c r="I328" s="65"/>
      <c r="J328" s="64"/>
      <c r="K328" s="65"/>
      <c r="L328" s="65"/>
      <c r="M328" s="64"/>
      <c r="N328" s="65"/>
      <c r="O328" s="65"/>
    </row>
    <row r="329" spans="1:15" x14ac:dyDescent="0.25">
      <c r="A329" s="64"/>
      <c r="B329" s="64"/>
      <c r="C329" s="65"/>
      <c r="D329" s="64"/>
      <c r="E329" s="65"/>
      <c r="F329" s="65"/>
      <c r="G329" s="64"/>
      <c r="H329" s="65"/>
      <c r="I329" s="65"/>
      <c r="J329" s="64"/>
      <c r="K329" s="65"/>
      <c r="L329" s="65"/>
      <c r="M329" s="64"/>
      <c r="N329" s="65"/>
      <c r="O329" s="65"/>
    </row>
    <row r="330" spans="1:15" x14ac:dyDescent="0.25">
      <c r="A330" s="64"/>
      <c r="B330" s="64"/>
      <c r="C330" s="65"/>
      <c r="D330" s="64"/>
      <c r="E330" s="65"/>
      <c r="F330" s="65"/>
      <c r="G330" s="64"/>
      <c r="H330" s="65"/>
      <c r="I330" s="65"/>
      <c r="J330" s="64"/>
      <c r="K330" s="65"/>
      <c r="L330" s="65"/>
      <c r="M330" s="64"/>
      <c r="N330" s="65"/>
      <c r="O330" s="65"/>
    </row>
    <row r="331" spans="1:15" x14ac:dyDescent="0.25">
      <c r="A331" s="64"/>
      <c r="B331" s="64"/>
      <c r="C331" s="65"/>
      <c r="D331" s="64"/>
      <c r="E331" s="65"/>
      <c r="F331" s="65"/>
      <c r="G331" s="64"/>
      <c r="H331" s="65"/>
      <c r="I331" s="65"/>
      <c r="J331" s="64"/>
      <c r="K331" s="65"/>
      <c r="L331" s="65"/>
      <c r="M331" s="64"/>
      <c r="N331" s="65"/>
      <c r="O331" s="65"/>
    </row>
    <row r="332" spans="1:15" x14ac:dyDescent="0.25">
      <c r="A332" s="64"/>
      <c r="B332" s="64"/>
      <c r="C332" s="65"/>
      <c r="D332" s="64"/>
      <c r="E332" s="65"/>
      <c r="F332" s="65"/>
      <c r="G332" s="64"/>
      <c r="H332" s="65"/>
      <c r="I332" s="65"/>
      <c r="J332" s="64"/>
      <c r="K332" s="65"/>
      <c r="L332" s="65"/>
      <c r="M332" s="64"/>
      <c r="N332" s="65"/>
      <c r="O332" s="65"/>
    </row>
    <row r="333" spans="1:15" x14ac:dyDescent="0.25">
      <c r="A333" s="64"/>
      <c r="B333" s="64"/>
      <c r="C333" s="65"/>
      <c r="D333" s="64"/>
      <c r="E333" s="65"/>
      <c r="F333" s="65"/>
      <c r="G333" s="64"/>
      <c r="H333" s="65"/>
      <c r="I333" s="65"/>
      <c r="J333" s="64"/>
      <c r="K333" s="65"/>
      <c r="L333" s="65"/>
      <c r="M333" s="64"/>
      <c r="N333" s="65"/>
      <c r="O333" s="65"/>
    </row>
    <row r="334" spans="1:15" x14ac:dyDescent="0.25">
      <c r="A334" s="64"/>
      <c r="B334" s="64"/>
      <c r="C334" s="65"/>
      <c r="D334" s="64"/>
      <c r="E334" s="65"/>
      <c r="F334" s="65"/>
      <c r="G334" s="64"/>
      <c r="H334" s="65"/>
      <c r="I334" s="65"/>
      <c r="J334" s="64"/>
      <c r="K334" s="65"/>
      <c r="L334" s="65"/>
      <c r="M334" s="64"/>
      <c r="N334" s="65"/>
      <c r="O334" s="65"/>
    </row>
    <row r="335" spans="1:15" x14ac:dyDescent="0.25">
      <c r="A335" s="64"/>
      <c r="B335" s="64"/>
      <c r="C335" s="65"/>
      <c r="D335" s="64"/>
      <c r="E335" s="65"/>
      <c r="F335" s="65"/>
      <c r="G335" s="64"/>
      <c r="H335" s="65"/>
      <c r="I335" s="65"/>
      <c r="J335" s="64"/>
      <c r="K335" s="65"/>
      <c r="L335" s="65"/>
      <c r="M335" s="64"/>
      <c r="N335" s="65"/>
      <c r="O335" s="65"/>
    </row>
    <row r="336" spans="1:15" x14ac:dyDescent="0.25">
      <c r="A336" s="64"/>
      <c r="B336" s="64"/>
      <c r="C336" s="65"/>
      <c r="D336" s="64"/>
      <c r="E336" s="65"/>
      <c r="F336" s="65"/>
      <c r="G336" s="64"/>
      <c r="H336" s="65"/>
      <c r="I336" s="65"/>
      <c r="J336" s="64"/>
      <c r="K336" s="65"/>
      <c r="L336" s="65"/>
      <c r="M336" s="64"/>
      <c r="N336" s="65"/>
      <c r="O336" s="65"/>
    </row>
    <row r="337" spans="1:15" x14ac:dyDescent="0.25">
      <c r="A337" s="64"/>
      <c r="B337" s="64"/>
      <c r="C337" s="65"/>
      <c r="D337" s="64"/>
      <c r="E337" s="65"/>
      <c r="F337" s="65"/>
      <c r="G337" s="64"/>
      <c r="H337" s="65"/>
      <c r="I337" s="65"/>
      <c r="J337" s="64"/>
      <c r="K337" s="65"/>
      <c r="L337" s="65"/>
      <c r="M337" s="64"/>
      <c r="N337" s="65"/>
      <c r="O337" s="65"/>
    </row>
    <row r="338" spans="1:15" x14ac:dyDescent="0.25">
      <c r="A338" s="64"/>
      <c r="B338" s="64"/>
      <c r="C338" s="65"/>
      <c r="D338" s="64"/>
      <c r="E338" s="65"/>
      <c r="F338" s="65"/>
      <c r="G338" s="64"/>
      <c r="H338" s="65"/>
      <c r="I338" s="65"/>
      <c r="J338" s="64"/>
      <c r="K338" s="65"/>
      <c r="L338" s="65"/>
      <c r="M338" s="64"/>
      <c r="N338" s="65"/>
      <c r="O338" s="65"/>
    </row>
    <row r="339" spans="1:15" x14ac:dyDescent="0.25">
      <c r="A339" s="64"/>
      <c r="B339" s="64"/>
      <c r="C339" s="65"/>
      <c r="D339" s="64"/>
      <c r="E339" s="65"/>
      <c r="F339" s="65"/>
      <c r="G339" s="64"/>
      <c r="H339" s="65"/>
      <c r="I339" s="65"/>
      <c r="J339" s="64"/>
      <c r="K339" s="65"/>
      <c r="L339" s="65"/>
      <c r="M339" s="64"/>
      <c r="N339" s="65"/>
      <c r="O339" s="65"/>
    </row>
    <row r="340" spans="1:15" x14ac:dyDescent="0.25">
      <c r="A340" s="64"/>
      <c r="B340" s="64"/>
      <c r="C340" s="65"/>
      <c r="D340" s="64"/>
      <c r="E340" s="65"/>
      <c r="F340" s="65"/>
      <c r="G340" s="64"/>
      <c r="H340" s="65"/>
      <c r="I340" s="65"/>
      <c r="J340" s="64"/>
      <c r="K340" s="65"/>
      <c r="L340" s="65"/>
      <c r="M340" s="64"/>
      <c r="N340" s="65"/>
      <c r="O340" s="65"/>
    </row>
    <row r="341" spans="1:15" x14ac:dyDescent="0.25">
      <c r="A341" s="64"/>
      <c r="B341" s="64"/>
      <c r="C341" s="65"/>
      <c r="D341" s="64"/>
      <c r="E341" s="65"/>
      <c r="F341" s="65"/>
      <c r="G341" s="64"/>
      <c r="H341" s="65"/>
      <c r="I341" s="65"/>
      <c r="J341" s="64"/>
      <c r="K341" s="65"/>
      <c r="L341" s="65"/>
      <c r="M341" s="64"/>
      <c r="N341" s="65"/>
      <c r="O341" s="65"/>
    </row>
    <row r="342" spans="1:15" x14ac:dyDescent="0.25">
      <c r="A342" s="64"/>
      <c r="B342" s="64"/>
      <c r="C342" s="65"/>
      <c r="D342" s="64"/>
      <c r="E342" s="65"/>
      <c r="F342" s="65"/>
      <c r="G342" s="64"/>
      <c r="H342" s="65"/>
      <c r="I342" s="65"/>
      <c r="J342" s="64"/>
      <c r="K342" s="65"/>
      <c r="L342" s="65"/>
      <c r="M342" s="64"/>
      <c r="N342" s="65"/>
      <c r="O342" s="65"/>
    </row>
    <row r="343" spans="1:15" x14ac:dyDescent="0.25">
      <c r="A343" s="64"/>
      <c r="B343" s="64"/>
      <c r="C343" s="65"/>
      <c r="D343" s="64"/>
      <c r="E343" s="65"/>
      <c r="F343" s="65"/>
      <c r="G343" s="64"/>
      <c r="H343" s="65"/>
      <c r="I343" s="65"/>
      <c r="J343" s="64"/>
      <c r="K343" s="65"/>
      <c r="L343" s="65"/>
      <c r="M343" s="64"/>
      <c r="N343" s="65"/>
      <c r="O343" s="65"/>
    </row>
    <row r="344" spans="1:15" x14ac:dyDescent="0.25">
      <c r="A344" s="64"/>
      <c r="B344" s="64"/>
      <c r="C344" s="65"/>
      <c r="D344" s="64"/>
      <c r="E344" s="65"/>
      <c r="F344" s="65"/>
      <c r="G344" s="64"/>
      <c r="H344" s="65"/>
      <c r="I344" s="65"/>
      <c r="J344" s="64"/>
      <c r="K344" s="65"/>
      <c r="L344" s="65"/>
      <c r="M344" s="64"/>
      <c r="N344" s="65"/>
      <c r="O344" s="65"/>
    </row>
    <row r="345" spans="1:15" x14ac:dyDescent="0.25">
      <c r="A345" s="64"/>
      <c r="B345" s="64"/>
      <c r="C345" s="65"/>
      <c r="D345" s="64"/>
      <c r="E345" s="65"/>
      <c r="F345" s="65"/>
      <c r="G345" s="64"/>
      <c r="H345" s="65"/>
      <c r="I345" s="65"/>
      <c r="J345" s="64"/>
      <c r="K345" s="65"/>
      <c r="L345" s="65"/>
      <c r="M345" s="64"/>
      <c r="N345" s="65"/>
      <c r="O345" s="65"/>
    </row>
    <row r="346" spans="1:15" x14ac:dyDescent="0.25">
      <c r="A346" s="64"/>
      <c r="B346" s="64"/>
      <c r="C346" s="65"/>
      <c r="D346" s="64"/>
      <c r="E346" s="65"/>
      <c r="F346" s="65"/>
      <c r="G346" s="64"/>
      <c r="H346" s="65"/>
      <c r="I346" s="65"/>
      <c r="J346" s="64"/>
      <c r="K346" s="65"/>
      <c r="L346" s="65"/>
      <c r="M346" s="64"/>
      <c r="N346" s="65"/>
      <c r="O346" s="65"/>
    </row>
    <row r="347" spans="1:15" x14ac:dyDescent="0.25">
      <c r="A347" s="64"/>
      <c r="B347" s="64"/>
      <c r="C347" s="65"/>
      <c r="D347" s="64"/>
      <c r="E347" s="65"/>
      <c r="F347" s="65"/>
      <c r="G347" s="64"/>
      <c r="H347" s="65"/>
      <c r="I347" s="65"/>
      <c r="J347" s="64"/>
      <c r="K347" s="65"/>
      <c r="L347" s="65"/>
      <c r="M347" s="64"/>
      <c r="N347" s="65"/>
      <c r="O347" s="65"/>
    </row>
    <row r="348" spans="1:15" x14ac:dyDescent="0.25">
      <c r="A348" s="64"/>
      <c r="B348" s="64"/>
      <c r="C348" s="65"/>
      <c r="D348" s="64"/>
      <c r="E348" s="65"/>
      <c r="F348" s="65"/>
      <c r="G348" s="64"/>
      <c r="H348" s="65"/>
      <c r="I348" s="65"/>
      <c r="J348" s="64"/>
      <c r="K348" s="65"/>
      <c r="L348" s="65"/>
      <c r="M348" s="64"/>
      <c r="N348" s="65"/>
      <c r="O348" s="65"/>
    </row>
    <row r="349" spans="1:15" x14ac:dyDescent="0.25">
      <c r="A349" s="64"/>
      <c r="B349" s="64"/>
      <c r="C349" s="65"/>
      <c r="D349" s="64"/>
      <c r="E349" s="65"/>
      <c r="F349" s="65"/>
      <c r="G349" s="64"/>
      <c r="H349" s="65"/>
      <c r="I349" s="65"/>
      <c r="J349" s="64"/>
      <c r="K349" s="65"/>
      <c r="L349" s="65"/>
      <c r="M349" s="64"/>
      <c r="N349" s="65"/>
      <c r="O349" s="65"/>
    </row>
    <row r="350" spans="1:15" x14ac:dyDescent="0.25">
      <c r="A350" s="64"/>
      <c r="B350" s="64"/>
      <c r="C350" s="65"/>
      <c r="D350" s="64"/>
      <c r="E350" s="65"/>
      <c r="F350" s="65"/>
      <c r="G350" s="64"/>
      <c r="H350" s="65"/>
      <c r="I350" s="65"/>
      <c r="J350" s="64"/>
      <c r="K350" s="65"/>
      <c r="L350" s="65"/>
      <c r="M350" s="64"/>
      <c r="N350" s="65"/>
      <c r="O350" s="65"/>
    </row>
    <row r="351" spans="1:15" x14ac:dyDescent="0.25">
      <c r="A351" s="64"/>
      <c r="B351" s="64"/>
      <c r="C351" s="65"/>
      <c r="D351" s="64"/>
      <c r="E351" s="65"/>
      <c r="F351" s="65"/>
      <c r="G351" s="64"/>
      <c r="H351" s="65"/>
      <c r="I351" s="65"/>
      <c r="J351" s="64"/>
      <c r="K351" s="65"/>
      <c r="L351" s="65"/>
      <c r="M351" s="64"/>
      <c r="N351" s="65"/>
      <c r="O351" s="65"/>
    </row>
    <row r="352" spans="1:15" x14ac:dyDescent="0.25">
      <c r="A352" s="64"/>
      <c r="B352" s="64"/>
      <c r="C352" s="65"/>
      <c r="D352" s="64"/>
      <c r="E352" s="65"/>
      <c r="F352" s="65"/>
      <c r="G352" s="64"/>
      <c r="H352" s="65"/>
      <c r="I352" s="65"/>
      <c r="J352" s="64"/>
      <c r="K352" s="65"/>
      <c r="L352" s="65"/>
      <c r="M352" s="64"/>
      <c r="N352" s="65"/>
      <c r="O352" s="65"/>
    </row>
    <row r="353" spans="1:15" x14ac:dyDescent="0.25">
      <c r="A353" s="64"/>
      <c r="B353" s="64"/>
      <c r="C353" s="65"/>
      <c r="D353" s="64"/>
      <c r="E353" s="65"/>
      <c r="F353" s="65"/>
      <c r="G353" s="64"/>
      <c r="H353" s="65"/>
      <c r="I353" s="65"/>
      <c r="J353" s="64"/>
      <c r="K353" s="65"/>
      <c r="L353" s="65"/>
      <c r="M353" s="64"/>
      <c r="N353" s="65"/>
      <c r="O353" s="65"/>
    </row>
    <row r="354" spans="1:15" x14ac:dyDescent="0.25">
      <c r="A354" s="64"/>
      <c r="B354" s="64"/>
      <c r="C354" s="65"/>
      <c r="D354" s="64"/>
      <c r="E354" s="65"/>
      <c r="F354" s="65"/>
      <c r="G354" s="64"/>
      <c r="H354" s="65"/>
      <c r="I354" s="65"/>
      <c r="J354" s="64"/>
      <c r="K354" s="65"/>
      <c r="L354" s="65"/>
      <c r="M354" s="64"/>
      <c r="N354" s="65"/>
      <c r="O354" s="65"/>
    </row>
    <row r="355" spans="1:15" x14ac:dyDescent="0.25">
      <c r="A355" s="64"/>
      <c r="B355" s="64"/>
      <c r="C355" s="65"/>
      <c r="D355" s="64"/>
      <c r="E355" s="65"/>
      <c r="F355" s="65"/>
      <c r="G355" s="64"/>
      <c r="H355" s="65"/>
      <c r="I355" s="65"/>
      <c r="J355" s="64"/>
      <c r="K355" s="65"/>
      <c r="L355" s="65"/>
      <c r="M355" s="64"/>
      <c r="N355" s="65"/>
      <c r="O355" s="65"/>
    </row>
    <row r="356" spans="1:15" x14ac:dyDescent="0.25">
      <c r="A356" s="64"/>
      <c r="B356" s="64"/>
      <c r="C356" s="65"/>
      <c r="D356" s="64"/>
      <c r="E356" s="65"/>
      <c r="F356" s="65"/>
      <c r="G356" s="64"/>
      <c r="H356" s="65"/>
      <c r="I356" s="65"/>
      <c r="J356" s="64"/>
      <c r="K356" s="65"/>
      <c r="L356" s="65"/>
      <c r="M356" s="64"/>
      <c r="N356" s="65"/>
      <c r="O356" s="65"/>
    </row>
    <row r="357" spans="1:15" x14ac:dyDescent="0.25">
      <c r="A357" s="64"/>
      <c r="B357" s="64"/>
      <c r="C357" s="65"/>
      <c r="D357" s="64"/>
      <c r="E357" s="65"/>
      <c r="F357" s="65"/>
      <c r="G357" s="64"/>
      <c r="H357" s="65"/>
      <c r="I357" s="65"/>
      <c r="J357" s="64"/>
      <c r="K357" s="65"/>
      <c r="L357" s="65"/>
      <c r="M357" s="64"/>
      <c r="N357" s="65"/>
      <c r="O357" s="65"/>
    </row>
    <row r="358" spans="1:15" x14ac:dyDescent="0.25">
      <c r="A358" s="64"/>
      <c r="B358" s="64"/>
      <c r="C358" s="65"/>
      <c r="D358" s="64"/>
      <c r="E358" s="65"/>
      <c r="F358" s="65"/>
      <c r="G358" s="64"/>
      <c r="H358" s="65"/>
      <c r="I358" s="65"/>
      <c r="J358" s="64"/>
      <c r="K358" s="65"/>
      <c r="L358" s="65"/>
      <c r="M358" s="64"/>
      <c r="N358" s="65"/>
      <c r="O358" s="65"/>
    </row>
    <row r="359" spans="1:15" x14ac:dyDescent="0.25">
      <c r="A359" s="64"/>
      <c r="B359" s="64"/>
      <c r="C359" s="65"/>
      <c r="D359" s="64"/>
      <c r="E359" s="65"/>
      <c r="F359" s="65"/>
      <c r="G359" s="64"/>
      <c r="H359" s="65"/>
      <c r="I359" s="65"/>
      <c r="J359" s="64"/>
      <c r="K359" s="65"/>
      <c r="L359" s="65"/>
      <c r="M359" s="64"/>
      <c r="N359" s="65"/>
      <c r="O359" s="65"/>
    </row>
    <row r="360" spans="1:15" x14ac:dyDescent="0.25">
      <c r="A360" s="64"/>
      <c r="B360" s="64"/>
      <c r="C360" s="65"/>
      <c r="D360" s="64"/>
      <c r="E360" s="65"/>
      <c r="F360" s="65"/>
      <c r="G360" s="64"/>
      <c r="H360" s="65"/>
      <c r="I360" s="65"/>
      <c r="J360" s="64"/>
      <c r="K360" s="65"/>
      <c r="L360" s="65"/>
      <c r="M360" s="64"/>
      <c r="N360" s="65"/>
      <c r="O360" s="65"/>
    </row>
    <row r="361" spans="1:15" x14ac:dyDescent="0.25">
      <c r="A361" s="64"/>
      <c r="B361" s="64"/>
      <c r="C361" s="65"/>
      <c r="D361" s="64"/>
      <c r="E361" s="65"/>
      <c r="F361" s="65"/>
      <c r="G361" s="64"/>
      <c r="H361" s="65"/>
      <c r="I361" s="65"/>
      <c r="J361" s="64"/>
      <c r="K361" s="65"/>
      <c r="L361" s="65"/>
      <c r="M361" s="64"/>
      <c r="N361" s="65"/>
      <c r="O361" s="65"/>
    </row>
    <row r="362" spans="1:15" x14ac:dyDescent="0.25">
      <c r="A362" s="64"/>
      <c r="B362" s="64"/>
      <c r="C362" s="65"/>
      <c r="D362" s="64"/>
      <c r="E362" s="65"/>
      <c r="F362" s="65"/>
      <c r="G362" s="64"/>
      <c r="H362" s="65"/>
      <c r="I362" s="65"/>
      <c r="J362" s="64"/>
      <c r="K362" s="65"/>
      <c r="L362" s="65"/>
      <c r="M362" s="64"/>
      <c r="N362" s="65"/>
      <c r="O362" s="65"/>
    </row>
    <row r="363" spans="1:15" x14ac:dyDescent="0.25">
      <c r="A363" s="64"/>
      <c r="B363" s="64"/>
      <c r="C363" s="65"/>
      <c r="D363" s="64"/>
      <c r="E363" s="65"/>
      <c r="F363" s="65"/>
      <c r="G363" s="64"/>
      <c r="H363" s="65"/>
      <c r="I363" s="65"/>
      <c r="J363" s="64"/>
      <c r="K363" s="65"/>
      <c r="L363" s="65"/>
      <c r="M363" s="64"/>
      <c r="N363" s="65"/>
      <c r="O363" s="65"/>
    </row>
    <row r="364" spans="1:15" x14ac:dyDescent="0.25">
      <c r="A364" s="64"/>
      <c r="B364" s="64"/>
      <c r="C364" s="65"/>
      <c r="D364" s="64"/>
      <c r="E364" s="65"/>
      <c r="F364" s="65"/>
      <c r="G364" s="64"/>
      <c r="H364" s="65"/>
      <c r="I364" s="65"/>
      <c r="J364" s="64"/>
      <c r="K364" s="65"/>
      <c r="L364" s="65"/>
      <c r="M364" s="64"/>
      <c r="N364" s="65"/>
      <c r="O364" s="65"/>
    </row>
    <row r="365" spans="1:15" x14ac:dyDescent="0.25">
      <c r="A365" s="64"/>
      <c r="B365" s="64"/>
      <c r="C365" s="65"/>
      <c r="D365" s="64"/>
      <c r="E365" s="65"/>
      <c r="F365" s="65"/>
      <c r="G365" s="64"/>
      <c r="H365" s="65"/>
      <c r="I365" s="65"/>
      <c r="J365" s="64"/>
      <c r="K365" s="65"/>
      <c r="L365" s="65"/>
      <c r="M365" s="64"/>
      <c r="N365" s="65"/>
      <c r="O365" s="65"/>
    </row>
    <row r="366" spans="1:15" x14ac:dyDescent="0.25">
      <c r="A366" s="64"/>
      <c r="B366" s="64"/>
      <c r="C366" s="65"/>
      <c r="D366" s="64"/>
      <c r="E366" s="65"/>
      <c r="F366" s="65"/>
      <c r="G366" s="64"/>
      <c r="H366" s="65"/>
      <c r="I366" s="65"/>
      <c r="J366" s="64"/>
      <c r="K366" s="65"/>
      <c r="L366" s="65"/>
      <c r="M366" s="64"/>
      <c r="N366" s="65"/>
      <c r="O366" s="65"/>
    </row>
    <row r="367" spans="1:15" x14ac:dyDescent="0.25">
      <c r="A367" s="64"/>
      <c r="B367" s="64"/>
      <c r="C367" s="65"/>
      <c r="D367" s="64"/>
      <c r="E367" s="65"/>
      <c r="F367" s="65"/>
      <c r="G367" s="64"/>
      <c r="H367" s="65"/>
      <c r="I367" s="65"/>
      <c r="J367" s="64"/>
      <c r="K367" s="65"/>
      <c r="L367" s="65"/>
      <c r="M367" s="64"/>
      <c r="N367" s="65"/>
      <c r="O367" s="65"/>
    </row>
    <row r="368" spans="1:15" x14ac:dyDescent="0.25">
      <c r="A368" s="64"/>
      <c r="B368" s="64"/>
      <c r="C368" s="65"/>
      <c r="D368" s="64"/>
      <c r="E368" s="65"/>
      <c r="F368" s="65"/>
      <c r="G368" s="64"/>
      <c r="H368" s="65"/>
      <c r="I368" s="65"/>
      <c r="J368" s="64"/>
      <c r="K368" s="65"/>
      <c r="L368" s="65"/>
      <c r="M368" s="64"/>
      <c r="N368" s="65"/>
      <c r="O368" s="65"/>
    </row>
    <row r="369" spans="1:15" x14ac:dyDescent="0.25">
      <c r="A369" s="64"/>
      <c r="B369" s="64"/>
      <c r="C369" s="65"/>
      <c r="D369" s="64"/>
      <c r="E369" s="65"/>
      <c r="F369" s="65"/>
      <c r="G369" s="64"/>
      <c r="H369" s="65"/>
      <c r="I369" s="65"/>
      <c r="J369" s="64"/>
      <c r="K369" s="65"/>
      <c r="L369" s="65"/>
      <c r="M369" s="64"/>
      <c r="N369" s="65"/>
      <c r="O369" s="65"/>
    </row>
    <row r="370" spans="1:15" x14ac:dyDescent="0.25">
      <c r="A370" s="64"/>
      <c r="B370" s="64"/>
      <c r="C370" s="65"/>
      <c r="D370" s="64"/>
      <c r="E370" s="65"/>
      <c r="F370" s="65"/>
      <c r="G370" s="64"/>
      <c r="H370" s="65"/>
      <c r="I370" s="65"/>
      <c r="J370" s="64"/>
      <c r="K370" s="65"/>
      <c r="L370" s="65"/>
      <c r="M370" s="64"/>
      <c r="N370" s="65"/>
      <c r="O370" s="65"/>
    </row>
    <row r="371" spans="1:15" x14ac:dyDescent="0.25">
      <c r="A371" s="64"/>
      <c r="B371" s="64"/>
      <c r="C371" s="65"/>
      <c r="D371" s="64"/>
      <c r="E371" s="65"/>
      <c r="F371" s="65"/>
      <c r="G371" s="64"/>
      <c r="H371" s="65"/>
      <c r="I371" s="65"/>
      <c r="J371" s="64"/>
      <c r="K371" s="65"/>
      <c r="L371" s="65"/>
      <c r="M371" s="64"/>
      <c r="N371" s="65"/>
      <c r="O371" s="65"/>
    </row>
    <row r="372" spans="1:15" x14ac:dyDescent="0.25">
      <c r="A372" s="64"/>
      <c r="B372" s="64"/>
      <c r="C372" s="65"/>
      <c r="D372" s="64"/>
      <c r="E372" s="65"/>
      <c r="F372" s="65"/>
      <c r="G372" s="64"/>
      <c r="H372" s="65"/>
      <c r="I372" s="65"/>
      <c r="J372" s="64"/>
      <c r="K372" s="65"/>
      <c r="L372" s="65"/>
      <c r="M372" s="64"/>
      <c r="N372" s="65"/>
      <c r="O372" s="65"/>
    </row>
    <row r="373" spans="1:15" x14ac:dyDescent="0.25">
      <c r="A373" s="64"/>
      <c r="B373" s="64"/>
      <c r="C373" s="65"/>
      <c r="D373" s="64"/>
      <c r="E373" s="65"/>
      <c r="F373" s="65"/>
      <c r="G373" s="64"/>
      <c r="H373" s="65"/>
      <c r="I373" s="65"/>
      <c r="J373" s="64"/>
      <c r="K373" s="65"/>
      <c r="L373" s="65"/>
      <c r="M373" s="64"/>
      <c r="N373" s="65"/>
      <c r="O373" s="65"/>
    </row>
    <row r="374" spans="1:15" x14ac:dyDescent="0.25">
      <c r="A374" s="64"/>
      <c r="B374" s="64"/>
      <c r="C374" s="65"/>
      <c r="D374" s="64"/>
      <c r="E374" s="65"/>
      <c r="F374" s="65"/>
      <c r="G374" s="64"/>
      <c r="H374" s="65"/>
      <c r="I374" s="65"/>
      <c r="J374" s="64"/>
      <c r="K374" s="65"/>
      <c r="L374" s="65"/>
      <c r="M374" s="64"/>
      <c r="N374" s="65"/>
      <c r="O374" s="65"/>
    </row>
    <row r="375" spans="1:15" x14ac:dyDescent="0.25">
      <c r="A375" s="64"/>
      <c r="B375" s="64"/>
      <c r="C375" s="65"/>
      <c r="D375" s="64"/>
      <c r="E375" s="65"/>
      <c r="F375" s="65"/>
      <c r="G375" s="64"/>
      <c r="H375" s="65"/>
      <c r="I375" s="65"/>
      <c r="J375" s="64"/>
      <c r="K375" s="65"/>
      <c r="L375" s="65"/>
      <c r="M375" s="64"/>
      <c r="N375" s="65"/>
      <c r="O375" s="65"/>
    </row>
    <row r="376" spans="1:15" x14ac:dyDescent="0.25">
      <c r="A376" s="64"/>
      <c r="B376" s="64"/>
      <c r="C376" s="65"/>
      <c r="D376" s="64"/>
      <c r="E376" s="65"/>
      <c r="F376" s="65"/>
      <c r="G376" s="64"/>
      <c r="H376" s="65"/>
      <c r="I376" s="65"/>
      <c r="J376" s="64"/>
      <c r="K376" s="65"/>
      <c r="L376" s="65"/>
      <c r="M376" s="64"/>
      <c r="N376" s="65"/>
      <c r="O376" s="65"/>
    </row>
    <row r="377" spans="1:15" x14ac:dyDescent="0.25">
      <c r="A377" s="64"/>
      <c r="B377" s="64"/>
      <c r="C377" s="65"/>
      <c r="D377" s="64"/>
      <c r="E377" s="65"/>
      <c r="F377" s="65"/>
      <c r="G377" s="64"/>
      <c r="H377" s="65"/>
      <c r="I377" s="65"/>
      <c r="J377" s="64"/>
      <c r="K377" s="65"/>
      <c r="L377" s="65"/>
      <c r="M377" s="64"/>
      <c r="N377" s="65"/>
      <c r="O377" s="65"/>
    </row>
    <row r="378" spans="1:15" x14ac:dyDescent="0.25">
      <c r="A378" s="64"/>
      <c r="B378" s="64"/>
      <c r="C378" s="65"/>
      <c r="D378" s="64"/>
      <c r="E378" s="65"/>
      <c r="F378" s="65"/>
      <c r="G378" s="64"/>
      <c r="H378" s="65"/>
      <c r="I378" s="65"/>
      <c r="J378" s="64"/>
      <c r="K378" s="65"/>
      <c r="L378" s="65"/>
      <c r="M378" s="64"/>
      <c r="N378" s="65"/>
      <c r="O378" s="65"/>
    </row>
    <row r="379" spans="1:15" x14ac:dyDescent="0.25">
      <c r="A379" s="64"/>
      <c r="B379" s="64"/>
      <c r="C379" s="65"/>
      <c r="D379" s="64"/>
      <c r="E379" s="65"/>
      <c r="F379" s="65"/>
      <c r="G379" s="64"/>
      <c r="H379" s="65"/>
      <c r="I379" s="65"/>
      <c r="J379" s="64"/>
      <c r="K379" s="65"/>
      <c r="L379" s="65"/>
      <c r="M379" s="64"/>
      <c r="N379" s="65"/>
      <c r="O379" s="65"/>
    </row>
    <row r="380" spans="1:15" x14ac:dyDescent="0.25">
      <c r="A380" s="64"/>
      <c r="B380" s="64"/>
      <c r="C380" s="65"/>
      <c r="D380" s="64"/>
      <c r="E380" s="65"/>
      <c r="F380" s="65"/>
      <c r="G380" s="64"/>
      <c r="H380" s="65"/>
      <c r="I380" s="65"/>
      <c r="J380" s="64"/>
      <c r="K380" s="65"/>
      <c r="L380" s="65"/>
      <c r="M380" s="64"/>
      <c r="N380" s="65"/>
      <c r="O380" s="65"/>
    </row>
    <row r="381" spans="1:15" x14ac:dyDescent="0.25">
      <c r="A381" s="64"/>
      <c r="B381" s="64"/>
      <c r="C381" s="65"/>
      <c r="D381" s="64"/>
      <c r="E381" s="65"/>
      <c r="F381" s="65"/>
      <c r="G381" s="64"/>
      <c r="H381" s="65"/>
      <c r="I381" s="65"/>
      <c r="J381" s="64"/>
      <c r="K381" s="65"/>
      <c r="L381" s="65"/>
      <c r="M381" s="64"/>
      <c r="N381" s="65"/>
      <c r="O381" s="65"/>
    </row>
    <row r="382" spans="1:15" x14ac:dyDescent="0.25">
      <c r="A382" s="64"/>
      <c r="B382" s="64"/>
      <c r="C382" s="65"/>
      <c r="D382" s="64"/>
      <c r="E382" s="65"/>
      <c r="F382" s="65"/>
      <c r="G382" s="64"/>
      <c r="H382" s="65"/>
      <c r="I382" s="65"/>
      <c r="J382" s="64"/>
      <c r="K382" s="65"/>
      <c r="L382" s="65"/>
      <c r="M382" s="64"/>
      <c r="N382" s="65"/>
      <c r="O382" s="65"/>
    </row>
    <row r="383" spans="1:15" x14ac:dyDescent="0.25">
      <c r="A383" s="64"/>
      <c r="B383" s="64"/>
      <c r="C383" s="65"/>
      <c r="D383" s="64"/>
      <c r="E383" s="65"/>
      <c r="F383" s="65"/>
      <c r="G383" s="64"/>
      <c r="H383" s="65"/>
      <c r="I383" s="65"/>
      <c r="J383" s="64"/>
      <c r="K383" s="65"/>
      <c r="L383" s="65"/>
      <c r="M383" s="64"/>
      <c r="N383" s="65"/>
      <c r="O383" s="65"/>
    </row>
    <row r="384" spans="1:15" x14ac:dyDescent="0.25">
      <c r="A384" s="64"/>
      <c r="B384" s="64"/>
      <c r="C384" s="65"/>
      <c r="D384" s="64"/>
      <c r="E384" s="65"/>
      <c r="F384" s="65"/>
      <c r="G384" s="64"/>
      <c r="H384" s="65"/>
      <c r="I384" s="65"/>
      <c r="J384" s="64"/>
      <c r="K384" s="65"/>
      <c r="L384" s="65"/>
      <c r="M384" s="64"/>
      <c r="N384" s="65"/>
      <c r="O384" s="65"/>
    </row>
    <row r="385" spans="1:15" x14ac:dyDescent="0.25">
      <c r="A385" s="64"/>
      <c r="B385" s="64"/>
      <c r="C385" s="65"/>
      <c r="D385" s="64"/>
      <c r="E385" s="65"/>
      <c r="F385" s="65"/>
      <c r="G385" s="64"/>
      <c r="H385" s="65"/>
      <c r="I385" s="65"/>
      <c r="J385" s="64"/>
      <c r="K385" s="65"/>
      <c r="L385" s="65"/>
      <c r="M385" s="64"/>
      <c r="N385" s="65"/>
      <c r="O385" s="65"/>
    </row>
    <row r="386" spans="1:15" x14ac:dyDescent="0.25">
      <c r="A386" s="64"/>
      <c r="B386" s="64"/>
      <c r="C386" s="65"/>
      <c r="D386" s="64"/>
      <c r="E386" s="65"/>
      <c r="F386" s="65"/>
      <c r="G386" s="64"/>
      <c r="H386" s="65"/>
      <c r="I386" s="65"/>
      <c r="J386" s="64"/>
      <c r="K386" s="65"/>
      <c r="L386" s="65"/>
      <c r="M386" s="64"/>
      <c r="N386" s="65"/>
      <c r="O386" s="65"/>
    </row>
    <row r="387" spans="1:15" x14ac:dyDescent="0.25">
      <c r="A387" s="64"/>
      <c r="B387" s="64"/>
      <c r="C387" s="65"/>
      <c r="D387" s="64"/>
      <c r="E387" s="65"/>
      <c r="F387" s="65"/>
      <c r="G387" s="64"/>
      <c r="H387" s="65"/>
      <c r="I387" s="65"/>
      <c r="J387" s="64"/>
      <c r="K387" s="65"/>
      <c r="L387" s="65"/>
      <c r="M387" s="64"/>
      <c r="N387" s="65"/>
      <c r="O387" s="65"/>
    </row>
    <row r="388" spans="1:15" x14ac:dyDescent="0.25">
      <c r="A388" s="64"/>
      <c r="B388" s="64"/>
      <c r="C388" s="65"/>
      <c r="D388" s="64"/>
      <c r="E388" s="65"/>
      <c r="F388" s="65"/>
      <c r="G388" s="64"/>
      <c r="H388" s="65"/>
      <c r="I388" s="65"/>
      <c r="J388" s="64"/>
      <c r="K388" s="65"/>
      <c r="L388" s="65"/>
      <c r="M388" s="64"/>
      <c r="N388" s="65"/>
      <c r="O388" s="65"/>
    </row>
    <row r="389" spans="1:15" x14ac:dyDescent="0.25">
      <c r="A389" s="64"/>
      <c r="B389" s="64"/>
      <c r="C389" s="65"/>
      <c r="D389" s="64"/>
      <c r="E389" s="65"/>
      <c r="F389" s="65"/>
      <c r="G389" s="64"/>
      <c r="H389" s="65"/>
      <c r="I389" s="65"/>
      <c r="J389" s="64"/>
      <c r="K389" s="65"/>
      <c r="L389" s="65"/>
      <c r="M389" s="64"/>
      <c r="N389" s="65"/>
      <c r="O389" s="65"/>
    </row>
    <row r="390" spans="1:15" x14ac:dyDescent="0.25">
      <c r="A390" s="64"/>
      <c r="B390" s="64"/>
      <c r="C390" s="65"/>
      <c r="D390" s="64"/>
      <c r="E390" s="65"/>
      <c r="F390" s="65"/>
      <c r="G390" s="64"/>
      <c r="H390" s="65"/>
      <c r="I390" s="65"/>
      <c r="J390" s="64"/>
      <c r="K390" s="65"/>
      <c r="L390" s="65"/>
      <c r="M390" s="64"/>
      <c r="N390" s="65"/>
      <c r="O390" s="65"/>
    </row>
    <row r="391" spans="1:15" x14ac:dyDescent="0.25">
      <c r="A391" s="64"/>
      <c r="B391" s="64"/>
      <c r="C391" s="65"/>
      <c r="D391" s="64"/>
      <c r="E391" s="65"/>
      <c r="F391" s="65"/>
      <c r="G391" s="64"/>
      <c r="H391" s="65"/>
      <c r="I391" s="65"/>
      <c r="J391" s="64"/>
      <c r="K391" s="65"/>
      <c r="L391" s="65"/>
      <c r="M391" s="64"/>
      <c r="N391" s="65"/>
      <c r="O391" s="65"/>
    </row>
    <row r="392" spans="1:15" x14ac:dyDescent="0.25">
      <c r="A392" s="64"/>
      <c r="B392" s="64"/>
      <c r="C392" s="65"/>
      <c r="D392" s="64"/>
      <c r="E392" s="65"/>
      <c r="F392" s="65"/>
      <c r="G392" s="64"/>
      <c r="H392" s="65"/>
      <c r="I392" s="65"/>
      <c r="J392" s="64"/>
      <c r="K392" s="65"/>
      <c r="L392" s="65"/>
      <c r="M392" s="64"/>
      <c r="N392" s="65"/>
      <c r="O392" s="65"/>
    </row>
    <row r="393" spans="1:15" x14ac:dyDescent="0.25">
      <c r="A393" s="64"/>
      <c r="B393" s="64"/>
      <c r="C393" s="65"/>
      <c r="D393" s="64"/>
      <c r="E393" s="65"/>
      <c r="F393" s="65"/>
      <c r="G393" s="64"/>
      <c r="H393" s="65"/>
      <c r="I393" s="65"/>
      <c r="J393" s="64"/>
      <c r="K393" s="65"/>
      <c r="L393" s="65"/>
      <c r="M393" s="64"/>
      <c r="N393" s="65"/>
      <c r="O393" s="65"/>
    </row>
    <row r="394" spans="1:15" x14ac:dyDescent="0.25">
      <c r="A394" s="64"/>
      <c r="B394" s="64"/>
      <c r="C394" s="65"/>
      <c r="D394" s="64"/>
      <c r="E394" s="65"/>
      <c r="F394" s="65"/>
      <c r="G394" s="64"/>
      <c r="H394" s="65"/>
      <c r="I394" s="65"/>
      <c r="J394" s="64"/>
      <c r="K394" s="65"/>
      <c r="L394" s="65"/>
      <c r="M394" s="64"/>
      <c r="N394" s="65"/>
      <c r="O394" s="65"/>
    </row>
    <row r="395" spans="1:15" x14ac:dyDescent="0.25">
      <c r="A395" s="64"/>
      <c r="B395" s="64"/>
      <c r="C395" s="65"/>
      <c r="D395" s="64"/>
      <c r="E395" s="65"/>
      <c r="F395" s="65"/>
      <c r="G395" s="64"/>
      <c r="H395" s="65"/>
      <c r="I395" s="65"/>
      <c r="J395" s="64"/>
      <c r="K395" s="65"/>
      <c r="L395" s="65"/>
      <c r="M395" s="64"/>
      <c r="N395" s="65"/>
      <c r="O395" s="65"/>
    </row>
    <row r="396" spans="1:15" x14ac:dyDescent="0.25">
      <c r="A396" s="64"/>
      <c r="B396" s="64"/>
      <c r="C396" s="65"/>
      <c r="D396" s="64"/>
      <c r="E396" s="65"/>
      <c r="F396" s="65"/>
      <c r="G396" s="64"/>
      <c r="H396" s="65"/>
      <c r="I396" s="65"/>
      <c r="J396" s="64"/>
      <c r="K396" s="65"/>
      <c r="L396" s="65"/>
      <c r="M396" s="64"/>
      <c r="N396" s="65"/>
      <c r="O396" s="65"/>
    </row>
    <row r="397" spans="1:15" x14ac:dyDescent="0.25">
      <c r="A397" s="64"/>
      <c r="B397" s="64"/>
      <c r="C397" s="65"/>
      <c r="D397" s="64"/>
      <c r="E397" s="65"/>
      <c r="F397" s="65"/>
      <c r="G397" s="64"/>
      <c r="H397" s="65"/>
      <c r="I397" s="65"/>
      <c r="J397" s="64"/>
      <c r="K397" s="65"/>
      <c r="L397" s="65"/>
      <c r="M397" s="64"/>
      <c r="N397" s="65"/>
      <c r="O397" s="65"/>
    </row>
    <row r="398" spans="1:15" x14ac:dyDescent="0.25">
      <c r="A398" s="64"/>
      <c r="B398" s="64"/>
      <c r="C398" s="65"/>
      <c r="D398" s="64"/>
      <c r="E398" s="65"/>
      <c r="F398" s="65"/>
      <c r="G398" s="64"/>
      <c r="H398" s="65"/>
      <c r="I398" s="65"/>
      <c r="J398" s="64"/>
      <c r="K398" s="65"/>
      <c r="L398" s="65"/>
      <c r="M398" s="64"/>
      <c r="N398" s="65"/>
      <c r="O398" s="65"/>
    </row>
    <row r="399" spans="1:15" x14ac:dyDescent="0.25">
      <c r="A399" s="64"/>
      <c r="B399" s="64"/>
      <c r="C399" s="65"/>
      <c r="D399" s="64"/>
      <c r="E399" s="65"/>
      <c r="F399" s="65"/>
      <c r="G399" s="64"/>
      <c r="H399" s="65"/>
      <c r="I399" s="65"/>
      <c r="J399" s="64"/>
      <c r="K399" s="65"/>
      <c r="L399" s="65"/>
      <c r="M399" s="64"/>
      <c r="N399" s="65"/>
      <c r="O399" s="65"/>
    </row>
    <row r="400" spans="1:15" x14ac:dyDescent="0.25">
      <c r="A400" s="64"/>
      <c r="B400" s="64"/>
      <c r="C400" s="65"/>
      <c r="D400" s="64"/>
      <c r="E400" s="65"/>
      <c r="F400" s="65"/>
      <c r="G400" s="64"/>
      <c r="H400" s="65"/>
      <c r="I400" s="65"/>
      <c r="J400" s="64"/>
      <c r="K400" s="65"/>
      <c r="L400" s="65"/>
      <c r="M400" s="64"/>
      <c r="N400" s="65"/>
      <c r="O400" s="65"/>
    </row>
    <row r="401" spans="1:15" x14ac:dyDescent="0.25">
      <c r="A401" s="64"/>
      <c r="B401" s="64"/>
      <c r="C401" s="65"/>
      <c r="D401" s="64"/>
      <c r="E401" s="65"/>
      <c r="F401" s="65"/>
      <c r="G401" s="64"/>
      <c r="H401" s="65"/>
      <c r="I401" s="65"/>
      <c r="J401" s="64"/>
      <c r="K401" s="65"/>
      <c r="L401" s="65"/>
      <c r="M401" s="64"/>
      <c r="N401" s="65"/>
      <c r="O401" s="65"/>
    </row>
    <row r="402" spans="1:15" x14ac:dyDescent="0.25">
      <c r="A402" s="64"/>
      <c r="B402" s="64"/>
      <c r="C402" s="65"/>
      <c r="D402" s="64"/>
      <c r="E402" s="65"/>
      <c r="F402" s="65"/>
      <c r="G402" s="64"/>
      <c r="H402" s="65"/>
      <c r="I402" s="65"/>
      <c r="J402" s="64"/>
      <c r="K402" s="65"/>
      <c r="L402" s="65"/>
      <c r="M402" s="64"/>
      <c r="N402" s="65"/>
      <c r="O402" s="65"/>
    </row>
    <row r="403" spans="1:15" x14ac:dyDescent="0.25">
      <c r="A403" s="64"/>
      <c r="B403" s="64"/>
      <c r="C403" s="65"/>
      <c r="D403" s="64"/>
      <c r="E403" s="65"/>
      <c r="F403" s="65"/>
      <c r="G403" s="64"/>
      <c r="H403" s="65"/>
      <c r="I403" s="65"/>
      <c r="J403" s="64"/>
      <c r="K403" s="65"/>
      <c r="L403" s="65"/>
      <c r="M403" s="64"/>
      <c r="N403" s="65"/>
      <c r="O403" s="65"/>
    </row>
    <row r="404" spans="1:15" x14ac:dyDescent="0.25">
      <c r="A404" s="64"/>
      <c r="B404" s="64"/>
      <c r="C404" s="65"/>
      <c r="D404" s="64"/>
      <c r="E404" s="65"/>
      <c r="F404" s="65"/>
      <c r="G404" s="64"/>
      <c r="H404" s="65"/>
      <c r="I404" s="65"/>
      <c r="J404" s="64"/>
      <c r="K404" s="65"/>
      <c r="L404" s="65"/>
      <c r="M404" s="64"/>
      <c r="N404" s="65"/>
      <c r="O404" s="65"/>
    </row>
    <row r="405" spans="1:15" x14ac:dyDescent="0.25">
      <c r="A405" s="64"/>
      <c r="B405" s="64"/>
      <c r="C405" s="65"/>
      <c r="D405" s="64"/>
      <c r="E405" s="65"/>
      <c r="F405" s="65"/>
      <c r="G405" s="64"/>
      <c r="H405" s="65"/>
      <c r="I405" s="65"/>
      <c r="J405" s="64"/>
      <c r="K405" s="65"/>
      <c r="L405" s="65"/>
      <c r="M405" s="64"/>
      <c r="N405" s="65"/>
      <c r="O405" s="65"/>
    </row>
    <row r="406" spans="1:15" x14ac:dyDescent="0.25">
      <c r="A406" s="64"/>
      <c r="B406" s="64"/>
      <c r="C406" s="65"/>
      <c r="D406" s="64"/>
      <c r="E406" s="65"/>
      <c r="F406" s="65"/>
      <c r="G406" s="64"/>
      <c r="H406" s="65"/>
      <c r="I406" s="65"/>
      <c r="J406" s="64"/>
      <c r="K406" s="65"/>
      <c r="L406" s="65"/>
      <c r="M406" s="64"/>
      <c r="N406" s="65"/>
      <c r="O406" s="65"/>
    </row>
    <row r="407" spans="1:15" x14ac:dyDescent="0.25">
      <c r="A407" s="64"/>
      <c r="B407" s="64"/>
      <c r="C407" s="65"/>
      <c r="D407" s="64"/>
      <c r="E407" s="65"/>
      <c r="F407" s="65"/>
      <c r="G407" s="64"/>
      <c r="H407" s="65"/>
      <c r="I407" s="65"/>
      <c r="J407" s="64"/>
      <c r="K407" s="65"/>
      <c r="L407" s="65"/>
      <c r="M407" s="64"/>
      <c r="N407" s="65"/>
      <c r="O407" s="65"/>
    </row>
    <row r="408" spans="1:15" x14ac:dyDescent="0.25">
      <c r="A408" s="64"/>
      <c r="B408" s="64"/>
      <c r="C408" s="65"/>
      <c r="D408" s="64"/>
      <c r="E408" s="65"/>
      <c r="F408" s="65"/>
      <c r="G408" s="64"/>
      <c r="H408" s="65"/>
      <c r="I408" s="65"/>
      <c r="J408" s="64"/>
      <c r="K408" s="65"/>
      <c r="L408" s="65"/>
      <c r="M408" s="64"/>
      <c r="N408" s="65"/>
      <c r="O408" s="65"/>
    </row>
    <row r="409" spans="1:15" x14ac:dyDescent="0.25">
      <c r="A409" s="64"/>
      <c r="B409" s="64"/>
      <c r="C409" s="65"/>
      <c r="D409" s="64"/>
      <c r="E409" s="65"/>
      <c r="F409" s="65"/>
      <c r="G409" s="64"/>
      <c r="H409" s="65"/>
      <c r="I409" s="65"/>
      <c r="J409" s="64"/>
      <c r="K409" s="65"/>
      <c r="L409" s="65"/>
      <c r="M409" s="64"/>
      <c r="N409" s="65"/>
      <c r="O409" s="65"/>
    </row>
    <row r="410" spans="1:15" x14ac:dyDescent="0.25">
      <c r="A410" s="64"/>
      <c r="B410" s="64"/>
      <c r="C410" s="65"/>
      <c r="D410" s="64"/>
      <c r="E410" s="65"/>
      <c r="F410" s="65"/>
      <c r="G410" s="64"/>
      <c r="H410" s="65"/>
      <c r="I410" s="65"/>
      <c r="J410" s="64"/>
      <c r="K410" s="65"/>
      <c r="L410" s="65"/>
      <c r="M410" s="64"/>
      <c r="N410" s="65"/>
      <c r="O410" s="65"/>
    </row>
    <row r="411" spans="1:15" x14ac:dyDescent="0.25">
      <c r="A411" s="64"/>
      <c r="B411" s="64"/>
      <c r="C411" s="65"/>
      <c r="D411" s="64"/>
      <c r="E411" s="65"/>
      <c r="F411" s="65"/>
      <c r="G411" s="64"/>
      <c r="H411" s="65"/>
      <c r="I411" s="65"/>
      <c r="J411" s="64"/>
      <c r="K411" s="65"/>
      <c r="L411" s="65"/>
      <c r="M411" s="64"/>
      <c r="N411" s="65"/>
      <c r="O411" s="65"/>
    </row>
    <row r="412" spans="1:15" x14ac:dyDescent="0.25">
      <c r="A412" s="64"/>
      <c r="B412" s="64"/>
      <c r="C412" s="65"/>
      <c r="D412" s="64"/>
      <c r="E412" s="65"/>
      <c r="F412" s="65"/>
      <c r="G412" s="64"/>
      <c r="H412" s="65"/>
      <c r="I412" s="65"/>
      <c r="J412" s="64"/>
      <c r="K412" s="65"/>
      <c r="L412" s="65"/>
      <c r="M412" s="64"/>
      <c r="N412" s="65"/>
      <c r="O412" s="65"/>
    </row>
    <row r="413" spans="1:15" x14ac:dyDescent="0.25">
      <c r="A413" s="64"/>
      <c r="B413" s="64"/>
      <c r="C413" s="65"/>
      <c r="D413" s="64"/>
      <c r="E413" s="65"/>
      <c r="F413" s="65"/>
      <c r="G413" s="64"/>
      <c r="H413" s="65"/>
      <c r="I413" s="65"/>
      <c r="J413" s="64"/>
      <c r="K413" s="65"/>
      <c r="L413" s="65"/>
      <c r="M413" s="64"/>
      <c r="N413" s="65"/>
      <c r="O413" s="65"/>
    </row>
    <row r="414" spans="1:15" x14ac:dyDescent="0.25">
      <c r="A414" s="64"/>
      <c r="B414" s="64"/>
      <c r="C414" s="65"/>
      <c r="D414" s="64"/>
      <c r="E414" s="65"/>
      <c r="F414" s="65"/>
      <c r="G414" s="64"/>
      <c r="H414" s="65"/>
      <c r="I414" s="65"/>
      <c r="J414" s="64"/>
      <c r="K414" s="65"/>
      <c r="L414" s="65"/>
      <c r="M414" s="64"/>
      <c r="N414" s="65"/>
      <c r="O414" s="65"/>
    </row>
    <row r="415" spans="1:15" x14ac:dyDescent="0.25">
      <c r="A415" s="64"/>
      <c r="B415" s="64"/>
      <c r="C415" s="65"/>
      <c r="D415" s="64"/>
      <c r="E415" s="65"/>
      <c r="F415" s="65"/>
      <c r="G415" s="64"/>
      <c r="H415" s="65"/>
      <c r="I415" s="65"/>
      <c r="J415" s="64"/>
      <c r="K415" s="65"/>
      <c r="L415" s="65"/>
      <c r="M415" s="64"/>
      <c r="N415" s="65"/>
      <c r="O415" s="65"/>
    </row>
    <row r="416" spans="1:15" x14ac:dyDescent="0.25">
      <c r="A416" s="64"/>
      <c r="B416" s="64"/>
      <c r="C416" s="65"/>
      <c r="D416" s="64"/>
      <c r="E416" s="65"/>
      <c r="F416" s="65"/>
      <c r="G416" s="64"/>
      <c r="H416" s="65"/>
      <c r="I416" s="65"/>
      <c r="J416" s="64"/>
      <c r="K416" s="65"/>
      <c r="L416" s="65"/>
      <c r="M416" s="64"/>
      <c r="N416" s="65"/>
      <c r="O416" s="65"/>
    </row>
    <row r="417" spans="1:15" x14ac:dyDescent="0.25">
      <c r="A417" s="64"/>
      <c r="B417" s="64"/>
      <c r="C417" s="65"/>
      <c r="D417" s="64"/>
      <c r="E417" s="65"/>
      <c r="F417" s="65"/>
      <c r="G417" s="64"/>
      <c r="H417" s="65"/>
      <c r="I417" s="65"/>
      <c r="J417" s="64"/>
      <c r="K417" s="65"/>
      <c r="L417" s="65"/>
      <c r="M417" s="64"/>
      <c r="N417" s="65"/>
      <c r="O417" s="65"/>
    </row>
    <row r="418" spans="1:15" x14ac:dyDescent="0.25">
      <c r="A418" s="64"/>
      <c r="B418" s="64"/>
      <c r="C418" s="65"/>
      <c r="D418" s="64"/>
      <c r="E418" s="65"/>
      <c r="F418" s="65"/>
      <c r="G418" s="64"/>
      <c r="H418" s="65"/>
      <c r="I418" s="65"/>
      <c r="J418" s="64"/>
      <c r="K418" s="65"/>
      <c r="L418" s="65"/>
      <c r="M418" s="64"/>
      <c r="N418" s="65"/>
      <c r="O418" s="65"/>
    </row>
    <row r="419" spans="1:15" x14ac:dyDescent="0.25">
      <c r="A419" s="64"/>
      <c r="B419" s="64"/>
      <c r="C419" s="65"/>
      <c r="D419" s="64"/>
      <c r="E419" s="65"/>
      <c r="F419" s="65"/>
      <c r="G419" s="64"/>
      <c r="H419" s="65"/>
      <c r="I419" s="65"/>
      <c r="J419" s="64"/>
      <c r="K419" s="65"/>
      <c r="L419" s="65"/>
      <c r="M419" s="64"/>
      <c r="N419" s="65"/>
      <c r="O419" s="65"/>
    </row>
    <row r="420" spans="1:15" x14ac:dyDescent="0.25">
      <c r="A420" s="64"/>
      <c r="B420" s="64"/>
      <c r="C420" s="65"/>
      <c r="D420" s="64"/>
      <c r="E420" s="65"/>
      <c r="F420" s="65"/>
      <c r="G420" s="64"/>
      <c r="H420" s="65"/>
      <c r="I420" s="65"/>
      <c r="J420" s="64"/>
      <c r="K420" s="65"/>
      <c r="L420" s="65"/>
      <c r="M420" s="64"/>
      <c r="N420" s="65"/>
      <c r="O420" s="65"/>
    </row>
    <row r="421" spans="1:15" x14ac:dyDescent="0.25">
      <c r="A421" s="64"/>
      <c r="B421" s="64"/>
      <c r="C421" s="65"/>
      <c r="D421" s="64"/>
      <c r="E421" s="65"/>
      <c r="F421" s="65"/>
      <c r="G421" s="64"/>
      <c r="H421" s="65"/>
      <c r="I421" s="65"/>
      <c r="J421" s="64"/>
      <c r="K421" s="65"/>
      <c r="L421" s="65"/>
      <c r="M421" s="64"/>
      <c r="N421" s="65"/>
      <c r="O421" s="65"/>
    </row>
    <row r="422" spans="1:15" x14ac:dyDescent="0.25">
      <c r="A422" s="64"/>
      <c r="B422" s="64"/>
      <c r="C422" s="65"/>
      <c r="D422" s="64"/>
      <c r="E422" s="65"/>
      <c r="F422" s="65"/>
      <c r="G422" s="64"/>
      <c r="H422" s="65"/>
      <c r="I422" s="65"/>
      <c r="J422" s="64"/>
      <c r="K422" s="65"/>
      <c r="L422" s="65"/>
      <c r="M422" s="64"/>
      <c r="N422" s="65"/>
      <c r="O422" s="65"/>
    </row>
    <row r="423" spans="1:15" x14ac:dyDescent="0.25">
      <c r="A423" s="64"/>
      <c r="B423" s="64"/>
      <c r="C423" s="65"/>
      <c r="D423" s="64"/>
      <c r="E423" s="65"/>
      <c r="F423" s="65"/>
      <c r="G423" s="64"/>
      <c r="H423" s="65"/>
      <c r="I423" s="65"/>
      <c r="J423" s="64"/>
      <c r="K423" s="65"/>
      <c r="L423" s="65"/>
      <c r="M423" s="64"/>
      <c r="N423" s="65"/>
      <c r="O423" s="65"/>
    </row>
    <row r="424" spans="1:15" x14ac:dyDescent="0.25">
      <c r="A424" s="64"/>
      <c r="B424" s="64"/>
      <c r="C424" s="65"/>
      <c r="D424" s="64"/>
      <c r="E424" s="65"/>
      <c r="F424" s="65"/>
      <c r="G424" s="64"/>
      <c r="H424" s="65"/>
      <c r="I424" s="65"/>
      <c r="J424" s="64"/>
      <c r="K424" s="65"/>
      <c r="L424" s="65"/>
      <c r="M424" s="64"/>
      <c r="N424" s="65"/>
      <c r="O424" s="65"/>
    </row>
    <row r="425" spans="1:15" x14ac:dyDescent="0.25">
      <c r="A425" s="64"/>
      <c r="B425" s="64"/>
      <c r="C425" s="65"/>
      <c r="D425" s="64"/>
      <c r="E425" s="65"/>
      <c r="F425" s="65"/>
      <c r="G425" s="64"/>
      <c r="H425" s="65"/>
      <c r="I425" s="65"/>
      <c r="J425" s="64"/>
      <c r="K425" s="65"/>
      <c r="L425" s="65"/>
      <c r="M425" s="64"/>
      <c r="N425" s="65"/>
      <c r="O425" s="65"/>
    </row>
    <row r="426" spans="1:15" x14ac:dyDescent="0.25">
      <c r="A426" s="64"/>
      <c r="B426" s="64"/>
      <c r="C426" s="65"/>
      <c r="D426" s="64"/>
      <c r="E426" s="65"/>
      <c r="F426" s="65"/>
      <c r="G426" s="64"/>
      <c r="H426" s="65"/>
      <c r="I426" s="65"/>
      <c r="J426" s="64"/>
      <c r="K426" s="65"/>
      <c r="L426" s="65"/>
      <c r="M426" s="64"/>
      <c r="N426" s="65"/>
      <c r="O426" s="65"/>
    </row>
    <row r="427" spans="1:15" x14ac:dyDescent="0.25">
      <c r="A427" s="64"/>
      <c r="B427" s="64"/>
      <c r="C427" s="65"/>
      <c r="D427" s="64"/>
      <c r="E427" s="65"/>
      <c r="F427" s="65"/>
      <c r="G427" s="64"/>
      <c r="H427" s="65"/>
      <c r="I427" s="65"/>
      <c r="J427" s="64"/>
      <c r="K427" s="65"/>
      <c r="L427" s="65"/>
      <c r="M427" s="64"/>
      <c r="N427" s="65"/>
      <c r="O427" s="65"/>
    </row>
    <row r="428" spans="1:15" x14ac:dyDescent="0.25">
      <c r="A428" s="64"/>
      <c r="B428" s="64"/>
      <c r="C428" s="65"/>
      <c r="D428" s="64"/>
      <c r="E428" s="65"/>
      <c r="F428" s="65"/>
      <c r="G428" s="64"/>
      <c r="H428" s="65"/>
      <c r="I428" s="65"/>
      <c r="J428" s="64"/>
      <c r="K428" s="65"/>
      <c r="L428" s="65"/>
      <c r="M428" s="64"/>
      <c r="N428" s="65"/>
      <c r="O428" s="65"/>
    </row>
    <row r="429" spans="1:15" x14ac:dyDescent="0.25">
      <c r="A429" s="64"/>
      <c r="B429" s="64"/>
      <c r="C429" s="65"/>
      <c r="D429" s="64"/>
      <c r="E429" s="65"/>
      <c r="F429" s="65"/>
      <c r="G429" s="64"/>
      <c r="H429" s="65"/>
      <c r="I429" s="65"/>
      <c r="J429" s="64"/>
      <c r="K429" s="65"/>
      <c r="L429" s="65"/>
      <c r="M429" s="64"/>
      <c r="N429" s="65"/>
      <c r="O429" s="65"/>
    </row>
    <row r="430" spans="1:15" x14ac:dyDescent="0.25">
      <c r="A430" s="64"/>
      <c r="B430" s="64"/>
      <c r="C430" s="65"/>
      <c r="D430" s="64"/>
      <c r="E430" s="65"/>
      <c r="F430" s="65"/>
      <c r="G430" s="64"/>
      <c r="H430" s="65"/>
      <c r="I430" s="65"/>
      <c r="J430" s="64"/>
      <c r="K430" s="65"/>
      <c r="L430" s="65"/>
      <c r="M430" s="64"/>
      <c r="N430" s="65"/>
      <c r="O430" s="65"/>
    </row>
    <row r="431" spans="1:15" x14ac:dyDescent="0.25">
      <c r="A431" s="64"/>
      <c r="B431" s="64"/>
      <c r="C431" s="65"/>
      <c r="D431" s="64"/>
      <c r="E431" s="65"/>
      <c r="F431" s="65"/>
      <c r="G431" s="64"/>
      <c r="H431" s="65"/>
      <c r="I431" s="65"/>
      <c r="J431" s="64"/>
      <c r="K431" s="65"/>
      <c r="L431" s="65"/>
      <c r="M431" s="64"/>
      <c r="N431" s="65"/>
      <c r="O431" s="65"/>
    </row>
    <row r="432" spans="1:15" x14ac:dyDescent="0.25">
      <c r="A432" s="64"/>
      <c r="B432" s="64"/>
      <c r="C432" s="65"/>
      <c r="D432" s="64"/>
      <c r="E432" s="65"/>
      <c r="F432" s="65"/>
      <c r="G432" s="64"/>
      <c r="H432" s="65"/>
      <c r="I432" s="65"/>
      <c r="J432" s="64"/>
      <c r="K432" s="65"/>
      <c r="L432" s="65"/>
      <c r="M432" s="64"/>
      <c r="N432" s="65"/>
      <c r="O432" s="65"/>
    </row>
    <row r="433" spans="1:15" x14ac:dyDescent="0.25">
      <c r="A433" s="64"/>
      <c r="B433" s="64"/>
      <c r="C433" s="65"/>
      <c r="D433" s="64"/>
      <c r="E433" s="65"/>
      <c r="F433" s="65"/>
      <c r="G433" s="64"/>
      <c r="H433" s="65"/>
      <c r="I433" s="65"/>
      <c r="J433" s="64"/>
      <c r="K433" s="65"/>
      <c r="L433" s="65"/>
      <c r="M433" s="64"/>
      <c r="N433" s="65"/>
      <c r="O433" s="65"/>
    </row>
    <row r="434" spans="1:15" x14ac:dyDescent="0.25">
      <c r="A434" s="64"/>
      <c r="B434" s="64"/>
      <c r="C434" s="65"/>
      <c r="D434" s="64"/>
      <c r="E434" s="65"/>
      <c r="F434" s="65"/>
      <c r="G434" s="64"/>
      <c r="H434" s="65"/>
      <c r="I434" s="65"/>
      <c r="J434" s="64"/>
      <c r="K434" s="65"/>
      <c r="L434" s="65"/>
      <c r="M434" s="64"/>
      <c r="N434" s="65"/>
      <c r="O434" s="65"/>
    </row>
    <row r="435" spans="1:15" x14ac:dyDescent="0.25">
      <c r="A435" s="64"/>
      <c r="B435" s="64"/>
      <c r="C435" s="65"/>
      <c r="D435" s="64"/>
      <c r="E435" s="65"/>
      <c r="F435" s="65"/>
      <c r="G435" s="64"/>
      <c r="H435" s="65"/>
      <c r="I435" s="65"/>
      <c r="J435" s="64"/>
      <c r="K435" s="65"/>
      <c r="L435" s="65"/>
      <c r="M435" s="64"/>
      <c r="N435" s="65"/>
      <c r="O435" s="65"/>
    </row>
    <row r="436" spans="1:15" x14ac:dyDescent="0.25">
      <c r="A436" s="64"/>
      <c r="B436" s="64"/>
      <c r="C436" s="65"/>
      <c r="D436" s="64"/>
      <c r="E436" s="65"/>
      <c r="F436" s="65"/>
      <c r="G436" s="64"/>
      <c r="H436" s="65"/>
      <c r="I436" s="65"/>
      <c r="J436" s="64"/>
      <c r="K436" s="65"/>
      <c r="L436" s="65"/>
      <c r="M436" s="64"/>
      <c r="N436" s="65"/>
      <c r="O436" s="65"/>
    </row>
    <row r="437" spans="1:15" x14ac:dyDescent="0.25">
      <c r="A437" s="64"/>
      <c r="B437" s="64"/>
      <c r="C437" s="65"/>
      <c r="D437" s="64"/>
      <c r="E437" s="65"/>
      <c r="F437" s="65"/>
      <c r="G437" s="64"/>
      <c r="H437" s="65"/>
      <c r="I437" s="65"/>
      <c r="J437" s="64"/>
      <c r="K437" s="65"/>
      <c r="L437" s="65"/>
      <c r="M437" s="64"/>
      <c r="N437" s="65"/>
      <c r="O437" s="65"/>
    </row>
    <row r="438" spans="1:15" x14ac:dyDescent="0.25">
      <c r="A438" s="64"/>
      <c r="B438" s="64"/>
      <c r="C438" s="65"/>
      <c r="D438" s="64"/>
      <c r="E438" s="65"/>
      <c r="F438" s="65"/>
      <c r="G438" s="64"/>
      <c r="H438" s="65"/>
      <c r="I438" s="65"/>
      <c r="J438" s="64"/>
      <c r="K438" s="65"/>
      <c r="L438" s="65"/>
      <c r="M438" s="64"/>
      <c r="N438" s="65"/>
      <c r="O438" s="65"/>
    </row>
    <row r="439" spans="1:15" x14ac:dyDescent="0.25">
      <c r="A439" s="64"/>
      <c r="B439" s="64"/>
      <c r="C439" s="65"/>
      <c r="D439" s="64"/>
      <c r="E439" s="65"/>
      <c r="F439" s="65"/>
      <c r="G439" s="64"/>
      <c r="H439" s="65"/>
      <c r="I439" s="65"/>
      <c r="J439" s="64"/>
      <c r="K439" s="65"/>
      <c r="L439" s="65"/>
      <c r="M439" s="64"/>
      <c r="N439" s="65"/>
      <c r="O439" s="65"/>
    </row>
    <row r="440" spans="1:15" x14ac:dyDescent="0.25">
      <c r="A440" s="64"/>
      <c r="B440" s="64"/>
      <c r="C440" s="65"/>
      <c r="D440" s="64"/>
      <c r="E440" s="65"/>
      <c r="F440" s="65"/>
      <c r="G440" s="64"/>
      <c r="H440" s="65"/>
      <c r="I440" s="65"/>
      <c r="J440" s="64"/>
      <c r="K440" s="65"/>
      <c r="L440" s="65"/>
      <c r="M440" s="64"/>
      <c r="N440" s="65"/>
      <c r="O440" s="65"/>
    </row>
    <row r="441" spans="1:15" x14ac:dyDescent="0.25">
      <c r="A441" s="64"/>
      <c r="B441" s="64"/>
      <c r="C441" s="65"/>
      <c r="D441" s="64"/>
      <c r="E441" s="65"/>
      <c r="F441" s="65"/>
      <c r="G441" s="64"/>
      <c r="H441" s="65"/>
      <c r="I441" s="65"/>
      <c r="J441" s="64"/>
      <c r="K441" s="65"/>
      <c r="L441" s="65"/>
      <c r="M441" s="64"/>
      <c r="N441" s="65"/>
      <c r="O441" s="65"/>
    </row>
    <row r="442" spans="1:15" x14ac:dyDescent="0.25">
      <c r="A442" s="64"/>
      <c r="B442" s="64"/>
      <c r="C442" s="65"/>
      <c r="D442" s="64"/>
      <c r="E442" s="65"/>
      <c r="F442" s="65"/>
      <c r="G442" s="64"/>
      <c r="H442" s="65"/>
      <c r="I442" s="65"/>
      <c r="J442" s="64"/>
      <c r="K442" s="65"/>
      <c r="L442" s="65"/>
      <c r="M442" s="64"/>
      <c r="N442" s="65"/>
      <c r="O442" s="65"/>
    </row>
    <row r="443" spans="1:15" x14ac:dyDescent="0.25">
      <c r="A443" s="64"/>
      <c r="B443" s="64"/>
      <c r="C443" s="65"/>
      <c r="D443" s="64"/>
      <c r="E443" s="65"/>
      <c r="F443" s="65"/>
      <c r="G443" s="64"/>
      <c r="H443" s="65"/>
      <c r="I443" s="65"/>
      <c r="J443" s="64"/>
      <c r="K443" s="65"/>
      <c r="L443" s="65"/>
      <c r="M443" s="64"/>
      <c r="N443" s="65"/>
      <c r="O443" s="65"/>
    </row>
    <row r="444" spans="1:15" x14ac:dyDescent="0.25">
      <c r="A444" s="64"/>
      <c r="B444" s="64"/>
      <c r="C444" s="65"/>
      <c r="D444" s="64"/>
      <c r="E444" s="65"/>
      <c r="F444" s="65"/>
      <c r="G444" s="64"/>
      <c r="H444" s="65"/>
      <c r="I444" s="65"/>
      <c r="J444" s="64"/>
      <c r="K444" s="65"/>
      <c r="L444" s="65"/>
      <c r="M444" s="64"/>
      <c r="N444" s="65"/>
      <c r="O444" s="65"/>
    </row>
    <row r="445" spans="1:15" x14ac:dyDescent="0.25">
      <c r="A445" s="64"/>
      <c r="B445" s="64"/>
      <c r="C445" s="65"/>
      <c r="D445" s="64"/>
      <c r="E445" s="65"/>
      <c r="F445" s="65"/>
      <c r="G445" s="64"/>
      <c r="H445" s="65"/>
      <c r="I445" s="65"/>
      <c r="J445" s="64"/>
      <c r="K445" s="65"/>
      <c r="L445" s="65"/>
      <c r="M445" s="64"/>
      <c r="N445" s="65"/>
      <c r="O445" s="65"/>
    </row>
    <row r="446" spans="1:15" x14ac:dyDescent="0.25">
      <c r="A446" s="64"/>
      <c r="B446" s="64"/>
      <c r="C446" s="65"/>
      <c r="D446" s="64"/>
      <c r="E446" s="65"/>
      <c r="F446" s="65"/>
      <c r="G446" s="64"/>
      <c r="H446" s="65"/>
      <c r="I446" s="65"/>
      <c r="J446" s="64"/>
      <c r="K446" s="65"/>
      <c r="L446" s="65"/>
      <c r="M446" s="64"/>
      <c r="N446" s="65"/>
      <c r="O446" s="65"/>
    </row>
    <row r="447" spans="1:15" x14ac:dyDescent="0.25">
      <c r="A447" s="64"/>
      <c r="B447" s="64"/>
      <c r="C447" s="65"/>
      <c r="D447" s="64"/>
      <c r="E447" s="65"/>
      <c r="F447" s="65"/>
      <c r="G447" s="64"/>
      <c r="H447" s="65"/>
      <c r="I447" s="65"/>
      <c r="J447" s="64"/>
      <c r="K447" s="65"/>
      <c r="L447" s="65"/>
      <c r="M447" s="64"/>
      <c r="N447" s="65"/>
      <c r="O447" s="65"/>
    </row>
    <row r="448" spans="1:15" x14ac:dyDescent="0.25">
      <c r="A448" s="64"/>
      <c r="B448" s="64"/>
      <c r="C448" s="65"/>
      <c r="D448" s="64"/>
      <c r="E448" s="65"/>
      <c r="F448" s="65"/>
      <c r="G448" s="64"/>
      <c r="H448" s="65"/>
      <c r="I448" s="65"/>
      <c r="J448" s="64"/>
      <c r="K448" s="65"/>
      <c r="L448" s="65"/>
      <c r="M448" s="64"/>
      <c r="N448" s="65"/>
      <c r="O448" s="65"/>
    </row>
    <row r="449" spans="1:15" x14ac:dyDescent="0.25">
      <c r="A449" s="64"/>
      <c r="B449" s="64"/>
      <c r="C449" s="65"/>
      <c r="D449" s="64"/>
      <c r="E449" s="65"/>
      <c r="F449" s="65"/>
      <c r="G449" s="64"/>
      <c r="H449" s="65"/>
      <c r="I449" s="65"/>
      <c r="J449" s="64"/>
      <c r="K449" s="65"/>
      <c r="L449" s="65"/>
      <c r="M449" s="64"/>
      <c r="N449" s="65"/>
      <c r="O449" s="65"/>
    </row>
    <row r="450" spans="1:15" x14ac:dyDescent="0.25">
      <c r="A450" s="64"/>
      <c r="B450" s="64"/>
      <c r="C450" s="65"/>
      <c r="D450" s="64"/>
      <c r="E450" s="65"/>
      <c r="F450" s="65"/>
      <c r="G450" s="64"/>
      <c r="H450" s="65"/>
      <c r="I450" s="65"/>
      <c r="J450" s="64"/>
      <c r="K450" s="65"/>
      <c r="L450" s="65"/>
      <c r="M450" s="64"/>
      <c r="N450" s="65"/>
      <c r="O450" s="65"/>
    </row>
    <row r="451" spans="1:15" x14ac:dyDescent="0.25">
      <c r="A451" s="64"/>
      <c r="B451" s="64"/>
      <c r="C451" s="65"/>
      <c r="D451" s="64"/>
      <c r="E451" s="65"/>
      <c r="F451" s="65"/>
      <c r="G451" s="64"/>
      <c r="H451" s="65"/>
      <c r="I451" s="65"/>
      <c r="J451" s="64"/>
      <c r="K451" s="65"/>
      <c r="L451" s="65"/>
      <c r="M451" s="64"/>
      <c r="N451" s="65"/>
      <c r="O451" s="65"/>
    </row>
    <row r="452" spans="1:15" x14ac:dyDescent="0.25">
      <c r="A452" s="64"/>
      <c r="B452" s="64"/>
      <c r="C452" s="65"/>
      <c r="D452" s="64"/>
      <c r="E452" s="65"/>
      <c r="F452" s="65"/>
      <c r="G452" s="64"/>
      <c r="H452" s="65"/>
      <c r="I452" s="65"/>
      <c r="J452" s="64"/>
      <c r="K452" s="65"/>
      <c r="L452" s="65"/>
      <c r="M452" s="64"/>
      <c r="N452" s="65"/>
      <c r="O452" s="65"/>
    </row>
    <row r="453" spans="1:15" x14ac:dyDescent="0.25">
      <c r="A453" s="64"/>
      <c r="B453" s="64"/>
      <c r="C453" s="65"/>
      <c r="D453" s="64"/>
      <c r="E453" s="65"/>
      <c r="F453" s="65"/>
      <c r="G453" s="64"/>
      <c r="H453" s="65"/>
      <c r="I453" s="65"/>
      <c r="J453" s="64"/>
      <c r="K453" s="65"/>
      <c r="L453" s="65"/>
      <c r="M453" s="64"/>
      <c r="N453" s="65"/>
      <c r="O453" s="65"/>
    </row>
    <row r="454" spans="1:15" x14ac:dyDescent="0.25">
      <c r="A454" s="64"/>
      <c r="B454" s="64"/>
      <c r="C454" s="65"/>
      <c r="D454" s="64"/>
      <c r="E454" s="65"/>
      <c r="F454" s="65"/>
      <c r="G454" s="64"/>
      <c r="H454" s="65"/>
      <c r="I454" s="65"/>
      <c r="J454" s="64"/>
      <c r="K454" s="65"/>
      <c r="L454" s="65"/>
      <c r="M454" s="64"/>
      <c r="N454" s="65"/>
      <c r="O454" s="65"/>
    </row>
    <row r="455" spans="1:15" x14ac:dyDescent="0.25">
      <c r="A455" s="64"/>
      <c r="B455" s="64"/>
      <c r="C455" s="65"/>
      <c r="D455" s="64"/>
      <c r="E455" s="65"/>
      <c r="F455" s="65"/>
      <c r="G455" s="64"/>
      <c r="H455" s="65"/>
      <c r="I455" s="65"/>
      <c r="J455" s="64"/>
      <c r="K455" s="65"/>
      <c r="L455" s="65"/>
      <c r="M455" s="64"/>
      <c r="N455" s="65"/>
      <c r="O455" s="65"/>
    </row>
    <row r="456" spans="1:15" x14ac:dyDescent="0.25">
      <c r="A456" s="64"/>
      <c r="B456" s="64"/>
      <c r="C456" s="65"/>
      <c r="D456" s="64"/>
      <c r="E456" s="65"/>
      <c r="F456" s="65"/>
      <c r="G456" s="64"/>
      <c r="H456" s="65"/>
      <c r="I456" s="65"/>
      <c r="J456" s="64"/>
      <c r="K456" s="65"/>
      <c r="L456" s="65"/>
      <c r="M456" s="64"/>
      <c r="N456" s="65"/>
      <c r="O456" s="65"/>
    </row>
    <row r="457" spans="1:15" x14ac:dyDescent="0.25">
      <c r="A457" s="64"/>
      <c r="B457" s="64"/>
      <c r="C457" s="65"/>
      <c r="D457" s="64"/>
      <c r="E457" s="65"/>
      <c r="F457" s="65"/>
      <c r="G457" s="64"/>
      <c r="H457" s="65"/>
      <c r="I457" s="65"/>
      <c r="J457" s="64"/>
      <c r="K457" s="65"/>
      <c r="L457" s="65"/>
      <c r="M457" s="64"/>
      <c r="N457" s="65"/>
      <c r="O457" s="65"/>
    </row>
    <row r="458" spans="1:15" x14ac:dyDescent="0.25">
      <c r="A458" s="64"/>
      <c r="B458" s="64"/>
      <c r="C458" s="65"/>
      <c r="D458" s="64"/>
      <c r="E458" s="65"/>
      <c r="F458" s="65"/>
      <c r="G458" s="64"/>
      <c r="H458" s="65"/>
      <c r="I458" s="65"/>
      <c r="J458" s="64"/>
      <c r="K458" s="65"/>
      <c r="L458" s="65"/>
      <c r="M458" s="64"/>
      <c r="N458" s="65"/>
      <c r="O458" s="65"/>
    </row>
    <row r="459" spans="1:15" x14ac:dyDescent="0.25">
      <c r="A459" s="64"/>
      <c r="B459" s="64"/>
      <c r="C459" s="65"/>
      <c r="D459" s="64"/>
      <c r="E459" s="65"/>
      <c r="F459" s="65"/>
      <c r="G459" s="64"/>
      <c r="H459" s="65"/>
      <c r="I459" s="65"/>
      <c r="J459" s="64"/>
      <c r="K459" s="65"/>
      <c r="L459" s="65"/>
      <c r="M459" s="64"/>
      <c r="N459" s="65"/>
      <c r="O459" s="65"/>
    </row>
    <row r="460" spans="1:15" x14ac:dyDescent="0.25">
      <c r="A460" s="64"/>
      <c r="B460" s="64"/>
      <c r="C460" s="65"/>
      <c r="D460" s="64"/>
      <c r="E460" s="65"/>
      <c r="F460" s="65"/>
      <c r="G460" s="64"/>
      <c r="H460" s="65"/>
      <c r="I460" s="65"/>
      <c r="J460" s="64"/>
      <c r="K460" s="65"/>
      <c r="L460" s="65"/>
      <c r="M460" s="64"/>
      <c r="N460" s="65"/>
      <c r="O460" s="65"/>
    </row>
    <row r="461" spans="1:15" x14ac:dyDescent="0.25">
      <c r="A461" s="64"/>
      <c r="B461" s="64"/>
      <c r="C461" s="65"/>
      <c r="D461" s="64"/>
      <c r="E461" s="65"/>
      <c r="F461" s="65"/>
      <c r="G461" s="64"/>
      <c r="H461" s="65"/>
      <c r="I461" s="65"/>
      <c r="J461" s="64"/>
      <c r="K461" s="65"/>
      <c r="L461" s="65"/>
      <c r="M461" s="64"/>
      <c r="N461" s="65"/>
      <c r="O461" s="65"/>
    </row>
    <row r="462" spans="1:15" x14ac:dyDescent="0.25">
      <c r="A462" s="64"/>
      <c r="B462" s="64"/>
      <c r="C462" s="65"/>
      <c r="D462" s="64"/>
      <c r="E462" s="65"/>
      <c r="F462" s="65"/>
      <c r="G462" s="64"/>
      <c r="H462" s="65"/>
      <c r="I462" s="65"/>
      <c r="J462" s="64"/>
      <c r="K462" s="65"/>
      <c r="L462" s="65"/>
      <c r="M462" s="64"/>
      <c r="N462" s="65"/>
      <c r="O462" s="65"/>
    </row>
    <row r="463" spans="1:15" x14ac:dyDescent="0.25">
      <c r="A463" s="64"/>
      <c r="B463" s="64"/>
      <c r="C463" s="65"/>
      <c r="D463" s="64"/>
      <c r="E463" s="65"/>
      <c r="F463" s="65"/>
      <c r="G463" s="64"/>
      <c r="H463" s="65"/>
      <c r="I463" s="65"/>
      <c r="J463" s="64"/>
      <c r="K463" s="65"/>
      <c r="L463" s="65"/>
      <c r="M463" s="64"/>
      <c r="N463" s="65"/>
      <c r="O463" s="65"/>
    </row>
    <row r="464" spans="1:15" x14ac:dyDescent="0.25">
      <c r="A464" s="64"/>
      <c r="B464" s="64"/>
      <c r="C464" s="65"/>
      <c r="D464" s="64"/>
      <c r="E464" s="65"/>
      <c r="F464" s="65"/>
      <c r="G464" s="64"/>
      <c r="H464" s="65"/>
      <c r="I464" s="65"/>
      <c r="J464" s="64"/>
      <c r="K464" s="65"/>
      <c r="L464" s="65"/>
      <c r="M464" s="64"/>
      <c r="N464" s="65"/>
      <c r="O464" s="65"/>
    </row>
    <row r="465" spans="1:15" x14ac:dyDescent="0.25">
      <c r="A465" s="64"/>
      <c r="B465" s="64"/>
      <c r="C465" s="65"/>
      <c r="D465" s="64"/>
      <c r="E465" s="65"/>
      <c r="F465" s="65"/>
      <c r="G465" s="64"/>
      <c r="H465" s="65"/>
      <c r="I465" s="65"/>
      <c r="J465" s="64"/>
      <c r="K465" s="65"/>
      <c r="L465" s="65"/>
      <c r="M465" s="64"/>
      <c r="N465" s="65"/>
      <c r="O465" s="65"/>
    </row>
    <row r="466" spans="1:15" x14ac:dyDescent="0.25">
      <c r="A466" s="64"/>
      <c r="B466" s="64"/>
      <c r="C466" s="65"/>
      <c r="D466" s="64"/>
      <c r="E466" s="65"/>
      <c r="F466" s="65"/>
      <c r="G466" s="64"/>
      <c r="H466" s="65"/>
      <c r="I466" s="65"/>
      <c r="J466" s="64"/>
      <c r="K466" s="65"/>
      <c r="L466" s="65"/>
      <c r="M466" s="64"/>
      <c r="N466" s="65"/>
      <c r="O466" s="65"/>
    </row>
    <row r="467" spans="1:15" x14ac:dyDescent="0.25">
      <c r="A467" s="64"/>
      <c r="B467" s="64"/>
      <c r="C467" s="65"/>
      <c r="D467" s="64"/>
      <c r="E467" s="65"/>
      <c r="F467" s="65"/>
      <c r="G467" s="64"/>
      <c r="H467" s="65"/>
      <c r="I467" s="65"/>
      <c r="J467" s="64"/>
      <c r="K467" s="65"/>
      <c r="L467" s="65"/>
      <c r="M467" s="64"/>
      <c r="N467" s="65"/>
      <c r="O467" s="65"/>
    </row>
    <row r="468" spans="1:15" x14ac:dyDescent="0.25">
      <c r="A468" s="64"/>
      <c r="B468" s="64"/>
      <c r="C468" s="65"/>
      <c r="D468" s="64"/>
      <c r="E468" s="65"/>
      <c r="F468" s="65"/>
      <c r="G468" s="64"/>
      <c r="H468" s="65"/>
      <c r="I468" s="65"/>
      <c r="J468" s="64"/>
      <c r="K468" s="65"/>
      <c r="L468" s="65"/>
      <c r="M468" s="64"/>
      <c r="N468" s="65"/>
      <c r="O468" s="65"/>
    </row>
    <row r="469" spans="1:15" x14ac:dyDescent="0.25">
      <c r="A469" s="64"/>
      <c r="B469" s="64"/>
      <c r="C469" s="65"/>
      <c r="D469" s="64"/>
      <c r="E469" s="65"/>
      <c r="F469" s="65"/>
      <c r="G469" s="64"/>
      <c r="H469" s="65"/>
      <c r="I469" s="65"/>
      <c r="J469" s="64"/>
      <c r="K469" s="65"/>
      <c r="L469" s="65"/>
      <c r="M469" s="64"/>
      <c r="N469" s="65"/>
      <c r="O469" s="65"/>
    </row>
    <row r="470" spans="1:15" x14ac:dyDescent="0.25">
      <c r="A470" s="64"/>
      <c r="B470" s="64"/>
      <c r="C470" s="65"/>
      <c r="D470" s="64"/>
      <c r="E470" s="65"/>
      <c r="F470" s="65"/>
      <c r="G470" s="64"/>
      <c r="H470" s="65"/>
      <c r="I470" s="65"/>
      <c r="J470" s="64"/>
      <c r="K470" s="65"/>
      <c r="L470" s="65"/>
      <c r="M470" s="64"/>
      <c r="N470" s="65"/>
      <c r="O470" s="65"/>
    </row>
    <row r="471" spans="1:15" x14ac:dyDescent="0.25">
      <c r="A471" s="64"/>
      <c r="B471" s="64"/>
      <c r="C471" s="65"/>
      <c r="D471" s="64"/>
      <c r="E471" s="65"/>
      <c r="F471" s="65"/>
      <c r="G471" s="64"/>
      <c r="H471" s="65"/>
      <c r="I471" s="65"/>
      <c r="J471" s="64"/>
      <c r="K471" s="65"/>
      <c r="L471" s="65"/>
      <c r="M471" s="64"/>
      <c r="N471" s="65"/>
      <c r="O471" s="65"/>
    </row>
    <row r="472" spans="1:15" x14ac:dyDescent="0.25">
      <c r="A472" s="64"/>
      <c r="B472" s="64"/>
      <c r="C472" s="65"/>
      <c r="D472" s="64"/>
      <c r="E472" s="65"/>
      <c r="F472" s="65"/>
      <c r="G472" s="64"/>
      <c r="H472" s="65"/>
      <c r="I472" s="65"/>
      <c r="J472" s="64"/>
      <c r="K472" s="65"/>
      <c r="L472" s="65"/>
      <c r="M472" s="64"/>
      <c r="N472" s="65"/>
      <c r="O472" s="65"/>
    </row>
    <row r="473" spans="1:15" x14ac:dyDescent="0.25">
      <c r="A473" s="64"/>
      <c r="B473" s="64"/>
      <c r="C473" s="65"/>
      <c r="D473" s="64"/>
      <c r="E473" s="65"/>
      <c r="F473" s="65"/>
      <c r="G473" s="64"/>
      <c r="H473" s="65"/>
      <c r="I473" s="65"/>
      <c r="J473" s="64"/>
      <c r="K473" s="65"/>
      <c r="L473" s="65"/>
      <c r="M473" s="64"/>
      <c r="N473" s="65"/>
      <c r="O473" s="65"/>
    </row>
    <row r="474" spans="1:15" x14ac:dyDescent="0.25">
      <c r="A474" s="64"/>
      <c r="B474" s="64"/>
      <c r="C474" s="65"/>
      <c r="D474" s="64"/>
      <c r="E474" s="65"/>
      <c r="F474" s="65"/>
      <c r="G474" s="64"/>
      <c r="H474" s="65"/>
      <c r="I474" s="65"/>
      <c r="J474" s="64"/>
      <c r="K474" s="65"/>
      <c r="L474" s="65"/>
      <c r="M474" s="64"/>
      <c r="N474" s="65"/>
      <c r="O474" s="65"/>
    </row>
    <row r="475" spans="1:15" x14ac:dyDescent="0.25">
      <c r="A475" s="64"/>
      <c r="B475" s="64"/>
      <c r="C475" s="65"/>
      <c r="D475" s="64"/>
      <c r="E475" s="65"/>
      <c r="F475" s="65"/>
      <c r="G475" s="64"/>
      <c r="H475" s="65"/>
      <c r="I475" s="65"/>
      <c r="J475" s="64"/>
      <c r="K475" s="65"/>
      <c r="L475" s="65"/>
      <c r="M475" s="64"/>
      <c r="N475" s="65"/>
      <c r="O475" s="65"/>
    </row>
    <row r="476" spans="1:15" x14ac:dyDescent="0.25">
      <c r="A476" s="64"/>
      <c r="B476" s="64"/>
      <c r="C476" s="65"/>
      <c r="D476" s="64"/>
      <c r="E476" s="65"/>
      <c r="F476" s="65"/>
      <c r="G476" s="64"/>
      <c r="H476" s="65"/>
      <c r="I476" s="65"/>
      <c r="J476" s="64"/>
      <c r="K476" s="65"/>
      <c r="L476" s="65"/>
      <c r="M476" s="64"/>
      <c r="N476" s="65"/>
      <c r="O476" s="65"/>
    </row>
    <row r="477" spans="1:15" x14ac:dyDescent="0.25">
      <c r="A477" s="64"/>
      <c r="B477" s="64"/>
      <c r="C477" s="65"/>
      <c r="D477" s="64"/>
      <c r="E477" s="65"/>
      <c r="F477" s="65"/>
      <c r="G477" s="64"/>
      <c r="H477" s="65"/>
      <c r="I477" s="65"/>
      <c r="J477" s="64"/>
      <c r="K477" s="65"/>
      <c r="L477" s="65"/>
      <c r="M477" s="64"/>
      <c r="N477" s="65"/>
      <c r="O477" s="65"/>
    </row>
    <row r="478" spans="1:15" x14ac:dyDescent="0.25">
      <c r="A478" s="64"/>
      <c r="B478" s="64"/>
      <c r="C478" s="65"/>
      <c r="D478" s="64"/>
      <c r="E478" s="65"/>
      <c r="F478" s="65"/>
      <c r="G478" s="64"/>
      <c r="H478" s="65"/>
      <c r="I478" s="65"/>
      <c r="J478" s="64"/>
      <c r="K478" s="65"/>
      <c r="L478" s="65"/>
      <c r="M478" s="64"/>
      <c r="N478" s="65"/>
      <c r="O478" s="65"/>
    </row>
    <row r="479" spans="1:15" x14ac:dyDescent="0.25">
      <c r="A479" s="64"/>
      <c r="B479" s="64"/>
      <c r="C479" s="65"/>
      <c r="D479" s="64"/>
      <c r="E479" s="65"/>
      <c r="F479" s="65"/>
      <c r="G479" s="64"/>
      <c r="H479" s="65"/>
      <c r="I479" s="65"/>
      <c r="J479" s="64"/>
      <c r="K479" s="65"/>
      <c r="L479" s="65"/>
      <c r="M479" s="64"/>
      <c r="N479" s="65"/>
      <c r="O479" s="65"/>
    </row>
    <row r="480" spans="1:15" x14ac:dyDescent="0.25">
      <c r="A480" s="64"/>
      <c r="B480" s="64"/>
      <c r="C480" s="65"/>
      <c r="D480" s="64"/>
      <c r="E480" s="65"/>
      <c r="F480" s="65"/>
      <c r="G480" s="64"/>
      <c r="H480" s="65"/>
      <c r="I480" s="65"/>
      <c r="J480" s="64"/>
      <c r="K480" s="65"/>
      <c r="L480" s="65"/>
      <c r="M480" s="64"/>
      <c r="N480" s="65"/>
      <c r="O480" s="65"/>
    </row>
    <row r="481" spans="1:15" x14ac:dyDescent="0.25">
      <c r="A481" s="64"/>
      <c r="B481" s="64"/>
      <c r="C481" s="65"/>
      <c r="D481" s="64"/>
      <c r="E481" s="65"/>
      <c r="F481" s="65"/>
      <c r="G481" s="64"/>
      <c r="H481" s="65"/>
      <c r="I481" s="65"/>
      <c r="J481" s="64"/>
      <c r="K481" s="65"/>
      <c r="L481" s="65"/>
      <c r="M481" s="64"/>
      <c r="N481" s="65"/>
      <c r="O481" s="65"/>
    </row>
    <row r="482" spans="1:15" x14ac:dyDescent="0.25">
      <c r="A482" s="64"/>
      <c r="B482" s="64"/>
      <c r="C482" s="65"/>
      <c r="D482" s="64"/>
      <c r="E482" s="65"/>
      <c r="F482" s="65"/>
      <c r="G482" s="64"/>
      <c r="H482" s="65"/>
      <c r="I482" s="65"/>
      <c r="J482" s="64"/>
      <c r="K482" s="65"/>
      <c r="L482" s="65"/>
      <c r="M482" s="64"/>
      <c r="N482" s="65"/>
      <c r="O482" s="65"/>
    </row>
    <row r="483" spans="1:15" x14ac:dyDescent="0.25">
      <c r="A483" s="64"/>
      <c r="B483" s="64"/>
      <c r="C483" s="65"/>
      <c r="D483" s="64"/>
      <c r="E483" s="65"/>
      <c r="F483" s="65"/>
      <c r="G483" s="64"/>
      <c r="H483" s="65"/>
      <c r="I483" s="65"/>
      <c r="J483" s="64"/>
      <c r="K483" s="65"/>
      <c r="L483" s="65"/>
      <c r="M483" s="64"/>
      <c r="N483" s="65"/>
      <c r="O483" s="65"/>
    </row>
    <row r="484" spans="1:15" x14ac:dyDescent="0.25">
      <c r="A484" s="64"/>
      <c r="B484" s="64"/>
      <c r="C484" s="65"/>
      <c r="D484" s="64"/>
      <c r="E484" s="65"/>
      <c r="F484" s="65"/>
      <c r="G484" s="64"/>
      <c r="H484" s="65"/>
      <c r="I484" s="65"/>
      <c r="J484" s="64"/>
      <c r="K484" s="65"/>
      <c r="L484" s="65"/>
      <c r="M484" s="64"/>
      <c r="N484" s="65"/>
      <c r="O484" s="65"/>
    </row>
    <row r="485" spans="1:15" x14ac:dyDescent="0.25">
      <c r="A485" s="64"/>
      <c r="B485" s="64"/>
      <c r="C485" s="65"/>
      <c r="D485" s="64"/>
      <c r="E485" s="65"/>
      <c r="F485" s="65"/>
      <c r="G485" s="64"/>
      <c r="H485" s="65"/>
      <c r="I485" s="65"/>
      <c r="J485" s="64"/>
      <c r="K485" s="65"/>
      <c r="L485" s="65"/>
      <c r="M485" s="64"/>
      <c r="N485" s="65"/>
      <c r="O485" s="65"/>
    </row>
    <row r="486" spans="1:15" x14ac:dyDescent="0.25">
      <c r="A486" s="64"/>
      <c r="B486" s="64"/>
      <c r="C486" s="65"/>
      <c r="D486" s="64"/>
      <c r="E486" s="65"/>
      <c r="F486" s="65"/>
      <c r="G486" s="64"/>
      <c r="H486" s="65"/>
      <c r="I486" s="65"/>
      <c r="J486" s="64"/>
      <c r="K486" s="65"/>
      <c r="L486" s="65"/>
      <c r="M486" s="64"/>
      <c r="N486" s="65"/>
      <c r="O486" s="65"/>
    </row>
    <row r="487" spans="1:15" x14ac:dyDescent="0.25">
      <c r="A487" s="64"/>
      <c r="B487" s="64"/>
      <c r="C487" s="65"/>
      <c r="D487" s="64"/>
      <c r="E487" s="65"/>
      <c r="F487" s="65"/>
      <c r="G487" s="64"/>
      <c r="H487" s="65"/>
      <c r="I487" s="65"/>
      <c r="J487" s="64"/>
      <c r="K487" s="65"/>
      <c r="L487" s="65"/>
      <c r="M487" s="64"/>
      <c r="N487" s="65"/>
      <c r="O487" s="65"/>
    </row>
    <row r="488" spans="1:15" x14ac:dyDescent="0.25">
      <c r="A488" s="64"/>
      <c r="B488" s="64"/>
      <c r="C488" s="65"/>
      <c r="D488" s="64"/>
      <c r="E488" s="65"/>
      <c r="F488" s="65"/>
      <c r="G488" s="64"/>
      <c r="H488" s="65"/>
      <c r="I488" s="65"/>
      <c r="J488" s="64"/>
      <c r="K488" s="65"/>
      <c r="L488" s="65"/>
      <c r="M488" s="64"/>
      <c r="N488" s="65"/>
      <c r="O488" s="65"/>
    </row>
    <row r="489" spans="1:15" x14ac:dyDescent="0.25">
      <c r="A489" s="64"/>
      <c r="B489" s="64"/>
      <c r="C489" s="65"/>
      <c r="D489" s="64"/>
      <c r="E489" s="65"/>
      <c r="F489" s="65"/>
      <c r="G489" s="64"/>
      <c r="H489" s="65"/>
      <c r="I489" s="65"/>
      <c r="J489" s="64"/>
      <c r="K489" s="65"/>
      <c r="L489" s="65"/>
      <c r="M489" s="64"/>
      <c r="N489" s="65"/>
      <c r="O489" s="65"/>
    </row>
    <row r="490" spans="1:15" x14ac:dyDescent="0.25">
      <c r="A490" s="64"/>
      <c r="B490" s="64"/>
      <c r="C490" s="65"/>
      <c r="D490" s="64"/>
      <c r="E490" s="65"/>
      <c r="F490" s="65"/>
      <c r="G490" s="64"/>
      <c r="H490" s="65"/>
      <c r="I490" s="65"/>
      <c r="J490" s="64"/>
      <c r="K490" s="65"/>
      <c r="L490" s="65"/>
      <c r="M490" s="64"/>
      <c r="N490" s="65"/>
      <c r="O490" s="65"/>
    </row>
    <row r="491" spans="1:15" x14ac:dyDescent="0.25">
      <c r="A491" s="64"/>
      <c r="B491" s="64"/>
      <c r="C491" s="65"/>
      <c r="D491" s="64"/>
      <c r="E491" s="65"/>
      <c r="F491" s="65"/>
      <c r="G491" s="64"/>
      <c r="H491" s="65"/>
      <c r="I491" s="65"/>
      <c r="J491" s="64"/>
      <c r="K491" s="65"/>
      <c r="L491" s="65"/>
      <c r="M491" s="64"/>
      <c r="N491" s="65"/>
      <c r="O491" s="65"/>
    </row>
    <row r="492" spans="1:15" x14ac:dyDescent="0.25">
      <c r="A492" s="64"/>
      <c r="B492" s="64"/>
      <c r="C492" s="65"/>
      <c r="D492" s="64"/>
      <c r="E492" s="65"/>
      <c r="F492" s="65"/>
      <c r="G492" s="64"/>
      <c r="H492" s="65"/>
      <c r="I492" s="65"/>
      <c r="J492" s="64"/>
      <c r="K492" s="65"/>
      <c r="L492" s="65"/>
      <c r="M492" s="64"/>
      <c r="N492" s="65"/>
      <c r="O492" s="65"/>
    </row>
    <row r="493" spans="1:15" x14ac:dyDescent="0.25">
      <c r="A493" s="64"/>
      <c r="B493" s="64"/>
      <c r="C493" s="65"/>
      <c r="D493" s="64"/>
      <c r="E493" s="65"/>
      <c r="F493" s="65"/>
      <c r="G493" s="64"/>
      <c r="H493" s="65"/>
      <c r="I493" s="65"/>
      <c r="J493" s="64"/>
      <c r="K493" s="65"/>
      <c r="L493" s="65"/>
      <c r="M493" s="64"/>
      <c r="N493" s="65"/>
      <c r="O493" s="65"/>
    </row>
    <row r="494" spans="1:15" x14ac:dyDescent="0.25">
      <c r="A494" s="64"/>
      <c r="B494" s="64"/>
      <c r="C494" s="65"/>
      <c r="D494" s="64"/>
      <c r="E494" s="65"/>
      <c r="F494" s="65"/>
      <c r="G494" s="64"/>
      <c r="H494" s="65"/>
      <c r="I494" s="65"/>
      <c r="J494" s="64"/>
      <c r="K494" s="65"/>
      <c r="L494" s="65"/>
      <c r="M494" s="64"/>
      <c r="N494" s="65"/>
      <c r="O494" s="65"/>
    </row>
    <row r="495" spans="1:15" x14ac:dyDescent="0.25">
      <c r="A495" s="64"/>
      <c r="B495" s="64"/>
      <c r="C495" s="65"/>
      <c r="D495" s="64"/>
      <c r="E495" s="65"/>
      <c r="F495" s="65"/>
      <c r="G495" s="64"/>
      <c r="H495" s="65"/>
      <c r="I495" s="65"/>
      <c r="J495" s="64"/>
      <c r="K495" s="65"/>
      <c r="L495" s="65"/>
      <c r="M495" s="64"/>
      <c r="N495" s="65"/>
      <c r="O495" s="65"/>
    </row>
    <row r="496" spans="1:15" x14ac:dyDescent="0.25">
      <c r="A496" s="64"/>
      <c r="B496" s="64"/>
      <c r="C496" s="65"/>
      <c r="D496" s="64"/>
      <c r="E496" s="65"/>
      <c r="F496" s="65"/>
      <c r="G496" s="64"/>
      <c r="H496" s="65"/>
      <c r="I496" s="65"/>
      <c r="J496" s="64"/>
      <c r="K496" s="65"/>
      <c r="L496" s="65"/>
      <c r="M496" s="64"/>
      <c r="N496" s="65"/>
      <c r="O496" s="65"/>
    </row>
    <row r="497" spans="1:15" x14ac:dyDescent="0.25">
      <c r="A497" s="64"/>
      <c r="B497" s="64"/>
      <c r="C497" s="65"/>
      <c r="D497" s="64"/>
      <c r="E497" s="65"/>
      <c r="F497" s="65"/>
      <c r="G497" s="64"/>
      <c r="H497" s="65"/>
      <c r="I497" s="65"/>
      <c r="J497" s="64"/>
      <c r="K497" s="65"/>
      <c r="L497" s="65"/>
      <c r="M497" s="64"/>
      <c r="N497" s="65"/>
      <c r="O497" s="65"/>
    </row>
    <row r="498" spans="1:15" x14ac:dyDescent="0.25">
      <c r="A498" s="64"/>
      <c r="B498" s="64"/>
      <c r="C498" s="65"/>
      <c r="D498" s="64"/>
      <c r="E498" s="65"/>
      <c r="F498" s="65"/>
      <c r="G498" s="64"/>
      <c r="H498" s="65"/>
      <c r="I498" s="65"/>
      <c r="J498" s="64"/>
      <c r="K498" s="65"/>
      <c r="L498" s="65"/>
      <c r="M498" s="64"/>
      <c r="N498" s="65"/>
      <c r="O498" s="65"/>
    </row>
    <row r="499" spans="1:15" x14ac:dyDescent="0.25">
      <c r="A499" s="64"/>
      <c r="B499" s="64"/>
      <c r="C499" s="65"/>
      <c r="D499" s="64"/>
      <c r="E499" s="65"/>
      <c r="F499" s="65"/>
      <c r="G499" s="64"/>
      <c r="H499" s="65"/>
      <c r="I499" s="65"/>
      <c r="J499" s="64"/>
      <c r="K499" s="65"/>
      <c r="L499" s="65"/>
      <c r="M499" s="64"/>
      <c r="N499" s="65"/>
      <c r="O499" s="65"/>
    </row>
    <row r="500" spans="1:15" x14ac:dyDescent="0.25">
      <c r="A500" s="64"/>
      <c r="B500" s="64"/>
      <c r="C500" s="65"/>
      <c r="D500" s="64"/>
      <c r="E500" s="65"/>
      <c r="F500" s="65"/>
      <c r="G500" s="64"/>
      <c r="H500" s="65"/>
      <c r="I500" s="65"/>
      <c r="J500" s="64"/>
      <c r="K500" s="65"/>
      <c r="L500" s="65"/>
      <c r="M500" s="64"/>
      <c r="N500" s="65"/>
      <c r="O500" s="65"/>
    </row>
    <row r="501" spans="1:15" x14ac:dyDescent="0.25">
      <c r="A501" s="64"/>
      <c r="B501" s="64"/>
      <c r="C501" s="65"/>
      <c r="D501" s="64"/>
      <c r="E501" s="65"/>
      <c r="F501" s="65"/>
      <c r="G501" s="64"/>
      <c r="H501" s="65"/>
      <c r="I501" s="65"/>
      <c r="J501" s="64"/>
      <c r="K501" s="65"/>
      <c r="L501" s="65"/>
      <c r="M501" s="64"/>
      <c r="N501" s="65"/>
      <c r="O501" s="65"/>
    </row>
    <row r="502" spans="1:15" x14ac:dyDescent="0.25">
      <c r="A502" s="64"/>
      <c r="B502" s="64"/>
      <c r="C502" s="65"/>
      <c r="D502" s="64"/>
      <c r="E502" s="65"/>
      <c r="F502" s="65"/>
      <c r="G502" s="64"/>
      <c r="H502" s="65"/>
      <c r="I502" s="65"/>
      <c r="J502" s="64"/>
      <c r="K502" s="65"/>
      <c r="L502" s="65"/>
      <c r="M502" s="64"/>
      <c r="N502" s="65"/>
      <c r="O502" s="65"/>
    </row>
    <row r="503" spans="1:15" x14ac:dyDescent="0.25">
      <c r="A503" s="64"/>
      <c r="B503" s="64"/>
      <c r="C503" s="65"/>
      <c r="D503" s="64"/>
      <c r="E503" s="65"/>
      <c r="F503" s="65"/>
      <c r="G503" s="64"/>
      <c r="H503" s="65"/>
      <c r="I503" s="65"/>
      <c r="J503" s="64"/>
      <c r="K503" s="65"/>
      <c r="L503" s="65"/>
      <c r="M503" s="64"/>
      <c r="N503" s="65"/>
      <c r="O503" s="65"/>
    </row>
    <row r="504" spans="1:15" x14ac:dyDescent="0.25">
      <c r="A504" s="64"/>
      <c r="B504" s="64"/>
      <c r="C504" s="65"/>
      <c r="D504" s="64"/>
      <c r="E504" s="65"/>
      <c r="F504" s="65"/>
      <c r="G504" s="64"/>
      <c r="H504" s="65"/>
      <c r="I504" s="65"/>
      <c r="J504" s="64"/>
      <c r="K504" s="65"/>
      <c r="L504" s="65"/>
      <c r="M504" s="64"/>
      <c r="N504" s="65"/>
      <c r="O504" s="65"/>
    </row>
    <row r="505" spans="1:15" x14ac:dyDescent="0.25">
      <c r="A505" s="64"/>
      <c r="B505" s="64"/>
      <c r="C505" s="65"/>
      <c r="D505" s="64"/>
      <c r="E505" s="65"/>
      <c r="F505" s="65"/>
      <c r="G505" s="64"/>
      <c r="H505" s="65"/>
      <c r="I505" s="65"/>
      <c r="J505" s="64"/>
      <c r="K505" s="65"/>
      <c r="L505" s="65"/>
      <c r="M505" s="64"/>
      <c r="N505" s="65"/>
      <c r="O505" s="65"/>
    </row>
    <row r="506" spans="1:15" x14ac:dyDescent="0.25">
      <c r="A506" s="64"/>
      <c r="B506" s="64"/>
      <c r="C506" s="65"/>
      <c r="D506" s="64"/>
      <c r="E506" s="65"/>
      <c r="F506" s="65"/>
      <c r="G506" s="64"/>
      <c r="H506" s="65"/>
      <c r="I506" s="65"/>
      <c r="J506" s="64"/>
      <c r="K506" s="65"/>
      <c r="L506" s="65"/>
      <c r="M506" s="64"/>
      <c r="N506" s="65"/>
      <c r="O506" s="65"/>
    </row>
    <row r="507" spans="1:15" x14ac:dyDescent="0.25">
      <c r="A507" s="64"/>
      <c r="B507" s="64"/>
      <c r="C507" s="65"/>
      <c r="D507" s="64"/>
      <c r="E507" s="65"/>
      <c r="F507" s="65"/>
      <c r="G507" s="64"/>
      <c r="H507" s="65"/>
      <c r="I507" s="65"/>
      <c r="J507" s="64"/>
      <c r="K507" s="65"/>
      <c r="L507" s="65"/>
      <c r="M507" s="64"/>
      <c r="N507" s="65"/>
      <c r="O507" s="65"/>
    </row>
    <row r="508" spans="1:15" x14ac:dyDescent="0.25">
      <c r="A508" s="64"/>
      <c r="B508" s="64"/>
      <c r="C508" s="65"/>
      <c r="D508" s="64"/>
      <c r="E508" s="65"/>
      <c r="F508" s="65"/>
      <c r="G508" s="64"/>
      <c r="H508" s="65"/>
      <c r="I508" s="65"/>
      <c r="J508" s="64"/>
      <c r="K508" s="65"/>
      <c r="L508" s="65"/>
      <c r="M508" s="64"/>
      <c r="N508" s="65"/>
      <c r="O508" s="65"/>
    </row>
    <row r="509" spans="1:15" x14ac:dyDescent="0.25">
      <c r="A509" s="64"/>
      <c r="B509" s="64"/>
      <c r="C509" s="65"/>
      <c r="D509" s="64"/>
      <c r="E509" s="65"/>
      <c r="F509" s="65"/>
      <c r="G509" s="64"/>
      <c r="H509" s="65"/>
      <c r="I509" s="65"/>
      <c r="J509" s="64"/>
      <c r="K509" s="65"/>
      <c r="L509" s="65"/>
      <c r="M509" s="64"/>
      <c r="N509" s="65"/>
      <c r="O509" s="65"/>
    </row>
    <row r="510" spans="1:15" x14ac:dyDescent="0.25">
      <c r="A510" s="64"/>
      <c r="B510" s="64"/>
      <c r="C510" s="65"/>
      <c r="D510" s="64"/>
      <c r="E510" s="65"/>
      <c r="F510" s="65"/>
      <c r="G510" s="64"/>
      <c r="H510" s="65"/>
      <c r="I510" s="65"/>
      <c r="J510" s="64"/>
      <c r="K510" s="65"/>
      <c r="L510" s="65"/>
      <c r="M510" s="64"/>
      <c r="N510" s="65"/>
      <c r="O510" s="65"/>
    </row>
    <row r="511" spans="1:15" x14ac:dyDescent="0.25">
      <c r="A511" s="64"/>
      <c r="B511" s="64"/>
      <c r="C511" s="65"/>
      <c r="D511" s="64"/>
      <c r="E511" s="65"/>
      <c r="F511" s="65"/>
      <c r="G511" s="64"/>
      <c r="H511" s="65"/>
      <c r="I511" s="65"/>
      <c r="J511" s="64"/>
      <c r="K511" s="65"/>
      <c r="L511" s="65"/>
      <c r="M511" s="64"/>
      <c r="N511" s="65"/>
      <c r="O511" s="65"/>
    </row>
    <row r="512" spans="1:15" x14ac:dyDescent="0.25">
      <c r="A512" s="64"/>
      <c r="B512" s="64"/>
      <c r="C512" s="65"/>
      <c r="D512" s="64"/>
      <c r="E512" s="65"/>
      <c r="F512" s="65"/>
      <c r="G512" s="64"/>
      <c r="H512" s="65"/>
      <c r="I512" s="65"/>
      <c r="J512" s="64"/>
      <c r="K512" s="65"/>
      <c r="L512" s="65"/>
      <c r="M512" s="64"/>
      <c r="N512" s="65"/>
      <c r="O512" s="65"/>
    </row>
    <row r="513" spans="1:15" x14ac:dyDescent="0.25">
      <c r="A513" s="64"/>
      <c r="B513" s="64"/>
      <c r="C513" s="65"/>
      <c r="D513" s="64"/>
      <c r="E513" s="65"/>
      <c r="F513" s="65"/>
      <c r="G513" s="64"/>
      <c r="H513" s="65"/>
      <c r="I513" s="65"/>
      <c r="J513" s="64"/>
      <c r="K513" s="65"/>
      <c r="L513" s="65"/>
      <c r="M513" s="64"/>
      <c r="N513" s="65"/>
      <c r="O513" s="65"/>
    </row>
    <row r="514" spans="1:15" x14ac:dyDescent="0.25">
      <c r="A514" s="64"/>
      <c r="B514" s="64"/>
      <c r="C514" s="65"/>
      <c r="D514" s="64"/>
      <c r="E514" s="65"/>
      <c r="F514" s="65"/>
      <c r="G514" s="64"/>
      <c r="H514" s="65"/>
      <c r="I514" s="65"/>
      <c r="J514" s="64"/>
      <c r="K514" s="65"/>
      <c r="L514" s="65"/>
      <c r="M514" s="64"/>
      <c r="N514" s="65"/>
      <c r="O514" s="65"/>
    </row>
    <row r="515" spans="1:15" x14ac:dyDescent="0.25">
      <c r="A515" s="64"/>
      <c r="B515" s="64"/>
      <c r="C515" s="65"/>
      <c r="D515" s="64"/>
      <c r="E515" s="65"/>
      <c r="F515" s="65"/>
      <c r="G515" s="64"/>
      <c r="H515" s="65"/>
      <c r="I515" s="65"/>
      <c r="J515" s="64"/>
      <c r="K515" s="65"/>
      <c r="L515" s="65"/>
      <c r="M515" s="64"/>
      <c r="N515" s="65"/>
      <c r="O515" s="65"/>
    </row>
    <row r="516" spans="1:15" x14ac:dyDescent="0.25">
      <c r="A516" s="64"/>
      <c r="B516" s="64"/>
      <c r="C516" s="65"/>
      <c r="D516" s="64"/>
      <c r="E516" s="65"/>
      <c r="F516" s="65"/>
      <c r="G516" s="64"/>
      <c r="H516" s="65"/>
      <c r="I516" s="65"/>
      <c r="J516" s="64"/>
      <c r="K516" s="65"/>
      <c r="L516" s="65"/>
      <c r="M516" s="64"/>
      <c r="N516" s="65"/>
      <c r="O516" s="65"/>
    </row>
    <row r="517" spans="1:15" x14ac:dyDescent="0.25">
      <c r="A517" s="64"/>
      <c r="B517" s="64"/>
      <c r="C517" s="65"/>
      <c r="D517" s="64"/>
      <c r="E517" s="65"/>
      <c r="F517" s="65"/>
      <c r="G517" s="64"/>
      <c r="H517" s="65"/>
      <c r="I517" s="65"/>
      <c r="J517" s="64"/>
      <c r="K517" s="65"/>
      <c r="L517" s="65"/>
      <c r="M517" s="64"/>
      <c r="N517" s="65"/>
      <c r="O517" s="65"/>
    </row>
    <row r="518" spans="1:15" x14ac:dyDescent="0.25">
      <c r="A518" s="64"/>
      <c r="B518" s="64"/>
      <c r="C518" s="65"/>
      <c r="D518" s="64"/>
      <c r="E518" s="65"/>
      <c r="F518" s="65"/>
      <c r="G518" s="64"/>
      <c r="H518" s="65"/>
      <c r="I518" s="65"/>
      <c r="J518" s="64"/>
      <c r="K518" s="65"/>
      <c r="L518" s="65"/>
      <c r="M518" s="64"/>
      <c r="N518" s="65"/>
      <c r="O518" s="65"/>
    </row>
    <row r="519" spans="1:15" x14ac:dyDescent="0.25">
      <c r="A519" s="64"/>
      <c r="B519" s="64"/>
      <c r="C519" s="65"/>
      <c r="D519" s="64"/>
      <c r="E519" s="65"/>
      <c r="F519" s="65"/>
      <c r="G519" s="64"/>
      <c r="H519" s="65"/>
      <c r="I519" s="65"/>
      <c r="J519" s="64"/>
      <c r="K519" s="65"/>
      <c r="L519" s="65"/>
      <c r="M519" s="64"/>
      <c r="N519" s="65"/>
      <c r="O519" s="65"/>
    </row>
    <row r="520" spans="1:15" x14ac:dyDescent="0.25">
      <c r="A520" s="64"/>
      <c r="B520" s="64"/>
      <c r="C520" s="65"/>
      <c r="D520" s="64"/>
      <c r="E520" s="65"/>
      <c r="F520" s="65"/>
      <c r="G520" s="64"/>
      <c r="H520" s="65"/>
      <c r="I520" s="65"/>
      <c r="J520" s="64"/>
      <c r="K520" s="65"/>
      <c r="L520" s="65"/>
      <c r="M520" s="64"/>
      <c r="N520" s="65"/>
      <c r="O520" s="65"/>
    </row>
    <row r="521" spans="1:15" x14ac:dyDescent="0.25">
      <c r="A521" s="64"/>
      <c r="B521" s="64"/>
      <c r="C521" s="65"/>
      <c r="D521" s="64"/>
      <c r="E521" s="65"/>
      <c r="F521" s="65"/>
      <c r="G521" s="64"/>
      <c r="H521" s="65"/>
      <c r="I521" s="65"/>
      <c r="J521" s="64"/>
      <c r="K521" s="65"/>
      <c r="L521" s="65"/>
      <c r="M521" s="64"/>
      <c r="N521" s="65"/>
      <c r="O521" s="65"/>
    </row>
    <row r="522" spans="1:15" x14ac:dyDescent="0.25">
      <c r="A522" s="64"/>
      <c r="B522" s="64"/>
      <c r="C522" s="65"/>
      <c r="D522" s="64"/>
      <c r="E522" s="65"/>
      <c r="F522" s="65"/>
      <c r="G522" s="64"/>
      <c r="H522" s="65"/>
      <c r="I522" s="65"/>
      <c r="J522" s="64"/>
      <c r="K522" s="65"/>
      <c r="L522" s="65"/>
      <c r="M522" s="64"/>
      <c r="N522" s="65"/>
      <c r="O522" s="65"/>
    </row>
    <row r="523" spans="1:15" x14ac:dyDescent="0.25">
      <c r="A523" s="64"/>
      <c r="B523" s="64"/>
      <c r="C523" s="65"/>
      <c r="D523" s="64"/>
      <c r="E523" s="65"/>
      <c r="F523" s="65"/>
      <c r="G523" s="64"/>
      <c r="H523" s="65"/>
      <c r="I523" s="65"/>
      <c r="J523" s="64"/>
      <c r="K523" s="65"/>
      <c r="L523" s="65"/>
      <c r="M523" s="64"/>
      <c r="N523" s="65"/>
      <c r="O523" s="65"/>
    </row>
    <row r="524" spans="1:15" x14ac:dyDescent="0.25">
      <c r="A524" s="64"/>
      <c r="B524" s="64"/>
      <c r="C524" s="65"/>
      <c r="D524" s="64"/>
      <c r="E524" s="65"/>
      <c r="F524" s="65"/>
      <c r="G524" s="64"/>
      <c r="H524" s="65"/>
      <c r="I524" s="65"/>
      <c r="J524" s="64"/>
      <c r="K524" s="65"/>
      <c r="L524" s="65"/>
      <c r="M524" s="64"/>
      <c r="N524" s="65"/>
      <c r="O524" s="65"/>
    </row>
    <row r="525" spans="1:15" x14ac:dyDescent="0.25">
      <c r="A525" s="64"/>
      <c r="B525" s="64"/>
      <c r="C525" s="65"/>
      <c r="D525" s="64"/>
      <c r="E525" s="65"/>
      <c r="F525" s="65"/>
      <c r="G525" s="64"/>
      <c r="H525" s="65"/>
      <c r="I525" s="65"/>
      <c r="J525" s="64"/>
      <c r="K525" s="65"/>
      <c r="L525" s="65"/>
      <c r="M525" s="64"/>
      <c r="N525" s="65"/>
      <c r="O525" s="65"/>
    </row>
    <row r="526" spans="1:15" x14ac:dyDescent="0.25">
      <c r="A526" s="64"/>
      <c r="B526" s="64"/>
      <c r="C526" s="65"/>
      <c r="D526" s="64"/>
      <c r="E526" s="65"/>
      <c r="F526" s="65"/>
      <c r="G526" s="64"/>
      <c r="H526" s="65"/>
      <c r="I526" s="65"/>
      <c r="J526" s="64"/>
      <c r="K526" s="65"/>
      <c r="L526" s="65"/>
      <c r="M526" s="64"/>
      <c r="N526" s="65"/>
      <c r="O526" s="65"/>
    </row>
    <row r="527" spans="1:15" x14ac:dyDescent="0.25">
      <c r="A527" s="64"/>
      <c r="B527" s="64"/>
      <c r="C527" s="65"/>
      <c r="D527" s="64"/>
      <c r="E527" s="65"/>
      <c r="F527" s="65"/>
      <c r="G527" s="64"/>
      <c r="H527" s="65"/>
      <c r="I527" s="65"/>
      <c r="J527" s="64"/>
      <c r="K527" s="65"/>
      <c r="L527" s="65"/>
      <c r="M527" s="64"/>
      <c r="N527" s="65"/>
      <c r="O527" s="65"/>
    </row>
    <row r="528" spans="1:15" x14ac:dyDescent="0.25">
      <c r="A528" s="64"/>
      <c r="B528" s="64"/>
      <c r="C528" s="65"/>
      <c r="D528" s="64"/>
      <c r="E528" s="65"/>
      <c r="F528" s="65"/>
      <c r="G528" s="64"/>
      <c r="H528" s="65"/>
      <c r="I528" s="65"/>
      <c r="J528" s="64"/>
      <c r="K528" s="65"/>
      <c r="L528" s="65"/>
      <c r="M528" s="64"/>
      <c r="N528" s="65"/>
      <c r="O528" s="65"/>
    </row>
    <row r="529" spans="1:15" x14ac:dyDescent="0.25">
      <c r="A529" s="64"/>
      <c r="B529" s="64"/>
      <c r="C529" s="65"/>
      <c r="D529" s="64"/>
      <c r="E529" s="65"/>
      <c r="F529" s="65"/>
      <c r="G529" s="64"/>
      <c r="H529" s="65"/>
      <c r="I529" s="65"/>
      <c r="J529" s="64"/>
      <c r="K529" s="65"/>
      <c r="L529" s="65"/>
      <c r="M529" s="64"/>
      <c r="N529" s="65"/>
      <c r="O529" s="65"/>
    </row>
    <row r="530" spans="1:15" x14ac:dyDescent="0.25">
      <c r="A530" s="64"/>
      <c r="B530" s="64"/>
      <c r="C530" s="65"/>
      <c r="D530" s="64"/>
      <c r="E530" s="65"/>
      <c r="F530" s="65"/>
      <c r="G530" s="64"/>
      <c r="H530" s="65"/>
      <c r="I530" s="65"/>
      <c r="J530" s="64"/>
      <c r="K530" s="65"/>
      <c r="L530" s="65"/>
      <c r="M530" s="64"/>
      <c r="N530" s="65"/>
      <c r="O530" s="65"/>
    </row>
    <row r="531" spans="1:15" x14ac:dyDescent="0.25">
      <c r="A531" s="64"/>
      <c r="B531" s="64"/>
      <c r="C531" s="65"/>
      <c r="D531" s="64"/>
      <c r="E531" s="65"/>
      <c r="F531" s="65"/>
      <c r="G531" s="64"/>
      <c r="H531" s="65"/>
      <c r="I531" s="65"/>
      <c r="J531" s="64"/>
      <c r="K531" s="65"/>
      <c r="L531" s="65"/>
      <c r="M531" s="64"/>
      <c r="N531" s="65"/>
      <c r="O531" s="65"/>
    </row>
    <row r="532" spans="1:15" x14ac:dyDescent="0.25">
      <c r="A532" s="64"/>
      <c r="B532" s="64"/>
      <c r="C532" s="65"/>
      <c r="D532" s="64"/>
      <c r="E532" s="65"/>
      <c r="F532" s="65"/>
      <c r="G532" s="64"/>
      <c r="H532" s="65"/>
      <c r="I532" s="65"/>
      <c r="J532" s="64"/>
      <c r="K532" s="65"/>
      <c r="L532" s="65"/>
      <c r="M532" s="64"/>
      <c r="N532" s="65"/>
      <c r="O532" s="65"/>
    </row>
    <row r="533" spans="1:15" x14ac:dyDescent="0.25">
      <c r="A533" s="64"/>
      <c r="B533" s="64"/>
      <c r="C533" s="65"/>
      <c r="D533" s="64"/>
      <c r="E533" s="65"/>
      <c r="F533" s="65"/>
      <c r="G533" s="64"/>
      <c r="H533" s="65"/>
      <c r="I533" s="65"/>
      <c r="J533" s="64"/>
      <c r="K533" s="65"/>
      <c r="L533" s="65"/>
      <c r="M533" s="64"/>
      <c r="N533" s="65"/>
      <c r="O533" s="65"/>
    </row>
    <row r="534" spans="1:15" x14ac:dyDescent="0.25">
      <c r="A534" s="64"/>
      <c r="B534" s="64"/>
      <c r="C534" s="65"/>
      <c r="D534" s="64"/>
      <c r="E534" s="65"/>
      <c r="F534" s="65"/>
      <c r="G534" s="64"/>
      <c r="H534" s="65"/>
      <c r="I534" s="65"/>
      <c r="J534" s="64"/>
      <c r="K534" s="65"/>
      <c r="L534" s="65"/>
      <c r="M534" s="64"/>
      <c r="N534" s="65"/>
      <c r="O534" s="65"/>
    </row>
    <row r="535" spans="1:15" x14ac:dyDescent="0.25">
      <c r="A535" s="64"/>
      <c r="B535" s="64"/>
      <c r="C535" s="65"/>
      <c r="G535" s="64"/>
      <c r="H535" s="65"/>
      <c r="I535" s="65"/>
      <c r="J535" s="64"/>
      <c r="K535" s="65"/>
      <c r="L535" s="65"/>
      <c r="M535" s="64"/>
      <c r="N535" s="65"/>
      <c r="O535" s="6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34"/>
  <sheetViews>
    <sheetView topLeftCell="D1" zoomScaleNormal="100" workbookViewId="0">
      <pane ySplit="4" topLeftCell="A5" activePane="bottomLeft" state="frozen"/>
      <selection pane="bottomLeft" activeCell="L5" sqref="L5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4.855468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x14ac:dyDescent="0.25">
      <c r="A2" s="136" t="s">
        <v>0</v>
      </c>
      <c r="B2" s="136"/>
      <c r="C2" s="136"/>
      <c r="D2" s="137" t="s">
        <v>4</v>
      </c>
      <c r="E2" s="137"/>
      <c r="F2" s="137"/>
      <c r="G2" s="138" t="s">
        <v>5</v>
      </c>
      <c r="H2" s="138"/>
      <c r="I2" s="138"/>
      <c r="J2" s="143"/>
      <c r="K2" s="143"/>
      <c r="L2" s="143"/>
      <c r="M2" s="131" t="s">
        <v>12</v>
      </c>
      <c r="N2" s="131"/>
      <c r="O2" s="131"/>
      <c r="Q2" s="140" t="s">
        <v>13</v>
      </c>
      <c r="R2" s="140"/>
    </row>
    <row r="3" spans="1:18" x14ac:dyDescent="0.25">
      <c r="A3" s="8">
        <f>SUBTOTAL(3,A5:A118)</f>
        <v>75</v>
      </c>
      <c r="B3" s="8">
        <f>SUBTOTAL(9,B5:B118)</f>
        <v>46050</v>
      </c>
      <c r="C3" s="35">
        <v>43989</v>
      </c>
      <c r="D3" s="8">
        <f>SUBTOTAL(3,D5:D117)</f>
        <v>47</v>
      </c>
      <c r="E3" s="1">
        <f>SUBTOTAL(9,E5:E155)</f>
        <v>23450</v>
      </c>
      <c r="F3" s="38">
        <v>43996</v>
      </c>
      <c r="G3" s="8">
        <f>SUBTOTAL(3,G5:G119)</f>
        <v>45</v>
      </c>
      <c r="H3" s="1">
        <f>SUBTOTAL(9,H5:H160)</f>
        <v>28400</v>
      </c>
      <c r="I3" s="39">
        <v>44003</v>
      </c>
      <c r="J3" s="8">
        <f>SUBTOTAL(3,J5:J107)</f>
        <v>55</v>
      </c>
      <c r="K3" s="1">
        <f>SUBTOTAL(9,K5:K107)</f>
        <v>33650</v>
      </c>
      <c r="L3" s="63">
        <v>44010</v>
      </c>
      <c r="M3" s="1">
        <f>SUBTOTAL(3,M5:M117)</f>
        <v>0</v>
      </c>
      <c r="N3" s="1">
        <f>SUBTOTAL(9,N5:N117)</f>
        <v>0</v>
      </c>
      <c r="O3" s="81"/>
      <c r="Q3" s="30">
        <f>+A3+D3+G3+J3+M3</f>
        <v>222</v>
      </c>
      <c r="R3" s="29">
        <f>+B3+E3+H3+K3+N3</f>
        <v>131550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22240</v>
      </c>
      <c r="B5" s="49">
        <v>400</v>
      </c>
      <c r="C5" s="17" t="s">
        <v>154</v>
      </c>
      <c r="D5" s="13">
        <v>22315</v>
      </c>
      <c r="E5" s="70">
        <v>500</v>
      </c>
      <c r="F5" s="14"/>
      <c r="G5" s="11">
        <v>22362</v>
      </c>
      <c r="H5" s="67">
        <v>500</v>
      </c>
      <c r="I5" s="12"/>
      <c r="J5" s="61">
        <v>22407</v>
      </c>
      <c r="K5" s="71">
        <v>600</v>
      </c>
      <c r="L5" s="62"/>
      <c r="M5" s="75"/>
      <c r="N5" s="73"/>
      <c r="O5" s="15"/>
      <c r="Q5" s="32"/>
      <c r="R5" s="32"/>
    </row>
    <row r="6" spans="1:18" x14ac:dyDescent="0.25">
      <c r="A6" s="16"/>
      <c r="B6" s="49"/>
      <c r="C6" s="17" t="s">
        <v>44</v>
      </c>
      <c r="D6" s="13">
        <v>22316</v>
      </c>
      <c r="E6" s="70">
        <v>300</v>
      </c>
      <c r="F6" s="14" t="s">
        <v>113</v>
      </c>
      <c r="G6" s="11">
        <v>22363</v>
      </c>
      <c r="H6" s="67">
        <v>500</v>
      </c>
      <c r="I6" s="12" t="s">
        <v>349</v>
      </c>
      <c r="J6" s="61">
        <v>22408</v>
      </c>
      <c r="K6" s="71">
        <v>500</v>
      </c>
      <c r="L6" s="62" t="s">
        <v>278</v>
      </c>
      <c r="M6" s="75"/>
      <c r="N6" s="73"/>
      <c r="O6" s="15"/>
    </row>
    <row r="7" spans="1:18" x14ac:dyDescent="0.25">
      <c r="A7" s="16">
        <v>22241</v>
      </c>
      <c r="B7" s="49">
        <v>500</v>
      </c>
      <c r="C7" s="108" t="s">
        <v>278</v>
      </c>
      <c r="D7" s="13">
        <v>22317</v>
      </c>
      <c r="E7" s="70">
        <v>1800</v>
      </c>
      <c r="F7" s="14" t="s">
        <v>338</v>
      </c>
      <c r="G7" s="11"/>
      <c r="H7" s="67"/>
      <c r="I7" s="12" t="s">
        <v>348</v>
      </c>
      <c r="J7" s="61">
        <v>22409</v>
      </c>
      <c r="K7" s="71">
        <v>300</v>
      </c>
      <c r="L7" s="62" t="s">
        <v>246</v>
      </c>
      <c r="M7" s="75"/>
      <c r="N7" s="73"/>
      <c r="O7" s="15"/>
    </row>
    <row r="8" spans="1:18" x14ac:dyDescent="0.25">
      <c r="A8" s="16">
        <v>22242</v>
      </c>
      <c r="B8" s="49">
        <v>250</v>
      </c>
      <c r="C8" s="17" t="s">
        <v>278</v>
      </c>
      <c r="D8" s="13"/>
      <c r="E8" s="70"/>
      <c r="F8" s="14" t="s">
        <v>339</v>
      </c>
      <c r="G8" s="11">
        <v>22364</v>
      </c>
      <c r="H8" s="67">
        <v>400</v>
      </c>
      <c r="I8" s="12" t="s">
        <v>349</v>
      </c>
      <c r="J8" s="61">
        <v>22410</v>
      </c>
      <c r="K8" s="71">
        <v>800</v>
      </c>
      <c r="L8" s="62" t="s">
        <v>358</v>
      </c>
      <c r="M8" s="75"/>
      <c r="N8" s="73"/>
      <c r="O8" s="15"/>
    </row>
    <row r="9" spans="1:18" x14ac:dyDescent="0.25">
      <c r="A9" s="16">
        <v>22243</v>
      </c>
      <c r="B9" s="49">
        <v>500</v>
      </c>
      <c r="C9" s="17" t="s">
        <v>278</v>
      </c>
      <c r="D9" s="13">
        <v>22318</v>
      </c>
      <c r="E9" s="70">
        <v>400</v>
      </c>
      <c r="F9" s="14"/>
      <c r="G9" s="11">
        <v>22365</v>
      </c>
      <c r="H9" s="67"/>
      <c r="I9" s="12" t="s">
        <v>54</v>
      </c>
      <c r="J9" s="61"/>
      <c r="K9" s="71"/>
      <c r="L9" s="62" t="s">
        <v>359</v>
      </c>
      <c r="M9" s="75"/>
      <c r="N9" s="73"/>
      <c r="O9" s="15"/>
    </row>
    <row r="10" spans="1:18" x14ac:dyDescent="0.25">
      <c r="A10" s="16">
        <v>22244</v>
      </c>
      <c r="B10" s="49"/>
      <c r="C10" s="17" t="s">
        <v>85</v>
      </c>
      <c r="D10" s="13">
        <v>22319</v>
      </c>
      <c r="E10" s="70">
        <v>1000</v>
      </c>
      <c r="F10" s="14" t="s">
        <v>340</v>
      </c>
      <c r="G10" s="11">
        <v>22366</v>
      </c>
      <c r="H10" s="67">
        <v>600</v>
      </c>
      <c r="I10" s="12" t="s">
        <v>248</v>
      </c>
      <c r="J10" s="61">
        <v>22411</v>
      </c>
      <c r="K10" s="71">
        <v>1000</v>
      </c>
      <c r="L10" s="62" t="s">
        <v>268</v>
      </c>
      <c r="M10" s="75"/>
      <c r="N10" s="73"/>
      <c r="O10" s="15"/>
    </row>
    <row r="11" spans="1:18" x14ac:dyDescent="0.25">
      <c r="A11" s="16">
        <v>22245</v>
      </c>
      <c r="B11" s="49">
        <v>500</v>
      </c>
      <c r="C11" s="17" t="s">
        <v>246</v>
      </c>
      <c r="D11" s="13"/>
      <c r="E11" s="70"/>
      <c r="F11" s="14" t="s">
        <v>18</v>
      </c>
      <c r="G11" s="11"/>
      <c r="H11" s="67"/>
      <c r="I11" s="12" t="s">
        <v>29</v>
      </c>
      <c r="J11" s="61"/>
      <c r="K11" s="71"/>
      <c r="L11" s="62" t="s">
        <v>18</v>
      </c>
      <c r="M11" s="75"/>
      <c r="N11" s="73"/>
      <c r="O11" s="31"/>
    </row>
    <row r="12" spans="1:18" x14ac:dyDescent="0.25">
      <c r="A12" s="16">
        <v>22246</v>
      </c>
      <c r="B12" s="49">
        <v>700</v>
      </c>
      <c r="C12" s="17"/>
      <c r="D12" s="13">
        <v>22320</v>
      </c>
      <c r="E12" s="70">
        <v>50</v>
      </c>
      <c r="F12" s="14" t="s">
        <v>341</v>
      </c>
      <c r="G12" s="11">
        <v>22367</v>
      </c>
      <c r="H12" s="67">
        <v>500</v>
      </c>
      <c r="I12" s="12"/>
      <c r="J12" s="61"/>
      <c r="K12" s="71"/>
      <c r="L12" s="62" t="s">
        <v>278</v>
      </c>
      <c r="M12" s="75"/>
      <c r="N12" s="73"/>
      <c r="O12" s="15"/>
    </row>
    <row r="13" spans="1:18" x14ac:dyDescent="0.25">
      <c r="A13" s="16">
        <v>22247</v>
      </c>
      <c r="B13" s="49"/>
      <c r="C13" s="17" t="s">
        <v>278</v>
      </c>
      <c r="D13" s="13">
        <v>22321</v>
      </c>
      <c r="E13" s="70">
        <v>500</v>
      </c>
      <c r="F13" s="14"/>
      <c r="G13" s="11">
        <v>22368</v>
      </c>
      <c r="H13" s="67">
        <v>600</v>
      </c>
      <c r="I13" s="12" t="s">
        <v>268</v>
      </c>
      <c r="J13" s="61">
        <v>22412</v>
      </c>
      <c r="K13" s="71">
        <v>1000</v>
      </c>
      <c r="L13" s="62" t="s">
        <v>360</v>
      </c>
      <c r="M13" s="75"/>
      <c r="N13" s="73"/>
      <c r="O13" s="15"/>
    </row>
    <row r="14" spans="1:18" x14ac:dyDescent="0.25">
      <c r="A14" s="16"/>
      <c r="B14" s="49"/>
      <c r="C14" s="17" t="s">
        <v>326</v>
      </c>
      <c r="D14" s="13">
        <v>22322</v>
      </c>
      <c r="E14" s="70">
        <v>500</v>
      </c>
      <c r="F14" s="14" t="s">
        <v>268</v>
      </c>
      <c r="G14" s="11"/>
      <c r="H14" s="67"/>
      <c r="I14" s="12" t="s">
        <v>29</v>
      </c>
      <c r="J14" s="61"/>
      <c r="K14" s="71"/>
      <c r="L14" s="62" t="s">
        <v>18</v>
      </c>
      <c r="M14" s="75"/>
      <c r="N14" s="73"/>
      <c r="O14" s="15"/>
    </row>
    <row r="15" spans="1:18" x14ac:dyDescent="0.25">
      <c r="A15" s="16">
        <v>22248</v>
      </c>
      <c r="B15" s="49">
        <v>500</v>
      </c>
      <c r="C15" s="17" t="s">
        <v>278</v>
      </c>
      <c r="D15" s="13"/>
      <c r="E15" s="70"/>
      <c r="F15" s="33" t="s">
        <v>22</v>
      </c>
      <c r="G15" s="11">
        <v>22369</v>
      </c>
      <c r="H15" s="67">
        <v>1000</v>
      </c>
      <c r="I15" s="12" t="s">
        <v>268</v>
      </c>
      <c r="J15" s="61"/>
      <c r="K15" s="71"/>
      <c r="L15" s="89" t="s">
        <v>278</v>
      </c>
      <c r="M15" s="75"/>
      <c r="N15" s="73"/>
      <c r="O15" s="15"/>
    </row>
    <row r="16" spans="1:18" x14ac:dyDescent="0.25">
      <c r="A16" s="16">
        <v>22249</v>
      </c>
      <c r="B16" s="49">
        <v>500</v>
      </c>
      <c r="C16" s="17" t="s">
        <v>278</v>
      </c>
      <c r="D16" s="13">
        <v>22323</v>
      </c>
      <c r="E16" s="70">
        <v>500</v>
      </c>
      <c r="F16" s="14"/>
      <c r="G16" s="11"/>
      <c r="H16" s="67"/>
      <c r="I16" s="12" t="s">
        <v>18</v>
      </c>
      <c r="J16" s="61">
        <v>22413</v>
      </c>
      <c r="K16" s="71">
        <v>800</v>
      </c>
      <c r="L16" s="62" t="s">
        <v>268</v>
      </c>
      <c r="M16" s="75"/>
      <c r="N16" s="73"/>
      <c r="O16" s="15"/>
    </row>
    <row r="17" spans="1:15" x14ac:dyDescent="0.25">
      <c r="A17" s="16">
        <v>22250</v>
      </c>
      <c r="B17" s="49">
        <v>1000</v>
      </c>
      <c r="C17" s="17" t="s">
        <v>248</v>
      </c>
      <c r="D17" s="13">
        <v>22324</v>
      </c>
      <c r="E17" s="70">
        <v>600</v>
      </c>
      <c r="F17" s="14" t="s">
        <v>340</v>
      </c>
      <c r="G17" s="11">
        <v>22370</v>
      </c>
      <c r="H17" s="67">
        <v>300</v>
      </c>
      <c r="I17" s="12"/>
      <c r="J17" s="61"/>
      <c r="K17" s="71"/>
      <c r="L17" s="62" t="s">
        <v>25</v>
      </c>
      <c r="M17" s="75"/>
      <c r="N17" s="73"/>
      <c r="O17" s="15"/>
    </row>
    <row r="18" spans="1:15" x14ac:dyDescent="0.25">
      <c r="A18" s="16"/>
      <c r="B18" s="49"/>
      <c r="C18" s="17" t="s">
        <v>18</v>
      </c>
      <c r="D18" s="13"/>
      <c r="E18" s="70"/>
      <c r="F18" s="14" t="s">
        <v>29</v>
      </c>
      <c r="G18" s="11">
        <v>22371</v>
      </c>
      <c r="H18" s="67">
        <v>500</v>
      </c>
      <c r="I18" s="12"/>
      <c r="J18" s="61">
        <v>22414</v>
      </c>
      <c r="K18" s="71">
        <v>500</v>
      </c>
      <c r="L18" s="62"/>
      <c r="M18" s="75"/>
      <c r="N18" s="73"/>
      <c r="O18" s="15"/>
    </row>
    <row r="19" spans="1:15" x14ac:dyDescent="0.25">
      <c r="A19" s="16">
        <v>22251</v>
      </c>
      <c r="B19" s="49">
        <v>1500</v>
      </c>
      <c r="C19" s="17" t="s">
        <v>262</v>
      </c>
      <c r="D19" s="13">
        <v>22325</v>
      </c>
      <c r="E19" s="70">
        <v>50</v>
      </c>
      <c r="F19" s="14" t="s">
        <v>341</v>
      </c>
      <c r="G19" s="11">
        <v>22372</v>
      </c>
      <c r="H19" s="67">
        <v>500</v>
      </c>
      <c r="I19" s="12" t="s">
        <v>268</v>
      </c>
      <c r="J19" s="61">
        <v>22415</v>
      </c>
      <c r="K19" s="71">
        <v>250</v>
      </c>
      <c r="L19" s="62"/>
      <c r="M19" s="75"/>
      <c r="N19" s="73"/>
      <c r="O19" s="15"/>
    </row>
    <row r="20" spans="1:15" x14ac:dyDescent="0.25">
      <c r="A20" s="16"/>
      <c r="B20" s="49"/>
      <c r="C20" s="17" t="s">
        <v>18</v>
      </c>
      <c r="D20" s="13">
        <v>22326</v>
      </c>
      <c r="E20" s="70">
        <v>400</v>
      </c>
      <c r="F20" s="14" t="s">
        <v>268</v>
      </c>
      <c r="G20" s="11"/>
      <c r="H20" s="67"/>
      <c r="I20" s="12" t="s">
        <v>22</v>
      </c>
      <c r="J20" s="61">
        <v>22416</v>
      </c>
      <c r="K20" s="71">
        <v>400</v>
      </c>
      <c r="L20" s="62"/>
      <c r="M20" s="75"/>
      <c r="N20" s="73"/>
      <c r="O20" s="15"/>
    </row>
    <row r="21" spans="1:15" x14ac:dyDescent="0.25">
      <c r="A21" s="16">
        <v>22252</v>
      </c>
      <c r="B21" s="49">
        <v>1000</v>
      </c>
      <c r="C21" s="17" t="s">
        <v>248</v>
      </c>
      <c r="D21" s="13"/>
      <c r="E21" s="70"/>
      <c r="F21" s="14" t="s">
        <v>44</v>
      </c>
      <c r="G21" s="11">
        <v>22373</v>
      </c>
      <c r="H21" s="67">
        <v>1250</v>
      </c>
      <c r="I21" s="12" t="s">
        <v>268</v>
      </c>
      <c r="J21" s="61">
        <v>22417</v>
      </c>
      <c r="K21" s="71">
        <v>250</v>
      </c>
      <c r="L21" s="62"/>
      <c r="M21" s="75"/>
      <c r="N21" s="73"/>
      <c r="O21" s="15"/>
    </row>
    <row r="22" spans="1:15" x14ac:dyDescent="0.25">
      <c r="A22" s="16"/>
      <c r="B22" s="49"/>
      <c r="C22" s="17" t="s">
        <v>18</v>
      </c>
      <c r="D22" s="13">
        <v>22327</v>
      </c>
      <c r="E22" s="70">
        <v>2000</v>
      </c>
      <c r="F22" s="14" t="s">
        <v>318</v>
      </c>
      <c r="G22" s="11"/>
      <c r="H22" s="67"/>
      <c r="I22" s="12" t="s">
        <v>18</v>
      </c>
      <c r="J22" s="61">
        <v>22418</v>
      </c>
      <c r="K22" s="71">
        <v>500</v>
      </c>
      <c r="L22" s="62" t="s">
        <v>361</v>
      </c>
      <c r="M22" s="75"/>
      <c r="N22" s="73"/>
      <c r="O22" s="15"/>
    </row>
    <row r="23" spans="1:15" x14ac:dyDescent="0.25">
      <c r="A23" s="16">
        <v>22253</v>
      </c>
      <c r="B23" s="49">
        <v>500</v>
      </c>
      <c r="C23" s="17" t="s">
        <v>278</v>
      </c>
      <c r="D23" s="13"/>
      <c r="E23" s="70"/>
      <c r="F23" s="14" t="s">
        <v>18</v>
      </c>
      <c r="G23" s="11"/>
      <c r="H23" s="67"/>
      <c r="I23" s="12" t="s">
        <v>350</v>
      </c>
      <c r="J23" s="61">
        <v>22419</v>
      </c>
      <c r="K23" s="71">
        <v>500</v>
      </c>
      <c r="L23" s="62"/>
      <c r="M23" s="75"/>
      <c r="N23" s="73"/>
      <c r="O23" s="15"/>
    </row>
    <row r="24" spans="1:15" x14ac:dyDescent="0.25">
      <c r="A24" s="16">
        <v>22254</v>
      </c>
      <c r="B24" s="49">
        <v>1000</v>
      </c>
      <c r="C24" s="17" t="s">
        <v>268</v>
      </c>
      <c r="D24" s="13">
        <v>22328</v>
      </c>
      <c r="E24" s="70">
        <v>250</v>
      </c>
      <c r="F24" s="14" t="s">
        <v>342</v>
      </c>
      <c r="G24" s="11">
        <v>22374</v>
      </c>
      <c r="H24" s="67">
        <v>2000</v>
      </c>
      <c r="I24" s="12" t="s">
        <v>351</v>
      </c>
      <c r="J24" s="61">
        <v>22420</v>
      </c>
      <c r="K24" s="71">
        <v>600</v>
      </c>
      <c r="L24" s="62" t="s">
        <v>360</v>
      </c>
      <c r="M24" s="75"/>
      <c r="N24" s="73"/>
      <c r="O24" s="31"/>
    </row>
    <row r="25" spans="1:15" x14ac:dyDescent="0.25">
      <c r="A25" s="16"/>
      <c r="B25" s="49"/>
      <c r="C25" s="17" t="s">
        <v>18</v>
      </c>
      <c r="D25" s="13">
        <v>22329</v>
      </c>
      <c r="E25" s="70">
        <v>800</v>
      </c>
      <c r="F25" s="14"/>
      <c r="G25" s="11"/>
      <c r="H25" s="67"/>
      <c r="I25" s="12" t="s">
        <v>352</v>
      </c>
      <c r="J25" s="61"/>
      <c r="K25" s="71"/>
      <c r="L25" s="62" t="s">
        <v>29</v>
      </c>
      <c r="M25" s="75"/>
      <c r="N25" s="73"/>
      <c r="O25" s="15"/>
    </row>
    <row r="26" spans="1:15" x14ac:dyDescent="0.25">
      <c r="A26" s="16">
        <v>22255</v>
      </c>
      <c r="B26" s="49">
        <v>600</v>
      </c>
      <c r="C26" s="17" t="s">
        <v>268</v>
      </c>
      <c r="D26" s="13">
        <v>22330</v>
      </c>
      <c r="E26" s="70">
        <v>450</v>
      </c>
      <c r="F26" s="14"/>
      <c r="G26" s="11">
        <v>22375</v>
      </c>
      <c r="H26" s="67">
        <v>1000</v>
      </c>
      <c r="I26" s="12" t="s">
        <v>357</v>
      </c>
      <c r="J26" s="61">
        <v>22421</v>
      </c>
      <c r="K26" s="71">
        <v>400</v>
      </c>
      <c r="L26" s="62"/>
      <c r="M26" s="75"/>
      <c r="N26" s="73"/>
      <c r="O26" s="15"/>
    </row>
    <row r="27" spans="1:15" x14ac:dyDescent="0.25">
      <c r="A27" s="16"/>
      <c r="B27" s="49"/>
      <c r="C27" s="17" t="s">
        <v>29</v>
      </c>
      <c r="D27" s="13">
        <v>22331</v>
      </c>
      <c r="E27" s="70">
        <v>250</v>
      </c>
      <c r="F27" s="14"/>
      <c r="G27" s="123"/>
      <c r="H27" s="124"/>
      <c r="I27" s="125" t="s">
        <v>18</v>
      </c>
      <c r="J27" s="61">
        <v>22422</v>
      </c>
      <c r="K27" s="71">
        <v>50</v>
      </c>
      <c r="L27" s="62" t="s">
        <v>71</v>
      </c>
      <c r="M27" s="75"/>
      <c r="N27" s="73"/>
      <c r="O27" s="15"/>
    </row>
    <row r="28" spans="1:15" x14ac:dyDescent="0.25">
      <c r="A28" s="16">
        <v>22256</v>
      </c>
      <c r="B28" s="49">
        <v>2800</v>
      </c>
      <c r="C28" s="17" t="s">
        <v>327</v>
      </c>
      <c r="D28" s="13">
        <v>22332</v>
      </c>
      <c r="E28" s="70">
        <v>500</v>
      </c>
      <c r="F28" s="14"/>
      <c r="G28" s="11">
        <v>22376</v>
      </c>
      <c r="H28" s="67">
        <v>500</v>
      </c>
      <c r="I28" s="12"/>
      <c r="J28" s="61">
        <v>22423</v>
      </c>
      <c r="K28" s="71">
        <v>500</v>
      </c>
      <c r="L28" s="62" t="s">
        <v>343</v>
      </c>
      <c r="M28" s="75"/>
      <c r="N28" s="73"/>
      <c r="O28" s="15"/>
    </row>
    <row r="29" spans="1:15" x14ac:dyDescent="0.25">
      <c r="A29" s="16">
        <v>22257</v>
      </c>
      <c r="B29" s="49">
        <v>500</v>
      </c>
      <c r="C29" s="17" t="s">
        <v>278</v>
      </c>
      <c r="D29" s="13">
        <v>22333</v>
      </c>
      <c r="E29" s="70">
        <v>500</v>
      </c>
      <c r="F29" s="14"/>
      <c r="G29" s="11">
        <v>22377</v>
      </c>
      <c r="H29" s="67">
        <v>500</v>
      </c>
      <c r="I29" s="95" t="s">
        <v>353</v>
      </c>
      <c r="J29" s="61">
        <v>22424</v>
      </c>
      <c r="K29" s="71">
        <v>750</v>
      </c>
      <c r="L29" s="62" t="s">
        <v>242</v>
      </c>
      <c r="M29" s="75"/>
      <c r="N29" s="73"/>
      <c r="O29" s="15"/>
    </row>
    <row r="30" spans="1:15" x14ac:dyDescent="0.25">
      <c r="A30" s="16">
        <v>22258</v>
      </c>
      <c r="B30" s="49">
        <v>2000</v>
      </c>
      <c r="C30" s="17" t="s">
        <v>280</v>
      </c>
      <c r="D30" s="13">
        <v>22334</v>
      </c>
      <c r="E30" s="70">
        <v>600</v>
      </c>
      <c r="F30" s="14" t="s">
        <v>340</v>
      </c>
      <c r="G30" s="11">
        <v>22378</v>
      </c>
      <c r="H30" s="67">
        <v>1000</v>
      </c>
      <c r="I30" s="12" t="s">
        <v>268</v>
      </c>
      <c r="J30" s="61"/>
      <c r="K30" s="71"/>
      <c r="L30" s="62" t="s">
        <v>22</v>
      </c>
      <c r="M30" s="75"/>
      <c r="N30" s="73"/>
      <c r="O30" s="15"/>
    </row>
    <row r="31" spans="1:15" x14ac:dyDescent="0.25">
      <c r="A31" s="16"/>
      <c r="B31" s="49"/>
      <c r="C31" s="17" t="s">
        <v>18</v>
      </c>
      <c r="D31" s="13"/>
      <c r="E31" s="70"/>
      <c r="F31" s="14" t="s">
        <v>29</v>
      </c>
      <c r="G31" s="11"/>
      <c r="H31" s="67"/>
      <c r="I31" s="12" t="s">
        <v>18</v>
      </c>
      <c r="J31" s="61"/>
      <c r="K31" s="71"/>
      <c r="L31" s="62" t="s">
        <v>278</v>
      </c>
      <c r="M31" s="75"/>
      <c r="N31" s="73"/>
      <c r="O31" s="31"/>
    </row>
    <row r="32" spans="1:15" x14ac:dyDescent="0.25">
      <c r="A32" s="16">
        <v>22259</v>
      </c>
      <c r="B32" s="49"/>
      <c r="C32" s="17" t="s">
        <v>85</v>
      </c>
      <c r="D32" s="13">
        <v>22335</v>
      </c>
      <c r="E32" s="70">
        <v>200</v>
      </c>
      <c r="F32" s="14"/>
      <c r="G32" s="11">
        <v>22379</v>
      </c>
      <c r="H32" s="67">
        <v>250</v>
      </c>
      <c r="I32" s="12"/>
      <c r="J32" s="61">
        <v>22425</v>
      </c>
      <c r="K32" s="71">
        <v>1050</v>
      </c>
      <c r="L32" s="62" t="s">
        <v>362</v>
      </c>
      <c r="M32" s="75"/>
      <c r="N32" s="73"/>
      <c r="O32" s="15"/>
    </row>
    <row r="33" spans="1:15" x14ac:dyDescent="0.25">
      <c r="A33" s="16">
        <v>22260</v>
      </c>
      <c r="B33" s="49">
        <v>500</v>
      </c>
      <c r="C33" s="17"/>
      <c r="D33" s="13">
        <v>22336</v>
      </c>
      <c r="E33" s="70">
        <v>500</v>
      </c>
      <c r="F33" s="14"/>
      <c r="G33" s="11">
        <v>22380</v>
      </c>
      <c r="H33" s="67">
        <v>900</v>
      </c>
      <c r="I33" s="12" t="s">
        <v>305</v>
      </c>
      <c r="J33" s="61"/>
      <c r="K33" s="71"/>
      <c r="L33" s="62" t="s">
        <v>363</v>
      </c>
      <c r="M33" s="75"/>
      <c r="N33" s="73"/>
      <c r="O33" s="15"/>
    </row>
    <row r="34" spans="1:15" x14ac:dyDescent="0.25">
      <c r="A34" s="16">
        <v>22261</v>
      </c>
      <c r="B34" s="49">
        <v>500</v>
      </c>
      <c r="C34" s="17"/>
      <c r="D34" s="13">
        <v>22337</v>
      </c>
      <c r="E34" s="70">
        <v>250</v>
      </c>
      <c r="F34" s="14"/>
      <c r="G34" s="11"/>
      <c r="H34" s="67"/>
      <c r="I34" s="12" t="s">
        <v>29</v>
      </c>
      <c r="J34" s="61">
        <v>22426</v>
      </c>
      <c r="K34" s="71">
        <v>400</v>
      </c>
      <c r="L34" s="62" t="s">
        <v>364</v>
      </c>
      <c r="M34" s="75"/>
      <c r="N34" s="73"/>
      <c r="O34" s="15"/>
    </row>
    <row r="35" spans="1:15" x14ac:dyDescent="0.25">
      <c r="A35" s="16">
        <v>22262</v>
      </c>
      <c r="B35" s="49">
        <v>1000</v>
      </c>
      <c r="C35" s="17" t="s">
        <v>303</v>
      </c>
      <c r="D35" s="13">
        <v>22338</v>
      </c>
      <c r="E35" s="70">
        <v>500</v>
      </c>
      <c r="F35" s="14"/>
      <c r="G35" s="11">
        <v>22381</v>
      </c>
      <c r="H35" s="67">
        <v>500</v>
      </c>
      <c r="I35" s="12" t="s">
        <v>268</v>
      </c>
      <c r="J35" s="61">
        <v>22427</v>
      </c>
      <c r="K35" s="71">
        <v>250</v>
      </c>
      <c r="L35" s="62"/>
      <c r="M35" s="75"/>
      <c r="N35" s="73"/>
      <c r="O35" s="15"/>
    </row>
    <row r="36" spans="1:15" x14ac:dyDescent="0.25">
      <c r="A36" s="16"/>
      <c r="B36" s="49"/>
      <c r="C36" s="17" t="s">
        <v>18</v>
      </c>
      <c r="D36" s="13">
        <v>22339</v>
      </c>
      <c r="E36" s="70">
        <v>500</v>
      </c>
      <c r="F36" s="14"/>
      <c r="G36" s="11"/>
      <c r="H36" s="67"/>
      <c r="I36" s="12" t="s">
        <v>22</v>
      </c>
      <c r="J36" s="61">
        <v>22428</v>
      </c>
      <c r="K36" s="71">
        <v>500</v>
      </c>
      <c r="L36" s="62"/>
      <c r="M36" s="75"/>
      <c r="N36" s="73"/>
      <c r="O36" s="15"/>
    </row>
    <row r="37" spans="1:15" x14ac:dyDescent="0.25">
      <c r="A37" s="16">
        <v>22263</v>
      </c>
      <c r="B37" s="49">
        <v>250</v>
      </c>
      <c r="C37" s="17" t="s">
        <v>328</v>
      </c>
      <c r="D37" s="13">
        <v>22340</v>
      </c>
      <c r="E37" s="70">
        <v>500</v>
      </c>
      <c r="F37" s="14"/>
      <c r="G37" s="11">
        <v>22382</v>
      </c>
      <c r="H37" s="67">
        <v>500</v>
      </c>
      <c r="I37" s="12"/>
      <c r="J37" s="61">
        <v>22429</v>
      </c>
      <c r="K37" s="71">
        <v>500</v>
      </c>
      <c r="L37" s="62"/>
      <c r="M37" s="75"/>
      <c r="N37" s="73"/>
      <c r="O37" s="15"/>
    </row>
    <row r="38" spans="1:15" x14ac:dyDescent="0.25">
      <c r="A38" s="16">
        <v>22264</v>
      </c>
      <c r="B38" s="49">
        <v>1000</v>
      </c>
      <c r="C38" s="17" t="s">
        <v>268</v>
      </c>
      <c r="D38" s="13">
        <v>22341</v>
      </c>
      <c r="E38" s="70">
        <v>50</v>
      </c>
      <c r="F38" s="14"/>
      <c r="G38" s="11">
        <v>22383</v>
      </c>
      <c r="H38" s="67">
        <v>1500</v>
      </c>
      <c r="I38" s="12" t="s">
        <v>156</v>
      </c>
      <c r="J38" s="61">
        <v>22430</v>
      </c>
      <c r="K38" s="71">
        <v>1000</v>
      </c>
      <c r="L38" s="62" t="s">
        <v>268</v>
      </c>
      <c r="M38" s="75"/>
      <c r="N38" s="73"/>
      <c r="O38" s="15"/>
    </row>
    <row r="39" spans="1:15" x14ac:dyDescent="0.25">
      <c r="A39" s="16"/>
      <c r="B39" s="49"/>
      <c r="C39" s="17" t="s">
        <v>18</v>
      </c>
      <c r="D39" s="13">
        <v>22342</v>
      </c>
      <c r="E39" s="70">
        <v>300</v>
      </c>
      <c r="F39" s="14"/>
      <c r="G39" s="11"/>
      <c r="H39" s="67"/>
      <c r="I39" s="12" t="s">
        <v>18</v>
      </c>
      <c r="J39" s="61"/>
      <c r="K39" s="71"/>
      <c r="L39" s="62" t="s">
        <v>18</v>
      </c>
      <c r="M39" s="75"/>
      <c r="N39" s="73"/>
      <c r="O39" s="15"/>
    </row>
    <row r="40" spans="1:15" x14ac:dyDescent="0.25">
      <c r="A40" s="16">
        <v>22265</v>
      </c>
      <c r="B40" s="49">
        <v>1000</v>
      </c>
      <c r="C40" s="17" t="s">
        <v>303</v>
      </c>
      <c r="D40" s="13">
        <v>22343</v>
      </c>
      <c r="E40" s="70">
        <v>250</v>
      </c>
      <c r="F40" s="14" t="s">
        <v>343</v>
      </c>
      <c r="G40" s="11">
        <v>22384</v>
      </c>
      <c r="H40" s="67">
        <v>250</v>
      </c>
      <c r="I40" s="12" t="s">
        <v>354</v>
      </c>
      <c r="J40" s="61">
        <v>22431</v>
      </c>
      <c r="K40" s="71">
        <v>500</v>
      </c>
      <c r="L40" s="68" t="s">
        <v>360</v>
      </c>
      <c r="M40" s="75"/>
      <c r="N40" s="73"/>
      <c r="O40" s="15"/>
    </row>
    <row r="41" spans="1:15" x14ac:dyDescent="0.25">
      <c r="A41" s="16"/>
      <c r="B41" s="49"/>
      <c r="C41" s="17" t="s">
        <v>18</v>
      </c>
      <c r="D41" s="13">
        <v>22344</v>
      </c>
      <c r="E41" s="70">
        <v>400</v>
      </c>
      <c r="F41" s="14"/>
      <c r="G41" s="11">
        <v>22385</v>
      </c>
      <c r="H41" s="67">
        <v>200</v>
      </c>
      <c r="I41" s="12"/>
      <c r="J41" s="61"/>
      <c r="K41" s="71"/>
      <c r="L41" s="62" t="s">
        <v>22</v>
      </c>
      <c r="M41" s="75"/>
      <c r="N41" s="73"/>
      <c r="O41" s="15"/>
    </row>
    <row r="42" spans="1:15" x14ac:dyDescent="0.25">
      <c r="A42" s="16">
        <v>22266</v>
      </c>
      <c r="B42" s="49">
        <v>450</v>
      </c>
      <c r="C42" s="85" t="s">
        <v>329</v>
      </c>
      <c r="D42" s="13">
        <v>22345</v>
      </c>
      <c r="E42" s="70">
        <v>1000</v>
      </c>
      <c r="F42" s="14" t="s">
        <v>268</v>
      </c>
      <c r="G42" s="11">
        <v>22386</v>
      </c>
      <c r="H42" s="67">
        <v>1000</v>
      </c>
      <c r="I42" s="12" t="s">
        <v>268</v>
      </c>
      <c r="J42" s="61">
        <v>22432</v>
      </c>
      <c r="K42" s="71">
        <v>250</v>
      </c>
      <c r="L42" s="62" t="s">
        <v>361</v>
      </c>
      <c r="M42" s="75"/>
      <c r="N42" s="73"/>
      <c r="O42" s="15"/>
    </row>
    <row r="43" spans="1:15" x14ac:dyDescent="0.25">
      <c r="A43" s="16">
        <v>22267</v>
      </c>
      <c r="B43" s="49">
        <v>250</v>
      </c>
      <c r="C43" s="17"/>
      <c r="D43" s="13"/>
      <c r="E43" s="70"/>
      <c r="F43" s="14" t="s">
        <v>18</v>
      </c>
      <c r="G43" s="11"/>
      <c r="H43" s="67"/>
      <c r="I43" s="12" t="s">
        <v>18</v>
      </c>
      <c r="J43" s="61">
        <v>22433</v>
      </c>
      <c r="K43" s="71">
        <v>500</v>
      </c>
      <c r="L43" s="62"/>
      <c r="M43" s="75"/>
      <c r="N43" s="73"/>
      <c r="O43" s="15"/>
    </row>
    <row r="44" spans="1:15" x14ac:dyDescent="0.25">
      <c r="A44" s="16">
        <v>22268</v>
      </c>
      <c r="B44" s="49">
        <v>500</v>
      </c>
      <c r="C44" s="17" t="s">
        <v>246</v>
      </c>
      <c r="D44" s="13">
        <v>22346</v>
      </c>
      <c r="E44" s="70">
        <v>200</v>
      </c>
      <c r="F44" s="14" t="s">
        <v>344</v>
      </c>
      <c r="G44" s="11">
        <v>22387</v>
      </c>
      <c r="H44" s="67">
        <v>750</v>
      </c>
      <c r="I44" s="12" t="s">
        <v>242</v>
      </c>
      <c r="J44" s="61">
        <v>22434</v>
      </c>
      <c r="K44" s="71">
        <v>1000</v>
      </c>
      <c r="L44" s="62" t="s">
        <v>222</v>
      </c>
      <c r="M44" s="75"/>
      <c r="N44" s="73"/>
      <c r="O44" s="15"/>
    </row>
    <row r="45" spans="1:15" x14ac:dyDescent="0.25">
      <c r="A45" s="16">
        <v>22269</v>
      </c>
      <c r="B45" s="49">
        <v>50</v>
      </c>
      <c r="C45" s="17" t="s">
        <v>330</v>
      </c>
      <c r="D45" s="13">
        <v>22347</v>
      </c>
      <c r="E45" s="70">
        <v>500</v>
      </c>
      <c r="F45" s="14"/>
      <c r="G45" s="11"/>
      <c r="H45" s="67"/>
      <c r="I45" s="12" t="s">
        <v>22</v>
      </c>
      <c r="J45" s="61"/>
      <c r="K45" s="71"/>
      <c r="L45" s="62" t="s">
        <v>22</v>
      </c>
      <c r="M45" s="75"/>
      <c r="N45" s="73"/>
      <c r="O45" s="15"/>
    </row>
    <row r="46" spans="1:15" x14ac:dyDescent="0.25">
      <c r="A46" s="16">
        <v>22270</v>
      </c>
      <c r="B46" s="49">
        <v>400</v>
      </c>
      <c r="C46" s="17"/>
      <c r="D46" s="13">
        <v>22348</v>
      </c>
      <c r="E46" s="70"/>
      <c r="F46" s="14" t="s">
        <v>85</v>
      </c>
      <c r="G46" s="11">
        <v>22388</v>
      </c>
      <c r="H46" s="67">
        <v>350</v>
      </c>
      <c r="I46" s="12" t="s">
        <v>113</v>
      </c>
      <c r="J46" s="61">
        <v>22435</v>
      </c>
      <c r="K46" s="71"/>
      <c r="L46" s="62" t="s">
        <v>54</v>
      </c>
      <c r="M46" s="75"/>
      <c r="N46" s="73"/>
      <c r="O46" s="15"/>
    </row>
    <row r="47" spans="1:15" x14ac:dyDescent="0.25">
      <c r="A47" s="16">
        <v>22271</v>
      </c>
      <c r="B47" s="49">
        <v>600</v>
      </c>
      <c r="C47" s="17" t="s">
        <v>268</v>
      </c>
      <c r="D47" s="13">
        <v>22349</v>
      </c>
      <c r="E47" s="70">
        <v>1100</v>
      </c>
      <c r="F47" s="14" t="s">
        <v>340</v>
      </c>
      <c r="G47" s="11">
        <v>22389</v>
      </c>
      <c r="H47" s="67">
        <v>500</v>
      </c>
      <c r="I47" s="12"/>
      <c r="J47" s="61">
        <v>22436</v>
      </c>
      <c r="K47" s="71">
        <v>500</v>
      </c>
      <c r="L47" s="62" t="s">
        <v>343</v>
      </c>
      <c r="M47" s="75"/>
      <c r="N47" s="73"/>
      <c r="O47" s="15"/>
    </row>
    <row r="48" spans="1:15" x14ac:dyDescent="0.25">
      <c r="A48" s="16"/>
      <c r="B48" s="49"/>
      <c r="C48" s="17" t="s">
        <v>29</v>
      </c>
      <c r="D48" s="13"/>
      <c r="E48" s="70"/>
      <c r="F48" s="14" t="s">
        <v>29</v>
      </c>
      <c r="G48" s="11">
        <v>22390</v>
      </c>
      <c r="H48" s="67">
        <v>50</v>
      </c>
      <c r="I48" s="12" t="s">
        <v>51</v>
      </c>
      <c r="J48" s="61">
        <v>22437</v>
      </c>
      <c r="K48" s="71">
        <v>500</v>
      </c>
      <c r="L48" s="62"/>
      <c r="M48" s="75"/>
      <c r="N48" s="73"/>
      <c r="O48" s="15"/>
    </row>
    <row r="49" spans="1:15" x14ac:dyDescent="0.25">
      <c r="A49" s="16">
        <v>22272</v>
      </c>
      <c r="B49" s="49">
        <v>250</v>
      </c>
      <c r="C49" s="17"/>
      <c r="D49" s="13"/>
      <c r="E49" s="70"/>
      <c r="F49" s="14" t="s">
        <v>345</v>
      </c>
      <c r="G49" s="11">
        <v>22391</v>
      </c>
      <c r="H49" s="67">
        <v>400</v>
      </c>
      <c r="I49" s="12"/>
      <c r="J49" s="61">
        <v>22438</v>
      </c>
      <c r="K49" s="71">
        <v>1000</v>
      </c>
      <c r="L49" s="62" t="s">
        <v>268</v>
      </c>
      <c r="M49" s="75"/>
      <c r="N49" s="73"/>
      <c r="O49" s="15"/>
    </row>
    <row r="50" spans="1:15" x14ac:dyDescent="0.25">
      <c r="A50" s="16">
        <v>22273</v>
      </c>
      <c r="B50" s="49">
        <v>600</v>
      </c>
      <c r="C50" s="17"/>
      <c r="D50" s="13">
        <v>22350</v>
      </c>
      <c r="E50" s="70">
        <v>300</v>
      </c>
      <c r="F50" s="14" t="s">
        <v>246</v>
      </c>
      <c r="G50" s="11">
        <v>22392</v>
      </c>
      <c r="H50" s="67">
        <v>250</v>
      </c>
      <c r="I50" s="12" t="s">
        <v>353</v>
      </c>
      <c r="J50" s="61"/>
      <c r="K50" s="71"/>
      <c r="L50" s="62" t="s">
        <v>18</v>
      </c>
      <c r="M50" s="75"/>
      <c r="N50" s="73"/>
      <c r="O50" s="15"/>
    </row>
    <row r="51" spans="1:15" x14ac:dyDescent="0.25">
      <c r="A51" s="16">
        <v>22274</v>
      </c>
      <c r="B51" s="49">
        <v>500</v>
      </c>
      <c r="C51" s="17" t="s">
        <v>268</v>
      </c>
      <c r="D51" s="13">
        <v>22351</v>
      </c>
      <c r="E51" s="70">
        <v>100</v>
      </c>
      <c r="F51" s="14" t="s">
        <v>77</v>
      </c>
      <c r="G51" s="11">
        <v>22393</v>
      </c>
      <c r="H51" s="67">
        <v>550</v>
      </c>
      <c r="I51" s="12" t="s">
        <v>329</v>
      </c>
      <c r="J51" s="61">
        <v>22439</v>
      </c>
      <c r="K51" s="71">
        <v>500</v>
      </c>
      <c r="L51" s="62"/>
      <c r="M51" s="75"/>
      <c r="N51" s="73"/>
      <c r="O51" s="15"/>
    </row>
    <row r="52" spans="1:15" x14ac:dyDescent="0.25">
      <c r="A52" s="16"/>
      <c r="B52" s="49"/>
      <c r="C52" s="17" t="s">
        <v>22</v>
      </c>
      <c r="D52" s="13">
        <v>22352</v>
      </c>
      <c r="E52" s="70">
        <v>300</v>
      </c>
      <c r="F52" s="14" t="s">
        <v>113</v>
      </c>
      <c r="G52" s="11">
        <v>22394</v>
      </c>
      <c r="H52" s="67">
        <v>500</v>
      </c>
      <c r="I52" s="12"/>
      <c r="J52" s="61">
        <v>22440</v>
      </c>
      <c r="K52" s="71">
        <v>1000</v>
      </c>
      <c r="L52" s="62" t="s">
        <v>268</v>
      </c>
      <c r="M52" s="75"/>
      <c r="N52" s="73"/>
      <c r="O52" s="15"/>
    </row>
    <row r="53" spans="1:15" x14ac:dyDescent="0.25">
      <c r="A53" s="16">
        <v>22275</v>
      </c>
      <c r="B53" s="49">
        <v>500</v>
      </c>
      <c r="C53" s="17"/>
      <c r="D53" s="13">
        <v>22353</v>
      </c>
      <c r="E53" s="70">
        <v>500</v>
      </c>
      <c r="F53" s="14"/>
      <c r="G53" s="11">
        <v>22395</v>
      </c>
      <c r="H53" s="67">
        <v>500</v>
      </c>
      <c r="I53" s="12"/>
      <c r="J53" s="61"/>
      <c r="K53" s="71"/>
      <c r="L53" s="62" t="s">
        <v>18</v>
      </c>
      <c r="M53" s="75"/>
      <c r="N53" s="73"/>
      <c r="O53" s="15"/>
    </row>
    <row r="54" spans="1:15" x14ac:dyDescent="0.25">
      <c r="A54" s="16">
        <v>22276</v>
      </c>
      <c r="B54" s="49">
        <v>1000</v>
      </c>
      <c r="C54" s="17" t="s">
        <v>331</v>
      </c>
      <c r="D54" s="13">
        <v>22354</v>
      </c>
      <c r="E54" s="70">
        <v>900</v>
      </c>
      <c r="F54" s="14" t="s">
        <v>346</v>
      </c>
      <c r="G54" s="11">
        <v>22396</v>
      </c>
      <c r="H54" s="67">
        <v>100</v>
      </c>
      <c r="I54" s="12" t="s">
        <v>77</v>
      </c>
      <c r="J54" s="61">
        <v>22441</v>
      </c>
      <c r="K54" s="71">
        <v>500</v>
      </c>
      <c r="L54" s="62"/>
      <c r="M54" s="75"/>
      <c r="N54" s="73"/>
      <c r="O54" s="15"/>
    </row>
    <row r="55" spans="1:15" x14ac:dyDescent="0.25">
      <c r="A55" s="16"/>
      <c r="B55" s="49"/>
      <c r="C55" s="17" t="s">
        <v>18</v>
      </c>
      <c r="D55" s="13"/>
      <c r="E55" s="70"/>
      <c r="F55" s="14" t="s">
        <v>155</v>
      </c>
      <c r="G55" s="11">
        <v>22397</v>
      </c>
      <c r="H55" s="67">
        <v>100</v>
      </c>
      <c r="I55" s="12" t="s">
        <v>355</v>
      </c>
      <c r="J55" s="61">
        <v>22442</v>
      </c>
      <c r="K55" s="71">
        <v>1000</v>
      </c>
      <c r="L55" s="62" t="s">
        <v>268</v>
      </c>
      <c r="M55" s="75"/>
      <c r="N55" s="73"/>
      <c r="O55" s="15"/>
    </row>
    <row r="56" spans="1:15" x14ac:dyDescent="0.25">
      <c r="A56" s="16">
        <v>22277</v>
      </c>
      <c r="B56" s="49">
        <v>600</v>
      </c>
      <c r="C56" s="17" t="s">
        <v>242</v>
      </c>
      <c r="D56" s="13">
        <v>22355</v>
      </c>
      <c r="E56" s="70">
        <v>250</v>
      </c>
      <c r="F56" s="14" t="s">
        <v>246</v>
      </c>
      <c r="G56" s="11">
        <v>22398</v>
      </c>
      <c r="H56" s="67">
        <v>1200</v>
      </c>
      <c r="I56" s="12" t="s">
        <v>356</v>
      </c>
      <c r="J56" s="61"/>
      <c r="K56" s="71"/>
      <c r="L56" s="62" t="s">
        <v>18</v>
      </c>
      <c r="M56" s="75"/>
      <c r="N56" s="73"/>
      <c r="O56" s="15"/>
    </row>
    <row r="57" spans="1:15" x14ac:dyDescent="0.25">
      <c r="A57" s="16"/>
      <c r="B57" s="49"/>
      <c r="C57" s="17" t="s">
        <v>44</v>
      </c>
      <c r="D57" s="13">
        <v>22356</v>
      </c>
      <c r="E57" s="70">
        <v>600</v>
      </c>
      <c r="F57" s="14" t="s">
        <v>268</v>
      </c>
      <c r="G57" s="11"/>
      <c r="H57" s="67"/>
      <c r="I57" s="12" t="s">
        <v>25</v>
      </c>
      <c r="J57" s="61">
        <v>22443</v>
      </c>
      <c r="K57" s="71">
        <v>1500</v>
      </c>
      <c r="L57" s="62" t="s">
        <v>262</v>
      </c>
      <c r="M57" s="75"/>
      <c r="N57" s="73"/>
      <c r="O57" s="15"/>
    </row>
    <row r="58" spans="1:15" x14ac:dyDescent="0.25">
      <c r="A58" s="16">
        <v>22278</v>
      </c>
      <c r="B58" s="49">
        <v>600</v>
      </c>
      <c r="C58" s="17" t="s">
        <v>242</v>
      </c>
      <c r="D58" s="13"/>
      <c r="E58" s="70"/>
      <c r="F58" s="14" t="s">
        <v>347</v>
      </c>
      <c r="G58" s="11">
        <v>22399</v>
      </c>
      <c r="H58" s="67">
        <v>1000</v>
      </c>
      <c r="I58" s="12" t="s">
        <v>268</v>
      </c>
      <c r="J58" s="61"/>
      <c r="K58" s="71"/>
      <c r="L58" s="62" t="s">
        <v>18</v>
      </c>
      <c r="M58" s="75"/>
      <c r="N58" s="73"/>
      <c r="O58" s="15"/>
    </row>
    <row r="59" spans="1:15" x14ac:dyDescent="0.25">
      <c r="A59" s="16"/>
      <c r="B59" s="49"/>
      <c r="C59" s="17" t="s">
        <v>44</v>
      </c>
      <c r="D59" s="13">
        <v>22357</v>
      </c>
      <c r="E59" s="70">
        <v>500</v>
      </c>
      <c r="F59" s="14"/>
      <c r="G59" s="11"/>
      <c r="H59" s="67"/>
      <c r="I59" s="12" t="s">
        <v>18</v>
      </c>
      <c r="J59" s="61">
        <v>22444</v>
      </c>
      <c r="K59" s="71">
        <v>300</v>
      </c>
      <c r="L59" s="62"/>
      <c r="M59" s="75"/>
      <c r="N59" s="73"/>
      <c r="O59" s="15"/>
    </row>
    <row r="60" spans="1:15" x14ac:dyDescent="0.25">
      <c r="A60" s="16">
        <v>22279</v>
      </c>
      <c r="B60" s="49">
        <v>400</v>
      </c>
      <c r="C60" s="17" t="s">
        <v>268</v>
      </c>
      <c r="D60" s="13">
        <v>22358</v>
      </c>
      <c r="E60" s="70">
        <v>50</v>
      </c>
      <c r="F60" s="14" t="s">
        <v>341</v>
      </c>
      <c r="G60" s="11">
        <v>22400</v>
      </c>
      <c r="H60" s="67">
        <v>1200</v>
      </c>
      <c r="I60" s="12" t="s">
        <v>268</v>
      </c>
      <c r="J60" s="61">
        <v>22445</v>
      </c>
      <c r="K60" s="71">
        <v>800</v>
      </c>
      <c r="L60" s="62" t="s">
        <v>268</v>
      </c>
      <c r="M60" s="75"/>
      <c r="N60" s="73"/>
      <c r="O60" s="15"/>
    </row>
    <row r="61" spans="1:15" x14ac:dyDescent="0.25">
      <c r="A61" s="16"/>
      <c r="B61" s="49"/>
      <c r="C61" s="17" t="s">
        <v>44</v>
      </c>
      <c r="D61" s="13">
        <v>22359</v>
      </c>
      <c r="E61" s="70">
        <v>500</v>
      </c>
      <c r="F61" s="14"/>
      <c r="G61" s="11"/>
      <c r="H61" s="67"/>
      <c r="I61" s="12" t="s">
        <v>339</v>
      </c>
      <c r="J61" s="61"/>
      <c r="K61" s="71"/>
      <c r="L61" s="62" t="s">
        <v>25</v>
      </c>
      <c r="M61" s="75"/>
      <c r="N61" s="73"/>
      <c r="O61" s="15"/>
    </row>
    <row r="62" spans="1:15" x14ac:dyDescent="0.25">
      <c r="A62" s="16">
        <v>22280</v>
      </c>
      <c r="B62" s="49">
        <v>500</v>
      </c>
      <c r="C62" s="17"/>
      <c r="D62" s="13">
        <v>22360</v>
      </c>
      <c r="E62" s="70">
        <v>1000</v>
      </c>
      <c r="F62" s="14" t="s">
        <v>340</v>
      </c>
      <c r="G62" s="11">
        <v>22401</v>
      </c>
      <c r="H62" s="67">
        <v>1000</v>
      </c>
      <c r="I62" s="12" t="s">
        <v>268</v>
      </c>
      <c r="J62" s="61">
        <v>22446</v>
      </c>
      <c r="K62" s="71">
        <v>650</v>
      </c>
      <c r="L62" s="62" t="s">
        <v>360</v>
      </c>
      <c r="M62" s="75"/>
      <c r="N62" s="73"/>
      <c r="O62" s="15"/>
    </row>
    <row r="63" spans="1:15" x14ac:dyDescent="0.25">
      <c r="A63" s="16">
        <v>22281</v>
      </c>
      <c r="B63" s="49">
        <v>500</v>
      </c>
      <c r="C63" s="17"/>
      <c r="D63" s="13"/>
      <c r="E63" s="70"/>
      <c r="F63" s="14" t="s">
        <v>18</v>
      </c>
      <c r="G63" s="11"/>
      <c r="H63" s="67"/>
      <c r="I63" s="12" t="s">
        <v>18</v>
      </c>
      <c r="J63" s="61"/>
      <c r="K63" s="71"/>
      <c r="L63" s="62" t="s">
        <v>365</v>
      </c>
      <c r="M63" s="75"/>
      <c r="N63" s="73"/>
      <c r="O63" s="15"/>
    </row>
    <row r="64" spans="1:15" x14ac:dyDescent="0.25">
      <c r="A64" s="16">
        <v>22282</v>
      </c>
      <c r="B64" s="49">
        <v>500</v>
      </c>
      <c r="C64" s="17" t="s">
        <v>268</v>
      </c>
      <c r="D64" s="13">
        <v>22361</v>
      </c>
      <c r="E64" s="70">
        <v>250</v>
      </c>
      <c r="F64" s="14" t="s">
        <v>246</v>
      </c>
      <c r="G64" s="11">
        <v>22402</v>
      </c>
      <c r="H64" s="67">
        <v>600</v>
      </c>
      <c r="I64" s="12" t="s">
        <v>268</v>
      </c>
      <c r="J64" s="61">
        <v>22447</v>
      </c>
      <c r="K64" s="71">
        <v>300</v>
      </c>
      <c r="L64" s="62"/>
      <c r="M64" s="75"/>
      <c r="N64" s="73"/>
      <c r="O64" s="15"/>
    </row>
    <row r="65" spans="1:15" x14ac:dyDescent="0.25">
      <c r="A65" s="16"/>
      <c r="B65" s="49"/>
      <c r="C65" s="17" t="s">
        <v>22</v>
      </c>
      <c r="D65" s="13"/>
      <c r="E65" s="70"/>
      <c r="F65" s="14"/>
      <c r="G65" s="11"/>
      <c r="H65" s="67"/>
      <c r="I65" s="12" t="s">
        <v>29</v>
      </c>
      <c r="J65" s="61">
        <v>22448</v>
      </c>
      <c r="K65" s="71">
        <v>400</v>
      </c>
      <c r="L65" s="62"/>
      <c r="M65" s="75"/>
      <c r="N65" s="73"/>
      <c r="O65" s="15"/>
    </row>
    <row r="66" spans="1:15" x14ac:dyDescent="0.25">
      <c r="A66" s="16">
        <v>22283</v>
      </c>
      <c r="B66" s="49">
        <v>1000</v>
      </c>
      <c r="C66" s="17" t="s">
        <v>268</v>
      </c>
      <c r="D66" s="13"/>
      <c r="E66" s="70"/>
      <c r="F66" s="14"/>
      <c r="G66" s="11">
        <v>22403</v>
      </c>
      <c r="H66" s="67">
        <v>300</v>
      </c>
      <c r="I66" s="12"/>
      <c r="J66" s="61">
        <v>22449</v>
      </c>
      <c r="K66" s="71">
        <v>350</v>
      </c>
      <c r="L66" s="62" t="s">
        <v>113</v>
      </c>
      <c r="M66" s="75"/>
      <c r="N66" s="73"/>
      <c r="O66" s="15"/>
    </row>
    <row r="67" spans="1:15" x14ac:dyDescent="0.25">
      <c r="A67" s="16"/>
      <c r="B67" s="49"/>
      <c r="C67" s="17" t="s">
        <v>18</v>
      </c>
      <c r="D67" s="13"/>
      <c r="E67" s="70"/>
      <c r="F67" s="14"/>
      <c r="G67" s="11">
        <v>22404</v>
      </c>
      <c r="H67" s="67">
        <v>500</v>
      </c>
      <c r="I67" s="12" t="s">
        <v>348</v>
      </c>
      <c r="J67" s="61">
        <v>22450</v>
      </c>
      <c r="K67" s="71">
        <v>400</v>
      </c>
      <c r="L67" s="62"/>
      <c r="M67" s="75"/>
      <c r="N67" s="73"/>
      <c r="O67" s="15"/>
    </row>
    <row r="68" spans="1:15" x14ac:dyDescent="0.25">
      <c r="A68" s="16">
        <v>22284</v>
      </c>
      <c r="B68" s="49">
        <v>1000</v>
      </c>
      <c r="C68" s="17" t="s">
        <v>303</v>
      </c>
      <c r="D68" s="13"/>
      <c r="E68" s="70"/>
      <c r="F68" s="14"/>
      <c r="G68" s="11">
        <v>22405</v>
      </c>
      <c r="H68" s="67">
        <v>800</v>
      </c>
      <c r="I68" s="12" t="s">
        <v>268</v>
      </c>
      <c r="J68" s="61">
        <v>22451</v>
      </c>
      <c r="K68" s="71">
        <v>500</v>
      </c>
      <c r="L68" s="62"/>
      <c r="M68" s="75"/>
      <c r="N68" s="73"/>
      <c r="O68" s="15"/>
    </row>
    <row r="69" spans="1:15" x14ac:dyDescent="0.25">
      <c r="A69" s="16"/>
      <c r="B69" s="49"/>
      <c r="C69" s="17" t="s">
        <v>18</v>
      </c>
      <c r="D69" s="13"/>
      <c r="E69" s="70"/>
      <c r="F69" s="14"/>
      <c r="G69" s="11"/>
      <c r="H69" s="67"/>
      <c r="I69" s="12" t="s">
        <v>25</v>
      </c>
      <c r="J69" s="61">
        <v>22452</v>
      </c>
      <c r="K69" s="71">
        <v>1500</v>
      </c>
      <c r="L69" s="62" t="s">
        <v>356</v>
      </c>
      <c r="M69" s="75"/>
      <c r="N69" s="73"/>
      <c r="O69" s="15"/>
    </row>
    <row r="70" spans="1:15" x14ac:dyDescent="0.25">
      <c r="A70" s="16">
        <v>22285</v>
      </c>
      <c r="B70" s="49">
        <v>500</v>
      </c>
      <c r="C70" s="17" t="s">
        <v>246</v>
      </c>
      <c r="D70" s="13"/>
      <c r="E70" s="70"/>
      <c r="F70" s="14"/>
      <c r="G70" s="11"/>
      <c r="H70" s="67"/>
      <c r="I70" s="12" t="s">
        <v>348</v>
      </c>
      <c r="J70" s="61"/>
      <c r="K70" s="71"/>
      <c r="L70" s="62" t="s">
        <v>18</v>
      </c>
      <c r="M70" s="75"/>
      <c r="N70" s="73"/>
      <c r="O70" s="15"/>
    </row>
    <row r="71" spans="1:15" x14ac:dyDescent="0.25">
      <c r="A71" s="16">
        <v>22286</v>
      </c>
      <c r="B71" s="49">
        <v>500</v>
      </c>
      <c r="C71" s="17" t="s">
        <v>246</v>
      </c>
      <c r="D71" s="13"/>
      <c r="E71" s="70"/>
      <c r="F71" s="14"/>
      <c r="G71" s="11">
        <v>22406</v>
      </c>
      <c r="H71" s="67">
        <v>1000</v>
      </c>
      <c r="I71" s="12" t="s">
        <v>268</v>
      </c>
      <c r="J71" s="61">
        <v>22453</v>
      </c>
      <c r="K71" s="71">
        <v>1200</v>
      </c>
      <c r="L71" s="62" t="s">
        <v>305</v>
      </c>
      <c r="M71" s="75"/>
      <c r="N71" s="73"/>
      <c r="O71" s="15"/>
    </row>
    <row r="72" spans="1:15" x14ac:dyDescent="0.25">
      <c r="A72" s="16">
        <v>22287</v>
      </c>
      <c r="B72" s="49">
        <v>700</v>
      </c>
      <c r="C72" s="17"/>
      <c r="D72" s="13"/>
      <c r="E72" s="70"/>
      <c r="F72" s="14"/>
      <c r="G72" s="11"/>
      <c r="H72" s="67"/>
      <c r="I72" s="12" t="s">
        <v>18</v>
      </c>
      <c r="J72" s="61"/>
      <c r="K72" s="71"/>
      <c r="L72" s="62" t="s">
        <v>25</v>
      </c>
      <c r="M72" s="75"/>
      <c r="N72" s="73"/>
      <c r="O72" s="15"/>
    </row>
    <row r="73" spans="1:15" x14ac:dyDescent="0.25">
      <c r="A73" s="16">
        <v>22288</v>
      </c>
      <c r="B73" s="49">
        <v>1000</v>
      </c>
      <c r="C73" s="17" t="s">
        <v>332</v>
      </c>
      <c r="D73" s="13"/>
      <c r="E73" s="70"/>
      <c r="F73" s="14"/>
      <c r="G73" s="11"/>
      <c r="H73" s="67"/>
      <c r="I73" s="12"/>
      <c r="J73" s="61">
        <v>22454</v>
      </c>
      <c r="K73" s="71">
        <v>600</v>
      </c>
      <c r="L73" s="62" t="s">
        <v>366</v>
      </c>
      <c r="M73" s="75"/>
      <c r="N73" s="73"/>
      <c r="O73" s="15"/>
    </row>
    <row r="74" spans="1:15" x14ac:dyDescent="0.25">
      <c r="A74" s="16"/>
      <c r="B74" s="49"/>
      <c r="C74" s="17" t="s">
        <v>18</v>
      </c>
      <c r="D74" s="13"/>
      <c r="E74" s="70"/>
      <c r="F74" s="14"/>
      <c r="G74" s="11"/>
      <c r="H74" s="67"/>
      <c r="I74" s="12"/>
      <c r="J74" s="61"/>
      <c r="K74" s="71"/>
      <c r="L74" s="62" t="s">
        <v>367</v>
      </c>
      <c r="M74" s="75"/>
      <c r="N74" s="73"/>
      <c r="O74" s="15"/>
    </row>
    <row r="75" spans="1:15" x14ac:dyDescent="0.25">
      <c r="A75" s="16">
        <v>22289</v>
      </c>
      <c r="B75" s="49">
        <v>500</v>
      </c>
      <c r="C75" s="17"/>
      <c r="D75" s="13"/>
      <c r="E75" s="70"/>
      <c r="F75" s="14"/>
      <c r="G75" s="11"/>
      <c r="H75" s="67"/>
      <c r="I75" s="12"/>
      <c r="J75" s="61">
        <v>22455</v>
      </c>
      <c r="K75" s="71">
        <v>500</v>
      </c>
      <c r="L75" s="62"/>
      <c r="M75" s="75"/>
      <c r="N75" s="73"/>
      <c r="O75" s="15"/>
    </row>
    <row r="76" spans="1:15" x14ac:dyDescent="0.25">
      <c r="A76" s="16">
        <v>22290</v>
      </c>
      <c r="B76" s="49">
        <v>500</v>
      </c>
      <c r="C76" s="17"/>
      <c r="D76" s="13"/>
      <c r="E76" s="70"/>
      <c r="F76" s="14"/>
      <c r="G76" s="11"/>
      <c r="H76" s="67"/>
      <c r="I76" s="12"/>
      <c r="J76" s="61">
        <v>22456</v>
      </c>
      <c r="K76" s="71">
        <v>1000</v>
      </c>
      <c r="L76" s="62" t="s">
        <v>360</v>
      </c>
      <c r="M76" s="75"/>
      <c r="N76" s="73"/>
      <c r="O76" s="15"/>
    </row>
    <row r="77" spans="1:15" x14ac:dyDescent="0.25">
      <c r="A77" s="16">
        <v>22291</v>
      </c>
      <c r="B77" s="49">
        <v>1000</v>
      </c>
      <c r="C77" s="17" t="s">
        <v>248</v>
      </c>
      <c r="D77" s="13"/>
      <c r="E77" s="70"/>
      <c r="F77" s="14"/>
      <c r="G77" s="11"/>
      <c r="H77" s="67"/>
      <c r="I77" s="12"/>
      <c r="J77" s="61"/>
      <c r="K77" s="71"/>
      <c r="L77" s="62" t="s">
        <v>18</v>
      </c>
      <c r="M77" s="75"/>
      <c r="N77" s="73"/>
      <c r="O77" s="15"/>
    </row>
    <row r="78" spans="1:15" x14ac:dyDescent="0.25">
      <c r="A78" s="16"/>
      <c r="B78" s="49"/>
      <c r="C78" s="17" t="s">
        <v>18</v>
      </c>
      <c r="D78" s="13"/>
      <c r="E78" s="70"/>
      <c r="F78" s="14"/>
      <c r="G78" s="11"/>
      <c r="H78" s="67"/>
      <c r="I78" s="12"/>
      <c r="J78" s="61">
        <v>22457</v>
      </c>
      <c r="K78" s="71">
        <v>400</v>
      </c>
      <c r="L78" s="62"/>
      <c r="M78" s="75"/>
      <c r="N78" s="73"/>
      <c r="O78" s="15"/>
    </row>
    <row r="79" spans="1:15" x14ac:dyDescent="0.25">
      <c r="A79" s="16">
        <v>22292</v>
      </c>
      <c r="B79" s="49">
        <v>450</v>
      </c>
      <c r="C79" s="17"/>
      <c r="D79" s="13"/>
      <c r="E79" s="70"/>
      <c r="F79" s="14"/>
      <c r="G79" s="11"/>
      <c r="H79" s="67"/>
      <c r="I79" s="12"/>
      <c r="J79" s="61">
        <v>22458</v>
      </c>
      <c r="K79" s="71">
        <v>100</v>
      </c>
      <c r="L79" s="62" t="s">
        <v>368</v>
      </c>
      <c r="M79" s="75"/>
      <c r="N79" s="73"/>
      <c r="O79" s="15"/>
    </row>
    <row r="80" spans="1:15" x14ac:dyDescent="0.25">
      <c r="A80" s="16">
        <v>22293</v>
      </c>
      <c r="B80" s="49">
        <v>500</v>
      </c>
      <c r="C80" s="17"/>
      <c r="D80" s="13"/>
      <c r="E80" s="70"/>
      <c r="F80" s="14"/>
      <c r="G80" s="11"/>
      <c r="H80" s="67"/>
      <c r="I80" s="12"/>
      <c r="J80" s="61">
        <v>22459</v>
      </c>
      <c r="K80" s="71">
        <v>500</v>
      </c>
      <c r="L80" s="62" t="s">
        <v>343</v>
      </c>
      <c r="M80" s="75"/>
      <c r="N80" s="73"/>
      <c r="O80" s="15"/>
    </row>
    <row r="81" spans="1:15" x14ac:dyDescent="0.25">
      <c r="A81" s="16">
        <v>22294</v>
      </c>
      <c r="B81" s="49">
        <v>1500</v>
      </c>
      <c r="C81" s="17" t="s">
        <v>333</v>
      </c>
      <c r="D81" s="13"/>
      <c r="E81" s="70"/>
      <c r="F81" s="14"/>
      <c r="G81" s="11"/>
      <c r="H81" s="67"/>
      <c r="I81" s="12"/>
      <c r="J81" s="61">
        <v>22460</v>
      </c>
      <c r="K81" s="71">
        <v>1000</v>
      </c>
      <c r="L81" s="62" t="s">
        <v>357</v>
      </c>
      <c r="M81" s="75"/>
      <c r="N81" s="73"/>
      <c r="O81" s="15"/>
    </row>
    <row r="82" spans="1:15" x14ac:dyDescent="0.25">
      <c r="A82" s="16"/>
      <c r="B82" s="49"/>
      <c r="C82" s="17" t="s">
        <v>22</v>
      </c>
      <c r="D82" s="13"/>
      <c r="E82" s="70"/>
      <c r="F82" s="14"/>
      <c r="G82" s="11"/>
      <c r="H82" s="67"/>
      <c r="I82" s="12"/>
      <c r="J82" s="61"/>
      <c r="K82" s="71"/>
      <c r="L82" s="62" t="s">
        <v>18</v>
      </c>
      <c r="M82" s="75"/>
      <c r="N82" s="73"/>
      <c r="O82" s="15"/>
    </row>
    <row r="83" spans="1:15" x14ac:dyDescent="0.25">
      <c r="A83" s="16">
        <v>22295</v>
      </c>
      <c r="B83" s="49">
        <v>500</v>
      </c>
      <c r="C83" s="17"/>
      <c r="D83" s="13"/>
      <c r="E83" s="70"/>
      <c r="F83" s="14"/>
      <c r="G83" s="11"/>
      <c r="H83" s="67"/>
      <c r="I83" s="12"/>
      <c r="J83" s="61">
        <v>22461</v>
      </c>
      <c r="K83" s="71">
        <v>1000</v>
      </c>
      <c r="L83" s="62" t="s">
        <v>360</v>
      </c>
      <c r="M83" s="75"/>
      <c r="N83" s="73"/>
      <c r="O83" s="15"/>
    </row>
    <row r="84" spans="1:15" x14ac:dyDescent="0.25">
      <c r="A84" s="16">
        <v>22296</v>
      </c>
      <c r="B84" s="49">
        <v>500</v>
      </c>
      <c r="C84" s="17"/>
      <c r="D84" s="13"/>
      <c r="E84" s="70"/>
      <c r="F84" s="14"/>
      <c r="G84" s="11"/>
      <c r="H84" s="67"/>
      <c r="I84" s="12"/>
      <c r="J84" s="61"/>
      <c r="K84" s="71"/>
      <c r="L84" s="62" t="s">
        <v>18</v>
      </c>
      <c r="M84" s="75"/>
      <c r="N84" s="73"/>
      <c r="O84" s="15"/>
    </row>
    <row r="85" spans="1:15" x14ac:dyDescent="0.25">
      <c r="A85" s="16">
        <v>22297</v>
      </c>
      <c r="B85" s="49">
        <v>1500</v>
      </c>
      <c r="C85" s="17" t="s">
        <v>334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 t="s">
        <v>18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22298</v>
      </c>
      <c r="B87" s="49">
        <v>500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22299</v>
      </c>
      <c r="B88" s="49">
        <v>500</v>
      </c>
      <c r="C88" s="17"/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22300</v>
      </c>
      <c r="B89" s="49">
        <v>500</v>
      </c>
      <c r="C89" s="17"/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22301</v>
      </c>
      <c r="B90" s="49">
        <v>300</v>
      </c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22302</v>
      </c>
      <c r="B91" s="49">
        <v>500</v>
      </c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22303</v>
      </c>
      <c r="B92" s="49">
        <v>150</v>
      </c>
      <c r="C92" s="17" t="s">
        <v>335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22304</v>
      </c>
      <c r="B93" s="49">
        <v>50</v>
      </c>
      <c r="C93" s="17" t="s">
        <v>336</v>
      </c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22305</v>
      </c>
      <c r="B94" s="49">
        <v>600</v>
      </c>
      <c r="C94" s="17" t="s">
        <v>268</v>
      </c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 t="s">
        <v>29</v>
      </c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22306</v>
      </c>
      <c r="B96" s="49">
        <v>300</v>
      </c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25" x14ac:dyDescent="0.25">
      <c r="A97" s="16">
        <v>22307</v>
      </c>
      <c r="B97" s="49">
        <v>350</v>
      </c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25" x14ac:dyDescent="0.25">
      <c r="A98" s="16">
        <v>22308</v>
      </c>
      <c r="B98" s="49">
        <v>500</v>
      </c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25" x14ac:dyDescent="0.25">
      <c r="A99" s="16">
        <v>22309</v>
      </c>
      <c r="B99" s="49">
        <v>300</v>
      </c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25" x14ac:dyDescent="0.25">
      <c r="A100" s="16">
        <v>22310</v>
      </c>
      <c r="B100" s="49">
        <v>400</v>
      </c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25" x14ac:dyDescent="0.25">
      <c r="A101" s="16">
        <v>22311</v>
      </c>
      <c r="B101" s="49">
        <v>1000</v>
      </c>
      <c r="C101" s="17" t="s">
        <v>337</v>
      </c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25" x14ac:dyDescent="0.25">
      <c r="A102" s="16"/>
      <c r="B102" s="49"/>
      <c r="C102" s="17" t="s">
        <v>18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25" x14ac:dyDescent="0.25">
      <c r="A103" s="16">
        <v>22312</v>
      </c>
      <c r="B103" s="49">
        <v>500</v>
      </c>
      <c r="C103" s="17" t="s">
        <v>292</v>
      </c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25" x14ac:dyDescent="0.25">
      <c r="A104" s="16">
        <v>22313</v>
      </c>
      <c r="B104" s="49"/>
      <c r="C104" s="17" t="s">
        <v>85</v>
      </c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25" x14ac:dyDescent="0.25">
      <c r="A105" s="16">
        <v>22314</v>
      </c>
      <c r="B105" s="49">
        <v>750</v>
      </c>
      <c r="C105" s="17" t="s">
        <v>242</v>
      </c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25" x14ac:dyDescent="0.25">
      <c r="A106" s="16"/>
      <c r="B106" s="49"/>
      <c r="C106" s="17" t="s">
        <v>22</v>
      </c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2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2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2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  <c r="Q109" s="58"/>
      <c r="R109" s="58"/>
      <c r="S109" s="58"/>
      <c r="T109" s="58"/>
      <c r="U109" s="58"/>
      <c r="V109" s="58"/>
      <c r="W109" s="58"/>
      <c r="X109" s="58"/>
      <c r="Y109" s="58"/>
    </row>
    <row r="110" spans="1:25" x14ac:dyDescent="0.25">
      <c r="A110" s="26"/>
      <c r="B110" s="66"/>
      <c r="C110" s="58"/>
      <c r="D110" s="26"/>
      <c r="E110" s="74"/>
      <c r="F110" s="58"/>
      <c r="G110" s="11"/>
      <c r="H110" s="67"/>
      <c r="I110" s="12"/>
      <c r="J110" s="26"/>
      <c r="K110" s="74"/>
      <c r="L110" s="58"/>
      <c r="M110" s="58"/>
      <c r="N110" s="74"/>
      <c r="O110" s="58"/>
      <c r="P110" s="58"/>
    </row>
    <row r="111" spans="1:25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58"/>
      <c r="N111" s="58"/>
      <c r="O111" s="58"/>
      <c r="P111" s="58"/>
    </row>
    <row r="112" spans="1:25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58"/>
      <c r="N112" s="58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58"/>
      <c r="N113" s="58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58"/>
      <c r="N114" s="58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58"/>
      <c r="N115" s="58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58"/>
      <c r="N116" s="58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58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58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58"/>
      <c r="N119" s="58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74"/>
      <c r="I153" s="58"/>
      <c r="J153" s="26"/>
      <c r="K153" s="74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74"/>
      <c r="I154" s="58"/>
      <c r="J154" s="26"/>
      <c r="K154" s="74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74"/>
      <c r="I156" s="58"/>
      <c r="J156" s="26"/>
      <c r="K156" s="74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74"/>
      <c r="I157" s="58"/>
      <c r="J157" s="26"/>
      <c r="K157" s="74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74"/>
      <c r="I158" s="58"/>
      <c r="J158" s="26"/>
      <c r="K158" s="74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74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74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74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74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74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74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74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74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74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74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74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74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74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74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74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74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74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74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74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74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74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74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74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74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74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74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74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74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74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74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74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G533" s="26"/>
      <c r="H533" s="58"/>
      <c r="I533" s="58"/>
    </row>
    <row r="534" spans="1:15" x14ac:dyDescent="0.25">
      <c r="G534" s="26"/>
      <c r="H534" s="58"/>
      <c r="I534" s="58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8" activePane="bottomLeft" state="frozen"/>
      <selection activeCell="A5" sqref="A5"/>
      <selection pane="bottomLeft" activeCell="G8" sqref="G8"/>
    </sheetView>
  </sheetViews>
  <sheetFormatPr baseColWidth="10" defaultRowHeight="15" x14ac:dyDescent="0.25"/>
  <cols>
    <col min="1" max="1" width="7.7109375" style="6" customWidth="1"/>
    <col min="2" max="2" width="9" style="6" customWidth="1"/>
    <col min="3" max="3" width="23.7109375" customWidth="1"/>
    <col min="4" max="4" width="7.7109375" style="6" customWidth="1"/>
    <col min="5" max="5" width="8.7109375" customWidth="1"/>
    <col min="6" max="6" width="24.28515625" customWidth="1"/>
    <col min="7" max="7" width="7.71093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SUBTOTAL(3,A8:A121)</f>
        <v>71</v>
      </c>
      <c r="B6" s="127">
        <f>SUBTOTAL(9,B8:B135)</f>
        <v>39651.4</v>
      </c>
      <c r="C6" s="35">
        <v>44017</v>
      </c>
      <c r="D6" s="8">
        <f>SUBTOTAL(3,D8:D120)</f>
        <v>59</v>
      </c>
      <c r="E6" s="126">
        <f>SUBTOTAL(9,E8:E120)</f>
        <v>40151.590000000004</v>
      </c>
      <c r="F6" s="38">
        <v>44024</v>
      </c>
      <c r="G6" s="8">
        <f>SUBTOTAL(3,G8:G121)</f>
        <v>31</v>
      </c>
      <c r="H6" s="1">
        <f>SUBTOTAL(9,H8:H121)</f>
        <v>17100</v>
      </c>
      <c r="I6" s="39">
        <v>44031</v>
      </c>
      <c r="J6" s="8">
        <f>SUBTOTAL(3,J8:J110)</f>
        <v>0</v>
      </c>
      <c r="K6" s="1">
        <f>SUBTOTAL(9,K8:K110)</f>
        <v>0</v>
      </c>
      <c r="L6" s="63">
        <v>44038</v>
      </c>
      <c r="M6" s="1">
        <f>SUBTOTAL(3,M8:M120)</f>
        <v>0</v>
      </c>
      <c r="N6" s="1">
        <f>SUBTOTAL(9,N8:N120)</f>
        <v>0</v>
      </c>
      <c r="O6" s="81"/>
      <c r="P6" s="15"/>
      <c r="Q6" s="30">
        <f>+A6+D6+G6+J6+M6</f>
        <v>161</v>
      </c>
      <c r="R6" s="29">
        <f>+B6+E6+H6+K6+N6</f>
        <v>96902.99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22462</v>
      </c>
      <c r="B8" s="102">
        <v>500</v>
      </c>
      <c r="C8" s="17"/>
      <c r="D8" s="13">
        <v>22533</v>
      </c>
      <c r="E8" s="70">
        <v>700</v>
      </c>
      <c r="F8" s="14"/>
      <c r="G8" s="11">
        <v>22592</v>
      </c>
      <c r="H8" s="67">
        <v>1200</v>
      </c>
      <c r="I8" s="12" t="s">
        <v>401</v>
      </c>
      <c r="J8" s="61"/>
      <c r="K8" s="71"/>
      <c r="L8" s="62"/>
      <c r="M8" s="75"/>
      <c r="N8" s="73"/>
      <c r="O8" s="15"/>
      <c r="Q8" s="32"/>
      <c r="R8" s="32"/>
    </row>
    <row r="9" spans="1:18" x14ac:dyDescent="0.25">
      <c r="A9" s="16">
        <v>22463</v>
      </c>
      <c r="B9" s="102">
        <v>100</v>
      </c>
      <c r="C9" s="17" t="s">
        <v>369</v>
      </c>
      <c r="D9" s="13">
        <v>22534</v>
      </c>
      <c r="E9" s="70">
        <v>1500</v>
      </c>
      <c r="F9" s="14" t="s">
        <v>305</v>
      </c>
      <c r="G9" s="11"/>
      <c r="H9" s="67"/>
      <c r="I9" s="12" t="s">
        <v>25</v>
      </c>
      <c r="J9" s="61"/>
      <c r="K9" s="71"/>
      <c r="L9" s="62"/>
      <c r="M9" s="75"/>
      <c r="N9" s="73"/>
      <c r="O9" s="15"/>
    </row>
    <row r="10" spans="1:18" x14ac:dyDescent="0.25">
      <c r="A10" s="16"/>
      <c r="B10" s="102"/>
      <c r="C10" s="17" t="s">
        <v>301</v>
      </c>
      <c r="D10" s="13"/>
      <c r="E10" s="70"/>
      <c r="F10" s="109" t="s">
        <v>18</v>
      </c>
      <c r="G10" s="11">
        <v>22593</v>
      </c>
      <c r="H10" s="67">
        <v>500</v>
      </c>
      <c r="I10" s="12" t="s">
        <v>402</v>
      </c>
      <c r="J10" s="61"/>
      <c r="K10" s="71"/>
      <c r="L10" s="62"/>
      <c r="M10" s="75"/>
      <c r="N10" s="73"/>
      <c r="O10" s="15"/>
    </row>
    <row r="11" spans="1:18" x14ac:dyDescent="0.25">
      <c r="A11" s="16">
        <v>22464</v>
      </c>
      <c r="B11" s="102">
        <v>500</v>
      </c>
      <c r="C11" s="17" t="s">
        <v>316</v>
      </c>
      <c r="D11" s="13"/>
      <c r="E11" s="70"/>
      <c r="F11" s="14" t="s">
        <v>278</v>
      </c>
      <c r="G11" s="11">
        <v>22594</v>
      </c>
      <c r="H11" s="67">
        <v>50</v>
      </c>
      <c r="I11" s="12" t="s">
        <v>403</v>
      </c>
      <c r="J11" s="61"/>
      <c r="K11" s="71"/>
      <c r="L11" s="62"/>
      <c r="M11" s="75"/>
      <c r="N11" s="73"/>
      <c r="O11" s="15"/>
    </row>
    <row r="12" spans="1:18" x14ac:dyDescent="0.25">
      <c r="A12" s="16">
        <v>22465</v>
      </c>
      <c r="B12" s="102">
        <v>500</v>
      </c>
      <c r="C12" s="17" t="s">
        <v>316</v>
      </c>
      <c r="D12" s="13">
        <v>22535</v>
      </c>
      <c r="E12" s="70">
        <v>500</v>
      </c>
      <c r="F12" s="109" t="s">
        <v>383</v>
      </c>
      <c r="G12" s="11">
        <v>22595</v>
      </c>
      <c r="H12" s="67">
        <v>150</v>
      </c>
      <c r="I12" s="12" t="s">
        <v>404</v>
      </c>
      <c r="J12" s="61"/>
      <c r="K12" s="71"/>
      <c r="L12" s="62"/>
      <c r="M12" s="75"/>
      <c r="N12" s="73"/>
      <c r="O12" s="15"/>
    </row>
    <row r="13" spans="1:18" x14ac:dyDescent="0.25">
      <c r="A13" s="16">
        <v>22466</v>
      </c>
      <c r="B13" s="102">
        <v>250.62</v>
      </c>
      <c r="C13" s="17" t="s">
        <v>370</v>
      </c>
      <c r="D13" s="13"/>
      <c r="E13" s="70"/>
      <c r="F13" s="101">
        <v>100</v>
      </c>
      <c r="G13" s="11"/>
      <c r="H13" s="67"/>
      <c r="I13" s="12" t="s">
        <v>405</v>
      </c>
      <c r="J13" s="61"/>
      <c r="K13" s="71"/>
      <c r="L13" s="62"/>
      <c r="M13" s="75"/>
      <c r="N13" s="73"/>
      <c r="O13" s="15"/>
    </row>
    <row r="14" spans="1:18" x14ac:dyDescent="0.25">
      <c r="A14" s="16">
        <v>22467</v>
      </c>
      <c r="B14" s="102">
        <v>500</v>
      </c>
      <c r="C14" s="115" t="s">
        <v>370</v>
      </c>
      <c r="D14" s="13">
        <v>22536</v>
      </c>
      <c r="E14" s="70">
        <v>200</v>
      </c>
      <c r="F14" s="14" t="s">
        <v>384</v>
      </c>
      <c r="G14" s="11">
        <v>22596</v>
      </c>
      <c r="H14" s="67">
        <v>200</v>
      </c>
      <c r="I14" s="12"/>
      <c r="J14" s="61"/>
      <c r="K14" s="71"/>
      <c r="L14" s="62"/>
      <c r="M14" s="75"/>
      <c r="N14" s="73"/>
      <c r="O14" s="31"/>
    </row>
    <row r="15" spans="1:18" x14ac:dyDescent="0.25">
      <c r="A15" s="16">
        <v>22468</v>
      </c>
      <c r="B15" s="102">
        <v>1000.06</v>
      </c>
      <c r="C15" s="17" t="s">
        <v>268</v>
      </c>
      <c r="D15" s="13">
        <v>22537</v>
      </c>
      <c r="E15" s="70">
        <v>300</v>
      </c>
      <c r="F15" s="14" t="s">
        <v>385</v>
      </c>
      <c r="G15" s="11">
        <v>22597</v>
      </c>
      <c r="H15" s="67">
        <v>500</v>
      </c>
      <c r="I15" s="12" t="s">
        <v>303</v>
      </c>
      <c r="J15" s="61"/>
      <c r="K15" s="71"/>
      <c r="L15" s="62"/>
      <c r="M15" s="75"/>
      <c r="N15" s="73"/>
      <c r="O15" s="15"/>
    </row>
    <row r="16" spans="1:18" x14ac:dyDescent="0.25">
      <c r="A16" s="16"/>
      <c r="B16" s="102"/>
      <c r="C16" s="17" t="s">
        <v>18</v>
      </c>
      <c r="D16" s="13">
        <v>22538</v>
      </c>
      <c r="E16" s="70">
        <v>1500</v>
      </c>
      <c r="F16" s="14" t="s">
        <v>242</v>
      </c>
      <c r="G16" s="11"/>
      <c r="H16" s="67"/>
      <c r="I16" s="12" t="s">
        <v>22</v>
      </c>
      <c r="J16" s="61"/>
      <c r="K16" s="71"/>
      <c r="L16" s="62"/>
      <c r="M16" s="75"/>
      <c r="N16" s="73"/>
      <c r="O16" s="15"/>
    </row>
    <row r="17" spans="1:15" x14ac:dyDescent="0.25">
      <c r="A17" s="16"/>
      <c r="B17" s="102"/>
      <c r="C17" s="17" t="s">
        <v>370</v>
      </c>
      <c r="D17" s="13"/>
      <c r="E17" s="70"/>
      <c r="F17" s="14" t="s">
        <v>18</v>
      </c>
      <c r="G17" s="11">
        <v>22598</v>
      </c>
      <c r="H17" s="67">
        <v>500</v>
      </c>
      <c r="I17" s="12" t="s">
        <v>382</v>
      </c>
      <c r="J17" s="61"/>
      <c r="K17" s="71"/>
      <c r="L17" s="62"/>
      <c r="M17" s="75"/>
      <c r="N17" s="73"/>
      <c r="O17" s="15"/>
    </row>
    <row r="18" spans="1:15" x14ac:dyDescent="0.25">
      <c r="A18" s="16">
        <v>22469</v>
      </c>
      <c r="B18" s="102"/>
      <c r="C18" s="17" t="s">
        <v>54</v>
      </c>
      <c r="D18" s="13">
        <v>22539</v>
      </c>
      <c r="E18" s="70">
        <v>500</v>
      </c>
      <c r="F18" s="33"/>
      <c r="G18" s="11">
        <v>22599</v>
      </c>
      <c r="H18" s="67">
        <v>50</v>
      </c>
      <c r="I18" s="12" t="s">
        <v>71</v>
      </c>
      <c r="J18" s="61"/>
      <c r="K18" s="71"/>
      <c r="L18" s="68"/>
      <c r="M18" s="75"/>
      <c r="N18" s="73"/>
      <c r="O18" s="15"/>
    </row>
    <row r="19" spans="1:15" x14ac:dyDescent="0.25">
      <c r="A19" s="16">
        <v>22470</v>
      </c>
      <c r="B19" s="102">
        <v>500</v>
      </c>
      <c r="C19" s="17" t="s">
        <v>371</v>
      </c>
      <c r="D19" s="13">
        <v>22540</v>
      </c>
      <c r="E19" s="70">
        <v>400</v>
      </c>
      <c r="F19" s="14"/>
      <c r="G19" s="11">
        <v>22600</v>
      </c>
      <c r="H19" s="67">
        <v>3200</v>
      </c>
      <c r="I19" s="12" t="s">
        <v>406</v>
      </c>
      <c r="J19" s="61"/>
      <c r="K19" s="71"/>
      <c r="L19" s="62"/>
      <c r="M19" s="75"/>
      <c r="N19" s="73"/>
      <c r="O19" s="15"/>
    </row>
    <row r="20" spans="1:15" x14ac:dyDescent="0.25">
      <c r="A20" s="16">
        <v>22471</v>
      </c>
      <c r="B20" s="102">
        <v>500.46</v>
      </c>
      <c r="C20" s="17" t="s">
        <v>370</v>
      </c>
      <c r="D20" s="13">
        <v>22541</v>
      </c>
      <c r="E20" s="70">
        <v>800</v>
      </c>
      <c r="F20" s="14" t="s">
        <v>303</v>
      </c>
      <c r="G20" s="11"/>
      <c r="H20" s="67"/>
      <c r="I20" s="12" t="s">
        <v>407</v>
      </c>
      <c r="J20" s="61"/>
      <c r="K20" s="71"/>
      <c r="L20" s="62"/>
      <c r="M20" s="75"/>
      <c r="N20" s="73"/>
      <c r="O20" s="15"/>
    </row>
    <row r="21" spans="1:15" x14ac:dyDescent="0.25">
      <c r="A21" s="16">
        <v>22472</v>
      </c>
      <c r="B21" s="102">
        <v>600</v>
      </c>
      <c r="C21" s="17" t="s">
        <v>346</v>
      </c>
      <c r="D21" s="13"/>
      <c r="E21" s="70"/>
      <c r="F21" s="14" t="s">
        <v>25</v>
      </c>
      <c r="G21" s="11"/>
      <c r="H21" s="67"/>
      <c r="I21" s="12" t="s">
        <v>408</v>
      </c>
      <c r="J21" s="61"/>
      <c r="K21" s="71"/>
      <c r="L21" s="62"/>
      <c r="M21" s="75"/>
      <c r="N21" s="73"/>
      <c r="O21" s="31"/>
    </row>
    <row r="22" spans="1:15" x14ac:dyDescent="0.25">
      <c r="A22" s="16"/>
      <c r="B22" s="102"/>
      <c r="C22" s="17" t="s">
        <v>372</v>
      </c>
      <c r="D22" s="13">
        <v>22542</v>
      </c>
      <c r="E22" s="70">
        <v>200</v>
      </c>
      <c r="F22" s="14" t="s">
        <v>386</v>
      </c>
      <c r="G22" s="11">
        <v>22601</v>
      </c>
      <c r="H22" s="67">
        <v>100</v>
      </c>
      <c r="I22" s="12" t="s">
        <v>77</v>
      </c>
      <c r="J22" s="61"/>
      <c r="K22" s="71"/>
      <c r="L22" s="62"/>
      <c r="M22" s="75"/>
      <c r="N22" s="73"/>
      <c r="O22" s="15"/>
    </row>
    <row r="23" spans="1:15" x14ac:dyDescent="0.25">
      <c r="A23" s="16">
        <v>22473</v>
      </c>
      <c r="B23" s="102">
        <v>1500</v>
      </c>
      <c r="C23" s="17" t="s">
        <v>356</v>
      </c>
      <c r="D23" s="13">
        <v>22543</v>
      </c>
      <c r="E23" s="70">
        <v>500</v>
      </c>
      <c r="F23" s="14" t="s">
        <v>387</v>
      </c>
      <c r="G23" s="11">
        <v>22602</v>
      </c>
      <c r="H23" s="67">
        <v>1000</v>
      </c>
      <c r="I23" s="12" t="s">
        <v>303</v>
      </c>
      <c r="J23" s="61"/>
      <c r="K23" s="71"/>
      <c r="L23" s="62"/>
      <c r="M23" s="75"/>
      <c r="N23" s="73"/>
      <c r="O23" s="15"/>
    </row>
    <row r="24" spans="1:15" x14ac:dyDescent="0.25">
      <c r="A24" s="16"/>
      <c r="B24" s="102"/>
      <c r="C24" s="17" t="s">
        <v>18</v>
      </c>
      <c r="D24" s="13">
        <v>22544</v>
      </c>
      <c r="E24" s="70">
        <v>450</v>
      </c>
      <c r="F24" s="14"/>
      <c r="G24" s="11"/>
      <c r="H24" s="67"/>
      <c r="I24" s="12" t="s">
        <v>18</v>
      </c>
      <c r="J24" s="61"/>
      <c r="K24" s="71"/>
      <c r="L24" s="62"/>
      <c r="M24" s="75"/>
      <c r="N24" s="73"/>
      <c r="O24" s="15"/>
    </row>
    <row r="25" spans="1:15" x14ac:dyDescent="0.25">
      <c r="A25" s="16">
        <v>22474</v>
      </c>
      <c r="B25" s="102">
        <v>1200</v>
      </c>
      <c r="C25" s="17" t="s">
        <v>334</v>
      </c>
      <c r="D25" s="13">
        <v>22545</v>
      </c>
      <c r="E25" s="70">
        <v>500</v>
      </c>
      <c r="F25" s="14"/>
      <c r="G25" s="11">
        <v>22603</v>
      </c>
      <c r="H25" s="67">
        <v>500</v>
      </c>
      <c r="I25" s="12"/>
      <c r="J25" s="61"/>
      <c r="K25" s="71"/>
      <c r="L25" s="62"/>
      <c r="M25" s="75"/>
      <c r="N25" s="73"/>
      <c r="O25" s="15"/>
    </row>
    <row r="26" spans="1:15" x14ac:dyDescent="0.25">
      <c r="A26" s="16"/>
      <c r="B26" s="102"/>
      <c r="C26" s="17" t="s">
        <v>25</v>
      </c>
      <c r="D26" s="13">
        <v>22546</v>
      </c>
      <c r="E26" s="70">
        <v>700</v>
      </c>
      <c r="F26" s="14" t="s">
        <v>388</v>
      </c>
      <c r="G26" s="11">
        <v>22604</v>
      </c>
      <c r="H26" s="67">
        <v>300</v>
      </c>
      <c r="I26" s="12"/>
      <c r="J26" s="61"/>
      <c r="K26" s="71"/>
      <c r="L26" s="62"/>
      <c r="M26" s="75"/>
      <c r="N26" s="73"/>
      <c r="O26" s="15"/>
    </row>
    <row r="27" spans="1:15" x14ac:dyDescent="0.25">
      <c r="A27" s="16">
        <v>22475</v>
      </c>
      <c r="B27" s="102">
        <v>200</v>
      </c>
      <c r="C27" s="115"/>
      <c r="D27" s="13"/>
      <c r="E27" s="70"/>
      <c r="F27" s="14" t="s">
        <v>29</v>
      </c>
      <c r="G27" s="11">
        <v>22605</v>
      </c>
      <c r="H27" s="67">
        <v>500</v>
      </c>
      <c r="I27" s="12"/>
      <c r="J27" s="61"/>
      <c r="K27" s="71"/>
      <c r="L27" s="62"/>
      <c r="M27" s="75"/>
      <c r="N27" s="73"/>
      <c r="O27" s="31"/>
    </row>
    <row r="28" spans="1:15" x14ac:dyDescent="0.25">
      <c r="A28" s="16">
        <v>22476</v>
      </c>
      <c r="B28" s="102">
        <v>200</v>
      </c>
      <c r="C28" s="17"/>
      <c r="D28" s="13">
        <v>22547</v>
      </c>
      <c r="E28" s="70">
        <v>500</v>
      </c>
      <c r="F28" s="14"/>
      <c r="G28" s="11">
        <v>22606</v>
      </c>
      <c r="H28" s="67">
        <v>250</v>
      </c>
      <c r="I28" s="12" t="s">
        <v>316</v>
      </c>
      <c r="J28" s="61"/>
      <c r="K28" s="71"/>
      <c r="L28" s="62"/>
      <c r="M28" s="75"/>
      <c r="N28" s="73"/>
      <c r="O28" s="15"/>
    </row>
    <row r="29" spans="1:15" x14ac:dyDescent="0.25">
      <c r="A29" s="16">
        <v>22477</v>
      </c>
      <c r="B29" s="102">
        <v>500</v>
      </c>
      <c r="C29" s="17" t="s">
        <v>316</v>
      </c>
      <c r="D29" s="13">
        <v>22548</v>
      </c>
      <c r="E29" s="70">
        <v>250</v>
      </c>
      <c r="F29" s="14" t="s">
        <v>389</v>
      </c>
      <c r="G29" s="11">
        <v>22607</v>
      </c>
      <c r="H29" s="67">
        <v>1000</v>
      </c>
      <c r="I29" s="12" t="s">
        <v>346</v>
      </c>
      <c r="J29" s="61"/>
      <c r="K29" s="71"/>
      <c r="L29" s="62"/>
      <c r="M29" s="75"/>
      <c r="N29" s="73"/>
      <c r="O29" s="15"/>
    </row>
    <row r="30" spans="1:15" x14ac:dyDescent="0.25">
      <c r="A30" s="16">
        <v>22478</v>
      </c>
      <c r="B30" s="102">
        <v>500</v>
      </c>
      <c r="C30" s="17"/>
      <c r="D30" s="13">
        <v>22549</v>
      </c>
      <c r="E30" s="70">
        <v>3000</v>
      </c>
      <c r="F30" s="14" t="s">
        <v>390</v>
      </c>
      <c r="G30" s="11"/>
      <c r="H30" s="67"/>
      <c r="I30" s="12" t="s">
        <v>18</v>
      </c>
      <c r="J30" s="61"/>
      <c r="K30" s="71"/>
      <c r="L30" s="62"/>
      <c r="M30" s="75"/>
      <c r="N30" s="73"/>
      <c r="O30" s="15"/>
    </row>
    <row r="31" spans="1:15" x14ac:dyDescent="0.25">
      <c r="A31" s="16">
        <v>22479</v>
      </c>
      <c r="B31" s="102">
        <v>400</v>
      </c>
      <c r="C31" s="17"/>
      <c r="D31" s="13"/>
      <c r="E31" s="70"/>
      <c r="F31" s="14" t="s">
        <v>18</v>
      </c>
      <c r="G31" s="11">
        <v>22608</v>
      </c>
      <c r="H31" s="67">
        <v>500</v>
      </c>
      <c r="I31" s="12" t="s">
        <v>303</v>
      </c>
      <c r="J31" s="61"/>
      <c r="K31" s="71"/>
      <c r="L31" s="62"/>
      <c r="M31" s="75"/>
      <c r="N31" s="73"/>
      <c r="O31" s="15"/>
    </row>
    <row r="32" spans="1:15" x14ac:dyDescent="0.25">
      <c r="A32" s="16">
        <v>22480</v>
      </c>
      <c r="B32" s="102">
        <v>250</v>
      </c>
      <c r="C32" s="17"/>
      <c r="D32" s="13">
        <v>22550</v>
      </c>
      <c r="E32" s="70">
        <v>500</v>
      </c>
      <c r="F32" s="14" t="s">
        <v>316</v>
      </c>
      <c r="G32" s="11"/>
      <c r="H32" s="67"/>
      <c r="I32" s="12" t="s">
        <v>22</v>
      </c>
      <c r="J32" s="61"/>
      <c r="K32" s="71"/>
      <c r="L32" s="62"/>
      <c r="M32" s="75"/>
      <c r="N32" s="73"/>
      <c r="O32" s="15"/>
    </row>
    <row r="33" spans="1:15" x14ac:dyDescent="0.25">
      <c r="A33" s="16">
        <v>22481</v>
      </c>
      <c r="B33" s="102">
        <v>300</v>
      </c>
      <c r="C33" s="17" t="s">
        <v>316</v>
      </c>
      <c r="D33" s="13">
        <v>22551</v>
      </c>
      <c r="E33" s="70">
        <v>300</v>
      </c>
      <c r="F33" s="14"/>
      <c r="G33" s="11">
        <v>22609</v>
      </c>
      <c r="H33" s="67">
        <v>600</v>
      </c>
      <c r="I33" s="12" t="s">
        <v>303</v>
      </c>
      <c r="J33" s="61"/>
      <c r="K33" s="71"/>
      <c r="L33" s="62"/>
      <c r="M33" s="75"/>
      <c r="N33" s="73"/>
      <c r="O33" s="15"/>
    </row>
    <row r="34" spans="1:15" x14ac:dyDescent="0.25">
      <c r="A34" s="16">
        <v>22482</v>
      </c>
      <c r="B34" s="102">
        <v>500.11</v>
      </c>
      <c r="C34" s="115" t="s">
        <v>370</v>
      </c>
      <c r="D34" s="97">
        <v>22552</v>
      </c>
      <c r="E34" s="70">
        <v>500</v>
      </c>
      <c r="F34" s="14" t="s">
        <v>316</v>
      </c>
      <c r="G34" s="11"/>
      <c r="H34" s="67"/>
      <c r="I34" s="96" t="s">
        <v>29</v>
      </c>
      <c r="J34" s="61"/>
      <c r="K34" s="71"/>
      <c r="L34" s="62"/>
      <c r="M34" s="75"/>
      <c r="N34" s="73"/>
      <c r="O34" s="31"/>
    </row>
    <row r="35" spans="1:15" x14ac:dyDescent="0.25">
      <c r="A35" s="16">
        <v>22483</v>
      </c>
      <c r="B35" s="49">
        <v>1000</v>
      </c>
      <c r="C35" s="17" t="s">
        <v>346</v>
      </c>
      <c r="D35" s="13">
        <v>22553</v>
      </c>
      <c r="E35" s="70">
        <v>500</v>
      </c>
      <c r="F35" s="14"/>
      <c r="G35" s="11">
        <v>22610</v>
      </c>
      <c r="H35" s="67">
        <v>500</v>
      </c>
      <c r="I35" s="12"/>
      <c r="J35" s="61"/>
      <c r="K35" s="71"/>
      <c r="L35" s="62"/>
      <c r="M35" s="75"/>
      <c r="N35" s="73"/>
      <c r="O35" s="15"/>
    </row>
    <row r="36" spans="1:15" x14ac:dyDescent="0.25">
      <c r="A36" s="16"/>
      <c r="B36" s="49"/>
      <c r="C36" s="17" t="s">
        <v>18</v>
      </c>
      <c r="D36" s="13">
        <v>22554</v>
      </c>
      <c r="E36" s="70">
        <v>500</v>
      </c>
      <c r="F36" s="14" t="s">
        <v>248</v>
      </c>
      <c r="G36" s="11">
        <v>22611</v>
      </c>
      <c r="H36" s="67">
        <v>600</v>
      </c>
      <c r="I36" s="12" t="s">
        <v>303</v>
      </c>
      <c r="J36" s="61"/>
      <c r="K36" s="71"/>
      <c r="L36" s="62"/>
      <c r="M36" s="75"/>
      <c r="N36" s="73"/>
      <c r="O36" s="15"/>
    </row>
    <row r="37" spans="1:15" x14ac:dyDescent="0.25">
      <c r="A37" s="16">
        <v>22484</v>
      </c>
      <c r="B37" s="49">
        <v>400</v>
      </c>
      <c r="C37" s="17"/>
      <c r="D37" s="13"/>
      <c r="E37" s="70"/>
      <c r="F37" s="14" t="s">
        <v>22</v>
      </c>
      <c r="G37" s="11"/>
      <c r="H37" s="67"/>
      <c r="I37" s="12" t="s">
        <v>29</v>
      </c>
      <c r="J37" s="61"/>
      <c r="K37" s="71"/>
      <c r="L37" s="62"/>
      <c r="M37" s="75"/>
      <c r="N37" s="73"/>
      <c r="O37" s="15"/>
    </row>
    <row r="38" spans="1:15" x14ac:dyDescent="0.25">
      <c r="A38" s="16">
        <v>22485</v>
      </c>
      <c r="B38" s="49">
        <v>2000</v>
      </c>
      <c r="C38" s="17" t="s">
        <v>373</v>
      </c>
      <c r="D38" s="13">
        <v>22555</v>
      </c>
      <c r="E38" s="70">
        <v>500</v>
      </c>
      <c r="F38" s="14" t="s">
        <v>391</v>
      </c>
      <c r="G38" s="11">
        <v>22612</v>
      </c>
      <c r="H38" s="67">
        <v>250</v>
      </c>
      <c r="I38" s="12"/>
      <c r="J38" s="61"/>
      <c r="K38" s="71"/>
      <c r="L38" s="62"/>
      <c r="M38" s="75"/>
      <c r="N38" s="73"/>
      <c r="O38" s="15"/>
    </row>
    <row r="39" spans="1:15" x14ac:dyDescent="0.25">
      <c r="A39" s="16"/>
      <c r="B39" s="49"/>
      <c r="C39" s="17" t="s">
        <v>18</v>
      </c>
      <c r="D39" s="13">
        <v>22556</v>
      </c>
      <c r="E39" s="70">
        <v>500</v>
      </c>
      <c r="F39" s="14"/>
      <c r="G39" s="11">
        <v>22613</v>
      </c>
      <c r="H39" s="67">
        <v>50</v>
      </c>
      <c r="I39" s="12" t="s">
        <v>71</v>
      </c>
      <c r="J39" s="61"/>
      <c r="K39" s="71"/>
      <c r="L39" s="62"/>
      <c r="M39" s="75"/>
      <c r="N39" s="73"/>
      <c r="O39" s="15"/>
    </row>
    <row r="40" spans="1:15" x14ac:dyDescent="0.25">
      <c r="A40" s="16">
        <v>22486</v>
      </c>
      <c r="B40" s="49">
        <v>300</v>
      </c>
      <c r="C40" s="17" t="s">
        <v>316</v>
      </c>
      <c r="D40" s="13">
        <v>22557</v>
      </c>
      <c r="E40" s="70">
        <v>500</v>
      </c>
      <c r="F40" s="14"/>
      <c r="G40" s="11">
        <v>22614</v>
      </c>
      <c r="H40" s="67">
        <v>500</v>
      </c>
      <c r="I40" s="12" t="s">
        <v>316</v>
      </c>
      <c r="J40" s="61"/>
      <c r="K40" s="71"/>
      <c r="L40" s="62"/>
      <c r="M40" s="75"/>
      <c r="N40" s="73"/>
      <c r="O40" s="15"/>
    </row>
    <row r="41" spans="1:15" x14ac:dyDescent="0.25">
      <c r="A41" s="16">
        <v>22487</v>
      </c>
      <c r="B41" s="49">
        <v>500</v>
      </c>
      <c r="C41" s="17"/>
      <c r="D41" s="13">
        <v>22558</v>
      </c>
      <c r="E41" s="70">
        <v>250</v>
      </c>
      <c r="F41" s="14" t="s">
        <v>392</v>
      </c>
      <c r="G41" s="11">
        <v>22615</v>
      </c>
      <c r="H41" s="67">
        <v>500</v>
      </c>
      <c r="I41" s="12"/>
      <c r="J41" s="61"/>
      <c r="K41" s="71"/>
      <c r="L41" s="62"/>
      <c r="M41" s="75"/>
      <c r="N41" s="73"/>
      <c r="O41" s="15"/>
    </row>
    <row r="42" spans="1:15" x14ac:dyDescent="0.25">
      <c r="A42" s="16">
        <v>22488</v>
      </c>
      <c r="B42" s="49">
        <v>600</v>
      </c>
      <c r="C42" s="17"/>
      <c r="D42" s="13">
        <v>22559</v>
      </c>
      <c r="E42" s="70">
        <v>400</v>
      </c>
      <c r="F42" s="14"/>
      <c r="G42" s="11">
        <v>22616</v>
      </c>
      <c r="H42" s="67">
        <v>500</v>
      </c>
      <c r="I42" s="12"/>
      <c r="J42" s="61"/>
      <c r="K42" s="71"/>
      <c r="L42" s="62"/>
      <c r="M42" s="75"/>
      <c r="N42" s="73"/>
      <c r="O42" s="15"/>
    </row>
    <row r="43" spans="1:15" x14ac:dyDescent="0.25">
      <c r="A43" s="16">
        <v>22489</v>
      </c>
      <c r="B43" s="49">
        <v>700</v>
      </c>
      <c r="C43" s="17"/>
      <c r="D43" s="13">
        <v>22560</v>
      </c>
      <c r="E43" s="70"/>
      <c r="F43" s="14" t="s">
        <v>54</v>
      </c>
      <c r="G43" s="11">
        <v>22617</v>
      </c>
      <c r="H43" s="67">
        <v>500</v>
      </c>
      <c r="I43" s="12" t="s">
        <v>316</v>
      </c>
      <c r="J43" s="61"/>
      <c r="K43" s="71"/>
      <c r="L43" s="62"/>
      <c r="M43" s="75"/>
      <c r="N43" s="73"/>
      <c r="O43" s="15"/>
    </row>
    <row r="44" spans="1:15" x14ac:dyDescent="0.25">
      <c r="A44" s="16">
        <v>22490</v>
      </c>
      <c r="B44" s="49">
        <v>400</v>
      </c>
      <c r="C44" s="17" t="s">
        <v>303</v>
      </c>
      <c r="D44" s="13">
        <v>22561</v>
      </c>
      <c r="E44" s="70">
        <v>300</v>
      </c>
      <c r="F44" s="14"/>
      <c r="G44" s="11">
        <v>22618</v>
      </c>
      <c r="H44" s="67">
        <v>500</v>
      </c>
      <c r="I44" s="12"/>
      <c r="J44" s="61"/>
      <c r="K44" s="71"/>
      <c r="L44" s="62"/>
      <c r="M44" s="75"/>
      <c r="N44" s="73"/>
      <c r="O44" s="15"/>
    </row>
    <row r="45" spans="1:15" x14ac:dyDescent="0.25">
      <c r="A45" s="16"/>
      <c r="B45" s="49"/>
      <c r="C45" s="17" t="s">
        <v>374</v>
      </c>
      <c r="D45" s="13">
        <v>22562</v>
      </c>
      <c r="E45" s="70">
        <v>3000</v>
      </c>
      <c r="F45" s="14" t="s">
        <v>375</v>
      </c>
      <c r="G45" s="11">
        <v>22619</v>
      </c>
      <c r="H45" s="67">
        <v>600</v>
      </c>
      <c r="I45" s="12"/>
      <c r="J45" s="61"/>
      <c r="K45" s="71"/>
      <c r="L45" s="62"/>
      <c r="M45" s="75"/>
      <c r="N45" s="73"/>
      <c r="O45" s="15"/>
    </row>
    <row r="46" spans="1:15" x14ac:dyDescent="0.25">
      <c r="A46" s="16">
        <v>22491</v>
      </c>
      <c r="B46" s="49">
        <v>250</v>
      </c>
      <c r="C46" s="17" t="s">
        <v>316</v>
      </c>
      <c r="D46" s="13"/>
      <c r="E46" s="70"/>
      <c r="F46" s="14" t="s">
        <v>18</v>
      </c>
      <c r="G46" s="11">
        <v>22620</v>
      </c>
      <c r="H46" s="67">
        <v>100</v>
      </c>
      <c r="I46" s="12" t="s">
        <v>77</v>
      </c>
      <c r="J46" s="61"/>
      <c r="K46" s="71"/>
      <c r="L46" s="62"/>
      <c r="M46" s="75"/>
      <c r="N46" s="73"/>
      <c r="O46" s="15"/>
    </row>
    <row r="47" spans="1:15" x14ac:dyDescent="0.25">
      <c r="A47" s="16">
        <v>22492</v>
      </c>
      <c r="B47" s="49">
        <v>500</v>
      </c>
      <c r="C47" s="17"/>
      <c r="D47" s="13">
        <v>22563</v>
      </c>
      <c r="E47" s="70">
        <v>600</v>
      </c>
      <c r="F47" s="14" t="s">
        <v>303</v>
      </c>
      <c r="G47" s="11">
        <v>22621</v>
      </c>
      <c r="H47" s="67">
        <v>400</v>
      </c>
      <c r="I47" s="12"/>
      <c r="J47" s="61"/>
      <c r="K47" s="71"/>
      <c r="L47" s="62"/>
      <c r="M47" s="75"/>
      <c r="N47" s="73"/>
      <c r="O47" s="15"/>
    </row>
    <row r="48" spans="1:15" x14ac:dyDescent="0.25">
      <c r="A48" s="16">
        <v>22493</v>
      </c>
      <c r="B48" s="49">
        <v>500</v>
      </c>
      <c r="C48" s="17" t="s">
        <v>233</v>
      </c>
      <c r="D48" s="13"/>
      <c r="E48" s="70"/>
      <c r="F48" s="14" t="s">
        <v>29</v>
      </c>
      <c r="G48" s="11">
        <v>22622</v>
      </c>
      <c r="H48" s="67">
        <v>1000</v>
      </c>
      <c r="I48" s="12" t="s">
        <v>400</v>
      </c>
      <c r="J48" s="61"/>
      <c r="K48" s="71"/>
      <c r="L48" s="62"/>
      <c r="M48" s="75"/>
      <c r="N48" s="73"/>
      <c r="O48" s="15"/>
    </row>
    <row r="49" spans="1:15" x14ac:dyDescent="0.25">
      <c r="A49" s="16">
        <v>22494</v>
      </c>
      <c r="B49" s="49">
        <v>500</v>
      </c>
      <c r="C49" s="17"/>
      <c r="D49" s="13">
        <v>22564</v>
      </c>
      <c r="E49" s="70">
        <v>250</v>
      </c>
      <c r="F49" s="14"/>
      <c r="G49" s="11"/>
      <c r="H49" s="67"/>
      <c r="I49" s="12" t="s">
        <v>18</v>
      </c>
      <c r="J49" s="61"/>
      <c r="K49" s="71"/>
      <c r="L49" s="62"/>
      <c r="M49" s="75"/>
      <c r="N49" s="73"/>
      <c r="O49" s="15"/>
    </row>
    <row r="50" spans="1:15" x14ac:dyDescent="0.25">
      <c r="A50" s="16">
        <v>22495</v>
      </c>
      <c r="B50" s="49">
        <v>500</v>
      </c>
      <c r="C50" s="17"/>
      <c r="D50" s="13">
        <v>22565</v>
      </c>
      <c r="E50" s="70">
        <v>750</v>
      </c>
      <c r="F50" s="14" t="s">
        <v>393</v>
      </c>
      <c r="G50" s="11"/>
      <c r="H50" s="67"/>
      <c r="I50" s="12"/>
      <c r="J50" s="61"/>
      <c r="K50" s="71"/>
      <c r="L50" s="62"/>
      <c r="M50" s="75"/>
      <c r="N50" s="73"/>
      <c r="O50" s="15"/>
    </row>
    <row r="51" spans="1:15" x14ac:dyDescent="0.25">
      <c r="A51" s="16">
        <v>22496</v>
      </c>
      <c r="B51" s="49">
        <v>3850</v>
      </c>
      <c r="C51" s="17" t="s">
        <v>375</v>
      </c>
      <c r="D51" s="13">
        <v>22566</v>
      </c>
      <c r="E51" s="70">
        <v>1000</v>
      </c>
      <c r="F51" s="14" t="s">
        <v>303</v>
      </c>
      <c r="G51" s="11"/>
      <c r="H51" s="67"/>
      <c r="I51" s="12"/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 t="s">
        <v>376</v>
      </c>
      <c r="D52" s="13"/>
      <c r="E52" s="70"/>
      <c r="F52" s="14" t="s">
        <v>18</v>
      </c>
      <c r="G52" s="11"/>
      <c r="H52" s="67"/>
      <c r="I52" s="12"/>
      <c r="J52" s="61"/>
      <c r="K52" s="71"/>
      <c r="L52" s="68"/>
      <c r="M52" s="75"/>
      <c r="N52" s="73"/>
      <c r="O52" s="15"/>
    </row>
    <row r="53" spans="1:15" x14ac:dyDescent="0.25">
      <c r="A53" s="16"/>
      <c r="B53" s="49"/>
      <c r="C53" s="17" t="s">
        <v>377</v>
      </c>
      <c r="D53" s="13">
        <v>22567</v>
      </c>
      <c r="E53" s="70">
        <v>1000</v>
      </c>
      <c r="F53" s="14" t="s">
        <v>388</v>
      </c>
      <c r="G53" s="11"/>
      <c r="H53" s="67"/>
      <c r="I53" s="12"/>
      <c r="J53" s="61"/>
      <c r="K53" s="71"/>
      <c r="L53" s="62"/>
      <c r="M53" s="75"/>
      <c r="N53" s="73"/>
      <c r="O53" s="15"/>
    </row>
    <row r="54" spans="1:15" x14ac:dyDescent="0.25">
      <c r="A54" s="16">
        <v>22497</v>
      </c>
      <c r="B54" s="49">
        <v>500</v>
      </c>
      <c r="C54" s="17"/>
      <c r="D54" s="13"/>
      <c r="E54" s="70"/>
      <c r="F54" s="14" t="s">
        <v>18</v>
      </c>
      <c r="G54" s="11"/>
      <c r="H54" s="67"/>
      <c r="I54" s="12"/>
      <c r="J54" s="61"/>
      <c r="K54" s="71"/>
      <c r="L54" s="62"/>
      <c r="M54" s="75"/>
      <c r="N54" s="73"/>
      <c r="O54" s="15"/>
    </row>
    <row r="55" spans="1:15" x14ac:dyDescent="0.25">
      <c r="A55" s="16">
        <v>22498</v>
      </c>
      <c r="B55" s="49">
        <v>500</v>
      </c>
      <c r="C55" s="17" t="s">
        <v>378</v>
      </c>
      <c r="D55" s="13">
        <v>22568</v>
      </c>
      <c r="E55" s="70">
        <v>1500</v>
      </c>
      <c r="F55" s="14" t="s">
        <v>356</v>
      </c>
      <c r="G55" s="11"/>
      <c r="H55" s="67"/>
      <c r="I55" s="12"/>
      <c r="J55" s="61"/>
      <c r="K55" s="71"/>
      <c r="L55" s="62"/>
      <c r="M55" s="75"/>
      <c r="N55" s="73"/>
      <c r="O55" s="15"/>
    </row>
    <row r="56" spans="1:15" x14ac:dyDescent="0.25">
      <c r="A56" s="16">
        <v>22499</v>
      </c>
      <c r="B56" s="49"/>
      <c r="C56" s="17" t="s">
        <v>54</v>
      </c>
      <c r="D56" s="13"/>
      <c r="E56" s="70"/>
      <c r="F56" s="14" t="s">
        <v>18</v>
      </c>
      <c r="G56" s="11"/>
      <c r="H56" s="67"/>
      <c r="I56" s="12"/>
      <c r="J56" s="61"/>
      <c r="K56" s="71"/>
      <c r="L56" s="62"/>
      <c r="M56" s="75"/>
      <c r="N56" s="73"/>
      <c r="O56" s="15"/>
    </row>
    <row r="57" spans="1:15" x14ac:dyDescent="0.25">
      <c r="A57" s="16">
        <v>22500</v>
      </c>
      <c r="B57" s="49">
        <v>500</v>
      </c>
      <c r="C57" s="17"/>
      <c r="D57" s="13">
        <v>22569</v>
      </c>
      <c r="E57" s="70">
        <v>250</v>
      </c>
      <c r="F57" s="14" t="s">
        <v>394</v>
      </c>
      <c r="G57" s="11"/>
      <c r="H57" s="67"/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22501</v>
      </c>
      <c r="B58" s="49">
        <v>250</v>
      </c>
      <c r="C58" s="17"/>
      <c r="D58" s="13">
        <v>22570</v>
      </c>
      <c r="E58" s="70">
        <v>400</v>
      </c>
      <c r="F58" s="14" t="s">
        <v>316</v>
      </c>
      <c r="G58" s="11"/>
      <c r="H58" s="67"/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22502</v>
      </c>
      <c r="B59" s="49">
        <v>500</v>
      </c>
      <c r="C59" s="17"/>
      <c r="D59" s="13">
        <v>22571</v>
      </c>
      <c r="E59" s="70">
        <v>500</v>
      </c>
      <c r="F59" s="14"/>
      <c r="G59" s="11"/>
      <c r="H59" s="67"/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22503</v>
      </c>
      <c r="B60" s="49"/>
      <c r="C60" s="17" t="s">
        <v>54</v>
      </c>
      <c r="D60" s="13">
        <v>22572</v>
      </c>
      <c r="E60" s="70">
        <v>200</v>
      </c>
      <c r="F60" s="14"/>
      <c r="G60" s="11"/>
      <c r="H60" s="67"/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22504</v>
      </c>
      <c r="B61" s="49">
        <v>350</v>
      </c>
      <c r="C61" s="17"/>
      <c r="D61" s="13">
        <v>22573</v>
      </c>
      <c r="E61" s="70">
        <v>500</v>
      </c>
      <c r="F61" s="14"/>
      <c r="G61" s="11"/>
      <c r="H61" s="67"/>
      <c r="I61" s="12"/>
      <c r="J61" s="61"/>
      <c r="K61" s="71"/>
      <c r="L61" s="62"/>
      <c r="M61" s="75"/>
      <c r="N61" s="73"/>
      <c r="O61" s="15"/>
    </row>
    <row r="62" spans="1:15" x14ac:dyDescent="0.25">
      <c r="A62" s="16">
        <v>22505</v>
      </c>
      <c r="B62" s="49">
        <v>500</v>
      </c>
      <c r="C62" s="17"/>
      <c r="D62" s="13">
        <v>22574</v>
      </c>
      <c r="E62" s="70">
        <v>3500</v>
      </c>
      <c r="F62" s="14" t="s">
        <v>395</v>
      </c>
      <c r="G62" s="11"/>
      <c r="H62" s="67"/>
      <c r="I62" s="12"/>
      <c r="J62" s="61"/>
      <c r="K62" s="71"/>
      <c r="L62" s="62"/>
      <c r="M62" s="75"/>
      <c r="N62" s="73"/>
      <c r="O62" s="15"/>
    </row>
    <row r="63" spans="1:15" x14ac:dyDescent="0.25">
      <c r="A63" s="16">
        <v>22506</v>
      </c>
      <c r="B63" s="49">
        <v>500</v>
      </c>
      <c r="C63" s="17" t="s">
        <v>379</v>
      </c>
      <c r="D63" s="13"/>
      <c r="E63" s="70"/>
      <c r="F63" s="14" t="s">
        <v>18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22507</v>
      </c>
      <c r="B64" s="49">
        <v>500</v>
      </c>
      <c r="C64" s="17" t="s">
        <v>303</v>
      </c>
      <c r="D64" s="13">
        <v>22575</v>
      </c>
      <c r="E64" s="70">
        <v>500</v>
      </c>
      <c r="F64" s="14"/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22</v>
      </c>
      <c r="D65" s="13">
        <v>22576</v>
      </c>
      <c r="E65" s="70">
        <v>300</v>
      </c>
      <c r="F65" s="14"/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22508</v>
      </c>
      <c r="B66" s="49">
        <v>450</v>
      </c>
      <c r="C66" s="17"/>
      <c r="D66" s="13">
        <v>22577</v>
      </c>
      <c r="E66" s="70">
        <v>400</v>
      </c>
      <c r="F66" s="14"/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22509</v>
      </c>
      <c r="B67" s="49">
        <v>800</v>
      </c>
      <c r="C67" s="17"/>
      <c r="D67" s="13">
        <v>22578</v>
      </c>
      <c r="E67" s="70">
        <v>500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22510</v>
      </c>
      <c r="B68" s="49">
        <v>250</v>
      </c>
      <c r="C68" s="17"/>
      <c r="D68" s="13">
        <v>22579</v>
      </c>
      <c r="E68" s="70">
        <v>500</v>
      </c>
      <c r="F68" s="14"/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22511</v>
      </c>
      <c r="B69" s="49">
        <v>400</v>
      </c>
      <c r="C69" s="17" t="s">
        <v>316</v>
      </c>
      <c r="D69" s="13">
        <v>22580</v>
      </c>
      <c r="E69" s="70">
        <v>400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22512</v>
      </c>
      <c r="B70" s="49">
        <v>600</v>
      </c>
      <c r="C70" s="17" t="s">
        <v>248</v>
      </c>
      <c r="D70" s="13">
        <v>22581</v>
      </c>
      <c r="E70" s="70">
        <v>550</v>
      </c>
      <c r="F70" s="14" t="s">
        <v>396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/>
      <c r="B71" s="49"/>
      <c r="C71" s="17" t="s">
        <v>372</v>
      </c>
      <c r="D71" s="13">
        <v>22582</v>
      </c>
      <c r="E71" s="70">
        <v>400</v>
      </c>
      <c r="F71" s="14" t="s">
        <v>316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>
        <v>22513</v>
      </c>
      <c r="B72" s="49">
        <v>400</v>
      </c>
      <c r="C72" s="17"/>
      <c r="D72" s="13">
        <v>22583</v>
      </c>
      <c r="E72" s="70">
        <v>500</v>
      </c>
      <c r="F72" s="14"/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22514</v>
      </c>
      <c r="B73" s="49">
        <v>500</v>
      </c>
      <c r="C73" s="17"/>
      <c r="D73" s="13">
        <v>22584</v>
      </c>
      <c r="E73" s="70">
        <v>800</v>
      </c>
      <c r="F73" s="14" t="s">
        <v>398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22515</v>
      </c>
      <c r="B74" s="49">
        <v>500</v>
      </c>
      <c r="C74" s="17"/>
      <c r="D74" s="13"/>
      <c r="E74" s="70"/>
      <c r="F74" s="14" t="s">
        <v>397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22516</v>
      </c>
      <c r="B75" s="49">
        <v>1100</v>
      </c>
      <c r="C75" s="17" t="s">
        <v>380</v>
      </c>
      <c r="D75" s="13">
        <v>22585</v>
      </c>
      <c r="E75" s="70">
        <v>500.29</v>
      </c>
      <c r="F75" s="14" t="s">
        <v>278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/>
      <c r="B76" s="49"/>
      <c r="C76" s="17" t="s">
        <v>381</v>
      </c>
      <c r="D76" s="13">
        <v>22586</v>
      </c>
      <c r="E76" s="70">
        <v>2000</v>
      </c>
      <c r="F76" s="14" t="s">
        <v>399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22517</v>
      </c>
      <c r="B77" s="49">
        <v>500</v>
      </c>
      <c r="C77" s="17" t="s">
        <v>316</v>
      </c>
      <c r="D77" s="13"/>
      <c r="E77" s="70"/>
      <c r="F77" s="14" t="s">
        <v>18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22518</v>
      </c>
      <c r="B78" s="49">
        <v>300</v>
      </c>
      <c r="C78" s="17"/>
      <c r="D78" s="13">
        <v>22587</v>
      </c>
      <c r="E78" s="70">
        <v>50</v>
      </c>
      <c r="F78" s="14" t="s">
        <v>71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22519</v>
      </c>
      <c r="B79" s="49">
        <v>500</v>
      </c>
      <c r="C79" s="17"/>
      <c r="D79" s="13">
        <v>22588</v>
      </c>
      <c r="E79" s="70">
        <v>500.8</v>
      </c>
      <c r="F79" s="14" t="s">
        <v>278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22520</v>
      </c>
      <c r="B80" s="49">
        <v>250</v>
      </c>
      <c r="C80" s="17" t="s">
        <v>382</v>
      </c>
      <c r="D80" s="13">
        <v>22589</v>
      </c>
      <c r="E80" s="70">
        <v>500.5</v>
      </c>
      <c r="F80" s="14" t="s">
        <v>400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22521</v>
      </c>
      <c r="B81" s="49">
        <v>1000</v>
      </c>
      <c r="C81" s="17" t="s">
        <v>346</v>
      </c>
      <c r="D81" s="13"/>
      <c r="E81" s="70"/>
      <c r="F81" s="14" t="s">
        <v>22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 t="s">
        <v>18</v>
      </c>
      <c r="D82" s="13">
        <v>22590</v>
      </c>
      <c r="E82" s="70">
        <v>550</v>
      </c>
      <c r="F82" s="14" t="s">
        <v>396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22522</v>
      </c>
      <c r="B83" s="49">
        <v>1500</v>
      </c>
      <c r="C83" s="17" t="s">
        <v>356</v>
      </c>
      <c r="D83" s="13">
        <v>22591</v>
      </c>
      <c r="E83" s="70">
        <v>500</v>
      </c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 t="s">
        <v>18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22523</v>
      </c>
      <c r="B85" s="49">
        <v>400</v>
      </c>
      <c r="C85" s="17" t="s">
        <v>316</v>
      </c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22524</v>
      </c>
      <c r="B86" s="49">
        <v>300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22525</v>
      </c>
      <c r="B87" s="49">
        <v>250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22526</v>
      </c>
      <c r="B88" s="49">
        <v>1000</v>
      </c>
      <c r="C88" s="17" t="s">
        <v>346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 t="s">
        <v>18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22527</v>
      </c>
      <c r="B90" s="49">
        <v>100</v>
      </c>
      <c r="C90" s="17" t="s">
        <v>77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22528</v>
      </c>
      <c r="B91" s="49">
        <v>250</v>
      </c>
      <c r="C91" s="17"/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22529</v>
      </c>
      <c r="B92" s="49">
        <v>550</v>
      </c>
      <c r="C92" s="17" t="s">
        <v>329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22530</v>
      </c>
      <c r="B93" s="49">
        <v>500</v>
      </c>
      <c r="C93" s="17"/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22531</v>
      </c>
      <c r="B94" s="49">
        <v>400</v>
      </c>
      <c r="C94" s="17" t="s">
        <v>268</v>
      </c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/>
      <c r="B95" s="49"/>
      <c r="C95" s="17" t="s">
        <v>374</v>
      </c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22532</v>
      </c>
      <c r="B96" s="49">
        <v>250.15</v>
      </c>
      <c r="C96" s="17" t="s">
        <v>316</v>
      </c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/>
      <c r="B97" s="49"/>
      <c r="C97" s="17" t="s">
        <v>370</v>
      </c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/>
      <c r="B98" s="49"/>
      <c r="C98" s="17"/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/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/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75"/>
      <c r="N115" s="73"/>
      <c r="O115" s="15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75"/>
      <c r="N116" s="73"/>
      <c r="O116" s="15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75"/>
      <c r="N117" s="73"/>
      <c r="O117" s="15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75"/>
      <c r="N118" s="73"/>
      <c r="O118" s="15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75"/>
      <c r="N119" s="73"/>
      <c r="O119" s="15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75"/>
      <c r="N120" s="73"/>
      <c r="O120" s="15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75"/>
      <c r="N121" s="73"/>
      <c r="O121" s="15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75"/>
      <c r="N122" s="73"/>
      <c r="O122" s="15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75"/>
      <c r="N123" s="73"/>
      <c r="O123" s="15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75"/>
      <c r="N124" s="73"/>
      <c r="O124" s="15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75"/>
      <c r="N125" s="73"/>
      <c r="O125" s="15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75"/>
      <c r="N126" s="73"/>
      <c r="O126" s="15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75"/>
      <c r="N127" s="73"/>
      <c r="O127" s="15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75"/>
      <c r="N128" s="73"/>
      <c r="O128" s="15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75"/>
      <c r="N129" s="73"/>
      <c r="O129" s="15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75"/>
      <c r="N130" s="73"/>
      <c r="O130" s="15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75"/>
      <c r="N131" s="73"/>
      <c r="O131" s="15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75"/>
      <c r="N132" s="73"/>
      <c r="O132" s="15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75"/>
      <c r="N133" s="73"/>
      <c r="O133" s="15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75"/>
      <c r="N134" s="73"/>
      <c r="O134" s="15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75"/>
      <c r="N135" s="73"/>
      <c r="O135" s="15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75"/>
      <c r="N136" s="73"/>
      <c r="O136" s="15"/>
    </row>
    <row r="137" spans="1:15" x14ac:dyDescent="0.25">
      <c r="A137" s="26"/>
      <c r="B137" s="58"/>
      <c r="C137" s="58"/>
      <c r="D137" s="26"/>
      <c r="E137" s="58"/>
      <c r="F137" s="58"/>
      <c r="G137" s="26"/>
      <c r="H137" s="58"/>
      <c r="I137" s="58"/>
      <c r="J137" s="58"/>
      <c r="K137" s="58"/>
      <c r="L137" s="58"/>
    </row>
    <row r="138" spans="1:15" x14ac:dyDescent="0.25">
      <c r="A138" s="26"/>
      <c r="B138" s="58"/>
      <c r="C138" s="58"/>
      <c r="D138" s="26"/>
      <c r="E138" s="58"/>
      <c r="F138" s="58"/>
      <c r="G138" s="26"/>
      <c r="H138" s="58"/>
      <c r="I138" s="58"/>
      <c r="J138" s="58"/>
      <c r="K138" s="58"/>
      <c r="L138" s="58"/>
    </row>
    <row r="139" spans="1:15" x14ac:dyDescent="0.25">
      <c r="A139" s="26"/>
      <c r="B139" s="58"/>
      <c r="C139" s="58"/>
      <c r="D139" s="26"/>
      <c r="E139" s="58"/>
      <c r="F139" s="58"/>
      <c r="G139" s="26"/>
      <c r="H139" s="58"/>
      <c r="I139" s="58"/>
      <c r="J139" s="58"/>
      <c r="K139" s="58"/>
      <c r="L139" s="58"/>
    </row>
    <row r="140" spans="1:15" x14ac:dyDescent="0.25">
      <c r="A140" s="26"/>
      <c r="B140" s="58"/>
      <c r="C140" s="58"/>
      <c r="D140" s="26"/>
      <c r="E140" s="58"/>
      <c r="F140" s="58"/>
      <c r="G140" s="26"/>
      <c r="H140" s="58"/>
      <c r="I140" s="58"/>
      <c r="J140" s="58"/>
      <c r="K140" s="58"/>
      <c r="L140" s="58"/>
    </row>
    <row r="141" spans="1:15" x14ac:dyDescent="0.25">
      <c r="A141" s="26"/>
      <c r="B141" s="58"/>
      <c r="C141" s="58"/>
      <c r="D141" s="26"/>
      <c r="E141" s="58"/>
      <c r="F141" s="58"/>
      <c r="G141" s="26"/>
      <c r="H141" s="58"/>
      <c r="I141" s="58"/>
      <c r="J141" s="58"/>
      <c r="K141" s="58"/>
      <c r="L141" s="58"/>
    </row>
    <row r="142" spans="1:15" x14ac:dyDescent="0.25">
      <c r="A142" s="26"/>
      <c r="B142" s="58"/>
      <c r="C142" s="58"/>
      <c r="D142" s="26"/>
      <c r="E142" s="58"/>
      <c r="F142" s="58"/>
      <c r="G142" s="26"/>
      <c r="H142" s="58"/>
      <c r="I142" s="58"/>
      <c r="J142" s="58"/>
      <c r="K142" s="58"/>
      <c r="L142" s="58"/>
    </row>
    <row r="143" spans="1:15" x14ac:dyDescent="0.25">
      <c r="A143" s="26"/>
      <c r="B143" s="58"/>
      <c r="C143" s="58"/>
      <c r="D143" s="26"/>
      <c r="E143" s="58"/>
      <c r="F143" s="58"/>
      <c r="G143" s="26"/>
      <c r="H143" s="58"/>
      <c r="I143" s="58"/>
      <c r="J143" s="58"/>
      <c r="K143" s="58"/>
      <c r="L143" s="58"/>
    </row>
    <row r="144" spans="1:15" x14ac:dyDescent="0.25">
      <c r="A144" s="26"/>
      <c r="B144" s="58"/>
      <c r="C144" s="58"/>
      <c r="D144" s="26"/>
      <c r="E144" s="58"/>
      <c r="F144" s="58"/>
      <c r="G144" s="26"/>
      <c r="H144" s="58"/>
      <c r="I144" s="58"/>
      <c r="J144" s="58"/>
      <c r="K144" s="58"/>
      <c r="L144" s="58"/>
    </row>
    <row r="145" spans="1:12" x14ac:dyDescent="0.25">
      <c r="A145" s="26"/>
      <c r="B145" s="58"/>
      <c r="C145" s="58"/>
      <c r="D145" s="26"/>
      <c r="E145" s="58"/>
      <c r="F145" s="58"/>
      <c r="G145" s="26"/>
      <c r="H145" s="58"/>
      <c r="I145" s="58"/>
      <c r="J145" s="58"/>
      <c r="K145" s="58"/>
      <c r="L145" s="58"/>
    </row>
    <row r="146" spans="1:12" x14ac:dyDescent="0.25">
      <c r="A146" s="26"/>
      <c r="B146" s="58"/>
      <c r="C146" s="58"/>
      <c r="D146" s="26"/>
      <c r="E146" s="58"/>
      <c r="F146" s="58"/>
      <c r="G146" s="26"/>
      <c r="H146" s="58"/>
      <c r="I146" s="58"/>
      <c r="J146" s="58"/>
      <c r="K146" s="58"/>
      <c r="L146" s="58"/>
    </row>
    <row r="147" spans="1:12" x14ac:dyDescent="0.25">
      <c r="A147" s="26"/>
      <c r="B147" s="58"/>
      <c r="C147" s="58"/>
      <c r="D147" s="26"/>
      <c r="E147" s="58"/>
      <c r="F147" s="58"/>
      <c r="G147" s="26"/>
      <c r="H147" s="58"/>
      <c r="I147" s="58"/>
      <c r="J147" s="58"/>
      <c r="K147" s="58"/>
      <c r="L147" s="58"/>
    </row>
    <row r="148" spans="1:12" x14ac:dyDescent="0.25">
      <c r="A148" s="26"/>
      <c r="B148" s="58"/>
      <c r="C148" s="58"/>
      <c r="D148" s="26"/>
      <c r="E148" s="58"/>
      <c r="F148" s="58"/>
      <c r="G148" s="26"/>
      <c r="H148" s="58"/>
      <c r="I148" s="58"/>
      <c r="J148" s="58"/>
      <c r="K148" s="58"/>
      <c r="L148" s="58"/>
    </row>
    <row r="149" spans="1:12" x14ac:dyDescent="0.25">
      <c r="A149" s="26"/>
      <c r="B149" s="58"/>
      <c r="C149" s="58"/>
      <c r="D149" s="26"/>
      <c r="E149" s="58"/>
      <c r="F149" s="58"/>
      <c r="G149" s="26"/>
      <c r="H149" s="58"/>
      <c r="I149" s="58"/>
      <c r="J149" s="58"/>
      <c r="K149" s="58"/>
      <c r="L149" s="58"/>
    </row>
    <row r="150" spans="1:12" x14ac:dyDescent="0.25">
      <c r="A150" s="26"/>
      <c r="B150" s="58"/>
      <c r="C150" s="58"/>
      <c r="D150" s="26"/>
      <c r="E150" s="58"/>
      <c r="F150" s="58"/>
      <c r="G150" s="26"/>
      <c r="H150" s="58"/>
      <c r="I150" s="58"/>
      <c r="J150" s="58"/>
      <c r="K150" s="58"/>
      <c r="L150" s="58"/>
    </row>
    <row r="151" spans="1:12" x14ac:dyDescent="0.25">
      <c r="A151" s="26"/>
      <c r="B151" s="58"/>
      <c r="C151" s="58"/>
      <c r="D151" s="26"/>
      <c r="E151" s="58"/>
      <c r="F151" s="58"/>
      <c r="G151" s="26"/>
      <c r="H151" s="58"/>
      <c r="I151" s="58"/>
      <c r="J151" s="58"/>
      <c r="K151" s="58"/>
      <c r="L151" s="58"/>
    </row>
    <row r="152" spans="1:12" x14ac:dyDescent="0.25">
      <c r="A152" s="26"/>
      <c r="B152" s="58"/>
      <c r="C152" s="58"/>
      <c r="D152" s="26"/>
      <c r="E152" s="58"/>
      <c r="F152" s="58"/>
      <c r="G152" s="26"/>
      <c r="H152" s="58"/>
      <c r="I152" s="58"/>
      <c r="J152" s="58"/>
      <c r="K152" s="58"/>
      <c r="L152" s="58"/>
    </row>
    <row r="153" spans="1:12" x14ac:dyDescent="0.25">
      <c r="A153" s="26"/>
      <c r="B153" s="58"/>
      <c r="C153" s="58"/>
      <c r="D153" s="26"/>
      <c r="E153" s="58"/>
      <c r="F153" s="58"/>
      <c r="G153" s="26"/>
      <c r="H153" s="58"/>
      <c r="I153" s="58"/>
      <c r="J153" s="58"/>
      <c r="K153" s="58"/>
      <c r="L153" s="58"/>
    </row>
    <row r="154" spans="1:12" x14ac:dyDescent="0.25">
      <c r="A154" s="26"/>
      <c r="B154" s="58"/>
      <c r="C154" s="58"/>
      <c r="D154" s="26"/>
      <c r="E154" s="58"/>
      <c r="F154" s="58"/>
      <c r="G154" s="26"/>
      <c r="H154" s="58"/>
      <c r="I154" s="58"/>
      <c r="J154" s="58"/>
      <c r="K154" s="58"/>
      <c r="L154" s="58"/>
    </row>
    <row r="155" spans="1:12" x14ac:dyDescent="0.25">
      <c r="A155" s="26"/>
      <c r="B155" s="58"/>
      <c r="C155" s="58"/>
      <c r="D155" s="26"/>
      <c r="E155" s="58"/>
      <c r="F155" s="58"/>
      <c r="G155" s="26"/>
      <c r="H155" s="58"/>
      <c r="I155" s="58"/>
      <c r="J155" s="58"/>
      <c r="K155" s="58"/>
      <c r="L155" s="58"/>
    </row>
    <row r="156" spans="1:12" x14ac:dyDescent="0.25">
      <c r="A156" s="26"/>
      <c r="B156" s="58"/>
      <c r="C156" s="58"/>
      <c r="D156" s="26"/>
      <c r="E156" s="58"/>
      <c r="F156" s="58"/>
      <c r="G156" s="26"/>
      <c r="H156" s="58"/>
      <c r="I156" s="58"/>
      <c r="J156" s="58"/>
      <c r="K156" s="58"/>
      <c r="L156" s="58"/>
    </row>
    <row r="157" spans="1:12" x14ac:dyDescent="0.25">
      <c r="A157" s="26"/>
      <c r="B157" s="58"/>
      <c r="C157" s="58"/>
      <c r="D157" s="26"/>
      <c r="E157" s="58"/>
      <c r="F157" s="58"/>
      <c r="G157" s="26"/>
      <c r="H157" s="58"/>
      <c r="I157" s="58"/>
      <c r="J157" s="58"/>
      <c r="K157" s="58"/>
      <c r="L157" s="58"/>
    </row>
    <row r="158" spans="1:12" x14ac:dyDescent="0.25">
      <c r="A158" s="26"/>
      <c r="B158" s="58"/>
      <c r="C158" s="58"/>
      <c r="D158" s="26"/>
      <c r="E158" s="58"/>
      <c r="F158" s="58"/>
      <c r="G158" s="26"/>
      <c r="H158" s="58"/>
      <c r="I158" s="58"/>
      <c r="J158" s="58"/>
      <c r="K158" s="58"/>
      <c r="L158" s="58"/>
    </row>
    <row r="159" spans="1:12" x14ac:dyDescent="0.25">
      <c r="A159" s="26"/>
      <c r="B159" s="58"/>
      <c r="C159" s="58"/>
      <c r="D159" s="26"/>
      <c r="E159" s="58"/>
      <c r="F159" s="58"/>
      <c r="G159" s="26"/>
      <c r="H159" s="58"/>
      <c r="I159" s="58"/>
      <c r="J159" s="58"/>
      <c r="K159" s="58"/>
      <c r="L159" s="58"/>
    </row>
    <row r="160" spans="1:12" x14ac:dyDescent="0.25">
      <c r="A160" s="26"/>
      <c r="B160" s="58"/>
      <c r="C160" s="58"/>
      <c r="D160" s="26"/>
      <c r="E160" s="58"/>
      <c r="F160" s="58"/>
      <c r="G160" s="26"/>
      <c r="H160" s="58"/>
      <c r="I160" s="58"/>
      <c r="J160" s="58"/>
      <c r="K160" s="58"/>
      <c r="L160" s="58"/>
    </row>
    <row r="161" spans="1:12" x14ac:dyDescent="0.25">
      <c r="A161" s="26"/>
      <c r="B161" s="58"/>
      <c r="C161" s="58"/>
      <c r="D161" s="26"/>
      <c r="E161" s="58"/>
      <c r="F161" s="58"/>
      <c r="G161" s="26"/>
      <c r="H161" s="58"/>
      <c r="I161" s="58"/>
      <c r="J161" s="58"/>
      <c r="K161" s="58"/>
      <c r="L161" s="58"/>
    </row>
    <row r="162" spans="1:12" x14ac:dyDescent="0.25">
      <c r="A162" s="26"/>
      <c r="B162" s="58"/>
      <c r="C162" s="58"/>
      <c r="D162" s="26"/>
      <c r="E162" s="58"/>
      <c r="F162" s="58"/>
      <c r="G162" s="26"/>
      <c r="H162" s="58"/>
      <c r="I162" s="58"/>
      <c r="J162" s="58"/>
      <c r="K162" s="58"/>
      <c r="L162" s="58"/>
    </row>
    <row r="163" spans="1:12" x14ac:dyDescent="0.25">
      <c r="A163" s="26"/>
      <c r="B163" s="58"/>
      <c r="C163" s="58"/>
      <c r="D163" s="26"/>
      <c r="E163" s="58"/>
      <c r="F163" s="58"/>
      <c r="G163" s="26"/>
      <c r="H163" s="58"/>
      <c r="I163" s="58"/>
      <c r="J163" s="58"/>
      <c r="K163" s="58"/>
      <c r="L163" s="58"/>
    </row>
    <row r="164" spans="1:12" x14ac:dyDescent="0.25">
      <c r="A164" s="26"/>
      <c r="B164" s="58"/>
      <c r="C164" s="58"/>
      <c r="D164" s="26"/>
      <c r="E164" s="58"/>
      <c r="F164" s="58"/>
      <c r="G164" s="26"/>
      <c r="H164" s="58"/>
      <c r="I164" s="58"/>
      <c r="J164" s="58"/>
      <c r="K164" s="58"/>
      <c r="L164" s="58"/>
    </row>
    <row r="165" spans="1:12" x14ac:dyDescent="0.25">
      <c r="A165" s="26"/>
      <c r="B165" s="58"/>
      <c r="C165" s="58"/>
      <c r="D165" s="26"/>
      <c r="E165" s="58"/>
      <c r="F165" s="58"/>
      <c r="G165" s="26"/>
      <c r="H165" s="58"/>
      <c r="I165" s="58"/>
      <c r="J165" s="58"/>
      <c r="K165" s="58"/>
      <c r="L165" s="58"/>
    </row>
    <row r="166" spans="1:12" x14ac:dyDescent="0.25">
      <c r="A166" s="26"/>
      <c r="B166" s="58"/>
      <c r="C166" s="58"/>
      <c r="D166" s="26"/>
      <c r="E166" s="58"/>
      <c r="F166" s="58"/>
      <c r="G166" s="26"/>
      <c r="H166" s="58"/>
      <c r="I166" s="58"/>
      <c r="J166" s="58"/>
      <c r="K166" s="58"/>
      <c r="L166" s="58"/>
    </row>
    <row r="167" spans="1:12" x14ac:dyDescent="0.25">
      <c r="A167" s="26"/>
      <c r="B167" s="58"/>
      <c r="C167" s="58"/>
      <c r="D167" s="26"/>
      <c r="E167" s="58"/>
      <c r="F167" s="58"/>
      <c r="G167" s="26"/>
      <c r="H167" s="58"/>
      <c r="I167" s="58"/>
      <c r="J167" s="58"/>
      <c r="K167" s="58"/>
      <c r="L167" s="58"/>
    </row>
    <row r="168" spans="1:12" x14ac:dyDescent="0.25">
      <c r="A168" s="26"/>
      <c r="B168" s="58"/>
      <c r="C168" s="58"/>
      <c r="D168" s="26"/>
      <c r="E168" s="58"/>
      <c r="F168" s="58"/>
      <c r="G168" s="26"/>
      <c r="H168" s="58"/>
      <c r="I168" s="58"/>
      <c r="J168" s="58"/>
      <c r="K168" s="58"/>
      <c r="L168" s="58"/>
    </row>
    <row r="169" spans="1:12" x14ac:dyDescent="0.25">
      <c r="A169" s="26"/>
      <c r="B169" s="58"/>
      <c r="C169" s="58"/>
      <c r="D169" s="26"/>
      <c r="E169" s="58"/>
      <c r="F169" s="58"/>
      <c r="G169" s="26"/>
      <c r="H169" s="58"/>
      <c r="I169" s="58"/>
      <c r="J169" s="58"/>
      <c r="K169" s="58"/>
      <c r="L169" s="58"/>
    </row>
    <row r="170" spans="1:12" x14ac:dyDescent="0.25">
      <c r="A170" s="26"/>
      <c r="B170" s="58"/>
      <c r="C170" s="58"/>
      <c r="D170" s="26"/>
      <c r="E170" s="58"/>
      <c r="F170" s="58"/>
      <c r="G170" s="26"/>
      <c r="H170" s="58"/>
      <c r="I170" s="58"/>
      <c r="J170" s="58"/>
      <c r="K170" s="58"/>
      <c r="L170" s="58"/>
    </row>
    <row r="171" spans="1:12" x14ac:dyDescent="0.25">
      <c r="A171" s="26"/>
      <c r="B171" s="58"/>
      <c r="C171" s="58"/>
      <c r="D171" s="26"/>
      <c r="E171" s="58"/>
      <c r="F171" s="58"/>
      <c r="G171" s="26"/>
      <c r="H171" s="58"/>
      <c r="I171" s="58"/>
      <c r="J171" s="58"/>
      <c r="K171" s="58"/>
      <c r="L171" s="58"/>
    </row>
    <row r="172" spans="1:12" x14ac:dyDescent="0.25">
      <c r="A172" s="26"/>
      <c r="B172" s="58"/>
      <c r="C172" s="58"/>
      <c r="D172" s="26"/>
      <c r="E172" s="58"/>
      <c r="F172" s="58"/>
      <c r="G172" s="26"/>
      <c r="H172" s="58"/>
      <c r="I172" s="58"/>
      <c r="J172" s="58"/>
      <c r="K172" s="58"/>
      <c r="L172" s="58"/>
    </row>
    <row r="173" spans="1:12" x14ac:dyDescent="0.25">
      <c r="A173" s="26"/>
      <c r="B173" s="58"/>
      <c r="C173" s="58"/>
      <c r="D173" s="26"/>
      <c r="E173" s="58"/>
      <c r="F173" s="58"/>
      <c r="G173" s="26"/>
      <c r="H173" s="58"/>
      <c r="I173" s="58"/>
      <c r="J173" s="58"/>
      <c r="K173" s="58"/>
      <c r="L173" s="58"/>
    </row>
    <row r="174" spans="1:12" x14ac:dyDescent="0.25">
      <c r="A174" s="26"/>
      <c r="B174" s="58"/>
      <c r="C174" s="58"/>
      <c r="D174" s="26"/>
      <c r="E174" s="58"/>
      <c r="F174" s="58"/>
      <c r="G174" s="26"/>
      <c r="H174" s="58"/>
      <c r="I174" s="58"/>
      <c r="J174" s="58"/>
      <c r="K174" s="58"/>
      <c r="L174" s="58"/>
    </row>
    <row r="175" spans="1:12" x14ac:dyDescent="0.25">
      <c r="A175" s="26"/>
      <c r="B175" s="58"/>
      <c r="C175" s="58"/>
      <c r="D175" s="26"/>
      <c r="E175" s="58"/>
      <c r="F175" s="58"/>
      <c r="G175" s="26"/>
      <c r="H175" s="58"/>
      <c r="I175" s="58"/>
      <c r="J175" s="58"/>
      <c r="K175" s="58"/>
      <c r="L175" s="58"/>
    </row>
    <row r="176" spans="1:12" x14ac:dyDescent="0.25">
      <c r="A176" s="26"/>
      <c r="B176" s="58"/>
      <c r="C176" s="58"/>
      <c r="D176" s="26"/>
      <c r="E176" s="58"/>
      <c r="F176" s="58"/>
      <c r="G176" s="26"/>
      <c r="H176" s="58"/>
      <c r="I176" s="58"/>
      <c r="J176" s="58"/>
      <c r="K176" s="58"/>
      <c r="L176" s="58"/>
    </row>
    <row r="177" spans="1:15" x14ac:dyDescent="0.25">
      <c r="A177" s="26"/>
      <c r="B177" s="58"/>
      <c r="C177" s="58"/>
      <c r="D177" s="26"/>
      <c r="E177" s="58"/>
      <c r="F177" s="58"/>
      <c r="G177" s="26"/>
      <c r="H177" s="58"/>
      <c r="I177" s="58"/>
      <c r="J177" s="58"/>
      <c r="K177" s="58"/>
      <c r="L177" s="58"/>
    </row>
    <row r="178" spans="1:15" x14ac:dyDescent="0.25">
      <c r="A178" s="26"/>
      <c r="B178" s="58"/>
      <c r="C178" s="58"/>
      <c r="D178" s="26"/>
      <c r="E178" s="58"/>
      <c r="F178" s="58"/>
      <c r="G178" s="26"/>
      <c r="H178" s="58"/>
      <c r="I178" s="58"/>
      <c r="J178" s="58"/>
      <c r="K178" s="58"/>
      <c r="L178" s="58"/>
    </row>
    <row r="179" spans="1:15" x14ac:dyDescent="0.25">
      <c r="A179" s="26"/>
      <c r="B179" s="58"/>
      <c r="C179" s="58"/>
      <c r="D179" s="26"/>
      <c r="E179" s="58"/>
      <c r="F179" s="58"/>
      <c r="G179" s="26"/>
      <c r="H179" s="58"/>
      <c r="I179" s="58"/>
      <c r="J179" s="58"/>
      <c r="K179" s="58"/>
      <c r="L179" s="58"/>
    </row>
    <row r="180" spans="1:15" x14ac:dyDescent="0.25">
      <c r="A180" s="26"/>
      <c r="B180" s="58"/>
      <c r="C180" s="58"/>
      <c r="D180" s="26"/>
      <c r="E180" s="58"/>
      <c r="F180" s="58"/>
      <c r="G180" s="26"/>
      <c r="H180" s="58"/>
      <c r="I180" s="58"/>
      <c r="J180" s="58"/>
      <c r="K180" s="58"/>
      <c r="L180" s="58"/>
    </row>
    <row r="181" spans="1:15" x14ac:dyDescent="0.25">
      <c r="A181" s="26"/>
      <c r="B181" s="58"/>
      <c r="C181" s="58"/>
      <c r="D181" s="26"/>
      <c r="E181" s="58"/>
      <c r="F181" s="58"/>
      <c r="G181" s="26"/>
      <c r="H181" s="58"/>
      <c r="I181" s="58"/>
      <c r="J181" s="58"/>
      <c r="K181" s="58"/>
      <c r="L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workbookViewId="0">
      <pane ySplit="3" topLeftCell="A44" activePane="bottomLeft" state="frozen"/>
      <selection activeCell="A5" sqref="A5"/>
      <selection pane="bottomLeft" activeCell="A44" sqref="A44"/>
    </sheetView>
  </sheetViews>
  <sheetFormatPr baseColWidth="10" defaultRowHeight="15" x14ac:dyDescent="0.25"/>
  <cols>
    <col min="1" max="1" width="7.7109375" style="6" customWidth="1"/>
    <col min="2" max="2" width="9.7109375" style="6" customWidth="1"/>
    <col min="3" max="3" width="23.7109375" customWidth="1"/>
    <col min="4" max="4" width="7.85546875" style="6" customWidth="1"/>
    <col min="5" max="5" width="9.85546875" customWidth="1"/>
    <col min="6" max="6" width="24.5703125" customWidth="1"/>
    <col min="7" max="7" width="7.7109375" style="6" customWidth="1"/>
    <col min="8" max="8" width="10" customWidth="1"/>
    <col min="9" max="9" width="23.7109375" customWidth="1"/>
    <col min="10" max="10" width="7.7109375" style="6" customWidth="1"/>
    <col min="11" max="11" width="10" customWidth="1"/>
    <col min="12" max="12" width="23.7109375" customWidth="1"/>
    <col min="13" max="13" width="7.7109375" customWidth="1"/>
    <col min="14" max="14" width="10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SUBTOTAL(3,A9:A122)</f>
        <v>78</v>
      </c>
      <c r="B6" s="127">
        <f>SUBTOTAL(9,B8:B122)</f>
        <v>43051.87</v>
      </c>
      <c r="C6" s="35">
        <v>44045</v>
      </c>
      <c r="D6" s="8">
        <f>SUBTOTAL(3,D8:D120)</f>
        <v>75</v>
      </c>
      <c r="E6" s="127">
        <f>SUBTOTAL(9,E8:E122)</f>
        <v>44603.51</v>
      </c>
      <c r="F6" s="38">
        <v>44052</v>
      </c>
      <c r="G6" s="8">
        <f>SUBTOTAL(3,G8:G121)</f>
        <v>44</v>
      </c>
      <c r="H6" s="127">
        <f>SUBTOTAL(9,H8:H122)</f>
        <v>29550.880000000001</v>
      </c>
      <c r="I6" s="39">
        <v>44059</v>
      </c>
      <c r="J6" s="8">
        <f>SUBTOTAL(3,J8:J111)</f>
        <v>37</v>
      </c>
      <c r="K6" s="127">
        <f>SUBTOTAL(9,K8:K122)</f>
        <v>25550</v>
      </c>
      <c r="L6" s="63">
        <v>44066</v>
      </c>
      <c r="M6" s="1">
        <f>SUBTOTAL(3,M8:M120)</f>
        <v>34</v>
      </c>
      <c r="N6" s="127">
        <f>SUBTOTAL(9,N8:N122)</f>
        <v>18250.440000000002</v>
      </c>
      <c r="O6" s="81">
        <v>44073</v>
      </c>
      <c r="Q6" s="30">
        <f>+A6+D6+G6+J6+M6</f>
        <v>268</v>
      </c>
      <c r="R6" s="29">
        <f>+B6+E6+H6+K6+N6</f>
        <v>161006.70000000001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12">
        <v>22659</v>
      </c>
      <c r="B8" s="49">
        <v>1000</v>
      </c>
      <c r="C8" s="113" t="s">
        <v>409</v>
      </c>
      <c r="D8" s="13">
        <v>22738</v>
      </c>
      <c r="E8" s="70">
        <v>100</v>
      </c>
      <c r="F8" s="14" t="s">
        <v>77</v>
      </c>
      <c r="G8" s="11">
        <v>22813</v>
      </c>
      <c r="H8" s="67">
        <v>500</v>
      </c>
      <c r="I8" s="12" t="s">
        <v>346</v>
      </c>
      <c r="J8" s="61">
        <v>22857</v>
      </c>
      <c r="K8" s="71">
        <v>1000</v>
      </c>
      <c r="L8" s="62" t="s">
        <v>438</v>
      </c>
      <c r="M8" s="75">
        <v>22894</v>
      </c>
      <c r="N8" s="73">
        <v>1250.44</v>
      </c>
      <c r="O8" s="15" t="s">
        <v>447</v>
      </c>
      <c r="Q8" s="32"/>
      <c r="R8" s="32"/>
    </row>
    <row r="9" spans="1:18" x14ac:dyDescent="0.25">
      <c r="A9" s="16"/>
      <c r="B9" s="49"/>
      <c r="C9" s="17" t="s">
        <v>18</v>
      </c>
      <c r="D9" s="13">
        <v>22739</v>
      </c>
      <c r="E9" s="70">
        <v>500</v>
      </c>
      <c r="F9" s="14"/>
      <c r="G9" s="11"/>
      <c r="H9" s="67"/>
      <c r="I9" s="12" t="s">
        <v>22</v>
      </c>
      <c r="J9" s="61"/>
      <c r="K9" s="71"/>
      <c r="L9" s="62" t="s">
        <v>18</v>
      </c>
      <c r="M9" s="75"/>
      <c r="N9" s="73"/>
      <c r="O9" s="15" t="s">
        <v>448</v>
      </c>
    </row>
    <row r="10" spans="1:18" x14ac:dyDescent="0.25">
      <c r="A10" s="16">
        <v>22660</v>
      </c>
      <c r="B10" s="49">
        <v>250</v>
      </c>
      <c r="C10" s="17"/>
      <c r="D10" s="13">
        <v>22740</v>
      </c>
      <c r="E10" s="70">
        <v>250</v>
      </c>
      <c r="F10" s="14"/>
      <c r="G10" s="11">
        <v>22814</v>
      </c>
      <c r="H10" s="67">
        <v>500</v>
      </c>
      <c r="I10" s="12" t="s">
        <v>346</v>
      </c>
      <c r="J10" s="61">
        <v>22858</v>
      </c>
      <c r="K10" s="71">
        <v>1500</v>
      </c>
      <c r="L10" s="62" t="s">
        <v>434</v>
      </c>
      <c r="M10" s="75"/>
      <c r="N10" s="73"/>
      <c r="O10" s="15" t="s">
        <v>230</v>
      </c>
    </row>
    <row r="11" spans="1:18" x14ac:dyDescent="0.25">
      <c r="A11" s="16">
        <v>22661</v>
      </c>
      <c r="B11" s="49">
        <v>1000</v>
      </c>
      <c r="C11" s="17" t="s">
        <v>409</v>
      </c>
      <c r="D11" s="13">
        <v>22741</v>
      </c>
      <c r="E11" s="70">
        <v>600</v>
      </c>
      <c r="F11" s="14" t="s">
        <v>346</v>
      </c>
      <c r="G11" s="11"/>
      <c r="H11" s="67"/>
      <c r="I11" s="12" t="s">
        <v>22</v>
      </c>
      <c r="J11" s="61"/>
      <c r="K11" s="71"/>
      <c r="L11" s="62" t="s">
        <v>18</v>
      </c>
      <c r="M11" s="75">
        <v>22895</v>
      </c>
      <c r="N11" s="73">
        <v>500</v>
      </c>
      <c r="O11" s="15"/>
    </row>
    <row r="12" spans="1:18" x14ac:dyDescent="0.25">
      <c r="A12" s="16"/>
      <c r="B12" s="49"/>
      <c r="C12" s="17" t="s">
        <v>18</v>
      </c>
      <c r="D12" s="13"/>
      <c r="E12" s="70"/>
      <c r="F12" s="14" t="s">
        <v>29</v>
      </c>
      <c r="G12" s="11">
        <v>22815</v>
      </c>
      <c r="H12" s="67">
        <v>1500</v>
      </c>
      <c r="I12" s="12" t="s">
        <v>434</v>
      </c>
      <c r="J12" s="61">
        <v>22859</v>
      </c>
      <c r="K12" s="71">
        <v>800</v>
      </c>
      <c r="L12" s="62" t="s">
        <v>346</v>
      </c>
      <c r="M12" s="75">
        <v>22896</v>
      </c>
      <c r="N12" s="73">
        <v>800</v>
      </c>
      <c r="O12" s="15" t="s">
        <v>400</v>
      </c>
    </row>
    <row r="13" spans="1:18" x14ac:dyDescent="0.25">
      <c r="A13" s="16">
        <v>22662</v>
      </c>
      <c r="B13" s="49">
        <v>400</v>
      </c>
      <c r="C13" s="17"/>
      <c r="D13" s="13">
        <v>22742</v>
      </c>
      <c r="E13" s="70">
        <v>1000</v>
      </c>
      <c r="F13" s="14" t="s">
        <v>346</v>
      </c>
      <c r="G13" s="11"/>
      <c r="H13" s="67"/>
      <c r="I13" s="12" t="s">
        <v>18</v>
      </c>
      <c r="J13" s="61"/>
      <c r="K13" s="71"/>
      <c r="L13" s="62" t="s">
        <v>25</v>
      </c>
      <c r="M13" s="75"/>
      <c r="N13" s="73"/>
      <c r="O13" s="15" t="s">
        <v>449</v>
      </c>
    </row>
    <row r="14" spans="1:18" x14ac:dyDescent="0.25">
      <c r="A14" s="16">
        <v>22663</v>
      </c>
      <c r="B14" s="49">
        <v>500</v>
      </c>
      <c r="C14" s="17" t="s">
        <v>353</v>
      </c>
      <c r="D14" s="13"/>
      <c r="E14" s="70"/>
      <c r="F14" s="14" t="s">
        <v>18</v>
      </c>
      <c r="G14" s="11"/>
      <c r="H14" s="67"/>
      <c r="I14" s="12" t="s">
        <v>230</v>
      </c>
      <c r="J14" s="61">
        <v>22860</v>
      </c>
      <c r="K14" s="71">
        <v>300</v>
      </c>
      <c r="L14" s="62" t="s">
        <v>343</v>
      </c>
      <c r="M14" s="75">
        <v>22897</v>
      </c>
      <c r="N14" s="73">
        <v>200</v>
      </c>
      <c r="O14" s="31"/>
    </row>
    <row r="15" spans="1:18" x14ac:dyDescent="0.25">
      <c r="A15" s="16">
        <v>22664</v>
      </c>
      <c r="B15" s="49">
        <v>500</v>
      </c>
      <c r="C15" s="17"/>
      <c r="D15" s="13"/>
      <c r="E15" s="70"/>
      <c r="F15" s="14" t="s">
        <v>230</v>
      </c>
      <c r="G15" s="11">
        <v>22816</v>
      </c>
      <c r="H15" s="67">
        <v>4000.88</v>
      </c>
      <c r="I15" s="12" t="s">
        <v>435</v>
      </c>
      <c r="J15" s="61">
        <v>22861</v>
      </c>
      <c r="K15" s="71">
        <v>300</v>
      </c>
      <c r="L15" s="62" t="s">
        <v>343</v>
      </c>
      <c r="M15" s="75">
        <v>22898</v>
      </c>
      <c r="N15" s="73">
        <v>1500</v>
      </c>
      <c r="O15" s="15" t="s">
        <v>425</v>
      </c>
    </row>
    <row r="16" spans="1:18" x14ac:dyDescent="0.25">
      <c r="A16" s="16">
        <v>22665</v>
      </c>
      <c r="B16" s="49">
        <v>1500</v>
      </c>
      <c r="C16" s="17" t="s">
        <v>410</v>
      </c>
      <c r="D16" s="13">
        <v>22743</v>
      </c>
      <c r="E16" s="70">
        <v>600</v>
      </c>
      <c r="F16" s="14" t="s">
        <v>303</v>
      </c>
      <c r="G16" s="11"/>
      <c r="H16" s="67"/>
      <c r="I16" s="12" t="s">
        <v>18</v>
      </c>
      <c r="J16" s="61">
        <v>22862</v>
      </c>
      <c r="K16" s="71">
        <v>1000</v>
      </c>
      <c r="L16" s="62" t="s">
        <v>439</v>
      </c>
      <c r="M16" s="75"/>
      <c r="N16" s="73"/>
      <c r="O16" s="15" t="s">
        <v>18</v>
      </c>
    </row>
    <row r="17" spans="1:15" x14ac:dyDescent="0.25">
      <c r="A17" s="16"/>
      <c r="B17" s="49"/>
      <c r="C17" s="17" t="s">
        <v>18</v>
      </c>
      <c r="D17" s="13"/>
      <c r="E17" s="70"/>
      <c r="F17" s="14" t="s">
        <v>29</v>
      </c>
      <c r="G17" s="11"/>
      <c r="H17" s="67"/>
      <c r="I17" s="12" t="s">
        <v>230</v>
      </c>
      <c r="J17" s="61"/>
      <c r="K17" s="71"/>
      <c r="L17" s="62" t="s">
        <v>44</v>
      </c>
      <c r="M17" s="75">
        <v>22899</v>
      </c>
      <c r="N17" s="73">
        <v>500</v>
      </c>
      <c r="O17" s="15"/>
    </row>
    <row r="18" spans="1:15" x14ac:dyDescent="0.25">
      <c r="A18" s="16">
        <v>22666</v>
      </c>
      <c r="B18" s="49">
        <v>500</v>
      </c>
      <c r="C18" s="17"/>
      <c r="D18" s="13">
        <v>22744</v>
      </c>
      <c r="E18" s="70"/>
      <c r="F18" s="33" t="s">
        <v>54</v>
      </c>
      <c r="G18" s="11">
        <v>22817</v>
      </c>
      <c r="H18" s="67">
        <v>800</v>
      </c>
      <c r="I18" s="12" t="s">
        <v>346</v>
      </c>
      <c r="J18" s="61">
        <v>22863</v>
      </c>
      <c r="K18" s="71">
        <v>250</v>
      </c>
      <c r="L18" s="62"/>
      <c r="M18" s="75">
        <v>22900</v>
      </c>
      <c r="N18" s="73">
        <v>1000</v>
      </c>
      <c r="O18" s="15" t="s">
        <v>450</v>
      </c>
    </row>
    <row r="19" spans="1:15" x14ac:dyDescent="0.25">
      <c r="A19" s="16">
        <v>22667</v>
      </c>
      <c r="B19" s="49">
        <v>1000</v>
      </c>
      <c r="C19" s="17" t="s">
        <v>400</v>
      </c>
      <c r="D19" s="13">
        <v>22745</v>
      </c>
      <c r="E19" s="70">
        <v>500.59</v>
      </c>
      <c r="F19" s="14" t="s">
        <v>230</v>
      </c>
      <c r="G19" s="11"/>
      <c r="H19" s="67"/>
      <c r="I19" s="12" t="s">
        <v>25</v>
      </c>
      <c r="J19" s="61">
        <v>22864</v>
      </c>
      <c r="K19" s="71">
        <v>500</v>
      </c>
      <c r="L19" s="62"/>
      <c r="M19" s="75"/>
      <c r="N19" s="73"/>
      <c r="O19" s="15" t="s">
        <v>18</v>
      </c>
    </row>
    <row r="20" spans="1:15" x14ac:dyDescent="0.25">
      <c r="A20" s="16"/>
      <c r="B20" s="49"/>
      <c r="C20" s="17" t="s">
        <v>18</v>
      </c>
      <c r="D20" s="13">
        <v>22746</v>
      </c>
      <c r="E20" s="70">
        <v>500.95</v>
      </c>
      <c r="F20" s="14" t="s">
        <v>230</v>
      </c>
      <c r="G20" s="11">
        <v>22818</v>
      </c>
      <c r="H20" s="67">
        <v>500</v>
      </c>
      <c r="I20" s="12" t="s">
        <v>346</v>
      </c>
      <c r="J20" s="61">
        <v>22865</v>
      </c>
      <c r="K20" s="71">
        <v>800</v>
      </c>
      <c r="L20" s="62" t="s">
        <v>440</v>
      </c>
      <c r="M20" s="75">
        <v>22901</v>
      </c>
      <c r="N20" s="73">
        <v>400</v>
      </c>
      <c r="O20" s="15"/>
    </row>
    <row r="21" spans="1:15" x14ac:dyDescent="0.25">
      <c r="A21" s="16">
        <v>22668</v>
      </c>
      <c r="B21" s="49">
        <v>500</v>
      </c>
      <c r="C21" s="17" t="s">
        <v>411</v>
      </c>
      <c r="D21" s="13">
        <v>22747</v>
      </c>
      <c r="E21" s="70"/>
      <c r="F21" s="14" t="s">
        <v>54</v>
      </c>
      <c r="G21" s="11"/>
      <c r="H21" s="67"/>
      <c r="I21" s="12" t="s">
        <v>22</v>
      </c>
      <c r="J21" s="61"/>
      <c r="K21" s="71"/>
      <c r="L21" s="68" t="s">
        <v>441</v>
      </c>
      <c r="M21" s="75">
        <v>22902</v>
      </c>
      <c r="N21" s="73">
        <v>500</v>
      </c>
      <c r="O21" s="15" t="s">
        <v>400</v>
      </c>
    </row>
    <row r="22" spans="1:15" x14ac:dyDescent="0.25">
      <c r="A22" s="16">
        <v>22669</v>
      </c>
      <c r="B22" s="49">
        <v>300</v>
      </c>
      <c r="C22" s="17"/>
      <c r="D22" s="13">
        <v>22748</v>
      </c>
      <c r="E22" s="70">
        <v>700</v>
      </c>
      <c r="F22" s="14"/>
      <c r="G22" s="11"/>
      <c r="H22" s="67"/>
      <c r="I22" s="96" t="s">
        <v>230</v>
      </c>
      <c r="J22" s="61">
        <v>22866</v>
      </c>
      <c r="K22" s="71">
        <v>500</v>
      </c>
      <c r="L22" s="62"/>
      <c r="M22" s="75"/>
      <c r="N22" s="73"/>
      <c r="O22" s="15" t="s">
        <v>22</v>
      </c>
    </row>
    <row r="23" spans="1:15" x14ac:dyDescent="0.25">
      <c r="A23" s="16">
        <v>22670</v>
      </c>
      <c r="B23" s="49">
        <v>500</v>
      </c>
      <c r="C23" s="17"/>
      <c r="D23" s="13">
        <v>22749</v>
      </c>
      <c r="E23" s="70">
        <v>750</v>
      </c>
      <c r="F23" s="14" t="s">
        <v>334</v>
      </c>
      <c r="G23" s="11">
        <v>22819</v>
      </c>
      <c r="H23" s="67">
        <v>500</v>
      </c>
      <c r="I23" s="12" t="s">
        <v>343</v>
      </c>
      <c r="J23" s="61">
        <v>22867</v>
      </c>
      <c r="K23" s="71">
        <v>500</v>
      </c>
      <c r="L23" s="62" t="s">
        <v>379</v>
      </c>
      <c r="M23" s="75">
        <v>22903</v>
      </c>
      <c r="N23" s="73">
        <v>500</v>
      </c>
      <c r="O23" s="15"/>
    </row>
    <row r="24" spans="1:15" x14ac:dyDescent="0.25">
      <c r="A24" s="16">
        <v>22671</v>
      </c>
      <c r="B24" s="49">
        <v>500</v>
      </c>
      <c r="C24" s="17" t="s">
        <v>353</v>
      </c>
      <c r="D24" s="13"/>
      <c r="E24" s="70"/>
      <c r="F24" s="14" t="s">
        <v>22</v>
      </c>
      <c r="G24" s="11">
        <v>22820</v>
      </c>
      <c r="H24" s="67">
        <v>400</v>
      </c>
      <c r="I24" s="12"/>
      <c r="J24" s="61">
        <v>22868</v>
      </c>
      <c r="K24" s="71">
        <v>500</v>
      </c>
      <c r="L24" s="62" t="s">
        <v>419</v>
      </c>
      <c r="M24" s="75">
        <v>22904</v>
      </c>
      <c r="N24" s="73">
        <v>500</v>
      </c>
      <c r="O24" s="15"/>
    </row>
    <row r="25" spans="1:15" x14ac:dyDescent="0.25">
      <c r="A25" s="16">
        <v>22672</v>
      </c>
      <c r="B25" s="49">
        <v>500</v>
      </c>
      <c r="C25" s="17" t="s">
        <v>353</v>
      </c>
      <c r="D25" s="13">
        <v>22750</v>
      </c>
      <c r="E25" s="70">
        <v>250</v>
      </c>
      <c r="F25" s="14" t="s">
        <v>420</v>
      </c>
      <c r="G25" s="11">
        <v>22821</v>
      </c>
      <c r="H25" s="67">
        <v>500</v>
      </c>
      <c r="I25" s="12"/>
      <c r="J25" s="61"/>
      <c r="K25" s="71"/>
      <c r="L25" s="62" t="s">
        <v>22</v>
      </c>
      <c r="M25" s="75">
        <v>22905</v>
      </c>
      <c r="N25" s="73">
        <v>300</v>
      </c>
      <c r="O25" s="15"/>
    </row>
    <row r="26" spans="1:15" x14ac:dyDescent="0.25">
      <c r="A26" s="16">
        <v>22673</v>
      </c>
      <c r="B26" s="49">
        <v>800</v>
      </c>
      <c r="C26" s="17"/>
      <c r="D26" s="13">
        <v>22751</v>
      </c>
      <c r="E26" s="70">
        <v>250.15</v>
      </c>
      <c r="F26" s="14" t="s">
        <v>343</v>
      </c>
      <c r="G26" s="11">
        <v>22822</v>
      </c>
      <c r="H26" s="67">
        <v>1200</v>
      </c>
      <c r="I26" s="12" t="s">
        <v>434</v>
      </c>
      <c r="J26" s="61">
        <v>22869</v>
      </c>
      <c r="K26" s="71">
        <v>500</v>
      </c>
      <c r="L26" s="62" t="s">
        <v>442</v>
      </c>
      <c r="M26" s="75">
        <v>22906</v>
      </c>
      <c r="N26" s="73">
        <v>1000</v>
      </c>
      <c r="O26" s="15" t="s">
        <v>346</v>
      </c>
    </row>
    <row r="27" spans="1:15" x14ac:dyDescent="0.25">
      <c r="A27" s="16">
        <v>22674</v>
      </c>
      <c r="B27" s="49">
        <v>500</v>
      </c>
      <c r="C27" s="17"/>
      <c r="D27" s="13"/>
      <c r="E27" s="70"/>
      <c r="F27" s="69" t="s">
        <v>230</v>
      </c>
      <c r="G27" s="11"/>
      <c r="H27" s="67"/>
      <c r="I27" s="12" t="s">
        <v>25</v>
      </c>
      <c r="J27" s="61">
        <v>22870</v>
      </c>
      <c r="K27" s="71">
        <v>1500</v>
      </c>
      <c r="L27" s="62" t="s">
        <v>434</v>
      </c>
      <c r="M27" s="75"/>
      <c r="N27" s="73"/>
      <c r="O27" s="31" t="s">
        <v>433</v>
      </c>
    </row>
    <row r="28" spans="1:15" x14ac:dyDescent="0.25">
      <c r="A28" s="16">
        <v>22675</v>
      </c>
      <c r="B28" s="49">
        <v>500</v>
      </c>
      <c r="C28" s="17"/>
      <c r="D28" s="13">
        <v>22752</v>
      </c>
      <c r="E28" s="70">
        <v>500.2</v>
      </c>
      <c r="F28" s="14" t="s">
        <v>343</v>
      </c>
      <c r="G28" s="11">
        <v>22823</v>
      </c>
      <c r="H28" s="67">
        <v>500</v>
      </c>
      <c r="I28" s="96" t="s">
        <v>343</v>
      </c>
      <c r="J28" s="61"/>
      <c r="K28" s="71"/>
      <c r="L28" s="62" t="s">
        <v>18</v>
      </c>
      <c r="M28" s="75">
        <v>22907</v>
      </c>
      <c r="N28" s="73">
        <v>500</v>
      </c>
      <c r="O28" s="15"/>
    </row>
    <row r="29" spans="1:15" x14ac:dyDescent="0.25">
      <c r="A29" s="16">
        <v>22676</v>
      </c>
      <c r="B29" s="49"/>
      <c r="C29" s="17" t="s">
        <v>54</v>
      </c>
      <c r="D29" s="13"/>
      <c r="E29" s="70"/>
      <c r="F29" s="14" t="s">
        <v>230</v>
      </c>
      <c r="G29" s="11">
        <v>22824</v>
      </c>
      <c r="H29" s="67">
        <v>500</v>
      </c>
      <c r="I29" s="12"/>
      <c r="J29" s="61">
        <v>22871</v>
      </c>
      <c r="K29" s="71">
        <v>500</v>
      </c>
      <c r="L29" s="62"/>
      <c r="M29" s="75">
        <v>22908</v>
      </c>
      <c r="N29" s="73">
        <v>400</v>
      </c>
      <c r="O29" s="15" t="s">
        <v>400</v>
      </c>
    </row>
    <row r="30" spans="1:15" x14ac:dyDescent="0.25">
      <c r="A30" s="16">
        <v>22677</v>
      </c>
      <c r="B30" s="49">
        <v>1000</v>
      </c>
      <c r="C30" s="17" t="s">
        <v>400</v>
      </c>
      <c r="D30" s="13">
        <v>22753</v>
      </c>
      <c r="E30" s="70">
        <v>1000.76</v>
      </c>
      <c r="F30" s="14" t="s">
        <v>400</v>
      </c>
      <c r="G30" s="11">
        <v>22825</v>
      </c>
      <c r="H30" s="67">
        <v>500</v>
      </c>
      <c r="I30" s="12"/>
      <c r="J30" s="61">
        <v>22872</v>
      </c>
      <c r="K30" s="71">
        <v>500</v>
      </c>
      <c r="L30" s="62"/>
      <c r="M30" s="75"/>
      <c r="N30" s="73"/>
      <c r="O30" s="15" t="s">
        <v>44</v>
      </c>
    </row>
    <row r="31" spans="1:15" x14ac:dyDescent="0.25">
      <c r="A31" s="16"/>
      <c r="B31" s="49"/>
      <c r="C31" s="17" t="s">
        <v>18</v>
      </c>
      <c r="D31" s="13"/>
      <c r="E31" s="70"/>
      <c r="F31" s="14" t="s">
        <v>18</v>
      </c>
      <c r="G31" s="11">
        <v>22826</v>
      </c>
      <c r="H31" s="67">
        <v>250</v>
      </c>
      <c r="I31" s="12"/>
      <c r="J31" s="61">
        <v>22873</v>
      </c>
      <c r="K31" s="71">
        <v>500</v>
      </c>
      <c r="L31" s="62" t="s">
        <v>346</v>
      </c>
      <c r="M31" s="75">
        <v>22909</v>
      </c>
      <c r="N31" s="73">
        <v>500</v>
      </c>
      <c r="O31" s="15"/>
    </row>
    <row r="32" spans="1:15" x14ac:dyDescent="0.25">
      <c r="A32" s="16">
        <v>22678</v>
      </c>
      <c r="B32" s="49">
        <v>500</v>
      </c>
      <c r="C32" s="17"/>
      <c r="D32" s="13"/>
      <c r="E32" s="70"/>
      <c r="F32" s="14" t="s">
        <v>230</v>
      </c>
      <c r="G32" s="11">
        <v>22827</v>
      </c>
      <c r="H32" s="67"/>
      <c r="I32" s="12" t="s">
        <v>54</v>
      </c>
      <c r="J32" s="61"/>
      <c r="K32" s="71"/>
      <c r="L32" s="62" t="s">
        <v>22</v>
      </c>
      <c r="M32" s="75">
        <v>22910</v>
      </c>
      <c r="N32" s="73">
        <v>500</v>
      </c>
      <c r="O32" s="15"/>
    </row>
    <row r="33" spans="1:15" x14ac:dyDescent="0.25">
      <c r="A33" s="16">
        <v>22679</v>
      </c>
      <c r="B33" s="49">
        <v>400</v>
      </c>
      <c r="C33" s="17"/>
      <c r="D33" s="13">
        <v>22754</v>
      </c>
      <c r="E33" s="70">
        <v>400</v>
      </c>
      <c r="F33" s="14"/>
      <c r="G33" s="11">
        <v>22828</v>
      </c>
      <c r="H33" s="67">
        <v>500</v>
      </c>
      <c r="I33" s="12" t="s">
        <v>419</v>
      </c>
      <c r="J33" s="61">
        <v>22874</v>
      </c>
      <c r="K33" s="71">
        <v>500</v>
      </c>
      <c r="L33" s="62" t="s">
        <v>379</v>
      </c>
      <c r="M33" s="75">
        <v>22911</v>
      </c>
      <c r="N33" s="73">
        <v>500</v>
      </c>
      <c r="O33" s="15" t="s">
        <v>379</v>
      </c>
    </row>
    <row r="34" spans="1:15" x14ac:dyDescent="0.25">
      <c r="A34" s="16">
        <v>22680</v>
      </c>
      <c r="B34" s="49">
        <v>300</v>
      </c>
      <c r="C34" s="17" t="s">
        <v>310</v>
      </c>
      <c r="D34" s="13">
        <v>22755</v>
      </c>
      <c r="E34" s="70">
        <v>500</v>
      </c>
      <c r="F34" s="14" t="s">
        <v>343</v>
      </c>
      <c r="G34" s="11"/>
      <c r="H34" s="67"/>
      <c r="I34" s="12" t="s">
        <v>22</v>
      </c>
      <c r="J34" s="61">
        <v>22875</v>
      </c>
      <c r="K34" s="71">
        <v>100</v>
      </c>
      <c r="L34" s="62" t="s">
        <v>443</v>
      </c>
      <c r="M34" s="75">
        <v>22912</v>
      </c>
      <c r="N34" s="73">
        <v>250</v>
      </c>
      <c r="O34" s="31"/>
    </row>
    <row r="35" spans="1:15" x14ac:dyDescent="0.25">
      <c r="A35" s="16">
        <v>22681</v>
      </c>
      <c r="B35" s="49">
        <v>300</v>
      </c>
      <c r="C35" s="17" t="s">
        <v>412</v>
      </c>
      <c r="D35" s="13">
        <v>22756</v>
      </c>
      <c r="E35" s="70"/>
      <c r="F35" s="14" t="s">
        <v>54</v>
      </c>
      <c r="G35" s="11">
        <v>22829</v>
      </c>
      <c r="H35" s="67">
        <v>300</v>
      </c>
      <c r="I35" s="12"/>
      <c r="J35" s="61">
        <v>22876</v>
      </c>
      <c r="K35" s="71">
        <v>1000</v>
      </c>
      <c r="L35" s="62" t="s">
        <v>346</v>
      </c>
      <c r="M35" s="75">
        <v>22913</v>
      </c>
      <c r="N35" s="73">
        <v>500</v>
      </c>
      <c r="O35" s="15" t="s">
        <v>379</v>
      </c>
    </row>
    <row r="36" spans="1:15" x14ac:dyDescent="0.25">
      <c r="A36" s="16"/>
      <c r="B36" s="49"/>
      <c r="C36" s="17" t="s">
        <v>22</v>
      </c>
      <c r="D36" s="13">
        <v>22757</v>
      </c>
      <c r="E36" s="70">
        <v>500</v>
      </c>
      <c r="F36" s="14" t="s">
        <v>346</v>
      </c>
      <c r="G36" s="11">
        <v>22830</v>
      </c>
      <c r="H36" s="67">
        <v>500</v>
      </c>
      <c r="I36" s="12"/>
      <c r="J36" s="61"/>
      <c r="K36" s="71"/>
      <c r="L36" s="62" t="s">
        <v>18</v>
      </c>
      <c r="M36" s="75">
        <v>22914</v>
      </c>
      <c r="N36" s="73">
        <v>300</v>
      </c>
      <c r="O36" s="15" t="s">
        <v>451</v>
      </c>
    </row>
    <row r="37" spans="1:15" x14ac:dyDescent="0.25">
      <c r="A37" s="16">
        <v>22682</v>
      </c>
      <c r="B37" s="49">
        <v>500</v>
      </c>
      <c r="C37" s="17"/>
      <c r="D37" s="13"/>
      <c r="E37" s="70"/>
      <c r="F37" s="14" t="s">
        <v>22</v>
      </c>
      <c r="G37" s="11">
        <v>22831</v>
      </c>
      <c r="H37" s="67">
        <v>500</v>
      </c>
      <c r="I37" s="12"/>
      <c r="J37" s="61">
        <v>22877</v>
      </c>
      <c r="K37" s="71">
        <v>500</v>
      </c>
      <c r="L37" s="62"/>
      <c r="M37" s="75">
        <v>22915</v>
      </c>
      <c r="N37" s="73">
        <v>500</v>
      </c>
      <c r="O37" s="15"/>
    </row>
    <row r="38" spans="1:15" x14ac:dyDescent="0.25">
      <c r="A38" s="16">
        <v>22683</v>
      </c>
      <c r="B38" s="49">
        <v>500</v>
      </c>
      <c r="C38" s="17"/>
      <c r="D38" s="13">
        <v>22758</v>
      </c>
      <c r="E38" s="70">
        <v>200</v>
      </c>
      <c r="F38" s="14" t="s">
        <v>343</v>
      </c>
      <c r="G38" s="11">
        <v>22832</v>
      </c>
      <c r="H38" s="67">
        <v>1000</v>
      </c>
      <c r="I38" s="12" t="s">
        <v>346</v>
      </c>
      <c r="J38" s="61">
        <v>22878</v>
      </c>
      <c r="K38" s="71">
        <v>200</v>
      </c>
      <c r="L38" s="62" t="s">
        <v>444</v>
      </c>
      <c r="M38" s="75">
        <v>22916</v>
      </c>
      <c r="N38" s="73">
        <v>500</v>
      </c>
      <c r="O38" s="15"/>
    </row>
    <row r="39" spans="1:15" x14ac:dyDescent="0.25">
      <c r="A39" s="16">
        <v>22684</v>
      </c>
      <c r="B39" s="49">
        <v>1000</v>
      </c>
      <c r="C39" s="17" t="s">
        <v>413</v>
      </c>
      <c r="D39" s="13">
        <v>22759</v>
      </c>
      <c r="E39" s="70">
        <v>500</v>
      </c>
      <c r="F39" s="14" t="s">
        <v>343</v>
      </c>
      <c r="G39" s="11"/>
      <c r="H39" s="67"/>
      <c r="I39" s="12" t="s">
        <v>18</v>
      </c>
      <c r="J39" s="61">
        <v>22879</v>
      </c>
      <c r="K39" s="71">
        <v>1000</v>
      </c>
      <c r="L39" s="62" t="s">
        <v>346</v>
      </c>
      <c r="M39" s="75">
        <v>22917</v>
      </c>
      <c r="N39" s="73">
        <v>800</v>
      </c>
      <c r="O39" s="15" t="s">
        <v>452</v>
      </c>
    </row>
    <row r="40" spans="1:15" x14ac:dyDescent="0.25">
      <c r="A40" s="16"/>
      <c r="B40" s="49"/>
      <c r="C40" s="17" t="s">
        <v>18</v>
      </c>
      <c r="D40" s="13">
        <v>22760</v>
      </c>
      <c r="E40" s="70">
        <v>2500</v>
      </c>
      <c r="F40" s="14" t="s">
        <v>421</v>
      </c>
      <c r="G40" s="11">
        <v>22833</v>
      </c>
      <c r="H40" s="67">
        <v>400</v>
      </c>
      <c r="I40" s="12"/>
      <c r="J40" s="61"/>
      <c r="K40" s="71"/>
      <c r="L40" s="62" t="s">
        <v>18</v>
      </c>
      <c r="M40" s="75"/>
      <c r="N40" s="73"/>
      <c r="O40" s="15" t="s">
        <v>453</v>
      </c>
    </row>
    <row r="41" spans="1:15" x14ac:dyDescent="0.25">
      <c r="A41" s="16">
        <v>22685</v>
      </c>
      <c r="B41" s="49">
        <v>50</v>
      </c>
      <c r="C41" s="17" t="s">
        <v>51</v>
      </c>
      <c r="D41" s="13"/>
      <c r="E41" s="70"/>
      <c r="F41" s="14" t="s">
        <v>18</v>
      </c>
      <c r="G41" s="11">
        <v>22834</v>
      </c>
      <c r="H41" s="67">
        <v>450</v>
      </c>
      <c r="I41" s="12"/>
      <c r="J41" s="61">
        <v>22880</v>
      </c>
      <c r="K41" s="71">
        <v>1000</v>
      </c>
      <c r="L41" s="62" t="s">
        <v>346</v>
      </c>
      <c r="M41" s="75">
        <v>22918</v>
      </c>
      <c r="N41" s="73">
        <v>500</v>
      </c>
      <c r="O41" s="15" t="s">
        <v>379</v>
      </c>
    </row>
    <row r="42" spans="1:15" x14ac:dyDescent="0.25">
      <c r="A42" s="16">
        <v>22686</v>
      </c>
      <c r="B42" s="49">
        <v>600</v>
      </c>
      <c r="C42" s="17"/>
      <c r="D42" s="13">
        <v>22761</v>
      </c>
      <c r="E42" s="70">
        <v>1500</v>
      </c>
      <c r="F42" s="14" t="s">
        <v>390</v>
      </c>
      <c r="G42" s="11">
        <v>22835</v>
      </c>
      <c r="H42" s="67">
        <v>300</v>
      </c>
      <c r="I42" s="12"/>
      <c r="J42" s="61"/>
      <c r="K42" s="71"/>
      <c r="L42" s="62" t="s">
        <v>18</v>
      </c>
      <c r="M42" s="75">
        <v>22919</v>
      </c>
      <c r="N42" s="73">
        <v>500</v>
      </c>
      <c r="O42" s="15"/>
    </row>
    <row r="43" spans="1:15" x14ac:dyDescent="0.25">
      <c r="A43" s="16">
        <v>22687</v>
      </c>
      <c r="B43" s="49">
        <v>250</v>
      </c>
      <c r="C43" s="17"/>
      <c r="D43" s="13"/>
      <c r="E43" s="70"/>
      <c r="F43" s="14" t="s">
        <v>22</v>
      </c>
      <c r="G43" s="11">
        <v>22836</v>
      </c>
      <c r="H43" s="67">
        <v>1000</v>
      </c>
      <c r="I43" s="12" t="s">
        <v>346</v>
      </c>
      <c r="J43" s="61">
        <v>22881</v>
      </c>
      <c r="K43" s="71">
        <v>800</v>
      </c>
      <c r="L43" s="62" t="s">
        <v>346</v>
      </c>
      <c r="M43" s="75">
        <v>22920</v>
      </c>
      <c r="N43" s="73">
        <v>350</v>
      </c>
      <c r="O43" s="15" t="s">
        <v>113</v>
      </c>
    </row>
    <row r="44" spans="1:15" x14ac:dyDescent="0.25">
      <c r="A44" s="16">
        <v>22688</v>
      </c>
      <c r="B44" s="49">
        <v>400</v>
      </c>
      <c r="C44" s="17" t="s">
        <v>353</v>
      </c>
      <c r="D44" s="13">
        <v>22762</v>
      </c>
      <c r="E44" s="70">
        <v>1000</v>
      </c>
      <c r="F44" s="14" t="s">
        <v>346</v>
      </c>
      <c r="G44" s="11"/>
      <c r="H44" s="67"/>
      <c r="I44" s="12" t="s">
        <v>18</v>
      </c>
      <c r="J44" s="61"/>
      <c r="K44" s="71"/>
      <c r="L44" s="62" t="s">
        <v>25</v>
      </c>
      <c r="M44" s="75">
        <v>22921</v>
      </c>
      <c r="N44" s="73">
        <v>350</v>
      </c>
      <c r="O44" s="15"/>
    </row>
    <row r="45" spans="1:15" x14ac:dyDescent="0.25">
      <c r="A45" s="16">
        <v>22689</v>
      </c>
      <c r="B45" s="49">
        <v>50</v>
      </c>
      <c r="C45" s="103" t="s">
        <v>51</v>
      </c>
      <c r="D45" s="13"/>
      <c r="E45" s="70"/>
      <c r="F45" s="14" t="s">
        <v>18</v>
      </c>
      <c r="G45" s="11">
        <v>22837</v>
      </c>
      <c r="H45" s="67">
        <v>500</v>
      </c>
      <c r="I45" s="12"/>
      <c r="J45" s="61">
        <v>22882</v>
      </c>
      <c r="K45" s="71">
        <v>250</v>
      </c>
      <c r="L45" s="62" t="s">
        <v>379</v>
      </c>
      <c r="M45" s="75">
        <v>22922</v>
      </c>
      <c r="N45" s="73">
        <v>500</v>
      </c>
      <c r="O45" s="15" t="s">
        <v>379</v>
      </c>
    </row>
    <row r="46" spans="1:15" x14ac:dyDescent="0.25">
      <c r="A46" s="16">
        <v>22690</v>
      </c>
      <c r="B46" s="49">
        <v>500</v>
      </c>
      <c r="C46" s="17"/>
      <c r="D46" s="13">
        <v>22763</v>
      </c>
      <c r="E46" s="70">
        <v>300</v>
      </c>
      <c r="F46" s="14"/>
      <c r="G46" s="11">
        <v>22838</v>
      </c>
      <c r="H46" s="67">
        <v>500</v>
      </c>
      <c r="I46" s="12"/>
      <c r="J46" s="61">
        <v>22883</v>
      </c>
      <c r="K46" s="71">
        <v>500</v>
      </c>
      <c r="L46" s="62"/>
      <c r="M46" s="75">
        <v>22923</v>
      </c>
      <c r="N46" s="73">
        <v>50</v>
      </c>
      <c r="O46" s="15" t="s">
        <v>51</v>
      </c>
    </row>
    <row r="47" spans="1:15" x14ac:dyDescent="0.25">
      <c r="A47" s="16">
        <v>22691</v>
      </c>
      <c r="B47" s="49">
        <v>400</v>
      </c>
      <c r="C47" s="17"/>
      <c r="D47" s="13">
        <v>22764</v>
      </c>
      <c r="E47" s="70">
        <v>500</v>
      </c>
      <c r="F47" s="14" t="s">
        <v>422</v>
      </c>
      <c r="G47" s="11">
        <v>22839</v>
      </c>
      <c r="H47" s="67">
        <v>500</v>
      </c>
      <c r="I47" s="12"/>
      <c r="J47" s="61">
        <v>22884</v>
      </c>
      <c r="K47" s="71">
        <v>400</v>
      </c>
      <c r="L47" s="62"/>
      <c r="M47" s="75">
        <v>22924</v>
      </c>
      <c r="N47" s="73">
        <v>400</v>
      </c>
      <c r="O47" s="15"/>
    </row>
    <row r="48" spans="1:15" x14ac:dyDescent="0.25">
      <c r="A48" s="16">
        <v>22692</v>
      </c>
      <c r="B48" s="49">
        <v>250</v>
      </c>
      <c r="C48" s="17" t="s">
        <v>353</v>
      </c>
      <c r="D48" s="13"/>
      <c r="E48" s="70"/>
      <c r="F48" s="14" t="s">
        <v>22</v>
      </c>
      <c r="G48" s="11">
        <v>22840</v>
      </c>
      <c r="H48" s="67">
        <v>1300</v>
      </c>
      <c r="I48" s="12" t="s">
        <v>318</v>
      </c>
      <c r="J48" s="61">
        <v>22885</v>
      </c>
      <c r="K48" s="71">
        <v>400</v>
      </c>
      <c r="L48" s="62"/>
      <c r="M48" s="75">
        <v>22925</v>
      </c>
      <c r="N48" s="73">
        <v>500</v>
      </c>
      <c r="O48" s="15" t="s">
        <v>379</v>
      </c>
    </row>
    <row r="49" spans="1:15" x14ac:dyDescent="0.25">
      <c r="A49" s="16">
        <v>22693</v>
      </c>
      <c r="B49" s="49">
        <v>1000</v>
      </c>
      <c r="C49" s="17" t="s">
        <v>400</v>
      </c>
      <c r="D49" s="13">
        <v>22765</v>
      </c>
      <c r="E49" s="70">
        <v>600</v>
      </c>
      <c r="F49" s="14" t="s">
        <v>346</v>
      </c>
      <c r="G49" s="11"/>
      <c r="H49" s="67"/>
      <c r="I49" s="12" t="s">
        <v>134</v>
      </c>
      <c r="J49" s="61">
        <v>22886</v>
      </c>
      <c r="K49" s="71">
        <v>400</v>
      </c>
      <c r="L49" s="62"/>
      <c r="M49" s="75">
        <v>22926</v>
      </c>
      <c r="N49" s="73">
        <v>400</v>
      </c>
      <c r="O49" s="15" t="s">
        <v>346</v>
      </c>
    </row>
    <row r="50" spans="1:15" x14ac:dyDescent="0.25">
      <c r="A50" s="16"/>
      <c r="B50" s="49"/>
      <c r="C50" s="17" t="s">
        <v>18</v>
      </c>
      <c r="D50" s="13"/>
      <c r="E50" s="70"/>
      <c r="F50" s="14" t="s">
        <v>29</v>
      </c>
      <c r="G50" s="11"/>
      <c r="H50" s="67"/>
      <c r="I50" s="12" t="s">
        <v>436</v>
      </c>
      <c r="J50" s="61">
        <v>22887</v>
      </c>
      <c r="K50" s="71">
        <v>1000</v>
      </c>
      <c r="L50" s="62" t="s">
        <v>346</v>
      </c>
      <c r="M50" s="75"/>
      <c r="N50" s="73"/>
      <c r="O50" s="15" t="s">
        <v>44</v>
      </c>
    </row>
    <row r="51" spans="1:15" x14ac:dyDescent="0.25">
      <c r="A51" s="16">
        <v>22694</v>
      </c>
      <c r="B51" s="49">
        <v>250</v>
      </c>
      <c r="C51" s="17" t="s">
        <v>353</v>
      </c>
      <c r="D51" s="13">
        <v>22766</v>
      </c>
      <c r="E51" s="70">
        <v>900</v>
      </c>
      <c r="F51" s="14" t="s">
        <v>356</v>
      </c>
      <c r="G51" s="11">
        <v>22841</v>
      </c>
      <c r="H51" s="67">
        <v>100</v>
      </c>
      <c r="I51" s="12" t="s">
        <v>77</v>
      </c>
      <c r="J51" s="61"/>
      <c r="K51" s="71"/>
      <c r="L51" s="62" t="s">
        <v>18</v>
      </c>
      <c r="M51" s="75">
        <v>22933</v>
      </c>
      <c r="N51" s="73">
        <v>500</v>
      </c>
      <c r="O51" s="15" t="s">
        <v>379</v>
      </c>
    </row>
    <row r="52" spans="1:15" x14ac:dyDescent="0.25">
      <c r="A52" s="16">
        <v>22695</v>
      </c>
      <c r="B52" s="49">
        <v>500</v>
      </c>
      <c r="C52" s="17"/>
      <c r="D52" s="13"/>
      <c r="E52" s="70"/>
      <c r="F52" s="14" t="s">
        <v>29</v>
      </c>
      <c r="G52" s="11">
        <v>22842</v>
      </c>
      <c r="H52" s="67">
        <v>500</v>
      </c>
      <c r="I52" s="12"/>
      <c r="J52" s="61">
        <v>22888</v>
      </c>
      <c r="K52" s="71"/>
      <c r="L52" s="62" t="s">
        <v>54</v>
      </c>
      <c r="M52" s="75"/>
      <c r="N52" s="73"/>
      <c r="O52" s="15" t="s">
        <v>454</v>
      </c>
    </row>
    <row r="53" spans="1:15" x14ac:dyDescent="0.25">
      <c r="A53" s="16">
        <v>22696</v>
      </c>
      <c r="B53" s="49">
        <v>500</v>
      </c>
      <c r="C53" s="17"/>
      <c r="D53" s="13">
        <v>22767</v>
      </c>
      <c r="E53" s="70">
        <v>400</v>
      </c>
      <c r="F53" s="14" t="s">
        <v>343</v>
      </c>
      <c r="G53" s="11">
        <v>22843</v>
      </c>
      <c r="H53" s="67">
        <v>600</v>
      </c>
      <c r="I53" s="12" t="s">
        <v>346</v>
      </c>
      <c r="J53" s="61">
        <v>22889</v>
      </c>
      <c r="K53" s="71">
        <v>1250</v>
      </c>
      <c r="L53" s="62" t="s">
        <v>318</v>
      </c>
      <c r="M53" s="75"/>
      <c r="N53" s="73"/>
      <c r="O53" s="15" t="s">
        <v>455</v>
      </c>
    </row>
    <row r="54" spans="1:15" x14ac:dyDescent="0.25">
      <c r="A54" s="16">
        <v>22697</v>
      </c>
      <c r="B54" s="49">
        <v>600</v>
      </c>
      <c r="C54" s="17"/>
      <c r="D54" s="13">
        <v>22768</v>
      </c>
      <c r="E54" s="70">
        <v>250</v>
      </c>
      <c r="F54" s="14"/>
      <c r="G54" s="11"/>
      <c r="H54" s="67"/>
      <c r="I54" s="12" t="s">
        <v>29</v>
      </c>
      <c r="J54" s="61"/>
      <c r="K54" s="71"/>
      <c r="L54" s="62" t="s">
        <v>445</v>
      </c>
      <c r="M54" s="75"/>
      <c r="N54" s="73"/>
      <c r="O54" s="15"/>
    </row>
    <row r="55" spans="1:15" x14ac:dyDescent="0.25">
      <c r="A55" s="16">
        <v>22698</v>
      </c>
      <c r="B55" s="49">
        <v>500</v>
      </c>
      <c r="C55" s="17"/>
      <c r="D55" s="13">
        <v>22769</v>
      </c>
      <c r="E55" s="70">
        <v>250</v>
      </c>
      <c r="F55" s="14"/>
      <c r="G55" s="11">
        <v>22844</v>
      </c>
      <c r="H55" s="67">
        <v>500</v>
      </c>
      <c r="I55" s="12" t="s">
        <v>346</v>
      </c>
      <c r="J55" s="61"/>
      <c r="K55" s="71"/>
      <c r="L55" s="62" t="s">
        <v>446</v>
      </c>
      <c r="M55" s="75"/>
      <c r="N55" s="73"/>
      <c r="O55" s="15"/>
    </row>
    <row r="56" spans="1:15" x14ac:dyDescent="0.25">
      <c r="A56" s="16">
        <v>22699</v>
      </c>
      <c r="B56" s="49">
        <v>500</v>
      </c>
      <c r="C56" s="17"/>
      <c r="D56" s="13">
        <v>22770</v>
      </c>
      <c r="E56" s="70">
        <v>300</v>
      </c>
      <c r="F56" s="14" t="s">
        <v>423</v>
      </c>
      <c r="G56" s="11"/>
      <c r="H56" s="67"/>
      <c r="I56" s="12" t="s">
        <v>22</v>
      </c>
      <c r="J56" s="61">
        <v>22890</v>
      </c>
      <c r="K56" s="71">
        <v>1000</v>
      </c>
      <c r="L56" s="62" t="s">
        <v>346</v>
      </c>
      <c r="M56" s="75"/>
      <c r="N56" s="73"/>
      <c r="O56" s="15"/>
    </row>
    <row r="57" spans="1:15" x14ac:dyDescent="0.25">
      <c r="A57" s="16">
        <v>22700</v>
      </c>
      <c r="B57" s="49">
        <v>50</v>
      </c>
      <c r="C57" s="17" t="s">
        <v>51</v>
      </c>
      <c r="D57" s="13">
        <v>22771</v>
      </c>
      <c r="E57" s="70">
        <v>400</v>
      </c>
      <c r="F57" s="14" t="s">
        <v>346</v>
      </c>
      <c r="G57" s="11">
        <v>22845</v>
      </c>
      <c r="H57" s="67">
        <v>1000</v>
      </c>
      <c r="I57" s="12" t="s">
        <v>346</v>
      </c>
      <c r="J57" s="61"/>
      <c r="K57" s="71"/>
      <c r="L57" s="62" t="s">
        <v>18</v>
      </c>
      <c r="M57" s="75"/>
      <c r="N57" s="73"/>
      <c r="O57" s="15"/>
    </row>
    <row r="58" spans="1:15" x14ac:dyDescent="0.25">
      <c r="A58" s="16">
        <v>22701</v>
      </c>
      <c r="B58" s="49">
        <v>500</v>
      </c>
      <c r="C58" s="17" t="s">
        <v>353</v>
      </c>
      <c r="D58" s="13"/>
      <c r="E58" s="70"/>
      <c r="F58" s="14" t="s">
        <v>44</v>
      </c>
      <c r="G58" s="11"/>
      <c r="H58" s="67"/>
      <c r="I58" s="12" t="s">
        <v>18</v>
      </c>
      <c r="J58" s="61"/>
      <c r="K58" s="71"/>
      <c r="L58" s="62" t="s">
        <v>278</v>
      </c>
      <c r="M58" s="75"/>
      <c r="N58" s="73"/>
      <c r="O58" s="15"/>
    </row>
    <row r="59" spans="1:15" x14ac:dyDescent="0.25">
      <c r="A59" s="16">
        <v>22702</v>
      </c>
      <c r="B59" s="49">
        <v>1900</v>
      </c>
      <c r="C59" s="17" t="s">
        <v>414</v>
      </c>
      <c r="D59" s="13">
        <v>22772</v>
      </c>
      <c r="E59" s="70">
        <v>300</v>
      </c>
      <c r="F59" s="14"/>
      <c r="G59" s="11">
        <v>22846</v>
      </c>
      <c r="H59" s="67">
        <v>500</v>
      </c>
      <c r="I59" s="12"/>
      <c r="J59" s="61">
        <v>22891</v>
      </c>
      <c r="K59" s="71">
        <v>300</v>
      </c>
      <c r="L59" s="62"/>
      <c r="M59" s="75"/>
      <c r="N59" s="73"/>
      <c r="O59" s="15"/>
    </row>
    <row r="60" spans="1:15" x14ac:dyDescent="0.25">
      <c r="A60" s="16">
        <v>22703</v>
      </c>
      <c r="B60" s="49">
        <v>500</v>
      </c>
      <c r="C60" s="17"/>
      <c r="D60" s="13">
        <v>22773</v>
      </c>
      <c r="E60" s="70">
        <v>1000</v>
      </c>
      <c r="F60" s="14" t="s">
        <v>346</v>
      </c>
      <c r="G60" s="11">
        <v>22847</v>
      </c>
      <c r="H60" s="67">
        <v>300</v>
      </c>
      <c r="I60" s="12" t="s">
        <v>437</v>
      </c>
      <c r="J60" s="61">
        <v>22892</v>
      </c>
      <c r="K60" s="71">
        <v>500</v>
      </c>
      <c r="L60" s="62"/>
      <c r="M60" s="75"/>
      <c r="N60" s="73"/>
      <c r="O60" s="15"/>
    </row>
    <row r="61" spans="1:15" x14ac:dyDescent="0.25">
      <c r="A61" s="16">
        <v>22704</v>
      </c>
      <c r="B61" s="49">
        <v>500</v>
      </c>
      <c r="C61" s="17"/>
      <c r="D61" s="13"/>
      <c r="E61" s="70"/>
      <c r="F61" s="14" t="s">
        <v>18</v>
      </c>
      <c r="G61" s="11">
        <v>22848</v>
      </c>
      <c r="H61" s="67">
        <v>500</v>
      </c>
      <c r="I61" s="12"/>
      <c r="J61" s="61">
        <v>22893</v>
      </c>
      <c r="K61" s="71">
        <v>3000</v>
      </c>
      <c r="L61" s="62" t="s">
        <v>390</v>
      </c>
      <c r="M61" s="75"/>
      <c r="N61" s="73"/>
      <c r="O61" s="15"/>
    </row>
    <row r="62" spans="1:15" x14ac:dyDescent="0.25">
      <c r="A62" s="16">
        <v>22705</v>
      </c>
      <c r="B62" s="49">
        <v>250</v>
      </c>
      <c r="C62" s="17" t="s">
        <v>353</v>
      </c>
      <c r="D62" s="13">
        <v>22774</v>
      </c>
      <c r="E62" s="70">
        <v>500</v>
      </c>
      <c r="F62" s="14"/>
      <c r="G62" s="11">
        <v>22849</v>
      </c>
      <c r="H62" s="67">
        <v>500</v>
      </c>
      <c r="I62" s="12"/>
      <c r="J62" s="61"/>
      <c r="K62" s="71"/>
      <c r="L62" s="62" t="s">
        <v>18</v>
      </c>
      <c r="M62" s="75"/>
      <c r="N62" s="73"/>
      <c r="O62" s="15"/>
    </row>
    <row r="63" spans="1:15" x14ac:dyDescent="0.25">
      <c r="A63" s="16">
        <v>22706</v>
      </c>
      <c r="B63" s="49">
        <v>500</v>
      </c>
      <c r="C63" s="17" t="s">
        <v>353</v>
      </c>
      <c r="D63" s="13">
        <v>22775</v>
      </c>
      <c r="E63" s="70">
        <v>1500</v>
      </c>
      <c r="F63" s="14" t="s">
        <v>356</v>
      </c>
      <c r="G63" s="11">
        <v>22850</v>
      </c>
      <c r="H63" s="67">
        <v>300</v>
      </c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22707</v>
      </c>
      <c r="B64" s="49">
        <v>500</v>
      </c>
      <c r="C64" s="17" t="s">
        <v>353</v>
      </c>
      <c r="D64" s="13"/>
      <c r="E64" s="70"/>
      <c r="F64" s="14" t="s">
        <v>18</v>
      </c>
      <c r="G64" s="11">
        <v>22851</v>
      </c>
      <c r="H64" s="67">
        <v>250</v>
      </c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22708</v>
      </c>
      <c r="B65" s="49">
        <v>1000</v>
      </c>
      <c r="C65" s="17" t="s">
        <v>413</v>
      </c>
      <c r="D65" s="13">
        <v>22776</v>
      </c>
      <c r="E65" s="70">
        <v>200</v>
      </c>
      <c r="F65" s="14"/>
      <c r="G65" s="11">
        <v>22852</v>
      </c>
      <c r="H65" s="67">
        <v>500</v>
      </c>
      <c r="I65" s="12" t="s">
        <v>346</v>
      </c>
      <c r="J65" s="61"/>
      <c r="K65" s="71"/>
      <c r="L65" s="62"/>
      <c r="M65" s="75"/>
      <c r="N65" s="73"/>
      <c r="O65" s="15"/>
    </row>
    <row r="66" spans="1:15" x14ac:dyDescent="0.25">
      <c r="A66" s="16"/>
      <c r="B66" s="49"/>
      <c r="C66" s="17" t="s">
        <v>18</v>
      </c>
      <c r="D66" s="13">
        <v>22777</v>
      </c>
      <c r="E66" s="70">
        <v>300</v>
      </c>
      <c r="F66" s="14"/>
      <c r="G66" s="11"/>
      <c r="H66" s="67"/>
      <c r="I66" s="12" t="s">
        <v>22</v>
      </c>
      <c r="J66" s="61"/>
      <c r="K66" s="71"/>
      <c r="L66" s="62"/>
      <c r="M66" s="75"/>
      <c r="N66" s="73"/>
      <c r="O66" s="15"/>
    </row>
    <row r="67" spans="1:15" x14ac:dyDescent="0.25">
      <c r="A67" s="16">
        <v>22709</v>
      </c>
      <c r="B67" s="49">
        <v>1000</v>
      </c>
      <c r="C67" s="17" t="s">
        <v>413</v>
      </c>
      <c r="D67" s="13">
        <v>22778</v>
      </c>
      <c r="E67" s="70">
        <v>500</v>
      </c>
      <c r="F67" s="14"/>
      <c r="G67" s="11">
        <v>22853</v>
      </c>
      <c r="H67" s="67">
        <v>600</v>
      </c>
      <c r="I67" s="12"/>
      <c r="J67" s="61"/>
      <c r="K67" s="71"/>
      <c r="L67" s="62"/>
      <c r="M67" s="75"/>
      <c r="N67" s="73"/>
      <c r="O67" s="15"/>
    </row>
    <row r="68" spans="1:15" x14ac:dyDescent="0.25">
      <c r="A68" s="16"/>
      <c r="B68" s="49"/>
      <c r="C68" s="17" t="s">
        <v>18</v>
      </c>
      <c r="D68" s="13">
        <v>22779</v>
      </c>
      <c r="E68" s="70">
        <v>500</v>
      </c>
      <c r="F68" s="14"/>
      <c r="G68" s="11">
        <v>22854</v>
      </c>
      <c r="H68" s="67">
        <v>1400</v>
      </c>
      <c r="I68" s="12" t="s">
        <v>395</v>
      </c>
      <c r="J68" s="61"/>
      <c r="K68" s="71"/>
      <c r="L68" s="62"/>
      <c r="M68" s="75"/>
      <c r="N68" s="73"/>
      <c r="O68" s="15"/>
    </row>
    <row r="69" spans="1:15" x14ac:dyDescent="0.25">
      <c r="A69" s="16">
        <v>22710</v>
      </c>
      <c r="B69" s="49">
        <v>500</v>
      </c>
      <c r="C69" s="17"/>
      <c r="D69" s="13">
        <v>22780</v>
      </c>
      <c r="E69" s="70">
        <v>450</v>
      </c>
      <c r="F69" s="14"/>
      <c r="G69" s="11"/>
      <c r="H69" s="67"/>
      <c r="I69" s="12" t="s">
        <v>44</v>
      </c>
      <c r="J69" s="61"/>
      <c r="K69" s="71"/>
      <c r="L69" s="62"/>
      <c r="M69" s="75"/>
      <c r="N69" s="73"/>
      <c r="O69" s="15"/>
    </row>
    <row r="70" spans="1:15" x14ac:dyDescent="0.25">
      <c r="A70" s="16">
        <v>22711</v>
      </c>
      <c r="B70" s="49">
        <v>500</v>
      </c>
      <c r="C70" s="17"/>
      <c r="D70" s="13">
        <v>22781</v>
      </c>
      <c r="E70" s="70">
        <v>50</v>
      </c>
      <c r="F70" s="14" t="s">
        <v>51</v>
      </c>
      <c r="G70" s="11">
        <v>22855</v>
      </c>
      <c r="H70" s="67">
        <v>1100</v>
      </c>
      <c r="I70" s="12" t="s">
        <v>346</v>
      </c>
      <c r="J70" s="61"/>
      <c r="K70" s="71"/>
      <c r="L70" s="62"/>
      <c r="M70" s="75"/>
      <c r="N70" s="73"/>
      <c r="O70" s="15"/>
    </row>
    <row r="71" spans="1:15" x14ac:dyDescent="0.25">
      <c r="A71" s="16">
        <v>22712</v>
      </c>
      <c r="B71" s="49">
        <v>300</v>
      </c>
      <c r="C71" s="17"/>
      <c r="D71" s="13">
        <v>22782</v>
      </c>
      <c r="E71" s="70">
        <v>500</v>
      </c>
      <c r="F71" s="14" t="s">
        <v>343</v>
      </c>
      <c r="G71" s="11"/>
      <c r="H71" s="67"/>
      <c r="I71" s="12" t="s">
        <v>18</v>
      </c>
      <c r="J71" s="61"/>
      <c r="K71" s="71"/>
      <c r="L71" s="62"/>
      <c r="M71" s="75"/>
      <c r="N71" s="73"/>
      <c r="O71" s="15"/>
    </row>
    <row r="72" spans="1:15" x14ac:dyDescent="0.25">
      <c r="A72" s="16">
        <v>22713</v>
      </c>
      <c r="B72" s="49">
        <v>300</v>
      </c>
      <c r="C72" s="17"/>
      <c r="D72" s="13">
        <v>22783</v>
      </c>
      <c r="E72" s="70">
        <v>250</v>
      </c>
      <c r="F72" s="14"/>
      <c r="G72" s="11"/>
      <c r="H72" s="67"/>
      <c r="I72" s="12" t="s">
        <v>436</v>
      </c>
      <c r="J72" s="61"/>
      <c r="K72" s="71"/>
      <c r="L72" s="62"/>
      <c r="M72" s="75"/>
      <c r="N72" s="73"/>
      <c r="O72" s="15"/>
    </row>
    <row r="73" spans="1:15" x14ac:dyDescent="0.25">
      <c r="A73" s="16">
        <v>22714</v>
      </c>
      <c r="B73" s="49">
        <v>350</v>
      </c>
      <c r="C73" s="17" t="s">
        <v>353</v>
      </c>
      <c r="D73" s="13">
        <v>22784</v>
      </c>
      <c r="E73" s="70">
        <v>500</v>
      </c>
      <c r="F73" s="14"/>
      <c r="G73" s="11">
        <v>22856</v>
      </c>
      <c r="H73" s="67">
        <v>1000</v>
      </c>
      <c r="I73" s="12" t="s">
        <v>346</v>
      </c>
      <c r="J73" s="61"/>
      <c r="K73" s="71"/>
      <c r="L73" s="62"/>
      <c r="M73" s="75"/>
      <c r="N73" s="73"/>
      <c r="O73" s="15"/>
    </row>
    <row r="74" spans="1:15" x14ac:dyDescent="0.25">
      <c r="A74" s="16">
        <v>22715</v>
      </c>
      <c r="B74" s="49">
        <v>1000</v>
      </c>
      <c r="C74" s="17" t="s">
        <v>413</v>
      </c>
      <c r="D74" s="13">
        <v>22785</v>
      </c>
      <c r="E74" s="70">
        <v>500</v>
      </c>
      <c r="F74" s="14"/>
      <c r="G74" s="11"/>
      <c r="H74" s="67"/>
      <c r="I74" s="12" t="s">
        <v>18</v>
      </c>
      <c r="J74" s="61"/>
      <c r="K74" s="71"/>
      <c r="L74" s="62"/>
      <c r="M74" s="75"/>
      <c r="N74" s="73"/>
      <c r="O74" s="15"/>
    </row>
    <row r="75" spans="1:15" x14ac:dyDescent="0.25">
      <c r="A75" s="16"/>
      <c r="B75" s="49"/>
      <c r="C75" s="17" t="s">
        <v>18</v>
      </c>
      <c r="D75" s="13">
        <v>22786</v>
      </c>
      <c r="E75" s="70">
        <v>50</v>
      </c>
      <c r="F75" s="14" t="s">
        <v>51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22716</v>
      </c>
      <c r="B76" s="49">
        <v>500</v>
      </c>
      <c r="C76" s="17"/>
      <c r="D76" s="13">
        <v>22787</v>
      </c>
      <c r="E76" s="70">
        <v>250</v>
      </c>
      <c r="F76" s="14" t="s">
        <v>424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22717</v>
      </c>
      <c r="B77" s="49">
        <v>500</v>
      </c>
      <c r="C77" s="17"/>
      <c r="D77" s="13">
        <v>22788</v>
      </c>
      <c r="E77" s="70">
        <v>1500</v>
      </c>
      <c r="F77" s="14" t="s">
        <v>416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>
        <v>22718</v>
      </c>
      <c r="B78" s="49">
        <v>400</v>
      </c>
      <c r="C78" s="17" t="s">
        <v>415</v>
      </c>
      <c r="D78" s="13"/>
      <c r="E78" s="70"/>
      <c r="F78" s="14" t="s">
        <v>18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/>
      <c r="B79" s="49"/>
      <c r="C79" s="17" t="s">
        <v>29</v>
      </c>
      <c r="D79" s="13">
        <v>22789</v>
      </c>
      <c r="E79" s="70">
        <v>300</v>
      </c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22719</v>
      </c>
      <c r="B80" s="49">
        <v>500</v>
      </c>
      <c r="C80" s="17"/>
      <c r="D80" s="13">
        <v>22790</v>
      </c>
      <c r="E80" s="70">
        <v>1350</v>
      </c>
      <c r="F80" s="14" t="s">
        <v>425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22720</v>
      </c>
      <c r="B81" s="49">
        <v>500</v>
      </c>
      <c r="C81" s="17"/>
      <c r="D81" s="13"/>
      <c r="E81" s="70"/>
      <c r="F81" s="14" t="s">
        <v>155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22721</v>
      </c>
      <c r="B82" s="49">
        <v>600</v>
      </c>
      <c r="C82" s="17" t="s">
        <v>356</v>
      </c>
      <c r="D82" s="13">
        <v>22791</v>
      </c>
      <c r="E82" s="70">
        <v>250</v>
      </c>
      <c r="F82" s="14" t="s">
        <v>426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/>
      <c r="B83" s="49"/>
      <c r="C83" s="17" t="s">
        <v>44</v>
      </c>
      <c r="D83" s="13">
        <v>22792</v>
      </c>
      <c r="E83" s="70">
        <v>300</v>
      </c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22722</v>
      </c>
      <c r="B84" s="49">
        <v>500</v>
      </c>
      <c r="C84" s="17" t="s">
        <v>353</v>
      </c>
      <c r="D84" s="13">
        <v>22793</v>
      </c>
      <c r="E84" s="70">
        <v>1000</v>
      </c>
      <c r="F84" s="14" t="s">
        <v>346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22723</v>
      </c>
      <c r="B85" s="49">
        <v>1500</v>
      </c>
      <c r="C85" s="17" t="s">
        <v>416</v>
      </c>
      <c r="D85" s="13"/>
      <c r="E85" s="70"/>
      <c r="F85" s="14" t="s">
        <v>18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 t="s">
        <v>18</v>
      </c>
      <c r="D86" s="13">
        <v>22794</v>
      </c>
      <c r="E86" s="70">
        <v>500</v>
      </c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22724</v>
      </c>
      <c r="B87" s="49">
        <v>700</v>
      </c>
      <c r="C87" s="17" t="s">
        <v>417</v>
      </c>
      <c r="D87" s="13">
        <v>22795</v>
      </c>
      <c r="E87" s="70">
        <v>1200</v>
      </c>
      <c r="F87" s="14" t="s">
        <v>356</v>
      </c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 t="s">
        <v>131</v>
      </c>
      <c r="D88" s="13"/>
      <c r="E88" s="70"/>
      <c r="F88" s="14" t="s">
        <v>25</v>
      </c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22725</v>
      </c>
      <c r="B89" s="49">
        <v>500</v>
      </c>
      <c r="C89" s="17" t="s">
        <v>346</v>
      </c>
      <c r="D89" s="13">
        <v>22796</v>
      </c>
      <c r="E89" s="70">
        <v>50</v>
      </c>
      <c r="F89" s="14" t="s">
        <v>51</v>
      </c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22</v>
      </c>
      <c r="D90" s="13">
        <v>22797</v>
      </c>
      <c r="E90" s="70">
        <v>500</v>
      </c>
      <c r="F90" s="14" t="s">
        <v>419</v>
      </c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22726</v>
      </c>
      <c r="B91" s="49">
        <v>500.68</v>
      </c>
      <c r="C91" s="17"/>
      <c r="D91" s="13"/>
      <c r="E91" s="70"/>
      <c r="F91" s="14" t="s">
        <v>22</v>
      </c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22727</v>
      </c>
      <c r="B92" s="49">
        <v>600</v>
      </c>
      <c r="C92" s="17" t="s">
        <v>353</v>
      </c>
      <c r="D92" s="13">
        <v>22798</v>
      </c>
      <c r="E92" s="70">
        <v>700</v>
      </c>
      <c r="F92" s="14" t="s">
        <v>427</v>
      </c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>
        <v>22728</v>
      </c>
      <c r="B93" s="49">
        <v>500</v>
      </c>
      <c r="C93" s="17" t="s">
        <v>353</v>
      </c>
      <c r="D93" s="13"/>
      <c r="E93" s="70"/>
      <c r="F93" s="14" t="s">
        <v>428</v>
      </c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22729</v>
      </c>
      <c r="B94" s="49">
        <v>500.46</v>
      </c>
      <c r="C94" s="17"/>
      <c r="D94" s="13">
        <v>22799</v>
      </c>
      <c r="E94" s="70"/>
      <c r="F94" s="14" t="s">
        <v>54</v>
      </c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>
        <v>22730</v>
      </c>
      <c r="B95" s="49">
        <v>250.62</v>
      </c>
      <c r="C95" s="17"/>
      <c r="D95" s="13">
        <v>22800</v>
      </c>
      <c r="E95" s="70">
        <v>500</v>
      </c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22731</v>
      </c>
      <c r="B96" s="49">
        <v>500.11</v>
      </c>
      <c r="C96" s="17"/>
      <c r="D96" s="13">
        <v>22801</v>
      </c>
      <c r="E96" s="70"/>
      <c r="F96" s="14" t="s">
        <v>54</v>
      </c>
      <c r="G96" s="11"/>
      <c r="H96" s="67"/>
      <c r="I96" s="12"/>
      <c r="J96" s="61"/>
      <c r="K96" s="71"/>
      <c r="L96" s="62"/>
      <c r="M96" s="75"/>
      <c r="N96" s="73"/>
      <c r="O96" s="15"/>
    </row>
    <row r="97" spans="1:16" x14ac:dyDescent="0.25">
      <c r="A97" s="16">
        <v>22732</v>
      </c>
      <c r="B97" s="49">
        <v>500</v>
      </c>
      <c r="C97" s="17" t="s">
        <v>353</v>
      </c>
      <c r="D97" s="13">
        <v>22802</v>
      </c>
      <c r="E97" s="70"/>
      <c r="F97" s="14" t="s">
        <v>54</v>
      </c>
      <c r="G97" s="11"/>
      <c r="H97" s="67"/>
      <c r="I97" s="12"/>
      <c r="J97" s="61"/>
      <c r="K97" s="71"/>
      <c r="L97" s="62"/>
      <c r="M97" s="75"/>
      <c r="N97" s="73"/>
      <c r="O97" s="15"/>
    </row>
    <row r="98" spans="1:16" x14ac:dyDescent="0.25">
      <c r="A98" s="16">
        <v>22733</v>
      </c>
      <c r="B98" s="49">
        <v>500</v>
      </c>
      <c r="C98" s="17" t="s">
        <v>353</v>
      </c>
      <c r="D98" s="13">
        <v>22803</v>
      </c>
      <c r="E98" s="70">
        <v>500</v>
      </c>
      <c r="F98" s="14" t="s">
        <v>343</v>
      </c>
      <c r="G98" s="11"/>
      <c r="H98" s="67"/>
      <c r="I98" s="12"/>
      <c r="J98" s="61"/>
      <c r="K98" s="71"/>
      <c r="L98" s="62"/>
      <c r="M98" s="75"/>
      <c r="N98" s="73"/>
      <c r="O98" s="15"/>
    </row>
    <row r="99" spans="1:16" x14ac:dyDescent="0.25">
      <c r="A99" s="16">
        <v>22734</v>
      </c>
      <c r="B99" s="49"/>
      <c r="C99" s="17" t="s">
        <v>54</v>
      </c>
      <c r="D99" s="13">
        <v>22804</v>
      </c>
      <c r="E99" s="70">
        <v>2400</v>
      </c>
      <c r="F99" s="14" t="s">
        <v>390</v>
      </c>
      <c r="G99" s="11"/>
      <c r="H99" s="67"/>
      <c r="I99" s="12"/>
      <c r="J99" s="61"/>
      <c r="K99" s="71"/>
      <c r="L99" s="62"/>
      <c r="M99" s="75"/>
      <c r="N99" s="73"/>
      <c r="O99" s="15"/>
    </row>
    <row r="100" spans="1:16" x14ac:dyDescent="0.25">
      <c r="A100" s="16">
        <v>22735</v>
      </c>
      <c r="B100" s="49">
        <v>850</v>
      </c>
      <c r="C100" s="17" t="s">
        <v>418</v>
      </c>
      <c r="D100" s="13"/>
      <c r="E100" s="70"/>
      <c r="F100" s="14" t="s">
        <v>25</v>
      </c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6" x14ac:dyDescent="0.25">
      <c r="A101" s="16"/>
      <c r="B101" s="49"/>
      <c r="C101" s="17" t="s">
        <v>18</v>
      </c>
      <c r="D101" s="13"/>
      <c r="E101" s="70"/>
      <c r="F101" s="14" t="s">
        <v>230</v>
      </c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6" x14ac:dyDescent="0.25">
      <c r="A102" s="16">
        <v>22736</v>
      </c>
      <c r="B102" s="49">
        <v>300</v>
      </c>
      <c r="C102" s="17"/>
      <c r="D102" s="13">
        <v>22805</v>
      </c>
      <c r="E102" s="70">
        <v>500.8</v>
      </c>
      <c r="F102" s="14" t="s">
        <v>230</v>
      </c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6" x14ac:dyDescent="0.25">
      <c r="A103" s="16">
        <v>22737</v>
      </c>
      <c r="B103" s="49">
        <v>600</v>
      </c>
      <c r="C103" s="17" t="s">
        <v>419</v>
      </c>
      <c r="D103" s="13">
        <v>22806</v>
      </c>
      <c r="E103" s="70">
        <v>1900</v>
      </c>
      <c r="F103" s="14" t="s">
        <v>327</v>
      </c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6" x14ac:dyDescent="0.25">
      <c r="A104" s="16"/>
      <c r="B104" s="49"/>
      <c r="C104" s="17" t="s">
        <v>29</v>
      </c>
      <c r="D104" s="13"/>
      <c r="E104" s="70"/>
      <c r="F104" s="14" t="s">
        <v>430</v>
      </c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6" x14ac:dyDescent="0.25">
      <c r="A105" s="26"/>
      <c r="B105" s="66"/>
      <c r="C105" s="58"/>
      <c r="D105" s="13">
        <v>22807</v>
      </c>
      <c r="E105" s="70">
        <v>1800</v>
      </c>
      <c r="F105" s="14" t="s">
        <v>431</v>
      </c>
      <c r="G105" s="11"/>
      <c r="H105" s="67"/>
      <c r="I105" s="12"/>
      <c r="J105" s="61"/>
      <c r="K105" s="71"/>
      <c r="L105" s="62"/>
      <c r="M105" s="75"/>
      <c r="N105" s="73"/>
      <c r="O105" s="15"/>
      <c r="P105" s="58"/>
    </row>
    <row r="106" spans="1:16" x14ac:dyDescent="0.25">
      <c r="A106" s="26"/>
      <c r="B106" s="66"/>
      <c r="C106" s="58"/>
      <c r="D106" s="13"/>
      <c r="E106" s="70"/>
      <c r="F106" s="14" t="s">
        <v>29</v>
      </c>
      <c r="G106" s="11"/>
      <c r="H106" s="67"/>
      <c r="I106" s="12"/>
      <c r="J106" s="61"/>
      <c r="K106" s="71"/>
      <c r="L106" s="62"/>
      <c r="M106" s="75"/>
      <c r="N106" s="73"/>
      <c r="O106" s="15"/>
      <c r="P106" s="58"/>
    </row>
    <row r="107" spans="1:16" x14ac:dyDescent="0.25">
      <c r="A107" s="26"/>
      <c r="B107" s="66"/>
      <c r="C107" s="58"/>
      <c r="D107" s="13"/>
      <c r="E107" s="70"/>
      <c r="F107" s="14" t="s">
        <v>230</v>
      </c>
      <c r="G107" s="11"/>
      <c r="H107" s="67"/>
      <c r="I107" s="12"/>
      <c r="J107" s="61"/>
      <c r="K107" s="71"/>
      <c r="L107" s="62"/>
      <c r="M107" s="75"/>
      <c r="N107" s="73"/>
      <c r="O107" s="15"/>
      <c r="P107" s="58"/>
    </row>
    <row r="108" spans="1:16" x14ac:dyDescent="0.25">
      <c r="A108" s="26"/>
      <c r="B108" s="66"/>
      <c r="C108" s="58"/>
      <c r="D108" s="13">
        <v>22808</v>
      </c>
      <c r="E108" s="70">
        <v>500.06</v>
      </c>
      <c r="F108" s="14" t="s">
        <v>432</v>
      </c>
      <c r="G108" s="11"/>
      <c r="H108" s="67"/>
      <c r="I108" s="12"/>
      <c r="J108" s="61"/>
      <c r="K108" s="71"/>
      <c r="L108" s="62"/>
      <c r="M108" s="75"/>
      <c r="N108" s="73"/>
      <c r="O108" s="15"/>
      <c r="P108" s="58"/>
    </row>
    <row r="109" spans="1:16" x14ac:dyDescent="0.25">
      <c r="A109" s="26"/>
      <c r="B109" s="66"/>
      <c r="C109" s="58"/>
      <c r="D109" s="13"/>
      <c r="E109" s="70"/>
      <c r="F109" s="14" t="s">
        <v>230</v>
      </c>
      <c r="G109" s="11"/>
      <c r="H109" s="67"/>
      <c r="I109" s="12"/>
      <c r="J109" s="61"/>
      <c r="K109" s="71"/>
      <c r="L109" s="62"/>
      <c r="M109" s="75"/>
      <c r="N109" s="73"/>
      <c r="O109" s="15"/>
      <c r="P109" s="58"/>
    </row>
    <row r="110" spans="1:16" x14ac:dyDescent="0.25">
      <c r="A110" s="26"/>
      <c r="B110" s="66"/>
      <c r="C110" s="58"/>
      <c r="D110" s="13">
        <v>22809</v>
      </c>
      <c r="E110" s="70"/>
      <c r="F110" s="14" t="s">
        <v>54</v>
      </c>
      <c r="G110" s="11"/>
      <c r="H110" s="67"/>
      <c r="I110" s="12"/>
      <c r="J110" s="61"/>
      <c r="K110" s="71"/>
      <c r="L110" s="62"/>
      <c r="M110" s="75"/>
      <c r="N110" s="73"/>
      <c r="O110" s="15"/>
      <c r="P110" s="58"/>
    </row>
    <row r="111" spans="1:16" x14ac:dyDescent="0.25">
      <c r="A111" s="26"/>
      <c r="B111" s="66"/>
      <c r="C111" s="58"/>
      <c r="D111" s="13">
        <v>22810</v>
      </c>
      <c r="E111" s="70">
        <v>1500</v>
      </c>
      <c r="F111" s="14" t="s">
        <v>429</v>
      </c>
      <c r="G111" s="11"/>
      <c r="H111" s="67"/>
      <c r="I111" s="12"/>
      <c r="J111" s="61"/>
      <c r="K111" s="71"/>
      <c r="L111" s="62"/>
      <c r="M111" s="75"/>
      <c r="N111" s="73"/>
      <c r="O111" s="15"/>
      <c r="P111" s="58"/>
    </row>
    <row r="112" spans="1:16" x14ac:dyDescent="0.25">
      <c r="A112" s="26"/>
      <c r="B112" s="66"/>
      <c r="C112" s="58"/>
      <c r="D112" s="13"/>
      <c r="E112" s="70"/>
      <c r="F112" s="14" t="s">
        <v>29</v>
      </c>
      <c r="G112" s="11"/>
      <c r="H112" s="67"/>
      <c r="I112" s="12"/>
      <c r="J112" s="61"/>
      <c r="K112" s="71"/>
      <c r="L112" s="62"/>
      <c r="M112" s="75"/>
      <c r="N112" s="73"/>
      <c r="O112" s="15"/>
      <c r="P112" s="58"/>
    </row>
    <row r="113" spans="1:16" x14ac:dyDescent="0.25">
      <c r="A113" s="26"/>
      <c r="B113" s="66"/>
      <c r="C113" s="58"/>
      <c r="D113" s="13"/>
      <c r="E113" s="70"/>
      <c r="F113" s="14" t="s">
        <v>230</v>
      </c>
      <c r="G113" s="11"/>
      <c r="H113" s="67"/>
      <c r="I113" s="12"/>
      <c r="J113" s="61"/>
      <c r="K113" s="71"/>
      <c r="L113" s="62"/>
      <c r="M113" s="75"/>
      <c r="N113" s="73"/>
      <c r="O113" s="15"/>
      <c r="P113" s="58"/>
    </row>
    <row r="114" spans="1:16" x14ac:dyDescent="0.25">
      <c r="A114" s="26"/>
      <c r="B114" s="66"/>
      <c r="C114" s="58"/>
      <c r="D114" s="13">
        <v>22811</v>
      </c>
      <c r="E114" s="70">
        <v>1000</v>
      </c>
      <c r="F114" s="14" t="s">
        <v>346</v>
      </c>
      <c r="G114" s="11"/>
      <c r="H114" s="67"/>
      <c r="I114" s="12"/>
      <c r="J114" s="61"/>
      <c r="K114" s="71"/>
      <c r="L114" s="62"/>
      <c r="M114" s="75"/>
      <c r="N114" s="73"/>
      <c r="O114" s="15"/>
      <c r="P114" s="58"/>
    </row>
    <row r="115" spans="1:16" x14ac:dyDescent="0.25">
      <c r="A115" s="26"/>
      <c r="B115" s="66"/>
      <c r="C115" s="58"/>
      <c r="D115" s="13"/>
      <c r="E115" s="70"/>
      <c r="F115" s="14" t="s">
        <v>433</v>
      </c>
      <c r="G115" s="11"/>
      <c r="H115" s="67"/>
      <c r="I115" s="12"/>
      <c r="J115" s="61"/>
      <c r="K115" s="71"/>
      <c r="L115" s="62"/>
      <c r="M115" s="75"/>
      <c r="N115" s="73"/>
      <c r="O115" s="15"/>
      <c r="P115" s="58"/>
    </row>
    <row r="116" spans="1:16" x14ac:dyDescent="0.25">
      <c r="A116" s="26"/>
      <c r="B116" s="66"/>
      <c r="C116" s="58"/>
      <c r="D116" s="13">
        <v>22812</v>
      </c>
      <c r="E116" s="70">
        <v>500</v>
      </c>
      <c r="F116" s="14" t="s">
        <v>230</v>
      </c>
      <c r="G116" s="11"/>
      <c r="H116" s="67"/>
      <c r="I116" s="12"/>
      <c r="J116" s="61"/>
      <c r="K116" s="71"/>
      <c r="L116" s="62"/>
      <c r="M116" s="75"/>
      <c r="N116" s="73"/>
      <c r="O116" s="15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58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58"/>
      <c r="N118" s="74"/>
      <c r="O118" s="58"/>
      <c r="P118" s="58"/>
    </row>
    <row r="119" spans="1:16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6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6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6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6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6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6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6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6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6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zoomScaleNormal="100" workbookViewId="0">
      <pane ySplit="3" topLeftCell="A39" activePane="bottomLeft" state="frozen"/>
      <selection activeCell="A5" sqref="A5"/>
      <selection pane="bottomLeft" activeCell="D6" sqref="D6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4.42578125" customWidth="1"/>
    <col min="4" max="4" width="7.7109375" style="6" customWidth="1"/>
    <col min="5" max="5" width="9.140625" customWidth="1"/>
    <col min="6" max="6" width="2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SUBTOTAL(3,A8:A121)</f>
        <v>73</v>
      </c>
      <c r="B6" s="127">
        <f>SUBTOTAL(9,B8:B121)</f>
        <v>36453.369999999995</v>
      </c>
      <c r="C6" s="35">
        <v>43709</v>
      </c>
      <c r="D6" s="8">
        <f>SUBTOTAL(3,D8:D120)</f>
        <v>42</v>
      </c>
      <c r="E6" s="129">
        <f>SUBTOTAL(9,E8:E126)</f>
        <v>24150.75</v>
      </c>
      <c r="F6" s="38">
        <v>44080</v>
      </c>
      <c r="G6" s="8">
        <f>SUBTOTAL(3,G8:G120)</f>
        <v>44</v>
      </c>
      <c r="H6" s="129">
        <f>SUBTOTAL(9,H8:H126)</f>
        <v>30804.120000000003</v>
      </c>
      <c r="I6" s="39">
        <v>44087</v>
      </c>
      <c r="J6" s="8">
        <f>SUBTOTAL(3,J8:J111)</f>
        <v>37</v>
      </c>
      <c r="K6" s="129">
        <f>SUBTOTAL(9,K8:K126)</f>
        <v>20351.32</v>
      </c>
      <c r="L6" s="63">
        <v>44094</v>
      </c>
      <c r="M6" s="1">
        <f>SUBTOTAL(3,M8:M120)</f>
        <v>0</v>
      </c>
      <c r="N6" s="129">
        <f>SUBTOTAL(9,N8:N126)</f>
        <v>0</v>
      </c>
      <c r="O6" s="81">
        <v>44101</v>
      </c>
      <c r="Q6" s="30">
        <f>+A6+D6+G6+J6+M6</f>
        <v>196</v>
      </c>
      <c r="R6" s="29">
        <f>+B6+E6+H6+K6+N6</f>
        <v>111759.56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22927</v>
      </c>
      <c r="B8" s="128">
        <v>250.62</v>
      </c>
      <c r="C8" s="17" t="s">
        <v>278</v>
      </c>
      <c r="D8" s="13">
        <v>23000</v>
      </c>
      <c r="E8" s="70">
        <v>500</v>
      </c>
      <c r="F8" s="14"/>
      <c r="G8" s="11">
        <v>23042</v>
      </c>
      <c r="H8" s="67">
        <v>1500</v>
      </c>
      <c r="I8" s="12" t="s">
        <v>472</v>
      </c>
      <c r="J8" s="61">
        <v>23086</v>
      </c>
      <c r="K8" s="71">
        <v>500.95</v>
      </c>
      <c r="L8" s="62" t="s">
        <v>442</v>
      </c>
      <c r="M8" s="75"/>
      <c r="N8" s="73"/>
      <c r="O8" s="15"/>
      <c r="Q8" s="32"/>
      <c r="R8" s="32"/>
    </row>
    <row r="9" spans="1:18" x14ac:dyDescent="0.25">
      <c r="A9" s="16">
        <v>22928</v>
      </c>
      <c r="B9" s="128">
        <v>1600</v>
      </c>
      <c r="C9" s="17" t="s">
        <v>456</v>
      </c>
      <c r="D9" s="13">
        <v>23001</v>
      </c>
      <c r="E9" s="70">
        <v>600</v>
      </c>
      <c r="F9" s="14"/>
      <c r="G9" s="11"/>
      <c r="H9" s="67"/>
      <c r="I9" s="12" t="s">
        <v>18</v>
      </c>
      <c r="J9" s="61"/>
      <c r="K9" s="71"/>
      <c r="L9" s="62" t="s">
        <v>482</v>
      </c>
      <c r="M9" s="75"/>
      <c r="N9" s="73"/>
      <c r="O9" s="15"/>
    </row>
    <row r="10" spans="1:18" x14ac:dyDescent="0.25">
      <c r="A10" s="16"/>
      <c r="B10" s="128"/>
      <c r="C10" s="17" t="s">
        <v>25</v>
      </c>
      <c r="D10" s="13">
        <v>23002</v>
      </c>
      <c r="E10" s="70">
        <v>250</v>
      </c>
      <c r="F10" s="14" t="s">
        <v>382</v>
      </c>
      <c r="G10" s="11"/>
      <c r="H10" s="67"/>
      <c r="I10" s="12" t="s">
        <v>230</v>
      </c>
      <c r="J10" s="61">
        <v>23087</v>
      </c>
      <c r="K10" s="71">
        <v>350</v>
      </c>
      <c r="L10" s="62" t="s">
        <v>113</v>
      </c>
      <c r="M10" s="75"/>
      <c r="N10" s="73"/>
      <c r="O10" s="15"/>
    </row>
    <row r="11" spans="1:18" x14ac:dyDescent="0.25">
      <c r="A11" s="16">
        <v>22929</v>
      </c>
      <c r="B11" s="128">
        <v>450</v>
      </c>
      <c r="C11" s="17" t="s">
        <v>457</v>
      </c>
      <c r="D11" s="13">
        <v>23003</v>
      </c>
      <c r="E11" s="70">
        <v>300</v>
      </c>
      <c r="F11" s="14"/>
      <c r="G11" s="11">
        <v>23043</v>
      </c>
      <c r="H11" s="67">
        <v>500</v>
      </c>
      <c r="I11" s="12" t="s">
        <v>382</v>
      </c>
      <c r="J11" s="61">
        <v>23088</v>
      </c>
      <c r="K11" s="71">
        <v>50</v>
      </c>
      <c r="L11" s="62" t="s">
        <v>51</v>
      </c>
      <c r="M11" s="75"/>
      <c r="N11" s="73"/>
      <c r="O11" s="15"/>
    </row>
    <row r="12" spans="1:18" x14ac:dyDescent="0.25">
      <c r="A12" s="16">
        <v>22930</v>
      </c>
      <c r="B12" s="128">
        <v>1000</v>
      </c>
      <c r="C12" s="17" t="s">
        <v>346</v>
      </c>
      <c r="D12" s="13">
        <v>23004</v>
      </c>
      <c r="E12" s="70">
        <v>300</v>
      </c>
      <c r="F12" s="14"/>
      <c r="G12" s="11">
        <v>23044</v>
      </c>
      <c r="H12" s="67">
        <v>500</v>
      </c>
      <c r="I12" s="12"/>
      <c r="J12" s="61">
        <v>23089</v>
      </c>
      <c r="K12" s="71">
        <v>350</v>
      </c>
      <c r="L12" s="62" t="s">
        <v>483</v>
      </c>
      <c r="M12" s="75"/>
      <c r="N12" s="73"/>
      <c r="O12" s="15"/>
    </row>
    <row r="13" spans="1:18" x14ac:dyDescent="0.25">
      <c r="A13" s="16"/>
      <c r="B13" s="128"/>
      <c r="C13" s="17" t="s">
        <v>18</v>
      </c>
      <c r="D13" s="13">
        <v>23005</v>
      </c>
      <c r="E13" s="70">
        <v>950</v>
      </c>
      <c r="F13" s="14" t="s">
        <v>467</v>
      </c>
      <c r="G13" s="11">
        <v>23045</v>
      </c>
      <c r="H13" s="67">
        <v>500</v>
      </c>
      <c r="I13" s="12" t="s">
        <v>343</v>
      </c>
      <c r="J13" s="61">
        <v>23090</v>
      </c>
      <c r="K13" s="71">
        <v>1000</v>
      </c>
      <c r="L13" s="62" t="s">
        <v>484</v>
      </c>
      <c r="M13" s="75"/>
      <c r="N13" s="73"/>
      <c r="O13" s="15"/>
    </row>
    <row r="14" spans="1:18" x14ac:dyDescent="0.25">
      <c r="A14" s="16">
        <v>22931</v>
      </c>
      <c r="B14" s="128">
        <v>250</v>
      </c>
      <c r="C14" s="17" t="s">
        <v>458</v>
      </c>
      <c r="D14" s="13"/>
      <c r="E14" s="70"/>
      <c r="F14" s="14" t="s">
        <v>468</v>
      </c>
      <c r="G14" s="11">
        <v>23046</v>
      </c>
      <c r="H14" s="67">
        <v>500.5</v>
      </c>
      <c r="I14" s="12" t="s">
        <v>469</v>
      </c>
      <c r="J14" s="61"/>
      <c r="K14" s="71"/>
      <c r="L14" s="62" t="s">
        <v>22</v>
      </c>
      <c r="M14" s="75"/>
      <c r="N14" s="73"/>
      <c r="O14" s="31"/>
    </row>
    <row r="15" spans="1:18" x14ac:dyDescent="0.25">
      <c r="A15" s="16">
        <v>22932</v>
      </c>
      <c r="B15" s="128">
        <v>500</v>
      </c>
      <c r="C15" s="17" t="s">
        <v>382</v>
      </c>
      <c r="D15" s="13">
        <v>23006</v>
      </c>
      <c r="E15" s="70">
        <v>500</v>
      </c>
      <c r="F15" s="14"/>
      <c r="G15" s="11"/>
      <c r="H15" s="67"/>
      <c r="I15" s="12" t="s">
        <v>22</v>
      </c>
      <c r="J15" s="61">
        <v>23091</v>
      </c>
      <c r="K15" s="71">
        <v>800</v>
      </c>
      <c r="L15" s="68" t="s">
        <v>417</v>
      </c>
      <c r="M15" s="75"/>
      <c r="N15" s="73"/>
      <c r="O15" s="15"/>
    </row>
    <row r="16" spans="1:18" x14ac:dyDescent="0.25">
      <c r="A16" s="16">
        <v>22933</v>
      </c>
      <c r="B16" s="128"/>
      <c r="C16" s="17" t="s">
        <v>459</v>
      </c>
      <c r="D16" s="13">
        <v>23007</v>
      </c>
      <c r="E16" s="70">
        <v>500</v>
      </c>
      <c r="F16" s="14" t="s">
        <v>400</v>
      </c>
      <c r="G16" s="11"/>
      <c r="H16" s="67"/>
      <c r="I16" s="12" t="s">
        <v>230</v>
      </c>
      <c r="J16" s="61"/>
      <c r="K16" s="71"/>
      <c r="L16" s="62" t="s">
        <v>25</v>
      </c>
      <c r="M16" s="75"/>
      <c r="N16" s="73"/>
      <c r="O16" s="15"/>
    </row>
    <row r="17" spans="1:15" x14ac:dyDescent="0.25">
      <c r="A17" s="16">
        <v>22934</v>
      </c>
      <c r="B17" s="128">
        <v>1250</v>
      </c>
      <c r="C17" s="17" t="s">
        <v>429</v>
      </c>
      <c r="D17" s="13"/>
      <c r="E17" s="70"/>
      <c r="F17" s="14" t="s">
        <v>22</v>
      </c>
      <c r="G17" s="11">
        <v>23047</v>
      </c>
      <c r="H17" s="67">
        <v>1000.4</v>
      </c>
      <c r="I17" s="12" t="s">
        <v>400</v>
      </c>
      <c r="J17" s="61">
        <v>23092</v>
      </c>
      <c r="K17" s="71">
        <v>500</v>
      </c>
      <c r="L17" s="62"/>
      <c r="M17" s="75"/>
      <c r="N17" s="73"/>
      <c r="O17" s="15"/>
    </row>
    <row r="18" spans="1:15" x14ac:dyDescent="0.25">
      <c r="A18" s="16"/>
      <c r="B18" s="128"/>
      <c r="C18" s="17" t="s">
        <v>22</v>
      </c>
      <c r="D18" s="13">
        <v>23008</v>
      </c>
      <c r="E18" s="70">
        <v>1000</v>
      </c>
      <c r="F18" s="33" t="s">
        <v>469</v>
      </c>
      <c r="G18" s="11"/>
      <c r="H18" s="67"/>
      <c r="I18" s="12" t="s">
        <v>18</v>
      </c>
      <c r="J18" s="61">
        <v>23093</v>
      </c>
      <c r="K18" s="71">
        <v>400</v>
      </c>
      <c r="L18" s="62" t="s">
        <v>400</v>
      </c>
      <c r="M18" s="75"/>
      <c r="N18" s="73"/>
      <c r="O18" s="15"/>
    </row>
    <row r="19" spans="1:15" x14ac:dyDescent="0.25">
      <c r="A19" s="16">
        <v>22935</v>
      </c>
      <c r="B19" s="128">
        <v>500.95</v>
      </c>
      <c r="C19" s="17" t="s">
        <v>278</v>
      </c>
      <c r="D19" s="13"/>
      <c r="E19" s="70"/>
      <c r="F19" s="14" t="s">
        <v>18</v>
      </c>
      <c r="G19" s="11"/>
      <c r="H19" s="67"/>
      <c r="I19" s="12" t="s">
        <v>230</v>
      </c>
      <c r="J19" s="61"/>
      <c r="K19" s="71"/>
      <c r="L19" s="62" t="s">
        <v>44</v>
      </c>
      <c r="M19" s="75"/>
      <c r="N19" s="73"/>
      <c r="O19" s="15"/>
    </row>
    <row r="20" spans="1:15" x14ac:dyDescent="0.25">
      <c r="A20" s="16">
        <v>22936</v>
      </c>
      <c r="B20" s="128">
        <v>500.68</v>
      </c>
      <c r="C20" s="17" t="s">
        <v>278</v>
      </c>
      <c r="D20" s="13">
        <v>23009</v>
      </c>
      <c r="E20" s="70">
        <v>500</v>
      </c>
      <c r="F20" s="14" t="s">
        <v>382</v>
      </c>
      <c r="G20" s="11">
        <v>23048</v>
      </c>
      <c r="H20" s="67">
        <v>500.06</v>
      </c>
      <c r="I20" s="12" t="s">
        <v>382</v>
      </c>
      <c r="J20" s="61">
        <v>23094</v>
      </c>
      <c r="K20" s="71">
        <v>200</v>
      </c>
      <c r="L20" s="62" t="s">
        <v>382</v>
      </c>
      <c r="M20" s="75"/>
      <c r="N20" s="73"/>
      <c r="O20" s="15"/>
    </row>
    <row r="21" spans="1:15" x14ac:dyDescent="0.25">
      <c r="A21" s="16">
        <v>22937</v>
      </c>
      <c r="B21" s="128">
        <v>300</v>
      </c>
      <c r="C21" s="17" t="s">
        <v>382</v>
      </c>
      <c r="D21" s="13">
        <v>23010</v>
      </c>
      <c r="E21" s="70">
        <v>500</v>
      </c>
      <c r="F21" s="14"/>
      <c r="G21" s="11"/>
      <c r="H21" s="67"/>
      <c r="I21" s="12" t="s">
        <v>230</v>
      </c>
      <c r="J21" s="61">
        <v>23095</v>
      </c>
      <c r="K21" s="71">
        <v>400</v>
      </c>
      <c r="L21" s="62"/>
      <c r="M21" s="75"/>
      <c r="N21" s="73"/>
      <c r="O21" s="15"/>
    </row>
    <row r="22" spans="1:15" x14ac:dyDescent="0.25">
      <c r="A22" s="16">
        <v>22938</v>
      </c>
      <c r="B22" s="128">
        <v>300</v>
      </c>
      <c r="C22" s="17" t="s">
        <v>382</v>
      </c>
      <c r="D22" s="13">
        <v>23011</v>
      </c>
      <c r="E22" s="70">
        <v>300</v>
      </c>
      <c r="F22" s="14"/>
      <c r="G22" s="11">
        <v>23049</v>
      </c>
      <c r="H22" s="67">
        <v>1200</v>
      </c>
      <c r="I22" s="12" t="s">
        <v>356</v>
      </c>
      <c r="J22" s="61">
        <v>23096</v>
      </c>
      <c r="K22" s="71">
        <v>500</v>
      </c>
      <c r="L22" s="62"/>
      <c r="M22" s="75"/>
      <c r="N22" s="73"/>
      <c r="O22" s="15"/>
    </row>
    <row r="23" spans="1:15" x14ac:dyDescent="0.25">
      <c r="A23" s="16">
        <v>22939</v>
      </c>
      <c r="B23" s="128">
        <v>500.46</v>
      </c>
      <c r="C23" s="17" t="s">
        <v>278</v>
      </c>
      <c r="D23" s="13">
        <v>23012</v>
      </c>
      <c r="E23" s="70">
        <v>350</v>
      </c>
      <c r="F23" s="14" t="s">
        <v>113</v>
      </c>
      <c r="G23" s="11"/>
      <c r="H23" s="67"/>
      <c r="I23" s="12" t="s">
        <v>25</v>
      </c>
      <c r="J23" s="61">
        <v>23097</v>
      </c>
      <c r="K23" s="71">
        <v>350</v>
      </c>
      <c r="L23" s="62" t="s">
        <v>485</v>
      </c>
      <c r="M23" s="75"/>
      <c r="N23" s="73"/>
      <c r="O23" s="15"/>
    </row>
    <row r="24" spans="1:15" x14ac:dyDescent="0.25">
      <c r="A24" s="16">
        <v>22940</v>
      </c>
      <c r="B24" s="128">
        <v>600</v>
      </c>
      <c r="C24" s="17" t="s">
        <v>156</v>
      </c>
      <c r="D24" s="13">
        <v>23013</v>
      </c>
      <c r="E24" s="70">
        <v>500</v>
      </c>
      <c r="F24" s="14"/>
      <c r="G24" s="11">
        <v>23050</v>
      </c>
      <c r="H24" s="67">
        <v>3000.76</v>
      </c>
      <c r="I24" s="12" t="s">
        <v>473</v>
      </c>
      <c r="J24" s="61">
        <v>23098</v>
      </c>
      <c r="K24" s="71">
        <v>500</v>
      </c>
      <c r="L24" s="62" t="s">
        <v>442</v>
      </c>
      <c r="M24" s="75"/>
      <c r="N24" s="73"/>
      <c r="O24" s="15"/>
    </row>
    <row r="25" spans="1:15" x14ac:dyDescent="0.25">
      <c r="A25" s="16"/>
      <c r="B25" s="128"/>
      <c r="C25" s="17" t="s">
        <v>44</v>
      </c>
      <c r="D25" s="13">
        <v>23014</v>
      </c>
      <c r="E25" s="70">
        <v>250</v>
      </c>
      <c r="F25" s="14"/>
      <c r="G25" s="11"/>
      <c r="H25" s="67"/>
      <c r="I25" s="12" t="s">
        <v>474</v>
      </c>
      <c r="J25" s="61">
        <v>23099</v>
      </c>
      <c r="K25" s="71">
        <v>500</v>
      </c>
      <c r="L25" s="62"/>
      <c r="M25" s="75"/>
      <c r="N25" s="73"/>
      <c r="O25" s="15"/>
    </row>
    <row r="26" spans="1:15" x14ac:dyDescent="0.25">
      <c r="A26" s="16">
        <v>22941</v>
      </c>
      <c r="B26" s="128">
        <v>500</v>
      </c>
      <c r="C26" s="17" t="s">
        <v>382</v>
      </c>
      <c r="D26" s="13">
        <v>23015</v>
      </c>
      <c r="E26" s="70">
        <v>500</v>
      </c>
      <c r="F26" s="14"/>
      <c r="G26" s="11"/>
      <c r="H26" s="67"/>
      <c r="I26" s="12" t="s">
        <v>18</v>
      </c>
      <c r="J26" s="61">
        <v>23100</v>
      </c>
      <c r="K26" s="71">
        <v>500</v>
      </c>
      <c r="L26" s="62" t="s">
        <v>442</v>
      </c>
      <c r="M26" s="75"/>
      <c r="N26" s="73"/>
      <c r="O26" s="15"/>
    </row>
    <row r="27" spans="1:15" x14ac:dyDescent="0.25">
      <c r="A27" s="16">
        <v>22942</v>
      </c>
      <c r="B27" s="128">
        <v>500</v>
      </c>
      <c r="C27" s="17" t="s">
        <v>382</v>
      </c>
      <c r="D27" s="13">
        <v>23016</v>
      </c>
      <c r="E27" s="70">
        <v>800</v>
      </c>
      <c r="F27" s="14" t="s">
        <v>400</v>
      </c>
      <c r="G27" s="11">
        <v>23051</v>
      </c>
      <c r="H27" s="67">
        <v>300</v>
      </c>
      <c r="I27" s="12" t="s">
        <v>475</v>
      </c>
      <c r="J27" s="61">
        <v>23101</v>
      </c>
      <c r="K27" s="71">
        <v>300</v>
      </c>
      <c r="L27" s="62"/>
      <c r="M27" s="75"/>
      <c r="N27" s="73"/>
      <c r="O27" s="31"/>
    </row>
    <row r="28" spans="1:15" x14ac:dyDescent="0.25">
      <c r="A28" s="16">
        <v>22943</v>
      </c>
      <c r="B28" s="128">
        <v>250</v>
      </c>
      <c r="C28" s="17"/>
      <c r="D28" s="13"/>
      <c r="E28" s="70"/>
      <c r="F28" s="14" t="s">
        <v>25</v>
      </c>
      <c r="G28" s="11">
        <v>23052</v>
      </c>
      <c r="H28" s="67">
        <v>300</v>
      </c>
      <c r="I28" s="12"/>
      <c r="J28" s="61">
        <v>23102</v>
      </c>
      <c r="K28" s="71">
        <v>500</v>
      </c>
      <c r="L28" s="62"/>
      <c r="M28" s="75"/>
      <c r="N28" s="73"/>
      <c r="O28" s="15"/>
    </row>
    <row r="29" spans="1:15" x14ac:dyDescent="0.25">
      <c r="A29" s="16">
        <v>22944</v>
      </c>
      <c r="B29" s="128">
        <v>500</v>
      </c>
      <c r="C29" s="17"/>
      <c r="D29" s="13">
        <v>23017</v>
      </c>
      <c r="E29" s="70">
        <v>400</v>
      </c>
      <c r="F29" s="14" t="s">
        <v>400</v>
      </c>
      <c r="G29" s="11">
        <v>23053</v>
      </c>
      <c r="H29" s="67">
        <v>750</v>
      </c>
      <c r="I29" s="12" t="s">
        <v>416</v>
      </c>
      <c r="J29" s="61">
        <v>23103</v>
      </c>
      <c r="K29" s="71">
        <v>300</v>
      </c>
      <c r="L29" s="62"/>
      <c r="M29" s="75"/>
      <c r="N29" s="73"/>
      <c r="O29" s="15"/>
    </row>
    <row r="30" spans="1:15" x14ac:dyDescent="0.25">
      <c r="A30" s="16">
        <v>22945</v>
      </c>
      <c r="B30" s="128"/>
      <c r="C30" s="17" t="s">
        <v>54</v>
      </c>
      <c r="D30" s="13"/>
      <c r="E30" s="70"/>
      <c r="F30" s="14" t="s">
        <v>44</v>
      </c>
      <c r="G30" s="11"/>
      <c r="H30" s="67"/>
      <c r="I30" s="12" t="s">
        <v>22</v>
      </c>
      <c r="J30" s="61">
        <v>23104</v>
      </c>
      <c r="K30" s="71">
        <v>500</v>
      </c>
      <c r="L30" s="62"/>
      <c r="M30" s="75"/>
      <c r="N30" s="73"/>
      <c r="O30" s="15"/>
    </row>
    <row r="31" spans="1:15" x14ac:dyDescent="0.25">
      <c r="A31" s="16">
        <v>22946</v>
      </c>
      <c r="B31" s="128">
        <v>900</v>
      </c>
      <c r="C31" s="17" t="s">
        <v>425</v>
      </c>
      <c r="D31" s="13">
        <v>23018</v>
      </c>
      <c r="E31" s="70">
        <v>500</v>
      </c>
      <c r="F31" s="14"/>
      <c r="G31" s="11">
        <v>23054</v>
      </c>
      <c r="H31" s="67">
        <v>500</v>
      </c>
      <c r="I31" s="12"/>
      <c r="J31" s="61">
        <v>23105</v>
      </c>
      <c r="K31" s="71">
        <v>2000</v>
      </c>
      <c r="L31" s="62" t="s">
        <v>484</v>
      </c>
      <c r="M31" s="75"/>
      <c r="N31" s="73"/>
      <c r="O31" s="15"/>
    </row>
    <row r="32" spans="1:15" x14ac:dyDescent="0.25">
      <c r="A32" s="16"/>
      <c r="B32" s="128"/>
      <c r="C32" s="17" t="s">
        <v>29</v>
      </c>
      <c r="D32" s="13">
        <v>23019</v>
      </c>
      <c r="E32" s="70">
        <v>600</v>
      </c>
      <c r="F32" s="14" t="s">
        <v>417</v>
      </c>
      <c r="G32" s="11">
        <v>23055</v>
      </c>
      <c r="H32" s="67">
        <v>150</v>
      </c>
      <c r="I32" s="12" t="s">
        <v>476</v>
      </c>
      <c r="J32" s="61"/>
      <c r="K32" s="71"/>
      <c r="L32" s="62" t="s">
        <v>18</v>
      </c>
      <c r="M32" s="75"/>
      <c r="N32" s="73"/>
      <c r="O32" s="15"/>
    </row>
    <row r="33" spans="1:15" x14ac:dyDescent="0.25">
      <c r="A33" s="16">
        <v>22947</v>
      </c>
      <c r="B33" s="128">
        <v>600</v>
      </c>
      <c r="C33" s="17"/>
      <c r="D33" s="13"/>
      <c r="E33" s="70"/>
      <c r="F33" s="14" t="s">
        <v>29</v>
      </c>
      <c r="G33" s="11"/>
      <c r="H33" s="67"/>
      <c r="I33" s="12" t="s">
        <v>477</v>
      </c>
      <c r="J33" s="61">
        <v>23106</v>
      </c>
      <c r="K33" s="71">
        <v>500</v>
      </c>
      <c r="L33" s="62" t="s">
        <v>417</v>
      </c>
      <c r="M33" s="75"/>
      <c r="N33" s="73"/>
      <c r="O33" s="15"/>
    </row>
    <row r="34" spans="1:15" x14ac:dyDescent="0.25">
      <c r="A34" s="16">
        <v>22948</v>
      </c>
      <c r="B34" s="128">
        <v>500</v>
      </c>
      <c r="C34" s="17" t="s">
        <v>382</v>
      </c>
      <c r="D34" s="13">
        <v>23020</v>
      </c>
      <c r="E34" s="70">
        <v>800</v>
      </c>
      <c r="F34" s="14" t="s">
        <v>400</v>
      </c>
      <c r="G34" s="11">
        <v>23056</v>
      </c>
      <c r="H34" s="67">
        <v>900</v>
      </c>
      <c r="I34" s="12" t="s">
        <v>416</v>
      </c>
      <c r="J34" s="61"/>
      <c r="K34" s="71"/>
      <c r="L34" s="62" t="s">
        <v>22</v>
      </c>
      <c r="M34" s="75"/>
      <c r="N34" s="73"/>
      <c r="O34" s="31"/>
    </row>
    <row r="35" spans="1:15" x14ac:dyDescent="0.25">
      <c r="A35" s="16">
        <v>22949</v>
      </c>
      <c r="B35" s="128">
        <v>500</v>
      </c>
      <c r="C35" s="17"/>
      <c r="D35" s="13"/>
      <c r="E35" s="70"/>
      <c r="F35" s="14" t="s">
        <v>25</v>
      </c>
      <c r="G35" s="11"/>
      <c r="H35" s="67"/>
      <c r="I35" s="12" t="s">
        <v>29</v>
      </c>
      <c r="J35" s="61">
        <v>23107</v>
      </c>
      <c r="K35" s="71">
        <v>500</v>
      </c>
      <c r="L35" s="62"/>
      <c r="M35" s="75"/>
      <c r="N35" s="73"/>
      <c r="O35" s="15"/>
    </row>
    <row r="36" spans="1:15" x14ac:dyDescent="0.25">
      <c r="A36" s="16">
        <v>22950</v>
      </c>
      <c r="B36" s="128">
        <v>500</v>
      </c>
      <c r="C36" s="17"/>
      <c r="D36" s="13">
        <v>23021</v>
      </c>
      <c r="E36" s="70">
        <v>500</v>
      </c>
      <c r="F36" s="14" t="s">
        <v>417</v>
      </c>
      <c r="G36" s="11">
        <v>23057</v>
      </c>
      <c r="H36" s="67">
        <v>250</v>
      </c>
      <c r="I36" s="12"/>
      <c r="J36" s="61">
        <v>23108</v>
      </c>
      <c r="K36" s="71">
        <v>400</v>
      </c>
      <c r="L36" s="62" t="s">
        <v>486</v>
      </c>
      <c r="M36" s="75"/>
      <c r="N36" s="73"/>
      <c r="O36" s="15"/>
    </row>
    <row r="37" spans="1:15" x14ac:dyDescent="0.25">
      <c r="A37" s="16">
        <v>22951</v>
      </c>
      <c r="B37" s="128">
        <v>500</v>
      </c>
      <c r="C37" s="17" t="s">
        <v>419</v>
      </c>
      <c r="D37" s="13"/>
      <c r="E37" s="70"/>
      <c r="F37" s="14" t="s">
        <v>22</v>
      </c>
      <c r="G37" s="11">
        <v>23058</v>
      </c>
      <c r="H37" s="67">
        <v>300</v>
      </c>
      <c r="I37" s="12"/>
      <c r="J37" s="61"/>
      <c r="K37" s="71"/>
      <c r="L37" s="62" t="s">
        <v>179</v>
      </c>
      <c r="M37" s="75"/>
      <c r="N37" s="73"/>
      <c r="O37" s="15"/>
    </row>
    <row r="38" spans="1:15" x14ac:dyDescent="0.25">
      <c r="A38" s="16"/>
      <c r="B38" s="128"/>
      <c r="C38" s="17" t="s">
        <v>22</v>
      </c>
      <c r="D38" s="13">
        <v>23022</v>
      </c>
      <c r="E38" s="70">
        <v>500</v>
      </c>
      <c r="F38" s="14"/>
      <c r="G38" s="11">
        <v>23059</v>
      </c>
      <c r="H38" s="67">
        <v>600</v>
      </c>
      <c r="I38" s="12" t="s">
        <v>400</v>
      </c>
      <c r="J38" s="61">
        <v>23109</v>
      </c>
      <c r="K38" s="71">
        <v>400</v>
      </c>
      <c r="L38" s="62"/>
      <c r="M38" s="75"/>
      <c r="N38" s="73"/>
      <c r="O38" s="15"/>
    </row>
    <row r="39" spans="1:15" x14ac:dyDescent="0.25">
      <c r="A39" s="16">
        <v>22952</v>
      </c>
      <c r="B39" s="128">
        <v>500</v>
      </c>
      <c r="C39" s="17"/>
      <c r="D39" s="13">
        <v>23023</v>
      </c>
      <c r="E39" s="70">
        <v>500</v>
      </c>
      <c r="F39" s="14"/>
      <c r="G39" s="11"/>
      <c r="H39" s="67"/>
      <c r="I39" s="12" t="s">
        <v>29</v>
      </c>
      <c r="J39" s="61">
        <v>23110</v>
      </c>
      <c r="K39" s="71">
        <v>800</v>
      </c>
      <c r="L39" s="62" t="s">
        <v>417</v>
      </c>
      <c r="M39" s="75"/>
      <c r="N39" s="73"/>
      <c r="O39" s="15"/>
    </row>
    <row r="40" spans="1:15" x14ac:dyDescent="0.25">
      <c r="A40" s="16">
        <v>22953</v>
      </c>
      <c r="B40" s="128">
        <v>2000</v>
      </c>
      <c r="C40" s="17" t="s">
        <v>460</v>
      </c>
      <c r="D40" s="13">
        <v>23024</v>
      </c>
      <c r="E40" s="70">
        <v>500</v>
      </c>
      <c r="F40" s="14"/>
      <c r="G40" s="11">
        <v>23060</v>
      </c>
      <c r="H40" s="67">
        <v>450</v>
      </c>
      <c r="I40" s="12"/>
      <c r="J40" s="61"/>
      <c r="K40" s="71"/>
      <c r="L40" s="62" t="s">
        <v>25</v>
      </c>
      <c r="M40" s="75"/>
      <c r="N40" s="73"/>
      <c r="O40" s="15"/>
    </row>
    <row r="41" spans="1:15" x14ac:dyDescent="0.25">
      <c r="A41" s="16"/>
      <c r="B41" s="128"/>
      <c r="C41" s="17" t="s">
        <v>18</v>
      </c>
      <c r="D41" s="13">
        <v>23025</v>
      </c>
      <c r="E41" s="70">
        <v>200</v>
      </c>
      <c r="F41" s="14"/>
      <c r="G41" s="11">
        <v>23061</v>
      </c>
      <c r="H41" s="67">
        <v>500</v>
      </c>
      <c r="I41" s="12"/>
      <c r="J41" s="61">
        <v>23111</v>
      </c>
      <c r="K41" s="71">
        <v>500</v>
      </c>
      <c r="L41" s="62" t="s">
        <v>442</v>
      </c>
      <c r="M41" s="75"/>
      <c r="N41" s="73"/>
      <c r="O41" s="15"/>
    </row>
    <row r="42" spans="1:15" x14ac:dyDescent="0.25">
      <c r="A42" s="16">
        <v>22954</v>
      </c>
      <c r="B42" s="128">
        <v>250</v>
      </c>
      <c r="C42" s="17"/>
      <c r="D42" s="13">
        <v>23026</v>
      </c>
      <c r="E42" s="70">
        <v>1000</v>
      </c>
      <c r="F42" s="14" t="s">
        <v>400</v>
      </c>
      <c r="G42" s="11">
        <v>23062</v>
      </c>
      <c r="H42" s="67">
        <v>100</v>
      </c>
      <c r="I42" s="12" t="s">
        <v>77</v>
      </c>
      <c r="J42" s="61">
        <v>23112</v>
      </c>
      <c r="K42" s="71">
        <v>500</v>
      </c>
      <c r="L42" s="62"/>
      <c r="M42" s="75"/>
      <c r="N42" s="73"/>
      <c r="O42" s="15"/>
    </row>
    <row r="43" spans="1:15" x14ac:dyDescent="0.25">
      <c r="A43" s="16">
        <v>22955</v>
      </c>
      <c r="B43" s="128">
        <v>500</v>
      </c>
      <c r="C43" s="17"/>
      <c r="D43" s="13"/>
      <c r="E43" s="70"/>
      <c r="F43" s="14" t="s">
        <v>18</v>
      </c>
      <c r="G43" s="11">
        <v>23063</v>
      </c>
      <c r="H43" s="67">
        <v>300</v>
      </c>
      <c r="I43" s="12" t="s">
        <v>442</v>
      </c>
      <c r="J43" s="61">
        <v>23113</v>
      </c>
      <c r="K43" s="71">
        <v>800</v>
      </c>
      <c r="L43" s="62" t="s">
        <v>417</v>
      </c>
      <c r="M43" s="75"/>
      <c r="N43" s="73"/>
      <c r="O43" s="15"/>
    </row>
    <row r="44" spans="1:15" x14ac:dyDescent="0.25">
      <c r="A44" s="16">
        <v>22956</v>
      </c>
      <c r="B44" s="128">
        <v>500</v>
      </c>
      <c r="C44" s="17"/>
      <c r="D44" s="13">
        <v>23027</v>
      </c>
      <c r="E44" s="70">
        <v>500</v>
      </c>
      <c r="F44" s="14"/>
      <c r="G44" s="11">
        <v>23064</v>
      </c>
      <c r="H44" s="67">
        <v>400</v>
      </c>
      <c r="I44" s="12"/>
      <c r="J44" s="61"/>
      <c r="K44" s="71"/>
      <c r="L44" s="62" t="s">
        <v>25</v>
      </c>
      <c r="M44" s="75"/>
      <c r="N44" s="73"/>
      <c r="O44" s="15"/>
    </row>
    <row r="45" spans="1:15" x14ac:dyDescent="0.25">
      <c r="A45" s="16">
        <v>22957</v>
      </c>
      <c r="B45" s="128">
        <v>500</v>
      </c>
      <c r="C45" s="17"/>
      <c r="D45" s="13">
        <v>23028</v>
      </c>
      <c r="E45" s="70">
        <v>500</v>
      </c>
      <c r="F45" s="14"/>
      <c r="G45" s="11">
        <v>23065</v>
      </c>
      <c r="H45" s="67">
        <v>1000</v>
      </c>
      <c r="I45" s="12" t="s">
        <v>417</v>
      </c>
      <c r="J45" s="61">
        <v>23114</v>
      </c>
      <c r="K45" s="71">
        <v>500</v>
      </c>
      <c r="L45" s="62" t="s">
        <v>382</v>
      </c>
      <c r="M45" s="75"/>
      <c r="N45" s="73"/>
      <c r="O45" s="15"/>
    </row>
    <row r="46" spans="1:15" x14ac:dyDescent="0.25">
      <c r="A46" s="16">
        <v>22958</v>
      </c>
      <c r="B46" s="128">
        <v>750</v>
      </c>
      <c r="C46" s="17" t="s">
        <v>461</v>
      </c>
      <c r="D46" s="13">
        <v>23029</v>
      </c>
      <c r="E46" s="70">
        <v>500</v>
      </c>
      <c r="F46" s="14"/>
      <c r="G46" s="11"/>
      <c r="H46" s="67"/>
      <c r="I46" s="12" t="s">
        <v>18</v>
      </c>
      <c r="J46" s="61">
        <v>23115</v>
      </c>
      <c r="K46" s="71">
        <v>600</v>
      </c>
      <c r="L46" s="62" t="s">
        <v>417</v>
      </c>
      <c r="M46" s="75"/>
      <c r="N46" s="73"/>
      <c r="O46" s="15"/>
    </row>
    <row r="47" spans="1:15" x14ac:dyDescent="0.25">
      <c r="A47" s="16"/>
      <c r="B47" s="128"/>
      <c r="C47" s="85" t="s">
        <v>462</v>
      </c>
      <c r="D47" s="13">
        <v>23030</v>
      </c>
      <c r="E47" s="70">
        <v>500</v>
      </c>
      <c r="F47" s="14"/>
      <c r="G47" s="11">
        <v>23066</v>
      </c>
      <c r="H47" s="67">
        <v>1200</v>
      </c>
      <c r="I47" s="12" t="s">
        <v>410</v>
      </c>
      <c r="J47" s="61"/>
      <c r="K47" s="71"/>
      <c r="L47" s="62" t="s">
        <v>29</v>
      </c>
      <c r="M47" s="75"/>
      <c r="N47" s="73"/>
      <c r="O47" s="15"/>
    </row>
    <row r="48" spans="1:15" x14ac:dyDescent="0.25">
      <c r="A48" s="16">
        <v>22959</v>
      </c>
      <c r="B48" s="128">
        <v>250</v>
      </c>
      <c r="C48" s="17" t="s">
        <v>382</v>
      </c>
      <c r="D48" s="13">
        <v>23031</v>
      </c>
      <c r="E48" s="70">
        <v>500</v>
      </c>
      <c r="F48" s="14"/>
      <c r="G48" s="11"/>
      <c r="H48" s="67"/>
      <c r="I48" s="12" t="s">
        <v>25</v>
      </c>
      <c r="J48" s="61">
        <v>23116</v>
      </c>
      <c r="K48" s="71">
        <v>300</v>
      </c>
      <c r="L48" s="62"/>
      <c r="M48" s="75"/>
      <c r="N48" s="73"/>
      <c r="O48" s="15"/>
    </row>
    <row r="49" spans="1:15" x14ac:dyDescent="0.25">
      <c r="A49" s="16">
        <v>22960</v>
      </c>
      <c r="B49" s="128">
        <v>250</v>
      </c>
      <c r="C49" s="17"/>
      <c r="D49" s="13">
        <v>23032</v>
      </c>
      <c r="E49" s="70">
        <v>500</v>
      </c>
      <c r="F49" s="14"/>
      <c r="G49" s="11">
        <v>23067</v>
      </c>
      <c r="H49" s="67">
        <v>1700</v>
      </c>
      <c r="I49" s="12" t="s">
        <v>417</v>
      </c>
      <c r="J49" s="61">
        <v>23117</v>
      </c>
      <c r="K49" s="71">
        <v>500</v>
      </c>
      <c r="L49" s="62"/>
      <c r="M49" s="75"/>
      <c r="N49" s="73"/>
      <c r="O49" s="15"/>
    </row>
    <row r="50" spans="1:15" x14ac:dyDescent="0.25">
      <c r="A50" s="16">
        <v>22961</v>
      </c>
      <c r="B50" s="128">
        <v>1000</v>
      </c>
      <c r="C50" s="17" t="s">
        <v>419</v>
      </c>
      <c r="D50" s="13">
        <v>23033</v>
      </c>
      <c r="E50" s="70">
        <v>500.59</v>
      </c>
      <c r="F50" s="14" t="s">
        <v>230</v>
      </c>
      <c r="G50" s="11"/>
      <c r="H50" s="67"/>
      <c r="I50" s="12" t="s">
        <v>18</v>
      </c>
      <c r="J50" s="61">
        <v>23118</v>
      </c>
      <c r="K50" s="71">
        <v>500</v>
      </c>
      <c r="L50" s="62"/>
      <c r="M50" s="75"/>
      <c r="N50" s="73"/>
      <c r="O50" s="15"/>
    </row>
    <row r="51" spans="1:15" x14ac:dyDescent="0.25">
      <c r="A51" s="16"/>
      <c r="B51" s="128"/>
      <c r="C51" s="17" t="s">
        <v>18</v>
      </c>
      <c r="D51" s="13">
        <v>23034</v>
      </c>
      <c r="E51" s="70">
        <v>250</v>
      </c>
      <c r="F51" s="14" t="s">
        <v>230</v>
      </c>
      <c r="G51" s="11"/>
      <c r="H51" s="67"/>
      <c r="I51" s="12" t="s">
        <v>478</v>
      </c>
      <c r="J51" s="61">
        <v>23119</v>
      </c>
      <c r="K51" s="71">
        <v>1000.37</v>
      </c>
      <c r="L51" s="62" t="s">
        <v>417</v>
      </c>
      <c r="M51" s="75"/>
      <c r="N51" s="73"/>
      <c r="O51" s="15"/>
    </row>
    <row r="52" spans="1:15" x14ac:dyDescent="0.25">
      <c r="A52" s="16">
        <v>22962</v>
      </c>
      <c r="B52" s="128">
        <v>500</v>
      </c>
      <c r="C52" s="17"/>
      <c r="D52" s="13">
        <v>23035</v>
      </c>
      <c r="E52" s="70">
        <v>1000.16</v>
      </c>
      <c r="F52" s="14" t="s">
        <v>400</v>
      </c>
      <c r="G52" s="11">
        <v>23068</v>
      </c>
      <c r="H52" s="67">
        <v>1000</v>
      </c>
      <c r="I52" s="12" t="s">
        <v>400</v>
      </c>
      <c r="J52" s="61"/>
      <c r="K52" s="71"/>
      <c r="L52" s="62" t="s">
        <v>18</v>
      </c>
      <c r="M52" s="75"/>
      <c r="N52" s="73"/>
      <c r="O52" s="15"/>
    </row>
    <row r="53" spans="1:15" x14ac:dyDescent="0.25">
      <c r="A53" s="16">
        <v>22963</v>
      </c>
      <c r="B53" s="128">
        <v>500</v>
      </c>
      <c r="C53" s="17"/>
      <c r="D53" s="13"/>
      <c r="E53" s="70"/>
      <c r="F53" s="14" t="s">
        <v>18</v>
      </c>
      <c r="G53" s="11"/>
      <c r="H53" s="67"/>
      <c r="I53" s="12" t="s">
        <v>18</v>
      </c>
      <c r="J53" s="61"/>
      <c r="K53" s="71"/>
      <c r="L53" s="62" t="s">
        <v>482</v>
      </c>
      <c r="M53" s="75"/>
      <c r="N53" s="73"/>
      <c r="O53" s="15"/>
    </row>
    <row r="54" spans="1:15" x14ac:dyDescent="0.25">
      <c r="A54" s="16">
        <v>22964</v>
      </c>
      <c r="B54" s="128">
        <v>200</v>
      </c>
      <c r="C54" s="17"/>
      <c r="D54" s="13"/>
      <c r="E54" s="70"/>
      <c r="F54" s="14" t="s">
        <v>230</v>
      </c>
      <c r="G54" s="11">
        <v>26069</v>
      </c>
      <c r="H54" s="67">
        <v>500</v>
      </c>
      <c r="I54" s="12"/>
      <c r="J54" s="61">
        <v>23120</v>
      </c>
      <c r="K54" s="71">
        <v>1500</v>
      </c>
      <c r="L54" s="62" t="s">
        <v>410</v>
      </c>
      <c r="M54" s="75"/>
      <c r="N54" s="73"/>
      <c r="O54" s="15"/>
    </row>
    <row r="55" spans="1:15" x14ac:dyDescent="0.25">
      <c r="A55" s="16">
        <v>22965</v>
      </c>
      <c r="B55" s="128">
        <v>400</v>
      </c>
      <c r="C55" s="17"/>
      <c r="D55" s="13">
        <v>23036</v>
      </c>
      <c r="E55" s="70">
        <v>500</v>
      </c>
      <c r="F55" s="14" t="s">
        <v>230</v>
      </c>
      <c r="G55" s="11">
        <v>26070</v>
      </c>
      <c r="H55" s="67">
        <v>1000</v>
      </c>
      <c r="I55" s="12" t="s">
        <v>417</v>
      </c>
      <c r="J55" s="61"/>
      <c r="K55" s="71"/>
      <c r="L55" s="62" t="s">
        <v>18</v>
      </c>
      <c r="M55" s="75"/>
      <c r="N55" s="73"/>
      <c r="O55" s="15"/>
    </row>
    <row r="56" spans="1:15" x14ac:dyDescent="0.25">
      <c r="A56" s="16">
        <v>22966</v>
      </c>
      <c r="B56" s="128">
        <v>250</v>
      </c>
      <c r="C56" s="17"/>
      <c r="D56" s="13">
        <v>23037</v>
      </c>
      <c r="E56" s="70">
        <v>300</v>
      </c>
      <c r="F56" s="14"/>
      <c r="G56" s="11"/>
      <c r="H56" s="67"/>
      <c r="I56" s="12" t="s">
        <v>18</v>
      </c>
      <c r="J56" s="61">
        <v>23121</v>
      </c>
      <c r="K56" s="71">
        <v>300</v>
      </c>
      <c r="L56" s="68" t="s">
        <v>487</v>
      </c>
      <c r="M56" s="75"/>
      <c r="N56" s="73"/>
      <c r="O56" s="15"/>
    </row>
    <row r="57" spans="1:15" x14ac:dyDescent="0.25">
      <c r="A57" s="16">
        <v>22967</v>
      </c>
      <c r="B57" s="128">
        <v>400</v>
      </c>
      <c r="C57" s="17" t="s">
        <v>382</v>
      </c>
      <c r="D57" s="13">
        <v>23038</v>
      </c>
      <c r="E57" s="70">
        <v>1200</v>
      </c>
      <c r="F57" s="14" t="s">
        <v>400</v>
      </c>
      <c r="G57" s="11">
        <v>26071</v>
      </c>
      <c r="H57" s="67">
        <v>500</v>
      </c>
      <c r="I57" s="12"/>
      <c r="J57" s="61">
        <v>23122</v>
      </c>
      <c r="K57" s="71">
        <v>250</v>
      </c>
      <c r="L57" s="62" t="s">
        <v>442</v>
      </c>
      <c r="M57" s="75"/>
      <c r="N57" s="73"/>
      <c r="O57" s="15"/>
    </row>
    <row r="58" spans="1:15" x14ac:dyDescent="0.25">
      <c r="A58" s="16">
        <v>22968</v>
      </c>
      <c r="B58" s="128">
        <v>300</v>
      </c>
      <c r="C58" s="17" t="s">
        <v>382</v>
      </c>
      <c r="D58" s="13"/>
      <c r="E58" s="70"/>
      <c r="F58" s="14" t="s">
        <v>339</v>
      </c>
      <c r="G58" s="11">
        <v>26072</v>
      </c>
      <c r="H58" s="67">
        <v>400</v>
      </c>
      <c r="I58" s="12"/>
      <c r="J58" s="61"/>
      <c r="K58" s="71"/>
      <c r="L58" s="62"/>
      <c r="M58" s="75"/>
      <c r="N58" s="73"/>
      <c r="O58" s="15"/>
    </row>
    <row r="59" spans="1:15" x14ac:dyDescent="0.25">
      <c r="A59" s="16">
        <v>22969</v>
      </c>
      <c r="B59" s="128">
        <v>500</v>
      </c>
      <c r="C59" s="17"/>
      <c r="D59" s="13">
        <v>23039</v>
      </c>
      <c r="E59" s="70">
        <v>300</v>
      </c>
      <c r="F59" s="14" t="s">
        <v>470</v>
      </c>
      <c r="G59" s="11">
        <v>26073</v>
      </c>
      <c r="H59" s="67">
        <v>500</v>
      </c>
      <c r="I59" s="12" t="s">
        <v>417</v>
      </c>
      <c r="J59" s="61"/>
      <c r="K59" s="71"/>
      <c r="L59" s="62"/>
      <c r="M59" s="75"/>
      <c r="N59" s="73"/>
      <c r="O59" s="15"/>
    </row>
    <row r="60" spans="1:15" x14ac:dyDescent="0.25">
      <c r="A60" s="16">
        <v>22970</v>
      </c>
      <c r="B60" s="128">
        <v>600</v>
      </c>
      <c r="C60" s="17"/>
      <c r="D60" s="13">
        <v>23040</v>
      </c>
      <c r="E60" s="70">
        <v>1000</v>
      </c>
      <c r="F60" s="14" t="s">
        <v>400</v>
      </c>
      <c r="G60" s="11"/>
      <c r="H60" s="67"/>
      <c r="I60" s="12" t="s">
        <v>22</v>
      </c>
      <c r="J60" s="61"/>
      <c r="K60" s="71"/>
      <c r="L60" s="62"/>
      <c r="M60" s="75"/>
      <c r="N60" s="73"/>
      <c r="O60" s="15"/>
    </row>
    <row r="61" spans="1:15" x14ac:dyDescent="0.25">
      <c r="A61" s="16">
        <v>22971</v>
      </c>
      <c r="B61" s="128">
        <v>900</v>
      </c>
      <c r="C61" s="17" t="s">
        <v>463</v>
      </c>
      <c r="D61" s="13"/>
      <c r="E61" s="70"/>
      <c r="F61" s="14" t="s">
        <v>18</v>
      </c>
      <c r="G61" s="11">
        <v>23074</v>
      </c>
      <c r="H61" s="67">
        <v>300</v>
      </c>
      <c r="I61" s="12" t="s">
        <v>479</v>
      </c>
      <c r="J61" s="61"/>
      <c r="K61" s="71"/>
      <c r="L61" s="62"/>
      <c r="M61" s="75"/>
      <c r="N61" s="73"/>
      <c r="O61" s="15"/>
    </row>
    <row r="62" spans="1:15" x14ac:dyDescent="0.25">
      <c r="A62" s="16"/>
      <c r="B62" s="128"/>
      <c r="C62" s="17" t="s">
        <v>29</v>
      </c>
      <c r="D62" s="13">
        <v>23041</v>
      </c>
      <c r="E62" s="70">
        <v>2000</v>
      </c>
      <c r="F62" s="14" t="s">
        <v>471</v>
      </c>
      <c r="G62" s="11">
        <v>23075</v>
      </c>
      <c r="H62" s="67">
        <v>1500</v>
      </c>
      <c r="I62" s="12" t="s">
        <v>356</v>
      </c>
      <c r="J62" s="61"/>
      <c r="K62" s="71"/>
      <c r="L62" s="62"/>
      <c r="M62" s="75"/>
      <c r="N62" s="73"/>
      <c r="O62" s="15"/>
    </row>
    <row r="63" spans="1:15" x14ac:dyDescent="0.25">
      <c r="A63" s="16">
        <v>22972</v>
      </c>
      <c r="B63" s="128">
        <v>800</v>
      </c>
      <c r="C63" s="17"/>
      <c r="D63" s="13"/>
      <c r="E63" s="70"/>
      <c r="F63" s="14" t="s">
        <v>18</v>
      </c>
      <c r="G63" s="11"/>
      <c r="H63" s="67"/>
      <c r="I63" s="12" t="s">
        <v>18</v>
      </c>
      <c r="J63" s="61"/>
      <c r="K63" s="71"/>
      <c r="L63" s="62"/>
      <c r="M63" s="75"/>
      <c r="N63" s="73"/>
      <c r="O63" s="15"/>
    </row>
    <row r="64" spans="1:15" x14ac:dyDescent="0.25">
      <c r="A64" s="16">
        <v>22973</v>
      </c>
      <c r="B64" s="128">
        <v>400</v>
      </c>
      <c r="C64" s="17"/>
      <c r="D64" s="13"/>
      <c r="E64" s="70"/>
      <c r="F64" s="14"/>
      <c r="G64" s="11">
        <v>23076</v>
      </c>
      <c r="H64" s="67">
        <v>500</v>
      </c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22974</v>
      </c>
      <c r="B65" s="128">
        <v>400</v>
      </c>
      <c r="C65" s="17" t="s">
        <v>382</v>
      </c>
      <c r="D65" s="13"/>
      <c r="E65" s="70"/>
      <c r="F65" s="14"/>
      <c r="G65" s="11">
        <v>23077</v>
      </c>
      <c r="H65" s="67">
        <v>600</v>
      </c>
      <c r="I65" s="12" t="s">
        <v>346</v>
      </c>
      <c r="J65" s="61"/>
      <c r="K65" s="71"/>
      <c r="L65" s="62"/>
      <c r="M65" s="75"/>
      <c r="N65" s="73"/>
      <c r="O65" s="15"/>
    </row>
    <row r="66" spans="1:15" x14ac:dyDescent="0.25">
      <c r="A66" s="16">
        <v>22975</v>
      </c>
      <c r="B66" s="128">
        <v>700</v>
      </c>
      <c r="C66" s="17" t="s">
        <v>419</v>
      </c>
      <c r="D66" s="13"/>
      <c r="E66" s="70"/>
      <c r="F66" s="14"/>
      <c r="G66" s="11"/>
      <c r="H66" s="67"/>
      <c r="I66" s="12" t="s">
        <v>29</v>
      </c>
      <c r="J66" s="61"/>
      <c r="K66" s="71"/>
      <c r="L66" s="62"/>
      <c r="M66" s="75"/>
      <c r="N66" s="73"/>
      <c r="O66" s="15"/>
    </row>
    <row r="67" spans="1:15" x14ac:dyDescent="0.25">
      <c r="A67" s="16"/>
      <c r="B67" s="128"/>
      <c r="C67" s="17" t="s">
        <v>131</v>
      </c>
      <c r="D67" s="13"/>
      <c r="E67" s="70"/>
      <c r="F67" s="14"/>
      <c r="G67" s="11">
        <v>23078</v>
      </c>
      <c r="H67" s="67">
        <v>500</v>
      </c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22976</v>
      </c>
      <c r="B68" s="128"/>
      <c r="C68" s="17" t="s">
        <v>54</v>
      </c>
      <c r="D68" s="13"/>
      <c r="E68" s="70"/>
      <c r="F68" s="14"/>
      <c r="G68" s="11">
        <v>23079</v>
      </c>
      <c r="H68" s="67">
        <v>500</v>
      </c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22977</v>
      </c>
      <c r="B69" s="128">
        <v>500</v>
      </c>
      <c r="C69" s="17"/>
      <c r="D69" s="13"/>
      <c r="E69" s="70"/>
      <c r="F69" s="14"/>
      <c r="G69" s="11">
        <v>23080</v>
      </c>
      <c r="H69" s="67">
        <v>1502.4</v>
      </c>
      <c r="I69" s="12" t="s">
        <v>480</v>
      </c>
      <c r="J69" s="61"/>
      <c r="K69" s="71"/>
      <c r="L69" s="62"/>
      <c r="M69" s="75"/>
      <c r="N69" s="73"/>
      <c r="O69" s="15"/>
    </row>
    <row r="70" spans="1:15" x14ac:dyDescent="0.25">
      <c r="A70" s="16">
        <v>22978</v>
      </c>
      <c r="B70" s="128">
        <v>800</v>
      </c>
      <c r="C70" s="17" t="s">
        <v>419</v>
      </c>
      <c r="D70" s="13"/>
      <c r="E70" s="70"/>
      <c r="F70" s="14"/>
      <c r="G70" s="11"/>
      <c r="H70" s="67"/>
      <c r="I70" s="12" t="s">
        <v>18</v>
      </c>
      <c r="J70" s="61"/>
      <c r="K70" s="71"/>
      <c r="L70" s="62"/>
      <c r="M70" s="75"/>
      <c r="N70" s="73"/>
      <c r="O70" s="15"/>
    </row>
    <row r="71" spans="1:15" x14ac:dyDescent="0.25">
      <c r="A71" s="16"/>
      <c r="B71" s="128"/>
      <c r="C71" s="17" t="s">
        <v>25</v>
      </c>
      <c r="D71" s="13"/>
      <c r="E71" s="70"/>
      <c r="F71" s="14"/>
      <c r="G71" s="11"/>
      <c r="H71" s="67"/>
      <c r="I71" s="12" t="s">
        <v>230</v>
      </c>
      <c r="J71" s="61"/>
      <c r="K71" s="71"/>
      <c r="L71" s="62"/>
      <c r="M71" s="75"/>
      <c r="N71" s="73"/>
      <c r="O71" s="15"/>
    </row>
    <row r="72" spans="1:15" x14ac:dyDescent="0.25">
      <c r="A72" s="16">
        <v>22979</v>
      </c>
      <c r="B72" s="128">
        <v>300</v>
      </c>
      <c r="C72" s="17" t="s">
        <v>382</v>
      </c>
      <c r="D72" s="13"/>
      <c r="E72" s="70"/>
      <c r="F72" s="14"/>
      <c r="G72" s="11">
        <v>23081</v>
      </c>
      <c r="H72" s="67">
        <v>600</v>
      </c>
      <c r="I72" s="12" t="s">
        <v>400</v>
      </c>
      <c r="J72" s="61"/>
      <c r="K72" s="71"/>
      <c r="L72" s="62"/>
      <c r="M72" s="75"/>
      <c r="N72" s="73"/>
      <c r="O72" s="15"/>
    </row>
    <row r="73" spans="1:15" x14ac:dyDescent="0.25">
      <c r="A73" s="16">
        <v>22980</v>
      </c>
      <c r="B73" s="128">
        <v>300</v>
      </c>
      <c r="C73" s="17"/>
      <c r="D73" s="13"/>
      <c r="E73" s="70"/>
      <c r="F73" s="14"/>
      <c r="G73" s="11"/>
      <c r="H73" s="67"/>
      <c r="I73" s="12" t="s">
        <v>29</v>
      </c>
      <c r="J73" s="61"/>
      <c r="K73" s="71"/>
      <c r="L73" s="62"/>
      <c r="M73" s="75"/>
      <c r="N73" s="73"/>
      <c r="O73" s="15"/>
    </row>
    <row r="74" spans="1:15" x14ac:dyDescent="0.25">
      <c r="A74" s="16">
        <v>22981</v>
      </c>
      <c r="B74" s="128">
        <v>500</v>
      </c>
      <c r="C74" s="17"/>
      <c r="D74" s="13"/>
      <c r="E74" s="70"/>
      <c r="F74" s="14"/>
      <c r="G74" s="11">
        <v>23082</v>
      </c>
      <c r="H74" s="67"/>
      <c r="I74" s="12" t="s">
        <v>54</v>
      </c>
      <c r="J74" s="61"/>
      <c r="K74" s="71"/>
      <c r="L74" s="62"/>
      <c r="M74" s="75"/>
      <c r="N74" s="73"/>
      <c r="O74" s="15"/>
    </row>
    <row r="75" spans="1:15" x14ac:dyDescent="0.25">
      <c r="A75" s="16">
        <v>22982</v>
      </c>
      <c r="B75" s="128">
        <v>450</v>
      </c>
      <c r="C75" s="17"/>
      <c r="D75" s="13"/>
      <c r="E75" s="70"/>
      <c r="F75" s="14"/>
      <c r="G75" s="11">
        <v>23083</v>
      </c>
      <c r="H75" s="67">
        <v>500</v>
      </c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22983</v>
      </c>
      <c r="B76" s="128">
        <v>1500</v>
      </c>
      <c r="C76" s="17" t="s">
        <v>464</v>
      </c>
      <c r="D76" s="13"/>
      <c r="E76" s="70"/>
      <c r="F76" s="14"/>
      <c r="G76" s="11">
        <v>23084</v>
      </c>
      <c r="H76" s="67">
        <v>500</v>
      </c>
      <c r="I76" s="12"/>
      <c r="J76" s="61"/>
      <c r="K76" s="71"/>
      <c r="L76" s="62"/>
      <c r="M76" s="75"/>
      <c r="N76" s="73"/>
      <c r="O76" s="15"/>
    </row>
    <row r="77" spans="1:15" x14ac:dyDescent="0.25">
      <c r="A77" s="16"/>
      <c r="B77" s="128"/>
      <c r="C77" s="17" t="s">
        <v>29</v>
      </c>
      <c r="D77" s="13"/>
      <c r="E77" s="70"/>
      <c r="F77" s="14"/>
      <c r="G77" s="11">
        <v>23085</v>
      </c>
      <c r="H77" s="67">
        <v>1000</v>
      </c>
      <c r="I77" s="12" t="s">
        <v>481</v>
      </c>
      <c r="J77" s="61"/>
      <c r="K77" s="71"/>
      <c r="L77" s="62"/>
      <c r="M77" s="75"/>
      <c r="N77" s="73"/>
      <c r="O77" s="15"/>
    </row>
    <row r="78" spans="1:15" x14ac:dyDescent="0.25">
      <c r="A78" s="16">
        <v>22984</v>
      </c>
      <c r="B78" s="128">
        <v>250</v>
      </c>
      <c r="C78" s="17"/>
      <c r="D78" s="13"/>
      <c r="E78" s="70"/>
      <c r="F78" s="14"/>
      <c r="G78" s="11"/>
      <c r="H78" s="67"/>
      <c r="I78" s="12" t="s">
        <v>44</v>
      </c>
      <c r="J78" s="61"/>
      <c r="K78" s="71"/>
      <c r="L78" s="62"/>
      <c r="M78" s="75"/>
      <c r="N78" s="73"/>
      <c r="O78" s="15"/>
    </row>
    <row r="79" spans="1:15" x14ac:dyDescent="0.25">
      <c r="A79" s="16">
        <v>22985</v>
      </c>
      <c r="B79" s="128">
        <v>500</v>
      </c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22986</v>
      </c>
      <c r="B80" s="128">
        <v>250</v>
      </c>
      <c r="C80" s="17" t="s">
        <v>465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6" x14ac:dyDescent="0.25">
      <c r="A81" s="16">
        <v>22987</v>
      </c>
      <c r="B81" s="128">
        <v>500</v>
      </c>
      <c r="C81" s="17"/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6" x14ac:dyDescent="0.25">
      <c r="A82" s="16">
        <v>22988</v>
      </c>
      <c r="B82" s="128">
        <v>250</v>
      </c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6" x14ac:dyDescent="0.25">
      <c r="A83" s="16">
        <v>22989</v>
      </c>
      <c r="B83" s="128">
        <v>500</v>
      </c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  <c r="P83" s="58"/>
    </row>
    <row r="84" spans="1:16" x14ac:dyDescent="0.25">
      <c r="A84" s="16">
        <v>22990</v>
      </c>
      <c r="B84" s="128">
        <v>300</v>
      </c>
      <c r="C84" s="17"/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  <c r="P84" s="58"/>
    </row>
    <row r="85" spans="1:16" x14ac:dyDescent="0.25">
      <c r="A85" s="16">
        <v>22991</v>
      </c>
      <c r="B85" s="128">
        <v>300</v>
      </c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  <c r="P85" s="58"/>
    </row>
    <row r="86" spans="1:16" x14ac:dyDescent="0.25">
      <c r="A86" s="16">
        <v>22992</v>
      </c>
      <c r="B86" s="128">
        <v>300</v>
      </c>
      <c r="C86" s="17"/>
      <c r="D86" s="13"/>
      <c r="E86" s="70"/>
      <c r="F86" s="14"/>
      <c r="G86" s="11"/>
      <c r="H86" s="67"/>
      <c r="I86" s="12"/>
      <c r="J86" s="61"/>
      <c r="K86" s="71"/>
      <c r="L86" s="62"/>
      <c r="M86" s="26"/>
      <c r="N86" s="74"/>
      <c r="O86" s="58"/>
      <c r="P86" s="58"/>
    </row>
    <row r="87" spans="1:16" x14ac:dyDescent="0.25">
      <c r="A87" s="16">
        <v>22993</v>
      </c>
      <c r="B87" s="128">
        <v>400</v>
      </c>
      <c r="C87" s="17"/>
      <c r="D87" s="13"/>
      <c r="E87" s="70"/>
      <c r="F87" s="14"/>
      <c r="G87" s="11"/>
      <c r="H87" s="67"/>
      <c r="I87" s="12"/>
      <c r="J87" s="61"/>
      <c r="K87" s="71"/>
      <c r="L87" s="62"/>
      <c r="M87" s="26"/>
      <c r="N87" s="74"/>
      <c r="O87" s="58"/>
      <c r="P87" s="58"/>
    </row>
    <row r="88" spans="1:16" x14ac:dyDescent="0.25">
      <c r="A88" s="16">
        <v>22994</v>
      </c>
      <c r="B88" s="128">
        <v>250.15</v>
      </c>
      <c r="C88" s="17" t="s">
        <v>382</v>
      </c>
      <c r="D88" s="13"/>
      <c r="E88" s="70"/>
      <c r="F88" s="14"/>
      <c r="G88" s="11"/>
      <c r="H88" s="67"/>
      <c r="I88" s="12"/>
      <c r="J88" s="61"/>
      <c r="K88" s="71"/>
      <c r="L88" s="62"/>
      <c r="M88" s="26"/>
      <c r="N88" s="74"/>
      <c r="O88" s="58"/>
      <c r="P88" s="58"/>
    </row>
    <row r="89" spans="1:16" x14ac:dyDescent="0.25">
      <c r="A89" s="16"/>
      <c r="B89" s="128"/>
      <c r="C89" s="17" t="s">
        <v>278</v>
      </c>
      <c r="D89" s="13"/>
      <c r="E89" s="70"/>
      <c r="F89" s="14"/>
      <c r="G89" s="11"/>
      <c r="H89" s="67"/>
      <c r="I89" s="12"/>
      <c r="J89" s="61"/>
      <c r="K89" s="71"/>
      <c r="L89" s="62"/>
      <c r="M89" s="26"/>
      <c r="N89" s="74"/>
      <c r="O89" s="58"/>
      <c r="P89" s="58"/>
    </row>
    <row r="90" spans="1:16" x14ac:dyDescent="0.25">
      <c r="A90" s="16">
        <v>22995</v>
      </c>
      <c r="B90" s="128">
        <v>500.2</v>
      </c>
      <c r="C90" s="17" t="s">
        <v>382</v>
      </c>
      <c r="D90" s="13"/>
      <c r="E90" s="70"/>
      <c r="F90" s="14"/>
      <c r="G90" s="11"/>
      <c r="H90" s="67"/>
      <c r="I90" s="12"/>
      <c r="J90" s="61"/>
      <c r="K90" s="71"/>
      <c r="L90" s="62"/>
      <c r="M90" s="26"/>
      <c r="N90" s="74"/>
      <c r="O90" s="58"/>
      <c r="P90" s="58"/>
    </row>
    <row r="91" spans="1:16" x14ac:dyDescent="0.25">
      <c r="A91" s="16"/>
      <c r="B91" s="128"/>
      <c r="C91" s="17" t="s">
        <v>278</v>
      </c>
      <c r="D91" s="13"/>
      <c r="E91" s="70"/>
      <c r="F91" s="14"/>
      <c r="G91" s="11"/>
      <c r="H91" s="67"/>
      <c r="I91" s="12"/>
      <c r="J91" s="61"/>
      <c r="K91" s="71"/>
      <c r="L91" s="62"/>
      <c r="M91" s="26"/>
      <c r="N91" s="74"/>
      <c r="O91" s="58"/>
      <c r="P91" s="58"/>
    </row>
    <row r="92" spans="1:16" x14ac:dyDescent="0.25">
      <c r="A92" s="16">
        <v>22996</v>
      </c>
      <c r="B92" s="128">
        <v>500.11</v>
      </c>
      <c r="C92" s="17" t="s">
        <v>278</v>
      </c>
      <c r="D92" s="13"/>
      <c r="E92" s="70"/>
      <c r="F92" s="14"/>
      <c r="G92" s="11"/>
      <c r="H92" s="67"/>
      <c r="I92" s="12"/>
      <c r="J92" s="61"/>
      <c r="K92" s="71"/>
      <c r="L92" s="62"/>
      <c r="M92" s="26"/>
      <c r="N92" s="74"/>
      <c r="O92" s="58"/>
      <c r="P92" s="58"/>
    </row>
    <row r="93" spans="1:16" x14ac:dyDescent="0.25">
      <c r="A93" s="16">
        <v>22997</v>
      </c>
      <c r="B93" s="128">
        <v>500.2</v>
      </c>
      <c r="C93" s="17" t="s">
        <v>278</v>
      </c>
      <c r="D93" s="13"/>
      <c r="E93" s="70"/>
      <c r="F93" s="14"/>
      <c r="G93" s="11"/>
      <c r="H93" s="67"/>
      <c r="I93" s="12"/>
      <c r="J93" s="61"/>
      <c r="K93" s="71"/>
      <c r="L93" s="62"/>
      <c r="M93" s="26"/>
      <c r="N93" s="74"/>
      <c r="O93" s="58"/>
      <c r="P93" s="58"/>
    </row>
    <row r="94" spans="1:16" x14ac:dyDescent="0.25">
      <c r="A94" s="16">
        <v>22998</v>
      </c>
      <c r="B94" s="128">
        <v>50</v>
      </c>
      <c r="C94" s="17" t="s">
        <v>51</v>
      </c>
      <c r="D94" s="13"/>
      <c r="E94" s="70"/>
      <c r="F94" s="14"/>
      <c r="G94" s="11"/>
      <c r="H94" s="67"/>
      <c r="I94" s="12"/>
      <c r="J94" s="61"/>
      <c r="K94" s="71"/>
      <c r="L94" s="62"/>
      <c r="M94" s="26"/>
      <c r="N94" s="74"/>
      <c r="O94" s="58"/>
      <c r="P94" s="58"/>
    </row>
    <row r="95" spans="1:16" x14ac:dyDescent="0.25">
      <c r="A95" s="16">
        <v>22999</v>
      </c>
      <c r="B95" s="128">
        <v>150</v>
      </c>
      <c r="C95" s="17" t="s">
        <v>466</v>
      </c>
      <c r="D95" s="13"/>
      <c r="E95" s="70"/>
      <c r="F95" s="14"/>
      <c r="G95" s="11"/>
      <c r="H95" s="67"/>
      <c r="I95" s="12"/>
      <c r="J95" s="61"/>
      <c r="K95" s="71"/>
      <c r="L95" s="62"/>
      <c r="M95" s="26"/>
      <c r="N95" s="74"/>
      <c r="O95" s="58"/>
      <c r="P95" s="58"/>
    </row>
    <row r="96" spans="1:16" x14ac:dyDescent="0.25">
      <c r="A96" s="16"/>
      <c r="B96" s="128"/>
      <c r="C96" s="17"/>
      <c r="D96" s="13"/>
      <c r="E96" s="70"/>
      <c r="F96" s="14"/>
      <c r="G96" s="11"/>
      <c r="H96" s="67"/>
      <c r="I96" s="12"/>
      <c r="J96" s="61"/>
      <c r="K96" s="71"/>
      <c r="L96" s="62"/>
      <c r="M96" s="26"/>
      <c r="N96" s="74"/>
      <c r="O96" s="58"/>
      <c r="P96" s="58"/>
    </row>
    <row r="97" spans="1:16" x14ac:dyDescent="0.25">
      <c r="A97" s="26"/>
      <c r="B97" s="66"/>
      <c r="C97" s="58"/>
      <c r="D97" s="26"/>
      <c r="E97" s="74"/>
      <c r="F97" s="58"/>
      <c r="G97" s="26"/>
      <c r="H97" s="74"/>
      <c r="I97" s="58"/>
      <c r="J97" s="26"/>
      <c r="K97" s="74"/>
      <c r="L97" s="58"/>
      <c r="M97" s="26"/>
      <c r="N97" s="74"/>
      <c r="O97" s="58"/>
      <c r="P97" s="58"/>
    </row>
    <row r="98" spans="1:16" x14ac:dyDescent="0.25">
      <c r="A98" s="26"/>
      <c r="B98" s="66"/>
      <c r="C98" s="58"/>
      <c r="D98" s="26"/>
      <c r="E98" s="74"/>
      <c r="F98" s="58"/>
      <c r="G98" s="26"/>
      <c r="H98" s="74"/>
      <c r="I98" s="58"/>
      <c r="J98" s="26"/>
      <c r="K98" s="74"/>
      <c r="L98" s="58"/>
      <c r="M98" s="26"/>
      <c r="N98" s="74"/>
      <c r="O98" s="58"/>
      <c r="P98" s="58"/>
    </row>
    <row r="99" spans="1:16" x14ac:dyDescent="0.25">
      <c r="A99" s="26"/>
      <c r="B99" s="66"/>
      <c r="C99" s="58"/>
      <c r="D99" s="26"/>
      <c r="E99" s="74"/>
      <c r="F99" s="58"/>
      <c r="G99" s="26"/>
      <c r="H99" s="74"/>
      <c r="I99" s="58"/>
      <c r="J99" s="26"/>
      <c r="K99" s="74"/>
      <c r="L99" s="58"/>
      <c r="M99" s="26"/>
      <c r="N99" s="74"/>
      <c r="O99" s="58"/>
      <c r="P99" s="58"/>
    </row>
    <row r="100" spans="1:16" x14ac:dyDescent="0.25">
      <c r="A100" s="26"/>
      <c r="B100" s="66"/>
      <c r="C100" s="58"/>
      <c r="D100" s="26"/>
      <c r="E100" s="74"/>
      <c r="F100" s="58"/>
      <c r="G100" s="26"/>
      <c r="H100" s="74"/>
      <c r="I100" s="58"/>
      <c r="J100" s="26"/>
      <c r="K100" s="74"/>
      <c r="L100" s="58"/>
      <c r="M100" s="26"/>
      <c r="N100" s="74"/>
      <c r="O100" s="58"/>
      <c r="P100" s="58"/>
    </row>
    <row r="101" spans="1:16" x14ac:dyDescent="0.25">
      <c r="A101" s="26"/>
      <c r="B101" s="66"/>
      <c r="C101" s="58"/>
      <c r="D101" s="26"/>
      <c r="E101" s="74"/>
      <c r="F101" s="58"/>
      <c r="G101" s="26"/>
      <c r="H101" s="74"/>
      <c r="I101" s="58"/>
      <c r="J101" s="26"/>
      <c r="K101" s="74"/>
      <c r="L101" s="58"/>
      <c r="M101" s="26"/>
      <c r="N101" s="74"/>
      <c r="O101" s="58"/>
      <c r="P101" s="58"/>
    </row>
    <row r="102" spans="1:16" x14ac:dyDescent="0.25">
      <c r="A102" s="26"/>
      <c r="B102" s="66"/>
      <c r="C102" s="58"/>
      <c r="D102" s="26"/>
      <c r="E102" s="74"/>
      <c r="F102" s="58"/>
      <c r="G102" s="26"/>
      <c r="H102" s="74"/>
      <c r="I102" s="58"/>
      <c r="J102" s="26"/>
      <c r="K102" s="74"/>
      <c r="L102" s="58"/>
      <c r="M102" s="26"/>
      <c r="N102" s="74"/>
      <c r="O102" s="58"/>
      <c r="P102" s="58"/>
    </row>
    <row r="103" spans="1:16" x14ac:dyDescent="0.25">
      <c r="A103" s="26"/>
      <c r="B103" s="66"/>
      <c r="C103" s="58"/>
      <c r="D103" s="26"/>
      <c r="E103" s="74"/>
      <c r="F103" s="58"/>
      <c r="G103" s="26"/>
      <c r="H103" s="74"/>
      <c r="I103" s="58"/>
      <c r="J103" s="26"/>
      <c r="K103" s="74"/>
      <c r="L103" s="58"/>
      <c r="M103" s="26"/>
      <c r="N103" s="74"/>
      <c r="O103" s="58"/>
      <c r="P103" s="58"/>
    </row>
    <row r="104" spans="1:16" x14ac:dyDescent="0.25">
      <c r="A104" s="26"/>
      <c r="B104" s="66"/>
      <c r="C104" s="58"/>
      <c r="D104" s="26"/>
      <c r="E104" s="74"/>
      <c r="F104" s="58"/>
      <c r="G104" s="26"/>
      <c r="H104" s="74"/>
      <c r="I104" s="58"/>
      <c r="J104" s="26"/>
      <c r="K104" s="74"/>
      <c r="L104" s="58"/>
      <c r="M104" s="26"/>
      <c r="N104" s="74"/>
      <c r="O104" s="58"/>
      <c r="P104" s="58"/>
    </row>
    <row r="105" spans="1:16" x14ac:dyDescent="0.25">
      <c r="A105" s="26"/>
      <c r="B105" s="66"/>
      <c r="C105" s="58"/>
      <c r="D105" s="26"/>
      <c r="E105" s="74"/>
      <c r="F105" s="58"/>
      <c r="G105" s="26"/>
      <c r="H105" s="74"/>
      <c r="I105" s="58"/>
      <c r="J105" s="26"/>
      <c r="K105" s="74"/>
      <c r="L105" s="58"/>
      <c r="M105" s="26"/>
      <c r="N105" s="74"/>
      <c r="O105" s="58"/>
      <c r="P105" s="58"/>
    </row>
    <row r="106" spans="1:16" x14ac:dyDescent="0.25">
      <c r="A106" s="26"/>
      <c r="B106" s="66"/>
      <c r="C106" s="58"/>
      <c r="D106" s="26"/>
      <c r="E106" s="74"/>
      <c r="F106" s="58"/>
      <c r="G106" s="26"/>
      <c r="H106" s="74"/>
      <c r="I106" s="58"/>
      <c r="J106" s="26"/>
      <c r="K106" s="74"/>
      <c r="L106" s="58"/>
      <c r="M106" s="26"/>
      <c r="N106" s="74"/>
      <c r="O106" s="58"/>
      <c r="P106" s="58"/>
    </row>
    <row r="107" spans="1:16" x14ac:dyDescent="0.25">
      <c r="A107" s="26"/>
      <c r="B107" s="66"/>
      <c r="C107" s="58"/>
      <c r="D107" s="26"/>
      <c r="E107" s="74"/>
      <c r="F107" s="58"/>
      <c r="G107" s="26"/>
      <c r="H107" s="74"/>
      <c r="I107" s="58"/>
      <c r="J107" s="26"/>
      <c r="K107" s="74"/>
      <c r="L107" s="58"/>
      <c r="M107" s="26"/>
      <c r="N107" s="74"/>
      <c r="O107" s="58"/>
      <c r="P107" s="58"/>
    </row>
    <row r="108" spans="1:16" x14ac:dyDescent="0.25">
      <c r="A108" s="26"/>
      <c r="B108" s="66"/>
      <c r="C108" s="58"/>
      <c r="D108" s="26"/>
      <c r="E108" s="74"/>
      <c r="F108" s="58"/>
      <c r="G108" s="26"/>
      <c r="H108" s="74"/>
      <c r="I108" s="58"/>
      <c r="J108" s="26"/>
      <c r="K108" s="74"/>
      <c r="L108" s="58"/>
      <c r="M108" s="26"/>
      <c r="N108" s="74"/>
      <c r="O108" s="58"/>
      <c r="P108" s="58"/>
    </row>
    <row r="109" spans="1:16" x14ac:dyDescent="0.25">
      <c r="A109" s="26"/>
      <c r="B109" s="66"/>
      <c r="C109" s="58"/>
      <c r="D109" s="26"/>
      <c r="E109" s="74"/>
      <c r="F109" s="58"/>
      <c r="G109" s="26"/>
      <c r="H109" s="74"/>
      <c r="I109" s="58"/>
      <c r="J109" s="26"/>
      <c r="K109" s="74"/>
      <c r="L109" s="58"/>
      <c r="M109" s="26"/>
      <c r="N109" s="74"/>
      <c r="O109" s="58"/>
      <c r="P109" s="58"/>
    </row>
    <row r="110" spans="1:16" x14ac:dyDescent="0.25">
      <c r="A110" s="26"/>
      <c r="B110" s="66"/>
      <c r="C110" s="58"/>
      <c r="D110" s="26"/>
      <c r="E110" s="74"/>
      <c r="F110" s="58"/>
      <c r="G110" s="26"/>
      <c r="H110" s="74"/>
      <c r="I110" s="58"/>
      <c r="J110" s="26"/>
      <c r="K110" s="74"/>
      <c r="L110" s="58"/>
      <c r="M110" s="26"/>
      <c r="N110" s="74"/>
      <c r="O110" s="58"/>
      <c r="P110" s="58"/>
    </row>
    <row r="111" spans="1:16" x14ac:dyDescent="0.25">
      <c r="A111" s="26"/>
      <c r="B111" s="66"/>
      <c r="C111" s="58"/>
      <c r="D111" s="26"/>
      <c r="E111" s="74"/>
      <c r="F111" s="58"/>
      <c r="G111" s="26"/>
      <c r="H111" s="74"/>
      <c r="I111" s="58"/>
      <c r="J111" s="26"/>
      <c r="K111" s="74"/>
      <c r="L111" s="58"/>
      <c r="M111" s="26"/>
      <c r="N111" s="74"/>
      <c r="O111" s="58"/>
      <c r="P111" s="58"/>
    </row>
    <row r="112" spans="1:16" x14ac:dyDescent="0.25">
      <c r="A112" s="26"/>
      <c r="B112" s="66"/>
      <c r="C112" s="58"/>
      <c r="D112" s="26"/>
      <c r="E112" s="74"/>
      <c r="F112" s="58"/>
      <c r="G112" s="26"/>
      <c r="H112" s="74"/>
      <c r="I112" s="58"/>
      <c r="J112" s="26"/>
      <c r="K112" s="74"/>
      <c r="L112" s="58"/>
      <c r="M112" s="26"/>
      <c r="N112" s="74"/>
      <c r="O112" s="58"/>
      <c r="P112" s="58"/>
    </row>
    <row r="113" spans="1:16" x14ac:dyDescent="0.25">
      <c r="A113" s="26"/>
      <c r="B113" s="66"/>
      <c r="C113" s="58"/>
      <c r="D113" s="26"/>
      <c r="E113" s="74"/>
      <c r="F113" s="58"/>
      <c r="G113" s="26"/>
      <c r="H113" s="74"/>
      <c r="I113" s="58"/>
      <c r="J113" s="26"/>
      <c r="K113" s="74"/>
      <c r="L113" s="58"/>
      <c r="M113" s="26"/>
      <c r="N113" s="74"/>
      <c r="O113" s="58"/>
      <c r="P113" s="58"/>
    </row>
    <row r="114" spans="1:16" x14ac:dyDescent="0.25">
      <c r="A114" s="26"/>
      <c r="B114" s="66"/>
      <c r="C114" s="58"/>
      <c r="D114" s="26"/>
      <c r="E114" s="74"/>
      <c r="F114" s="58"/>
      <c r="G114" s="26"/>
      <c r="H114" s="74"/>
      <c r="I114" s="58"/>
      <c r="J114" s="26"/>
      <c r="K114" s="74"/>
      <c r="L114" s="58"/>
      <c r="M114" s="26"/>
      <c r="N114" s="74"/>
      <c r="O114" s="58"/>
      <c r="P114" s="58"/>
    </row>
    <row r="115" spans="1:16" x14ac:dyDescent="0.25">
      <c r="A115" s="26"/>
      <c r="B115" s="66"/>
      <c r="C115" s="58"/>
      <c r="D115" s="26"/>
      <c r="E115" s="74"/>
      <c r="F115" s="58"/>
      <c r="G115" s="26"/>
      <c r="H115" s="74"/>
      <c r="I115" s="58"/>
      <c r="J115" s="26"/>
      <c r="K115" s="74"/>
      <c r="L115" s="58"/>
      <c r="M115" s="26"/>
      <c r="N115" s="74"/>
      <c r="O115" s="58"/>
      <c r="P115" s="58"/>
    </row>
    <row r="116" spans="1:16" x14ac:dyDescent="0.25">
      <c r="A116" s="26"/>
      <c r="B116" s="66"/>
      <c r="C116" s="58"/>
      <c r="D116" s="26"/>
      <c r="E116" s="74"/>
      <c r="F116" s="58"/>
      <c r="G116" s="26"/>
      <c r="H116" s="74"/>
      <c r="I116" s="58"/>
      <c r="J116" s="26"/>
      <c r="K116" s="74"/>
      <c r="L116" s="58"/>
      <c r="M116" s="26"/>
      <c r="N116" s="74"/>
      <c r="O116" s="58"/>
      <c r="P116" s="58"/>
    </row>
    <row r="117" spans="1:16" x14ac:dyDescent="0.25">
      <c r="A117" s="26"/>
      <c r="B117" s="66"/>
      <c r="C117" s="58"/>
      <c r="D117" s="26"/>
      <c r="E117" s="74"/>
      <c r="F117" s="58"/>
      <c r="G117" s="26"/>
      <c r="H117" s="74"/>
      <c r="I117" s="58"/>
      <c r="J117" s="26"/>
      <c r="K117" s="74"/>
      <c r="L117" s="58"/>
      <c r="M117" s="26"/>
      <c r="N117" s="74"/>
      <c r="O117" s="58"/>
      <c r="P117" s="58"/>
    </row>
    <row r="118" spans="1:16" x14ac:dyDescent="0.25">
      <c r="A118" s="26"/>
      <c r="B118" s="66"/>
      <c r="C118" s="58"/>
      <c r="D118" s="26"/>
      <c r="E118" s="74"/>
      <c r="F118" s="58"/>
      <c r="G118" s="26"/>
      <c r="H118" s="74"/>
      <c r="I118" s="58"/>
      <c r="J118" s="26"/>
      <c r="K118" s="74"/>
      <c r="L118" s="58"/>
      <c r="M118" s="26"/>
      <c r="N118" s="74"/>
      <c r="O118" s="58"/>
      <c r="P118" s="58"/>
    </row>
    <row r="119" spans="1:16" x14ac:dyDescent="0.25">
      <c r="A119" s="26"/>
      <c r="B119" s="66"/>
      <c r="C119" s="58"/>
      <c r="D119" s="26"/>
      <c r="E119" s="74"/>
      <c r="F119" s="58"/>
      <c r="G119" s="26"/>
      <c r="H119" s="74"/>
      <c r="I119" s="58"/>
      <c r="J119" s="26"/>
      <c r="K119" s="74"/>
      <c r="L119" s="58"/>
      <c r="M119" s="26"/>
      <c r="N119" s="74"/>
      <c r="O119" s="58"/>
      <c r="P119" s="58"/>
    </row>
    <row r="120" spans="1:16" x14ac:dyDescent="0.25">
      <c r="A120" s="26"/>
      <c r="B120" s="66"/>
      <c r="C120" s="58"/>
      <c r="D120" s="26"/>
      <c r="E120" s="74"/>
      <c r="F120" s="58"/>
      <c r="G120" s="26"/>
      <c r="H120" s="74"/>
      <c r="I120" s="58"/>
      <c r="J120" s="26"/>
      <c r="K120" s="74"/>
      <c r="L120" s="58"/>
      <c r="M120" s="26"/>
      <c r="N120" s="74"/>
      <c r="O120" s="58"/>
      <c r="P120" s="58"/>
    </row>
    <row r="121" spans="1:16" x14ac:dyDescent="0.25">
      <c r="A121" s="26"/>
      <c r="B121" s="66"/>
      <c r="C121" s="58"/>
      <c r="D121" s="26"/>
      <c r="E121" s="74"/>
      <c r="F121" s="58"/>
      <c r="G121" s="26"/>
      <c r="H121" s="74"/>
      <c r="I121" s="58"/>
      <c r="J121" s="26"/>
      <c r="K121" s="74"/>
      <c r="L121" s="58"/>
      <c r="M121" s="26"/>
      <c r="N121" s="74"/>
      <c r="O121" s="58"/>
      <c r="P121" s="58"/>
    </row>
    <row r="122" spans="1:16" x14ac:dyDescent="0.25">
      <c r="A122" s="26"/>
      <c r="B122" s="66"/>
      <c r="C122" s="58"/>
      <c r="D122" s="26"/>
      <c r="E122" s="74"/>
      <c r="F122" s="58"/>
      <c r="G122" s="26"/>
      <c r="H122" s="74"/>
      <c r="I122" s="58"/>
      <c r="J122" s="26"/>
      <c r="K122" s="74"/>
      <c r="L122" s="58"/>
      <c r="M122" s="26"/>
      <c r="N122" s="74"/>
      <c r="O122" s="58"/>
      <c r="P122" s="58"/>
    </row>
    <row r="123" spans="1:16" x14ac:dyDescent="0.25">
      <c r="A123" s="26"/>
      <c r="B123" s="66"/>
      <c r="C123" s="58"/>
      <c r="D123" s="26"/>
      <c r="E123" s="74"/>
      <c r="F123" s="58"/>
      <c r="G123" s="26"/>
      <c r="H123" s="74"/>
      <c r="I123" s="58"/>
      <c r="J123" s="26"/>
      <c r="K123" s="74"/>
      <c r="L123" s="58"/>
      <c r="M123" s="26"/>
      <c r="N123" s="74"/>
      <c r="O123" s="58"/>
      <c r="P123" s="58"/>
    </row>
    <row r="124" spans="1:16" x14ac:dyDescent="0.25">
      <c r="A124" s="26"/>
      <c r="B124" s="66"/>
      <c r="C124" s="58"/>
      <c r="D124" s="26"/>
      <c r="E124" s="74"/>
      <c r="F124" s="58"/>
      <c r="G124" s="26"/>
      <c r="H124" s="74"/>
      <c r="I124" s="58"/>
      <c r="J124" s="26"/>
      <c r="K124" s="74"/>
      <c r="L124" s="58"/>
      <c r="M124" s="26"/>
      <c r="N124" s="74"/>
      <c r="O124" s="58"/>
      <c r="P124" s="58"/>
    </row>
    <row r="125" spans="1:16" x14ac:dyDescent="0.25">
      <c r="A125" s="26"/>
      <c r="B125" s="66"/>
      <c r="C125" s="58"/>
      <c r="D125" s="26"/>
      <c r="E125" s="74"/>
      <c r="F125" s="58"/>
      <c r="G125" s="26"/>
      <c r="H125" s="74"/>
      <c r="I125" s="58"/>
      <c r="J125" s="26"/>
      <c r="K125" s="74"/>
      <c r="L125" s="58"/>
      <c r="M125" s="26"/>
      <c r="N125" s="74"/>
      <c r="O125" s="58"/>
      <c r="P125" s="58"/>
    </row>
    <row r="126" spans="1:16" x14ac:dyDescent="0.25">
      <c r="A126" s="26"/>
      <c r="B126" s="66"/>
      <c r="C126" s="58"/>
      <c r="D126" s="26"/>
      <c r="E126" s="74"/>
      <c r="F126" s="58"/>
      <c r="G126" s="26"/>
      <c r="H126" s="74"/>
      <c r="I126" s="58"/>
      <c r="J126" s="26"/>
      <c r="K126" s="74"/>
      <c r="L126" s="58"/>
      <c r="M126" s="26"/>
      <c r="N126" s="74"/>
      <c r="O126" s="58"/>
      <c r="P126" s="58"/>
    </row>
    <row r="127" spans="1:16" x14ac:dyDescent="0.25">
      <c r="A127" s="26"/>
      <c r="B127" s="66"/>
      <c r="C127" s="58"/>
      <c r="D127" s="26"/>
      <c r="E127" s="74"/>
      <c r="F127" s="58"/>
      <c r="G127" s="26"/>
      <c r="H127" s="74"/>
      <c r="I127" s="58"/>
      <c r="J127" s="26"/>
      <c r="K127" s="74"/>
      <c r="L127" s="58"/>
      <c r="M127" s="26"/>
      <c r="N127" s="74"/>
      <c r="O127" s="58"/>
      <c r="P127" s="58"/>
    </row>
    <row r="128" spans="1:16" x14ac:dyDescent="0.25">
      <c r="A128" s="26"/>
      <c r="B128" s="66"/>
      <c r="C128" s="58"/>
      <c r="D128" s="26"/>
      <c r="E128" s="74"/>
      <c r="F128" s="58"/>
      <c r="G128" s="26"/>
      <c r="H128" s="74"/>
      <c r="I128" s="58"/>
      <c r="J128" s="26"/>
      <c r="K128" s="74"/>
      <c r="L128" s="58"/>
      <c r="M128" s="26"/>
      <c r="N128" s="74"/>
      <c r="O128" s="58"/>
      <c r="P128" s="58"/>
    </row>
    <row r="129" spans="1:16" x14ac:dyDescent="0.25">
      <c r="A129" s="26"/>
      <c r="B129" s="66"/>
      <c r="C129" s="58"/>
      <c r="D129" s="26"/>
      <c r="E129" s="74"/>
      <c r="F129" s="58"/>
      <c r="G129" s="26"/>
      <c r="H129" s="74"/>
      <c r="I129" s="58"/>
      <c r="J129" s="26"/>
      <c r="K129" s="74"/>
      <c r="L129" s="58"/>
      <c r="M129" s="26"/>
      <c r="N129" s="74"/>
      <c r="O129" s="58"/>
      <c r="P129" s="58"/>
    </row>
    <row r="130" spans="1:16" x14ac:dyDescent="0.25">
      <c r="A130" s="26"/>
      <c r="B130" s="66"/>
      <c r="C130" s="58"/>
      <c r="D130" s="26"/>
      <c r="E130" s="74"/>
      <c r="F130" s="58"/>
      <c r="G130" s="26"/>
      <c r="H130" s="74"/>
      <c r="I130" s="58"/>
      <c r="J130" s="26"/>
      <c r="K130" s="74"/>
      <c r="L130" s="58"/>
      <c r="M130" s="26"/>
      <c r="N130" s="74"/>
      <c r="O130" s="58"/>
      <c r="P130" s="58"/>
    </row>
    <row r="131" spans="1:16" x14ac:dyDescent="0.25">
      <c r="A131" s="26"/>
      <c r="B131" s="66"/>
      <c r="C131" s="58"/>
      <c r="D131" s="26"/>
      <c r="E131" s="74"/>
      <c r="F131" s="58"/>
      <c r="G131" s="26"/>
      <c r="H131" s="74"/>
      <c r="I131" s="58"/>
      <c r="J131" s="26"/>
      <c r="K131" s="74"/>
      <c r="L131" s="58"/>
      <c r="M131" s="26"/>
      <c r="N131" s="74"/>
      <c r="O131" s="58"/>
      <c r="P131" s="58"/>
    </row>
    <row r="132" spans="1:16" x14ac:dyDescent="0.25">
      <c r="A132" s="26"/>
      <c r="B132" s="66"/>
      <c r="C132" s="58"/>
      <c r="D132" s="26"/>
      <c r="E132" s="74"/>
      <c r="F132" s="58"/>
      <c r="G132" s="26"/>
      <c r="H132" s="74"/>
      <c r="I132" s="58"/>
      <c r="J132" s="26"/>
      <c r="K132" s="74"/>
      <c r="L132" s="58"/>
      <c r="M132" s="26"/>
      <c r="N132" s="74"/>
      <c r="O132" s="58"/>
      <c r="P132" s="58"/>
    </row>
    <row r="133" spans="1:16" x14ac:dyDescent="0.25">
      <c r="A133" s="26"/>
      <c r="B133" s="66"/>
      <c r="C133" s="58"/>
      <c r="D133" s="26"/>
      <c r="E133" s="74"/>
      <c r="F133" s="58"/>
      <c r="G133" s="26"/>
      <c r="H133" s="74"/>
      <c r="I133" s="58"/>
      <c r="J133" s="26"/>
      <c r="K133" s="74"/>
      <c r="L133" s="58"/>
      <c r="M133" s="26"/>
      <c r="N133" s="74"/>
      <c r="O133" s="58"/>
      <c r="P133" s="58"/>
    </row>
    <row r="134" spans="1:16" x14ac:dyDescent="0.25">
      <c r="A134" s="26"/>
      <c r="B134" s="66"/>
      <c r="C134" s="58"/>
      <c r="D134" s="26"/>
      <c r="E134" s="74"/>
      <c r="F134" s="58"/>
      <c r="G134" s="26"/>
      <c r="H134" s="74"/>
      <c r="I134" s="58"/>
      <c r="J134" s="26"/>
      <c r="K134" s="74"/>
      <c r="L134" s="58"/>
      <c r="M134" s="26"/>
      <c r="N134" s="74"/>
      <c r="O134" s="58"/>
      <c r="P134" s="58"/>
    </row>
    <row r="135" spans="1:16" x14ac:dyDescent="0.25">
      <c r="A135" s="26"/>
      <c r="B135" s="66"/>
      <c r="C135" s="58"/>
      <c r="D135" s="26"/>
      <c r="E135" s="74"/>
      <c r="F135" s="58"/>
      <c r="G135" s="26"/>
      <c r="H135" s="74"/>
      <c r="I135" s="58"/>
      <c r="J135" s="26"/>
      <c r="K135" s="74"/>
      <c r="L135" s="58"/>
      <c r="M135" s="26"/>
      <c r="N135" s="74"/>
      <c r="O135" s="58"/>
      <c r="P135" s="58"/>
    </row>
    <row r="136" spans="1:16" x14ac:dyDescent="0.25">
      <c r="A136" s="26"/>
      <c r="B136" s="66"/>
      <c r="C136" s="58"/>
      <c r="D136" s="26"/>
      <c r="E136" s="74"/>
      <c r="F136" s="58"/>
      <c r="G136" s="26"/>
      <c r="H136" s="74"/>
      <c r="I136" s="58"/>
      <c r="J136" s="26"/>
      <c r="K136" s="74"/>
      <c r="L136" s="58"/>
      <c r="M136" s="26"/>
      <c r="N136" s="74"/>
      <c r="O136" s="58"/>
      <c r="P136" s="58"/>
    </row>
    <row r="137" spans="1:16" x14ac:dyDescent="0.25">
      <c r="A137" s="26"/>
      <c r="B137" s="66"/>
      <c r="C137" s="58"/>
      <c r="D137" s="26"/>
      <c r="E137" s="74"/>
      <c r="F137" s="58"/>
      <c r="G137" s="26"/>
      <c r="H137" s="74"/>
      <c r="I137" s="58"/>
      <c r="J137" s="26"/>
      <c r="K137" s="74"/>
      <c r="L137" s="58"/>
      <c r="M137" s="26"/>
      <c r="N137" s="74"/>
      <c r="O137" s="58"/>
      <c r="P137" s="58"/>
    </row>
    <row r="138" spans="1:16" x14ac:dyDescent="0.25">
      <c r="A138" s="26"/>
      <c r="B138" s="66"/>
      <c r="C138" s="58"/>
      <c r="D138" s="26"/>
      <c r="E138" s="74"/>
      <c r="F138" s="58"/>
      <c r="G138" s="26"/>
      <c r="H138" s="74"/>
      <c r="I138" s="58"/>
      <c r="J138" s="26"/>
      <c r="K138" s="74"/>
      <c r="L138" s="58"/>
      <c r="M138" s="26"/>
      <c r="N138" s="74"/>
      <c r="O138" s="58"/>
      <c r="P138" s="58"/>
    </row>
    <row r="139" spans="1:16" x14ac:dyDescent="0.25">
      <c r="A139" s="26"/>
      <c r="B139" s="66"/>
      <c r="C139" s="58"/>
      <c r="D139" s="26"/>
      <c r="E139" s="74"/>
      <c r="F139" s="58"/>
      <c r="G139" s="26"/>
      <c r="H139" s="74"/>
      <c r="I139" s="58"/>
      <c r="J139" s="26"/>
      <c r="K139" s="74"/>
      <c r="L139" s="58"/>
      <c r="M139" s="26"/>
      <c r="N139" s="74"/>
      <c r="O139" s="58"/>
      <c r="P139" s="58"/>
    </row>
    <row r="140" spans="1:16" x14ac:dyDescent="0.25">
      <c r="A140" s="26"/>
      <c r="B140" s="66"/>
      <c r="C140" s="58"/>
      <c r="D140" s="26"/>
      <c r="E140" s="74"/>
      <c r="F140" s="58"/>
      <c r="G140" s="26"/>
      <c r="H140" s="74"/>
      <c r="I140" s="58"/>
      <c r="J140" s="26"/>
      <c r="K140" s="74"/>
      <c r="L140" s="58"/>
      <c r="M140" s="26"/>
      <c r="N140" s="74"/>
      <c r="O140" s="58"/>
      <c r="P140" s="58"/>
    </row>
    <row r="141" spans="1:16" x14ac:dyDescent="0.25">
      <c r="A141" s="26"/>
      <c r="B141" s="66"/>
      <c r="C141" s="58"/>
      <c r="D141" s="26"/>
      <c r="E141" s="74"/>
      <c r="F141" s="58"/>
      <c r="G141" s="26"/>
      <c r="H141" s="74"/>
      <c r="I141" s="58"/>
      <c r="J141" s="26"/>
      <c r="K141" s="74"/>
      <c r="L141" s="58"/>
      <c r="M141" s="26"/>
      <c r="N141" s="74"/>
      <c r="O141" s="58"/>
      <c r="P141" s="58"/>
    </row>
    <row r="142" spans="1:16" x14ac:dyDescent="0.25">
      <c r="A142" s="26"/>
      <c r="B142" s="66"/>
      <c r="C142" s="58"/>
      <c r="D142" s="26"/>
      <c r="E142" s="74"/>
      <c r="F142" s="58"/>
      <c r="G142" s="26"/>
      <c r="H142" s="74"/>
      <c r="I142" s="58"/>
      <c r="J142" s="26"/>
      <c r="K142" s="74"/>
      <c r="L142" s="58"/>
      <c r="M142" s="26"/>
      <c r="N142" s="74"/>
      <c r="O142" s="58"/>
      <c r="P142" s="58"/>
    </row>
    <row r="143" spans="1:16" x14ac:dyDescent="0.25">
      <c r="A143" s="26"/>
      <c r="B143" s="66"/>
      <c r="C143" s="58"/>
      <c r="D143" s="26"/>
      <c r="E143" s="74"/>
      <c r="F143" s="58"/>
      <c r="G143" s="26"/>
      <c r="H143" s="74"/>
      <c r="I143" s="58"/>
      <c r="J143" s="26"/>
      <c r="K143" s="74"/>
      <c r="L143" s="58"/>
      <c r="M143" s="26"/>
      <c r="N143" s="74"/>
      <c r="O143" s="58"/>
      <c r="P143" s="58"/>
    </row>
    <row r="144" spans="1:16" x14ac:dyDescent="0.25">
      <c r="A144" s="26"/>
      <c r="B144" s="66"/>
      <c r="C144" s="58"/>
      <c r="D144" s="26"/>
      <c r="E144" s="74"/>
      <c r="F144" s="58"/>
      <c r="G144" s="26"/>
      <c r="H144" s="74"/>
      <c r="I144" s="58"/>
      <c r="J144" s="26"/>
      <c r="K144" s="74"/>
      <c r="L144" s="58"/>
      <c r="M144" s="26"/>
      <c r="N144" s="74"/>
      <c r="O144" s="58"/>
      <c r="P144" s="58"/>
    </row>
    <row r="145" spans="1:16" x14ac:dyDescent="0.25">
      <c r="A145" s="26"/>
      <c r="B145" s="66"/>
      <c r="C145" s="58"/>
      <c r="D145" s="26"/>
      <c r="E145" s="74"/>
      <c r="F145" s="58"/>
      <c r="G145" s="26"/>
      <c r="H145" s="74"/>
      <c r="I145" s="58"/>
      <c r="J145" s="26"/>
      <c r="K145" s="74"/>
      <c r="L145" s="58"/>
      <c r="M145" s="26"/>
      <c r="N145" s="74"/>
      <c r="O145" s="58"/>
      <c r="P145" s="58"/>
    </row>
    <row r="146" spans="1:16" x14ac:dyDescent="0.25">
      <c r="A146" s="26"/>
      <c r="B146" s="66"/>
      <c r="C146" s="58"/>
      <c r="D146" s="26"/>
      <c r="E146" s="74"/>
      <c r="F146" s="58"/>
      <c r="G146" s="26"/>
      <c r="H146" s="74"/>
      <c r="I146" s="58"/>
      <c r="J146" s="26"/>
      <c r="K146" s="74"/>
      <c r="L146" s="58"/>
      <c r="M146" s="26"/>
      <c r="N146" s="74"/>
      <c r="O146" s="58"/>
      <c r="P146" s="58"/>
    </row>
    <row r="147" spans="1:16" x14ac:dyDescent="0.25">
      <c r="A147" s="26"/>
      <c r="B147" s="66"/>
      <c r="C147" s="58"/>
      <c r="D147" s="26"/>
      <c r="E147" s="74"/>
      <c r="F147" s="58"/>
      <c r="G147" s="26"/>
      <c r="H147" s="74"/>
      <c r="I147" s="58"/>
      <c r="J147" s="26"/>
      <c r="K147" s="74"/>
      <c r="L147" s="58"/>
      <c r="M147" s="26"/>
      <c r="N147" s="74"/>
      <c r="O147" s="58"/>
      <c r="P147" s="58"/>
    </row>
    <row r="148" spans="1:16" x14ac:dyDescent="0.25">
      <c r="A148" s="26"/>
      <c r="B148" s="66"/>
      <c r="C148" s="58"/>
      <c r="D148" s="26"/>
      <c r="E148" s="74"/>
      <c r="F148" s="58"/>
      <c r="G148" s="26"/>
      <c r="H148" s="74"/>
      <c r="I148" s="58"/>
      <c r="J148" s="26"/>
      <c r="K148" s="74"/>
      <c r="L148" s="58"/>
      <c r="M148" s="26"/>
      <c r="N148" s="74"/>
      <c r="O148" s="58"/>
      <c r="P148" s="58"/>
    </row>
    <row r="149" spans="1:16" x14ac:dyDescent="0.25">
      <c r="A149" s="26"/>
      <c r="B149" s="66"/>
      <c r="C149" s="58"/>
      <c r="D149" s="26"/>
      <c r="E149" s="74"/>
      <c r="F149" s="58"/>
      <c r="G149" s="26"/>
      <c r="H149" s="74"/>
      <c r="I149" s="58"/>
      <c r="J149" s="26"/>
      <c r="K149" s="74"/>
      <c r="L149" s="58"/>
      <c r="M149" s="26"/>
      <c r="N149" s="74"/>
      <c r="O149" s="58"/>
      <c r="P149" s="58"/>
    </row>
    <row r="150" spans="1:16" x14ac:dyDescent="0.25">
      <c r="A150" s="26"/>
      <c r="B150" s="66"/>
      <c r="C150" s="58"/>
      <c r="D150" s="26"/>
      <c r="E150" s="74"/>
      <c r="F150" s="58"/>
      <c r="G150" s="26"/>
      <c r="H150" s="74"/>
      <c r="I150" s="58"/>
      <c r="J150" s="26"/>
      <c r="K150" s="74"/>
      <c r="L150" s="58"/>
      <c r="M150" s="26"/>
      <c r="N150" s="74"/>
      <c r="O150" s="58"/>
      <c r="P150" s="58"/>
    </row>
    <row r="151" spans="1:16" x14ac:dyDescent="0.25">
      <c r="A151" s="26"/>
      <c r="B151" s="66"/>
      <c r="C151" s="58"/>
      <c r="D151" s="26"/>
      <c r="E151" s="74"/>
      <c r="F151" s="58"/>
      <c r="G151" s="26"/>
      <c r="H151" s="74"/>
      <c r="I151" s="58"/>
      <c r="J151" s="26"/>
      <c r="K151" s="74"/>
      <c r="L151" s="58"/>
      <c r="M151" s="26"/>
      <c r="N151" s="74"/>
      <c r="O151" s="58"/>
      <c r="P151" s="58"/>
    </row>
    <row r="152" spans="1:16" x14ac:dyDescent="0.25">
      <c r="A152" s="26"/>
      <c r="B152" s="66"/>
      <c r="C152" s="58"/>
      <c r="D152" s="26"/>
      <c r="E152" s="74"/>
      <c r="F152" s="58"/>
      <c r="G152" s="26"/>
      <c r="H152" s="74"/>
      <c r="I152" s="58"/>
      <c r="J152" s="26"/>
      <c r="K152" s="74"/>
      <c r="L152" s="58"/>
      <c r="M152" s="26"/>
      <c r="N152" s="74"/>
      <c r="O152" s="58"/>
      <c r="P152" s="58"/>
    </row>
    <row r="153" spans="1:16" x14ac:dyDescent="0.25">
      <c r="A153" s="26"/>
      <c r="B153" s="66"/>
      <c r="C153" s="58"/>
      <c r="D153" s="26"/>
      <c r="E153" s="74"/>
      <c r="F153" s="58"/>
      <c r="G153" s="26"/>
      <c r="H153" s="74"/>
      <c r="I153" s="58"/>
      <c r="J153" s="26"/>
      <c r="K153" s="74"/>
      <c r="L153" s="58"/>
      <c r="M153" s="26"/>
      <c r="N153" s="74"/>
      <c r="O153" s="58"/>
      <c r="P153" s="58"/>
    </row>
    <row r="154" spans="1:16" x14ac:dyDescent="0.25">
      <c r="A154" s="26"/>
      <c r="B154" s="66"/>
      <c r="C154" s="58"/>
      <c r="D154" s="26"/>
      <c r="E154" s="74"/>
      <c r="F154" s="58"/>
      <c r="G154" s="26"/>
      <c r="H154" s="74"/>
      <c r="I154" s="58"/>
      <c r="J154" s="26"/>
      <c r="K154" s="74"/>
      <c r="L154" s="58"/>
      <c r="M154" s="26"/>
      <c r="N154" s="74"/>
      <c r="O154" s="58"/>
      <c r="P154" s="58"/>
    </row>
    <row r="155" spans="1:16" x14ac:dyDescent="0.25">
      <c r="A155" s="26"/>
      <c r="B155" s="66"/>
      <c r="C155" s="58"/>
      <c r="D155" s="26"/>
      <c r="E155" s="74"/>
      <c r="F155" s="58"/>
      <c r="G155" s="26"/>
      <c r="H155" s="74"/>
      <c r="I155" s="58"/>
      <c r="J155" s="26"/>
      <c r="K155" s="74"/>
      <c r="L155" s="58"/>
      <c r="M155" s="26"/>
      <c r="N155" s="74"/>
      <c r="O155" s="58"/>
      <c r="P155" s="58"/>
    </row>
    <row r="156" spans="1:16" x14ac:dyDescent="0.25">
      <c r="A156" s="26"/>
      <c r="B156" s="66"/>
      <c r="C156" s="58"/>
      <c r="D156" s="26"/>
      <c r="E156" s="74"/>
      <c r="F156" s="58"/>
      <c r="G156" s="26"/>
      <c r="H156" s="74"/>
      <c r="I156" s="58"/>
      <c r="J156" s="26"/>
      <c r="K156" s="74"/>
      <c r="L156" s="58"/>
      <c r="M156" s="26"/>
      <c r="N156" s="74"/>
      <c r="O156" s="58"/>
      <c r="P156" s="58"/>
    </row>
    <row r="157" spans="1:16" x14ac:dyDescent="0.25">
      <c r="A157" s="26"/>
      <c r="B157" s="66"/>
      <c r="C157" s="58"/>
      <c r="D157" s="26"/>
      <c r="E157" s="74"/>
      <c r="F157" s="58"/>
      <c r="G157" s="26"/>
      <c r="H157" s="74"/>
      <c r="I157" s="58"/>
      <c r="J157" s="26"/>
      <c r="K157" s="74"/>
      <c r="L157" s="58"/>
      <c r="M157" s="26"/>
      <c r="N157" s="74"/>
      <c r="O157" s="58"/>
      <c r="P157" s="58"/>
    </row>
    <row r="158" spans="1:16" x14ac:dyDescent="0.25">
      <c r="A158" s="26"/>
      <c r="B158" s="66"/>
      <c r="C158" s="58"/>
      <c r="D158" s="26"/>
      <c r="E158" s="74"/>
      <c r="F158" s="58"/>
      <c r="G158" s="26"/>
      <c r="H158" s="74"/>
      <c r="I158" s="58"/>
      <c r="J158" s="26"/>
      <c r="K158" s="74"/>
      <c r="L158" s="58"/>
      <c r="M158" s="26"/>
      <c r="N158" s="74"/>
      <c r="O158" s="58"/>
      <c r="P158" s="58"/>
    </row>
    <row r="159" spans="1:16" x14ac:dyDescent="0.25">
      <c r="A159" s="26"/>
      <c r="B159" s="66"/>
      <c r="C159" s="58"/>
      <c r="D159" s="26"/>
      <c r="E159" s="74"/>
      <c r="F159" s="58"/>
      <c r="G159" s="26"/>
      <c r="H159" s="74"/>
      <c r="I159" s="58"/>
      <c r="J159" s="26"/>
      <c r="K159" s="74"/>
      <c r="L159" s="58"/>
      <c r="M159" s="26"/>
      <c r="N159" s="74"/>
      <c r="O159" s="58"/>
      <c r="P159" s="58"/>
    </row>
    <row r="160" spans="1:16" x14ac:dyDescent="0.25">
      <c r="A160" s="26"/>
      <c r="B160" s="66"/>
      <c r="C160" s="58"/>
      <c r="D160" s="26"/>
      <c r="E160" s="74"/>
      <c r="F160" s="58"/>
      <c r="G160" s="26"/>
      <c r="H160" s="74"/>
      <c r="I160" s="58"/>
      <c r="J160" s="26"/>
      <c r="K160" s="74"/>
      <c r="L160" s="58"/>
      <c r="M160" s="26"/>
      <c r="N160" s="74"/>
      <c r="O160" s="58"/>
      <c r="P160" s="58"/>
    </row>
    <row r="161" spans="1:16" x14ac:dyDescent="0.25">
      <c r="A161" s="26"/>
      <c r="B161" s="66"/>
      <c r="C161" s="58"/>
      <c r="D161" s="26"/>
      <c r="E161" s="74"/>
      <c r="F161" s="58"/>
      <c r="G161" s="26"/>
      <c r="H161" s="74"/>
      <c r="I161" s="58"/>
      <c r="J161" s="26"/>
      <c r="K161" s="74"/>
      <c r="L161" s="58"/>
      <c r="M161" s="26"/>
      <c r="N161" s="74"/>
      <c r="O161" s="58"/>
      <c r="P161" s="58"/>
    </row>
    <row r="162" spans="1:16" x14ac:dyDescent="0.25">
      <c r="A162" s="26"/>
      <c r="B162" s="66"/>
      <c r="C162" s="58"/>
      <c r="D162" s="26"/>
      <c r="E162" s="74"/>
      <c r="F162" s="58"/>
      <c r="G162" s="26"/>
      <c r="H162" s="74"/>
      <c r="I162" s="58"/>
      <c r="J162" s="26"/>
      <c r="K162" s="74"/>
      <c r="L162" s="58"/>
      <c r="M162" s="26"/>
      <c r="N162" s="74"/>
      <c r="O162" s="58"/>
      <c r="P162" s="58"/>
    </row>
    <row r="163" spans="1:16" x14ac:dyDescent="0.25">
      <c r="A163" s="26"/>
      <c r="B163" s="66"/>
      <c r="C163" s="58"/>
      <c r="D163" s="26"/>
      <c r="E163" s="74"/>
      <c r="F163" s="58"/>
      <c r="G163" s="26"/>
      <c r="H163" s="74"/>
      <c r="I163" s="58"/>
      <c r="J163" s="26"/>
      <c r="K163" s="74"/>
      <c r="L163" s="58"/>
      <c r="M163" s="26"/>
      <c r="N163" s="74"/>
      <c r="O163" s="58"/>
      <c r="P163" s="58"/>
    </row>
    <row r="164" spans="1:16" x14ac:dyDescent="0.25">
      <c r="A164" s="26"/>
      <c r="B164" s="66"/>
      <c r="C164" s="58"/>
      <c r="D164" s="26"/>
      <c r="E164" s="74"/>
      <c r="F164" s="58"/>
      <c r="G164" s="26"/>
      <c r="H164" s="74"/>
      <c r="I164" s="58"/>
      <c r="J164" s="26"/>
      <c r="K164" s="74"/>
      <c r="L164" s="58"/>
      <c r="M164" s="26"/>
      <c r="N164" s="74"/>
      <c r="O164" s="58"/>
      <c r="P164" s="58"/>
    </row>
    <row r="165" spans="1:16" x14ac:dyDescent="0.25">
      <c r="A165" s="26"/>
      <c r="B165" s="66"/>
      <c r="C165" s="58"/>
      <c r="D165" s="26"/>
      <c r="E165" s="74"/>
      <c r="F165" s="58"/>
      <c r="G165" s="26"/>
      <c r="H165" s="74"/>
      <c r="I165" s="58"/>
      <c r="J165" s="26"/>
      <c r="K165" s="74"/>
      <c r="L165" s="58"/>
      <c r="M165" s="26"/>
      <c r="N165" s="74"/>
      <c r="O165" s="58"/>
      <c r="P165" s="58"/>
    </row>
    <row r="166" spans="1:16" x14ac:dyDescent="0.25">
      <c r="A166" s="26"/>
      <c r="B166" s="66"/>
      <c r="C166" s="58"/>
      <c r="D166" s="26"/>
      <c r="E166" s="74"/>
      <c r="F166" s="58"/>
      <c r="G166" s="26"/>
      <c r="H166" s="74"/>
      <c r="I166" s="58"/>
      <c r="J166" s="26"/>
      <c r="K166" s="74"/>
      <c r="L166" s="58"/>
      <c r="M166" s="26"/>
      <c r="N166" s="74"/>
      <c r="O166" s="58"/>
      <c r="P166" s="58"/>
    </row>
    <row r="167" spans="1:16" x14ac:dyDescent="0.25">
      <c r="A167" s="26"/>
      <c r="B167" s="66"/>
      <c r="C167" s="58"/>
      <c r="D167" s="26"/>
      <c r="E167" s="74"/>
      <c r="F167" s="58"/>
      <c r="G167" s="26"/>
      <c r="H167" s="74"/>
      <c r="I167" s="58"/>
      <c r="J167" s="26"/>
      <c r="K167" s="74"/>
      <c r="L167" s="58"/>
      <c r="M167" s="26"/>
      <c r="N167" s="74"/>
      <c r="O167" s="58"/>
      <c r="P167" s="58"/>
    </row>
    <row r="168" spans="1:16" x14ac:dyDescent="0.25">
      <c r="A168" s="26"/>
      <c r="B168" s="66"/>
      <c r="C168" s="58"/>
      <c r="D168" s="26"/>
      <c r="E168" s="74"/>
      <c r="F168" s="58"/>
      <c r="G168" s="26"/>
      <c r="H168" s="74"/>
      <c r="I168" s="58"/>
      <c r="J168" s="26"/>
      <c r="K168" s="74"/>
      <c r="L168" s="58"/>
      <c r="M168" s="26"/>
      <c r="N168" s="74"/>
      <c r="O168" s="58"/>
      <c r="P168" s="58"/>
    </row>
    <row r="169" spans="1:16" x14ac:dyDescent="0.25">
      <c r="A169" s="26"/>
      <c r="B169" s="66"/>
      <c r="C169" s="58"/>
      <c r="D169" s="26"/>
      <c r="E169" s="74"/>
      <c r="F169" s="58"/>
      <c r="G169" s="26"/>
      <c r="H169" s="74"/>
      <c r="I169" s="58"/>
      <c r="J169" s="26"/>
      <c r="K169" s="74"/>
      <c r="L169" s="58"/>
      <c r="M169" s="26"/>
      <c r="N169" s="74"/>
      <c r="O169" s="58"/>
      <c r="P169" s="58"/>
    </row>
    <row r="170" spans="1:16" x14ac:dyDescent="0.25">
      <c r="A170" s="26"/>
      <c r="B170" s="66"/>
      <c r="C170" s="58"/>
      <c r="D170" s="26"/>
      <c r="E170" s="74"/>
      <c r="F170" s="58"/>
      <c r="G170" s="26"/>
      <c r="H170" s="74"/>
      <c r="I170" s="58"/>
      <c r="J170" s="26"/>
      <c r="K170" s="74"/>
      <c r="L170" s="58"/>
      <c r="M170" s="26"/>
      <c r="N170" s="74"/>
      <c r="O170" s="58"/>
      <c r="P170" s="58"/>
    </row>
    <row r="171" spans="1:16" x14ac:dyDescent="0.25">
      <c r="A171" s="26"/>
      <c r="B171" s="66"/>
      <c r="C171" s="58"/>
      <c r="D171" s="26"/>
      <c r="E171" s="74"/>
      <c r="F171" s="58"/>
      <c r="G171" s="26"/>
      <c r="H171" s="74"/>
      <c r="I171" s="58"/>
      <c r="J171" s="26"/>
      <c r="K171" s="74"/>
      <c r="L171" s="58"/>
      <c r="M171" s="26"/>
      <c r="N171" s="74"/>
      <c r="O171" s="58"/>
      <c r="P171" s="58"/>
    </row>
    <row r="172" spans="1:16" x14ac:dyDescent="0.25">
      <c r="A172" s="26"/>
      <c r="B172" s="66"/>
      <c r="C172" s="58"/>
      <c r="D172" s="26"/>
      <c r="E172" s="74"/>
      <c r="F172" s="58"/>
      <c r="G172" s="26"/>
      <c r="H172" s="74"/>
      <c r="I172" s="58"/>
      <c r="J172" s="26"/>
      <c r="K172" s="74"/>
      <c r="L172" s="58"/>
      <c r="M172" s="26"/>
      <c r="N172" s="74"/>
      <c r="O172" s="58"/>
      <c r="P172" s="58"/>
    </row>
    <row r="173" spans="1:16" x14ac:dyDescent="0.25">
      <c r="A173" s="26"/>
      <c r="B173" s="66"/>
      <c r="C173" s="58"/>
      <c r="D173" s="26"/>
      <c r="E173" s="74"/>
      <c r="F173" s="58"/>
      <c r="G173" s="26"/>
      <c r="H173" s="74"/>
      <c r="I173" s="58"/>
      <c r="J173" s="26"/>
      <c r="K173" s="74"/>
      <c r="L173" s="58"/>
      <c r="M173" s="26"/>
      <c r="N173" s="74"/>
      <c r="O173" s="58"/>
      <c r="P173" s="58"/>
    </row>
    <row r="174" spans="1:16" x14ac:dyDescent="0.25">
      <c r="A174" s="26"/>
      <c r="B174" s="66"/>
      <c r="C174" s="58"/>
      <c r="D174" s="26"/>
      <c r="E174" s="74"/>
      <c r="F174" s="58"/>
      <c r="G174" s="26"/>
      <c r="H174" s="74"/>
      <c r="I174" s="58"/>
      <c r="J174" s="26"/>
      <c r="K174" s="74"/>
      <c r="L174" s="58"/>
      <c r="M174" s="26"/>
      <c r="N174" s="74"/>
      <c r="O174" s="58"/>
      <c r="P174" s="58"/>
    </row>
    <row r="175" spans="1:16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74"/>
      <c r="L175" s="58"/>
      <c r="M175" s="58"/>
      <c r="N175" s="58"/>
      <c r="O175" s="58"/>
      <c r="P175" s="58"/>
    </row>
    <row r="176" spans="1:16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  <c r="P176" s="58"/>
    </row>
    <row r="177" spans="1:16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  <c r="P177" s="58"/>
    </row>
    <row r="178" spans="1:16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6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6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6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6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6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6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6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6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6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6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6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6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6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6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A5" zoomScale="90" zoomScaleNormal="90" workbookViewId="0">
      <pane ySplit="3" topLeftCell="A24" activePane="bottomLeft" state="frozen"/>
      <selection activeCell="A5" sqref="A5"/>
      <selection pane="bottomLeft" activeCell="L42" sqref="L42"/>
    </sheetView>
  </sheetViews>
  <sheetFormatPr baseColWidth="10" defaultRowHeight="15" x14ac:dyDescent="0.25"/>
  <cols>
    <col min="1" max="1" width="7.7109375" style="6" customWidth="1"/>
    <col min="2" max="2" width="9.140625" style="6" customWidth="1"/>
    <col min="3" max="3" width="23.7109375" customWidth="1"/>
    <col min="4" max="4" width="7.7109375" style="6" customWidth="1"/>
    <col min="5" max="5" width="9.28515625" customWidth="1"/>
    <col min="6" max="6" width="23.7109375" customWidth="1"/>
    <col min="7" max="7" width="7.7109375" style="6" customWidth="1"/>
    <col min="8" max="8" width="9.140625" customWidth="1"/>
    <col min="9" max="9" width="23.7109375" customWidth="1"/>
    <col min="10" max="10" width="7.7109375" style="6" customWidth="1"/>
    <col min="11" max="11" width="9.140625" customWidth="1"/>
    <col min="12" max="12" width="26.85546875" customWidth="1"/>
    <col min="13" max="13" width="7.85546875" style="6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>
        <v>2336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SUBTOTAL(3,A8:A122)</f>
        <v>84</v>
      </c>
      <c r="B6" s="130">
        <f>SUBTOTAL(9,B8:B122)</f>
        <v>59100.829999999994</v>
      </c>
      <c r="C6" s="35">
        <v>44108</v>
      </c>
      <c r="D6" s="8">
        <f>SUBTOTAL(3,D8:D91)</f>
        <v>49</v>
      </c>
      <c r="E6" s="130">
        <f>SUBTOTAL(9,E8:E122)</f>
        <v>25600</v>
      </c>
      <c r="F6" s="38">
        <v>44115</v>
      </c>
      <c r="G6" s="8">
        <f>SUBTOTAL(3,G8:G120)</f>
        <v>50</v>
      </c>
      <c r="H6" s="130">
        <f>SUBTOTAL(9,H8:H122)</f>
        <v>37900</v>
      </c>
      <c r="I6" s="39">
        <v>44122</v>
      </c>
      <c r="J6" s="8">
        <f>SUBTOTAL(3,J8:J111)</f>
        <v>26</v>
      </c>
      <c r="K6" s="130">
        <f>SUBTOTAL(9,K8:K122)</f>
        <v>15000</v>
      </c>
      <c r="L6" s="63">
        <v>44129</v>
      </c>
      <c r="M6" s="8">
        <f>SUBTOTAL(3,M8:M120)</f>
        <v>0</v>
      </c>
      <c r="N6" s="130">
        <f>SUBTOTAL(9,N8:N122)</f>
        <v>0</v>
      </c>
      <c r="O6" s="81"/>
      <c r="Q6" s="30">
        <f>+A6+D6+G6+J6+M6</f>
        <v>209</v>
      </c>
      <c r="R6" s="29">
        <f>+B6+E6+H6+K6+N6</f>
        <v>137600.82999999999</v>
      </c>
    </row>
    <row r="7" spans="1:18" x14ac:dyDescent="0.25">
      <c r="A7" s="46" t="s">
        <v>1</v>
      </c>
      <c r="B7" s="46" t="s">
        <v>3</v>
      </c>
      <c r="C7" s="46" t="s">
        <v>2</v>
      </c>
      <c r="D7" s="47" t="s">
        <v>1</v>
      </c>
      <c r="E7" s="47" t="s">
        <v>3</v>
      </c>
      <c r="F7" s="47" t="s">
        <v>2</v>
      </c>
      <c r="G7" s="48" t="s">
        <v>1</v>
      </c>
      <c r="H7" s="48" t="s">
        <v>3</v>
      </c>
      <c r="I7" s="48" t="s">
        <v>2</v>
      </c>
      <c r="J7" s="60" t="s">
        <v>1</v>
      </c>
      <c r="K7" s="60" t="s">
        <v>3</v>
      </c>
      <c r="L7" s="60" t="s">
        <v>2</v>
      </c>
      <c r="M7" s="98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23123</v>
      </c>
      <c r="B8" s="49">
        <v>250</v>
      </c>
      <c r="C8" s="17"/>
      <c r="D8" s="13">
        <v>23207</v>
      </c>
      <c r="E8" s="70">
        <v>500</v>
      </c>
      <c r="F8" s="14"/>
      <c r="G8" s="11">
        <v>28256</v>
      </c>
      <c r="H8" s="67">
        <v>500</v>
      </c>
      <c r="I8" s="12"/>
      <c r="J8" s="61">
        <v>23306</v>
      </c>
      <c r="K8" s="71">
        <v>300</v>
      </c>
      <c r="L8" s="62" t="s">
        <v>523</v>
      </c>
      <c r="M8" s="75"/>
      <c r="N8" s="73"/>
      <c r="O8" s="15"/>
      <c r="Q8" s="32"/>
      <c r="R8" s="32"/>
    </row>
    <row r="9" spans="1:18" x14ac:dyDescent="0.25">
      <c r="A9" s="16">
        <v>23124</v>
      </c>
      <c r="B9" s="49">
        <v>1200</v>
      </c>
      <c r="C9" s="17" t="s">
        <v>416</v>
      </c>
      <c r="D9" s="13">
        <v>23208</v>
      </c>
      <c r="E9" s="70">
        <v>400</v>
      </c>
      <c r="F9" s="14" t="s">
        <v>417</v>
      </c>
      <c r="G9" s="11">
        <v>28257</v>
      </c>
      <c r="H9" s="67">
        <v>150</v>
      </c>
      <c r="I9" s="12" t="s">
        <v>506</v>
      </c>
      <c r="J9" s="61">
        <v>23307</v>
      </c>
      <c r="K9" s="71">
        <v>500</v>
      </c>
      <c r="L9" s="62"/>
      <c r="M9" s="75"/>
      <c r="N9" s="73"/>
      <c r="O9" s="15"/>
    </row>
    <row r="10" spans="1:18" x14ac:dyDescent="0.25">
      <c r="A10" s="16"/>
      <c r="B10" s="49"/>
      <c r="C10" s="17" t="s">
        <v>25</v>
      </c>
      <c r="D10" s="13"/>
      <c r="E10" s="70"/>
      <c r="F10" s="14" t="s">
        <v>44</v>
      </c>
      <c r="G10" s="11">
        <v>28258</v>
      </c>
      <c r="H10" s="67">
        <v>500</v>
      </c>
      <c r="I10" s="12" t="s">
        <v>382</v>
      </c>
      <c r="J10" s="61">
        <v>23308</v>
      </c>
      <c r="K10" s="71">
        <v>500</v>
      </c>
      <c r="L10" s="62"/>
      <c r="M10" s="75"/>
      <c r="N10" s="73"/>
      <c r="O10" s="15"/>
    </row>
    <row r="11" spans="1:18" x14ac:dyDescent="0.25">
      <c r="A11" s="16">
        <v>23125</v>
      </c>
      <c r="B11" s="49">
        <v>1000.37</v>
      </c>
      <c r="C11" s="17" t="s">
        <v>488</v>
      </c>
      <c r="D11" s="13">
        <v>23209</v>
      </c>
      <c r="E11" s="70">
        <v>600</v>
      </c>
      <c r="F11" s="14" t="s">
        <v>242</v>
      </c>
      <c r="G11" s="11">
        <v>28259</v>
      </c>
      <c r="H11" s="67">
        <v>3100</v>
      </c>
      <c r="I11" s="12" t="s">
        <v>507</v>
      </c>
      <c r="J11" s="61">
        <v>23309</v>
      </c>
      <c r="K11" s="71">
        <v>500</v>
      </c>
      <c r="L11" s="62" t="s">
        <v>492</v>
      </c>
      <c r="M11" s="75"/>
      <c r="N11" s="73"/>
      <c r="O11" s="15"/>
    </row>
    <row r="12" spans="1:18" x14ac:dyDescent="0.25">
      <c r="A12" s="16"/>
      <c r="B12" s="49"/>
      <c r="C12" s="17" t="s">
        <v>18</v>
      </c>
      <c r="D12" s="13"/>
      <c r="E12" s="70"/>
      <c r="F12" s="109" t="s">
        <v>44</v>
      </c>
      <c r="G12" s="11"/>
      <c r="H12" s="67"/>
      <c r="I12" s="12" t="s">
        <v>508</v>
      </c>
      <c r="J12" s="61">
        <v>23310</v>
      </c>
      <c r="K12" s="71">
        <v>500</v>
      </c>
      <c r="L12" s="62"/>
      <c r="M12" s="75"/>
      <c r="N12" s="73"/>
      <c r="O12" s="15"/>
    </row>
    <row r="13" spans="1:18" x14ac:dyDescent="0.25">
      <c r="A13" s="16"/>
      <c r="B13" s="49"/>
      <c r="C13" s="17" t="s">
        <v>278</v>
      </c>
      <c r="D13" s="13">
        <v>23210</v>
      </c>
      <c r="E13" s="70">
        <v>1000</v>
      </c>
      <c r="F13" s="14" t="s">
        <v>469</v>
      </c>
      <c r="G13" s="11"/>
      <c r="H13" s="67"/>
      <c r="I13" s="12" t="s">
        <v>509</v>
      </c>
      <c r="J13" s="61">
        <v>23311</v>
      </c>
      <c r="K13" s="71">
        <v>500</v>
      </c>
      <c r="L13" s="62"/>
      <c r="M13" s="75"/>
      <c r="N13" s="73"/>
      <c r="O13" s="15"/>
    </row>
    <row r="14" spans="1:18" x14ac:dyDescent="0.25">
      <c r="A14" s="16">
        <v>23126</v>
      </c>
      <c r="B14" s="49">
        <v>1000</v>
      </c>
      <c r="C14" s="17" t="s">
        <v>400</v>
      </c>
      <c r="D14" s="13"/>
      <c r="E14" s="70"/>
      <c r="F14" s="14" t="s">
        <v>18</v>
      </c>
      <c r="G14" s="11">
        <v>28260</v>
      </c>
      <c r="H14" s="67">
        <v>300</v>
      </c>
      <c r="I14" s="12"/>
      <c r="J14" s="61">
        <v>23312</v>
      </c>
      <c r="K14" s="71">
        <v>450</v>
      </c>
      <c r="L14" s="62"/>
      <c r="M14" s="75"/>
      <c r="N14" s="73"/>
      <c r="O14" s="31"/>
    </row>
    <row r="15" spans="1:18" x14ac:dyDescent="0.25">
      <c r="A15" s="16"/>
      <c r="B15" s="49"/>
      <c r="C15" s="17" t="s">
        <v>18</v>
      </c>
      <c r="D15" s="13">
        <v>23211</v>
      </c>
      <c r="E15" s="70">
        <v>900</v>
      </c>
      <c r="F15" s="14" t="s">
        <v>416</v>
      </c>
      <c r="G15" s="11">
        <v>28261</v>
      </c>
      <c r="H15" s="67">
        <v>1500</v>
      </c>
      <c r="I15" s="12" t="s">
        <v>510</v>
      </c>
      <c r="J15" s="61">
        <v>23313</v>
      </c>
      <c r="K15" s="71">
        <v>1500</v>
      </c>
      <c r="L15" s="62" t="s">
        <v>242</v>
      </c>
      <c r="M15" s="75"/>
      <c r="N15" s="73"/>
      <c r="O15" s="15"/>
    </row>
    <row r="16" spans="1:18" x14ac:dyDescent="0.25">
      <c r="A16" s="16">
        <v>23127</v>
      </c>
      <c r="B16" s="49">
        <v>500</v>
      </c>
      <c r="C16" s="17"/>
      <c r="D16" s="13"/>
      <c r="E16" s="70"/>
      <c r="F16" s="14" t="s">
        <v>29</v>
      </c>
      <c r="G16" s="11"/>
      <c r="H16" s="67"/>
      <c r="I16" s="12" t="s">
        <v>511</v>
      </c>
      <c r="J16" s="61"/>
      <c r="K16" s="71"/>
      <c r="L16" s="62" t="s">
        <v>18</v>
      </c>
      <c r="M16" s="75"/>
      <c r="N16" s="73"/>
      <c r="O16" s="15"/>
    </row>
    <row r="17" spans="1:15" x14ac:dyDescent="0.25">
      <c r="A17" s="16">
        <v>23128</v>
      </c>
      <c r="B17" s="49">
        <v>500</v>
      </c>
      <c r="C17" s="17"/>
      <c r="D17" s="13">
        <v>23212</v>
      </c>
      <c r="E17" s="70">
        <v>500</v>
      </c>
      <c r="F17" s="14"/>
      <c r="G17" s="11"/>
      <c r="H17" s="67"/>
      <c r="I17" s="12" t="s">
        <v>512</v>
      </c>
      <c r="J17" s="61">
        <v>23314</v>
      </c>
      <c r="K17" s="71">
        <v>500</v>
      </c>
      <c r="L17" s="62"/>
      <c r="M17" s="75"/>
      <c r="N17" s="73"/>
      <c r="O17" s="15"/>
    </row>
    <row r="18" spans="1:15" x14ac:dyDescent="0.25">
      <c r="A18" s="16">
        <v>23129</v>
      </c>
      <c r="B18" s="49">
        <v>500</v>
      </c>
      <c r="C18" s="17"/>
      <c r="D18" s="13">
        <v>23213</v>
      </c>
      <c r="E18" s="70">
        <v>300</v>
      </c>
      <c r="F18" s="14" t="s">
        <v>498</v>
      </c>
      <c r="G18" s="11">
        <v>28262</v>
      </c>
      <c r="H18" s="67"/>
      <c r="I18" s="12" t="s">
        <v>85</v>
      </c>
      <c r="J18" s="61">
        <v>23315</v>
      </c>
      <c r="K18" s="71">
        <v>300</v>
      </c>
      <c r="L18" s="62"/>
      <c r="M18" s="75"/>
      <c r="N18" s="73"/>
      <c r="O18" s="15"/>
    </row>
    <row r="19" spans="1:15" x14ac:dyDescent="0.25">
      <c r="A19" s="16">
        <v>23130</v>
      </c>
      <c r="B19" s="49">
        <v>400</v>
      </c>
      <c r="C19" s="17" t="s">
        <v>379</v>
      </c>
      <c r="D19" s="13">
        <v>23214</v>
      </c>
      <c r="E19" s="70">
        <v>50</v>
      </c>
      <c r="F19" s="14" t="s">
        <v>499</v>
      </c>
      <c r="G19" s="11">
        <v>28263</v>
      </c>
      <c r="H19" s="67">
        <v>500</v>
      </c>
      <c r="I19" s="12"/>
      <c r="J19" s="61">
        <v>23316</v>
      </c>
      <c r="K19" s="71">
        <v>400</v>
      </c>
      <c r="L19" s="62" t="s">
        <v>379</v>
      </c>
      <c r="M19" s="75"/>
      <c r="N19" s="73"/>
      <c r="O19" s="15"/>
    </row>
    <row r="20" spans="1:15" x14ac:dyDescent="0.25">
      <c r="A20" s="16">
        <v>23131</v>
      </c>
      <c r="B20" s="49">
        <v>250</v>
      </c>
      <c r="C20" s="17"/>
      <c r="D20" s="13">
        <v>23215</v>
      </c>
      <c r="E20" s="70">
        <v>500</v>
      </c>
      <c r="F20" s="14"/>
      <c r="G20" s="11">
        <v>28264</v>
      </c>
      <c r="H20" s="67">
        <v>500</v>
      </c>
      <c r="I20" s="12" t="s">
        <v>492</v>
      </c>
      <c r="J20" s="61">
        <v>23317</v>
      </c>
      <c r="K20" s="71">
        <v>500</v>
      </c>
      <c r="L20" s="62"/>
      <c r="M20" s="75"/>
      <c r="N20" s="73"/>
      <c r="O20" s="15"/>
    </row>
    <row r="21" spans="1:15" x14ac:dyDescent="0.25">
      <c r="A21" s="16">
        <v>23132</v>
      </c>
      <c r="B21" s="49">
        <v>300</v>
      </c>
      <c r="C21" s="85" t="s">
        <v>489</v>
      </c>
      <c r="D21" s="13">
        <v>23216</v>
      </c>
      <c r="E21" s="70">
        <v>300</v>
      </c>
      <c r="F21" s="14"/>
      <c r="G21" s="11">
        <v>28265</v>
      </c>
      <c r="H21" s="67">
        <v>500</v>
      </c>
      <c r="I21" s="12"/>
      <c r="J21" s="61">
        <v>23318</v>
      </c>
      <c r="K21" s="71">
        <v>1000</v>
      </c>
      <c r="L21" s="62" t="s">
        <v>503</v>
      </c>
      <c r="M21" s="75"/>
      <c r="N21" s="73"/>
      <c r="O21" s="15"/>
    </row>
    <row r="22" spans="1:15" x14ac:dyDescent="0.25">
      <c r="A22" s="16">
        <v>23133</v>
      </c>
      <c r="B22" s="49">
        <v>500</v>
      </c>
      <c r="C22" s="17"/>
      <c r="D22" s="13">
        <v>23217</v>
      </c>
      <c r="E22" s="70">
        <v>500</v>
      </c>
      <c r="F22" s="14"/>
      <c r="G22" s="11">
        <v>28266</v>
      </c>
      <c r="H22" s="67">
        <v>500</v>
      </c>
      <c r="I22" s="12"/>
      <c r="J22" s="61"/>
      <c r="K22" s="71"/>
      <c r="L22" s="62" t="s">
        <v>18</v>
      </c>
      <c r="M22" s="75"/>
      <c r="N22" s="73"/>
      <c r="O22" s="15"/>
    </row>
    <row r="23" spans="1:15" x14ac:dyDescent="0.25">
      <c r="A23" s="16">
        <v>23134</v>
      </c>
      <c r="B23" s="49">
        <v>500</v>
      </c>
      <c r="C23" s="17"/>
      <c r="D23" s="13">
        <v>23218</v>
      </c>
      <c r="E23" s="70">
        <v>500</v>
      </c>
      <c r="F23" s="14"/>
      <c r="G23" s="11">
        <v>28267</v>
      </c>
      <c r="H23" s="67">
        <v>500</v>
      </c>
      <c r="I23" s="12"/>
      <c r="J23" s="61">
        <v>23319</v>
      </c>
      <c r="K23" s="71">
        <v>1500</v>
      </c>
      <c r="L23" s="62" t="s">
        <v>410</v>
      </c>
      <c r="M23" s="75"/>
      <c r="N23" s="73"/>
      <c r="O23" s="15"/>
    </row>
    <row r="24" spans="1:15" x14ac:dyDescent="0.25">
      <c r="A24" s="16">
        <v>23135</v>
      </c>
      <c r="B24" s="49">
        <v>500</v>
      </c>
      <c r="C24" s="17"/>
      <c r="D24" s="13">
        <v>23219</v>
      </c>
      <c r="E24" s="70">
        <v>300</v>
      </c>
      <c r="F24" s="14" t="s">
        <v>500</v>
      </c>
      <c r="G24" s="11">
        <v>28268</v>
      </c>
      <c r="H24" s="67">
        <v>600</v>
      </c>
      <c r="I24" s="12" t="s">
        <v>503</v>
      </c>
      <c r="J24" s="61"/>
      <c r="K24" s="71"/>
      <c r="L24" s="62" t="s">
        <v>18</v>
      </c>
      <c r="M24" s="75"/>
      <c r="N24" s="73"/>
      <c r="O24" s="15"/>
    </row>
    <row r="25" spans="1:15" x14ac:dyDescent="0.25">
      <c r="A25" s="16">
        <v>23136</v>
      </c>
      <c r="B25" s="49">
        <v>500</v>
      </c>
      <c r="C25" s="17" t="s">
        <v>379</v>
      </c>
      <c r="D25" s="13">
        <v>23220</v>
      </c>
      <c r="E25" s="70">
        <v>300</v>
      </c>
      <c r="F25" s="14" t="s">
        <v>501</v>
      </c>
      <c r="G25" s="11"/>
      <c r="H25" s="67"/>
      <c r="I25" s="12" t="s">
        <v>513</v>
      </c>
      <c r="J25" s="61">
        <v>23320</v>
      </c>
      <c r="K25" s="71">
        <v>500</v>
      </c>
      <c r="L25" s="62"/>
      <c r="M25" s="75"/>
      <c r="N25" s="73"/>
      <c r="O25" s="15"/>
    </row>
    <row r="26" spans="1:15" x14ac:dyDescent="0.25">
      <c r="A26" s="16">
        <v>23137</v>
      </c>
      <c r="B26" s="49">
        <v>400</v>
      </c>
      <c r="C26" s="17"/>
      <c r="D26" s="13">
        <v>23221</v>
      </c>
      <c r="E26" s="70">
        <v>500</v>
      </c>
      <c r="F26" s="14" t="s">
        <v>379</v>
      </c>
      <c r="G26" s="11">
        <v>28269</v>
      </c>
      <c r="H26" s="67">
        <v>500</v>
      </c>
      <c r="I26" s="12"/>
      <c r="J26" s="61">
        <v>23321</v>
      </c>
      <c r="K26" s="71"/>
      <c r="L26" s="62" t="s">
        <v>54</v>
      </c>
      <c r="M26" s="75"/>
      <c r="N26" s="73"/>
      <c r="O26" s="15"/>
    </row>
    <row r="27" spans="1:15" x14ac:dyDescent="0.25">
      <c r="A27" s="16">
        <v>23138</v>
      </c>
      <c r="B27" s="49">
        <v>1500</v>
      </c>
      <c r="C27" s="17" t="s">
        <v>410</v>
      </c>
      <c r="D27" s="13">
        <v>23222</v>
      </c>
      <c r="E27" s="70">
        <v>500</v>
      </c>
      <c r="F27" s="14"/>
      <c r="G27" s="11">
        <v>28270</v>
      </c>
      <c r="H27" s="67">
        <v>400</v>
      </c>
      <c r="I27" s="12"/>
      <c r="J27" s="61">
        <v>23322</v>
      </c>
      <c r="K27" s="71">
        <v>500</v>
      </c>
      <c r="L27" s="62"/>
      <c r="M27" s="75"/>
      <c r="N27" s="73"/>
      <c r="O27" s="31"/>
    </row>
    <row r="28" spans="1:15" x14ac:dyDescent="0.25">
      <c r="A28" s="16"/>
      <c r="B28" s="49"/>
      <c r="C28" s="17" t="s">
        <v>18</v>
      </c>
      <c r="D28" s="13">
        <v>23223</v>
      </c>
      <c r="E28" s="70">
        <v>500</v>
      </c>
      <c r="F28" s="14"/>
      <c r="G28" s="11">
        <v>28271</v>
      </c>
      <c r="H28" s="67">
        <v>300</v>
      </c>
      <c r="I28" s="12"/>
      <c r="J28" s="61">
        <v>23323</v>
      </c>
      <c r="K28" s="71">
        <v>500</v>
      </c>
      <c r="L28" s="62" t="s">
        <v>522</v>
      </c>
      <c r="M28" s="75"/>
      <c r="N28" s="73"/>
      <c r="O28" s="15"/>
    </row>
    <row r="29" spans="1:15" x14ac:dyDescent="0.25">
      <c r="A29" s="16">
        <v>23139</v>
      </c>
      <c r="B29" s="49">
        <v>500</v>
      </c>
      <c r="C29" s="17" t="s">
        <v>379</v>
      </c>
      <c r="D29" s="13">
        <v>23224</v>
      </c>
      <c r="E29" s="70">
        <v>250</v>
      </c>
      <c r="F29" s="14"/>
      <c r="G29" s="11">
        <v>28272</v>
      </c>
      <c r="H29" s="67">
        <v>400</v>
      </c>
      <c r="I29" s="12"/>
      <c r="J29" s="61"/>
      <c r="K29" s="71"/>
      <c r="L29" s="62" t="s">
        <v>22</v>
      </c>
      <c r="M29" s="75"/>
      <c r="N29" s="73"/>
      <c r="O29" s="15"/>
    </row>
    <row r="30" spans="1:15" x14ac:dyDescent="0.25">
      <c r="A30" s="16">
        <v>23140</v>
      </c>
      <c r="B30" s="49">
        <v>500</v>
      </c>
      <c r="C30" s="17"/>
      <c r="D30" s="13">
        <v>23225</v>
      </c>
      <c r="E30" s="70">
        <v>500</v>
      </c>
      <c r="F30" s="14" t="s">
        <v>379</v>
      </c>
      <c r="G30" s="11">
        <v>28273</v>
      </c>
      <c r="H30" s="67">
        <v>500</v>
      </c>
      <c r="I30" s="12" t="s">
        <v>379</v>
      </c>
      <c r="J30" s="61">
        <v>23324</v>
      </c>
      <c r="K30" s="71">
        <v>500</v>
      </c>
      <c r="L30" s="62"/>
      <c r="M30" s="75"/>
      <c r="N30" s="73"/>
      <c r="O30" s="15"/>
    </row>
    <row r="31" spans="1:15" x14ac:dyDescent="0.25">
      <c r="A31" s="16">
        <v>23141</v>
      </c>
      <c r="B31" s="49">
        <v>800</v>
      </c>
      <c r="C31" s="17"/>
      <c r="D31" s="13">
        <v>23226</v>
      </c>
      <c r="E31" s="70">
        <v>300</v>
      </c>
      <c r="F31" s="14" t="s">
        <v>379</v>
      </c>
      <c r="G31" s="11">
        <v>28274</v>
      </c>
      <c r="H31" s="67">
        <v>300</v>
      </c>
      <c r="I31" s="12" t="s">
        <v>514</v>
      </c>
      <c r="J31" s="61">
        <v>23325</v>
      </c>
      <c r="K31" s="71">
        <v>400</v>
      </c>
      <c r="L31" s="62" t="s">
        <v>492</v>
      </c>
      <c r="M31" s="75"/>
      <c r="N31" s="73"/>
      <c r="O31" s="15"/>
    </row>
    <row r="32" spans="1:15" x14ac:dyDescent="0.25">
      <c r="A32" s="16">
        <v>23142</v>
      </c>
      <c r="B32" s="49">
        <v>1000</v>
      </c>
      <c r="C32" s="17" t="s">
        <v>469</v>
      </c>
      <c r="D32" s="13">
        <v>23227</v>
      </c>
      <c r="E32" s="70">
        <v>1000</v>
      </c>
      <c r="F32" s="14" t="s">
        <v>469</v>
      </c>
      <c r="G32" s="11">
        <v>28275</v>
      </c>
      <c r="H32" s="67">
        <v>1000</v>
      </c>
      <c r="I32" s="12" t="s">
        <v>417</v>
      </c>
      <c r="J32" s="61">
        <v>23326</v>
      </c>
      <c r="K32" s="71">
        <v>600</v>
      </c>
      <c r="L32" s="62" t="s">
        <v>268</v>
      </c>
      <c r="M32" s="75"/>
      <c r="N32" s="73"/>
      <c r="O32" s="15"/>
    </row>
    <row r="33" spans="1:15" x14ac:dyDescent="0.25">
      <c r="A33" s="16"/>
      <c r="B33" s="49"/>
      <c r="C33" s="17" t="s">
        <v>18</v>
      </c>
      <c r="D33" s="13"/>
      <c r="E33" s="70"/>
      <c r="F33" s="14" t="s">
        <v>18</v>
      </c>
      <c r="G33" s="11"/>
      <c r="H33" s="67"/>
      <c r="I33" s="12" t="s">
        <v>515</v>
      </c>
      <c r="J33" s="61"/>
      <c r="K33" s="71"/>
      <c r="L33" s="62" t="s">
        <v>29</v>
      </c>
      <c r="M33" s="75"/>
      <c r="N33" s="73"/>
      <c r="O33" s="15"/>
    </row>
    <row r="34" spans="1:15" x14ac:dyDescent="0.25">
      <c r="A34" s="16">
        <v>23143</v>
      </c>
      <c r="B34" s="49">
        <v>500</v>
      </c>
      <c r="C34" s="17"/>
      <c r="D34" s="13">
        <v>23228</v>
      </c>
      <c r="E34" s="70">
        <v>500</v>
      </c>
      <c r="F34" s="14" t="s">
        <v>379</v>
      </c>
      <c r="G34" s="11">
        <v>28276</v>
      </c>
      <c r="H34" s="67">
        <v>500</v>
      </c>
      <c r="I34" s="12"/>
      <c r="J34" s="61">
        <v>23327</v>
      </c>
      <c r="K34" s="71">
        <v>500</v>
      </c>
      <c r="L34" s="62" t="s">
        <v>417</v>
      </c>
      <c r="M34" s="75"/>
      <c r="N34" s="73"/>
      <c r="O34" s="31"/>
    </row>
    <row r="35" spans="1:15" x14ac:dyDescent="0.25">
      <c r="A35" s="16">
        <v>23144</v>
      </c>
      <c r="B35" s="49">
        <v>600</v>
      </c>
      <c r="C35" s="17"/>
      <c r="D35" s="13">
        <v>23229</v>
      </c>
      <c r="E35" s="70">
        <v>300</v>
      </c>
      <c r="F35" s="14"/>
      <c r="G35" s="11">
        <v>28277</v>
      </c>
      <c r="H35" s="67">
        <v>1500</v>
      </c>
      <c r="I35" s="12" t="s">
        <v>410</v>
      </c>
      <c r="J35" s="61"/>
      <c r="K35" s="71"/>
      <c r="L35" s="62" t="s">
        <v>22</v>
      </c>
      <c r="M35" s="75"/>
      <c r="N35" s="73"/>
      <c r="O35" s="111"/>
    </row>
    <row r="36" spans="1:15" x14ac:dyDescent="0.25">
      <c r="A36" s="16">
        <v>23145</v>
      </c>
      <c r="B36" s="49">
        <v>500</v>
      </c>
      <c r="C36" s="17"/>
      <c r="D36" s="13">
        <v>23230</v>
      </c>
      <c r="E36" s="70">
        <v>600</v>
      </c>
      <c r="F36" s="14" t="s">
        <v>469</v>
      </c>
      <c r="G36" s="11"/>
      <c r="H36" s="67"/>
      <c r="I36" s="12" t="s">
        <v>18</v>
      </c>
      <c r="J36" s="61">
        <v>23328</v>
      </c>
      <c r="K36" s="71">
        <v>500</v>
      </c>
      <c r="L36" s="62"/>
      <c r="M36" s="75"/>
      <c r="N36" s="73"/>
      <c r="O36" s="15"/>
    </row>
    <row r="37" spans="1:15" x14ac:dyDescent="0.25">
      <c r="A37" s="16">
        <v>23146</v>
      </c>
      <c r="B37" s="49">
        <v>350</v>
      </c>
      <c r="C37" s="17" t="s">
        <v>113</v>
      </c>
      <c r="D37" s="13"/>
      <c r="E37" s="70"/>
      <c r="F37" s="14" t="s">
        <v>29</v>
      </c>
      <c r="G37" s="11">
        <v>28278</v>
      </c>
      <c r="H37" s="67">
        <v>500</v>
      </c>
      <c r="I37" s="12"/>
      <c r="J37" s="61">
        <v>23329</v>
      </c>
      <c r="K37" s="71">
        <v>250</v>
      </c>
      <c r="L37" s="62" t="s">
        <v>524</v>
      </c>
      <c r="M37" s="75"/>
      <c r="N37" s="73"/>
      <c r="O37" s="15"/>
    </row>
    <row r="38" spans="1:15" x14ac:dyDescent="0.25">
      <c r="A38" s="16">
        <v>23147</v>
      </c>
      <c r="B38" s="49">
        <v>900</v>
      </c>
      <c r="C38" s="17" t="s">
        <v>410</v>
      </c>
      <c r="D38" s="13">
        <v>23231</v>
      </c>
      <c r="E38" s="70">
        <v>600</v>
      </c>
      <c r="F38" s="14" t="s">
        <v>417</v>
      </c>
      <c r="G38" s="11">
        <v>28279</v>
      </c>
      <c r="H38" s="67">
        <v>750</v>
      </c>
      <c r="I38" s="12" t="s">
        <v>410</v>
      </c>
      <c r="J38" s="61">
        <v>23330</v>
      </c>
      <c r="K38" s="71">
        <v>600</v>
      </c>
      <c r="L38" s="62" t="s">
        <v>356</v>
      </c>
      <c r="M38" s="75"/>
      <c r="N38" s="73"/>
      <c r="O38" s="15"/>
    </row>
    <row r="39" spans="1:15" x14ac:dyDescent="0.25">
      <c r="A39" s="16"/>
      <c r="B39" s="49"/>
      <c r="C39" s="17" t="s">
        <v>29</v>
      </c>
      <c r="D39" s="13"/>
      <c r="E39" s="70"/>
      <c r="F39" s="14" t="s">
        <v>29</v>
      </c>
      <c r="G39" s="11"/>
      <c r="H39" s="67"/>
      <c r="I39" s="12" t="s">
        <v>22</v>
      </c>
      <c r="J39" s="61"/>
      <c r="K39" s="71"/>
      <c r="L39" s="62" t="s">
        <v>44</v>
      </c>
      <c r="M39" s="75"/>
      <c r="N39" s="73"/>
      <c r="O39" s="15"/>
    </row>
    <row r="40" spans="1:15" x14ac:dyDescent="0.25">
      <c r="A40" s="16">
        <v>23148</v>
      </c>
      <c r="B40" s="49"/>
      <c r="C40" s="17" t="s">
        <v>54</v>
      </c>
      <c r="D40" s="13">
        <v>23232</v>
      </c>
      <c r="E40" s="70">
        <v>350</v>
      </c>
      <c r="F40" s="14" t="s">
        <v>502</v>
      </c>
      <c r="G40" s="11">
        <v>28280</v>
      </c>
      <c r="H40" s="67">
        <v>300</v>
      </c>
      <c r="I40" s="12"/>
      <c r="J40" s="61">
        <v>23331</v>
      </c>
      <c r="K40" s="71">
        <v>1200</v>
      </c>
      <c r="L40" s="62" t="s">
        <v>525</v>
      </c>
      <c r="M40" s="75"/>
      <c r="N40" s="73"/>
      <c r="O40" s="15"/>
    </row>
    <row r="41" spans="1:15" x14ac:dyDescent="0.25">
      <c r="A41" s="16">
        <v>23149</v>
      </c>
      <c r="B41" s="49">
        <v>800</v>
      </c>
      <c r="C41" s="17" t="s">
        <v>417</v>
      </c>
      <c r="D41" s="13">
        <v>23233</v>
      </c>
      <c r="E41" s="70">
        <v>300</v>
      </c>
      <c r="F41" s="14"/>
      <c r="G41" s="11">
        <v>28281</v>
      </c>
      <c r="H41" s="67">
        <v>1000</v>
      </c>
      <c r="I41" s="12" t="s">
        <v>417</v>
      </c>
      <c r="J41" s="61"/>
      <c r="K41" s="71"/>
      <c r="L41" s="62" t="s">
        <v>25</v>
      </c>
      <c r="M41" s="75"/>
      <c r="N41" s="73"/>
      <c r="O41" s="15"/>
    </row>
    <row r="42" spans="1:15" x14ac:dyDescent="0.25">
      <c r="A42" s="16"/>
      <c r="B42" s="49"/>
      <c r="C42" s="17" t="s">
        <v>25</v>
      </c>
      <c r="D42" s="13">
        <v>23234</v>
      </c>
      <c r="E42" s="70">
        <v>300</v>
      </c>
      <c r="F42" s="14" t="s">
        <v>379</v>
      </c>
      <c r="G42" s="11"/>
      <c r="H42" s="67"/>
      <c r="I42" s="12" t="s">
        <v>18</v>
      </c>
      <c r="J42" s="61"/>
      <c r="K42" s="71"/>
      <c r="L42" s="62"/>
      <c r="M42" s="75"/>
      <c r="N42" s="73"/>
      <c r="O42" s="15"/>
    </row>
    <row r="43" spans="1:15" x14ac:dyDescent="0.25">
      <c r="A43" s="16">
        <v>23150</v>
      </c>
      <c r="B43" s="49">
        <v>350</v>
      </c>
      <c r="C43" s="17" t="s">
        <v>113</v>
      </c>
      <c r="D43" s="13">
        <v>23235</v>
      </c>
      <c r="E43" s="70">
        <v>500</v>
      </c>
      <c r="F43" s="14"/>
      <c r="G43" s="11">
        <v>28282</v>
      </c>
      <c r="H43" s="67">
        <v>500</v>
      </c>
      <c r="I43" s="12"/>
      <c r="J43" s="61"/>
      <c r="K43" s="71"/>
      <c r="L43" s="62"/>
      <c r="M43" s="75"/>
      <c r="N43" s="73"/>
      <c r="O43" s="15"/>
    </row>
    <row r="44" spans="1:15" x14ac:dyDescent="0.25">
      <c r="A44" s="16">
        <v>23151</v>
      </c>
      <c r="B44" s="49">
        <v>50</v>
      </c>
      <c r="C44" s="17" t="s">
        <v>51</v>
      </c>
      <c r="D44" s="13">
        <v>23236</v>
      </c>
      <c r="E44" s="70">
        <v>500</v>
      </c>
      <c r="F44" s="14"/>
      <c r="G44" s="11">
        <v>28283</v>
      </c>
      <c r="H44" s="67">
        <v>500</v>
      </c>
      <c r="I44" s="12"/>
      <c r="J44" s="61"/>
      <c r="K44" s="71"/>
      <c r="L44" s="62"/>
      <c r="M44" s="75"/>
      <c r="N44" s="73"/>
      <c r="O44" s="15"/>
    </row>
    <row r="45" spans="1:15" x14ac:dyDescent="0.25">
      <c r="A45" s="16">
        <v>23152</v>
      </c>
      <c r="B45" s="49">
        <v>500</v>
      </c>
      <c r="C45" s="17"/>
      <c r="D45" s="13">
        <v>23237</v>
      </c>
      <c r="E45" s="70">
        <v>250</v>
      </c>
      <c r="F45" s="14"/>
      <c r="G45" s="11">
        <v>28284</v>
      </c>
      <c r="H45" s="67">
        <v>400</v>
      </c>
      <c r="I45" s="12"/>
      <c r="J45" s="61"/>
      <c r="K45" s="71"/>
      <c r="L45" s="62"/>
      <c r="M45" s="75"/>
      <c r="N45" s="73"/>
      <c r="O45" s="15"/>
    </row>
    <row r="46" spans="1:15" x14ac:dyDescent="0.25">
      <c r="A46" s="16">
        <v>23153</v>
      </c>
      <c r="B46" s="49">
        <v>300</v>
      </c>
      <c r="C46" s="17" t="s">
        <v>490</v>
      </c>
      <c r="D46" s="13">
        <v>23238</v>
      </c>
      <c r="E46" s="70">
        <v>50</v>
      </c>
      <c r="F46" s="14" t="s">
        <v>71</v>
      </c>
      <c r="G46" s="11">
        <v>28285</v>
      </c>
      <c r="H46" s="67">
        <v>600</v>
      </c>
      <c r="I46" s="12" t="s">
        <v>417</v>
      </c>
      <c r="J46" s="61"/>
      <c r="K46" s="71"/>
      <c r="L46" s="62"/>
      <c r="M46" s="75"/>
      <c r="N46" s="73"/>
      <c r="O46" s="15"/>
    </row>
    <row r="47" spans="1:15" x14ac:dyDescent="0.25">
      <c r="A47" s="16">
        <v>23154</v>
      </c>
      <c r="B47" s="49">
        <v>300</v>
      </c>
      <c r="C47" s="17" t="s">
        <v>379</v>
      </c>
      <c r="D47" s="13">
        <v>23239</v>
      </c>
      <c r="E47" s="70">
        <v>500</v>
      </c>
      <c r="F47" s="14" t="s">
        <v>417</v>
      </c>
      <c r="G47" s="11"/>
      <c r="H47" s="67"/>
      <c r="I47" s="12" t="s">
        <v>29</v>
      </c>
      <c r="J47" s="61"/>
      <c r="K47" s="71"/>
      <c r="L47" s="62"/>
      <c r="M47" s="75"/>
      <c r="N47" s="73"/>
      <c r="O47" s="15"/>
    </row>
    <row r="48" spans="1:15" x14ac:dyDescent="0.25">
      <c r="A48" s="16">
        <v>23155</v>
      </c>
      <c r="B48" s="49">
        <v>1500</v>
      </c>
      <c r="C48" s="17" t="s">
        <v>410</v>
      </c>
      <c r="D48" s="13"/>
      <c r="E48" s="70"/>
      <c r="F48" s="14" t="s">
        <v>22</v>
      </c>
      <c r="G48" s="11">
        <v>28286</v>
      </c>
      <c r="H48" s="67">
        <v>500</v>
      </c>
      <c r="I48" s="12"/>
      <c r="J48" s="61"/>
      <c r="K48" s="71"/>
      <c r="L48" s="62"/>
      <c r="M48" s="75"/>
      <c r="N48" s="73"/>
      <c r="O48" s="15"/>
    </row>
    <row r="49" spans="1:15" x14ac:dyDescent="0.25">
      <c r="A49" s="16"/>
      <c r="B49" s="49"/>
      <c r="C49" s="17" t="s">
        <v>18</v>
      </c>
      <c r="D49" s="13">
        <v>23240</v>
      </c>
      <c r="E49" s="70">
        <v>500</v>
      </c>
      <c r="F49" s="14" t="s">
        <v>379</v>
      </c>
      <c r="G49" s="11">
        <v>28287</v>
      </c>
      <c r="H49" s="67">
        <v>500</v>
      </c>
      <c r="I49" s="12" t="s">
        <v>417</v>
      </c>
      <c r="J49" s="61"/>
      <c r="K49" s="71"/>
      <c r="L49" s="62"/>
      <c r="M49" s="75"/>
      <c r="N49" s="73"/>
      <c r="O49" s="15"/>
    </row>
    <row r="50" spans="1:15" x14ac:dyDescent="0.25">
      <c r="A50" s="16">
        <v>23156</v>
      </c>
      <c r="B50" s="49">
        <v>250</v>
      </c>
      <c r="C50" s="17" t="s">
        <v>379</v>
      </c>
      <c r="D50" s="13">
        <v>23241</v>
      </c>
      <c r="E50" s="70">
        <v>500</v>
      </c>
      <c r="F50" s="14"/>
      <c r="G50" s="11"/>
      <c r="H50" s="67"/>
      <c r="I50" s="12" t="s">
        <v>22</v>
      </c>
      <c r="J50" s="61"/>
      <c r="K50" s="71"/>
      <c r="L50" s="62"/>
      <c r="M50" s="75"/>
      <c r="N50" s="73"/>
      <c r="O50" s="15"/>
    </row>
    <row r="51" spans="1:15" x14ac:dyDescent="0.25">
      <c r="A51" s="16">
        <v>23157</v>
      </c>
      <c r="B51" s="49">
        <v>1000</v>
      </c>
      <c r="C51" s="17" t="s">
        <v>417</v>
      </c>
      <c r="D51" s="13">
        <v>23242</v>
      </c>
      <c r="E51" s="70">
        <v>250</v>
      </c>
      <c r="F51" s="14"/>
      <c r="G51" s="11">
        <v>28288</v>
      </c>
      <c r="H51" s="67">
        <v>400</v>
      </c>
      <c r="I51" s="12" t="s">
        <v>379</v>
      </c>
      <c r="J51" s="61"/>
      <c r="K51" s="71"/>
      <c r="L51" s="62"/>
      <c r="M51" s="75"/>
      <c r="N51" s="73"/>
      <c r="O51" s="15"/>
    </row>
    <row r="52" spans="1:15" x14ac:dyDescent="0.25">
      <c r="A52" s="16"/>
      <c r="B52" s="49"/>
      <c r="C52" s="17" t="s">
        <v>18</v>
      </c>
      <c r="D52" s="13">
        <v>23243</v>
      </c>
      <c r="E52" s="70">
        <v>1500</v>
      </c>
      <c r="F52" s="14" t="s">
        <v>410</v>
      </c>
      <c r="G52" s="11">
        <v>28289</v>
      </c>
      <c r="H52" s="67">
        <v>400</v>
      </c>
      <c r="I52" s="12"/>
      <c r="J52" s="61"/>
      <c r="K52" s="71"/>
      <c r="L52" s="62"/>
      <c r="M52" s="75"/>
      <c r="N52" s="73"/>
      <c r="O52" s="15"/>
    </row>
    <row r="53" spans="1:15" x14ac:dyDescent="0.25">
      <c r="A53" s="16">
        <v>23158</v>
      </c>
      <c r="B53" s="49">
        <v>500</v>
      </c>
      <c r="C53" s="17"/>
      <c r="D53" s="13"/>
      <c r="E53" s="70"/>
      <c r="F53" s="14" t="s">
        <v>18</v>
      </c>
      <c r="G53" s="11">
        <v>28290</v>
      </c>
      <c r="H53" s="67">
        <v>300</v>
      </c>
      <c r="I53" s="12"/>
      <c r="J53" s="61"/>
      <c r="K53" s="71"/>
      <c r="L53" s="62"/>
      <c r="M53" s="75"/>
      <c r="N53" s="73"/>
      <c r="O53" s="15"/>
    </row>
    <row r="54" spans="1:15" x14ac:dyDescent="0.25">
      <c r="A54" s="16">
        <v>23159</v>
      </c>
      <c r="B54" s="49">
        <v>5550</v>
      </c>
      <c r="C54" s="17" t="s">
        <v>72</v>
      </c>
      <c r="D54" s="13">
        <v>23244</v>
      </c>
      <c r="E54" s="70">
        <v>1000</v>
      </c>
      <c r="F54" s="14" t="s">
        <v>417</v>
      </c>
      <c r="G54" s="11">
        <v>28291</v>
      </c>
      <c r="H54" s="67">
        <v>300</v>
      </c>
      <c r="I54" s="12" t="s">
        <v>379</v>
      </c>
      <c r="J54" s="61"/>
      <c r="K54" s="71"/>
      <c r="L54" s="62"/>
      <c r="M54" s="75"/>
      <c r="N54" s="73"/>
      <c r="O54" s="15"/>
    </row>
    <row r="55" spans="1:15" x14ac:dyDescent="0.25">
      <c r="A55" s="16"/>
      <c r="B55" s="49"/>
      <c r="C55" s="17" t="s">
        <v>491</v>
      </c>
      <c r="D55" s="13"/>
      <c r="E55" s="70"/>
      <c r="F55" s="14" t="s">
        <v>18</v>
      </c>
      <c r="G55" s="11">
        <v>28292</v>
      </c>
      <c r="H55" s="67">
        <v>1000</v>
      </c>
      <c r="I55" s="12" t="s">
        <v>417</v>
      </c>
      <c r="J55" s="61"/>
      <c r="K55" s="71"/>
      <c r="L55" s="62"/>
      <c r="M55" s="75"/>
      <c r="N55" s="73"/>
      <c r="O55" s="15"/>
    </row>
    <row r="56" spans="1:15" x14ac:dyDescent="0.25">
      <c r="A56" s="16">
        <v>23160</v>
      </c>
      <c r="B56" s="49">
        <v>500</v>
      </c>
      <c r="C56" s="17"/>
      <c r="D56" s="13">
        <v>23245</v>
      </c>
      <c r="E56" s="70">
        <v>500</v>
      </c>
      <c r="F56" s="14" t="s">
        <v>417</v>
      </c>
      <c r="G56" s="11"/>
      <c r="H56" s="67"/>
      <c r="I56" s="12" t="s">
        <v>18</v>
      </c>
      <c r="J56" s="61"/>
      <c r="K56" s="71"/>
      <c r="L56" s="62"/>
      <c r="M56" s="75"/>
      <c r="N56" s="73"/>
      <c r="O56" s="15"/>
    </row>
    <row r="57" spans="1:15" x14ac:dyDescent="0.25">
      <c r="A57" s="16">
        <v>23161</v>
      </c>
      <c r="B57" s="49">
        <v>300</v>
      </c>
      <c r="C57" s="17"/>
      <c r="D57" s="13"/>
      <c r="E57" s="70"/>
      <c r="F57" s="14" t="s">
        <v>22</v>
      </c>
      <c r="G57" s="11">
        <v>28293</v>
      </c>
      <c r="H57" s="67">
        <v>500</v>
      </c>
      <c r="I57" s="12"/>
      <c r="J57" s="61"/>
      <c r="K57" s="71"/>
      <c r="L57" s="62"/>
      <c r="M57" s="75"/>
      <c r="N57" s="73"/>
      <c r="O57" s="15"/>
    </row>
    <row r="58" spans="1:15" x14ac:dyDescent="0.25">
      <c r="A58" s="16">
        <v>23162</v>
      </c>
      <c r="B58" s="49">
        <v>500</v>
      </c>
      <c r="C58" s="17"/>
      <c r="D58" s="13">
        <v>23246</v>
      </c>
      <c r="E58" s="70">
        <v>1000</v>
      </c>
      <c r="F58" s="14" t="s">
        <v>400</v>
      </c>
      <c r="G58" s="11">
        <v>28294</v>
      </c>
      <c r="H58" s="67">
        <v>1000</v>
      </c>
      <c r="I58" s="12" t="s">
        <v>417</v>
      </c>
      <c r="J58" s="61"/>
      <c r="K58" s="71"/>
      <c r="L58" s="62"/>
      <c r="M58" s="75"/>
      <c r="N58" s="73"/>
      <c r="O58" s="15"/>
    </row>
    <row r="59" spans="1:15" x14ac:dyDescent="0.25">
      <c r="A59" s="16">
        <v>23163</v>
      </c>
      <c r="B59" s="49">
        <v>500</v>
      </c>
      <c r="C59" s="17"/>
      <c r="D59" s="13"/>
      <c r="E59" s="70"/>
      <c r="F59" s="14" t="s">
        <v>18</v>
      </c>
      <c r="G59" s="11"/>
      <c r="H59" s="67"/>
      <c r="I59" s="12" t="s">
        <v>18</v>
      </c>
      <c r="J59" s="61"/>
      <c r="K59" s="71"/>
      <c r="L59" s="62"/>
      <c r="M59" s="75"/>
      <c r="N59" s="73"/>
      <c r="O59" s="15"/>
    </row>
    <row r="60" spans="1:15" x14ac:dyDescent="0.25">
      <c r="A60" s="16">
        <v>23164</v>
      </c>
      <c r="B60" s="49">
        <v>300</v>
      </c>
      <c r="C60" s="17" t="s">
        <v>379</v>
      </c>
      <c r="D60" s="13">
        <v>23247</v>
      </c>
      <c r="E60" s="70">
        <v>1000</v>
      </c>
      <c r="F60" s="14" t="s">
        <v>503</v>
      </c>
      <c r="G60" s="11">
        <v>28295</v>
      </c>
      <c r="H60" s="67">
        <v>500</v>
      </c>
      <c r="I60" s="12"/>
      <c r="J60" s="61"/>
      <c r="K60" s="71"/>
      <c r="L60" s="62"/>
      <c r="M60" s="75"/>
      <c r="N60" s="73"/>
      <c r="O60" s="15"/>
    </row>
    <row r="61" spans="1:15" x14ac:dyDescent="0.25">
      <c r="A61" s="16">
        <v>23165</v>
      </c>
      <c r="B61" s="49">
        <v>200</v>
      </c>
      <c r="C61" s="17"/>
      <c r="D61" s="13"/>
      <c r="E61" s="70"/>
      <c r="F61" s="14" t="s">
        <v>18</v>
      </c>
      <c r="G61" s="11">
        <v>28296</v>
      </c>
      <c r="H61" s="67">
        <v>300</v>
      </c>
      <c r="I61" s="12" t="s">
        <v>516</v>
      </c>
      <c r="J61" s="61"/>
      <c r="K61" s="71"/>
      <c r="L61" s="62"/>
      <c r="M61" s="75"/>
      <c r="N61" s="73"/>
      <c r="O61" s="15"/>
    </row>
    <row r="62" spans="1:15" x14ac:dyDescent="0.25">
      <c r="A62" s="16">
        <v>23166</v>
      </c>
      <c r="B62" s="49">
        <v>1000</v>
      </c>
      <c r="C62" s="17" t="s">
        <v>497</v>
      </c>
      <c r="D62" s="13">
        <v>23248</v>
      </c>
      <c r="E62" s="70">
        <v>500</v>
      </c>
      <c r="F62" s="14" t="s">
        <v>379</v>
      </c>
      <c r="G62" s="11">
        <v>28297</v>
      </c>
      <c r="H62" s="67">
        <v>1500</v>
      </c>
      <c r="I62" s="12" t="s">
        <v>517</v>
      </c>
      <c r="J62" s="61"/>
      <c r="K62" s="71"/>
      <c r="L62" s="62"/>
      <c r="M62" s="75"/>
      <c r="N62" s="73"/>
      <c r="O62" s="15"/>
    </row>
    <row r="63" spans="1:15" x14ac:dyDescent="0.25">
      <c r="A63" s="16">
        <v>23167</v>
      </c>
      <c r="B63" s="49">
        <v>500</v>
      </c>
      <c r="C63" s="17"/>
      <c r="D63" s="13">
        <v>23249</v>
      </c>
      <c r="E63" s="70">
        <v>1800</v>
      </c>
      <c r="F63" s="14" t="s">
        <v>243</v>
      </c>
      <c r="G63" s="11"/>
      <c r="H63" s="67"/>
      <c r="I63" s="12" t="s">
        <v>18</v>
      </c>
      <c r="J63" s="61"/>
      <c r="K63" s="71"/>
      <c r="L63" s="62"/>
      <c r="M63" s="75"/>
      <c r="N63" s="73"/>
      <c r="O63" s="15"/>
    </row>
    <row r="64" spans="1:15" x14ac:dyDescent="0.25">
      <c r="A64" s="16">
        <v>23168</v>
      </c>
      <c r="B64" s="49">
        <v>600</v>
      </c>
      <c r="C64" s="17" t="s">
        <v>410</v>
      </c>
      <c r="D64" s="13"/>
      <c r="E64" s="70"/>
      <c r="F64" s="14" t="s">
        <v>504</v>
      </c>
      <c r="G64" s="11">
        <v>28298</v>
      </c>
      <c r="H64" s="67">
        <v>1500</v>
      </c>
      <c r="I64" s="12" t="s">
        <v>518</v>
      </c>
      <c r="J64" s="61"/>
      <c r="K64" s="71"/>
      <c r="L64" s="62"/>
      <c r="M64" s="75"/>
      <c r="N64" s="73"/>
      <c r="O64" s="15"/>
    </row>
    <row r="65" spans="1:15" x14ac:dyDescent="0.25">
      <c r="A65" s="16"/>
      <c r="B65" s="49"/>
      <c r="C65" s="17" t="s">
        <v>44</v>
      </c>
      <c r="D65" s="13"/>
      <c r="E65" s="70"/>
      <c r="F65" s="14" t="s">
        <v>505</v>
      </c>
      <c r="G65" s="11"/>
      <c r="H65" s="67"/>
      <c r="I65" s="12" t="s">
        <v>519</v>
      </c>
      <c r="J65" s="61"/>
      <c r="K65" s="71"/>
      <c r="L65" s="62"/>
      <c r="M65" s="75"/>
      <c r="N65" s="73"/>
      <c r="O65" s="15"/>
    </row>
    <row r="66" spans="1:15" x14ac:dyDescent="0.25">
      <c r="A66" s="16">
        <v>23169</v>
      </c>
      <c r="B66" s="49">
        <v>500</v>
      </c>
      <c r="C66" s="17"/>
      <c r="D66" s="13">
        <v>23250</v>
      </c>
      <c r="E66" s="70">
        <v>300</v>
      </c>
      <c r="F66" s="14"/>
      <c r="G66" s="11">
        <v>28299</v>
      </c>
      <c r="H66" s="67">
        <v>500</v>
      </c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23170</v>
      </c>
      <c r="B67" s="49">
        <v>500</v>
      </c>
      <c r="C67" s="17"/>
      <c r="D67" s="13">
        <v>23251</v>
      </c>
      <c r="E67" s="70">
        <v>1000</v>
      </c>
      <c r="F67" s="14" t="s">
        <v>469</v>
      </c>
      <c r="G67" s="11">
        <v>28300</v>
      </c>
      <c r="H67" s="67">
        <v>2800</v>
      </c>
      <c r="I67" s="12" t="s">
        <v>520</v>
      </c>
      <c r="J67" s="61"/>
      <c r="K67" s="71"/>
      <c r="L67" s="62"/>
      <c r="M67" s="75"/>
      <c r="N67" s="73"/>
      <c r="O67" s="15"/>
    </row>
    <row r="68" spans="1:15" x14ac:dyDescent="0.25">
      <c r="A68" s="16">
        <v>23171</v>
      </c>
      <c r="B68" s="49">
        <v>500</v>
      </c>
      <c r="C68" s="17" t="s">
        <v>379</v>
      </c>
      <c r="D68" s="13"/>
      <c r="E68" s="70"/>
      <c r="F68" s="14" t="s">
        <v>18</v>
      </c>
      <c r="G68" s="11"/>
      <c r="H68" s="67"/>
      <c r="I68" s="12" t="s">
        <v>25</v>
      </c>
      <c r="J68" s="61"/>
      <c r="K68" s="71"/>
      <c r="L68" s="62"/>
      <c r="M68" s="75"/>
      <c r="N68" s="73"/>
      <c r="O68" s="15"/>
    </row>
    <row r="69" spans="1:15" x14ac:dyDescent="0.25">
      <c r="A69" s="16">
        <v>23172</v>
      </c>
      <c r="B69" s="49">
        <v>600</v>
      </c>
      <c r="C69" s="17"/>
      <c r="D69" s="13">
        <v>23252</v>
      </c>
      <c r="E69" s="70">
        <v>50</v>
      </c>
      <c r="F69" s="14" t="s">
        <v>71</v>
      </c>
      <c r="G69" s="11">
        <v>28301</v>
      </c>
      <c r="H69" s="67">
        <v>800</v>
      </c>
      <c r="I69" s="12" t="s">
        <v>417</v>
      </c>
      <c r="J69" s="61"/>
      <c r="K69" s="71"/>
      <c r="L69" s="62"/>
      <c r="M69" s="75"/>
      <c r="N69" s="73"/>
      <c r="O69" s="15"/>
    </row>
    <row r="70" spans="1:15" x14ac:dyDescent="0.25">
      <c r="A70" s="16">
        <v>23173</v>
      </c>
      <c r="B70" s="49">
        <v>500</v>
      </c>
      <c r="C70" s="17"/>
      <c r="D70" s="13">
        <v>23253</v>
      </c>
      <c r="E70" s="70">
        <v>600</v>
      </c>
      <c r="F70" s="14"/>
      <c r="G70" s="11"/>
      <c r="H70" s="67"/>
      <c r="I70" s="12" t="s">
        <v>25</v>
      </c>
      <c r="J70" s="61"/>
      <c r="K70" s="71"/>
      <c r="L70" s="62"/>
      <c r="M70" s="75"/>
      <c r="N70" s="73"/>
      <c r="O70" s="15"/>
    </row>
    <row r="71" spans="1:15" x14ac:dyDescent="0.25">
      <c r="A71" s="16">
        <v>23174</v>
      </c>
      <c r="B71" s="49">
        <v>450</v>
      </c>
      <c r="C71" s="17"/>
      <c r="D71" s="13">
        <v>23254</v>
      </c>
      <c r="E71" s="70">
        <v>50</v>
      </c>
      <c r="F71" s="14" t="s">
        <v>71</v>
      </c>
      <c r="G71" s="11">
        <v>28302</v>
      </c>
      <c r="H71" s="67">
        <v>500</v>
      </c>
      <c r="I71" s="12" t="s">
        <v>469</v>
      </c>
      <c r="J71" s="61"/>
      <c r="K71" s="71"/>
      <c r="L71" s="62"/>
      <c r="M71" s="75"/>
      <c r="N71" s="73"/>
      <c r="O71" s="15"/>
    </row>
    <row r="72" spans="1:15" x14ac:dyDescent="0.25">
      <c r="A72" s="16">
        <v>23175</v>
      </c>
      <c r="B72" s="49">
        <v>500</v>
      </c>
      <c r="C72" s="17" t="s">
        <v>379</v>
      </c>
      <c r="D72" s="13">
        <v>23255</v>
      </c>
      <c r="E72" s="70">
        <v>100</v>
      </c>
      <c r="F72" s="14" t="s">
        <v>77</v>
      </c>
      <c r="G72" s="11"/>
      <c r="H72" s="67"/>
      <c r="I72" s="12" t="s">
        <v>22</v>
      </c>
      <c r="J72" s="61"/>
      <c r="K72" s="71"/>
      <c r="L72" s="62"/>
      <c r="M72" s="75"/>
      <c r="N72" s="73"/>
      <c r="O72" s="15"/>
    </row>
    <row r="73" spans="1:15" x14ac:dyDescent="0.25">
      <c r="A73" s="16">
        <v>23176</v>
      </c>
      <c r="B73" s="49">
        <v>500</v>
      </c>
      <c r="C73" s="17"/>
      <c r="D73" s="13"/>
      <c r="E73" s="70"/>
      <c r="F73" s="14"/>
      <c r="G73" s="11">
        <v>28303</v>
      </c>
      <c r="H73" s="67">
        <v>4000</v>
      </c>
      <c r="I73" s="12" t="s">
        <v>521</v>
      </c>
      <c r="J73" s="61"/>
      <c r="K73" s="71"/>
      <c r="L73" s="62"/>
      <c r="M73" s="75"/>
      <c r="N73" s="73"/>
      <c r="O73" s="15"/>
    </row>
    <row r="74" spans="1:15" x14ac:dyDescent="0.25">
      <c r="A74" s="16">
        <v>23177</v>
      </c>
      <c r="B74" s="49">
        <v>500</v>
      </c>
      <c r="C74" s="17"/>
      <c r="D74" s="13"/>
      <c r="E74" s="70"/>
      <c r="F74" s="14"/>
      <c r="G74" s="11"/>
      <c r="H74" s="67"/>
      <c r="I74" s="12" t="s">
        <v>18</v>
      </c>
      <c r="J74" s="61"/>
      <c r="K74" s="71"/>
      <c r="L74" s="62"/>
      <c r="M74" s="75"/>
      <c r="N74" s="73"/>
      <c r="O74" s="15"/>
    </row>
    <row r="75" spans="1:15" x14ac:dyDescent="0.25">
      <c r="A75" s="16">
        <v>23178</v>
      </c>
      <c r="B75" s="49">
        <v>400</v>
      </c>
      <c r="C75" s="17"/>
      <c r="D75" s="13"/>
      <c r="E75" s="70"/>
      <c r="F75" s="14"/>
      <c r="G75" s="11">
        <v>28304</v>
      </c>
      <c r="H75" s="67">
        <v>500</v>
      </c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23179</v>
      </c>
      <c r="B76" s="49">
        <v>500</v>
      </c>
      <c r="C76" s="17"/>
      <c r="D76" s="13"/>
      <c r="E76" s="70"/>
      <c r="F76" s="14"/>
      <c r="G76" s="11">
        <v>28305</v>
      </c>
      <c r="H76" s="67">
        <v>1000</v>
      </c>
      <c r="I76" s="12" t="s">
        <v>417</v>
      </c>
      <c r="J76" s="61"/>
      <c r="K76" s="71"/>
      <c r="L76" s="62"/>
      <c r="M76" s="75"/>
      <c r="N76" s="73"/>
      <c r="O76" s="15"/>
    </row>
    <row r="77" spans="1:15" x14ac:dyDescent="0.25">
      <c r="A77" s="16">
        <v>23180</v>
      </c>
      <c r="B77" s="49">
        <v>500</v>
      </c>
      <c r="C77" s="17" t="s">
        <v>379</v>
      </c>
      <c r="D77" s="13"/>
      <c r="E77" s="70"/>
      <c r="F77" s="14"/>
      <c r="G77" s="11"/>
      <c r="H77" s="67"/>
      <c r="I77" s="12" t="s">
        <v>18</v>
      </c>
      <c r="J77" s="61"/>
      <c r="K77" s="71"/>
      <c r="L77" s="62"/>
      <c r="M77" s="75"/>
      <c r="N77" s="73"/>
      <c r="O77" s="15"/>
    </row>
    <row r="78" spans="1:15" x14ac:dyDescent="0.25">
      <c r="A78" s="16">
        <v>23181</v>
      </c>
      <c r="B78" s="49">
        <v>500</v>
      </c>
      <c r="C78" s="17" t="s">
        <v>379</v>
      </c>
      <c r="D78" s="13"/>
      <c r="E78" s="70"/>
      <c r="F78" s="14"/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23182</v>
      </c>
      <c r="B79" s="49">
        <v>250</v>
      </c>
      <c r="C79" s="17"/>
      <c r="D79" s="13"/>
      <c r="E79" s="70"/>
      <c r="F79" s="14"/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23183</v>
      </c>
      <c r="B80" s="49">
        <v>250</v>
      </c>
      <c r="C80" s="17" t="s">
        <v>492</v>
      </c>
      <c r="D80" s="13"/>
      <c r="E80" s="70"/>
      <c r="F80" s="14"/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23184</v>
      </c>
      <c r="B81" s="49">
        <v>500</v>
      </c>
      <c r="C81" s="17" t="s">
        <v>379</v>
      </c>
      <c r="D81" s="13"/>
      <c r="E81" s="70"/>
      <c r="F81" s="14"/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>
        <v>23185</v>
      </c>
      <c r="B82" s="49">
        <v>500</v>
      </c>
      <c r="C82" s="17"/>
      <c r="D82" s="13"/>
      <c r="E82" s="70"/>
      <c r="F82" s="14"/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23186</v>
      </c>
      <c r="B83" s="49">
        <v>200</v>
      </c>
      <c r="C83" s="17"/>
      <c r="D83" s="13"/>
      <c r="E83" s="70"/>
      <c r="F83" s="14"/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>
        <v>23187</v>
      </c>
      <c r="B84" s="49">
        <v>500</v>
      </c>
      <c r="C84" s="17" t="s">
        <v>379</v>
      </c>
      <c r="D84" s="13"/>
      <c r="E84" s="70"/>
      <c r="F84" s="14"/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23188</v>
      </c>
      <c r="B85" s="49">
        <v>500</v>
      </c>
      <c r="C85" s="17"/>
      <c r="D85" s="13"/>
      <c r="E85" s="70"/>
      <c r="F85" s="14"/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>
        <v>23189</v>
      </c>
      <c r="B86" s="49">
        <v>150</v>
      </c>
      <c r="C86" s="17" t="s">
        <v>335</v>
      </c>
      <c r="D86" s="13"/>
      <c r="E86" s="70"/>
      <c r="F86" s="14"/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23190</v>
      </c>
      <c r="B87" s="49">
        <v>400</v>
      </c>
      <c r="C87" s="17" t="s">
        <v>379</v>
      </c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>
        <v>23191</v>
      </c>
      <c r="B88" s="49">
        <v>1000</v>
      </c>
      <c r="C88" s="17" t="s">
        <v>417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/>
      <c r="B89" s="49"/>
      <c r="C89" s="17" t="s">
        <v>18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>
        <v>23192</v>
      </c>
      <c r="B90" s="49">
        <v>500</v>
      </c>
      <c r="C90" s="17"/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23193</v>
      </c>
      <c r="B91" s="49">
        <v>500</v>
      </c>
      <c r="C91" s="17" t="s">
        <v>379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23194</v>
      </c>
      <c r="B92" s="49">
        <v>2500</v>
      </c>
      <c r="C92" s="17" t="s">
        <v>493</v>
      </c>
      <c r="D92" s="13"/>
      <c r="E92" s="70"/>
      <c r="F92" s="14"/>
      <c r="G92" s="11"/>
      <c r="H92" s="67"/>
      <c r="I92" s="12"/>
      <c r="J92" s="61"/>
      <c r="K92" s="71"/>
      <c r="L92" s="62"/>
      <c r="M92" s="75"/>
      <c r="N92" s="73"/>
      <c r="O92" s="15"/>
    </row>
    <row r="93" spans="1:15" x14ac:dyDescent="0.25">
      <c r="A93" s="16"/>
      <c r="B93" s="49"/>
      <c r="C93" s="17" t="s">
        <v>18</v>
      </c>
      <c r="D93" s="13"/>
      <c r="E93" s="70"/>
      <c r="F93" s="14"/>
      <c r="G93" s="11"/>
      <c r="H93" s="67"/>
      <c r="I93" s="12"/>
      <c r="J93" s="61"/>
      <c r="K93" s="71"/>
      <c r="L93" s="62"/>
      <c r="M93" s="75"/>
      <c r="N93" s="73"/>
      <c r="O93" s="15"/>
    </row>
    <row r="94" spans="1:15" x14ac:dyDescent="0.25">
      <c r="A94" s="16">
        <v>23195</v>
      </c>
      <c r="B94" s="49">
        <v>400</v>
      </c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75"/>
      <c r="N94" s="73"/>
      <c r="O94" s="15"/>
    </row>
    <row r="95" spans="1:15" x14ac:dyDescent="0.25">
      <c r="A95" s="16">
        <v>23196</v>
      </c>
      <c r="B95" s="49">
        <v>300</v>
      </c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75"/>
      <c r="N95" s="73"/>
      <c r="O95" s="15"/>
    </row>
    <row r="96" spans="1:15" x14ac:dyDescent="0.25">
      <c r="A96" s="16">
        <v>23197</v>
      </c>
      <c r="B96" s="49">
        <v>500</v>
      </c>
      <c r="C96" s="17" t="s">
        <v>379</v>
      </c>
      <c r="D96" s="13"/>
      <c r="E96" s="70"/>
      <c r="F96" s="14"/>
      <c r="G96" s="11"/>
      <c r="H96" s="67"/>
      <c r="I96" s="12"/>
      <c r="J96" s="61"/>
      <c r="K96" s="71"/>
      <c r="L96" s="62"/>
      <c r="M96" s="75"/>
      <c r="N96" s="73"/>
      <c r="O96" s="15"/>
    </row>
    <row r="97" spans="1:15" x14ac:dyDescent="0.25">
      <c r="A97" s="16">
        <v>23198</v>
      </c>
      <c r="B97" s="49">
        <v>400</v>
      </c>
      <c r="C97" s="17"/>
      <c r="D97" s="13"/>
      <c r="E97" s="70"/>
      <c r="F97" s="14"/>
      <c r="G97" s="11"/>
      <c r="H97" s="67"/>
      <c r="I97" s="12"/>
      <c r="J97" s="61"/>
      <c r="K97" s="71"/>
      <c r="L97" s="62"/>
      <c r="M97" s="75"/>
      <c r="N97" s="73"/>
      <c r="O97" s="15"/>
    </row>
    <row r="98" spans="1:15" x14ac:dyDescent="0.25">
      <c r="A98" s="16">
        <v>23199</v>
      </c>
      <c r="B98" s="49">
        <v>3550</v>
      </c>
      <c r="C98" s="17" t="s">
        <v>484</v>
      </c>
      <c r="D98" s="13"/>
      <c r="E98" s="70"/>
      <c r="F98" s="14"/>
      <c r="G98" s="11"/>
      <c r="H98" s="67"/>
      <c r="I98" s="12"/>
      <c r="J98" s="61"/>
      <c r="K98" s="71"/>
      <c r="L98" s="62"/>
      <c r="M98" s="75"/>
      <c r="N98" s="73"/>
      <c r="O98" s="15"/>
    </row>
    <row r="99" spans="1:15" x14ac:dyDescent="0.25">
      <c r="A99" s="16"/>
      <c r="B99" s="49"/>
      <c r="C99" s="17" t="s">
        <v>494</v>
      </c>
      <c r="D99" s="13"/>
      <c r="E99" s="70"/>
      <c r="F99" s="14"/>
      <c r="G99" s="11"/>
      <c r="H99" s="67"/>
      <c r="I99" s="12"/>
      <c r="J99" s="61"/>
      <c r="K99" s="71"/>
      <c r="L99" s="62"/>
      <c r="M99" s="75"/>
      <c r="N99" s="73"/>
      <c r="O99" s="15"/>
    </row>
    <row r="100" spans="1:15" x14ac:dyDescent="0.25">
      <c r="A100" s="16"/>
      <c r="B100" s="49"/>
      <c r="C100" s="17" t="s">
        <v>495</v>
      </c>
      <c r="D100" s="13"/>
      <c r="E100" s="70"/>
      <c r="F100" s="14"/>
      <c r="G100" s="11"/>
      <c r="H100" s="67"/>
      <c r="I100" s="12"/>
      <c r="J100" s="61"/>
      <c r="K100" s="71"/>
      <c r="L100" s="62"/>
      <c r="M100" s="75"/>
      <c r="N100" s="73"/>
      <c r="O100" s="15"/>
    </row>
    <row r="101" spans="1:15" x14ac:dyDescent="0.25">
      <c r="A101" s="16"/>
      <c r="B101" s="49"/>
      <c r="C101" s="83">
        <v>1136</v>
      </c>
      <c r="D101" s="13"/>
      <c r="E101" s="70"/>
      <c r="F101" s="14"/>
      <c r="G101" s="11"/>
      <c r="H101" s="67"/>
      <c r="I101" s="12"/>
      <c r="J101" s="61"/>
      <c r="K101" s="71"/>
      <c r="L101" s="62"/>
      <c r="M101" s="75"/>
      <c r="N101" s="73"/>
      <c r="O101" s="15"/>
    </row>
    <row r="102" spans="1:15" x14ac:dyDescent="0.25">
      <c r="A102" s="16">
        <v>23200</v>
      </c>
      <c r="B102" s="49">
        <v>700</v>
      </c>
      <c r="C102" s="17" t="s">
        <v>496</v>
      </c>
      <c r="D102" s="13"/>
      <c r="E102" s="70"/>
      <c r="F102" s="14"/>
      <c r="G102" s="11"/>
      <c r="H102" s="67"/>
      <c r="I102" s="12"/>
      <c r="J102" s="61"/>
      <c r="K102" s="71"/>
      <c r="L102" s="62"/>
      <c r="M102" s="75"/>
      <c r="N102" s="73"/>
      <c r="O102" s="15"/>
    </row>
    <row r="103" spans="1:15" x14ac:dyDescent="0.25">
      <c r="A103" s="16">
        <v>23201</v>
      </c>
      <c r="B103" s="49">
        <v>500</v>
      </c>
      <c r="C103" s="17" t="s">
        <v>379</v>
      </c>
      <c r="D103" s="13"/>
      <c r="E103" s="70"/>
      <c r="F103" s="14"/>
      <c r="G103" s="11"/>
      <c r="H103" s="67"/>
      <c r="I103" s="12"/>
      <c r="J103" s="61"/>
      <c r="K103" s="71"/>
      <c r="L103" s="62"/>
      <c r="M103" s="75"/>
      <c r="N103" s="73"/>
      <c r="O103" s="15"/>
    </row>
    <row r="104" spans="1:15" x14ac:dyDescent="0.25">
      <c r="A104" s="16">
        <v>23202</v>
      </c>
      <c r="B104" s="49">
        <v>6000</v>
      </c>
      <c r="C104" s="17" t="s">
        <v>72</v>
      </c>
      <c r="D104" s="13"/>
      <c r="E104" s="70"/>
      <c r="F104" s="14"/>
      <c r="G104" s="11"/>
      <c r="H104" s="67"/>
      <c r="I104" s="12"/>
      <c r="J104" s="61"/>
      <c r="K104" s="71"/>
      <c r="L104" s="62"/>
      <c r="M104" s="75"/>
      <c r="N104" s="73"/>
      <c r="O104" s="15"/>
    </row>
    <row r="105" spans="1:15" x14ac:dyDescent="0.25">
      <c r="A105" s="16"/>
      <c r="B105" s="49"/>
      <c r="C105" s="17" t="s">
        <v>18</v>
      </c>
      <c r="D105" s="13"/>
      <c r="E105" s="70"/>
      <c r="F105" s="14"/>
      <c r="G105" s="11"/>
      <c r="H105" s="67"/>
      <c r="I105" s="12"/>
      <c r="J105" s="61"/>
      <c r="K105" s="71"/>
      <c r="L105" s="62"/>
      <c r="M105" s="75"/>
      <c r="N105" s="73"/>
      <c r="O105" s="15"/>
    </row>
    <row r="106" spans="1:15" x14ac:dyDescent="0.25">
      <c r="A106" s="16"/>
      <c r="B106" s="49"/>
      <c r="C106" s="17" t="s">
        <v>278</v>
      </c>
      <c r="D106" s="13"/>
      <c r="E106" s="70"/>
      <c r="F106" s="14"/>
      <c r="G106" s="11"/>
      <c r="H106" s="67"/>
      <c r="I106" s="12"/>
      <c r="J106" s="61"/>
      <c r="K106" s="71"/>
      <c r="L106" s="62"/>
      <c r="M106" s="75"/>
      <c r="N106" s="73"/>
      <c r="O106" s="15"/>
    </row>
    <row r="107" spans="1:15" x14ac:dyDescent="0.25">
      <c r="A107" s="16">
        <v>23203</v>
      </c>
      <c r="B107" s="49">
        <v>200</v>
      </c>
      <c r="C107" s="17" t="s">
        <v>344</v>
      </c>
      <c r="D107" s="13"/>
      <c r="E107" s="70"/>
      <c r="F107" s="14"/>
      <c r="G107" s="11"/>
      <c r="H107" s="67"/>
      <c r="I107" s="12"/>
      <c r="J107" s="61"/>
      <c r="K107" s="71"/>
      <c r="L107" s="62"/>
      <c r="M107" s="75"/>
      <c r="N107" s="73"/>
      <c r="O107" s="15"/>
    </row>
    <row r="108" spans="1:15" x14ac:dyDescent="0.25">
      <c r="A108" s="16">
        <v>23204</v>
      </c>
      <c r="B108" s="49">
        <v>400</v>
      </c>
      <c r="C108" s="17" t="s">
        <v>379</v>
      </c>
      <c r="D108" s="13"/>
      <c r="E108" s="70"/>
      <c r="F108" s="14"/>
      <c r="G108" s="11"/>
      <c r="H108" s="67"/>
      <c r="I108" s="12"/>
      <c r="J108" s="61"/>
      <c r="K108" s="71"/>
      <c r="L108" s="62"/>
      <c r="M108" s="75"/>
      <c r="N108" s="73"/>
      <c r="O108" s="15"/>
    </row>
    <row r="109" spans="1:15" x14ac:dyDescent="0.25">
      <c r="A109" s="16">
        <v>23205</v>
      </c>
      <c r="B109" s="49">
        <v>500.46</v>
      </c>
      <c r="C109" s="17" t="s">
        <v>278</v>
      </c>
      <c r="D109" s="13"/>
      <c r="E109" s="70"/>
      <c r="F109" s="14"/>
      <c r="G109" s="11"/>
      <c r="H109" s="67"/>
      <c r="I109" s="12"/>
      <c r="J109" s="61"/>
      <c r="K109" s="71"/>
      <c r="L109" s="62"/>
      <c r="M109" s="75"/>
      <c r="N109" s="73"/>
      <c r="O109" s="15"/>
    </row>
    <row r="110" spans="1:15" x14ac:dyDescent="0.25">
      <c r="A110" s="16">
        <v>23206</v>
      </c>
      <c r="B110" s="49">
        <v>500</v>
      </c>
      <c r="C110" s="17" t="s">
        <v>379</v>
      </c>
      <c r="D110" s="13"/>
      <c r="E110" s="70"/>
      <c r="F110" s="14"/>
      <c r="G110" s="11"/>
      <c r="H110" s="67"/>
      <c r="I110" s="12"/>
      <c r="J110" s="61"/>
      <c r="K110" s="71"/>
      <c r="L110" s="62"/>
      <c r="M110" s="75"/>
      <c r="N110" s="73"/>
      <c r="O110" s="15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75"/>
      <c r="N111" s="73"/>
      <c r="O111" s="15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75"/>
      <c r="N112" s="73"/>
      <c r="O112" s="15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75"/>
      <c r="N113" s="73"/>
      <c r="O113" s="15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75"/>
      <c r="N114" s="73"/>
      <c r="O114" s="15"/>
    </row>
    <row r="115" spans="1:15" x14ac:dyDescent="0.25">
      <c r="A115" s="26"/>
      <c r="B115" s="66"/>
      <c r="C115" s="58"/>
      <c r="D115" s="26"/>
      <c r="E115" s="74"/>
      <c r="F115" s="58"/>
      <c r="G115" s="26"/>
      <c r="H115" s="58"/>
      <c r="I115" s="58"/>
      <c r="J115" s="61"/>
      <c r="K115" s="71"/>
      <c r="L115" s="62"/>
      <c r="M115" s="26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61"/>
      <c r="K116" s="71"/>
      <c r="L116" s="62"/>
      <c r="M116" s="26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61"/>
      <c r="K117" s="71"/>
      <c r="L117" s="62"/>
      <c r="M117" s="26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61"/>
      <c r="K118" s="71"/>
      <c r="L118" s="62"/>
      <c r="M118" s="26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61"/>
      <c r="K119" s="71"/>
      <c r="L119" s="62"/>
      <c r="M119" s="26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61"/>
      <c r="K120" s="71"/>
      <c r="L120" s="62"/>
      <c r="M120" s="26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61"/>
      <c r="K121" s="71"/>
      <c r="L121" s="62"/>
      <c r="M121" s="26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61"/>
      <c r="K122" s="71"/>
      <c r="L122" s="62"/>
      <c r="M122" s="26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61"/>
      <c r="K123" s="71"/>
      <c r="L123" s="62"/>
      <c r="M123" s="26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61"/>
      <c r="K124" s="71"/>
      <c r="L124" s="62"/>
      <c r="M124" s="26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61"/>
      <c r="K125" s="71"/>
      <c r="L125" s="62"/>
      <c r="M125" s="26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61"/>
      <c r="K126" s="71"/>
      <c r="L126" s="62"/>
      <c r="M126" s="26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61"/>
      <c r="K127" s="71"/>
      <c r="L127" s="62"/>
      <c r="M127" s="26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61"/>
      <c r="K128" s="71"/>
      <c r="L128" s="62"/>
      <c r="M128" s="26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61"/>
      <c r="K129" s="71"/>
      <c r="L129" s="62"/>
      <c r="M129" s="26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61"/>
      <c r="K130" s="71"/>
      <c r="L130" s="62"/>
      <c r="M130" s="26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61"/>
      <c r="K131" s="71"/>
      <c r="L131" s="62"/>
      <c r="M131" s="26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61"/>
      <c r="K132" s="71"/>
      <c r="L132" s="62"/>
      <c r="M132" s="26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61"/>
      <c r="K133" s="71"/>
      <c r="L133" s="62"/>
      <c r="M133" s="26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61"/>
      <c r="K134" s="71"/>
      <c r="L134" s="62"/>
      <c r="M134" s="26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61"/>
      <c r="K135" s="71"/>
      <c r="L135" s="62"/>
      <c r="M135" s="26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61"/>
      <c r="K136" s="71"/>
      <c r="L136" s="62"/>
      <c r="M136" s="26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61"/>
      <c r="K137" s="71"/>
      <c r="L137" s="62"/>
      <c r="M137" s="26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61"/>
      <c r="K138" s="71"/>
      <c r="L138" s="62"/>
      <c r="M138" s="26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61"/>
      <c r="K139" s="71"/>
      <c r="L139" s="62"/>
      <c r="M139" s="26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61"/>
      <c r="K140" s="71"/>
      <c r="L140" s="62"/>
      <c r="M140" s="26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61"/>
      <c r="K141" s="71"/>
      <c r="L141" s="62"/>
      <c r="M141" s="26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61"/>
      <c r="K142" s="71"/>
      <c r="L142" s="62"/>
      <c r="M142" s="26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61"/>
      <c r="K143" s="71"/>
      <c r="L143" s="62"/>
      <c r="M143" s="26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61"/>
      <c r="K144" s="71"/>
      <c r="L144" s="62"/>
      <c r="M144" s="26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61"/>
      <c r="K145" s="71"/>
      <c r="L145" s="62"/>
      <c r="M145" s="26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61"/>
      <c r="K146" s="71"/>
      <c r="L146" s="62"/>
      <c r="M146" s="26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61"/>
      <c r="K147" s="71"/>
      <c r="L147" s="62"/>
      <c r="M147" s="26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61"/>
      <c r="K148" s="71"/>
      <c r="L148" s="62"/>
      <c r="M148" s="26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61"/>
      <c r="K149" s="71"/>
      <c r="L149" s="62"/>
      <c r="M149" s="26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61"/>
      <c r="K150" s="71"/>
      <c r="L150" s="62"/>
      <c r="M150" s="26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61"/>
      <c r="K151" s="71"/>
      <c r="L151" s="62"/>
      <c r="M151" s="26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61"/>
      <c r="K152" s="71"/>
      <c r="L152" s="62"/>
      <c r="M152" s="26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61"/>
      <c r="K153" s="71"/>
      <c r="L153" s="62"/>
      <c r="M153" s="26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61"/>
      <c r="K154" s="71"/>
      <c r="L154" s="62"/>
      <c r="M154" s="26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61"/>
      <c r="K155" s="71"/>
      <c r="L155" s="62"/>
      <c r="M155" s="26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61"/>
      <c r="K156" s="71"/>
      <c r="L156" s="62"/>
      <c r="M156" s="26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61"/>
      <c r="K157" s="71"/>
      <c r="L157" s="62"/>
      <c r="M157" s="26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61"/>
      <c r="K158" s="71"/>
      <c r="L158" s="62"/>
      <c r="M158" s="26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61"/>
      <c r="K159" s="71"/>
      <c r="L159" s="62"/>
      <c r="M159" s="26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61"/>
      <c r="K160" s="71"/>
      <c r="L160" s="62"/>
      <c r="M160" s="26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61"/>
      <c r="K161" s="71"/>
      <c r="L161" s="62"/>
      <c r="M161" s="26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61"/>
      <c r="K162" s="71"/>
      <c r="L162" s="62"/>
      <c r="M162" s="26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61"/>
      <c r="K163" s="71"/>
      <c r="L163" s="62"/>
      <c r="M163" s="26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61"/>
      <c r="K164" s="71"/>
      <c r="L164" s="62"/>
      <c r="M164" s="26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61"/>
      <c r="K165" s="71"/>
      <c r="L165" s="62"/>
      <c r="M165" s="26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61"/>
      <c r="K166" s="71"/>
      <c r="L166" s="62"/>
      <c r="M166" s="26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61"/>
      <c r="K167" s="71"/>
      <c r="L167" s="62"/>
      <c r="M167" s="26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26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26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26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26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26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26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26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26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26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26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26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26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26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26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26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26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26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26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26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26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26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26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26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26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26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26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26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26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26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26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26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26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26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26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26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26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26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26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26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26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26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26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26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26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26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26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26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26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26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26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26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26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26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26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26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26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26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26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26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26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26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26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26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26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26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26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26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26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26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26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26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26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26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26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26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26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26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26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26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26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26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26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26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26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26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26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26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26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26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26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26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26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26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26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26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26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26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26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26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26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26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26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26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26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26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26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26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26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26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26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26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26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26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26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26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26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26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26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26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26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26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26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26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26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26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26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26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26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26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26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26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26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26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26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26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26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26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26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26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26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26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26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26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26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26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26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26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26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26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26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26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26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26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26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26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26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26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26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26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26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26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26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26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26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26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26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26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26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26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26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26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26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26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26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26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26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26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26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26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26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26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26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26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26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26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26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26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26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26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26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26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26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26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26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26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26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26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26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26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26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26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26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26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26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26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26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26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26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26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26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26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26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26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26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26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26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26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26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26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26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26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26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26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26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26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26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26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26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26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26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26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26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26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26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26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26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26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26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26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26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26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26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26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26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26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26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26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26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26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26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26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26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26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26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26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26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26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26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26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26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26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26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26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26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26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26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26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26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26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26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26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26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26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26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26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26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26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26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26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26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26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26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26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26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26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26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26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26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26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26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26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26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26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26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26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26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26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26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26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26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26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26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26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26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26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26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26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26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26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26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26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26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26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26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26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26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26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26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26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26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26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26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26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26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26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26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26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26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26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26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26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26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26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26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26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26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26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26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26"/>
      <c r="N506" s="58"/>
      <c r="O506" s="58"/>
    </row>
    <row r="507" spans="1:15" x14ac:dyDescent="0.25">
      <c r="A507" s="26"/>
      <c r="B507" s="66"/>
      <c r="C507" s="58"/>
      <c r="G507" s="26"/>
      <c r="H507" s="58"/>
      <c r="I507" s="58"/>
      <c r="J507" s="26"/>
      <c r="K507" s="58"/>
      <c r="L507" s="58"/>
      <c r="M507" s="26"/>
      <c r="N507" s="58"/>
      <c r="O507" s="58"/>
    </row>
    <row r="508" spans="1:15" x14ac:dyDescent="0.25">
      <c r="A508" s="26"/>
      <c r="B508" s="66"/>
      <c r="C508" s="58"/>
      <c r="G508" s="26"/>
      <c r="H508" s="58"/>
      <c r="I508" s="58"/>
      <c r="J508" s="26"/>
      <c r="K508" s="58"/>
      <c r="L508" s="58"/>
      <c r="M508" s="26"/>
      <c r="N508" s="58"/>
      <c r="O508" s="58"/>
    </row>
    <row r="509" spans="1:15" x14ac:dyDescent="0.25">
      <c r="A509" s="26"/>
      <c r="B509" s="66"/>
      <c r="C509" s="58"/>
      <c r="G509" s="26"/>
      <c r="H509" s="58"/>
      <c r="I509" s="58"/>
      <c r="J509" s="26"/>
      <c r="K509" s="58"/>
      <c r="L509" s="58"/>
      <c r="M509" s="26"/>
      <c r="N509" s="58"/>
      <c r="O509" s="58"/>
    </row>
    <row r="510" spans="1:15" x14ac:dyDescent="0.25">
      <c r="A510" s="26"/>
      <c r="B510" s="66"/>
      <c r="C510" s="58"/>
      <c r="G510" s="26"/>
      <c r="H510" s="58"/>
      <c r="I510" s="58"/>
      <c r="J510" s="26"/>
      <c r="K510" s="58"/>
      <c r="L510" s="58"/>
      <c r="M510" s="26"/>
      <c r="N510" s="58"/>
      <c r="O510" s="58"/>
    </row>
    <row r="511" spans="1:15" x14ac:dyDescent="0.25">
      <c r="A511" s="26"/>
      <c r="B511" s="66"/>
      <c r="C511" s="58"/>
      <c r="G511" s="26"/>
      <c r="H511" s="58"/>
      <c r="I511" s="58"/>
      <c r="J511" s="26"/>
      <c r="K511" s="58"/>
      <c r="L511" s="58"/>
      <c r="M511" s="26"/>
      <c r="N511" s="58"/>
      <c r="O511" s="58"/>
    </row>
    <row r="512" spans="1:15" x14ac:dyDescent="0.25">
      <c r="A512" s="26"/>
      <c r="B512" s="66"/>
      <c r="C512" s="58"/>
      <c r="G512" s="26"/>
      <c r="H512" s="58"/>
      <c r="I512" s="58"/>
      <c r="J512" s="26"/>
      <c r="K512" s="58"/>
      <c r="L512" s="58"/>
      <c r="M512" s="26"/>
      <c r="N512" s="58"/>
      <c r="O512" s="58"/>
    </row>
    <row r="513" spans="1:15" x14ac:dyDescent="0.25">
      <c r="A513" s="26"/>
      <c r="B513" s="66"/>
      <c r="C513" s="58"/>
      <c r="G513" s="26"/>
      <c r="H513" s="58"/>
      <c r="I513" s="58"/>
      <c r="J513" s="26"/>
      <c r="K513" s="58"/>
      <c r="L513" s="58"/>
      <c r="M513" s="26"/>
      <c r="N513" s="58"/>
      <c r="O513" s="58"/>
    </row>
    <row r="514" spans="1:15" x14ac:dyDescent="0.25">
      <c r="A514" s="26"/>
      <c r="B514" s="66"/>
      <c r="C514" s="58"/>
      <c r="G514" s="26"/>
      <c r="H514" s="58"/>
      <c r="I514" s="58"/>
      <c r="J514" s="26"/>
      <c r="K514" s="58"/>
      <c r="L514" s="58"/>
      <c r="M514" s="26"/>
      <c r="N514" s="58"/>
      <c r="O514" s="58"/>
    </row>
    <row r="515" spans="1:15" x14ac:dyDescent="0.25">
      <c r="A515" s="26"/>
      <c r="B515" s="66"/>
      <c r="C515" s="58"/>
      <c r="G515" s="26"/>
      <c r="H515" s="58"/>
      <c r="I515" s="58"/>
      <c r="J515" s="26"/>
      <c r="K515" s="58"/>
      <c r="L515" s="58"/>
      <c r="M515" s="26"/>
      <c r="N515" s="58"/>
      <c r="O515" s="58"/>
    </row>
    <row r="516" spans="1:15" x14ac:dyDescent="0.25">
      <c r="A516" s="26"/>
      <c r="B516" s="66"/>
      <c r="C516" s="58"/>
      <c r="G516" s="26"/>
      <c r="H516" s="58"/>
      <c r="I516" s="58"/>
      <c r="J516" s="26"/>
      <c r="K516" s="58"/>
      <c r="L516" s="58"/>
      <c r="M516" s="26"/>
      <c r="N516" s="58"/>
      <c r="O516" s="58"/>
    </row>
    <row r="517" spans="1:15" x14ac:dyDescent="0.25">
      <c r="A517" s="26"/>
      <c r="B517" s="66"/>
      <c r="C517" s="58"/>
      <c r="G517" s="26"/>
      <c r="H517" s="58"/>
      <c r="I517" s="58"/>
      <c r="J517" s="26"/>
      <c r="K517" s="58"/>
      <c r="L517" s="58"/>
      <c r="M517" s="26"/>
      <c r="N517" s="58"/>
      <c r="O517" s="58"/>
    </row>
    <row r="518" spans="1:15" x14ac:dyDescent="0.25">
      <c r="A518" s="26"/>
      <c r="B518" s="66"/>
      <c r="C518" s="58"/>
      <c r="G518" s="26"/>
      <c r="H518" s="58"/>
      <c r="I518" s="58"/>
      <c r="J518" s="26"/>
      <c r="K518" s="58"/>
      <c r="L518" s="58"/>
      <c r="M518" s="26"/>
      <c r="N518" s="58"/>
      <c r="O518" s="58"/>
    </row>
    <row r="519" spans="1:15" x14ac:dyDescent="0.25">
      <c r="A519" s="26"/>
      <c r="B519" s="66"/>
      <c r="C519" s="58"/>
      <c r="G519" s="26"/>
      <c r="H519" s="58"/>
      <c r="I519" s="58"/>
      <c r="J519" s="26"/>
      <c r="K519" s="58"/>
      <c r="L519" s="58"/>
      <c r="M519" s="26"/>
      <c r="N519" s="58"/>
      <c r="O519" s="58"/>
    </row>
    <row r="520" spans="1:15" x14ac:dyDescent="0.25">
      <c r="A520" s="26"/>
      <c r="B520" s="66"/>
      <c r="C520" s="58"/>
      <c r="G520" s="26"/>
      <c r="H520" s="58"/>
      <c r="I520" s="58"/>
      <c r="J520" s="26"/>
      <c r="K520" s="58"/>
      <c r="L520" s="58"/>
      <c r="M520" s="26"/>
      <c r="N520" s="58"/>
      <c r="O520" s="58"/>
    </row>
    <row r="521" spans="1:15" x14ac:dyDescent="0.25">
      <c r="A521" s="26"/>
      <c r="B521" s="66"/>
      <c r="C521" s="58"/>
      <c r="G521" s="26"/>
      <c r="H521" s="58"/>
      <c r="I521" s="58"/>
      <c r="J521" s="26"/>
      <c r="K521" s="58"/>
      <c r="L521" s="58"/>
      <c r="M521" s="26"/>
      <c r="N521" s="58"/>
      <c r="O521" s="58"/>
    </row>
    <row r="522" spans="1:15" x14ac:dyDescent="0.25">
      <c r="A522" s="26"/>
      <c r="B522" s="66"/>
      <c r="C522" s="58"/>
      <c r="G522" s="26"/>
      <c r="H522" s="58"/>
      <c r="I522" s="58"/>
      <c r="J522" s="26"/>
      <c r="K522" s="58"/>
      <c r="L522" s="58"/>
      <c r="M522" s="26"/>
      <c r="N522" s="58"/>
      <c r="O522" s="58"/>
    </row>
    <row r="523" spans="1:15" x14ac:dyDescent="0.25">
      <c r="A523" s="26"/>
      <c r="B523" s="66"/>
      <c r="C523" s="58"/>
      <c r="G523" s="26"/>
      <c r="H523" s="58"/>
      <c r="I523" s="58"/>
      <c r="J523" s="26"/>
      <c r="K523" s="58"/>
      <c r="L523" s="58"/>
      <c r="M523" s="26"/>
      <c r="N523" s="58"/>
      <c r="O523" s="58"/>
    </row>
    <row r="524" spans="1:15" x14ac:dyDescent="0.25">
      <c r="A524" s="26"/>
      <c r="B524" s="66"/>
      <c r="C524" s="58"/>
      <c r="G524" s="26"/>
      <c r="H524" s="58"/>
      <c r="I524" s="58"/>
      <c r="J524" s="26"/>
      <c r="K524" s="58"/>
      <c r="L524" s="58"/>
      <c r="M524" s="26"/>
      <c r="N524" s="58"/>
      <c r="O524" s="58"/>
    </row>
    <row r="525" spans="1:15" x14ac:dyDescent="0.25">
      <c r="A525" s="26"/>
      <c r="B525" s="66"/>
      <c r="C525" s="58"/>
      <c r="G525" s="26"/>
      <c r="H525" s="58"/>
      <c r="I525" s="58"/>
      <c r="J525" s="26"/>
      <c r="K525" s="58"/>
      <c r="L525" s="58"/>
      <c r="M525" s="26"/>
      <c r="N525" s="58"/>
      <c r="O525" s="58"/>
    </row>
    <row r="526" spans="1:15" x14ac:dyDescent="0.25">
      <c r="A526" s="26"/>
      <c r="B526" s="66"/>
      <c r="C526" s="58"/>
      <c r="G526" s="26"/>
      <c r="H526" s="58"/>
      <c r="I526" s="58"/>
      <c r="J526" s="26"/>
      <c r="K526" s="58"/>
      <c r="L526" s="58"/>
      <c r="M526" s="26"/>
      <c r="N526" s="58"/>
      <c r="O526" s="58"/>
    </row>
    <row r="527" spans="1:15" x14ac:dyDescent="0.25">
      <c r="A527" s="26"/>
      <c r="B527" s="66"/>
      <c r="C527" s="58"/>
      <c r="G527" s="26"/>
      <c r="H527" s="58"/>
      <c r="I527" s="58"/>
      <c r="J527" s="26"/>
      <c r="K527" s="58"/>
      <c r="L527" s="58"/>
      <c r="M527" s="26"/>
      <c r="N527" s="58"/>
      <c r="O527" s="58"/>
    </row>
    <row r="528" spans="1:15" x14ac:dyDescent="0.25">
      <c r="A528" s="26"/>
      <c r="B528" s="66"/>
      <c r="C528" s="58"/>
      <c r="G528" s="26"/>
      <c r="H528" s="58"/>
      <c r="I528" s="58"/>
      <c r="J528" s="26"/>
      <c r="K528" s="58"/>
      <c r="L528" s="58"/>
      <c r="M528" s="26"/>
      <c r="N528" s="58"/>
      <c r="O528" s="58"/>
    </row>
    <row r="529" spans="1:15" x14ac:dyDescent="0.25">
      <c r="A529" s="26"/>
      <c r="B529" s="66"/>
      <c r="C529" s="58"/>
      <c r="G529" s="26"/>
      <c r="H529" s="58"/>
      <c r="I529" s="58"/>
      <c r="J529" s="26"/>
      <c r="K529" s="58"/>
      <c r="L529" s="58"/>
      <c r="M529" s="26"/>
      <c r="N529" s="58"/>
      <c r="O529" s="58"/>
    </row>
    <row r="530" spans="1:15" x14ac:dyDescent="0.25">
      <c r="A530" s="26"/>
      <c r="B530" s="66"/>
      <c r="C530" s="58"/>
      <c r="G530" s="26"/>
      <c r="H530" s="58"/>
      <c r="I530" s="58"/>
      <c r="J530" s="26"/>
      <c r="K530" s="58"/>
      <c r="L530" s="58"/>
      <c r="M530" s="26"/>
      <c r="N530" s="58"/>
      <c r="O530" s="58"/>
    </row>
    <row r="531" spans="1:15" x14ac:dyDescent="0.25">
      <c r="A531" s="26"/>
      <c r="B531" s="66"/>
      <c r="C531" s="58"/>
      <c r="G531" s="26"/>
      <c r="H531" s="58"/>
      <c r="I531" s="58"/>
      <c r="J531" s="26"/>
      <c r="K531" s="58"/>
      <c r="L531" s="58"/>
      <c r="M531" s="26"/>
      <c r="N531" s="58"/>
      <c r="O531" s="58"/>
    </row>
    <row r="532" spans="1:15" x14ac:dyDescent="0.25">
      <c r="A532" s="26"/>
      <c r="B532" s="66"/>
      <c r="C532" s="58"/>
      <c r="G532" s="26"/>
      <c r="H532" s="58"/>
      <c r="I532" s="58"/>
      <c r="J532" s="26"/>
      <c r="K532" s="58"/>
      <c r="L532" s="58"/>
      <c r="M532" s="26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26"/>
      <c r="K533" s="58"/>
      <c r="L533" s="58"/>
      <c r="M533" s="26"/>
      <c r="N533" s="58"/>
      <c r="O533" s="58"/>
    </row>
    <row r="534" spans="1:15" x14ac:dyDescent="0.25">
      <c r="A534" s="26"/>
      <c r="B534" s="66"/>
      <c r="C534" s="58"/>
      <c r="G534" s="26"/>
      <c r="H534" s="58"/>
      <c r="I534" s="58"/>
      <c r="J534" s="26"/>
      <c r="K534" s="58"/>
      <c r="L534" s="58"/>
      <c r="M534" s="26"/>
      <c r="N534" s="58"/>
      <c r="O534" s="58"/>
    </row>
    <row r="535" spans="1:15" x14ac:dyDescent="0.25">
      <c r="A535" s="26"/>
      <c r="B535" s="66"/>
      <c r="C535" s="58"/>
      <c r="G535" s="26"/>
      <c r="H535" s="58"/>
      <c r="I535" s="58"/>
      <c r="J535" s="26"/>
      <c r="K535" s="58"/>
      <c r="L535" s="58"/>
      <c r="M535" s="26"/>
      <c r="N535" s="58"/>
      <c r="O535" s="58"/>
    </row>
    <row r="536" spans="1:15" x14ac:dyDescent="0.25">
      <c r="A536" s="26"/>
      <c r="B536" s="66"/>
      <c r="C536" s="58"/>
      <c r="J536" s="26"/>
      <c r="K536" s="58"/>
      <c r="L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0"/>
  <sheetViews>
    <sheetView topLeftCell="D1" zoomScaleNormal="100" workbookViewId="0">
      <pane ySplit="4" topLeftCell="A47" activePane="bottomLeft" state="frozen"/>
      <selection pane="bottomLeft" activeCell="G4" sqref="G4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7.28515625" customWidth="1"/>
    <col min="4" max="4" width="7.7109375" style="6" customWidth="1"/>
    <col min="5" max="5" width="8.7109375" customWidth="1"/>
    <col min="6" max="6" width="23.7109375" customWidth="1"/>
    <col min="7" max="7" width="7.7109375" style="6" customWidth="1"/>
    <col min="8" max="8" width="8.7109375" customWidth="1"/>
    <col min="9" max="9" width="25.5703125" customWidth="1"/>
    <col min="10" max="10" width="7.7109375" style="6" customWidth="1"/>
    <col min="11" max="11" width="8.7109375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x14ac:dyDescent="0.25">
      <c r="A2" s="136" t="s">
        <v>0</v>
      </c>
      <c r="B2" s="136"/>
      <c r="C2" s="136"/>
      <c r="D2" s="137"/>
      <c r="E2" s="137"/>
      <c r="F2" s="137"/>
      <c r="G2" s="138" t="s">
        <v>5</v>
      </c>
      <c r="H2" s="138"/>
      <c r="I2" s="138"/>
      <c r="J2" s="143" t="s">
        <v>6</v>
      </c>
      <c r="K2" s="143"/>
      <c r="L2" s="143"/>
      <c r="M2" s="131" t="s">
        <v>12</v>
      </c>
      <c r="N2" s="131"/>
      <c r="O2" s="131"/>
      <c r="Q2" s="140" t="s">
        <v>13</v>
      </c>
      <c r="R2" s="140"/>
    </row>
    <row r="3" spans="1:18" x14ac:dyDescent="0.25">
      <c r="A3" s="8">
        <f>SUBTOTAL(3,A5:A124)</f>
        <v>73</v>
      </c>
      <c r="B3" s="8">
        <f>SUBTOTAL(9,B5:B124)</f>
        <v>43650</v>
      </c>
      <c r="C3" s="35">
        <v>44136</v>
      </c>
      <c r="D3" s="8">
        <f>SUBTOTAL(3,D5:D117)</f>
        <v>59</v>
      </c>
      <c r="E3" s="1">
        <f>SUBTOTAL(9,E5:E137)</f>
        <v>47800</v>
      </c>
      <c r="F3" s="38">
        <v>44143</v>
      </c>
      <c r="G3" s="8">
        <f>SUBTOTAL(3,G5:G118)</f>
        <v>41</v>
      </c>
      <c r="H3" s="1">
        <f>SUBTOTAL(9,H5:H118)</f>
        <v>27700</v>
      </c>
      <c r="I3" s="39">
        <v>44150</v>
      </c>
      <c r="J3" s="8">
        <f>SUBTOTAL(3,J5:J559)</f>
        <v>24</v>
      </c>
      <c r="K3" s="1">
        <f>SUBTOTAL(9,K5:K559)</f>
        <v>18350</v>
      </c>
      <c r="L3" s="63">
        <v>44157</v>
      </c>
      <c r="M3" s="1">
        <f>SUBTOTAL(3,M5:M117)</f>
        <v>37</v>
      </c>
      <c r="N3" s="1">
        <f>SUBTOTAL(9,N5:N117)</f>
        <v>26650</v>
      </c>
      <c r="O3" s="81">
        <v>44164</v>
      </c>
      <c r="Q3" s="30">
        <f>+A3+D3+G3+J3+M3</f>
        <v>234</v>
      </c>
      <c r="R3" s="29">
        <f>+B3+E3+H3+K3+N3</f>
        <v>164150</v>
      </c>
    </row>
    <row r="4" spans="1:18" x14ac:dyDescent="0.25">
      <c r="A4" s="46" t="s">
        <v>1</v>
      </c>
      <c r="B4" s="46" t="s">
        <v>3</v>
      </c>
      <c r="C4" s="46" t="s">
        <v>2</v>
      </c>
      <c r="D4" s="47" t="s">
        <v>1</v>
      </c>
      <c r="E4" s="47" t="s">
        <v>3</v>
      </c>
      <c r="F4" s="47" t="s">
        <v>2</v>
      </c>
      <c r="G4" s="48" t="s">
        <v>1</v>
      </c>
      <c r="H4" s="48" t="s">
        <v>3</v>
      </c>
      <c r="I4" s="48" t="s">
        <v>2</v>
      </c>
      <c r="J4" s="60" t="s">
        <v>1</v>
      </c>
      <c r="K4" s="60" t="s">
        <v>3</v>
      </c>
      <c r="L4" s="60" t="s">
        <v>2</v>
      </c>
      <c r="M4" s="41" t="s">
        <v>1</v>
      </c>
      <c r="N4" s="41" t="s">
        <v>3</v>
      </c>
      <c r="O4" s="41" t="s">
        <v>2</v>
      </c>
      <c r="P4" s="27"/>
      <c r="Q4" s="42" t="s">
        <v>9</v>
      </c>
      <c r="R4" s="42" t="s">
        <v>3</v>
      </c>
    </row>
    <row r="5" spans="1:18" x14ac:dyDescent="0.25">
      <c r="A5" s="16">
        <v>23334</v>
      </c>
      <c r="B5" s="49">
        <v>500</v>
      </c>
      <c r="C5" s="17"/>
      <c r="D5" s="13">
        <v>23407</v>
      </c>
      <c r="E5" s="70">
        <v>300</v>
      </c>
      <c r="F5" s="14" t="s">
        <v>442</v>
      </c>
      <c r="G5" s="11">
        <v>23466</v>
      </c>
      <c r="H5" s="67">
        <v>400</v>
      </c>
      <c r="I5" s="12" t="s">
        <v>469</v>
      </c>
      <c r="J5" s="61">
        <v>21507</v>
      </c>
      <c r="K5" s="71">
        <v>5500</v>
      </c>
      <c r="L5" s="62" t="s">
        <v>532</v>
      </c>
      <c r="M5" s="75">
        <v>23531</v>
      </c>
      <c r="N5" s="73">
        <v>300</v>
      </c>
      <c r="O5" s="15"/>
      <c r="Q5" s="32"/>
      <c r="R5" s="32"/>
    </row>
    <row r="6" spans="1:18" x14ac:dyDescent="0.25">
      <c r="A6" s="16">
        <v>23335</v>
      </c>
      <c r="B6" s="49">
        <v>500</v>
      </c>
      <c r="C6" s="17" t="s">
        <v>379</v>
      </c>
      <c r="D6" s="13">
        <v>23408</v>
      </c>
      <c r="E6" s="70">
        <v>500</v>
      </c>
      <c r="F6" s="14" t="s">
        <v>442</v>
      </c>
      <c r="G6" s="11"/>
      <c r="H6" s="67"/>
      <c r="I6" s="12" t="s">
        <v>44</v>
      </c>
      <c r="J6" s="61"/>
      <c r="K6" s="71"/>
      <c r="L6" s="62" t="s">
        <v>18</v>
      </c>
      <c r="M6" s="75">
        <v>23532</v>
      </c>
      <c r="N6" s="73">
        <v>1200</v>
      </c>
      <c r="O6" s="15" t="s">
        <v>410</v>
      </c>
    </row>
    <row r="7" spans="1:18" x14ac:dyDescent="0.25">
      <c r="A7" s="16">
        <v>23336</v>
      </c>
      <c r="B7" s="49">
        <v>500</v>
      </c>
      <c r="C7" s="17" t="s">
        <v>379</v>
      </c>
      <c r="D7" s="13">
        <v>23409</v>
      </c>
      <c r="E7" s="70">
        <v>500</v>
      </c>
      <c r="F7" s="14"/>
      <c r="G7" s="11">
        <v>23467</v>
      </c>
      <c r="H7" s="67">
        <v>400</v>
      </c>
      <c r="I7" s="12" t="s">
        <v>469</v>
      </c>
      <c r="J7" s="61"/>
      <c r="K7" s="71"/>
      <c r="L7" s="62" t="s">
        <v>543</v>
      </c>
      <c r="M7" s="75"/>
      <c r="N7" s="73"/>
      <c r="O7" s="15" t="s">
        <v>25</v>
      </c>
    </row>
    <row r="8" spans="1:18" x14ac:dyDescent="0.25">
      <c r="A8" s="16">
        <v>23337</v>
      </c>
      <c r="B8" s="49">
        <v>500</v>
      </c>
      <c r="C8" s="17"/>
      <c r="D8" s="13">
        <v>23410</v>
      </c>
      <c r="E8" s="70">
        <v>500</v>
      </c>
      <c r="F8" s="14" t="s">
        <v>442</v>
      </c>
      <c r="G8" s="11"/>
      <c r="H8" s="67"/>
      <c r="I8" s="12" t="s">
        <v>44</v>
      </c>
      <c r="J8" s="61">
        <v>21508</v>
      </c>
      <c r="K8" s="71">
        <v>500</v>
      </c>
      <c r="L8" s="62"/>
      <c r="M8" s="75">
        <v>23533</v>
      </c>
      <c r="N8" s="73">
        <v>1050</v>
      </c>
      <c r="O8" s="15" t="s">
        <v>410</v>
      </c>
    </row>
    <row r="9" spans="1:18" x14ac:dyDescent="0.25">
      <c r="A9" s="16">
        <v>23338</v>
      </c>
      <c r="B9" s="49">
        <v>500</v>
      </c>
      <c r="C9" s="17"/>
      <c r="D9" s="13">
        <v>23411</v>
      </c>
      <c r="E9" s="70">
        <v>500</v>
      </c>
      <c r="F9" s="14" t="s">
        <v>442</v>
      </c>
      <c r="G9" s="11">
        <v>23468</v>
      </c>
      <c r="H9" s="67">
        <v>200</v>
      </c>
      <c r="I9" s="12" t="s">
        <v>442</v>
      </c>
      <c r="J9" s="61">
        <v>21509</v>
      </c>
      <c r="K9" s="71">
        <v>1000</v>
      </c>
      <c r="L9" s="62" t="s">
        <v>503</v>
      </c>
      <c r="M9" s="75"/>
      <c r="N9" s="73"/>
      <c r="O9" s="15" t="s">
        <v>131</v>
      </c>
    </row>
    <row r="10" spans="1:18" x14ac:dyDescent="0.25">
      <c r="A10" s="16">
        <v>23339</v>
      </c>
      <c r="B10" s="49">
        <v>250</v>
      </c>
      <c r="C10" s="17"/>
      <c r="D10" s="13">
        <v>23412</v>
      </c>
      <c r="E10" s="70">
        <v>500</v>
      </c>
      <c r="F10" s="14"/>
      <c r="G10" s="11">
        <v>23469</v>
      </c>
      <c r="H10" s="67">
        <v>550</v>
      </c>
      <c r="I10" s="12" t="s">
        <v>535</v>
      </c>
      <c r="J10" s="61"/>
      <c r="K10" s="71"/>
      <c r="L10" s="62" t="s">
        <v>18</v>
      </c>
      <c r="M10" s="75">
        <v>23534</v>
      </c>
      <c r="N10" s="73">
        <v>500</v>
      </c>
      <c r="O10" s="15"/>
    </row>
    <row r="11" spans="1:18" x14ac:dyDescent="0.25">
      <c r="A11" s="16">
        <v>23340</v>
      </c>
      <c r="B11" s="49">
        <v>500</v>
      </c>
      <c r="C11" s="17"/>
      <c r="D11" s="13">
        <v>23413</v>
      </c>
      <c r="E11" s="70">
        <v>1500</v>
      </c>
      <c r="F11" s="14" t="s">
        <v>410</v>
      </c>
      <c r="G11" s="11">
        <v>23470</v>
      </c>
      <c r="H11" s="67">
        <v>300</v>
      </c>
      <c r="I11" s="12"/>
      <c r="J11" s="61">
        <v>21510</v>
      </c>
      <c r="K11" s="71">
        <v>500</v>
      </c>
      <c r="L11" s="62" t="s">
        <v>442</v>
      </c>
      <c r="M11" s="75">
        <v>23535</v>
      </c>
      <c r="N11" s="73">
        <v>600</v>
      </c>
      <c r="O11" s="31" t="s">
        <v>410</v>
      </c>
    </row>
    <row r="12" spans="1:18" x14ac:dyDescent="0.25">
      <c r="A12" s="16">
        <v>23341</v>
      </c>
      <c r="B12" s="49">
        <v>500</v>
      </c>
      <c r="C12" s="17" t="s">
        <v>457</v>
      </c>
      <c r="D12" s="13"/>
      <c r="E12" s="70"/>
      <c r="F12" s="99" t="s">
        <v>18</v>
      </c>
      <c r="G12" s="11">
        <v>23471</v>
      </c>
      <c r="H12" s="67">
        <v>600</v>
      </c>
      <c r="I12" s="114"/>
      <c r="J12" s="61">
        <v>21511</v>
      </c>
      <c r="K12" s="71">
        <v>1000</v>
      </c>
      <c r="L12" s="62" t="s">
        <v>503</v>
      </c>
      <c r="M12" s="75"/>
      <c r="N12" s="73"/>
      <c r="O12" s="15" t="s">
        <v>44</v>
      </c>
    </row>
    <row r="13" spans="1:18" x14ac:dyDescent="0.25">
      <c r="A13" s="16">
        <v>23342</v>
      </c>
      <c r="B13" s="49">
        <v>1250</v>
      </c>
      <c r="C13" s="17" t="s">
        <v>526</v>
      </c>
      <c r="D13" s="13">
        <v>23414</v>
      </c>
      <c r="E13" s="70">
        <v>500</v>
      </c>
      <c r="F13" s="14" t="s">
        <v>442</v>
      </c>
      <c r="G13" s="11">
        <v>23472</v>
      </c>
      <c r="H13" s="67">
        <v>200</v>
      </c>
      <c r="I13" s="12" t="s">
        <v>379</v>
      </c>
      <c r="J13" s="61"/>
      <c r="K13" s="71"/>
      <c r="L13" s="62" t="s">
        <v>18</v>
      </c>
      <c r="M13" s="75">
        <v>23536</v>
      </c>
      <c r="N13" s="73">
        <v>500</v>
      </c>
      <c r="O13" s="15"/>
    </row>
    <row r="14" spans="1:18" x14ac:dyDescent="0.25">
      <c r="A14" s="16"/>
      <c r="B14" s="49"/>
      <c r="C14" s="17" t="s">
        <v>22</v>
      </c>
      <c r="D14" s="13">
        <v>23415</v>
      </c>
      <c r="E14" s="70">
        <v>500</v>
      </c>
      <c r="F14" s="14" t="s">
        <v>469</v>
      </c>
      <c r="G14" s="11">
        <v>23473</v>
      </c>
      <c r="H14" s="67">
        <v>300</v>
      </c>
      <c r="I14" s="12" t="s">
        <v>536</v>
      </c>
      <c r="J14" s="61">
        <v>21512</v>
      </c>
      <c r="K14" s="71">
        <v>500</v>
      </c>
      <c r="L14" s="62"/>
      <c r="M14" s="75">
        <v>23537</v>
      </c>
      <c r="N14" s="73">
        <v>500</v>
      </c>
      <c r="O14" s="15"/>
    </row>
    <row r="15" spans="1:18" x14ac:dyDescent="0.25">
      <c r="A15" s="16">
        <v>23343</v>
      </c>
      <c r="B15" s="49">
        <v>600</v>
      </c>
      <c r="C15" s="17"/>
      <c r="D15" s="13"/>
      <c r="E15" s="70"/>
      <c r="F15" s="33" t="s">
        <v>22</v>
      </c>
      <c r="G15" s="11">
        <v>23474</v>
      </c>
      <c r="H15" s="67">
        <v>500</v>
      </c>
      <c r="I15" s="12" t="s">
        <v>442</v>
      </c>
      <c r="J15" s="61">
        <v>21513</v>
      </c>
      <c r="K15" s="71">
        <v>50</v>
      </c>
      <c r="L15" s="62" t="s">
        <v>51</v>
      </c>
      <c r="M15" s="75">
        <v>23538</v>
      </c>
      <c r="N15" s="73">
        <v>1000</v>
      </c>
      <c r="O15" s="15" t="s">
        <v>503</v>
      </c>
    </row>
    <row r="16" spans="1:18" x14ac:dyDescent="0.25">
      <c r="A16" s="16">
        <v>23344</v>
      </c>
      <c r="B16" s="49">
        <v>500</v>
      </c>
      <c r="C16" s="17"/>
      <c r="D16" s="13">
        <v>23416</v>
      </c>
      <c r="E16" s="70">
        <v>250</v>
      </c>
      <c r="F16" s="14"/>
      <c r="G16" s="11">
        <v>23475</v>
      </c>
      <c r="H16" s="67">
        <v>1050</v>
      </c>
      <c r="I16" s="12" t="s">
        <v>346</v>
      </c>
      <c r="J16" s="61">
        <v>21514</v>
      </c>
      <c r="K16" s="71">
        <v>300</v>
      </c>
      <c r="L16" s="62" t="s">
        <v>544</v>
      </c>
      <c r="M16" s="75"/>
      <c r="N16" s="73"/>
      <c r="O16" s="15" t="s">
        <v>18</v>
      </c>
    </row>
    <row r="17" spans="1:15" x14ac:dyDescent="0.25">
      <c r="A17" s="16">
        <v>23345</v>
      </c>
      <c r="B17" s="49">
        <v>50</v>
      </c>
      <c r="C17" s="17" t="s">
        <v>51</v>
      </c>
      <c r="D17" s="13">
        <v>23417</v>
      </c>
      <c r="E17" s="70">
        <v>900</v>
      </c>
      <c r="F17" s="14" t="s">
        <v>410</v>
      </c>
      <c r="G17" s="11"/>
      <c r="H17" s="67"/>
      <c r="I17" s="12" t="s">
        <v>537</v>
      </c>
      <c r="J17" s="61">
        <v>21515</v>
      </c>
      <c r="K17" s="71">
        <v>500</v>
      </c>
      <c r="L17" s="62"/>
      <c r="M17" s="75">
        <v>23539</v>
      </c>
      <c r="N17" s="73">
        <v>500</v>
      </c>
      <c r="O17" s="15"/>
    </row>
    <row r="18" spans="1:15" x14ac:dyDescent="0.25">
      <c r="A18" s="16">
        <v>23346</v>
      </c>
      <c r="B18" s="49">
        <v>1000</v>
      </c>
      <c r="C18" s="17" t="s">
        <v>503</v>
      </c>
      <c r="D18" s="13"/>
      <c r="E18" s="70"/>
      <c r="F18" s="14" t="s">
        <v>29</v>
      </c>
      <c r="G18" s="11">
        <v>23476</v>
      </c>
      <c r="H18" s="67">
        <v>500</v>
      </c>
      <c r="I18" s="12" t="s">
        <v>457</v>
      </c>
      <c r="J18" s="61">
        <v>21516</v>
      </c>
      <c r="K18" s="71">
        <v>500</v>
      </c>
      <c r="L18" s="62" t="s">
        <v>503</v>
      </c>
      <c r="M18" s="75">
        <v>23540</v>
      </c>
      <c r="N18" s="73">
        <v>1800</v>
      </c>
      <c r="O18" s="15" t="s">
        <v>546</v>
      </c>
    </row>
    <row r="19" spans="1:15" x14ac:dyDescent="0.25">
      <c r="A19" s="16"/>
      <c r="B19" s="49"/>
      <c r="C19" s="17" t="s">
        <v>18</v>
      </c>
      <c r="D19" s="13">
        <v>23418</v>
      </c>
      <c r="E19" s="70">
        <v>1000</v>
      </c>
      <c r="F19" s="14" t="s">
        <v>469</v>
      </c>
      <c r="G19" s="11">
        <v>23477</v>
      </c>
      <c r="H19" s="67">
        <v>300</v>
      </c>
      <c r="I19" s="12" t="s">
        <v>538</v>
      </c>
      <c r="J19" s="61"/>
      <c r="K19" s="71"/>
      <c r="L19" s="62" t="s">
        <v>22</v>
      </c>
      <c r="M19" s="75"/>
      <c r="N19" s="73"/>
      <c r="O19" s="15" t="s">
        <v>307</v>
      </c>
    </row>
    <row r="20" spans="1:15" x14ac:dyDescent="0.25">
      <c r="A20" s="16">
        <v>23347</v>
      </c>
      <c r="B20" s="49">
        <v>500</v>
      </c>
      <c r="C20" s="17"/>
      <c r="D20" s="13"/>
      <c r="E20" s="70"/>
      <c r="F20" s="14" t="s">
        <v>18</v>
      </c>
      <c r="G20" s="11">
        <v>23478</v>
      </c>
      <c r="H20" s="67">
        <v>50</v>
      </c>
      <c r="I20" s="12" t="s">
        <v>51</v>
      </c>
      <c r="J20" s="61">
        <v>21517</v>
      </c>
      <c r="K20" s="71">
        <v>500</v>
      </c>
      <c r="L20" s="62" t="s">
        <v>469</v>
      </c>
      <c r="M20" s="75">
        <v>23541</v>
      </c>
      <c r="N20" s="73">
        <v>500</v>
      </c>
      <c r="O20" s="15" t="s">
        <v>457</v>
      </c>
    </row>
    <row r="21" spans="1:15" x14ac:dyDescent="0.25">
      <c r="A21" s="16">
        <v>23348</v>
      </c>
      <c r="B21" s="49">
        <v>500</v>
      </c>
      <c r="C21" s="17" t="s">
        <v>442</v>
      </c>
      <c r="D21" s="13">
        <v>23419</v>
      </c>
      <c r="E21" s="70">
        <v>450</v>
      </c>
      <c r="F21" s="14"/>
      <c r="G21" s="11">
        <v>23479</v>
      </c>
      <c r="H21" s="67">
        <v>200</v>
      </c>
      <c r="I21" s="12"/>
      <c r="J21" s="61"/>
      <c r="K21" s="71"/>
      <c r="L21" s="62" t="s">
        <v>22</v>
      </c>
      <c r="M21" s="75">
        <v>23542</v>
      </c>
      <c r="N21" s="73">
        <v>500</v>
      </c>
      <c r="O21" s="15" t="s">
        <v>457</v>
      </c>
    </row>
    <row r="22" spans="1:15" x14ac:dyDescent="0.25">
      <c r="A22" s="16">
        <v>23349</v>
      </c>
      <c r="B22" s="49">
        <v>500</v>
      </c>
      <c r="C22" s="17"/>
      <c r="D22" s="13">
        <v>23420</v>
      </c>
      <c r="E22" s="70">
        <v>300</v>
      </c>
      <c r="F22" s="14"/>
      <c r="G22" s="11">
        <v>23480</v>
      </c>
      <c r="H22" s="67">
        <v>1500</v>
      </c>
      <c r="I22" s="12" t="s">
        <v>305</v>
      </c>
      <c r="J22" s="61">
        <v>21518</v>
      </c>
      <c r="K22" s="71">
        <v>500</v>
      </c>
      <c r="L22" s="62"/>
      <c r="M22" s="75">
        <v>23543</v>
      </c>
      <c r="N22" s="73">
        <v>1500</v>
      </c>
      <c r="O22" s="15" t="s">
        <v>410</v>
      </c>
    </row>
    <row r="23" spans="1:15" x14ac:dyDescent="0.25">
      <c r="A23" s="16">
        <v>23350</v>
      </c>
      <c r="B23" s="49">
        <v>700</v>
      </c>
      <c r="C23" s="115" t="s">
        <v>469</v>
      </c>
      <c r="D23" s="13">
        <v>23421</v>
      </c>
      <c r="E23" s="70">
        <v>500</v>
      </c>
      <c r="F23" s="14" t="s">
        <v>442</v>
      </c>
      <c r="G23" s="11"/>
      <c r="H23" s="67"/>
      <c r="I23" s="12" t="s">
        <v>515</v>
      </c>
      <c r="J23" s="61">
        <v>21519</v>
      </c>
      <c r="K23" s="71">
        <v>500</v>
      </c>
      <c r="L23" s="62"/>
      <c r="M23" s="75"/>
      <c r="N23" s="73"/>
      <c r="O23" s="15" t="s">
        <v>18</v>
      </c>
    </row>
    <row r="24" spans="1:15" x14ac:dyDescent="0.25">
      <c r="A24" s="16"/>
      <c r="B24" s="49"/>
      <c r="C24" s="17" t="s">
        <v>131</v>
      </c>
      <c r="D24" s="13">
        <v>23422</v>
      </c>
      <c r="E24" s="70">
        <v>600</v>
      </c>
      <c r="F24" s="14"/>
      <c r="G24" s="11">
        <v>23481</v>
      </c>
      <c r="H24" s="67">
        <v>500</v>
      </c>
      <c r="I24" s="12"/>
      <c r="J24" s="61">
        <v>21520</v>
      </c>
      <c r="K24" s="71">
        <v>500</v>
      </c>
      <c r="L24" s="62" t="s">
        <v>442</v>
      </c>
      <c r="M24" s="75">
        <v>23544</v>
      </c>
      <c r="N24" s="73">
        <v>400</v>
      </c>
      <c r="O24" s="31"/>
    </row>
    <row r="25" spans="1:15" x14ac:dyDescent="0.25">
      <c r="A25" s="16">
        <v>23351</v>
      </c>
      <c r="B25" s="49">
        <v>500</v>
      </c>
      <c r="C25" s="17"/>
      <c r="D25" s="13">
        <v>23423</v>
      </c>
      <c r="E25" s="70">
        <v>500</v>
      </c>
      <c r="F25" s="14"/>
      <c r="G25" s="11">
        <v>23482</v>
      </c>
      <c r="H25" s="67">
        <v>100</v>
      </c>
      <c r="I25" s="12" t="s">
        <v>77</v>
      </c>
      <c r="J25" s="61">
        <v>21521</v>
      </c>
      <c r="K25" s="71">
        <v>350</v>
      </c>
      <c r="L25" s="62" t="s">
        <v>113</v>
      </c>
      <c r="M25" s="75">
        <v>23545</v>
      </c>
      <c r="N25" s="73">
        <v>1500</v>
      </c>
      <c r="O25" s="15" t="s">
        <v>410</v>
      </c>
    </row>
    <row r="26" spans="1:15" x14ac:dyDescent="0.25">
      <c r="A26" s="16">
        <v>23352</v>
      </c>
      <c r="B26" s="49">
        <v>800</v>
      </c>
      <c r="C26" s="17" t="s">
        <v>469</v>
      </c>
      <c r="D26" s="13">
        <v>23424</v>
      </c>
      <c r="E26" s="70">
        <v>400</v>
      </c>
      <c r="F26" s="14" t="s">
        <v>469</v>
      </c>
      <c r="G26" s="11">
        <v>23483</v>
      </c>
      <c r="H26" s="67">
        <v>1000</v>
      </c>
      <c r="I26" s="12" t="s">
        <v>503</v>
      </c>
      <c r="J26" s="61">
        <v>21522</v>
      </c>
      <c r="K26" s="71">
        <v>500</v>
      </c>
      <c r="L26" s="62" t="s">
        <v>492</v>
      </c>
      <c r="M26" s="75"/>
      <c r="N26" s="73"/>
      <c r="O26" s="15" t="s">
        <v>18</v>
      </c>
    </row>
    <row r="27" spans="1:15" x14ac:dyDescent="0.25">
      <c r="A27" s="16"/>
      <c r="B27" s="49"/>
      <c r="C27" s="17" t="s">
        <v>25</v>
      </c>
      <c r="D27" s="13"/>
      <c r="E27" s="70"/>
      <c r="F27" s="14" t="s">
        <v>44</v>
      </c>
      <c r="G27" s="11"/>
      <c r="H27" s="67"/>
      <c r="I27" s="12" t="s">
        <v>18</v>
      </c>
      <c r="J27" s="61">
        <v>21523</v>
      </c>
      <c r="K27" s="71">
        <v>500</v>
      </c>
      <c r="L27" s="62"/>
      <c r="M27" s="75">
        <v>23546</v>
      </c>
      <c r="N27" s="73">
        <v>1500</v>
      </c>
      <c r="O27" s="15" t="s">
        <v>410</v>
      </c>
    </row>
    <row r="28" spans="1:15" x14ac:dyDescent="0.25">
      <c r="A28" s="16">
        <v>23353</v>
      </c>
      <c r="B28" s="49">
        <v>800</v>
      </c>
      <c r="C28" s="17" t="s">
        <v>503</v>
      </c>
      <c r="D28" s="13">
        <v>23425</v>
      </c>
      <c r="E28" s="70">
        <v>500</v>
      </c>
      <c r="F28" s="14"/>
      <c r="G28" s="11">
        <v>23484</v>
      </c>
      <c r="H28" s="67">
        <v>1600</v>
      </c>
      <c r="I28" s="12" t="s">
        <v>469</v>
      </c>
      <c r="J28" s="61">
        <v>21524</v>
      </c>
      <c r="K28" s="71">
        <v>1000</v>
      </c>
      <c r="L28" s="62" t="s">
        <v>503</v>
      </c>
      <c r="M28" s="75"/>
      <c r="N28" s="73"/>
      <c r="O28" s="15" t="s">
        <v>18</v>
      </c>
    </row>
    <row r="29" spans="1:15" x14ac:dyDescent="0.25">
      <c r="A29" s="16"/>
      <c r="B29" s="49"/>
      <c r="C29" s="17" t="s">
        <v>25</v>
      </c>
      <c r="D29" s="13">
        <v>23426</v>
      </c>
      <c r="E29" s="70">
        <v>800</v>
      </c>
      <c r="F29" s="14"/>
      <c r="G29" s="11"/>
      <c r="H29" s="67"/>
      <c r="I29" s="12" t="s">
        <v>18</v>
      </c>
      <c r="J29" s="61"/>
      <c r="K29" s="71"/>
      <c r="L29" s="62" t="s">
        <v>18</v>
      </c>
      <c r="M29" s="75">
        <v>23547</v>
      </c>
      <c r="N29" s="73">
        <v>500</v>
      </c>
      <c r="O29" s="15" t="s">
        <v>457</v>
      </c>
    </row>
    <row r="30" spans="1:15" x14ac:dyDescent="0.25">
      <c r="A30" s="16">
        <v>23354</v>
      </c>
      <c r="B30" s="49">
        <v>500</v>
      </c>
      <c r="C30" s="17"/>
      <c r="D30" s="13">
        <v>23427</v>
      </c>
      <c r="E30" s="70">
        <v>300</v>
      </c>
      <c r="F30" s="14"/>
      <c r="G30" s="11"/>
      <c r="H30" s="67"/>
      <c r="I30" s="12" t="s">
        <v>539</v>
      </c>
      <c r="J30" s="61">
        <v>21525</v>
      </c>
      <c r="K30" s="71">
        <v>500</v>
      </c>
      <c r="L30" s="62" t="s">
        <v>545</v>
      </c>
      <c r="M30" s="75">
        <v>23548</v>
      </c>
      <c r="N30" s="73">
        <v>500</v>
      </c>
      <c r="O30" s="15" t="s">
        <v>503</v>
      </c>
    </row>
    <row r="31" spans="1:15" x14ac:dyDescent="0.25">
      <c r="A31" s="16">
        <v>23355</v>
      </c>
      <c r="B31" s="49">
        <v>1000</v>
      </c>
      <c r="C31" s="17" t="s">
        <v>503</v>
      </c>
      <c r="D31" s="13">
        <v>23428</v>
      </c>
      <c r="E31" s="70">
        <v>1000</v>
      </c>
      <c r="F31" s="14" t="s">
        <v>469</v>
      </c>
      <c r="G31" s="11">
        <v>23485</v>
      </c>
      <c r="H31" s="67">
        <v>600</v>
      </c>
      <c r="I31" s="12" t="s">
        <v>410</v>
      </c>
      <c r="J31" s="61">
        <v>21526</v>
      </c>
      <c r="K31" s="71">
        <v>1500</v>
      </c>
      <c r="L31" s="62" t="s">
        <v>410</v>
      </c>
      <c r="M31" s="75"/>
      <c r="N31" s="73"/>
      <c r="O31" s="31" t="s">
        <v>22</v>
      </c>
    </row>
    <row r="32" spans="1:15" x14ac:dyDescent="0.25">
      <c r="A32" s="16"/>
      <c r="B32" s="49"/>
      <c r="C32" s="17" t="s">
        <v>18</v>
      </c>
      <c r="D32" s="13"/>
      <c r="E32" s="70"/>
      <c r="F32" s="14" t="s">
        <v>18</v>
      </c>
      <c r="G32" s="11"/>
      <c r="H32" s="67"/>
      <c r="I32" s="12" t="s">
        <v>44</v>
      </c>
      <c r="J32" s="61"/>
      <c r="K32" s="71"/>
      <c r="L32" s="62" t="s">
        <v>18</v>
      </c>
      <c r="M32" s="75">
        <v>23549</v>
      </c>
      <c r="N32" s="73">
        <v>300</v>
      </c>
      <c r="O32" s="15" t="s">
        <v>547</v>
      </c>
    </row>
    <row r="33" spans="1:15" x14ac:dyDescent="0.25">
      <c r="A33" s="16">
        <v>23356</v>
      </c>
      <c r="B33" s="49">
        <v>500</v>
      </c>
      <c r="C33" s="17" t="s">
        <v>442</v>
      </c>
      <c r="D33" s="13">
        <v>23429</v>
      </c>
      <c r="E33" s="70">
        <v>1200</v>
      </c>
      <c r="F33" s="14" t="s">
        <v>410</v>
      </c>
      <c r="G33" s="11">
        <v>23486</v>
      </c>
      <c r="H33" s="67">
        <v>50</v>
      </c>
      <c r="I33" s="12" t="s">
        <v>51</v>
      </c>
      <c r="J33" s="61">
        <v>21527</v>
      </c>
      <c r="K33" s="71">
        <v>50</v>
      </c>
      <c r="L33" s="62" t="s">
        <v>51</v>
      </c>
      <c r="M33" s="75">
        <v>23550</v>
      </c>
      <c r="N33" s="73">
        <v>500</v>
      </c>
      <c r="O33" s="15" t="s">
        <v>457</v>
      </c>
    </row>
    <row r="34" spans="1:15" x14ac:dyDescent="0.25">
      <c r="A34" s="16">
        <v>23357</v>
      </c>
      <c r="B34" s="49">
        <v>250</v>
      </c>
      <c r="C34" s="17"/>
      <c r="D34" s="13"/>
      <c r="E34" s="70"/>
      <c r="F34" s="14" t="s">
        <v>25</v>
      </c>
      <c r="G34" s="11">
        <v>23487</v>
      </c>
      <c r="H34" s="67">
        <v>500</v>
      </c>
      <c r="I34" s="12" t="s">
        <v>442</v>
      </c>
      <c r="J34" s="61">
        <v>21528</v>
      </c>
      <c r="K34" s="71">
        <v>1000</v>
      </c>
      <c r="L34" s="62" t="s">
        <v>503</v>
      </c>
      <c r="M34" s="75">
        <v>23551</v>
      </c>
      <c r="N34" s="73">
        <v>300</v>
      </c>
      <c r="O34" s="15"/>
    </row>
    <row r="35" spans="1:15" x14ac:dyDescent="0.25">
      <c r="A35" s="16">
        <v>23358</v>
      </c>
      <c r="B35" s="49">
        <v>500</v>
      </c>
      <c r="C35" s="17"/>
      <c r="D35" s="13">
        <v>23430</v>
      </c>
      <c r="E35" s="70">
        <v>1000</v>
      </c>
      <c r="F35" s="14" t="s">
        <v>503</v>
      </c>
      <c r="G35" s="11">
        <v>23488</v>
      </c>
      <c r="H35" s="67">
        <v>500</v>
      </c>
      <c r="I35" s="12"/>
      <c r="J35" s="61"/>
      <c r="K35" s="71"/>
      <c r="L35" s="62" t="s">
        <v>18</v>
      </c>
      <c r="M35" s="75">
        <v>23552</v>
      </c>
      <c r="N35" s="73">
        <v>500</v>
      </c>
      <c r="O35" s="15"/>
    </row>
    <row r="36" spans="1:15" x14ac:dyDescent="0.25">
      <c r="A36" s="16">
        <v>23359</v>
      </c>
      <c r="B36" s="49">
        <v>850</v>
      </c>
      <c r="C36" s="17" t="s">
        <v>469</v>
      </c>
      <c r="D36" s="13"/>
      <c r="E36" s="70"/>
      <c r="F36" s="14" t="s">
        <v>18</v>
      </c>
      <c r="G36" s="11">
        <v>23489</v>
      </c>
      <c r="H36" s="67">
        <v>1500</v>
      </c>
      <c r="I36" s="12" t="s">
        <v>410</v>
      </c>
      <c r="J36" s="61">
        <v>21529</v>
      </c>
      <c r="K36" s="71">
        <v>300</v>
      </c>
      <c r="L36" s="62" t="s">
        <v>442</v>
      </c>
      <c r="M36" s="75">
        <v>23553</v>
      </c>
      <c r="N36" s="73">
        <v>600</v>
      </c>
      <c r="O36" s="15" t="s">
        <v>503</v>
      </c>
    </row>
    <row r="37" spans="1:15" x14ac:dyDescent="0.25">
      <c r="A37" s="16"/>
      <c r="B37" s="49"/>
      <c r="C37" s="17" t="s">
        <v>527</v>
      </c>
      <c r="D37" s="13">
        <v>23431</v>
      </c>
      <c r="E37" s="70">
        <v>400</v>
      </c>
      <c r="F37" s="14" t="s">
        <v>442</v>
      </c>
      <c r="G37" s="11"/>
      <c r="H37" s="67"/>
      <c r="I37" s="12" t="s">
        <v>18</v>
      </c>
      <c r="J37" s="61">
        <v>21530</v>
      </c>
      <c r="K37" s="71">
        <v>300</v>
      </c>
      <c r="L37" s="62"/>
      <c r="M37" s="75"/>
      <c r="N37" s="73"/>
      <c r="O37" s="15" t="s">
        <v>29</v>
      </c>
    </row>
    <row r="38" spans="1:15" x14ac:dyDescent="0.25">
      <c r="A38" s="16">
        <v>23360</v>
      </c>
      <c r="B38" s="49">
        <v>300</v>
      </c>
      <c r="C38" s="17" t="s">
        <v>442</v>
      </c>
      <c r="D38" s="13">
        <v>23432</v>
      </c>
      <c r="E38" s="70">
        <v>300</v>
      </c>
      <c r="F38" s="14"/>
      <c r="G38" s="11">
        <v>23490</v>
      </c>
      <c r="H38" s="67">
        <v>800</v>
      </c>
      <c r="I38" s="12" t="s">
        <v>503</v>
      </c>
      <c r="J38" s="61"/>
      <c r="K38" s="71"/>
      <c r="L38" s="62"/>
      <c r="M38" s="75">
        <v>23554</v>
      </c>
      <c r="N38" s="73">
        <v>500</v>
      </c>
      <c r="O38" s="15"/>
    </row>
    <row r="39" spans="1:15" x14ac:dyDescent="0.25">
      <c r="A39" s="16">
        <v>23361</v>
      </c>
      <c r="B39" s="49">
        <v>500</v>
      </c>
      <c r="C39" s="17"/>
      <c r="D39" s="13">
        <v>23433</v>
      </c>
      <c r="E39" s="70">
        <v>1500</v>
      </c>
      <c r="F39" s="14" t="s">
        <v>410</v>
      </c>
      <c r="G39" s="11"/>
      <c r="H39" s="67"/>
      <c r="I39" s="12" t="s">
        <v>25</v>
      </c>
      <c r="J39" s="61"/>
      <c r="K39" s="71"/>
      <c r="L39" s="62"/>
      <c r="M39" s="75">
        <v>23555</v>
      </c>
      <c r="N39" s="73">
        <v>500</v>
      </c>
      <c r="O39" s="15" t="s">
        <v>503</v>
      </c>
    </row>
    <row r="40" spans="1:15" x14ac:dyDescent="0.25">
      <c r="A40" s="16">
        <v>23362</v>
      </c>
      <c r="B40" s="49">
        <v>300</v>
      </c>
      <c r="C40" s="17"/>
      <c r="D40" s="13"/>
      <c r="E40" s="70"/>
      <c r="F40" s="14" t="s">
        <v>18</v>
      </c>
      <c r="G40" s="11">
        <v>23491</v>
      </c>
      <c r="H40" s="67">
        <v>1000</v>
      </c>
      <c r="I40" s="12" t="s">
        <v>503</v>
      </c>
      <c r="J40" s="61"/>
      <c r="K40" s="71"/>
      <c r="L40" s="62"/>
      <c r="M40" s="75"/>
      <c r="N40" s="73"/>
      <c r="O40" s="15" t="s">
        <v>22</v>
      </c>
    </row>
    <row r="41" spans="1:15" x14ac:dyDescent="0.25">
      <c r="A41" s="16">
        <v>23363</v>
      </c>
      <c r="B41" s="49">
        <v>300</v>
      </c>
      <c r="C41" s="17"/>
      <c r="D41" s="13">
        <v>23434</v>
      </c>
      <c r="E41" s="70">
        <v>1000</v>
      </c>
      <c r="F41" s="14" t="s">
        <v>503</v>
      </c>
      <c r="G41" s="11"/>
      <c r="H41" s="67"/>
      <c r="I41" s="12" t="s">
        <v>18</v>
      </c>
      <c r="J41" s="61"/>
      <c r="K41" s="71"/>
      <c r="L41" s="62"/>
      <c r="M41" s="75">
        <v>23556</v>
      </c>
      <c r="N41" s="73">
        <v>850</v>
      </c>
      <c r="O41" s="15" t="s">
        <v>548</v>
      </c>
    </row>
    <row r="42" spans="1:15" x14ac:dyDescent="0.25">
      <c r="A42" s="16">
        <v>23364</v>
      </c>
      <c r="B42" s="49">
        <v>500</v>
      </c>
      <c r="C42" s="17"/>
      <c r="D42" s="13"/>
      <c r="E42" s="70"/>
      <c r="F42" s="14" t="s">
        <v>18</v>
      </c>
      <c r="G42" s="11">
        <v>23492</v>
      </c>
      <c r="H42" s="67">
        <v>500</v>
      </c>
      <c r="I42" s="12" t="s">
        <v>503</v>
      </c>
      <c r="J42" s="61"/>
      <c r="K42" s="71"/>
      <c r="L42" s="62"/>
      <c r="M42" s="75"/>
      <c r="N42" s="73"/>
      <c r="O42" s="15" t="s">
        <v>549</v>
      </c>
    </row>
    <row r="43" spans="1:15" x14ac:dyDescent="0.25">
      <c r="A43" s="16">
        <v>23365</v>
      </c>
      <c r="B43" s="49">
        <v>500</v>
      </c>
      <c r="C43" s="17"/>
      <c r="D43" s="13">
        <v>23435</v>
      </c>
      <c r="E43" s="70">
        <v>350</v>
      </c>
      <c r="F43" s="14" t="s">
        <v>113</v>
      </c>
      <c r="G43" s="11"/>
      <c r="H43" s="67"/>
      <c r="I43" s="12" t="s">
        <v>22</v>
      </c>
      <c r="J43" s="61"/>
      <c r="K43" s="71"/>
      <c r="L43" s="62"/>
      <c r="M43" s="75">
        <v>23557</v>
      </c>
      <c r="N43" s="73"/>
      <c r="O43" s="15" t="s">
        <v>54</v>
      </c>
    </row>
    <row r="44" spans="1:15" x14ac:dyDescent="0.25">
      <c r="A44" s="16">
        <v>23366</v>
      </c>
      <c r="B44" s="49">
        <v>500</v>
      </c>
      <c r="C44" s="17"/>
      <c r="D44" s="13">
        <v>23436</v>
      </c>
      <c r="E44" s="70">
        <v>500</v>
      </c>
      <c r="F44" s="14"/>
      <c r="G44" s="11">
        <v>23493</v>
      </c>
      <c r="H44" s="67">
        <v>300</v>
      </c>
      <c r="I44" s="12"/>
      <c r="J44" s="61"/>
      <c r="K44" s="71"/>
      <c r="L44" s="62"/>
      <c r="M44" s="75">
        <v>23558</v>
      </c>
      <c r="N44" s="73">
        <v>1900</v>
      </c>
      <c r="O44" s="15" t="s">
        <v>550</v>
      </c>
    </row>
    <row r="45" spans="1:15" x14ac:dyDescent="0.25">
      <c r="A45" s="16">
        <v>23367</v>
      </c>
      <c r="B45" s="49">
        <v>850</v>
      </c>
      <c r="C45" s="17" t="s">
        <v>469</v>
      </c>
      <c r="D45" s="13">
        <v>23437</v>
      </c>
      <c r="E45" s="70">
        <v>500</v>
      </c>
      <c r="F45" s="14" t="s">
        <v>442</v>
      </c>
      <c r="G45" s="11">
        <v>23494</v>
      </c>
      <c r="H45" s="67">
        <v>800</v>
      </c>
      <c r="I45" s="12" t="s">
        <v>503</v>
      </c>
      <c r="J45" s="61"/>
      <c r="K45" s="71"/>
      <c r="L45" s="62"/>
      <c r="M45" s="75"/>
      <c r="N45" s="73"/>
      <c r="O45" s="15" t="s">
        <v>551</v>
      </c>
    </row>
    <row r="46" spans="1:15" x14ac:dyDescent="0.25">
      <c r="A46" s="16"/>
      <c r="B46" s="49"/>
      <c r="C46" s="17" t="s">
        <v>295</v>
      </c>
      <c r="D46" s="13">
        <v>23438</v>
      </c>
      <c r="E46" s="70">
        <v>500</v>
      </c>
      <c r="F46" s="14"/>
      <c r="G46" s="11"/>
      <c r="H46" s="67"/>
      <c r="I46" s="12" t="s">
        <v>25</v>
      </c>
      <c r="J46" s="61"/>
      <c r="K46" s="71"/>
      <c r="L46" s="62"/>
      <c r="M46" s="75">
        <v>23559</v>
      </c>
      <c r="N46" s="73">
        <v>250</v>
      </c>
      <c r="O46" s="15"/>
    </row>
    <row r="47" spans="1:15" x14ac:dyDescent="0.25">
      <c r="A47" s="16">
        <v>23368</v>
      </c>
      <c r="B47" s="49">
        <v>500</v>
      </c>
      <c r="C47" s="17"/>
      <c r="D47" s="13">
        <v>23439</v>
      </c>
      <c r="E47" s="70">
        <v>500</v>
      </c>
      <c r="F47" s="14"/>
      <c r="G47" s="11">
        <v>23495</v>
      </c>
      <c r="H47" s="67">
        <v>350</v>
      </c>
      <c r="I47" s="12" t="s">
        <v>113</v>
      </c>
      <c r="J47" s="61"/>
      <c r="K47" s="71"/>
      <c r="L47" s="62"/>
      <c r="M47" s="75">
        <v>23560</v>
      </c>
      <c r="N47" s="73">
        <v>1500</v>
      </c>
      <c r="O47" s="15" t="s">
        <v>410</v>
      </c>
    </row>
    <row r="48" spans="1:15" x14ac:dyDescent="0.25">
      <c r="A48" s="16">
        <v>23369</v>
      </c>
      <c r="B48" s="49">
        <v>500</v>
      </c>
      <c r="C48" s="17"/>
      <c r="D48" s="13">
        <v>23440</v>
      </c>
      <c r="E48" s="70">
        <v>1000</v>
      </c>
      <c r="F48" s="14" t="s">
        <v>469</v>
      </c>
      <c r="G48" s="11">
        <v>23496</v>
      </c>
      <c r="H48" s="67">
        <v>5500</v>
      </c>
      <c r="I48" s="12" t="s">
        <v>532</v>
      </c>
      <c r="J48" s="61"/>
      <c r="K48" s="71"/>
      <c r="L48" s="62"/>
      <c r="M48" s="75"/>
      <c r="N48" s="73"/>
      <c r="O48" s="15" t="s">
        <v>18</v>
      </c>
    </row>
    <row r="49" spans="1:15" x14ac:dyDescent="0.25">
      <c r="A49" s="16">
        <v>23370</v>
      </c>
      <c r="B49" s="49">
        <v>500</v>
      </c>
      <c r="C49" s="17" t="s">
        <v>469</v>
      </c>
      <c r="D49" s="13"/>
      <c r="E49" s="70"/>
      <c r="F49" s="14" t="s">
        <v>18</v>
      </c>
      <c r="G49" s="11"/>
      <c r="H49" s="67"/>
      <c r="I49" s="12" t="s">
        <v>540</v>
      </c>
      <c r="J49" s="61"/>
      <c r="K49" s="71"/>
      <c r="L49" s="62"/>
      <c r="M49" s="75">
        <v>23561</v>
      </c>
      <c r="N49" s="73">
        <v>1000</v>
      </c>
      <c r="O49" s="15" t="s">
        <v>503</v>
      </c>
    </row>
    <row r="50" spans="1:15" x14ac:dyDescent="0.25">
      <c r="A50" s="16"/>
      <c r="B50" s="49"/>
      <c r="C50" s="17" t="s">
        <v>22</v>
      </c>
      <c r="D50" s="13">
        <v>23441</v>
      </c>
      <c r="E50" s="70">
        <v>500</v>
      </c>
      <c r="F50" s="14"/>
      <c r="G50" s="11">
        <v>23497</v>
      </c>
      <c r="H50" s="67">
        <v>350</v>
      </c>
      <c r="I50" s="12" t="s">
        <v>113</v>
      </c>
      <c r="J50" s="61"/>
      <c r="K50" s="71"/>
      <c r="L50" s="68"/>
      <c r="M50" s="75"/>
      <c r="N50" s="73"/>
      <c r="O50" s="15" t="s">
        <v>18</v>
      </c>
    </row>
    <row r="51" spans="1:15" x14ac:dyDescent="0.25">
      <c r="A51" s="16">
        <v>23371</v>
      </c>
      <c r="B51" s="49">
        <v>600</v>
      </c>
      <c r="C51" s="17" t="s">
        <v>469</v>
      </c>
      <c r="D51" s="13">
        <v>23442</v>
      </c>
      <c r="E51" s="70">
        <v>500</v>
      </c>
      <c r="F51" s="14"/>
      <c r="G51" s="11">
        <v>23498</v>
      </c>
      <c r="H51" s="67">
        <v>500</v>
      </c>
      <c r="I51" s="12"/>
      <c r="J51" s="61"/>
      <c r="K51" s="71"/>
      <c r="L51" s="62"/>
      <c r="M51" s="75">
        <v>23562</v>
      </c>
      <c r="N51" s="73">
        <v>800</v>
      </c>
      <c r="O51" s="15" t="s">
        <v>548</v>
      </c>
    </row>
    <row r="52" spans="1:15" x14ac:dyDescent="0.25">
      <c r="A52" s="16"/>
      <c r="B52" s="49"/>
      <c r="C52" s="17" t="s">
        <v>29</v>
      </c>
      <c r="D52" s="13">
        <v>23443</v>
      </c>
      <c r="E52" s="70">
        <v>400</v>
      </c>
      <c r="F52" s="14"/>
      <c r="G52" s="11">
        <v>23499</v>
      </c>
      <c r="H52" s="67">
        <v>300</v>
      </c>
      <c r="I52" s="12"/>
      <c r="J52" s="61"/>
      <c r="K52" s="71"/>
      <c r="L52" s="62"/>
      <c r="M52" s="75"/>
      <c r="N52" s="73"/>
      <c r="O52" s="15" t="s">
        <v>552</v>
      </c>
    </row>
    <row r="53" spans="1:15" x14ac:dyDescent="0.25">
      <c r="A53" s="16">
        <v>23372</v>
      </c>
      <c r="B53" s="49"/>
      <c r="C53" s="17" t="s">
        <v>54</v>
      </c>
      <c r="D53" s="13">
        <v>23444</v>
      </c>
      <c r="E53" s="70">
        <v>500</v>
      </c>
      <c r="F53" s="14" t="s">
        <v>442</v>
      </c>
      <c r="G53" s="11">
        <v>23500</v>
      </c>
      <c r="H53" s="67">
        <v>600</v>
      </c>
      <c r="I53" s="12" t="s">
        <v>503</v>
      </c>
      <c r="J53" s="61"/>
      <c r="K53" s="71"/>
      <c r="L53" s="62"/>
      <c r="M53" s="75">
        <v>23563</v>
      </c>
      <c r="N53" s="73">
        <v>500</v>
      </c>
      <c r="O53" s="15" t="s">
        <v>503</v>
      </c>
    </row>
    <row r="54" spans="1:15" x14ac:dyDescent="0.25">
      <c r="A54" s="16">
        <v>23373</v>
      </c>
      <c r="B54" s="49">
        <v>600</v>
      </c>
      <c r="C54" s="17" t="s">
        <v>528</v>
      </c>
      <c r="D54" s="13">
        <v>23445</v>
      </c>
      <c r="E54" s="70">
        <v>400</v>
      </c>
      <c r="F54" s="14" t="s">
        <v>442</v>
      </c>
      <c r="G54" s="11"/>
      <c r="H54" s="67"/>
      <c r="I54" s="12" t="s">
        <v>29</v>
      </c>
      <c r="J54" s="61"/>
      <c r="K54" s="71"/>
      <c r="L54" s="62"/>
      <c r="M54" s="75"/>
      <c r="N54" s="73"/>
      <c r="O54" s="15" t="s">
        <v>22</v>
      </c>
    </row>
    <row r="55" spans="1:15" x14ac:dyDescent="0.25">
      <c r="A55" s="16">
        <v>23374</v>
      </c>
      <c r="B55" s="49">
        <v>1000</v>
      </c>
      <c r="C55" s="17" t="s">
        <v>503</v>
      </c>
      <c r="D55" s="13">
        <v>23446</v>
      </c>
      <c r="E55" s="70">
        <v>500</v>
      </c>
      <c r="F55" s="14"/>
      <c r="G55" s="11">
        <v>23501</v>
      </c>
      <c r="H55" s="67">
        <v>400</v>
      </c>
      <c r="I55" s="12"/>
      <c r="J55" s="61"/>
      <c r="K55" s="71"/>
      <c r="L55" s="62"/>
      <c r="M55" s="75">
        <v>23564</v>
      </c>
      <c r="N55" s="73">
        <v>500</v>
      </c>
      <c r="O55" s="15"/>
    </row>
    <row r="56" spans="1:15" x14ac:dyDescent="0.25">
      <c r="A56" s="16"/>
      <c r="B56" s="49"/>
      <c r="C56" s="17" t="s">
        <v>18</v>
      </c>
      <c r="D56" s="13">
        <v>23447</v>
      </c>
      <c r="E56" s="70">
        <v>1000</v>
      </c>
      <c r="F56" s="14" t="s">
        <v>533</v>
      </c>
      <c r="G56" s="11">
        <v>23502</v>
      </c>
      <c r="H56" s="67">
        <v>500</v>
      </c>
      <c r="I56" s="12" t="s">
        <v>442</v>
      </c>
      <c r="J56" s="61"/>
      <c r="K56" s="71"/>
      <c r="L56" s="62"/>
      <c r="M56" s="75">
        <v>23565</v>
      </c>
      <c r="N56" s="73">
        <v>400</v>
      </c>
      <c r="O56" s="15"/>
    </row>
    <row r="57" spans="1:15" x14ac:dyDescent="0.25">
      <c r="A57" s="16">
        <v>23375</v>
      </c>
      <c r="B57" s="49">
        <v>200</v>
      </c>
      <c r="C57" s="17"/>
      <c r="D57" s="13"/>
      <c r="E57" s="70"/>
      <c r="F57" s="14" t="s">
        <v>18</v>
      </c>
      <c r="G57" s="11">
        <v>23503</v>
      </c>
      <c r="H57" s="67">
        <v>300</v>
      </c>
      <c r="I57" s="12" t="s">
        <v>541</v>
      </c>
      <c r="J57" s="61"/>
      <c r="K57" s="71"/>
      <c r="L57" s="62"/>
      <c r="M57" s="75">
        <v>23566</v>
      </c>
      <c r="N57" s="73">
        <v>400</v>
      </c>
      <c r="O57" s="15" t="s">
        <v>457</v>
      </c>
    </row>
    <row r="58" spans="1:15" x14ac:dyDescent="0.25">
      <c r="A58" s="16">
        <v>23376</v>
      </c>
      <c r="B58" s="49">
        <v>1000</v>
      </c>
      <c r="C58" s="17" t="s">
        <v>529</v>
      </c>
      <c r="D58" s="13">
        <v>23448</v>
      </c>
      <c r="E58" s="70">
        <v>300</v>
      </c>
      <c r="F58" s="14"/>
      <c r="G58" s="11">
        <v>23504</v>
      </c>
      <c r="H58" s="67"/>
      <c r="I58" s="12" t="s">
        <v>54</v>
      </c>
      <c r="J58" s="61"/>
      <c r="K58" s="71"/>
      <c r="L58" s="62"/>
      <c r="M58" s="75">
        <v>23567</v>
      </c>
      <c r="N58" s="73">
        <v>500</v>
      </c>
      <c r="O58" s="15"/>
    </row>
    <row r="59" spans="1:15" x14ac:dyDescent="0.25">
      <c r="A59" s="16"/>
      <c r="B59" s="49"/>
      <c r="C59" s="17" t="s">
        <v>22</v>
      </c>
      <c r="D59" s="13">
        <v>23449</v>
      </c>
      <c r="E59" s="70">
        <v>1000</v>
      </c>
      <c r="F59" s="14" t="s">
        <v>417</v>
      </c>
      <c r="G59" s="11">
        <v>23505</v>
      </c>
      <c r="H59" s="67">
        <v>500</v>
      </c>
      <c r="I59" s="12"/>
      <c r="J59" s="61"/>
      <c r="K59" s="71"/>
      <c r="L59" s="62"/>
      <c r="M59" s="75"/>
      <c r="N59" s="73"/>
      <c r="O59" s="15"/>
    </row>
    <row r="60" spans="1:15" x14ac:dyDescent="0.25">
      <c r="A60" s="16">
        <v>23377</v>
      </c>
      <c r="B60" s="49">
        <v>500</v>
      </c>
      <c r="C60" s="17"/>
      <c r="D60" s="13"/>
      <c r="E60" s="70"/>
      <c r="F60" s="14" t="s">
        <v>18</v>
      </c>
      <c r="G60" s="11">
        <v>23506</v>
      </c>
      <c r="H60" s="67">
        <v>1600</v>
      </c>
      <c r="I60" s="12" t="s">
        <v>517</v>
      </c>
      <c r="J60" s="61"/>
      <c r="K60" s="71"/>
      <c r="L60" s="62"/>
      <c r="M60" s="75"/>
      <c r="N60" s="73"/>
      <c r="O60" s="15"/>
    </row>
    <row r="61" spans="1:15" x14ac:dyDescent="0.25">
      <c r="A61" s="16">
        <v>23378</v>
      </c>
      <c r="B61" s="49">
        <v>300</v>
      </c>
      <c r="C61" s="17" t="s">
        <v>442</v>
      </c>
      <c r="D61" s="13">
        <v>23450</v>
      </c>
      <c r="E61" s="70">
        <v>5500</v>
      </c>
      <c r="F61" s="14" t="s">
        <v>532</v>
      </c>
      <c r="G61" s="11"/>
      <c r="H61" s="67"/>
      <c r="I61" s="12" t="s">
        <v>542</v>
      </c>
      <c r="J61" s="61"/>
      <c r="K61" s="71"/>
      <c r="L61" s="62"/>
      <c r="M61" s="75"/>
      <c r="N61" s="73"/>
      <c r="O61" s="15"/>
    </row>
    <row r="62" spans="1:15" x14ac:dyDescent="0.25">
      <c r="A62" s="16">
        <v>23379</v>
      </c>
      <c r="B62" s="49">
        <v>600</v>
      </c>
      <c r="C62" s="17" t="s">
        <v>503</v>
      </c>
      <c r="D62" s="13"/>
      <c r="E62" s="70"/>
      <c r="F62" s="14" t="s">
        <v>534</v>
      </c>
      <c r="G62" s="11"/>
      <c r="H62" s="67"/>
      <c r="I62" s="114">
        <v>100</v>
      </c>
      <c r="J62" s="61"/>
      <c r="K62" s="71"/>
      <c r="L62" s="62"/>
      <c r="M62" s="75"/>
      <c r="N62" s="73"/>
      <c r="O62" s="15"/>
    </row>
    <row r="63" spans="1:15" x14ac:dyDescent="0.25">
      <c r="A63" s="16"/>
      <c r="B63" s="49"/>
      <c r="C63" s="17" t="s">
        <v>29</v>
      </c>
      <c r="D63" s="13">
        <v>23451</v>
      </c>
      <c r="E63" s="70">
        <v>1000</v>
      </c>
      <c r="F63" s="14" t="s">
        <v>503</v>
      </c>
      <c r="G63" s="11"/>
      <c r="H63" s="67"/>
      <c r="I63" s="12"/>
      <c r="J63" s="61"/>
      <c r="K63" s="71"/>
      <c r="L63" s="62"/>
      <c r="M63" s="75"/>
      <c r="N63" s="73"/>
      <c r="O63" s="15"/>
    </row>
    <row r="64" spans="1:15" x14ac:dyDescent="0.25">
      <c r="A64" s="16">
        <v>23380</v>
      </c>
      <c r="B64" s="49">
        <v>300</v>
      </c>
      <c r="C64" s="17" t="s">
        <v>442</v>
      </c>
      <c r="D64" s="13"/>
      <c r="E64" s="70"/>
      <c r="F64" s="14" t="s">
        <v>18</v>
      </c>
      <c r="G64" s="11"/>
      <c r="H64" s="67"/>
      <c r="I64" s="12"/>
      <c r="J64" s="61"/>
      <c r="K64" s="71"/>
      <c r="L64" s="62"/>
      <c r="M64" s="75"/>
      <c r="N64" s="73"/>
      <c r="O64" s="15"/>
    </row>
    <row r="65" spans="1:15" x14ac:dyDescent="0.25">
      <c r="A65" s="16">
        <v>23381</v>
      </c>
      <c r="B65" s="49">
        <v>500</v>
      </c>
      <c r="C65" s="17" t="s">
        <v>442</v>
      </c>
      <c r="D65" s="13">
        <v>23452</v>
      </c>
      <c r="E65" s="70">
        <v>1000</v>
      </c>
      <c r="F65" s="14" t="s">
        <v>469</v>
      </c>
      <c r="G65" s="11"/>
      <c r="H65" s="67"/>
      <c r="I65" s="12"/>
      <c r="J65" s="61"/>
      <c r="K65" s="71"/>
      <c r="L65" s="62"/>
      <c r="M65" s="75"/>
      <c r="N65" s="73"/>
      <c r="O65" s="15"/>
    </row>
    <row r="66" spans="1:15" x14ac:dyDescent="0.25">
      <c r="A66" s="16">
        <v>23382</v>
      </c>
      <c r="B66" s="49">
        <v>450</v>
      </c>
      <c r="C66" s="17"/>
      <c r="D66" s="13"/>
      <c r="E66" s="70"/>
      <c r="F66" s="14" t="s">
        <v>18</v>
      </c>
      <c r="G66" s="11"/>
      <c r="H66" s="67"/>
      <c r="I66" s="12"/>
      <c r="J66" s="61"/>
      <c r="K66" s="71"/>
      <c r="L66" s="62"/>
      <c r="M66" s="75"/>
      <c r="N66" s="73"/>
      <c r="O66" s="15"/>
    </row>
    <row r="67" spans="1:15" x14ac:dyDescent="0.25">
      <c r="A67" s="16">
        <v>23383</v>
      </c>
      <c r="B67" s="49">
        <v>250</v>
      </c>
      <c r="C67" s="17" t="s">
        <v>457</v>
      </c>
      <c r="D67" s="13">
        <v>23453</v>
      </c>
      <c r="E67" s="70">
        <v>500</v>
      </c>
      <c r="F67" s="14"/>
      <c r="G67" s="11"/>
      <c r="H67" s="67"/>
      <c r="I67" s="12"/>
      <c r="J67" s="61"/>
      <c r="K67" s="71"/>
      <c r="L67" s="62"/>
      <c r="M67" s="75"/>
      <c r="N67" s="73"/>
      <c r="O67" s="15"/>
    </row>
    <row r="68" spans="1:15" x14ac:dyDescent="0.25">
      <c r="A68" s="16">
        <v>23384</v>
      </c>
      <c r="B68" s="49">
        <v>500</v>
      </c>
      <c r="C68" s="17" t="s">
        <v>442</v>
      </c>
      <c r="D68" s="13">
        <v>23454</v>
      </c>
      <c r="E68" s="70">
        <v>500</v>
      </c>
      <c r="F68" s="14" t="s">
        <v>442</v>
      </c>
      <c r="G68" s="11"/>
      <c r="H68" s="67"/>
      <c r="I68" s="12"/>
      <c r="J68" s="61"/>
      <c r="K68" s="71"/>
      <c r="L68" s="62"/>
      <c r="M68" s="75"/>
      <c r="N68" s="73"/>
      <c r="O68" s="15"/>
    </row>
    <row r="69" spans="1:15" x14ac:dyDescent="0.25">
      <c r="A69" s="16">
        <v>23385</v>
      </c>
      <c r="B69" s="49">
        <v>250</v>
      </c>
      <c r="C69" s="17"/>
      <c r="D69" s="13">
        <v>23455</v>
      </c>
      <c r="E69" s="70">
        <v>250</v>
      </c>
      <c r="F69" s="14"/>
      <c r="G69" s="11"/>
      <c r="H69" s="67"/>
      <c r="I69" s="12"/>
      <c r="J69" s="61"/>
      <c r="K69" s="71"/>
      <c r="L69" s="62"/>
      <c r="M69" s="75"/>
      <c r="N69" s="73"/>
      <c r="O69" s="15"/>
    </row>
    <row r="70" spans="1:15" x14ac:dyDescent="0.25">
      <c r="A70" s="16">
        <v>23386</v>
      </c>
      <c r="B70" s="49">
        <v>350</v>
      </c>
      <c r="C70" s="17" t="s">
        <v>442</v>
      </c>
      <c r="D70" s="13">
        <v>23456</v>
      </c>
      <c r="E70" s="70">
        <v>600</v>
      </c>
      <c r="F70" s="14" t="s">
        <v>417</v>
      </c>
      <c r="G70" s="11"/>
      <c r="H70" s="67"/>
      <c r="I70" s="12"/>
      <c r="J70" s="61"/>
      <c r="K70" s="71"/>
      <c r="L70" s="62"/>
      <c r="M70" s="75"/>
      <c r="N70" s="73"/>
      <c r="O70" s="15"/>
    </row>
    <row r="71" spans="1:15" x14ac:dyDescent="0.25">
      <c r="A71" s="16">
        <v>23387</v>
      </c>
      <c r="B71" s="49">
        <v>700</v>
      </c>
      <c r="C71" s="17" t="s">
        <v>503</v>
      </c>
      <c r="D71" s="13"/>
      <c r="E71" s="70"/>
      <c r="F71" s="14" t="s">
        <v>29</v>
      </c>
      <c r="G71" s="11"/>
      <c r="H71" s="67"/>
      <c r="I71" s="12"/>
      <c r="J71" s="61"/>
      <c r="K71" s="71"/>
      <c r="L71" s="62"/>
      <c r="M71" s="75"/>
      <c r="N71" s="73"/>
      <c r="O71" s="15"/>
    </row>
    <row r="72" spans="1:15" x14ac:dyDescent="0.25">
      <c r="A72" s="16"/>
      <c r="B72" s="49"/>
      <c r="C72" s="17" t="s">
        <v>131</v>
      </c>
      <c r="D72" s="13">
        <v>23457</v>
      </c>
      <c r="E72" s="70">
        <v>400</v>
      </c>
      <c r="F72" s="14" t="s">
        <v>442</v>
      </c>
      <c r="G72" s="11"/>
      <c r="H72" s="67"/>
      <c r="I72" s="12"/>
      <c r="J72" s="61"/>
      <c r="K72" s="71"/>
      <c r="L72" s="62"/>
      <c r="M72" s="75"/>
      <c r="N72" s="73"/>
      <c r="O72" s="15"/>
    </row>
    <row r="73" spans="1:15" x14ac:dyDescent="0.25">
      <c r="A73" s="16">
        <v>23388</v>
      </c>
      <c r="B73" s="49">
        <v>400</v>
      </c>
      <c r="C73" s="17"/>
      <c r="D73" s="13">
        <v>23458</v>
      </c>
      <c r="E73" s="70">
        <v>600</v>
      </c>
      <c r="F73" s="14" t="s">
        <v>410</v>
      </c>
      <c r="G73" s="11"/>
      <c r="H73" s="67"/>
      <c r="I73" s="12"/>
      <c r="J73" s="61"/>
      <c r="K73" s="71"/>
      <c r="L73" s="62"/>
      <c r="M73" s="75"/>
      <c r="N73" s="73"/>
      <c r="O73" s="15"/>
    </row>
    <row r="74" spans="1:15" x14ac:dyDescent="0.25">
      <c r="A74" s="16">
        <v>23389</v>
      </c>
      <c r="B74" s="49">
        <v>500</v>
      </c>
      <c r="C74" s="17"/>
      <c r="D74" s="13"/>
      <c r="E74" s="70"/>
      <c r="F74" s="14" t="s">
        <v>44</v>
      </c>
      <c r="G74" s="11"/>
      <c r="H74" s="67"/>
      <c r="I74" s="12"/>
      <c r="J74" s="61"/>
      <c r="K74" s="71"/>
      <c r="L74" s="62"/>
      <c r="M74" s="75"/>
      <c r="N74" s="73"/>
      <c r="O74" s="15"/>
    </row>
    <row r="75" spans="1:15" x14ac:dyDescent="0.25">
      <c r="A75" s="16">
        <v>23390</v>
      </c>
      <c r="B75" s="49">
        <v>500</v>
      </c>
      <c r="C75" s="17"/>
      <c r="D75" s="13">
        <v>23459</v>
      </c>
      <c r="E75" s="70">
        <v>1000</v>
      </c>
      <c r="F75" s="14" t="s">
        <v>503</v>
      </c>
      <c r="G75" s="11"/>
      <c r="H75" s="67"/>
      <c r="I75" s="12"/>
      <c r="J75" s="61"/>
      <c r="K75" s="71"/>
      <c r="L75" s="62"/>
      <c r="M75" s="75"/>
      <c r="N75" s="73"/>
      <c r="O75" s="15"/>
    </row>
    <row r="76" spans="1:15" x14ac:dyDescent="0.25">
      <c r="A76" s="16">
        <v>23391</v>
      </c>
      <c r="B76" s="49">
        <v>400</v>
      </c>
      <c r="C76" s="17"/>
      <c r="D76" s="13"/>
      <c r="E76" s="70"/>
      <c r="F76" s="14" t="s">
        <v>18</v>
      </c>
      <c r="G76" s="11"/>
      <c r="H76" s="67"/>
      <c r="I76" s="12"/>
      <c r="J76" s="61"/>
      <c r="K76" s="71"/>
      <c r="L76" s="62"/>
      <c r="M76" s="75"/>
      <c r="N76" s="73"/>
      <c r="O76" s="15"/>
    </row>
    <row r="77" spans="1:15" x14ac:dyDescent="0.25">
      <c r="A77" s="16">
        <v>23392</v>
      </c>
      <c r="B77" s="49">
        <v>600</v>
      </c>
      <c r="C77" s="17" t="s">
        <v>469</v>
      </c>
      <c r="D77" s="13">
        <v>23460</v>
      </c>
      <c r="E77" s="70">
        <v>500</v>
      </c>
      <c r="F77" s="14" t="s">
        <v>442</v>
      </c>
      <c r="G77" s="11"/>
      <c r="H77" s="67"/>
      <c r="I77" s="12"/>
      <c r="J77" s="61"/>
      <c r="K77" s="71"/>
      <c r="L77" s="62"/>
      <c r="M77" s="75"/>
      <c r="N77" s="73"/>
      <c r="O77" s="15"/>
    </row>
    <row r="78" spans="1:15" x14ac:dyDescent="0.25">
      <c r="A78" s="16"/>
      <c r="B78" s="49"/>
      <c r="C78" s="17" t="s">
        <v>29</v>
      </c>
      <c r="D78" s="13">
        <v>23461</v>
      </c>
      <c r="E78" s="70">
        <v>900</v>
      </c>
      <c r="F78" s="14" t="s">
        <v>517</v>
      </c>
      <c r="G78" s="11"/>
      <c r="H78" s="67"/>
      <c r="I78" s="12"/>
      <c r="J78" s="61"/>
      <c r="K78" s="71"/>
      <c r="L78" s="62"/>
      <c r="M78" s="75"/>
      <c r="N78" s="73"/>
      <c r="O78" s="15"/>
    </row>
    <row r="79" spans="1:15" x14ac:dyDescent="0.25">
      <c r="A79" s="16">
        <v>23393</v>
      </c>
      <c r="B79" s="49">
        <v>450</v>
      </c>
      <c r="C79" s="17" t="s">
        <v>492</v>
      </c>
      <c r="D79" s="13"/>
      <c r="E79" s="70"/>
      <c r="F79" s="14" t="s">
        <v>29</v>
      </c>
      <c r="G79" s="11"/>
      <c r="H79" s="67"/>
      <c r="I79" s="12"/>
      <c r="J79" s="61"/>
      <c r="K79" s="71"/>
      <c r="L79" s="62"/>
      <c r="M79" s="75"/>
      <c r="N79" s="73"/>
      <c r="O79" s="15"/>
    </row>
    <row r="80" spans="1:15" x14ac:dyDescent="0.25">
      <c r="A80" s="16">
        <v>23394</v>
      </c>
      <c r="B80" s="49">
        <v>500</v>
      </c>
      <c r="C80" s="17"/>
      <c r="D80" s="13">
        <v>23462</v>
      </c>
      <c r="E80" s="70">
        <v>500</v>
      </c>
      <c r="F80" s="14" t="s">
        <v>417</v>
      </c>
      <c r="G80" s="11"/>
      <c r="H80" s="67"/>
      <c r="I80" s="12"/>
      <c r="J80" s="61"/>
      <c r="K80" s="71"/>
      <c r="L80" s="62"/>
      <c r="M80" s="75"/>
      <c r="N80" s="73"/>
      <c r="O80" s="15"/>
    </row>
    <row r="81" spans="1:15" x14ac:dyDescent="0.25">
      <c r="A81" s="16">
        <v>23395</v>
      </c>
      <c r="B81" s="49">
        <v>1000</v>
      </c>
      <c r="C81" s="17" t="s">
        <v>484</v>
      </c>
      <c r="D81" s="13"/>
      <c r="E81" s="70"/>
      <c r="F81" s="14" t="s">
        <v>22</v>
      </c>
      <c r="G81" s="11"/>
      <c r="H81" s="67"/>
      <c r="I81" s="12"/>
      <c r="J81" s="61"/>
      <c r="K81" s="71"/>
      <c r="L81" s="62"/>
      <c r="M81" s="75"/>
      <c r="N81" s="73"/>
      <c r="O81" s="15"/>
    </row>
    <row r="82" spans="1:15" x14ac:dyDescent="0.25">
      <c r="A82" s="16"/>
      <c r="B82" s="49"/>
      <c r="C82" s="17" t="s">
        <v>22</v>
      </c>
      <c r="D82" s="13">
        <v>23463</v>
      </c>
      <c r="E82" s="70">
        <v>400</v>
      </c>
      <c r="F82" s="14" t="s">
        <v>442</v>
      </c>
      <c r="G82" s="11"/>
      <c r="H82" s="67"/>
      <c r="I82" s="12"/>
      <c r="J82" s="61"/>
      <c r="K82" s="71"/>
      <c r="L82" s="62"/>
      <c r="M82" s="75"/>
      <c r="N82" s="73"/>
      <c r="O82" s="15"/>
    </row>
    <row r="83" spans="1:15" x14ac:dyDescent="0.25">
      <c r="A83" s="16">
        <v>23396</v>
      </c>
      <c r="B83" s="49">
        <v>1000</v>
      </c>
      <c r="C83" s="17" t="s">
        <v>503</v>
      </c>
      <c r="D83" s="13">
        <v>23464</v>
      </c>
      <c r="E83" s="70">
        <v>5500</v>
      </c>
      <c r="F83" s="14" t="s">
        <v>532</v>
      </c>
      <c r="G83" s="11"/>
      <c r="H83" s="67"/>
      <c r="I83" s="12"/>
      <c r="J83" s="61"/>
      <c r="K83" s="71"/>
      <c r="L83" s="62"/>
      <c r="M83" s="75"/>
      <c r="N83" s="73"/>
      <c r="O83" s="15"/>
    </row>
    <row r="84" spans="1:15" x14ac:dyDescent="0.25">
      <c r="A84" s="16"/>
      <c r="B84" s="49"/>
      <c r="C84" s="17" t="s">
        <v>18</v>
      </c>
      <c r="D84" s="13"/>
      <c r="E84" s="70"/>
      <c r="F84" s="14" t="s">
        <v>534</v>
      </c>
      <c r="G84" s="11"/>
      <c r="H84" s="67"/>
      <c r="I84" s="12"/>
      <c r="J84" s="61"/>
      <c r="K84" s="71"/>
      <c r="L84" s="62"/>
      <c r="M84" s="75"/>
      <c r="N84" s="73"/>
      <c r="O84" s="15"/>
    </row>
    <row r="85" spans="1:15" x14ac:dyDescent="0.25">
      <c r="A85" s="16">
        <v>23397</v>
      </c>
      <c r="B85" s="49">
        <v>400</v>
      </c>
      <c r="C85" s="17" t="s">
        <v>469</v>
      </c>
      <c r="D85" s="13">
        <v>23465</v>
      </c>
      <c r="E85" s="70">
        <v>2000</v>
      </c>
      <c r="F85" s="14" t="s">
        <v>484</v>
      </c>
      <c r="G85" s="11"/>
      <c r="H85" s="67"/>
      <c r="I85" s="12"/>
      <c r="J85" s="61"/>
      <c r="K85" s="71"/>
      <c r="L85" s="62"/>
      <c r="M85" s="75"/>
      <c r="N85" s="73"/>
      <c r="O85" s="15"/>
    </row>
    <row r="86" spans="1:15" x14ac:dyDescent="0.25">
      <c r="A86" s="16"/>
      <c r="B86" s="49"/>
      <c r="C86" s="17" t="s">
        <v>44</v>
      </c>
      <c r="D86" s="13"/>
      <c r="E86" s="70"/>
      <c r="F86" s="14" t="s">
        <v>18</v>
      </c>
      <c r="G86" s="11"/>
      <c r="H86" s="67"/>
      <c r="I86" s="12"/>
      <c r="J86" s="61"/>
      <c r="K86" s="71"/>
      <c r="L86" s="62"/>
      <c r="M86" s="75"/>
      <c r="N86" s="73"/>
      <c r="O86" s="15"/>
    </row>
    <row r="87" spans="1:15" x14ac:dyDescent="0.25">
      <c r="A87" s="16">
        <v>23398</v>
      </c>
      <c r="B87" s="49">
        <v>400</v>
      </c>
      <c r="C87" s="17" t="s">
        <v>417</v>
      </c>
      <c r="D87" s="13"/>
      <c r="E87" s="70"/>
      <c r="F87" s="14"/>
      <c r="G87" s="11"/>
      <c r="H87" s="67"/>
      <c r="I87" s="12"/>
      <c r="J87" s="61"/>
      <c r="K87" s="71"/>
      <c r="L87" s="62"/>
      <c r="M87" s="75"/>
      <c r="N87" s="73"/>
      <c r="O87" s="15"/>
    </row>
    <row r="88" spans="1:15" x14ac:dyDescent="0.25">
      <c r="A88" s="16"/>
      <c r="B88" s="49"/>
      <c r="C88" s="17" t="s">
        <v>44</v>
      </c>
      <c r="D88" s="13"/>
      <c r="E88" s="70"/>
      <c r="F88" s="14"/>
      <c r="G88" s="11"/>
      <c r="H88" s="67"/>
      <c r="I88" s="12"/>
      <c r="J88" s="61"/>
      <c r="K88" s="71"/>
      <c r="L88" s="62"/>
      <c r="M88" s="75"/>
      <c r="N88" s="73"/>
      <c r="O88" s="15"/>
    </row>
    <row r="89" spans="1:15" x14ac:dyDescent="0.25">
      <c r="A89" s="16">
        <v>23399</v>
      </c>
      <c r="B89" s="49">
        <v>1100</v>
      </c>
      <c r="C89" s="17" t="s">
        <v>530</v>
      </c>
      <c r="D89" s="13"/>
      <c r="E89" s="70"/>
      <c r="F89" s="14"/>
      <c r="G89" s="11"/>
      <c r="H89" s="67"/>
      <c r="I89" s="12"/>
      <c r="J89" s="61"/>
      <c r="K89" s="71"/>
      <c r="L89" s="62"/>
      <c r="M89" s="75"/>
      <c r="N89" s="73"/>
      <c r="O89" s="15"/>
    </row>
    <row r="90" spans="1:15" x14ac:dyDescent="0.25">
      <c r="A90" s="16"/>
      <c r="B90" s="49"/>
      <c r="C90" s="17" t="s">
        <v>531</v>
      </c>
      <c r="D90" s="13"/>
      <c r="E90" s="70"/>
      <c r="F90" s="14"/>
      <c r="G90" s="11"/>
      <c r="H90" s="67"/>
      <c r="I90" s="12"/>
      <c r="J90" s="61"/>
      <c r="K90" s="71"/>
      <c r="L90" s="62"/>
      <c r="M90" s="75"/>
      <c r="N90" s="73"/>
      <c r="O90" s="15"/>
    </row>
    <row r="91" spans="1:15" x14ac:dyDescent="0.25">
      <c r="A91" s="16">
        <v>23400</v>
      </c>
      <c r="B91" s="49">
        <v>300</v>
      </c>
      <c r="C91" s="17" t="s">
        <v>113</v>
      </c>
      <c r="D91" s="13"/>
      <c r="E91" s="70"/>
      <c r="F91" s="14"/>
      <c r="G91" s="11"/>
      <c r="H91" s="67"/>
      <c r="I91" s="12"/>
      <c r="J91" s="61"/>
      <c r="K91" s="71"/>
      <c r="L91" s="62"/>
      <c r="M91" s="75"/>
      <c r="N91" s="73"/>
      <c r="O91" s="15"/>
    </row>
    <row r="92" spans="1:15" x14ac:dyDescent="0.25">
      <c r="A92" s="16">
        <v>23401</v>
      </c>
      <c r="B92" s="49">
        <v>1200</v>
      </c>
      <c r="C92" s="17" t="s">
        <v>517</v>
      </c>
      <c r="D92" s="13"/>
      <c r="E92" s="70"/>
      <c r="F92" s="14"/>
      <c r="G92" s="11"/>
      <c r="H92" s="67"/>
      <c r="I92" s="12"/>
      <c r="J92" s="61"/>
      <c r="K92" s="71"/>
      <c r="L92" s="62"/>
      <c r="M92" s="58"/>
      <c r="N92" s="58"/>
      <c r="O92" s="58"/>
    </row>
    <row r="93" spans="1:15" x14ac:dyDescent="0.25">
      <c r="A93" s="16"/>
      <c r="B93" s="49"/>
      <c r="C93" s="17" t="s">
        <v>25</v>
      </c>
      <c r="D93" s="13"/>
      <c r="E93" s="70"/>
      <c r="F93" s="14"/>
      <c r="G93" s="11"/>
      <c r="H93" s="67"/>
      <c r="I93" s="12"/>
      <c r="J93" s="61"/>
      <c r="K93" s="71"/>
      <c r="L93" s="62"/>
      <c r="M93" s="58"/>
      <c r="N93" s="58"/>
      <c r="O93" s="58"/>
    </row>
    <row r="94" spans="1:15" x14ac:dyDescent="0.25">
      <c r="A94" s="16">
        <v>23402</v>
      </c>
      <c r="B94" s="49">
        <v>250</v>
      </c>
      <c r="C94" s="17"/>
      <c r="D94" s="13"/>
      <c r="E94" s="70"/>
      <c r="F94" s="14"/>
      <c r="G94" s="11"/>
      <c r="H94" s="67"/>
      <c r="I94" s="12"/>
      <c r="J94" s="61"/>
      <c r="K94" s="71"/>
      <c r="L94" s="62"/>
      <c r="M94" s="58"/>
      <c r="N94" s="58"/>
      <c r="O94" s="58"/>
    </row>
    <row r="95" spans="1:15" x14ac:dyDescent="0.25">
      <c r="A95" s="16">
        <v>23403</v>
      </c>
      <c r="B95" s="49">
        <v>250</v>
      </c>
      <c r="C95" s="17"/>
      <c r="D95" s="13"/>
      <c r="E95" s="70"/>
      <c r="F95" s="14"/>
      <c r="G95" s="11"/>
      <c r="H95" s="67"/>
      <c r="I95" s="12"/>
      <c r="J95" s="61"/>
      <c r="K95" s="71"/>
      <c r="L95" s="62"/>
      <c r="M95" s="58"/>
      <c r="N95" s="58"/>
      <c r="O95" s="58"/>
    </row>
    <row r="96" spans="1:15" x14ac:dyDescent="0.25">
      <c r="A96" s="16">
        <v>23404</v>
      </c>
      <c r="B96" s="49">
        <v>500</v>
      </c>
      <c r="C96" s="17" t="s">
        <v>442</v>
      </c>
      <c r="D96" s="13"/>
      <c r="E96" s="70"/>
      <c r="F96" s="14"/>
      <c r="G96" s="11"/>
      <c r="H96" s="67"/>
      <c r="I96" s="12"/>
      <c r="J96" s="61"/>
      <c r="K96" s="71"/>
      <c r="L96" s="62"/>
      <c r="M96" s="58"/>
      <c r="N96" s="58"/>
      <c r="O96" s="58"/>
    </row>
    <row r="97" spans="1:15" x14ac:dyDescent="0.25">
      <c r="A97" s="16">
        <v>23405</v>
      </c>
      <c r="B97" s="49"/>
      <c r="C97" s="17" t="s">
        <v>54</v>
      </c>
      <c r="D97" s="13"/>
      <c r="E97" s="70"/>
      <c r="F97" s="14"/>
      <c r="G97" s="11"/>
      <c r="H97" s="67"/>
      <c r="I97" s="12"/>
      <c r="J97" s="61"/>
      <c r="K97" s="71"/>
      <c r="L97" s="62"/>
      <c r="M97" s="58"/>
      <c r="N97" s="58"/>
      <c r="O97" s="58"/>
    </row>
    <row r="98" spans="1:15" x14ac:dyDescent="0.25">
      <c r="A98" s="16">
        <v>23406</v>
      </c>
      <c r="B98" s="49">
        <v>5500</v>
      </c>
      <c r="C98" s="17" t="s">
        <v>532</v>
      </c>
      <c r="D98" s="13"/>
      <c r="E98" s="70"/>
      <c r="F98" s="14"/>
      <c r="G98" s="11"/>
      <c r="H98" s="67"/>
      <c r="I98" s="12"/>
      <c r="J98" s="61"/>
      <c r="K98" s="71"/>
      <c r="L98" s="62"/>
      <c r="M98" s="58"/>
      <c r="N98" s="58"/>
      <c r="O98" s="58"/>
    </row>
    <row r="99" spans="1:15" x14ac:dyDescent="0.25">
      <c r="A99" s="16"/>
      <c r="B99" s="49"/>
      <c r="C99" s="17" t="s">
        <v>18</v>
      </c>
      <c r="D99" s="13"/>
      <c r="E99" s="70"/>
      <c r="F99" s="14"/>
      <c r="G99" s="11"/>
      <c r="H99" s="67"/>
      <c r="I99" s="12"/>
      <c r="J99" s="61"/>
      <c r="K99" s="71"/>
      <c r="L99" s="62"/>
      <c r="M99" s="58"/>
      <c r="N99" s="58"/>
      <c r="O99" s="58"/>
    </row>
    <row r="100" spans="1:15" x14ac:dyDescent="0.25">
      <c r="A100" s="16"/>
      <c r="B100" s="49"/>
      <c r="C100" s="17" t="s">
        <v>128</v>
      </c>
      <c r="D100" s="13"/>
      <c r="E100" s="70"/>
      <c r="F100" s="14"/>
      <c r="G100" s="11"/>
      <c r="H100" s="67"/>
      <c r="I100" s="12"/>
      <c r="J100" s="61"/>
      <c r="K100" s="71"/>
      <c r="L100" s="62"/>
      <c r="M100" s="58"/>
      <c r="N100" s="58"/>
      <c r="O100" s="58"/>
    </row>
    <row r="101" spans="1:15" x14ac:dyDescent="0.25">
      <c r="A101" s="16"/>
      <c r="B101" s="49"/>
      <c r="C101" s="17"/>
      <c r="D101" s="13"/>
      <c r="E101" s="70"/>
      <c r="F101" s="14"/>
      <c r="G101" s="11"/>
      <c r="H101" s="67"/>
      <c r="I101" s="12"/>
      <c r="J101" s="61"/>
      <c r="K101" s="71"/>
      <c r="L101" s="62"/>
      <c r="M101" s="58"/>
      <c r="N101" s="58"/>
      <c r="O101" s="58"/>
    </row>
    <row r="102" spans="1:15" x14ac:dyDescent="0.25">
      <c r="A102" s="16"/>
      <c r="B102" s="49"/>
      <c r="C102" s="17"/>
      <c r="D102" s="13"/>
      <c r="E102" s="70"/>
      <c r="F102" s="14"/>
      <c r="G102" s="11"/>
      <c r="H102" s="67"/>
      <c r="I102" s="12"/>
      <c r="J102" s="61"/>
      <c r="K102" s="71"/>
      <c r="L102" s="62"/>
      <c r="M102" s="58"/>
      <c r="N102" s="58"/>
      <c r="O102" s="58"/>
    </row>
    <row r="103" spans="1:15" x14ac:dyDescent="0.25">
      <c r="A103" s="16"/>
      <c r="B103" s="49"/>
      <c r="C103" s="17"/>
      <c r="D103" s="13"/>
      <c r="E103" s="70"/>
      <c r="F103" s="14"/>
      <c r="G103" s="11"/>
      <c r="H103" s="67"/>
      <c r="I103" s="12"/>
      <c r="J103" s="61"/>
      <c r="K103" s="71"/>
      <c r="L103" s="62"/>
      <c r="M103" s="58"/>
      <c r="N103" s="58"/>
      <c r="O103" s="58"/>
    </row>
    <row r="104" spans="1:15" x14ac:dyDescent="0.25">
      <c r="A104" s="16"/>
      <c r="B104" s="49"/>
      <c r="C104" s="17"/>
      <c r="D104" s="13"/>
      <c r="E104" s="70"/>
      <c r="F104" s="14"/>
      <c r="G104" s="11"/>
      <c r="H104" s="67"/>
      <c r="I104" s="12"/>
      <c r="J104" s="61"/>
      <c r="K104" s="71"/>
      <c r="L104" s="62"/>
      <c r="M104" s="58"/>
      <c r="N104" s="58"/>
      <c r="O104" s="58"/>
    </row>
    <row r="105" spans="1:15" x14ac:dyDescent="0.25">
      <c r="A105" s="16"/>
      <c r="B105" s="49"/>
      <c r="C105" s="17"/>
      <c r="D105" s="13"/>
      <c r="E105" s="70"/>
      <c r="F105" s="14"/>
      <c r="G105" s="11"/>
      <c r="H105" s="67"/>
      <c r="I105" s="12"/>
      <c r="J105" s="61"/>
      <c r="K105" s="71"/>
      <c r="L105" s="62"/>
      <c r="M105" s="58"/>
      <c r="N105" s="58"/>
      <c r="O105" s="58"/>
    </row>
    <row r="106" spans="1:15" x14ac:dyDescent="0.25">
      <c r="A106" s="16"/>
      <c r="B106" s="49"/>
      <c r="C106" s="17"/>
      <c r="D106" s="13"/>
      <c r="E106" s="70"/>
      <c r="F106" s="14"/>
      <c r="G106" s="11"/>
      <c r="H106" s="67"/>
      <c r="I106" s="12"/>
      <c r="J106" s="61"/>
      <c r="K106" s="71"/>
      <c r="L106" s="62"/>
      <c r="M106" s="58"/>
      <c r="N106" s="58"/>
      <c r="O106" s="58"/>
    </row>
    <row r="107" spans="1:15" x14ac:dyDescent="0.25">
      <c r="A107" s="16"/>
      <c r="B107" s="49"/>
      <c r="C107" s="17"/>
      <c r="D107" s="13"/>
      <c r="E107" s="70"/>
      <c r="F107" s="14"/>
      <c r="G107" s="11"/>
      <c r="H107" s="67"/>
      <c r="I107" s="12"/>
      <c r="J107" s="61"/>
      <c r="K107" s="71"/>
      <c r="L107" s="62"/>
      <c r="M107" s="58"/>
      <c r="N107" s="58"/>
      <c r="O107" s="58"/>
    </row>
    <row r="108" spans="1:15" x14ac:dyDescent="0.25">
      <c r="A108" s="16"/>
      <c r="B108" s="49"/>
      <c r="C108" s="17"/>
      <c r="D108" s="13"/>
      <c r="E108" s="70"/>
      <c r="F108" s="14"/>
      <c r="G108" s="11"/>
      <c r="H108" s="67"/>
      <c r="I108" s="12"/>
      <c r="J108" s="61"/>
      <c r="K108" s="71"/>
      <c r="L108" s="62"/>
      <c r="M108" s="58"/>
      <c r="N108" s="58"/>
      <c r="O108" s="58"/>
    </row>
    <row r="109" spans="1:15" x14ac:dyDescent="0.25">
      <c r="A109" s="16"/>
      <c r="B109" s="49"/>
      <c r="C109" s="17"/>
      <c r="D109" s="13"/>
      <c r="E109" s="70"/>
      <c r="F109" s="14"/>
      <c r="G109" s="11"/>
      <c r="H109" s="67"/>
      <c r="I109" s="12"/>
      <c r="J109" s="61"/>
      <c r="K109" s="71"/>
      <c r="L109" s="62"/>
      <c r="M109" s="58"/>
      <c r="N109" s="58"/>
      <c r="O109" s="58"/>
    </row>
    <row r="110" spans="1:15" x14ac:dyDescent="0.25">
      <c r="A110" s="16"/>
      <c r="B110" s="49"/>
      <c r="C110" s="17"/>
      <c r="D110" s="13"/>
      <c r="E110" s="70"/>
      <c r="F110" s="14"/>
      <c r="G110" s="11"/>
      <c r="H110" s="67"/>
      <c r="I110" s="12"/>
      <c r="J110" s="61"/>
      <c r="K110" s="71"/>
      <c r="L110" s="62"/>
      <c r="M110" s="58"/>
      <c r="N110" s="58"/>
      <c r="O110" s="58"/>
    </row>
    <row r="111" spans="1:15" x14ac:dyDescent="0.25">
      <c r="A111" s="16"/>
      <c r="B111" s="49"/>
      <c r="C111" s="17"/>
      <c r="D111" s="13"/>
      <c r="E111" s="70"/>
      <c r="F111" s="14"/>
      <c r="G111" s="11"/>
      <c r="H111" s="67"/>
      <c r="I111" s="12"/>
      <c r="J111" s="61"/>
      <c r="K111" s="71"/>
      <c r="L111" s="62"/>
      <c r="M111" s="58"/>
      <c r="N111" s="58"/>
      <c r="O111" s="58"/>
    </row>
    <row r="112" spans="1:15" x14ac:dyDescent="0.25">
      <c r="A112" s="16"/>
      <c r="B112" s="49"/>
      <c r="C112" s="17"/>
      <c r="D112" s="13"/>
      <c r="E112" s="70"/>
      <c r="F112" s="14"/>
      <c r="G112" s="11"/>
      <c r="H112" s="67"/>
      <c r="I112" s="12"/>
      <c r="J112" s="61"/>
      <c r="K112" s="71"/>
      <c r="L112" s="62"/>
      <c r="M112" s="58"/>
      <c r="N112" s="58"/>
      <c r="O112" s="58"/>
    </row>
    <row r="113" spans="1:15" x14ac:dyDescent="0.25">
      <c r="A113" s="16"/>
      <c r="B113" s="49"/>
      <c r="C113" s="17"/>
      <c r="D113" s="13"/>
      <c r="E113" s="70"/>
      <c r="F113" s="14"/>
      <c r="G113" s="11"/>
      <c r="H113" s="67"/>
      <c r="I113" s="12"/>
      <c r="J113" s="61"/>
      <c r="K113" s="71"/>
      <c r="L113" s="62"/>
      <c r="M113" s="58"/>
      <c r="N113" s="58"/>
      <c r="O113" s="58"/>
    </row>
    <row r="114" spans="1:15" x14ac:dyDescent="0.25">
      <c r="A114" s="16"/>
      <c r="B114" s="49"/>
      <c r="C114" s="17"/>
      <c r="D114" s="13"/>
      <c r="E114" s="70"/>
      <c r="F114" s="14"/>
      <c r="G114" s="11"/>
      <c r="H114" s="67"/>
      <c r="I114" s="12"/>
      <c r="J114" s="61"/>
      <c r="K114" s="71"/>
      <c r="L114" s="62"/>
      <c r="M114" s="58"/>
      <c r="N114" s="58"/>
      <c r="O114" s="58"/>
    </row>
    <row r="115" spans="1:15" x14ac:dyDescent="0.25">
      <c r="A115" s="16"/>
      <c r="B115" s="49"/>
      <c r="C115" s="17"/>
      <c r="D115" s="13"/>
      <c r="E115" s="70"/>
      <c r="F115" s="14"/>
      <c r="G115" s="11"/>
      <c r="H115" s="67"/>
      <c r="I115" s="12"/>
      <c r="J115" s="61"/>
      <c r="K115" s="71"/>
      <c r="L115" s="62"/>
      <c r="M115" s="58"/>
      <c r="N115" s="58"/>
      <c r="O115" s="58"/>
    </row>
    <row r="116" spans="1:15" x14ac:dyDescent="0.25">
      <c r="A116" s="16"/>
      <c r="B116" s="49"/>
      <c r="C116" s="17"/>
      <c r="D116" s="13"/>
      <c r="E116" s="70"/>
      <c r="F116" s="14"/>
      <c r="G116" s="11"/>
      <c r="H116" s="67"/>
      <c r="I116" s="12"/>
      <c r="J116" s="61"/>
      <c r="K116" s="71"/>
      <c r="L116" s="62"/>
      <c r="M116" s="58"/>
      <c r="N116" s="58"/>
      <c r="O116" s="58"/>
    </row>
    <row r="117" spans="1:15" x14ac:dyDescent="0.25">
      <c r="A117" s="16"/>
      <c r="B117" s="49"/>
      <c r="C117" s="17"/>
      <c r="D117" s="13"/>
      <c r="E117" s="70"/>
      <c r="F117" s="14"/>
      <c r="G117" s="11"/>
      <c r="H117" s="67"/>
      <c r="I117" s="12"/>
      <c r="J117" s="61"/>
      <c r="K117" s="71"/>
      <c r="L117" s="62"/>
      <c r="M117" s="58"/>
      <c r="N117" s="58"/>
      <c r="O117" s="58"/>
    </row>
    <row r="118" spans="1:15" x14ac:dyDescent="0.25">
      <c r="A118" s="16"/>
      <c r="B118" s="49"/>
      <c r="C118" s="17"/>
      <c r="D118" s="13"/>
      <c r="E118" s="70"/>
      <c r="F118" s="14"/>
      <c r="G118" s="11"/>
      <c r="H118" s="67"/>
      <c r="I118" s="12"/>
      <c r="J118" s="61"/>
      <c r="K118" s="71"/>
      <c r="L118" s="62"/>
      <c r="M118" s="58"/>
      <c r="N118" s="58"/>
      <c r="O118" s="58"/>
    </row>
    <row r="119" spans="1:15" x14ac:dyDescent="0.25">
      <c r="A119" s="16"/>
      <c r="B119" s="49"/>
      <c r="C119" s="17"/>
      <c r="D119" s="13"/>
      <c r="E119" s="70"/>
      <c r="F119" s="14"/>
      <c r="G119" s="11"/>
      <c r="H119" s="67"/>
      <c r="I119" s="12"/>
      <c r="J119" s="61"/>
      <c r="K119" s="71"/>
      <c r="L119" s="62"/>
      <c r="M119" s="58"/>
      <c r="N119" s="58"/>
      <c r="O119" s="58"/>
    </row>
    <row r="120" spans="1:15" x14ac:dyDescent="0.25">
      <c r="A120" s="16"/>
      <c r="B120" s="49"/>
      <c r="C120" s="17"/>
      <c r="D120" s="13"/>
      <c r="E120" s="70"/>
      <c r="F120" s="14"/>
      <c r="G120" s="11"/>
      <c r="H120" s="67"/>
      <c r="I120" s="12"/>
      <c r="J120" s="61"/>
      <c r="K120" s="71"/>
      <c r="L120" s="62"/>
      <c r="M120" s="58"/>
      <c r="N120" s="58"/>
      <c r="O120" s="58"/>
    </row>
    <row r="121" spans="1:15" x14ac:dyDescent="0.25">
      <c r="A121" s="16"/>
      <c r="B121" s="49"/>
      <c r="C121" s="17"/>
      <c r="D121" s="13"/>
      <c r="E121" s="70"/>
      <c r="F121" s="14"/>
      <c r="G121" s="11"/>
      <c r="H121" s="67"/>
      <c r="I121" s="12"/>
      <c r="J121" s="61"/>
      <c r="K121" s="71"/>
      <c r="L121" s="62"/>
      <c r="M121" s="58"/>
      <c r="N121" s="58"/>
      <c r="O121" s="58"/>
    </row>
    <row r="122" spans="1:15" x14ac:dyDescent="0.25">
      <c r="A122" s="16"/>
      <c r="B122" s="49"/>
      <c r="C122" s="17"/>
      <c r="D122" s="13"/>
      <c r="E122" s="70"/>
      <c r="F122" s="14"/>
      <c r="G122" s="11"/>
      <c r="H122" s="67"/>
      <c r="I122" s="12"/>
      <c r="J122" s="61"/>
      <c r="K122" s="71"/>
      <c r="L122" s="62"/>
      <c r="M122" s="58"/>
      <c r="N122" s="58"/>
      <c r="O122" s="58"/>
    </row>
    <row r="123" spans="1:15" x14ac:dyDescent="0.25">
      <c r="A123" s="16"/>
      <c r="B123" s="49"/>
      <c r="C123" s="17"/>
      <c r="D123" s="13"/>
      <c r="E123" s="70"/>
      <c r="F123" s="14"/>
      <c r="G123" s="11"/>
      <c r="H123" s="67"/>
      <c r="I123" s="12"/>
      <c r="J123" s="61"/>
      <c r="K123" s="71"/>
      <c r="L123" s="62"/>
      <c r="M123" s="58"/>
      <c r="N123" s="58"/>
      <c r="O123" s="58"/>
    </row>
    <row r="124" spans="1:15" x14ac:dyDescent="0.25">
      <c r="A124" s="16"/>
      <c r="B124" s="49"/>
      <c r="C124" s="17"/>
      <c r="D124" s="13"/>
      <c r="E124" s="70"/>
      <c r="F124" s="14"/>
      <c r="G124" s="11"/>
      <c r="H124" s="67"/>
      <c r="I124" s="12"/>
      <c r="J124" s="61"/>
      <c r="K124" s="71"/>
      <c r="L124" s="62"/>
      <c r="M124" s="58"/>
      <c r="N124" s="58"/>
      <c r="O124" s="58"/>
    </row>
    <row r="125" spans="1:15" x14ac:dyDescent="0.25">
      <c r="A125" s="16"/>
      <c r="B125" s="49"/>
      <c r="C125" s="17"/>
      <c r="D125" s="13"/>
      <c r="E125" s="70"/>
      <c r="F125" s="14"/>
      <c r="G125" s="11"/>
      <c r="H125" s="67"/>
      <c r="I125" s="12"/>
      <c r="J125" s="61"/>
      <c r="K125" s="71"/>
      <c r="L125" s="62"/>
      <c r="M125" s="58"/>
      <c r="N125" s="58"/>
      <c r="O125" s="58"/>
    </row>
    <row r="126" spans="1:15" x14ac:dyDescent="0.25">
      <c r="A126" s="16"/>
      <c r="B126" s="49"/>
      <c r="C126" s="17"/>
      <c r="D126" s="13"/>
      <c r="E126" s="70"/>
      <c r="F126" s="14"/>
      <c r="G126" s="11"/>
      <c r="H126" s="67"/>
      <c r="I126" s="12"/>
      <c r="J126" s="61"/>
      <c r="K126" s="71"/>
      <c r="L126" s="62"/>
      <c r="M126" s="58"/>
      <c r="N126" s="58"/>
      <c r="O126" s="58"/>
    </row>
    <row r="127" spans="1:15" x14ac:dyDescent="0.25">
      <c r="A127" s="16"/>
      <c r="B127" s="49"/>
      <c r="C127" s="17"/>
      <c r="D127" s="13"/>
      <c r="E127" s="70"/>
      <c r="F127" s="14"/>
      <c r="G127" s="11"/>
      <c r="H127" s="67"/>
      <c r="I127" s="12"/>
      <c r="J127" s="61"/>
      <c r="K127" s="71"/>
      <c r="L127" s="62"/>
      <c r="M127" s="58"/>
      <c r="N127" s="58"/>
      <c r="O127" s="58"/>
    </row>
    <row r="128" spans="1:15" x14ac:dyDescent="0.25">
      <c r="A128" s="16"/>
      <c r="B128" s="49"/>
      <c r="C128" s="17"/>
      <c r="D128" s="13"/>
      <c r="E128" s="70"/>
      <c r="F128" s="14"/>
      <c r="G128" s="11"/>
      <c r="H128" s="67"/>
      <c r="I128" s="12"/>
      <c r="J128" s="61"/>
      <c r="K128" s="71"/>
      <c r="L128" s="62"/>
      <c r="M128" s="58"/>
      <c r="N128" s="58"/>
      <c r="O128" s="58"/>
    </row>
    <row r="129" spans="1:15" x14ac:dyDescent="0.25">
      <c r="A129" s="16"/>
      <c r="B129" s="49"/>
      <c r="C129" s="17"/>
      <c r="D129" s="13"/>
      <c r="E129" s="70"/>
      <c r="F129" s="14"/>
      <c r="G129" s="11"/>
      <c r="H129" s="67"/>
      <c r="I129" s="12"/>
      <c r="J129" s="61"/>
      <c r="K129" s="71"/>
      <c r="L129" s="62"/>
      <c r="M129" s="58"/>
      <c r="N129" s="58"/>
      <c r="O129" s="58"/>
    </row>
    <row r="130" spans="1:15" x14ac:dyDescent="0.25">
      <c r="A130" s="16"/>
      <c r="B130" s="49"/>
      <c r="C130" s="17"/>
      <c r="D130" s="13"/>
      <c r="E130" s="70"/>
      <c r="F130" s="14"/>
      <c r="G130" s="11"/>
      <c r="H130" s="67"/>
      <c r="I130" s="12"/>
      <c r="J130" s="61"/>
      <c r="K130" s="71"/>
      <c r="L130" s="62"/>
      <c r="M130" s="58"/>
      <c r="N130" s="58"/>
      <c r="O130" s="58"/>
    </row>
    <row r="131" spans="1:15" x14ac:dyDescent="0.25">
      <c r="A131" s="16"/>
      <c r="B131" s="49"/>
      <c r="C131" s="17"/>
      <c r="D131" s="13"/>
      <c r="E131" s="70"/>
      <c r="F131" s="14"/>
      <c r="G131" s="11"/>
      <c r="H131" s="67"/>
      <c r="I131" s="12"/>
      <c r="J131" s="61"/>
      <c r="K131" s="71"/>
      <c r="L131" s="62"/>
      <c r="M131" s="58"/>
      <c r="N131" s="58"/>
      <c r="O131" s="58"/>
    </row>
    <row r="132" spans="1:15" x14ac:dyDescent="0.25">
      <c r="A132" s="16"/>
      <c r="B132" s="49"/>
      <c r="C132" s="17"/>
      <c r="D132" s="13"/>
      <c r="E132" s="70"/>
      <c r="F132" s="14"/>
      <c r="G132" s="11"/>
      <c r="H132" s="67"/>
      <c r="I132" s="12"/>
      <c r="J132" s="61"/>
      <c r="K132" s="71"/>
      <c r="L132" s="62"/>
      <c r="M132" s="58"/>
      <c r="N132" s="58"/>
      <c r="O132" s="58"/>
    </row>
    <row r="133" spans="1:15" x14ac:dyDescent="0.25">
      <c r="A133" s="16"/>
      <c r="B133" s="49"/>
      <c r="C133" s="17"/>
      <c r="D133" s="13"/>
      <c r="E133" s="70"/>
      <c r="F133" s="14"/>
      <c r="G133" s="11"/>
      <c r="H133" s="67"/>
      <c r="I133" s="12"/>
      <c r="J133" s="61"/>
      <c r="K133" s="71"/>
      <c r="L133" s="62"/>
      <c r="M133" s="58"/>
      <c r="N133" s="58"/>
      <c r="O133" s="58"/>
    </row>
    <row r="134" spans="1:15" x14ac:dyDescent="0.25">
      <c r="A134" s="16"/>
      <c r="B134" s="49"/>
      <c r="C134" s="17"/>
      <c r="D134" s="13"/>
      <c r="E134" s="70"/>
      <c r="F134" s="14"/>
      <c r="G134" s="11"/>
      <c r="H134" s="67"/>
      <c r="I134" s="12"/>
      <c r="J134" s="61"/>
      <c r="K134" s="71"/>
      <c r="L134" s="62"/>
      <c r="M134" s="58"/>
      <c r="N134" s="58"/>
      <c r="O134" s="58"/>
    </row>
    <row r="135" spans="1:15" x14ac:dyDescent="0.25">
      <c r="A135" s="16"/>
      <c r="B135" s="49"/>
      <c r="C135" s="17"/>
      <c r="D135" s="13"/>
      <c r="E135" s="70"/>
      <c r="F135" s="14"/>
      <c r="G135" s="11"/>
      <c r="H135" s="67"/>
      <c r="I135" s="12"/>
      <c r="J135" s="61"/>
      <c r="K135" s="71"/>
      <c r="L135" s="62"/>
      <c r="M135" s="58"/>
      <c r="N135" s="58"/>
      <c r="O135" s="58"/>
    </row>
    <row r="136" spans="1:15" x14ac:dyDescent="0.25">
      <c r="A136" s="16"/>
      <c r="B136" s="49"/>
      <c r="C136" s="17"/>
      <c r="D136" s="13"/>
      <c r="E136" s="70"/>
      <c r="F136" s="14"/>
      <c r="G136" s="11"/>
      <c r="H136" s="67"/>
      <c r="I136" s="12"/>
      <c r="J136" s="61"/>
      <c r="K136" s="71"/>
      <c r="L136" s="62"/>
      <c r="M136" s="58"/>
      <c r="N136" s="58"/>
      <c r="O136" s="58"/>
    </row>
    <row r="137" spans="1:15" x14ac:dyDescent="0.25">
      <c r="A137" s="16"/>
      <c r="B137" s="49"/>
      <c r="C137" s="17"/>
      <c r="D137" s="13"/>
      <c r="E137" s="70"/>
      <c r="F137" s="14"/>
      <c r="G137" s="11"/>
      <c r="H137" s="67"/>
      <c r="I137" s="12"/>
      <c r="J137" s="61"/>
      <c r="K137" s="71"/>
      <c r="L137" s="62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11"/>
      <c r="H138" s="67"/>
      <c r="I138" s="12"/>
      <c r="J138" s="61"/>
      <c r="K138" s="71"/>
      <c r="L138" s="62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61"/>
      <c r="K139" s="71"/>
      <c r="L139" s="62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61"/>
      <c r="K140" s="71"/>
      <c r="L140" s="62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61"/>
      <c r="K141" s="71"/>
      <c r="L141" s="62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61"/>
      <c r="K142" s="71"/>
      <c r="L142" s="62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61"/>
      <c r="K143" s="71"/>
      <c r="L143" s="62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61"/>
      <c r="K144" s="71"/>
      <c r="L144" s="62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61"/>
      <c r="K145" s="71"/>
      <c r="L145" s="62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61"/>
      <c r="K146" s="71"/>
      <c r="L146" s="62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61"/>
      <c r="K147" s="71"/>
      <c r="L147" s="62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61"/>
      <c r="K148" s="71"/>
      <c r="L148" s="62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61"/>
      <c r="K149" s="71"/>
      <c r="L149" s="62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61"/>
      <c r="K150" s="71"/>
      <c r="L150" s="62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61"/>
      <c r="K151" s="71"/>
      <c r="L151" s="62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61"/>
      <c r="K152" s="71"/>
      <c r="L152" s="62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61"/>
      <c r="K153" s="71"/>
      <c r="L153" s="62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61"/>
      <c r="K154" s="71"/>
      <c r="L154" s="62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61"/>
      <c r="K155" s="71"/>
      <c r="L155" s="62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61"/>
      <c r="K156" s="71"/>
      <c r="L156" s="62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61"/>
      <c r="K157" s="71"/>
      <c r="L157" s="62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61"/>
      <c r="K158" s="71"/>
      <c r="L158" s="62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61"/>
      <c r="K159" s="71"/>
      <c r="L159" s="62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61"/>
      <c r="K160" s="71"/>
      <c r="L160" s="62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61"/>
      <c r="K161" s="71"/>
      <c r="L161" s="62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61"/>
      <c r="K162" s="71"/>
      <c r="L162" s="62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61"/>
      <c r="K163" s="71"/>
      <c r="L163" s="62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61"/>
      <c r="K164" s="71"/>
      <c r="L164" s="62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61"/>
      <c r="K165" s="71"/>
      <c r="L165" s="62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61"/>
      <c r="K166" s="71"/>
      <c r="L166" s="62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61"/>
      <c r="K167" s="71"/>
      <c r="L167" s="62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61"/>
      <c r="K168" s="71"/>
      <c r="L168" s="62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61"/>
      <c r="K169" s="71"/>
      <c r="L169" s="62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61"/>
      <c r="K170" s="71"/>
      <c r="L170" s="62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61"/>
      <c r="K171" s="71"/>
      <c r="L171" s="62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61"/>
      <c r="K172" s="71"/>
      <c r="L172" s="62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61"/>
      <c r="K173" s="71"/>
      <c r="L173" s="62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61"/>
      <c r="K174" s="71"/>
      <c r="L174" s="62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61"/>
      <c r="K175" s="71"/>
      <c r="L175" s="62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61"/>
      <c r="K176" s="71"/>
      <c r="L176" s="62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61"/>
      <c r="K177" s="71"/>
      <c r="L177" s="62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61"/>
      <c r="K178" s="71"/>
      <c r="L178" s="62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61"/>
      <c r="K179" s="71"/>
      <c r="L179" s="62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61"/>
      <c r="K180" s="71"/>
      <c r="L180" s="62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61"/>
      <c r="K181" s="71"/>
      <c r="L181" s="62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61"/>
      <c r="K182" s="71"/>
      <c r="L182" s="62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61"/>
      <c r="K183" s="71"/>
      <c r="L183" s="62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61"/>
      <c r="K184" s="71"/>
      <c r="L184" s="62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61"/>
      <c r="K185" s="71"/>
      <c r="L185" s="62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61"/>
      <c r="K186" s="71"/>
      <c r="L186" s="62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61"/>
      <c r="K187" s="71"/>
      <c r="L187" s="62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61"/>
      <c r="K188" s="71"/>
      <c r="L188" s="62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61"/>
      <c r="K189" s="71"/>
      <c r="L189" s="62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61"/>
      <c r="K190" s="71"/>
      <c r="L190" s="62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61"/>
      <c r="K191" s="71"/>
      <c r="L191" s="62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61"/>
      <c r="K192" s="71"/>
      <c r="L192" s="62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61"/>
      <c r="K193" s="71"/>
      <c r="L193" s="62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61"/>
      <c r="K194" s="71"/>
      <c r="L194" s="62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61"/>
      <c r="K195" s="71"/>
      <c r="L195" s="62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61"/>
      <c r="K196" s="71"/>
      <c r="L196" s="62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61"/>
      <c r="K197" s="71"/>
      <c r="L197" s="62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61"/>
      <c r="K198" s="71"/>
      <c r="L198" s="62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61"/>
      <c r="K199" s="71"/>
      <c r="L199" s="62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61"/>
      <c r="K200" s="71"/>
      <c r="L200" s="62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61"/>
      <c r="K201" s="71"/>
      <c r="L201" s="62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61"/>
      <c r="K202" s="71"/>
      <c r="L202" s="62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61"/>
      <c r="K203" s="71"/>
      <c r="L203" s="62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61"/>
      <c r="K204" s="71"/>
      <c r="L204" s="62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61"/>
      <c r="K205" s="71"/>
      <c r="L205" s="62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61"/>
      <c r="K206" s="71"/>
      <c r="L206" s="62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61"/>
      <c r="K207" s="71"/>
      <c r="L207" s="62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61"/>
      <c r="K208" s="71"/>
      <c r="L208" s="62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61"/>
      <c r="K209" s="71"/>
      <c r="L209" s="62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61"/>
      <c r="K210" s="71"/>
      <c r="L210" s="62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61"/>
      <c r="K211" s="71"/>
      <c r="L211" s="62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61"/>
      <c r="K212" s="71"/>
      <c r="L212" s="62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61"/>
      <c r="K213" s="71"/>
      <c r="L213" s="62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61"/>
      <c r="K214" s="71"/>
      <c r="L214" s="62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61"/>
      <c r="K215" s="71"/>
      <c r="L215" s="62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61"/>
      <c r="K216" s="71"/>
      <c r="L216" s="62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61"/>
      <c r="K217" s="71"/>
      <c r="L217" s="62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61"/>
      <c r="K218" s="71"/>
      <c r="L218" s="62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61"/>
      <c r="K219" s="71"/>
      <c r="L219" s="62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61"/>
      <c r="K220" s="71"/>
      <c r="L220" s="62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61"/>
      <c r="K221" s="71"/>
      <c r="L221" s="62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61"/>
      <c r="K222" s="71"/>
      <c r="L222" s="62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61"/>
      <c r="K223" s="71"/>
      <c r="L223" s="62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61"/>
      <c r="K224" s="71"/>
      <c r="L224" s="62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61"/>
      <c r="K225" s="71"/>
      <c r="L225" s="62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61"/>
      <c r="K226" s="71"/>
      <c r="L226" s="62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61"/>
      <c r="K227" s="71"/>
      <c r="L227" s="62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61"/>
      <c r="K228" s="71"/>
      <c r="L228" s="62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61"/>
      <c r="K229" s="71"/>
      <c r="L229" s="62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61"/>
      <c r="K230" s="71"/>
      <c r="L230" s="62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61"/>
      <c r="K231" s="71"/>
      <c r="L231" s="62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61"/>
      <c r="K232" s="71"/>
      <c r="L232" s="62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61"/>
      <c r="K233" s="71"/>
      <c r="L233" s="62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61"/>
      <c r="K234" s="71"/>
      <c r="L234" s="62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61"/>
      <c r="K235" s="71"/>
      <c r="L235" s="62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61"/>
      <c r="K236" s="71"/>
      <c r="L236" s="62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61"/>
      <c r="K237" s="71"/>
      <c r="L237" s="62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61"/>
      <c r="K238" s="71"/>
      <c r="L238" s="62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61"/>
      <c r="K239" s="71"/>
      <c r="L239" s="62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61"/>
      <c r="K240" s="71"/>
      <c r="L240" s="62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61"/>
      <c r="K241" s="71"/>
      <c r="L241" s="62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61"/>
      <c r="K242" s="71"/>
      <c r="L242" s="62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61"/>
      <c r="K243" s="71"/>
      <c r="L243" s="62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61"/>
      <c r="K244" s="71"/>
      <c r="L244" s="62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61"/>
      <c r="K245" s="71"/>
      <c r="L245" s="62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61"/>
      <c r="K246" s="71"/>
      <c r="L246" s="62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61"/>
      <c r="K247" s="71"/>
      <c r="L247" s="62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61"/>
      <c r="K248" s="71"/>
      <c r="L248" s="62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61"/>
      <c r="K249" s="71"/>
      <c r="L249" s="62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61"/>
      <c r="K250" s="71"/>
      <c r="L250" s="62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61"/>
      <c r="K251" s="71"/>
      <c r="L251" s="62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61"/>
      <c r="K252" s="71"/>
      <c r="L252" s="62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61"/>
      <c r="K253" s="71"/>
      <c r="L253" s="62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61"/>
      <c r="K254" s="71"/>
      <c r="L254" s="62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61"/>
      <c r="K255" s="71"/>
      <c r="L255" s="62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61"/>
      <c r="K256" s="71"/>
      <c r="L256" s="62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61"/>
      <c r="K257" s="71"/>
      <c r="L257" s="62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61"/>
      <c r="K258" s="71"/>
      <c r="L258" s="62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61"/>
      <c r="K259" s="71"/>
      <c r="L259" s="62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61"/>
      <c r="K260" s="71"/>
      <c r="L260" s="62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61"/>
      <c r="K261" s="71"/>
      <c r="L261" s="62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61"/>
      <c r="K262" s="71"/>
      <c r="L262" s="62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61"/>
      <c r="K263" s="71"/>
      <c r="L263" s="62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61"/>
      <c r="K264" s="71"/>
      <c r="L264" s="62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61"/>
      <c r="K265" s="71"/>
      <c r="L265" s="62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61"/>
      <c r="K266" s="71"/>
      <c r="L266" s="62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61"/>
      <c r="K267" s="71"/>
      <c r="L267" s="62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61"/>
      <c r="K268" s="71"/>
      <c r="L268" s="62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61"/>
      <c r="K269" s="71"/>
      <c r="L269" s="62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61"/>
      <c r="K270" s="71"/>
      <c r="L270" s="62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61"/>
      <c r="K271" s="71"/>
      <c r="L271" s="62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61"/>
      <c r="K272" s="71"/>
      <c r="L272" s="62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61"/>
      <c r="K273" s="71"/>
      <c r="L273" s="62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61"/>
      <c r="K274" s="71"/>
      <c r="L274" s="62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61"/>
      <c r="K275" s="71"/>
      <c r="L275" s="62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61"/>
      <c r="K276" s="71"/>
      <c r="L276" s="62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61"/>
      <c r="K277" s="71"/>
      <c r="L277" s="62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61"/>
      <c r="K278" s="71"/>
      <c r="L278" s="62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61"/>
      <c r="K279" s="71"/>
      <c r="L279" s="62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61"/>
      <c r="K280" s="71"/>
      <c r="L280" s="62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61"/>
      <c r="K281" s="71"/>
      <c r="L281" s="62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61"/>
      <c r="K282" s="71"/>
      <c r="L282" s="62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61"/>
      <c r="K283" s="71"/>
      <c r="L283" s="62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61"/>
      <c r="K284" s="71"/>
      <c r="L284" s="62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61"/>
      <c r="K285" s="71"/>
      <c r="L285" s="62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61"/>
      <c r="K286" s="71"/>
      <c r="L286" s="62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61"/>
      <c r="K287" s="71"/>
      <c r="L287" s="62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61"/>
      <c r="K288" s="71"/>
      <c r="L288" s="62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61"/>
      <c r="K289" s="71"/>
      <c r="L289" s="62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61"/>
      <c r="K290" s="71"/>
      <c r="L290" s="62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61"/>
      <c r="K291" s="71"/>
      <c r="L291" s="62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61"/>
      <c r="K292" s="71"/>
      <c r="L292" s="62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61"/>
      <c r="K293" s="71"/>
      <c r="L293" s="62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61"/>
      <c r="K294" s="71"/>
      <c r="L294" s="62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61"/>
      <c r="K295" s="71"/>
      <c r="L295" s="62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61"/>
      <c r="K296" s="71"/>
      <c r="L296" s="62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61"/>
      <c r="K297" s="71"/>
      <c r="L297" s="62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61"/>
      <c r="K298" s="71"/>
      <c r="L298" s="62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61"/>
      <c r="K299" s="71"/>
      <c r="L299" s="62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61"/>
      <c r="K300" s="71"/>
      <c r="L300" s="62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61"/>
      <c r="K301" s="71"/>
      <c r="L301" s="62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61"/>
      <c r="K302" s="71"/>
      <c r="L302" s="62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61"/>
      <c r="K303" s="71"/>
      <c r="L303" s="62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61"/>
      <c r="K304" s="71"/>
      <c r="L304" s="62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61"/>
      <c r="K305" s="71"/>
      <c r="L305" s="62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61"/>
      <c r="K306" s="71"/>
      <c r="L306" s="62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61"/>
      <c r="K307" s="71"/>
      <c r="L307" s="62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61"/>
      <c r="K308" s="71"/>
      <c r="L308" s="62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61"/>
      <c r="K309" s="71"/>
      <c r="L309" s="62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61"/>
      <c r="K310" s="71"/>
      <c r="L310" s="62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61"/>
      <c r="K311" s="71"/>
      <c r="L311" s="62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61"/>
      <c r="K312" s="71"/>
      <c r="L312" s="62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61"/>
      <c r="K313" s="71"/>
      <c r="L313" s="62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61"/>
      <c r="K314" s="71"/>
      <c r="L314" s="62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61"/>
      <c r="K315" s="71"/>
      <c r="L315" s="62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61"/>
      <c r="K316" s="71"/>
      <c r="L316" s="62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61"/>
      <c r="K317" s="71"/>
      <c r="L317" s="62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61"/>
      <c r="K318" s="71"/>
      <c r="L318" s="62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61"/>
      <c r="K319" s="71"/>
      <c r="L319" s="62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61"/>
      <c r="K320" s="71"/>
      <c r="L320" s="62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61"/>
      <c r="K321" s="71"/>
      <c r="L321" s="62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61"/>
      <c r="K322" s="71"/>
      <c r="L322" s="62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61"/>
      <c r="K323" s="71"/>
      <c r="L323" s="62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61"/>
      <c r="K324" s="71"/>
      <c r="L324" s="62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61"/>
      <c r="K325" s="71"/>
      <c r="L325" s="62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61"/>
      <c r="K326" s="71"/>
      <c r="L326" s="62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61"/>
      <c r="K327" s="71"/>
      <c r="L327" s="62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61"/>
      <c r="K328" s="71"/>
      <c r="L328" s="62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61"/>
      <c r="K329" s="71"/>
      <c r="L329" s="62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61"/>
      <c r="K330" s="71"/>
      <c r="L330" s="62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61"/>
      <c r="K331" s="71"/>
      <c r="L331" s="62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61"/>
      <c r="K332" s="71"/>
      <c r="L332" s="62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61"/>
      <c r="K333" s="71"/>
      <c r="L333" s="62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61"/>
      <c r="K334" s="71"/>
      <c r="L334" s="62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61"/>
      <c r="K335" s="71"/>
      <c r="L335" s="62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61"/>
      <c r="K336" s="71"/>
      <c r="L336" s="62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61"/>
      <c r="K337" s="71"/>
      <c r="L337" s="62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61"/>
      <c r="K338" s="71"/>
      <c r="L338" s="62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61"/>
      <c r="K339" s="71"/>
      <c r="L339" s="62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61"/>
      <c r="K340" s="71"/>
      <c r="L340" s="62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61"/>
      <c r="K341" s="71"/>
      <c r="L341" s="62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61"/>
      <c r="K342" s="71"/>
      <c r="L342" s="62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61"/>
      <c r="K343" s="71"/>
      <c r="L343" s="62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61"/>
      <c r="K344" s="71"/>
      <c r="L344" s="62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61"/>
      <c r="K345" s="71"/>
      <c r="L345" s="62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61"/>
      <c r="K346" s="71"/>
      <c r="L346" s="62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61"/>
      <c r="K347" s="71"/>
      <c r="L347" s="62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61"/>
      <c r="K348" s="71"/>
      <c r="L348" s="62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61"/>
      <c r="K349" s="71"/>
      <c r="L349" s="62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61"/>
      <c r="K350" s="71"/>
      <c r="L350" s="62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61"/>
      <c r="K351" s="71"/>
      <c r="L351" s="62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61"/>
      <c r="K352" s="71"/>
      <c r="L352" s="62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61"/>
      <c r="K353" s="71"/>
      <c r="L353" s="62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61"/>
      <c r="K354" s="71"/>
      <c r="L354" s="62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61"/>
      <c r="K355" s="71"/>
      <c r="L355" s="62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61"/>
      <c r="K356" s="71"/>
      <c r="L356" s="62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61"/>
      <c r="K357" s="71"/>
      <c r="L357" s="62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61"/>
      <c r="K358" s="71"/>
      <c r="L358" s="62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61"/>
      <c r="K359" s="71"/>
      <c r="L359" s="62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61"/>
      <c r="K360" s="71"/>
      <c r="L360" s="62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61"/>
      <c r="K361" s="71"/>
      <c r="L361" s="62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61"/>
      <c r="K362" s="71"/>
      <c r="L362" s="62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61"/>
      <c r="K363" s="71"/>
      <c r="L363" s="62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61"/>
      <c r="K364" s="71"/>
      <c r="L364" s="62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61"/>
      <c r="K365" s="71"/>
      <c r="L365" s="62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61"/>
      <c r="K366" s="71"/>
      <c r="L366" s="62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61"/>
      <c r="K367" s="71"/>
      <c r="L367" s="62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61"/>
      <c r="K368" s="71"/>
      <c r="L368" s="62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61"/>
      <c r="K369" s="71"/>
      <c r="L369" s="62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61"/>
      <c r="K370" s="71"/>
      <c r="L370" s="62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61"/>
      <c r="K371" s="71"/>
      <c r="L371" s="62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61"/>
      <c r="K372" s="71"/>
      <c r="L372" s="62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61"/>
      <c r="K373" s="71"/>
      <c r="L373" s="62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61"/>
      <c r="K374" s="71"/>
      <c r="L374" s="62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61"/>
      <c r="K375" s="71"/>
      <c r="L375" s="62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61"/>
      <c r="K376" s="71"/>
      <c r="L376" s="62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61"/>
      <c r="K377" s="71"/>
      <c r="L377" s="62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61"/>
      <c r="K378" s="71"/>
      <c r="L378" s="62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61"/>
      <c r="K379" s="71"/>
      <c r="L379" s="62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61"/>
      <c r="K380" s="71"/>
      <c r="L380" s="62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61"/>
      <c r="K381" s="71"/>
      <c r="L381" s="62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61"/>
      <c r="K382" s="71"/>
      <c r="L382" s="62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61"/>
      <c r="K383" s="71"/>
      <c r="L383" s="62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61"/>
      <c r="K384" s="71"/>
      <c r="L384" s="62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61"/>
      <c r="K385" s="71"/>
      <c r="L385" s="62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61"/>
      <c r="K386" s="71"/>
      <c r="L386" s="62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61"/>
      <c r="K387" s="71"/>
      <c r="L387" s="62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61"/>
      <c r="K388" s="71"/>
      <c r="L388" s="62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61"/>
      <c r="K389" s="71"/>
      <c r="L389" s="62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61"/>
      <c r="K390" s="71"/>
      <c r="L390" s="62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61"/>
      <c r="K391" s="71"/>
      <c r="L391" s="62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61"/>
      <c r="K392" s="71"/>
      <c r="L392" s="62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61"/>
      <c r="K393" s="71"/>
      <c r="L393" s="62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61"/>
      <c r="K394" s="71"/>
      <c r="L394" s="62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61"/>
      <c r="K395" s="71"/>
      <c r="L395" s="62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61"/>
      <c r="K396" s="71"/>
      <c r="L396" s="62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61"/>
      <c r="K397" s="71"/>
      <c r="L397" s="62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61"/>
      <c r="K398" s="71"/>
      <c r="L398" s="62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61"/>
      <c r="K399" s="71"/>
      <c r="L399" s="62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61"/>
      <c r="K400" s="71"/>
      <c r="L400" s="62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61"/>
      <c r="K401" s="71"/>
      <c r="L401" s="62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61"/>
      <c r="K402" s="71"/>
      <c r="L402" s="62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61"/>
      <c r="K403" s="71"/>
      <c r="L403" s="62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61"/>
      <c r="K404" s="71"/>
      <c r="L404" s="62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61"/>
      <c r="K405" s="71"/>
      <c r="L405" s="62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61"/>
      <c r="K406" s="71"/>
      <c r="L406" s="62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61"/>
      <c r="K407" s="71"/>
      <c r="L407" s="62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61"/>
      <c r="K408" s="71"/>
      <c r="L408" s="62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61"/>
      <c r="K409" s="71"/>
      <c r="L409" s="62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61"/>
      <c r="K410" s="71"/>
      <c r="L410" s="62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61"/>
      <c r="K411" s="71"/>
      <c r="L411" s="62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61"/>
      <c r="K412" s="71"/>
      <c r="L412" s="62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61"/>
      <c r="K413" s="71"/>
      <c r="L413" s="62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61"/>
      <c r="K414" s="71"/>
      <c r="L414" s="62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61"/>
      <c r="K415" s="71"/>
      <c r="L415" s="62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61"/>
      <c r="K416" s="71"/>
      <c r="L416" s="62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61"/>
      <c r="K417" s="71"/>
      <c r="L417" s="62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61"/>
      <c r="K418" s="71"/>
      <c r="L418" s="62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61"/>
      <c r="K419" s="71"/>
      <c r="L419" s="62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61"/>
      <c r="K420" s="71"/>
      <c r="L420" s="62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61"/>
      <c r="K421" s="71"/>
      <c r="L421" s="62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61"/>
      <c r="K422" s="71"/>
      <c r="L422" s="62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61"/>
      <c r="K423" s="71"/>
      <c r="L423" s="62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61"/>
      <c r="K424" s="71"/>
      <c r="L424" s="62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61"/>
      <c r="K425" s="71"/>
      <c r="L425" s="62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61"/>
      <c r="K426" s="71"/>
      <c r="L426" s="62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61"/>
      <c r="K427" s="71"/>
      <c r="L427" s="62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61"/>
      <c r="K428" s="71"/>
      <c r="L428" s="62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61"/>
      <c r="K429" s="71"/>
      <c r="L429" s="62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61"/>
      <c r="K430" s="71"/>
      <c r="L430" s="62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61"/>
      <c r="K431" s="71"/>
      <c r="L431" s="62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61"/>
      <c r="K432" s="71"/>
      <c r="L432" s="62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61"/>
      <c r="K433" s="71"/>
      <c r="L433" s="62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61"/>
      <c r="K434" s="71"/>
      <c r="L434" s="62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61"/>
      <c r="K435" s="71"/>
      <c r="L435" s="62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61"/>
      <c r="K436" s="71"/>
      <c r="L436" s="62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61"/>
      <c r="K437" s="71"/>
      <c r="L437" s="62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61"/>
      <c r="K438" s="71"/>
      <c r="L438" s="62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61"/>
      <c r="K439" s="71"/>
      <c r="L439" s="62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61"/>
      <c r="K440" s="71"/>
      <c r="L440" s="62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61"/>
      <c r="K441" s="71"/>
      <c r="L441" s="62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61"/>
      <c r="K442" s="71"/>
      <c r="L442" s="62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61"/>
      <c r="K443" s="71"/>
      <c r="L443" s="62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61"/>
      <c r="K444" s="71"/>
      <c r="L444" s="62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61"/>
      <c r="K445" s="71"/>
      <c r="L445" s="62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61"/>
      <c r="K446" s="71"/>
      <c r="L446" s="62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61"/>
      <c r="K447" s="71"/>
      <c r="L447" s="62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61"/>
      <c r="K448" s="71"/>
      <c r="L448" s="62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61"/>
      <c r="K449" s="71"/>
      <c r="L449" s="62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61"/>
      <c r="K450" s="71"/>
      <c r="L450" s="62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61"/>
      <c r="K451" s="71"/>
      <c r="L451" s="62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61"/>
      <c r="K452" s="71"/>
      <c r="L452" s="62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61"/>
      <c r="K453" s="71"/>
      <c r="L453" s="62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61"/>
      <c r="K454" s="71"/>
      <c r="L454" s="62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61"/>
      <c r="K455" s="71"/>
      <c r="L455" s="62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61"/>
      <c r="K456" s="71"/>
      <c r="L456" s="62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61"/>
      <c r="K457" s="71"/>
      <c r="L457" s="62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61"/>
      <c r="K458" s="71"/>
      <c r="L458" s="62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61"/>
      <c r="K459" s="71"/>
      <c r="L459" s="62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61"/>
      <c r="K460" s="71"/>
      <c r="L460" s="62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61"/>
      <c r="K461" s="71"/>
      <c r="L461" s="62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61"/>
      <c r="K462" s="71"/>
      <c r="L462" s="62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61"/>
      <c r="K463" s="71"/>
      <c r="L463" s="62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61"/>
      <c r="K464" s="71"/>
      <c r="L464" s="62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61"/>
      <c r="K465" s="71"/>
      <c r="L465" s="62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61"/>
      <c r="K466" s="71"/>
      <c r="L466" s="62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61"/>
      <c r="K467" s="71"/>
      <c r="L467" s="62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61"/>
      <c r="K468" s="71"/>
      <c r="L468" s="62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61"/>
      <c r="K469" s="71"/>
      <c r="L469" s="62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61"/>
      <c r="K470" s="71"/>
      <c r="L470" s="62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61"/>
      <c r="K471" s="71"/>
      <c r="L471" s="62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61"/>
      <c r="K472" s="71"/>
      <c r="L472" s="62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61"/>
      <c r="K473" s="71"/>
      <c r="L473" s="62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61"/>
      <c r="K474" s="71"/>
      <c r="L474" s="62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61"/>
      <c r="K475" s="71"/>
      <c r="L475" s="62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61"/>
      <c r="K476" s="71"/>
      <c r="L476" s="62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61"/>
      <c r="K477" s="71"/>
      <c r="L477" s="62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61"/>
      <c r="K478" s="71"/>
      <c r="L478" s="62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61"/>
      <c r="K479" s="71"/>
      <c r="L479" s="62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61"/>
      <c r="K480" s="71"/>
      <c r="L480" s="62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61"/>
      <c r="K481" s="71"/>
      <c r="L481" s="62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61"/>
      <c r="K482" s="71"/>
      <c r="L482" s="62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61"/>
      <c r="K483" s="71"/>
      <c r="L483" s="62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61"/>
      <c r="K484" s="71"/>
      <c r="L484" s="62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61"/>
      <c r="K485" s="71"/>
      <c r="L485" s="62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61"/>
      <c r="K486" s="71"/>
      <c r="L486" s="62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61"/>
      <c r="K487" s="71"/>
      <c r="L487" s="62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61"/>
      <c r="K488" s="71"/>
      <c r="L488" s="62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61"/>
      <c r="K489" s="71"/>
      <c r="L489" s="62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61"/>
      <c r="K490" s="71"/>
      <c r="L490" s="62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61"/>
      <c r="K491" s="71"/>
      <c r="L491" s="62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61"/>
      <c r="K492" s="71"/>
      <c r="L492" s="62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61"/>
      <c r="K493" s="71"/>
      <c r="L493" s="62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61"/>
      <c r="K494" s="71"/>
      <c r="L494" s="62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61"/>
      <c r="K495" s="71"/>
      <c r="L495" s="62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61"/>
      <c r="K496" s="71"/>
      <c r="L496" s="62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61"/>
      <c r="K497" s="71"/>
      <c r="L497" s="62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61"/>
      <c r="K498" s="71"/>
      <c r="L498" s="62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61"/>
      <c r="K499" s="71"/>
      <c r="L499" s="62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61"/>
      <c r="K500" s="71"/>
      <c r="L500" s="62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61"/>
      <c r="K501" s="71"/>
      <c r="L501" s="62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61"/>
      <c r="K502" s="71"/>
      <c r="L502" s="62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61"/>
      <c r="K503" s="71"/>
      <c r="L503" s="62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61"/>
      <c r="K504" s="71"/>
      <c r="L504" s="62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61"/>
      <c r="K505" s="71"/>
      <c r="L505" s="62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61"/>
      <c r="K506" s="71"/>
      <c r="L506" s="62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61"/>
      <c r="K507" s="71"/>
      <c r="L507" s="62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61"/>
      <c r="K508" s="71"/>
      <c r="L508" s="62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61"/>
      <c r="K509" s="71"/>
      <c r="L509" s="62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61"/>
      <c r="K510" s="71"/>
      <c r="L510" s="62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61"/>
      <c r="K511" s="71"/>
      <c r="L511" s="62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61"/>
      <c r="K512" s="71"/>
      <c r="L512" s="62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61"/>
      <c r="K513" s="71"/>
      <c r="L513" s="62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61"/>
      <c r="K514" s="71"/>
      <c r="L514" s="62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61"/>
      <c r="K515" s="71"/>
      <c r="L515" s="62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61"/>
      <c r="K516" s="71"/>
      <c r="L516" s="62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61"/>
      <c r="K517" s="71"/>
      <c r="L517" s="62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61"/>
      <c r="K518" s="71"/>
      <c r="L518" s="62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61"/>
      <c r="K519" s="71"/>
      <c r="L519" s="62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61"/>
      <c r="K520" s="71"/>
      <c r="L520" s="62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61"/>
      <c r="K521" s="71"/>
      <c r="L521" s="62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61"/>
      <c r="K522" s="71"/>
      <c r="L522" s="62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61"/>
      <c r="K523" s="71"/>
      <c r="L523" s="62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61"/>
      <c r="K524" s="71"/>
      <c r="L524" s="62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61"/>
      <c r="K525" s="71"/>
      <c r="L525" s="62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61"/>
      <c r="K526" s="71"/>
      <c r="L526" s="62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61"/>
      <c r="K527" s="71"/>
      <c r="L527" s="62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61"/>
      <c r="K528" s="71"/>
      <c r="L528" s="62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61"/>
      <c r="K529" s="71"/>
      <c r="L529" s="62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61"/>
      <c r="K530" s="71"/>
      <c r="L530" s="62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61"/>
      <c r="K531" s="71"/>
      <c r="L531" s="62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61"/>
      <c r="K532" s="71"/>
      <c r="L532" s="62"/>
      <c r="M532" s="58"/>
      <c r="N532" s="58"/>
      <c r="O532" s="58"/>
    </row>
    <row r="533" spans="1:15" x14ac:dyDescent="0.25">
      <c r="A533" s="26"/>
      <c r="B533" s="66"/>
      <c r="C533" s="58"/>
      <c r="G533" s="26"/>
      <c r="H533" s="58"/>
      <c r="I533" s="58"/>
      <c r="J533" s="61"/>
      <c r="K533" s="71"/>
      <c r="L533" s="62"/>
    </row>
    <row r="534" spans="1:15" x14ac:dyDescent="0.25">
      <c r="A534" s="26"/>
      <c r="B534" s="66"/>
      <c r="C534" s="58"/>
      <c r="J534" s="61"/>
      <c r="K534" s="71"/>
      <c r="L534" s="62"/>
    </row>
    <row r="535" spans="1:15" x14ac:dyDescent="0.25">
      <c r="A535" s="26"/>
      <c r="B535" s="66"/>
      <c r="C535" s="58"/>
      <c r="J535" s="61"/>
      <c r="K535" s="71"/>
      <c r="L535" s="62"/>
    </row>
    <row r="536" spans="1:15" x14ac:dyDescent="0.25">
      <c r="A536" s="26"/>
      <c r="B536" s="66"/>
      <c r="C536" s="58"/>
      <c r="J536" s="61"/>
      <c r="K536" s="71"/>
      <c r="L536" s="62"/>
    </row>
    <row r="537" spans="1:15" x14ac:dyDescent="0.25">
      <c r="J537" s="61"/>
      <c r="K537" s="71"/>
      <c r="L537" s="62"/>
    </row>
    <row r="538" spans="1:15" x14ac:dyDescent="0.25">
      <c r="J538" s="61"/>
      <c r="K538" s="71"/>
      <c r="L538" s="62"/>
    </row>
    <row r="539" spans="1:15" x14ac:dyDescent="0.25">
      <c r="J539" s="61"/>
      <c r="K539" s="71"/>
      <c r="L539" s="62"/>
    </row>
    <row r="540" spans="1:15" x14ac:dyDescent="0.25">
      <c r="J540" s="61"/>
      <c r="K540" s="71"/>
      <c r="L540" s="62"/>
    </row>
    <row r="541" spans="1:15" x14ac:dyDescent="0.25">
      <c r="J541" s="61"/>
      <c r="K541" s="71"/>
      <c r="L541" s="62"/>
    </row>
    <row r="542" spans="1:15" x14ac:dyDescent="0.25">
      <c r="J542" s="61"/>
      <c r="K542" s="71"/>
      <c r="L542" s="62"/>
    </row>
    <row r="543" spans="1:15" x14ac:dyDescent="0.25">
      <c r="J543" s="61"/>
      <c r="K543" s="71"/>
      <c r="L543" s="62"/>
    </row>
    <row r="544" spans="1:15" x14ac:dyDescent="0.25">
      <c r="J544" s="61"/>
      <c r="K544" s="71"/>
      <c r="L544" s="62"/>
    </row>
    <row r="545" spans="10:12" x14ac:dyDescent="0.25">
      <c r="J545" s="61"/>
      <c r="K545" s="71"/>
      <c r="L545" s="62"/>
    </row>
    <row r="546" spans="10:12" x14ac:dyDescent="0.25">
      <c r="J546" s="61"/>
      <c r="K546" s="71"/>
      <c r="L546" s="62"/>
    </row>
    <row r="547" spans="10:12" x14ac:dyDescent="0.25">
      <c r="J547" s="61"/>
      <c r="K547" s="71"/>
      <c r="L547" s="62"/>
    </row>
    <row r="548" spans="10:12" x14ac:dyDescent="0.25">
      <c r="J548" s="61"/>
      <c r="K548" s="71"/>
      <c r="L548" s="62"/>
    </row>
    <row r="549" spans="10:12" x14ac:dyDescent="0.25">
      <c r="J549" s="61"/>
      <c r="K549" s="71"/>
      <c r="L549" s="62"/>
    </row>
    <row r="550" spans="10:12" x14ac:dyDescent="0.25">
      <c r="J550" s="61"/>
      <c r="K550" s="71"/>
      <c r="L550" s="62"/>
    </row>
    <row r="551" spans="10:12" x14ac:dyDescent="0.25">
      <c r="J551" s="61"/>
      <c r="K551" s="71"/>
      <c r="L551" s="62"/>
    </row>
    <row r="552" spans="10:12" x14ac:dyDescent="0.25">
      <c r="J552" s="61"/>
      <c r="K552" s="71"/>
      <c r="L552" s="62"/>
    </row>
    <row r="553" spans="10:12" x14ac:dyDescent="0.25">
      <c r="J553" s="61"/>
      <c r="K553" s="71"/>
      <c r="L553" s="62"/>
    </row>
    <row r="554" spans="10:12" x14ac:dyDescent="0.25">
      <c r="J554" s="61"/>
      <c r="K554" s="71"/>
      <c r="L554" s="62"/>
    </row>
    <row r="555" spans="10:12" x14ac:dyDescent="0.25">
      <c r="J555" s="61"/>
      <c r="K555" s="71"/>
      <c r="L555" s="62"/>
    </row>
    <row r="556" spans="10:12" x14ac:dyDescent="0.25">
      <c r="J556" s="61"/>
      <c r="K556" s="71"/>
      <c r="L556" s="62"/>
    </row>
    <row r="557" spans="10:12" x14ac:dyDescent="0.25">
      <c r="J557" s="61"/>
      <c r="K557" s="71"/>
      <c r="L557" s="62"/>
    </row>
    <row r="558" spans="10:12" x14ac:dyDescent="0.25">
      <c r="J558" s="61"/>
      <c r="K558" s="71"/>
      <c r="L558" s="62"/>
    </row>
    <row r="559" spans="10:12" x14ac:dyDescent="0.25">
      <c r="J559" s="61"/>
      <c r="K559" s="71"/>
      <c r="L559" s="62"/>
    </row>
    <row r="560" spans="10:12" x14ac:dyDescent="0.25">
      <c r="L560" s="62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6"/>
  <sheetViews>
    <sheetView tabSelected="1" topLeftCell="A5" workbookViewId="0">
      <pane ySplit="3" topLeftCell="A47" activePane="bottomLeft" state="frozen"/>
      <selection activeCell="A5" sqref="A5"/>
      <selection pane="bottomLeft" activeCell="K67" sqref="K67"/>
    </sheetView>
  </sheetViews>
  <sheetFormatPr baseColWidth="10" defaultRowHeight="15" x14ac:dyDescent="0.25"/>
  <cols>
    <col min="1" max="1" width="7.7109375" style="6" customWidth="1"/>
    <col min="2" max="2" width="8.7109375" style="6" customWidth="1"/>
    <col min="3" max="3" width="23.7109375" customWidth="1"/>
    <col min="4" max="4" width="7.7109375" style="6" customWidth="1"/>
    <col min="5" max="5" width="8.7109375" customWidth="1"/>
    <col min="6" max="6" width="25" customWidth="1"/>
    <col min="7" max="7" width="7.85546875" style="6" customWidth="1"/>
    <col min="8" max="8" width="8.7109375" customWidth="1"/>
    <col min="9" max="9" width="23.7109375" customWidth="1"/>
    <col min="10" max="10" width="7.7109375" style="6" customWidth="1"/>
    <col min="11" max="11" width="8.7109375" customWidth="1"/>
    <col min="12" max="12" width="23.7109375" customWidth="1"/>
    <col min="13" max="14" width="7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 t="s">
        <v>11</v>
      </c>
      <c r="M1" s="134"/>
      <c r="N1" s="5">
        <v>2014</v>
      </c>
      <c r="O1" s="4"/>
    </row>
    <row r="2" spans="1:18" ht="15.75" x14ac:dyDescent="0.25">
      <c r="A2" s="7">
        <v>2013</v>
      </c>
    </row>
    <row r="3" spans="1:18" ht="15.75" x14ac:dyDescent="0.25">
      <c r="A3" s="19" t="s">
        <v>7</v>
      </c>
      <c r="C3" s="135" t="s">
        <v>8</v>
      </c>
      <c r="D3" s="135"/>
      <c r="E3" s="18" t="s">
        <v>9</v>
      </c>
      <c r="F3" s="3" t="e">
        <f>#REF!+#REF!+#REF!+#REF!+#REF!</f>
        <v>#REF!</v>
      </c>
      <c r="H3" s="3" t="s">
        <v>3</v>
      </c>
      <c r="I3" s="2" t="e">
        <f>#REF!+#REF!+#REF!+#REF!+#REF!</f>
        <v>#REF!</v>
      </c>
    </row>
    <row r="5" spans="1:18" x14ac:dyDescent="0.25">
      <c r="A5" s="136" t="s">
        <v>0</v>
      </c>
      <c r="B5" s="136"/>
      <c r="C5" s="136"/>
      <c r="D5" s="137" t="s">
        <v>4</v>
      </c>
      <c r="E5" s="137"/>
      <c r="F5" s="137"/>
      <c r="G5" s="138" t="s">
        <v>5</v>
      </c>
      <c r="H5" s="138"/>
      <c r="I5" s="138"/>
      <c r="J5" s="143" t="s">
        <v>6</v>
      </c>
      <c r="K5" s="143"/>
      <c r="L5" s="143"/>
      <c r="M5" s="131" t="s">
        <v>12</v>
      </c>
      <c r="N5" s="131"/>
      <c r="O5" s="131"/>
      <c r="Q5" s="140" t="s">
        <v>13</v>
      </c>
      <c r="R5" s="140"/>
    </row>
    <row r="6" spans="1:18" x14ac:dyDescent="0.25">
      <c r="A6" s="8">
        <f>SUBTOTAL(3,A8:A122)</f>
        <v>80</v>
      </c>
      <c r="B6" s="8">
        <f>SUBTOTAL(9,B8:B122)</f>
        <v>66400</v>
      </c>
      <c r="C6" s="35">
        <v>44171</v>
      </c>
      <c r="D6" s="8">
        <f>SUBTOTAL(3,D8:D120)</f>
        <v>51</v>
      </c>
      <c r="E6" s="1">
        <f>SUBTOTAL(9,E8:E120)</f>
        <v>51350</v>
      </c>
      <c r="F6" s="38">
        <v>44178</v>
      </c>
      <c r="G6" s="8">
        <f>SUBTOTAL(3,G8:G121)</f>
        <v>52</v>
      </c>
      <c r="H6" s="1">
        <f>SUBTOTAL(9,H8:H121)</f>
        <v>59550</v>
      </c>
      <c r="I6" s="39">
        <v>44185</v>
      </c>
      <c r="J6" s="8">
        <f>SUBTOTAL(3,J8:J110)</f>
        <v>32</v>
      </c>
      <c r="K6" s="1">
        <f>SUBTOTAL(9,K8:K110)</f>
        <v>34800</v>
      </c>
      <c r="L6" s="63">
        <v>44192</v>
      </c>
      <c r="M6" s="1">
        <f>SUBTOTAL(3,M8:M120)</f>
        <v>0</v>
      </c>
      <c r="N6" s="1">
        <f>SUBTOTAL(9,N8:N120)</f>
        <v>0</v>
      </c>
      <c r="O6" s="81"/>
      <c r="Q6" s="30">
        <f>+A6+D6+G6+J6+M6</f>
        <v>215</v>
      </c>
      <c r="R6" s="29">
        <f>+B6+E6+H6+K6+N6</f>
        <v>212100</v>
      </c>
    </row>
    <row r="7" spans="1:18" x14ac:dyDescent="0.25">
      <c r="A7" s="36" t="s">
        <v>1</v>
      </c>
      <c r="B7" s="36" t="s">
        <v>3</v>
      </c>
      <c r="C7" s="36" t="s">
        <v>2</v>
      </c>
      <c r="D7" s="37" t="s">
        <v>1</v>
      </c>
      <c r="E7" s="37" t="s">
        <v>3</v>
      </c>
      <c r="F7" s="37" t="s">
        <v>2</v>
      </c>
      <c r="G7" s="40" t="s">
        <v>1</v>
      </c>
      <c r="H7" s="40" t="s">
        <v>3</v>
      </c>
      <c r="I7" s="40" t="s">
        <v>2</v>
      </c>
      <c r="J7" s="60" t="s">
        <v>1</v>
      </c>
      <c r="K7" s="60" t="s">
        <v>3</v>
      </c>
      <c r="L7" s="60" t="s">
        <v>15</v>
      </c>
      <c r="M7" s="41" t="s">
        <v>1</v>
      </c>
      <c r="N7" s="41" t="s">
        <v>3</v>
      </c>
      <c r="O7" s="41" t="s">
        <v>2</v>
      </c>
      <c r="P7" s="27"/>
      <c r="Q7" s="42" t="s">
        <v>9</v>
      </c>
      <c r="R7" s="42" t="s">
        <v>3</v>
      </c>
    </row>
    <row r="8" spans="1:18" x14ac:dyDescent="0.25">
      <c r="A8" s="16">
        <v>23568</v>
      </c>
      <c r="B8" s="49">
        <v>4950</v>
      </c>
      <c r="C8" s="17" t="s">
        <v>532</v>
      </c>
      <c r="D8" s="13">
        <v>23648</v>
      </c>
      <c r="E8" s="100">
        <v>600</v>
      </c>
      <c r="F8" s="14"/>
      <c r="G8" s="11">
        <v>23699</v>
      </c>
      <c r="H8" s="67">
        <v>400</v>
      </c>
      <c r="I8" s="12" t="s">
        <v>492</v>
      </c>
      <c r="J8" s="61">
        <v>23750</v>
      </c>
      <c r="K8" s="72">
        <v>1500</v>
      </c>
      <c r="L8" s="62" t="s">
        <v>156</v>
      </c>
      <c r="M8" s="15"/>
      <c r="N8" s="15"/>
      <c r="O8" s="15"/>
      <c r="Q8" s="32"/>
      <c r="R8" s="32"/>
    </row>
    <row r="9" spans="1:18" x14ac:dyDescent="0.25">
      <c r="A9" s="16"/>
      <c r="B9" s="49"/>
      <c r="C9" s="17" t="s">
        <v>155</v>
      </c>
      <c r="D9" s="13">
        <v>23649</v>
      </c>
      <c r="E9" s="100">
        <v>1200</v>
      </c>
      <c r="F9" s="14" t="s">
        <v>410</v>
      </c>
      <c r="G9" s="11">
        <v>23700</v>
      </c>
      <c r="H9" s="67">
        <v>2000</v>
      </c>
      <c r="I9" s="12" t="s">
        <v>484</v>
      </c>
      <c r="J9" s="61"/>
      <c r="K9" s="72"/>
      <c r="L9" s="62" t="s">
        <v>18</v>
      </c>
      <c r="M9" s="15"/>
      <c r="N9" s="15"/>
      <c r="O9" s="15"/>
    </row>
    <row r="10" spans="1:18" x14ac:dyDescent="0.25">
      <c r="A10" s="16">
        <v>23569</v>
      </c>
      <c r="B10" s="49">
        <v>500</v>
      </c>
      <c r="C10" s="17" t="s">
        <v>492</v>
      </c>
      <c r="D10" s="13"/>
      <c r="E10" s="100"/>
      <c r="F10" s="14" t="s">
        <v>25</v>
      </c>
      <c r="G10" s="11"/>
      <c r="H10" s="67"/>
      <c r="I10" s="12" t="s">
        <v>18</v>
      </c>
      <c r="J10" s="61">
        <v>23751</v>
      </c>
      <c r="K10" s="72"/>
      <c r="L10" s="62" t="s">
        <v>54</v>
      </c>
      <c r="M10" s="15"/>
      <c r="N10" s="15"/>
      <c r="O10" s="15"/>
    </row>
    <row r="11" spans="1:18" x14ac:dyDescent="0.25">
      <c r="A11" s="16">
        <v>23570</v>
      </c>
      <c r="B11" s="49">
        <v>500</v>
      </c>
      <c r="C11" s="17" t="s">
        <v>492</v>
      </c>
      <c r="D11" s="13">
        <v>23650</v>
      </c>
      <c r="E11" s="100">
        <v>2000</v>
      </c>
      <c r="F11" s="14" t="s">
        <v>567</v>
      </c>
      <c r="G11" s="11">
        <v>23701</v>
      </c>
      <c r="H11" s="67">
        <v>3000</v>
      </c>
      <c r="I11" s="12" t="s">
        <v>575</v>
      </c>
      <c r="J11" s="61">
        <v>23752</v>
      </c>
      <c r="K11" s="72">
        <v>500</v>
      </c>
      <c r="L11" s="62"/>
      <c r="M11" s="15"/>
      <c r="N11" s="15"/>
      <c r="O11" s="15"/>
    </row>
    <row r="12" spans="1:18" x14ac:dyDescent="0.25">
      <c r="A12" s="16">
        <v>23571</v>
      </c>
      <c r="B12" s="49">
        <v>250</v>
      </c>
      <c r="C12" s="17" t="s">
        <v>492</v>
      </c>
      <c r="D12" s="13"/>
      <c r="E12" s="100"/>
      <c r="F12" s="14" t="s">
        <v>568</v>
      </c>
      <c r="G12" s="11"/>
      <c r="H12" s="67"/>
      <c r="I12" s="12" t="s">
        <v>18</v>
      </c>
      <c r="J12" s="61">
        <v>23753</v>
      </c>
      <c r="K12" s="72">
        <v>1000</v>
      </c>
      <c r="L12" s="62" t="s">
        <v>533</v>
      </c>
      <c r="M12" s="15"/>
      <c r="N12" s="15"/>
      <c r="O12" s="15"/>
    </row>
    <row r="13" spans="1:18" x14ac:dyDescent="0.25">
      <c r="A13" s="16">
        <v>23572</v>
      </c>
      <c r="B13" s="49">
        <v>400</v>
      </c>
      <c r="C13" s="17" t="s">
        <v>442</v>
      </c>
      <c r="D13" s="13">
        <v>23651</v>
      </c>
      <c r="E13" s="100">
        <v>1000</v>
      </c>
      <c r="F13" s="14" t="s">
        <v>503</v>
      </c>
      <c r="G13" s="11">
        <v>23702</v>
      </c>
      <c r="H13" s="67">
        <v>500</v>
      </c>
      <c r="I13" s="12"/>
      <c r="J13" s="61"/>
      <c r="K13" s="72"/>
      <c r="L13" s="62" t="s">
        <v>18</v>
      </c>
      <c r="M13" s="15"/>
      <c r="N13" s="15"/>
      <c r="O13" s="15"/>
    </row>
    <row r="14" spans="1:18" x14ac:dyDescent="0.25">
      <c r="A14" s="16">
        <v>23573</v>
      </c>
      <c r="B14" s="49">
        <v>250</v>
      </c>
      <c r="C14" s="17"/>
      <c r="D14" s="13"/>
      <c r="E14" s="100"/>
      <c r="F14" s="14" t="s">
        <v>18</v>
      </c>
      <c r="G14" s="11">
        <v>23703</v>
      </c>
      <c r="H14" s="67">
        <v>500</v>
      </c>
      <c r="I14" s="12"/>
      <c r="J14" s="61">
        <v>23754</v>
      </c>
      <c r="K14" s="72">
        <v>650</v>
      </c>
      <c r="L14" s="62" t="s">
        <v>581</v>
      </c>
      <c r="M14" s="15"/>
      <c r="N14" s="15"/>
      <c r="O14" s="31"/>
    </row>
    <row r="15" spans="1:18" x14ac:dyDescent="0.25">
      <c r="A15" s="16">
        <v>23574</v>
      </c>
      <c r="B15" s="49"/>
      <c r="C15" s="17" t="s">
        <v>54</v>
      </c>
      <c r="D15" s="13">
        <v>23652</v>
      </c>
      <c r="E15" s="100">
        <v>5500</v>
      </c>
      <c r="F15" s="14" t="s">
        <v>532</v>
      </c>
      <c r="G15" s="11">
        <v>23704</v>
      </c>
      <c r="H15" s="67">
        <v>250</v>
      </c>
      <c r="I15" s="12"/>
      <c r="J15" s="61"/>
      <c r="K15" s="72"/>
      <c r="L15" s="62" t="s">
        <v>397</v>
      </c>
      <c r="M15" s="15"/>
      <c r="N15" s="15"/>
      <c r="O15" s="15"/>
    </row>
    <row r="16" spans="1:18" x14ac:dyDescent="0.25">
      <c r="A16" s="16">
        <v>23575</v>
      </c>
      <c r="B16" s="49">
        <v>1200</v>
      </c>
      <c r="C16" s="17" t="s">
        <v>410</v>
      </c>
      <c r="D16" s="13"/>
      <c r="E16" s="100"/>
      <c r="F16" s="14" t="s">
        <v>18</v>
      </c>
      <c r="G16" s="11">
        <v>23705</v>
      </c>
      <c r="H16" s="67">
        <v>300</v>
      </c>
      <c r="I16" s="12"/>
      <c r="J16" s="61">
        <v>23755</v>
      </c>
      <c r="K16" s="72">
        <v>800</v>
      </c>
      <c r="L16" s="62" t="s">
        <v>503</v>
      </c>
      <c r="M16" s="15"/>
      <c r="N16" s="15"/>
      <c r="O16" s="15"/>
    </row>
    <row r="17" spans="1:15" x14ac:dyDescent="0.25">
      <c r="A17" s="16"/>
      <c r="B17" s="49"/>
      <c r="C17" s="17" t="s">
        <v>25</v>
      </c>
      <c r="D17" s="13"/>
      <c r="E17" s="100"/>
      <c r="F17" s="14" t="s">
        <v>555</v>
      </c>
      <c r="G17" s="11">
        <v>23706</v>
      </c>
      <c r="H17" s="67">
        <v>500</v>
      </c>
      <c r="I17" s="12"/>
      <c r="J17" s="61"/>
      <c r="K17" s="72"/>
      <c r="L17" s="62" t="s">
        <v>25</v>
      </c>
      <c r="M17" s="15"/>
      <c r="N17" s="15"/>
      <c r="O17" s="15"/>
    </row>
    <row r="18" spans="1:15" x14ac:dyDescent="0.25">
      <c r="A18" s="16">
        <v>23576</v>
      </c>
      <c r="B18" s="49">
        <v>250</v>
      </c>
      <c r="C18" s="17"/>
      <c r="D18" s="13">
        <v>23653</v>
      </c>
      <c r="E18" s="100">
        <v>500</v>
      </c>
      <c r="F18" s="33"/>
      <c r="G18" s="11">
        <v>23707</v>
      </c>
      <c r="H18" s="67">
        <v>6000</v>
      </c>
      <c r="I18" s="12" t="s">
        <v>532</v>
      </c>
      <c r="J18" s="61">
        <v>23756</v>
      </c>
      <c r="K18" s="72">
        <v>500</v>
      </c>
      <c r="L18" s="62"/>
      <c r="M18" s="15"/>
      <c r="N18" s="15"/>
      <c r="O18" s="15"/>
    </row>
    <row r="19" spans="1:15" x14ac:dyDescent="0.25">
      <c r="A19" s="16">
        <v>23577</v>
      </c>
      <c r="B19" s="49">
        <v>500</v>
      </c>
      <c r="C19" s="17"/>
      <c r="D19" s="13">
        <v>23654</v>
      </c>
      <c r="E19" s="100">
        <v>250</v>
      </c>
      <c r="F19" s="14" t="s">
        <v>492</v>
      </c>
      <c r="G19" s="11"/>
      <c r="H19" s="67"/>
      <c r="I19" s="12" t="s">
        <v>18</v>
      </c>
      <c r="J19" s="61">
        <v>23757</v>
      </c>
      <c r="K19" s="72">
        <v>2500</v>
      </c>
      <c r="L19" s="62" t="s">
        <v>390</v>
      </c>
      <c r="M19" s="15"/>
      <c r="N19" s="15"/>
      <c r="O19" s="15"/>
    </row>
    <row r="20" spans="1:15" x14ac:dyDescent="0.25">
      <c r="A20" s="16">
        <v>23578</v>
      </c>
      <c r="B20" s="49">
        <v>6000</v>
      </c>
      <c r="C20" s="17" t="s">
        <v>532</v>
      </c>
      <c r="D20" s="13">
        <v>23655</v>
      </c>
      <c r="E20" s="100"/>
      <c r="F20" s="14" t="s">
        <v>54</v>
      </c>
      <c r="G20" s="11">
        <v>23708</v>
      </c>
      <c r="H20" s="67">
        <v>300</v>
      </c>
      <c r="I20" s="12"/>
      <c r="J20" s="61"/>
      <c r="K20" s="72"/>
      <c r="L20" s="62" t="s">
        <v>582</v>
      </c>
      <c r="M20" s="15"/>
      <c r="N20" s="15"/>
      <c r="O20" s="15"/>
    </row>
    <row r="21" spans="1:15" x14ac:dyDescent="0.25">
      <c r="A21" s="16"/>
      <c r="B21" s="49"/>
      <c r="C21" s="17" t="s">
        <v>18</v>
      </c>
      <c r="D21" s="13">
        <v>23656</v>
      </c>
      <c r="E21" s="100">
        <v>1000</v>
      </c>
      <c r="F21" s="14" t="s">
        <v>503</v>
      </c>
      <c r="G21" s="11">
        <v>23709</v>
      </c>
      <c r="H21" s="67">
        <v>5500</v>
      </c>
      <c r="I21" s="12" t="s">
        <v>532</v>
      </c>
      <c r="J21" s="61"/>
      <c r="K21" s="72"/>
      <c r="L21" s="62" t="s">
        <v>576</v>
      </c>
      <c r="M21" s="15"/>
      <c r="N21" s="15"/>
      <c r="O21" s="15"/>
    </row>
    <row r="22" spans="1:15" x14ac:dyDescent="0.25">
      <c r="A22" s="16">
        <v>23579</v>
      </c>
      <c r="B22" s="49">
        <v>500</v>
      </c>
      <c r="C22" s="17"/>
      <c r="D22" s="13"/>
      <c r="E22" s="100"/>
      <c r="F22" s="14" t="s">
        <v>18</v>
      </c>
      <c r="G22" s="11"/>
      <c r="H22" s="67"/>
      <c r="I22" s="12" t="s">
        <v>18</v>
      </c>
      <c r="J22" s="61"/>
      <c r="K22" s="72"/>
      <c r="L22" s="62" t="s">
        <v>18</v>
      </c>
      <c r="M22" s="15"/>
      <c r="N22" s="15"/>
      <c r="O22" s="15"/>
    </row>
    <row r="23" spans="1:15" x14ac:dyDescent="0.25">
      <c r="A23" s="16">
        <v>23580</v>
      </c>
      <c r="B23" s="49">
        <v>400</v>
      </c>
      <c r="C23" s="17" t="s">
        <v>492</v>
      </c>
      <c r="D23" s="13">
        <v>23657</v>
      </c>
      <c r="E23" s="100">
        <v>500</v>
      </c>
      <c r="F23" s="14" t="s">
        <v>492</v>
      </c>
      <c r="G23" s="11"/>
      <c r="H23" s="67"/>
      <c r="I23" s="12" t="s">
        <v>576</v>
      </c>
      <c r="J23" s="61">
        <v>23758</v>
      </c>
      <c r="K23" s="72">
        <v>500</v>
      </c>
      <c r="L23" s="62" t="s">
        <v>492</v>
      </c>
      <c r="M23" s="15"/>
      <c r="N23" s="15"/>
      <c r="O23" s="15"/>
    </row>
    <row r="24" spans="1:15" x14ac:dyDescent="0.25">
      <c r="A24" s="16">
        <v>23581</v>
      </c>
      <c r="B24" s="49">
        <v>1500</v>
      </c>
      <c r="C24" s="17" t="s">
        <v>481</v>
      </c>
      <c r="D24" s="13">
        <v>23658</v>
      </c>
      <c r="E24" s="100">
        <v>1000</v>
      </c>
      <c r="F24" s="14" t="s">
        <v>503</v>
      </c>
      <c r="G24" s="11">
        <v>23710</v>
      </c>
      <c r="H24" s="67">
        <v>5500</v>
      </c>
      <c r="I24" s="12" t="s">
        <v>532</v>
      </c>
      <c r="J24" s="61">
        <v>23759</v>
      </c>
      <c r="K24" s="72">
        <v>400</v>
      </c>
      <c r="L24" s="62"/>
      <c r="M24" s="15"/>
      <c r="N24" s="15"/>
      <c r="O24" s="15"/>
    </row>
    <row r="25" spans="1:15" x14ac:dyDescent="0.25">
      <c r="A25" s="16"/>
      <c r="B25" s="49"/>
      <c r="C25" s="17" t="s">
        <v>25</v>
      </c>
      <c r="D25" s="13"/>
      <c r="E25" s="100"/>
      <c r="F25" s="14" t="s">
        <v>18</v>
      </c>
      <c r="G25" s="11"/>
      <c r="H25" s="67"/>
      <c r="I25" s="12" t="s">
        <v>18</v>
      </c>
      <c r="J25" s="61">
        <v>23760</v>
      </c>
      <c r="K25" s="72">
        <v>4550</v>
      </c>
      <c r="L25" s="62" t="s">
        <v>390</v>
      </c>
      <c r="M25" s="15"/>
      <c r="N25" s="15"/>
      <c r="O25" s="15"/>
    </row>
    <row r="26" spans="1:15" x14ac:dyDescent="0.25">
      <c r="A26" s="16">
        <v>23582</v>
      </c>
      <c r="B26" s="49">
        <v>300</v>
      </c>
      <c r="C26" s="17" t="s">
        <v>553</v>
      </c>
      <c r="D26" s="13">
        <v>23659</v>
      </c>
      <c r="E26" s="100"/>
      <c r="F26" s="14" t="s">
        <v>54</v>
      </c>
      <c r="G26" s="11"/>
      <c r="H26" s="67"/>
      <c r="I26" s="12" t="s">
        <v>576</v>
      </c>
      <c r="J26" s="61"/>
      <c r="K26" s="72"/>
      <c r="L26" s="62" t="s">
        <v>583</v>
      </c>
      <c r="M26" s="15"/>
      <c r="N26" s="15"/>
      <c r="O26" s="15"/>
    </row>
    <row r="27" spans="1:15" x14ac:dyDescent="0.25">
      <c r="A27" s="16">
        <v>23583</v>
      </c>
      <c r="B27" s="49">
        <v>300</v>
      </c>
      <c r="C27" s="17" t="s">
        <v>554</v>
      </c>
      <c r="D27" s="13">
        <v>23660</v>
      </c>
      <c r="E27" s="100">
        <v>800</v>
      </c>
      <c r="F27" s="14" t="s">
        <v>569</v>
      </c>
      <c r="G27" s="11">
        <v>23711</v>
      </c>
      <c r="H27" s="67">
        <v>5500</v>
      </c>
      <c r="I27" s="12" t="s">
        <v>532</v>
      </c>
      <c r="J27" s="61"/>
      <c r="K27" s="72"/>
      <c r="L27" s="62" t="s">
        <v>584</v>
      </c>
      <c r="M27" s="15"/>
      <c r="N27" s="15"/>
      <c r="O27" s="31"/>
    </row>
    <row r="28" spans="1:15" x14ac:dyDescent="0.25">
      <c r="A28" s="16">
        <v>23584</v>
      </c>
      <c r="B28" s="49">
        <v>500</v>
      </c>
      <c r="C28" s="17"/>
      <c r="D28" s="13"/>
      <c r="E28" s="100"/>
      <c r="F28" s="91" t="s">
        <v>570</v>
      </c>
      <c r="G28" s="11"/>
      <c r="H28" s="67"/>
      <c r="I28" s="12" t="s">
        <v>18</v>
      </c>
      <c r="J28" s="61"/>
      <c r="K28" s="72"/>
      <c r="L28" s="62" t="s">
        <v>585</v>
      </c>
      <c r="M28" s="15"/>
      <c r="N28" s="15"/>
      <c r="O28" s="15"/>
    </row>
    <row r="29" spans="1:15" x14ac:dyDescent="0.25">
      <c r="A29" s="16">
        <v>23585</v>
      </c>
      <c r="B29" s="49">
        <v>500</v>
      </c>
      <c r="C29" s="17"/>
      <c r="D29" s="13">
        <v>23661</v>
      </c>
      <c r="E29" s="100">
        <v>4400</v>
      </c>
      <c r="F29" s="14" t="s">
        <v>532</v>
      </c>
      <c r="G29" s="11">
        <v>23712</v>
      </c>
      <c r="H29" s="67">
        <v>900</v>
      </c>
      <c r="I29" s="12" t="s">
        <v>577</v>
      </c>
      <c r="J29" s="61"/>
      <c r="K29" s="72"/>
      <c r="L29" s="62" t="s">
        <v>586</v>
      </c>
      <c r="M29" s="15"/>
      <c r="N29" s="15"/>
      <c r="O29" s="15"/>
    </row>
    <row r="30" spans="1:15" x14ac:dyDescent="0.25">
      <c r="A30" s="16">
        <v>23586</v>
      </c>
      <c r="B30" s="49">
        <v>1000</v>
      </c>
      <c r="C30" s="17" t="s">
        <v>503</v>
      </c>
      <c r="D30" s="13"/>
      <c r="E30" s="100"/>
      <c r="F30" s="14" t="s">
        <v>25</v>
      </c>
      <c r="G30" s="11"/>
      <c r="H30" s="67"/>
      <c r="I30" s="12" t="s">
        <v>29</v>
      </c>
      <c r="J30" s="61"/>
      <c r="K30" s="72"/>
      <c r="L30" s="62" t="s">
        <v>587</v>
      </c>
      <c r="M30" s="15"/>
      <c r="N30" s="15"/>
      <c r="O30" s="15"/>
    </row>
    <row r="31" spans="1:15" x14ac:dyDescent="0.25">
      <c r="A31" s="16"/>
      <c r="B31" s="49"/>
      <c r="C31" s="17" t="s">
        <v>18</v>
      </c>
      <c r="D31" s="13"/>
      <c r="E31" s="100"/>
      <c r="F31" s="14" t="s">
        <v>555</v>
      </c>
      <c r="G31" s="11">
        <v>23713</v>
      </c>
      <c r="H31" s="67">
        <v>150</v>
      </c>
      <c r="I31" s="12" t="s">
        <v>457</v>
      </c>
      <c r="J31" s="61">
        <v>23761</v>
      </c>
      <c r="K31" s="72">
        <v>50</v>
      </c>
      <c r="L31" s="62" t="s">
        <v>71</v>
      </c>
      <c r="M31" s="15"/>
      <c r="N31" s="15"/>
      <c r="O31" s="15"/>
    </row>
    <row r="32" spans="1:15" x14ac:dyDescent="0.25">
      <c r="A32" s="16">
        <v>23587</v>
      </c>
      <c r="B32" s="49">
        <v>1500</v>
      </c>
      <c r="C32" s="17" t="s">
        <v>410</v>
      </c>
      <c r="D32" s="13">
        <v>23662</v>
      </c>
      <c r="E32" s="100">
        <v>500</v>
      </c>
      <c r="F32" s="14" t="s">
        <v>492</v>
      </c>
      <c r="G32" s="11">
        <v>23714</v>
      </c>
      <c r="H32" s="67">
        <v>1500</v>
      </c>
      <c r="I32" s="12" t="s">
        <v>577</v>
      </c>
      <c r="J32" s="61">
        <v>23762</v>
      </c>
      <c r="K32" s="72">
        <v>500</v>
      </c>
      <c r="L32" s="62"/>
      <c r="M32" s="15"/>
      <c r="N32" s="15"/>
      <c r="O32" s="15"/>
    </row>
    <row r="33" spans="1:15" x14ac:dyDescent="0.25">
      <c r="A33" s="16"/>
      <c r="B33" s="49"/>
      <c r="C33" s="17" t="s">
        <v>18</v>
      </c>
      <c r="D33" s="13">
        <v>23663</v>
      </c>
      <c r="E33" s="100"/>
      <c r="F33" s="14" t="s">
        <v>54</v>
      </c>
      <c r="G33" s="11"/>
      <c r="H33" s="67"/>
      <c r="I33" s="12" t="s">
        <v>18</v>
      </c>
      <c r="J33" s="61">
        <v>23763</v>
      </c>
      <c r="K33" s="72">
        <v>500</v>
      </c>
      <c r="L33" s="62" t="s">
        <v>588</v>
      </c>
      <c r="M33" s="15"/>
      <c r="N33" s="15"/>
      <c r="O33" s="15"/>
    </row>
    <row r="34" spans="1:15" x14ac:dyDescent="0.25">
      <c r="A34" s="16">
        <v>23588</v>
      </c>
      <c r="B34" s="49">
        <v>500</v>
      </c>
      <c r="C34" s="17"/>
      <c r="D34" s="13">
        <v>23664</v>
      </c>
      <c r="E34" s="100">
        <v>300</v>
      </c>
      <c r="F34" s="14"/>
      <c r="G34" s="11">
        <v>23715</v>
      </c>
      <c r="H34" s="67">
        <v>300</v>
      </c>
      <c r="I34" s="12"/>
      <c r="J34" s="61">
        <v>23764</v>
      </c>
      <c r="K34" s="72">
        <v>450</v>
      </c>
      <c r="L34" s="62"/>
      <c r="M34" s="15"/>
      <c r="N34" s="15"/>
      <c r="O34" s="31"/>
    </row>
    <row r="35" spans="1:15" x14ac:dyDescent="0.25">
      <c r="A35" s="16">
        <v>23589</v>
      </c>
      <c r="B35" s="49">
        <v>5500</v>
      </c>
      <c r="C35" s="17" t="s">
        <v>532</v>
      </c>
      <c r="D35" s="13">
        <v>23665</v>
      </c>
      <c r="E35" s="100">
        <v>500</v>
      </c>
      <c r="F35" s="14"/>
      <c r="G35" s="11">
        <v>23716</v>
      </c>
      <c r="H35" s="67">
        <v>400</v>
      </c>
      <c r="I35" s="12"/>
      <c r="J35" s="61">
        <v>23765</v>
      </c>
      <c r="K35" s="72">
        <v>500</v>
      </c>
      <c r="L35" s="62" t="s">
        <v>503</v>
      </c>
      <c r="M35" s="15"/>
      <c r="N35" s="15"/>
      <c r="O35" s="15"/>
    </row>
    <row r="36" spans="1:15" x14ac:dyDescent="0.25">
      <c r="A36" s="16"/>
      <c r="B36" s="49"/>
      <c r="C36" s="17" t="s">
        <v>18</v>
      </c>
      <c r="D36" s="13">
        <v>23666</v>
      </c>
      <c r="E36" s="100">
        <v>6600</v>
      </c>
      <c r="F36" s="14" t="s">
        <v>532</v>
      </c>
      <c r="G36" s="11">
        <v>23717</v>
      </c>
      <c r="H36" s="67">
        <v>1000</v>
      </c>
      <c r="I36" s="12" t="s">
        <v>503</v>
      </c>
      <c r="J36" s="61"/>
      <c r="K36" s="72"/>
      <c r="L36" s="62" t="s">
        <v>589</v>
      </c>
      <c r="M36" s="15"/>
      <c r="N36" s="15"/>
      <c r="O36" s="15"/>
    </row>
    <row r="37" spans="1:15" x14ac:dyDescent="0.25">
      <c r="A37" s="16"/>
      <c r="B37" s="49"/>
      <c r="C37" s="17" t="s">
        <v>555</v>
      </c>
      <c r="D37" s="13"/>
      <c r="E37" s="100"/>
      <c r="F37" s="14" t="s">
        <v>339</v>
      </c>
      <c r="G37" s="11"/>
      <c r="H37" s="67"/>
      <c r="I37" s="12" t="s">
        <v>18</v>
      </c>
      <c r="J37" s="61">
        <v>23766</v>
      </c>
      <c r="K37" s="72">
        <v>300</v>
      </c>
      <c r="L37" s="62"/>
      <c r="M37" s="15"/>
      <c r="N37" s="15"/>
      <c r="O37" s="15"/>
    </row>
    <row r="38" spans="1:15" x14ac:dyDescent="0.25">
      <c r="A38" s="16">
        <v>23590</v>
      </c>
      <c r="B38" s="49">
        <v>500</v>
      </c>
      <c r="C38" s="17"/>
      <c r="D38" s="13"/>
      <c r="E38" s="100"/>
      <c r="F38" s="14" t="s">
        <v>555</v>
      </c>
      <c r="G38" s="11">
        <v>23718</v>
      </c>
      <c r="H38" s="67">
        <v>600</v>
      </c>
      <c r="I38" s="12" t="s">
        <v>503</v>
      </c>
      <c r="J38" s="61">
        <v>23767</v>
      </c>
      <c r="K38" s="72">
        <v>5500</v>
      </c>
      <c r="L38" s="62" t="s">
        <v>532</v>
      </c>
      <c r="M38" s="15"/>
      <c r="N38" s="15"/>
      <c r="O38" s="15"/>
    </row>
    <row r="39" spans="1:15" x14ac:dyDescent="0.25">
      <c r="A39" s="16">
        <v>23591</v>
      </c>
      <c r="B39" s="49">
        <v>600</v>
      </c>
      <c r="C39" s="17" t="s">
        <v>469</v>
      </c>
      <c r="D39" s="13">
        <v>23667</v>
      </c>
      <c r="E39" s="100">
        <v>1000</v>
      </c>
      <c r="F39" s="14" t="s">
        <v>417</v>
      </c>
      <c r="G39" s="11"/>
      <c r="H39" s="67"/>
      <c r="I39" s="12" t="s">
        <v>29</v>
      </c>
      <c r="J39" s="61"/>
      <c r="K39" s="72"/>
      <c r="L39" s="62" t="s">
        <v>18</v>
      </c>
      <c r="M39" s="15"/>
      <c r="N39" s="15"/>
      <c r="O39" s="15"/>
    </row>
    <row r="40" spans="1:15" x14ac:dyDescent="0.25">
      <c r="A40" s="16"/>
      <c r="B40" s="49"/>
      <c r="C40" s="17" t="s">
        <v>29</v>
      </c>
      <c r="D40" s="13"/>
      <c r="E40" s="100"/>
      <c r="F40" s="14" t="s">
        <v>18</v>
      </c>
      <c r="G40" s="11">
        <v>23719</v>
      </c>
      <c r="H40" s="67">
        <v>500</v>
      </c>
      <c r="I40" s="12" t="s">
        <v>503</v>
      </c>
      <c r="J40" s="61"/>
      <c r="K40" s="72"/>
      <c r="L40" s="62" t="s">
        <v>576</v>
      </c>
      <c r="M40" s="15"/>
      <c r="N40" s="15"/>
      <c r="O40" s="15"/>
    </row>
    <row r="41" spans="1:15" x14ac:dyDescent="0.25">
      <c r="A41" s="16">
        <v>23592</v>
      </c>
      <c r="B41" s="49">
        <v>300</v>
      </c>
      <c r="C41" s="17" t="s">
        <v>556</v>
      </c>
      <c r="D41" s="13">
        <v>23668</v>
      </c>
      <c r="E41" s="100">
        <v>500</v>
      </c>
      <c r="F41" s="14"/>
      <c r="G41" s="11"/>
      <c r="H41" s="67"/>
      <c r="I41" s="12" t="s">
        <v>22</v>
      </c>
      <c r="J41" s="61"/>
      <c r="K41" s="72"/>
      <c r="L41" s="62" t="s">
        <v>590</v>
      </c>
      <c r="M41" s="15"/>
      <c r="N41" s="15"/>
      <c r="O41" s="15"/>
    </row>
    <row r="42" spans="1:15" x14ac:dyDescent="0.25">
      <c r="A42" s="16">
        <v>23593</v>
      </c>
      <c r="B42" s="49">
        <v>500</v>
      </c>
      <c r="C42" s="17"/>
      <c r="D42" s="13">
        <v>23669</v>
      </c>
      <c r="E42" s="100">
        <v>400</v>
      </c>
      <c r="F42" s="14"/>
      <c r="G42" s="11">
        <v>23720</v>
      </c>
      <c r="H42" s="67">
        <v>500</v>
      </c>
      <c r="I42" s="12"/>
      <c r="J42" s="61">
        <v>23768</v>
      </c>
      <c r="K42" s="72">
        <v>500</v>
      </c>
      <c r="L42" s="62"/>
      <c r="M42" s="15"/>
      <c r="N42" s="15"/>
      <c r="O42" s="15"/>
    </row>
    <row r="43" spans="1:15" x14ac:dyDescent="0.25">
      <c r="A43" s="16">
        <v>23594</v>
      </c>
      <c r="B43" s="49">
        <v>600</v>
      </c>
      <c r="C43" s="17"/>
      <c r="D43" s="13">
        <v>23670</v>
      </c>
      <c r="E43" s="100">
        <v>500</v>
      </c>
      <c r="F43" s="14"/>
      <c r="G43" s="11">
        <v>23721</v>
      </c>
      <c r="H43" s="67">
        <v>2800</v>
      </c>
      <c r="I43" s="12" t="s">
        <v>532</v>
      </c>
      <c r="J43" s="61">
        <v>23769</v>
      </c>
      <c r="K43" s="72">
        <v>1000</v>
      </c>
      <c r="L43" s="62" t="s">
        <v>533</v>
      </c>
      <c r="M43" s="15"/>
      <c r="N43" s="15"/>
      <c r="O43" s="15"/>
    </row>
    <row r="44" spans="1:15" x14ac:dyDescent="0.25">
      <c r="A44" s="16">
        <v>23595</v>
      </c>
      <c r="B44" s="49">
        <v>2000</v>
      </c>
      <c r="C44" s="17" t="s">
        <v>410</v>
      </c>
      <c r="D44" s="13">
        <v>23671</v>
      </c>
      <c r="E44" s="100">
        <v>500</v>
      </c>
      <c r="F44" s="14"/>
      <c r="G44" s="11"/>
      <c r="H44" s="67"/>
      <c r="I44" s="12" t="s">
        <v>22</v>
      </c>
      <c r="J44" s="61"/>
      <c r="K44" s="72"/>
      <c r="L44" s="62" t="s">
        <v>18</v>
      </c>
      <c r="M44" s="15"/>
      <c r="N44" s="15"/>
      <c r="O44" s="15"/>
    </row>
    <row r="45" spans="1:15" x14ac:dyDescent="0.25">
      <c r="A45" s="16"/>
      <c r="B45" s="49"/>
      <c r="C45" s="17" t="s">
        <v>557</v>
      </c>
      <c r="D45" s="13">
        <v>23672</v>
      </c>
      <c r="E45" s="100">
        <v>600</v>
      </c>
      <c r="F45" s="14" t="s">
        <v>503</v>
      </c>
      <c r="G45" s="11"/>
      <c r="H45" s="67"/>
      <c r="I45" s="12" t="s">
        <v>578</v>
      </c>
      <c r="J45" s="61">
        <v>23770</v>
      </c>
      <c r="K45" s="72">
        <v>400</v>
      </c>
      <c r="L45" s="62"/>
      <c r="M45" s="15"/>
      <c r="N45" s="15"/>
      <c r="O45" s="15"/>
    </row>
    <row r="46" spans="1:15" x14ac:dyDescent="0.25">
      <c r="A46" s="16">
        <v>23596</v>
      </c>
      <c r="B46" s="49">
        <v>500</v>
      </c>
      <c r="C46" s="17"/>
      <c r="D46" s="13"/>
      <c r="E46" s="100"/>
      <c r="F46" s="14" t="s">
        <v>29</v>
      </c>
      <c r="G46" s="11">
        <v>23722</v>
      </c>
      <c r="H46" s="67">
        <v>500</v>
      </c>
      <c r="I46" s="12"/>
      <c r="J46" s="61">
        <v>23771</v>
      </c>
      <c r="K46" s="72">
        <v>1000</v>
      </c>
      <c r="L46" s="62" t="s">
        <v>591</v>
      </c>
      <c r="M46" s="15"/>
      <c r="N46" s="15"/>
      <c r="O46" s="15"/>
    </row>
    <row r="47" spans="1:15" x14ac:dyDescent="0.25">
      <c r="A47" s="16">
        <v>23597</v>
      </c>
      <c r="B47" s="49">
        <v>800</v>
      </c>
      <c r="C47" s="17"/>
      <c r="D47" s="13">
        <v>23673</v>
      </c>
      <c r="E47" s="100">
        <v>5500</v>
      </c>
      <c r="F47" s="14" t="s">
        <v>532</v>
      </c>
      <c r="G47" s="11">
        <v>23723</v>
      </c>
      <c r="H47" s="67">
        <v>300</v>
      </c>
      <c r="I47" s="12"/>
      <c r="J47" s="61"/>
      <c r="K47" s="72"/>
      <c r="L47" s="62" t="s">
        <v>18</v>
      </c>
      <c r="M47" s="15"/>
      <c r="N47" s="15"/>
      <c r="O47" s="15"/>
    </row>
    <row r="48" spans="1:15" x14ac:dyDescent="0.25">
      <c r="A48" s="16">
        <v>23598</v>
      </c>
      <c r="B48" s="49">
        <v>400</v>
      </c>
      <c r="C48" s="17"/>
      <c r="D48" s="13"/>
      <c r="E48" s="100"/>
      <c r="F48" s="14" t="s">
        <v>18</v>
      </c>
      <c r="G48" s="11">
        <v>23724</v>
      </c>
      <c r="H48" s="67">
        <v>5500</v>
      </c>
      <c r="I48" s="12" t="s">
        <v>532</v>
      </c>
      <c r="J48" s="61">
        <v>23772</v>
      </c>
      <c r="K48" s="72">
        <v>500</v>
      </c>
      <c r="L48" s="62"/>
      <c r="M48" s="15"/>
      <c r="N48" s="15"/>
      <c r="O48" s="15"/>
    </row>
    <row r="49" spans="1:15" x14ac:dyDescent="0.25">
      <c r="A49" s="16">
        <v>23599</v>
      </c>
      <c r="B49" s="49">
        <v>500</v>
      </c>
      <c r="C49" s="17"/>
      <c r="D49" s="13"/>
      <c r="E49" s="100"/>
      <c r="F49" s="14" t="s">
        <v>555</v>
      </c>
      <c r="G49" s="11"/>
      <c r="H49" s="67"/>
      <c r="I49" s="12" t="s">
        <v>18</v>
      </c>
      <c r="J49" s="61">
        <v>23773</v>
      </c>
      <c r="K49" s="72">
        <v>50</v>
      </c>
      <c r="L49" s="62" t="s">
        <v>71</v>
      </c>
      <c r="M49" s="15"/>
      <c r="N49" s="15"/>
      <c r="O49" s="15"/>
    </row>
    <row r="50" spans="1:15" x14ac:dyDescent="0.25">
      <c r="A50" s="16">
        <v>23600</v>
      </c>
      <c r="B50" s="49">
        <v>500</v>
      </c>
      <c r="C50" s="17"/>
      <c r="D50" s="13">
        <v>23674</v>
      </c>
      <c r="E50" s="100">
        <v>850</v>
      </c>
      <c r="F50" s="14" t="s">
        <v>571</v>
      </c>
      <c r="G50" s="11"/>
      <c r="H50" s="67"/>
      <c r="I50" s="12" t="s">
        <v>576</v>
      </c>
      <c r="J50" s="61">
        <v>23774</v>
      </c>
      <c r="K50" s="72">
        <v>1000</v>
      </c>
      <c r="L50" s="62" t="s">
        <v>533</v>
      </c>
      <c r="M50" s="15"/>
      <c r="N50" s="15"/>
      <c r="O50" s="15"/>
    </row>
    <row r="51" spans="1:15" x14ac:dyDescent="0.25">
      <c r="A51" s="16">
        <v>23601</v>
      </c>
      <c r="B51" s="49"/>
      <c r="C51" s="17" t="s">
        <v>54</v>
      </c>
      <c r="D51" s="13">
        <v>23675</v>
      </c>
      <c r="E51" s="100"/>
      <c r="F51" s="14" t="s">
        <v>54</v>
      </c>
      <c r="G51" s="11">
        <v>23725</v>
      </c>
      <c r="H51" s="67">
        <v>500</v>
      </c>
      <c r="I51" s="12"/>
      <c r="J51" s="61"/>
      <c r="K51" s="72"/>
      <c r="L51" s="62" t="s">
        <v>18</v>
      </c>
      <c r="M51" s="15"/>
      <c r="N51" s="15"/>
      <c r="O51" s="15"/>
    </row>
    <row r="52" spans="1:15" x14ac:dyDescent="0.25">
      <c r="A52" s="16">
        <v>23602</v>
      </c>
      <c r="B52" s="49"/>
      <c r="C52" s="17" t="s">
        <v>54</v>
      </c>
      <c r="D52" s="13">
        <v>23676</v>
      </c>
      <c r="E52" s="100">
        <v>1000</v>
      </c>
      <c r="F52" s="14" t="s">
        <v>503</v>
      </c>
      <c r="G52" s="11">
        <v>23726</v>
      </c>
      <c r="H52" s="67">
        <v>1000</v>
      </c>
      <c r="I52" s="12" t="s">
        <v>503</v>
      </c>
      <c r="J52" s="61">
        <v>23775</v>
      </c>
      <c r="K52" s="72">
        <v>250</v>
      </c>
      <c r="L52" s="62"/>
      <c r="M52" s="15"/>
      <c r="N52" s="15"/>
      <c r="O52" s="15"/>
    </row>
    <row r="53" spans="1:15" x14ac:dyDescent="0.25">
      <c r="A53" s="16">
        <v>23603</v>
      </c>
      <c r="B53" s="49">
        <v>500</v>
      </c>
      <c r="C53" s="17"/>
      <c r="D53" s="13"/>
      <c r="E53" s="100"/>
      <c r="F53" s="14" t="s">
        <v>18</v>
      </c>
      <c r="G53" s="11"/>
      <c r="H53" s="67"/>
      <c r="I53" s="12" t="s">
        <v>18</v>
      </c>
      <c r="J53" s="61">
        <v>23776</v>
      </c>
      <c r="K53" s="72">
        <v>1000</v>
      </c>
      <c r="L53" s="62" t="s">
        <v>503</v>
      </c>
      <c r="M53" s="15"/>
      <c r="N53" s="15"/>
      <c r="O53" s="15"/>
    </row>
    <row r="54" spans="1:15" x14ac:dyDescent="0.25">
      <c r="A54" s="16">
        <v>23604</v>
      </c>
      <c r="B54" s="49">
        <v>500</v>
      </c>
      <c r="C54" s="17"/>
      <c r="D54" s="13">
        <v>23677</v>
      </c>
      <c r="E54" s="100">
        <v>400</v>
      </c>
      <c r="F54" s="14"/>
      <c r="G54" s="11">
        <v>23727</v>
      </c>
      <c r="H54" s="67">
        <v>500</v>
      </c>
      <c r="I54" s="12" t="s">
        <v>579</v>
      </c>
      <c r="J54" s="61"/>
      <c r="K54" s="72"/>
      <c r="L54" s="62" t="s">
        <v>18</v>
      </c>
      <c r="M54" s="15"/>
      <c r="N54" s="15"/>
      <c r="O54" s="15"/>
    </row>
    <row r="55" spans="1:15" x14ac:dyDescent="0.25">
      <c r="A55" s="16">
        <v>23605</v>
      </c>
      <c r="B55" s="49">
        <v>500</v>
      </c>
      <c r="C55" s="17"/>
      <c r="D55" s="13">
        <v>23678</v>
      </c>
      <c r="E55" s="100">
        <v>600</v>
      </c>
      <c r="F55" s="14" t="s">
        <v>503</v>
      </c>
      <c r="G55" s="11"/>
      <c r="H55" s="67"/>
      <c r="I55" s="12" t="s">
        <v>22</v>
      </c>
      <c r="J55" s="61">
        <v>23777</v>
      </c>
      <c r="K55" s="72">
        <v>1000</v>
      </c>
      <c r="L55" s="62" t="s">
        <v>533</v>
      </c>
      <c r="M55" s="15"/>
      <c r="N55" s="15"/>
      <c r="O55" s="15"/>
    </row>
    <row r="56" spans="1:15" x14ac:dyDescent="0.25">
      <c r="A56" s="16">
        <v>23606</v>
      </c>
      <c r="B56" s="49">
        <v>500</v>
      </c>
      <c r="C56" s="17"/>
      <c r="D56" s="13"/>
      <c r="E56" s="100"/>
      <c r="F56" s="14" t="s">
        <v>29</v>
      </c>
      <c r="G56" s="11">
        <v>23728</v>
      </c>
      <c r="H56" s="67">
        <v>600</v>
      </c>
      <c r="I56" s="12" t="s">
        <v>577</v>
      </c>
      <c r="J56" s="61"/>
      <c r="K56" s="72"/>
      <c r="L56" s="62" t="s">
        <v>18</v>
      </c>
      <c r="M56" s="15"/>
      <c r="N56" s="15"/>
      <c r="O56" s="15"/>
    </row>
    <row r="57" spans="1:15" x14ac:dyDescent="0.25">
      <c r="A57" s="16">
        <v>23607</v>
      </c>
      <c r="B57" s="49">
        <v>5500</v>
      </c>
      <c r="C57" s="17" t="s">
        <v>532</v>
      </c>
      <c r="D57" s="13">
        <v>23679</v>
      </c>
      <c r="E57" s="100">
        <v>300</v>
      </c>
      <c r="F57" s="14"/>
      <c r="G57" s="11"/>
      <c r="H57" s="67"/>
      <c r="I57" s="12" t="s">
        <v>44</v>
      </c>
      <c r="J57" s="61">
        <v>23778</v>
      </c>
      <c r="K57" s="72">
        <v>400</v>
      </c>
      <c r="L57" s="62" t="s">
        <v>503</v>
      </c>
      <c r="M57" s="15"/>
      <c r="N57" s="15"/>
      <c r="O57" s="15"/>
    </row>
    <row r="58" spans="1:15" x14ac:dyDescent="0.25">
      <c r="A58" s="16"/>
      <c r="B58" s="49"/>
      <c r="C58" s="17" t="s">
        <v>18</v>
      </c>
      <c r="D58" s="13">
        <v>23680</v>
      </c>
      <c r="E58" s="100">
        <v>500</v>
      </c>
      <c r="F58" s="14" t="s">
        <v>492</v>
      </c>
      <c r="G58" s="11">
        <v>23728</v>
      </c>
      <c r="H58" s="67">
        <v>200</v>
      </c>
      <c r="I58" s="12" t="s">
        <v>492</v>
      </c>
      <c r="J58" s="61"/>
      <c r="K58" s="72"/>
      <c r="L58" s="62" t="s">
        <v>44</v>
      </c>
      <c r="M58" s="15"/>
      <c r="N58" s="15"/>
      <c r="O58" s="15"/>
    </row>
    <row r="59" spans="1:15" x14ac:dyDescent="0.25">
      <c r="A59" s="16"/>
      <c r="B59" s="49"/>
      <c r="C59" s="17" t="s">
        <v>555</v>
      </c>
      <c r="D59" s="13">
        <v>23681</v>
      </c>
      <c r="E59" s="100">
        <v>300</v>
      </c>
      <c r="F59" s="14"/>
      <c r="G59" s="11">
        <v>23729</v>
      </c>
      <c r="H59" s="67">
        <v>800</v>
      </c>
      <c r="I59" s="12" t="s">
        <v>503</v>
      </c>
      <c r="J59" s="61">
        <v>23779</v>
      </c>
      <c r="K59" s="72">
        <v>1000</v>
      </c>
      <c r="L59" s="62" t="s">
        <v>503</v>
      </c>
      <c r="M59" s="15"/>
      <c r="N59" s="15"/>
      <c r="O59" s="15"/>
    </row>
    <row r="60" spans="1:15" x14ac:dyDescent="0.25">
      <c r="A60" s="16">
        <v>23608</v>
      </c>
      <c r="B60" s="49">
        <v>1000</v>
      </c>
      <c r="C60" s="17" t="s">
        <v>503</v>
      </c>
      <c r="D60" s="13">
        <v>23682</v>
      </c>
      <c r="E60" s="100">
        <v>500</v>
      </c>
      <c r="F60" s="14"/>
      <c r="G60" s="11"/>
      <c r="H60" s="67"/>
      <c r="I60" s="12" t="s">
        <v>25</v>
      </c>
      <c r="J60" s="61"/>
      <c r="K60" s="72"/>
      <c r="L60" s="62" t="s">
        <v>18</v>
      </c>
      <c r="M60" s="15"/>
      <c r="N60" s="15"/>
      <c r="O60" s="15"/>
    </row>
    <row r="61" spans="1:15" x14ac:dyDescent="0.25">
      <c r="A61" s="16"/>
      <c r="B61" s="49"/>
      <c r="C61" s="17" t="s">
        <v>18</v>
      </c>
      <c r="D61" s="13">
        <v>23683</v>
      </c>
      <c r="E61" s="100">
        <v>3600</v>
      </c>
      <c r="F61" s="14" t="s">
        <v>532</v>
      </c>
      <c r="G61" s="11">
        <v>23730</v>
      </c>
      <c r="H61" s="67"/>
      <c r="I61" s="12" t="s">
        <v>54</v>
      </c>
      <c r="J61" s="61">
        <v>23780</v>
      </c>
      <c r="K61" s="72">
        <v>5500</v>
      </c>
      <c r="L61" s="62" t="s">
        <v>532</v>
      </c>
      <c r="M61" s="15"/>
      <c r="N61" s="15"/>
      <c r="O61" s="15"/>
    </row>
    <row r="62" spans="1:15" x14ac:dyDescent="0.25">
      <c r="A62" s="16">
        <v>23609</v>
      </c>
      <c r="B62" s="49">
        <v>400</v>
      </c>
      <c r="C62" s="17"/>
      <c r="D62" s="13"/>
      <c r="E62" s="100"/>
      <c r="F62" s="14" t="s">
        <v>29</v>
      </c>
      <c r="G62" s="11">
        <v>23731</v>
      </c>
      <c r="H62" s="67">
        <v>3000</v>
      </c>
      <c r="I62" s="12" t="s">
        <v>575</v>
      </c>
      <c r="J62" s="61"/>
      <c r="K62" s="72"/>
      <c r="L62" s="62" t="s">
        <v>18</v>
      </c>
      <c r="M62" s="15"/>
      <c r="N62" s="15"/>
      <c r="O62" s="15"/>
    </row>
    <row r="63" spans="1:15" x14ac:dyDescent="0.25">
      <c r="A63" s="16">
        <v>23610</v>
      </c>
      <c r="B63" s="49">
        <v>1500</v>
      </c>
      <c r="C63" s="17" t="s">
        <v>558</v>
      </c>
      <c r="D63" s="13"/>
      <c r="E63" s="100"/>
      <c r="F63" s="14" t="s">
        <v>555</v>
      </c>
      <c r="G63" s="11"/>
      <c r="H63" s="67"/>
      <c r="I63" s="12" t="s">
        <v>18</v>
      </c>
      <c r="J63" s="61"/>
      <c r="K63" s="72"/>
      <c r="L63" s="62" t="s">
        <v>576</v>
      </c>
      <c r="M63" s="15"/>
      <c r="N63" s="15"/>
      <c r="O63" s="15"/>
    </row>
    <row r="64" spans="1:15" x14ac:dyDescent="0.25">
      <c r="A64" s="16"/>
      <c r="B64" s="49"/>
      <c r="C64" s="17" t="s">
        <v>18</v>
      </c>
      <c r="D64" s="13">
        <v>23684</v>
      </c>
      <c r="E64" s="100">
        <v>550</v>
      </c>
      <c r="F64" s="14" t="s">
        <v>572</v>
      </c>
      <c r="G64" s="11">
        <v>23732</v>
      </c>
      <c r="H64" s="67">
        <v>50</v>
      </c>
      <c r="I64" s="12" t="s">
        <v>71</v>
      </c>
      <c r="J64" s="61">
        <v>23781</v>
      </c>
      <c r="K64" s="72">
        <v>500</v>
      </c>
      <c r="L64" s="62" t="s">
        <v>457</v>
      </c>
      <c r="M64" s="15"/>
      <c r="N64" s="15"/>
      <c r="O64" s="15"/>
    </row>
    <row r="65" spans="1:15" x14ac:dyDescent="0.25">
      <c r="A65" s="16">
        <v>23611</v>
      </c>
      <c r="B65" s="49">
        <v>300</v>
      </c>
      <c r="C65" s="17"/>
      <c r="D65" s="13"/>
      <c r="E65" s="100"/>
      <c r="F65" s="14" t="s">
        <v>573</v>
      </c>
      <c r="G65" s="11">
        <v>23733</v>
      </c>
      <c r="H65" s="67">
        <v>300</v>
      </c>
      <c r="I65" s="12"/>
      <c r="J65" s="61"/>
      <c r="K65" s="72"/>
      <c r="L65" s="62"/>
      <c r="M65" s="15"/>
      <c r="N65" s="15"/>
      <c r="O65" s="15"/>
    </row>
    <row r="66" spans="1:15" x14ac:dyDescent="0.25">
      <c r="A66" s="16">
        <v>23612</v>
      </c>
      <c r="B66" s="49">
        <v>500</v>
      </c>
      <c r="C66" s="17"/>
      <c r="D66" s="13">
        <v>23685</v>
      </c>
      <c r="E66" s="100">
        <v>400</v>
      </c>
      <c r="F66" s="14" t="s">
        <v>492</v>
      </c>
      <c r="G66" s="11">
        <v>23734</v>
      </c>
      <c r="H66" s="67">
        <v>500</v>
      </c>
      <c r="I66" s="12"/>
      <c r="J66" s="61"/>
      <c r="K66" s="72"/>
      <c r="L66" s="62"/>
      <c r="M66" s="15"/>
      <c r="N66" s="15"/>
      <c r="O66" s="15"/>
    </row>
    <row r="67" spans="1:15" x14ac:dyDescent="0.25">
      <c r="A67" s="16">
        <v>23613</v>
      </c>
      <c r="B67" s="49">
        <v>400</v>
      </c>
      <c r="C67" s="17" t="s">
        <v>492</v>
      </c>
      <c r="D67" s="13">
        <v>23686</v>
      </c>
      <c r="E67" s="100">
        <v>400</v>
      </c>
      <c r="F67" s="14"/>
      <c r="G67" s="11">
        <v>23735</v>
      </c>
      <c r="H67" s="67">
        <v>600</v>
      </c>
      <c r="I67" s="12" t="s">
        <v>533</v>
      </c>
      <c r="J67" s="61"/>
      <c r="K67" s="72"/>
      <c r="L67" s="62"/>
      <c r="M67" s="15"/>
      <c r="N67" s="15"/>
      <c r="O67" s="15"/>
    </row>
    <row r="68" spans="1:15" x14ac:dyDescent="0.25">
      <c r="A68" s="16">
        <v>23614</v>
      </c>
      <c r="B68" s="49">
        <v>1000</v>
      </c>
      <c r="C68" s="17" t="s">
        <v>533</v>
      </c>
      <c r="D68" s="13">
        <v>23687</v>
      </c>
      <c r="E68" s="100">
        <v>1000</v>
      </c>
      <c r="F68" s="14" t="s">
        <v>574</v>
      </c>
      <c r="G68" s="11"/>
      <c r="H68" s="67"/>
      <c r="I68" s="12" t="s">
        <v>29</v>
      </c>
      <c r="J68" s="61"/>
      <c r="K68" s="72"/>
      <c r="L68" s="62"/>
      <c r="M68" s="15"/>
      <c r="N68" s="15"/>
      <c r="O68" s="15"/>
    </row>
    <row r="69" spans="1:15" x14ac:dyDescent="0.25">
      <c r="A69" s="16"/>
      <c r="B69" s="49"/>
      <c r="C69" s="17" t="s">
        <v>18</v>
      </c>
      <c r="D69" s="13"/>
      <c r="E69" s="100"/>
      <c r="F69" s="14" t="s">
        <v>18</v>
      </c>
      <c r="G69" s="11">
        <v>23736</v>
      </c>
      <c r="H69" s="67">
        <v>350</v>
      </c>
      <c r="I69" s="12"/>
      <c r="J69" s="61"/>
      <c r="K69" s="72"/>
      <c r="L69" s="62"/>
      <c r="M69" s="15"/>
      <c r="N69" s="15"/>
      <c r="O69" s="15"/>
    </row>
    <row r="70" spans="1:15" x14ac:dyDescent="0.25">
      <c r="A70" s="16">
        <v>23615</v>
      </c>
      <c r="B70" s="49">
        <v>1500</v>
      </c>
      <c r="C70" s="17" t="s">
        <v>559</v>
      </c>
      <c r="D70" s="13">
        <v>23688</v>
      </c>
      <c r="E70" s="100">
        <v>500</v>
      </c>
      <c r="F70" s="14"/>
      <c r="G70" s="11">
        <v>23737</v>
      </c>
      <c r="H70" s="67">
        <v>350</v>
      </c>
      <c r="I70" s="12" t="s">
        <v>580</v>
      </c>
      <c r="J70" s="61"/>
      <c r="K70" s="72"/>
      <c r="L70" s="62"/>
      <c r="M70" s="15"/>
      <c r="N70" s="15"/>
      <c r="O70" s="15"/>
    </row>
    <row r="71" spans="1:15" x14ac:dyDescent="0.25">
      <c r="A71" s="16"/>
      <c r="B71" s="49"/>
      <c r="C71" s="17" t="s">
        <v>18</v>
      </c>
      <c r="D71" s="13">
        <v>23689</v>
      </c>
      <c r="E71" s="100">
        <v>350</v>
      </c>
      <c r="F71" s="14" t="s">
        <v>113</v>
      </c>
      <c r="G71" s="11">
        <v>23738</v>
      </c>
      <c r="H71" s="67">
        <v>400</v>
      </c>
      <c r="I71" s="12"/>
      <c r="J71" s="61"/>
      <c r="K71" s="72"/>
      <c r="L71" s="62"/>
      <c r="M71" s="15"/>
      <c r="N71" s="15"/>
      <c r="O71" s="15"/>
    </row>
    <row r="72" spans="1:15" x14ac:dyDescent="0.25">
      <c r="A72" s="16">
        <v>23616</v>
      </c>
      <c r="B72" s="49">
        <v>500</v>
      </c>
      <c r="C72" s="17" t="s">
        <v>492</v>
      </c>
      <c r="D72" s="13">
        <v>23690</v>
      </c>
      <c r="E72" s="100">
        <v>600</v>
      </c>
      <c r="F72" s="14" t="s">
        <v>503</v>
      </c>
      <c r="G72" s="11">
        <v>23739</v>
      </c>
      <c r="H72" s="67">
        <v>500</v>
      </c>
      <c r="I72" s="12" t="s">
        <v>533</v>
      </c>
      <c r="J72" s="61"/>
      <c r="K72" s="72"/>
      <c r="L72" s="62"/>
      <c r="M72" s="15"/>
      <c r="N72" s="15"/>
      <c r="O72" s="15"/>
    </row>
    <row r="73" spans="1:15" x14ac:dyDescent="0.25">
      <c r="A73" s="16">
        <v>23617</v>
      </c>
      <c r="B73" s="49"/>
      <c r="C73" s="17" t="s">
        <v>54</v>
      </c>
      <c r="D73" s="13"/>
      <c r="E73" s="100"/>
      <c r="F73" s="14" t="s">
        <v>29</v>
      </c>
      <c r="G73" s="11"/>
      <c r="H73" s="67"/>
      <c r="I73" s="12" t="s">
        <v>22</v>
      </c>
      <c r="J73" s="61"/>
      <c r="K73" s="72"/>
      <c r="L73" s="62"/>
      <c r="M73" s="15"/>
      <c r="N73" s="15"/>
      <c r="O73" s="15"/>
    </row>
    <row r="74" spans="1:15" x14ac:dyDescent="0.25">
      <c r="A74" s="16">
        <v>23618</v>
      </c>
      <c r="B74" s="49">
        <v>900</v>
      </c>
      <c r="C74" s="17" t="s">
        <v>560</v>
      </c>
      <c r="D74" s="13">
        <v>23691</v>
      </c>
      <c r="E74" s="100">
        <v>500</v>
      </c>
      <c r="F74" s="14" t="s">
        <v>503</v>
      </c>
      <c r="G74" s="11">
        <v>23740</v>
      </c>
      <c r="H74" s="67">
        <v>600</v>
      </c>
      <c r="I74" s="12" t="s">
        <v>503</v>
      </c>
      <c r="J74" s="61"/>
      <c r="K74" s="72"/>
      <c r="L74" s="62"/>
      <c r="M74" s="15"/>
      <c r="N74" s="15"/>
      <c r="O74" s="15"/>
    </row>
    <row r="75" spans="1:15" x14ac:dyDescent="0.25">
      <c r="A75" s="16"/>
      <c r="B75" s="49"/>
      <c r="C75" s="17" t="s">
        <v>29</v>
      </c>
      <c r="D75" s="13"/>
      <c r="E75" s="100"/>
      <c r="F75" s="14" t="s">
        <v>22</v>
      </c>
      <c r="G75" s="11"/>
      <c r="H75" s="67"/>
      <c r="I75" s="12" t="s">
        <v>29</v>
      </c>
      <c r="J75" s="61"/>
      <c r="K75" s="72"/>
      <c r="L75" s="62"/>
      <c r="M75" s="15"/>
      <c r="N75" s="15"/>
      <c r="O75" s="15"/>
    </row>
    <row r="76" spans="1:15" x14ac:dyDescent="0.25">
      <c r="A76" s="16">
        <v>23619</v>
      </c>
      <c r="B76" s="49">
        <v>500</v>
      </c>
      <c r="C76" s="17" t="s">
        <v>492</v>
      </c>
      <c r="D76" s="13">
        <v>23692</v>
      </c>
      <c r="E76" s="100">
        <v>450</v>
      </c>
      <c r="F76" s="14"/>
      <c r="G76" s="11">
        <v>23741</v>
      </c>
      <c r="H76" s="67">
        <v>500</v>
      </c>
      <c r="I76" s="12"/>
      <c r="J76" s="61"/>
      <c r="K76" s="72"/>
      <c r="L76" s="62"/>
      <c r="M76" s="15"/>
      <c r="N76" s="15"/>
      <c r="O76" s="15"/>
    </row>
    <row r="77" spans="1:15" x14ac:dyDescent="0.25">
      <c r="A77" s="16">
        <v>23620</v>
      </c>
      <c r="B77" s="49">
        <v>500</v>
      </c>
      <c r="C77" s="17"/>
      <c r="D77" s="13">
        <v>23693</v>
      </c>
      <c r="E77" s="100">
        <v>250</v>
      </c>
      <c r="F77" s="14"/>
      <c r="G77" s="11">
        <v>23742</v>
      </c>
      <c r="H77" s="67">
        <v>300</v>
      </c>
      <c r="I77" s="12" t="s">
        <v>492</v>
      </c>
      <c r="J77" s="61"/>
      <c r="K77" s="72"/>
      <c r="L77" s="62"/>
      <c r="M77" s="15"/>
      <c r="N77" s="15"/>
      <c r="O77" s="15"/>
    </row>
    <row r="78" spans="1:15" x14ac:dyDescent="0.25">
      <c r="A78" s="16">
        <v>23621</v>
      </c>
      <c r="B78" s="49">
        <v>200</v>
      </c>
      <c r="C78" s="17"/>
      <c r="D78" s="13">
        <v>23694</v>
      </c>
      <c r="E78" s="100">
        <v>50</v>
      </c>
      <c r="F78" s="14" t="s">
        <v>51</v>
      </c>
      <c r="G78" s="11">
        <v>23743</v>
      </c>
      <c r="H78" s="67">
        <v>500</v>
      </c>
      <c r="I78" s="12"/>
      <c r="J78" s="61"/>
      <c r="K78" s="72"/>
      <c r="L78" s="62"/>
      <c r="M78" s="15"/>
      <c r="N78" s="15"/>
      <c r="O78" s="15"/>
    </row>
    <row r="79" spans="1:15" x14ac:dyDescent="0.25">
      <c r="A79" s="16">
        <v>23622</v>
      </c>
      <c r="B79" s="49">
        <v>250</v>
      </c>
      <c r="C79" s="17"/>
      <c r="D79" s="13">
        <v>23695</v>
      </c>
      <c r="E79" s="100">
        <v>1000</v>
      </c>
      <c r="F79" s="14" t="s">
        <v>280</v>
      </c>
      <c r="G79" s="11">
        <v>23744</v>
      </c>
      <c r="H79" s="67">
        <v>250</v>
      </c>
      <c r="I79" s="12" t="s">
        <v>379</v>
      </c>
      <c r="J79" s="61"/>
      <c r="K79" s="72"/>
      <c r="L79" s="62"/>
      <c r="M79" s="15"/>
      <c r="N79" s="15"/>
      <c r="O79" s="15"/>
    </row>
    <row r="80" spans="1:15" x14ac:dyDescent="0.25">
      <c r="A80" s="16">
        <v>23623</v>
      </c>
      <c r="B80" s="49">
        <v>500</v>
      </c>
      <c r="C80" s="17"/>
      <c r="D80" s="13"/>
      <c r="E80" s="100"/>
      <c r="F80" s="14" t="s">
        <v>22</v>
      </c>
      <c r="G80" s="11">
        <v>23745</v>
      </c>
      <c r="H80" s="67">
        <v>500</v>
      </c>
      <c r="I80" s="12" t="s">
        <v>492</v>
      </c>
      <c r="J80" s="61"/>
      <c r="K80" s="72"/>
      <c r="L80" s="62"/>
      <c r="M80" s="15"/>
      <c r="N80" s="15"/>
      <c r="O80" s="15"/>
    </row>
    <row r="81" spans="1:19" x14ac:dyDescent="0.25">
      <c r="A81" s="16">
        <v>23624</v>
      </c>
      <c r="B81" s="49">
        <v>250</v>
      </c>
      <c r="C81" s="17"/>
      <c r="D81" s="13">
        <v>23696</v>
      </c>
      <c r="E81" s="100">
        <v>600</v>
      </c>
      <c r="F81" s="14" t="s">
        <v>533</v>
      </c>
      <c r="G81" s="11">
        <v>23746</v>
      </c>
      <c r="H81" s="67">
        <v>500</v>
      </c>
      <c r="I81" s="12" t="s">
        <v>492</v>
      </c>
      <c r="J81" s="61"/>
      <c r="K81" s="72"/>
      <c r="L81" s="62"/>
      <c r="M81" s="15"/>
      <c r="N81" s="15"/>
      <c r="O81" s="15"/>
    </row>
    <row r="82" spans="1:19" x14ac:dyDescent="0.25">
      <c r="A82" s="16">
        <v>23625</v>
      </c>
      <c r="B82" s="49">
        <v>500</v>
      </c>
      <c r="C82" s="17" t="s">
        <v>492</v>
      </c>
      <c r="D82" s="13"/>
      <c r="E82" s="100"/>
      <c r="F82" s="14" t="s">
        <v>29</v>
      </c>
      <c r="G82" s="11">
        <v>23747</v>
      </c>
      <c r="H82" s="67">
        <v>50</v>
      </c>
      <c r="I82" s="12" t="s">
        <v>71</v>
      </c>
      <c r="J82" s="61"/>
      <c r="K82" s="72"/>
      <c r="L82" s="62"/>
      <c r="M82" s="15"/>
      <c r="N82" s="15"/>
      <c r="O82" s="15"/>
    </row>
    <row r="83" spans="1:19" x14ac:dyDescent="0.25">
      <c r="A83" s="16">
        <v>23626</v>
      </c>
      <c r="B83" s="49">
        <v>250</v>
      </c>
      <c r="C83" s="17" t="s">
        <v>554</v>
      </c>
      <c r="D83" s="13">
        <v>23697</v>
      </c>
      <c r="E83" s="100">
        <v>500</v>
      </c>
      <c r="F83" s="14"/>
      <c r="G83" s="11">
        <v>23748</v>
      </c>
      <c r="H83" s="67">
        <v>500</v>
      </c>
      <c r="I83" s="12"/>
      <c r="J83" s="61"/>
      <c r="K83" s="72"/>
      <c r="L83" s="62"/>
      <c r="M83" s="15"/>
      <c r="N83" s="15"/>
      <c r="O83" s="15"/>
    </row>
    <row r="84" spans="1:19" x14ac:dyDescent="0.25">
      <c r="A84" s="16">
        <v>23627</v>
      </c>
      <c r="B84" s="49">
        <v>200</v>
      </c>
      <c r="C84" s="17"/>
      <c r="D84" s="13">
        <v>23698</v>
      </c>
      <c r="E84" s="100">
        <v>500</v>
      </c>
      <c r="F84" s="14" t="s">
        <v>492</v>
      </c>
      <c r="G84" s="11">
        <v>23749</v>
      </c>
      <c r="H84" s="67">
        <v>1000</v>
      </c>
      <c r="I84" s="12" t="s">
        <v>503</v>
      </c>
      <c r="J84" s="61"/>
      <c r="K84" s="72"/>
      <c r="L84" s="62"/>
      <c r="M84" s="15"/>
      <c r="N84" s="15"/>
      <c r="O84" s="15"/>
    </row>
    <row r="85" spans="1:19" x14ac:dyDescent="0.25">
      <c r="A85" s="16">
        <v>23628</v>
      </c>
      <c r="B85" s="49">
        <v>500</v>
      </c>
      <c r="C85" s="17"/>
      <c r="D85" s="13"/>
      <c r="E85" s="100"/>
      <c r="F85" s="14"/>
      <c r="G85" s="11"/>
      <c r="H85" s="67"/>
      <c r="I85" s="12" t="s">
        <v>18</v>
      </c>
      <c r="J85" s="61"/>
      <c r="K85" s="72"/>
      <c r="L85" s="62"/>
      <c r="M85" s="15"/>
      <c r="N85" s="15"/>
      <c r="O85" s="15"/>
    </row>
    <row r="86" spans="1:19" x14ac:dyDescent="0.25">
      <c r="A86" s="16">
        <v>23629</v>
      </c>
      <c r="B86" s="49">
        <v>1000</v>
      </c>
      <c r="C86" s="17" t="s">
        <v>503</v>
      </c>
      <c r="D86" s="13"/>
      <c r="E86" s="100"/>
      <c r="F86" s="14"/>
      <c r="G86" s="11"/>
      <c r="H86" s="67"/>
      <c r="I86" s="12"/>
      <c r="J86" s="61"/>
      <c r="K86" s="72"/>
      <c r="L86" s="62"/>
      <c r="M86" s="15"/>
      <c r="N86" s="15"/>
      <c r="O86" s="15"/>
    </row>
    <row r="87" spans="1:19" x14ac:dyDescent="0.25">
      <c r="A87" s="16"/>
      <c r="B87" s="49"/>
      <c r="C87" s="17" t="s">
        <v>18</v>
      </c>
      <c r="D87" s="13"/>
      <c r="E87" s="100"/>
      <c r="F87" s="14"/>
      <c r="G87" s="11"/>
      <c r="H87" s="67"/>
      <c r="I87" s="12"/>
      <c r="J87" s="61"/>
      <c r="K87" s="72"/>
      <c r="L87" s="62"/>
      <c r="M87" s="15"/>
      <c r="N87" s="15"/>
      <c r="O87" s="15"/>
    </row>
    <row r="88" spans="1:19" x14ac:dyDescent="0.25">
      <c r="A88" s="16">
        <v>23630</v>
      </c>
      <c r="B88" s="49">
        <v>500</v>
      </c>
      <c r="C88" s="17"/>
      <c r="D88" s="13"/>
      <c r="E88" s="100"/>
      <c r="F88" s="14"/>
      <c r="G88" s="11"/>
      <c r="H88" s="67"/>
      <c r="I88" s="12"/>
      <c r="J88" s="61"/>
      <c r="K88" s="72"/>
      <c r="L88" s="62"/>
      <c r="M88" s="15"/>
      <c r="N88" s="15"/>
      <c r="O88" s="15"/>
    </row>
    <row r="89" spans="1:19" x14ac:dyDescent="0.25">
      <c r="A89" s="16">
        <v>23631</v>
      </c>
      <c r="B89" s="49">
        <v>2300</v>
      </c>
      <c r="C89" s="17" t="s">
        <v>484</v>
      </c>
      <c r="D89" s="13"/>
      <c r="E89" s="100"/>
      <c r="F89" s="14"/>
      <c r="G89" s="11"/>
      <c r="H89" s="67"/>
      <c r="I89" s="12"/>
      <c r="J89" s="61"/>
      <c r="K89" s="72"/>
      <c r="L89" s="62"/>
      <c r="M89" s="15"/>
      <c r="N89" s="15"/>
      <c r="O89" s="15"/>
    </row>
    <row r="90" spans="1:19" x14ac:dyDescent="0.25">
      <c r="A90" s="16"/>
      <c r="B90" s="49"/>
      <c r="C90" s="17" t="s">
        <v>561</v>
      </c>
      <c r="D90" s="13"/>
      <c r="E90" s="100"/>
      <c r="F90" s="14"/>
      <c r="G90" s="11"/>
      <c r="H90" s="67"/>
      <c r="I90" s="12"/>
      <c r="J90" s="61"/>
      <c r="K90" s="72"/>
      <c r="L90" s="62"/>
      <c r="M90" s="15"/>
      <c r="N90" s="15"/>
      <c r="O90" s="15"/>
    </row>
    <row r="91" spans="1:19" x14ac:dyDescent="0.25">
      <c r="A91" s="16">
        <v>23632</v>
      </c>
      <c r="B91" s="49">
        <v>600</v>
      </c>
      <c r="C91" s="17"/>
      <c r="D91" s="13"/>
      <c r="E91" s="100"/>
      <c r="F91" s="14"/>
      <c r="G91" s="11"/>
      <c r="H91" s="67"/>
      <c r="I91" s="12"/>
      <c r="J91" s="61"/>
      <c r="K91" s="72"/>
      <c r="L91" s="62"/>
      <c r="M91" s="15"/>
      <c r="N91" s="15"/>
      <c r="O91" s="15"/>
    </row>
    <row r="92" spans="1:19" x14ac:dyDescent="0.25">
      <c r="A92" s="16">
        <v>23633</v>
      </c>
      <c r="B92" s="49">
        <v>50</v>
      </c>
      <c r="C92" s="17" t="s">
        <v>562</v>
      </c>
      <c r="D92" s="13"/>
      <c r="E92" s="100"/>
      <c r="F92" s="14"/>
      <c r="G92" s="11"/>
      <c r="H92" s="67"/>
      <c r="I92" s="12"/>
      <c r="J92" s="61"/>
      <c r="K92" s="72"/>
      <c r="L92" s="62"/>
      <c r="M92" s="15"/>
      <c r="N92" s="15"/>
      <c r="O92" s="15"/>
    </row>
    <row r="93" spans="1:19" x14ac:dyDescent="0.25">
      <c r="A93" s="16">
        <v>23634</v>
      </c>
      <c r="B93" s="49">
        <v>400</v>
      </c>
      <c r="C93" s="17"/>
      <c r="D93" s="13"/>
      <c r="E93" s="100"/>
      <c r="F93" s="14"/>
      <c r="G93" s="11"/>
      <c r="H93" s="67"/>
      <c r="I93" s="12"/>
      <c r="J93" s="61"/>
      <c r="K93" s="72"/>
      <c r="L93" s="62"/>
      <c r="M93" s="15"/>
      <c r="N93" s="15"/>
      <c r="O93" s="15"/>
      <c r="P93" s="58"/>
      <c r="Q93" s="58"/>
      <c r="R93" s="58"/>
      <c r="S93" s="58"/>
    </row>
    <row r="94" spans="1:19" x14ac:dyDescent="0.25">
      <c r="A94" s="16">
        <v>23635</v>
      </c>
      <c r="B94" s="49">
        <v>1000</v>
      </c>
      <c r="C94" s="17" t="s">
        <v>503</v>
      </c>
      <c r="D94" s="13"/>
      <c r="E94" s="100"/>
      <c r="F94" s="14"/>
      <c r="G94" s="11"/>
      <c r="H94" s="67"/>
      <c r="I94" s="12"/>
      <c r="J94" s="61"/>
      <c r="K94" s="72"/>
      <c r="L94" s="62"/>
      <c r="M94" s="15"/>
      <c r="N94" s="15"/>
      <c r="O94" s="15"/>
      <c r="P94" s="58"/>
      <c r="Q94" s="58"/>
      <c r="R94" s="58"/>
      <c r="S94" s="58"/>
    </row>
    <row r="95" spans="1:19" x14ac:dyDescent="0.25">
      <c r="A95" s="16"/>
      <c r="B95" s="49"/>
      <c r="C95" s="17" t="s">
        <v>18</v>
      </c>
      <c r="D95" s="13"/>
      <c r="E95" s="100"/>
      <c r="F95" s="14"/>
      <c r="G95" s="11"/>
      <c r="H95" s="67"/>
      <c r="I95" s="12"/>
      <c r="J95" s="61"/>
      <c r="K95" s="72"/>
      <c r="L95" s="62"/>
      <c r="M95" s="15"/>
      <c r="N95" s="15"/>
      <c r="O95" s="15"/>
      <c r="P95" s="58"/>
      <c r="Q95" s="58"/>
      <c r="R95" s="58"/>
      <c r="S95" s="58"/>
    </row>
    <row r="96" spans="1:19" x14ac:dyDescent="0.25">
      <c r="A96" s="16">
        <v>23636</v>
      </c>
      <c r="B96" s="49">
        <v>300</v>
      </c>
      <c r="C96" s="17"/>
      <c r="D96" s="13"/>
      <c r="E96" s="100"/>
      <c r="F96" s="14"/>
      <c r="G96" s="11"/>
      <c r="H96" s="67"/>
      <c r="I96" s="12"/>
      <c r="J96" s="61"/>
      <c r="K96" s="72"/>
      <c r="L96" s="62"/>
      <c r="M96" s="15"/>
      <c r="N96" s="15"/>
      <c r="O96" s="15"/>
      <c r="P96" s="58"/>
      <c r="Q96" s="58"/>
      <c r="R96" s="58"/>
      <c r="S96" s="58"/>
    </row>
    <row r="97" spans="1:19" x14ac:dyDescent="0.25">
      <c r="A97" s="16">
        <v>23637</v>
      </c>
      <c r="B97" s="49">
        <v>1000</v>
      </c>
      <c r="C97" s="17" t="s">
        <v>563</v>
      </c>
      <c r="D97" s="13"/>
      <c r="E97" s="100"/>
      <c r="F97" s="14"/>
      <c r="G97" s="11"/>
      <c r="H97" s="67"/>
      <c r="I97" s="12"/>
      <c r="J97" s="61"/>
      <c r="K97" s="72"/>
      <c r="L97" s="62"/>
      <c r="M97" s="15"/>
      <c r="N97" s="15"/>
      <c r="O97" s="15"/>
      <c r="P97" s="58"/>
      <c r="Q97" s="58"/>
      <c r="R97" s="58"/>
      <c r="S97" s="58"/>
    </row>
    <row r="98" spans="1:19" x14ac:dyDescent="0.25">
      <c r="A98" s="16"/>
      <c r="B98" s="49"/>
      <c r="C98" s="17" t="s">
        <v>564</v>
      </c>
      <c r="D98" s="13"/>
      <c r="E98" s="100"/>
      <c r="F98" s="14"/>
      <c r="G98" s="11"/>
      <c r="H98" s="67"/>
      <c r="I98" s="12"/>
      <c r="J98" s="61"/>
      <c r="K98" s="72"/>
      <c r="L98" s="62"/>
      <c r="M98" s="15"/>
      <c r="N98" s="15"/>
      <c r="O98" s="15"/>
      <c r="P98" s="58"/>
      <c r="Q98" s="58"/>
      <c r="R98" s="58"/>
      <c r="S98" s="58"/>
    </row>
    <row r="99" spans="1:19" x14ac:dyDescent="0.25">
      <c r="A99" s="16">
        <v>23638</v>
      </c>
      <c r="B99" s="49">
        <v>600</v>
      </c>
      <c r="C99" s="17" t="s">
        <v>503</v>
      </c>
      <c r="D99" s="13"/>
      <c r="E99" s="100"/>
      <c r="F99" s="14"/>
      <c r="G99" s="11"/>
      <c r="H99" s="67"/>
      <c r="I99" s="12"/>
      <c r="J99" s="61"/>
      <c r="K99" s="72"/>
      <c r="L99" s="62"/>
      <c r="M99" s="15"/>
      <c r="N99" s="15"/>
      <c r="O99" s="15"/>
      <c r="P99" s="58"/>
      <c r="Q99" s="58"/>
      <c r="R99" s="58"/>
      <c r="S99" s="58"/>
    </row>
    <row r="100" spans="1:19" x14ac:dyDescent="0.25">
      <c r="A100" s="16"/>
      <c r="B100" s="49"/>
      <c r="C100" s="17" t="s">
        <v>29</v>
      </c>
      <c r="D100" s="13"/>
      <c r="E100" s="100"/>
      <c r="F100" s="14"/>
      <c r="G100" s="11"/>
      <c r="H100" s="67"/>
      <c r="I100" s="12"/>
      <c r="J100" s="61"/>
      <c r="K100" s="72"/>
      <c r="L100" s="62"/>
      <c r="M100" s="15"/>
      <c r="N100" s="15"/>
      <c r="O100" s="15"/>
      <c r="P100" s="58"/>
      <c r="Q100" s="58"/>
      <c r="R100" s="58"/>
      <c r="S100" s="58"/>
    </row>
    <row r="101" spans="1:19" x14ac:dyDescent="0.25">
      <c r="A101" s="16">
        <v>23639</v>
      </c>
      <c r="B101" s="49">
        <v>300</v>
      </c>
      <c r="C101" s="17"/>
      <c r="D101" s="13"/>
      <c r="E101" s="100"/>
      <c r="F101" s="14"/>
      <c r="G101" s="11"/>
      <c r="H101" s="67"/>
      <c r="I101" s="12"/>
      <c r="J101" s="61"/>
      <c r="K101" s="72"/>
      <c r="L101" s="62"/>
      <c r="M101" s="15"/>
      <c r="N101" s="15"/>
      <c r="O101" s="15"/>
      <c r="P101" s="58"/>
      <c r="Q101" s="58"/>
      <c r="R101" s="58"/>
      <c r="S101" s="58"/>
    </row>
    <row r="102" spans="1:19" x14ac:dyDescent="0.25">
      <c r="A102" s="16">
        <v>23640</v>
      </c>
      <c r="B102" s="49">
        <v>500</v>
      </c>
      <c r="C102" s="17"/>
      <c r="D102" s="13"/>
      <c r="E102" s="100"/>
      <c r="F102" s="14"/>
      <c r="G102" s="11"/>
      <c r="H102" s="67"/>
      <c r="I102" s="12"/>
      <c r="J102" s="61"/>
      <c r="K102" s="72"/>
      <c r="L102" s="62"/>
      <c r="M102" s="15"/>
      <c r="N102" s="15"/>
      <c r="O102" s="15"/>
      <c r="P102" s="58"/>
      <c r="Q102" s="58"/>
      <c r="R102" s="58"/>
      <c r="S102" s="58"/>
    </row>
    <row r="103" spans="1:19" x14ac:dyDescent="0.25">
      <c r="A103" s="16">
        <v>23641</v>
      </c>
      <c r="B103" s="49">
        <v>500</v>
      </c>
      <c r="C103" s="17"/>
      <c r="D103" s="13"/>
      <c r="E103" s="100"/>
      <c r="F103" s="14"/>
      <c r="G103" s="11"/>
      <c r="H103" s="67"/>
      <c r="I103" s="12"/>
      <c r="J103" s="61"/>
      <c r="K103" s="72"/>
      <c r="L103" s="62"/>
      <c r="M103" s="15"/>
      <c r="N103" s="15"/>
      <c r="O103" s="15"/>
      <c r="P103" s="58"/>
      <c r="Q103" s="58"/>
      <c r="R103" s="58"/>
      <c r="S103" s="58"/>
    </row>
    <row r="104" spans="1:19" x14ac:dyDescent="0.25">
      <c r="A104" s="16">
        <v>23642</v>
      </c>
      <c r="B104" s="49">
        <v>500</v>
      </c>
      <c r="C104" s="17" t="s">
        <v>492</v>
      </c>
      <c r="D104" s="13"/>
      <c r="E104" s="100"/>
      <c r="F104" s="14"/>
      <c r="G104" s="11"/>
      <c r="H104" s="67"/>
      <c r="I104" s="12"/>
      <c r="J104" s="61"/>
      <c r="K104" s="72"/>
      <c r="L104" s="62"/>
      <c r="M104" s="15"/>
      <c r="N104" s="15"/>
      <c r="O104" s="15"/>
      <c r="P104" s="58"/>
      <c r="Q104" s="58"/>
      <c r="R104" s="58"/>
      <c r="S104" s="58"/>
    </row>
    <row r="105" spans="1:19" x14ac:dyDescent="0.25">
      <c r="A105" s="16">
        <v>23643</v>
      </c>
      <c r="B105" s="49">
        <v>500</v>
      </c>
      <c r="C105" s="17" t="s">
        <v>492</v>
      </c>
      <c r="D105" s="13"/>
      <c r="E105" s="100"/>
      <c r="F105" s="14"/>
      <c r="G105" s="11"/>
      <c r="H105" s="67"/>
      <c r="I105" s="12"/>
      <c r="J105" s="61"/>
      <c r="K105" s="72"/>
      <c r="L105" s="62"/>
      <c r="M105" s="15"/>
      <c r="N105" s="15"/>
      <c r="O105" s="15"/>
      <c r="P105" s="58"/>
      <c r="Q105" s="58"/>
      <c r="R105" s="58"/>
      <c r="S105" s="58"/>
    </row>
    <row r="106" spans="1:19" x14ac:dyDescent="0.25">
      <c r="A106" s="16">
        <v>23644</v>
      </c>
      <c r="B106" s="49">
        <v>1000</v>
      </c>
      <c r="C106" s="17" t="s">
        <v>469</v>
      </c>
      <c r="D106" s="13"/>
      <c r="E106" s="100"/>
      <c r="F106" s="14"/>
      <c r="G106" s="11"/>
      <c r="H106" s="67"/>
      <c r="I106" s="12"/>
      <c r="J106" s="61"/>
      <c r="K106" s="72"/>
      <c r="L106" s="62"/>
      <c r="M106" s="15"/>
      <c r="N106" s="15"/>
      <c r="O106" s="15"/>
      <c r="P106" s="58"/>
      <c r="Q106" s="58"/>
      <c r="R106" s="58"/>
      <c r="S106" s="58"/>
    </row>
    <row r="107" spans="1:19" x14ac:dyDescent="0.25">
      <c r="A107" s="16"/>
      <c r="B107" s="49"/>
      <c r="C107" s="17" t="s">
        <v>18</v>
      </c>
      <c r="D107" s="13"/>
      <c r="E107" s="100"/>
      <c r="F107" s="14"/>
      <c r="G107" s="11"/>
      <c r="H107" s="67"/>
      <c r="I107" s="12"/>
      <c r="J107" s="61"/>
      <c r="K107" s="72"/>
      <c r="L107" s="62"/>
      <c r="M107" s="15"/>
      <c r="N107" s="15"/>
      <c r="O107" s="15"/>
      <c r="P107" s="58"/>
      <c r="Q107" s="58"/>
      <c r="R107" s="58"/>
      <c r="S107" s="58"/>
    </row>
    <row r="108" spans="1:19" x14ac:dyDescent="0.25">
      <c r="A108" s="16">
        <v>23645</v>
      </c>
      <c r="B108" s="49">
        <v>400</v>
      </c>
      <c r="C108" s="17" t="s">
        <v>492</v>
      </c>
      <c r="D108" s="13"/>
      <c r="E108" s="100"/>
      <c r="F108" s="14"/>
      <c r="G108" s="11"/>
      <c r="H108" s="67"/>
      <c r="I108" s="12"/>
      <c r="J108" s="61"/>
      <c r="K108" s="72"/>
      <c r="L108" s="62"/>
      <c r="M108" s="15"/>
      <c r="N108" s="15"/>
      <c r="O108" s="15"/>
      <c r="P108" s="58"/>
      <c r="Q108" s="58"/>
      <c r="R108" s="58"/>
      <c r="S108" s="58"/>
    </row>
    <row r="109" spans="1:19" x14ac:dyDescent="0.25">
      <c r="A109" s="16">
        <v>23646</v>
      </c>
      <c r="B109" s="49">
        <v>800</v>
      </c>
      <c r="C109" s="17" t="s">
        <v>565</v>
      </c>
      <c r="D109" s="13"/>
      <c r="E109" s="100"/>
      <c r="F109" s="14"/>
      <c r="G109" s="11"/>
      <c r="H109" s="67"/>
      <c r="I109" s="12"/>
      <c r="J109" s="61"/>
      <c r="K109" s="72"/>
      <c r="L109" s="62"/>
      <c r="M109" s="15"/>
      <c r="N109" s="15"/>
      <c r="O109" s="15"/>
      <c r="P109" s="58"/>
      <c r="Q109" s="58"/>
      <c r="R109" s="58"/>
      <c r="S109" s="58"/>
    </row>
    <row r="110" spans="1:19" x14ac:dyDescent="0.25">
      <c r="A110" s="16"/>
      <c r="B110" s="49"/>
      <c r="C110" s="17" t="s">
        <v>566</v>
      </c>
      <c r="D110" s="13"/>
      <c r="E110" s="100"/>
      <c r="F110" s="14"/>
      <c r="G110" s="11"/>
      <c r="H110" s="67"/>
      <c r="I110" s="12"/>
      <c r="J110" s="61"/>
      <c r="K110" s="72"/>
      <c r="L110" s="62"/>
      <c r="M110" s="15"/>
      <c r="N110" s="15"/>
      <c r="O110" s="15"/>
      <c r="P110" s="58"/>
      <c r="Q110" s="58"/>
      <c r="R110" s="58"/>
      <c r="S110" s="58"/>
    </row>
    <row r="111" spans="1:19" x14ac:dyDescent="0.25">
      <c r="A111" s="16">
        <v>23647</v>
      </c>
      <c r="B111" s="49">
        <v>500</v>
      </c>
      <c r="C111" s="17"/>
      <c r="D111" s="13"/>
      <c r="E111" s="100"/>
      <c r="F111" s="14"/>
      <c r="G111" s="11"/>
      <c r="H111" s="67"/>
      <c r="I111" s="12"/>
      <c r="J111" s="61"/>
      <c r="K111" s="72"/>
      <c r="L111" s="62"/>
      <c r="M111" s="15"/>
      <c r="N111" s="15"/>
      <c r="O111" s="15"/>
    </row>
    <row r="112" spans="1:19" x14ac:dyDescent="0.25">
      <c r="A112" s="16"/>
      <c r="B112" s="49"/>
      <c r="C112" s="17"/>
      <c r="D112" s="13"/>
      <c r="E112" s="100"/>
      <c r="F112" s="14"/>
      <c r="G112" s="11"/>
      <c r="H112" s="67"/>
      <c r="I112" s="12"/>
      <c r="J112" s="61"/>
      <c r="K112" s="72"/>
      <c r="L112" s="62"/>
      <c r="M112" s="15"/>
      <c r="N112" s="15"/>
      <c r="O112" s="15"/>
    </row>
    <row r="113" spans="1:15" x14ac:dyDescent="0.25">
      <c r="A113" s="26"/>
      <c r="B113" s="66"/>
      <c r="C113" s="58"/>
      <c r="D113" s="26"/>
      <c r="E113" s="58"/>
      <c r="F113" s="58"/>
      <c r="G113" s="26"/>
      <c r="H113" s="58"/>
      <c r="I113" s="58"/>
      <c r="J113" s="26"/>
      <c r="K113" s="58"/>
      <c r="L113" s="58"/>
      <c r="M113" s="58"/>
      <c r="N113" s="58"/>
      <c r="O113" s="58"/>
    </row>
    <row r="114" spans="1:15" x14ac:dyDescent="0.25">
      <c r="A114" s="26"/>
      <c r="B114" s="66"/>
      <c r="C114" s="58"/>
      <c r="D114" s="26"/>
      <c r="E114" s="58"/>
      <c r="F114" s="58"/>
      <c r="G114" s="26"/>
      <c r="H114" s="58"/>
      <c r="I114" s="58"/>
      <c r="J114" s="26"/>
      <c r="K114" s="58"/>
      <c r="L114" s="58"/>
      <c r="M114" s="58"/>
      <c r="N114" s="58"/>
      <c r="O114" s="58"/>
    </row>
    <row r="115" spans="1:15" x14ac:dyDescent="0.25">
      <c r="A115" s="26"/>
      <c r="B115" s="66"/>
      <c r="C115" s="58"/>
      <c r="D115" s="26"/>
      <c r="E115" s="58"/>
      <c r="F115" s="58"/>
      <c r="G115" s="26"/>
      <c r="H115" s="58"/>
      <c r="I115" s="58"/>
      <c r="J115" s="26"/>
      <c r="K115" s="58"/>
      <c r="L115" s="58"/>
      <c r="M115" s="58"/>
      <c r="N115" s="58"/>
      <c r="O115" s="58"/>
    </row>
    <row r="116" spans="1:15" x14ac:dyDescent="0.25">
      <c r="A116" s="26"/>
      <c r="B116" s="66"/>
      <c r="C116" s="58"/>
      <c r="D116" s="26"/>
      <c r="E116" s="58"/>
      <c r="F116" s="58"/>
      <c r="G116" s="26"/>
      <c r="H116" s="58"/>
      <c r="I116" s="58"/>
      <c r="J116" s="26"/>
      <c r="K116" s="58"/>
      <c r="L116" s="58"/>
      <c r="M116" s="58"/>
      <c r="N116" s="58"/>
      <c r="O116" s="58"/>
    </row>
    <row r="117" spans="1:15" x14ac:dyDescent="0.25">
      <c r="A117" s="26"/>
      <c r="B117" s="66"/>
      <c r="C117" s="58"/>
      <c r="D117" s="26"/>
      <c r="E117" s="58"/>
      <c r="F117" s="58"/>
      <c r="G117" s="26"/>
      <c r="H117" s="58"/>
      <c r="I117" s="58"/>
      <c r="J117" s="26"/>
      <c r="K117" s="58"/>
      <c r="L117" s="58"/>
      <c r="M117" s="58"/>
      <c r="N117" s="58"/>
      <c r="O117" s="58"/>
    </row>
    <row r="118" spans="1:15" x14ac:dyDescent="0.25">
      <c r="A118" s="26"/>
      <c r="B118" s="66"/>
      <c r="C118" s="58"/>
      <c r="D118" s="26"/>
      <c r="E118" s="58"/>
      <c r="F118" s="58"/>
      <c r="G118" s="26"/>
      <c r="H118" s="58"/>
      <c r="I118" s="58"/>
      <c r="J118" s="26"/>
      <c r="K118" s="58"/>
      <c r="L118" s="58"/>
      <c r="M118" s="58"/>
      <c r="N118" s="58"/>
      <c r="O118" s="58"/>
    </row>
    <row r="119" spans="1:15" x14ac:dyDescent="0.25">
      <c r="A119" s="26"/>
      <c r="B119" s="66"/>
      <c r="C119" s="58"/>
      <c r="D119" s="26"/>
      <c r="E119" s="58"/>
      <c r="F119" s="58"/>
      <c r="G119" s="26"/>
      <c r="H119" s="58"/>
      <c r="I119" s="58"/>
      <c r="J119" s="26"/>
      <c r="K119" s="58"/>
      <c r="L119" s="58"/>
      <c r="M119" s="58"/>
      <c r="N119" s="58"/>
      <c r="O119" s="58"/>
    </row>
    <row r="120" spans="1:15" x14ac:dyDescent="0.25">
      <c r="A120" s="26"/>
      <c r="B120" s="66"/>
      <c r="C120" s="58"/>
      <c r="D120" s="26"/>
      <c r="E120" s="58"/>
      <c r="F120" s="58"/>
      <c r="G120" s="26"/>
      <c r="H120" s="58"/>
      <c r="I120" s="58"/>
      <c r="J120" s="26"/>
      <c r="K120" s="58"/>
      <c r="L120" s="58"/>
      <c r="M120" s="58"/>
      <c r="N120" s="58"/>
      <c r="O120" s="58"/>
    </row>
    <row r="121" spans="1:15" x14ac:dyDescent="0.25">
      <c r="A121" s="26"/>
      <c r="B121" s="66"/>
      <c r="C121" s="58"/>
      <c r="D121" s="26"/>
      <c r="E121" s="58"/>
      <c r="F121" s="58"/>
      <c r="G121" s="26"/>
      <c r="H121" s="58"/>
      <c r="I121" s="58"/>
      <c r="J121" s="26"/>
      <c r="K121" s="58"/>
      <c r="L121" s="58"/>
      <c r="M121" s="58"/>
      <c r="N121" s="58"/>
      <c r="O121" s="58"/>
    </row>
    <row r="122" spans="1:15" x14ac:dyDescent="0.25">
      <c r="A122" s="26"/>
      <c r="B122" s="66"/>
      <c r="C122" s="58"/>
      <c r="D122" s="26"/>
      <c r="E122" s="58"/>
      <c r="F122" s="58"/>
      <c r="G122" s="26"/>
      <c r="H122" s="58"/>
      <c r="I122" s="58"/>
      <c r="J122" s="26"/>
      <c r="K122" s="58"/>
      <c r="L122" s="58"/>
      <c r="M122" s="58"/>
      <c r="N122" s="58"/>
      <c r="O122" s="58"/>
    </row>
    <row r="123" spans="1:15" x14ac:dyDescent="0.25">
      <c r="A123" s="26"/>
      <c r="B123" s="66"/>
      <c r="C123" s="58"/>
      <c r="D123" s="26"/>
      <c r="E123" s="58"/>
      <c r="F123" s="58"/>
      <c r="G123" s="26"/>
      <c r="H123" s="58"/>
      <c r="I123" s="58"/>
      <c r="J123" s="26"/>
      <c r="K123" s="58"/>
      <c r="L123" s="58"/>
      <c r="M123" s="58"/>
      <c r="N123" s="58"/>
      <c r="O123" s="58"/>
    </row>
    <row r="124" spans="1:15" x14ac:dyDescent="0.25">
      <c r="A124" s="26"/>
      <c r="B124" s="66"/>
      <c r="C124" s="58"/>
      <c r="D124" s="26"/>
      <c r="E124" s="58"/>
      <c r="F124" s="58"/>
      <c r="G124" s="26"/>
      <c r="H124" s="58"/>
      <c r="I124" s="58"/>
      <c r="J124" s="26"/>
      <c r="K124" s="58"/>
      <c r="L124" s="58"/>
      <c r="M124" s="58"/>
      <c r="N124" s="58"/>
      <c r="O124" s="58"/>
    </row>
    <row r="125" spans="1:15" x14ac:dyDescent="0.25">
      <c r="A125" s="26"/>
      <c r="B125" s="66"/>
      <c r="C125" s="58"/>
      <c r="D125" s="26"/>
      <c r="E125" s="58"/>
      <c r="F125" s="58"/>
      <c r="G125" s="26"/>
      <c r="H125" s="58"/>
      <c r="I125" s="58"/>
      <c r="J125" s="26"/>
      <c r="K125" s="58"/>
      <c r="L125" s="58"/>
      <c r="M125" s="58"/>
      <c r="N125" s="58"/>
      <c r="O125" s="58"/>
    </row>
    <row r="126" spans="1:15" x14ac:dyDescent="0.25">
      <c r="A126" s="26"/>
      <c r="B126" s="66"/>
      <c r="C126" s="58"/>
      <c r="D126" s="26"/>
      <c r="E126" s="58"/>
      <c r="F126" s="58"/>
      <c r="G126" s="26"/>
      <c r="H126" s="58"/>
      <c r="I126" s="58"/>
      <c r="J126" s="26"/>
      <c r="K126" s="58"/>
      <c r="L126" s="58"/>
      <c r="M126" s="58"/>
      <c r="N126" s="58"/>
      <c r="O126" s="58"/>
    </row>
    <row r="127" spans="1:15" x14ac:dyDescent="0.25">
      <c r="A127" s="26"/>
      <c r="B127" s="66"/>
      <c r="C127" s="58"/>
      <c r="D127" s="26"/>
      <c r="E127" s="58"/>
      <c r="F127" s="58"/>
      <c r="G127" s="26"/>
      <c r="H127" s="58"/>
      <c r="I127" s="58"/>
      <c r="J127" s="26"/>
      <c r="K127" s="58"/>
      <c r="L127" s="58"/>
      <c r="M127" s="58"/>
      <c r="N127" s="58"/>
      <c r="O127" s="58"/>
    </row>
    <row r="128" spans="1:15" x14ac:dyDescent="0.25">
      <c r="A128" s="26"/>
      <c r="B128" s="66"/>
      <c r="C128" s="58"/>
      <c r="D128" s="26"/>
      <c r="E128" s="58"/>
      <c r="F128" s="58"/>
      <c r="G128" s="26"/>
      <c r="H128" s="58"/>
      <c r="I128" s="58"/>
      <c r="J128" s="26"/>
      <c r="K128" s="58"/>
      <c r="L128" s="58"/>
      <c r="M128" s="58"/>
      <c r="N128" s="58"/>
      <c r="O128" s="58"/>
    </row>
    <row r="129" spans="1:15" x14ac:dyDescent="0.25">
      <c r="A129" s="26"/>
      <c r="B129" s="66"/>
      <c r="C129" s="58"/>
      <c r="D129" s="26"/>
      <c r="E129" s="58"/>
      <c r="F129" s="58"/>
      <c r="G129" s="26"/>
      <c r="H129" s="58"/>
      <c r="I129" s="58"/>
      <c r="J129" s="26"/>
      <c r="K129" s="58"/>
      <c r="L129" s="58"/>
      <c r="M129" s="58"/>
      <c r="N129" s="58"/>
      <c r="O129" s="58"/>
    </row>
    <row r="130" spans="1:15" x14ac:dyDescent="0.25">
      <c r="A130" s="26"/>
      <c r="B130" s="66"/>
      <c r="C130" s="58"/>
      <c r="D130" s="26"/>
      <c r="E130" s="58"/>
      <c r="F130" s="58"/>
      <c r="G130" s="26"/>
      <c r="H130" s="58"/>
      <c r="I130" s="58"/>
      <c r="J130" s="26"/>
      <c r="K130" s="58"/>
      <c r="L130" s="58"/>
      <c r="M130" s="58"/>
      <c r="N130" s="58"/>
      <c r="O130" s="58"/>
    </row>
    <row r="131" spans="1:15" x14ac:dyDescent="0.25">
      <c r="A131" s="26"/>
      <c r="B131" s="66"/>
      <c r="C131" s="58"/>
      <c r="D131" s="26"/>
      <c r="E131" s="58"/>
      <c r="F131" s="58"/>
      <c r="G131" s="26"/>
      <c r="H131" s="58"/>
      <c r="I131" s="58"/>
      <c r="J131" s="26"/>
      <c r="K131" s="58"/>
      <c r="L131" s="58"/>
      <c r="M131" s="58"/>
      <c r="N131" s="58"/>
      <c r="O131" s="58"/>
    </row>
    <row r="132" spans="1:15" x14ac:dyDescent="0.25">
      <c r="A132" s="26"/>
      <c r="B132" s="66"/>
      <c r="C132" s="58"/>
      <c r="D132" s="26"/>
      <c r="E132" s="58"/>
      <c r="F132" s="58"/>
      <c r="G132" s="26"/>
      <c r="H132" s="58"/>
      <c r="I132" s="58"/>
      <c r="J132" s="26"/>
      <c r="K132" s="58"/>
      <c r="L132" s="58"/>
      <c r="M132" s="58"/>
      <c r="N132" s="58"/>
      <c r="O132" s="58"/>
    </row>
    <row r="133" spans="1:15" x14ac:dyDescent="0.25">
      <c r="A133" s="26"/>
      <c r="B133" s="66"/>
      <c r="C133" s="58"/>
      <c r="D133" s="26"/>
      <c r="E133" s="58"/>
      <c r="F133" s="58"/>
      <c r="G133" s="26"/>
      <c r="H133" s="58"/>
      <c r="I133" s="58"/>
      <c r="J133" s="26"/>
      <c r="K133" s="58"/>
      <c r="L133" s="58"/>
      <c r="M133" s="58"/>
      <c r="N133" s="58"/>
      <c r="O133" s="58"/>
    </row>
    <row r="134" spans="1:15" x14ac:dyDescent="0.25">
      <c r="A134" s="26"/>
      <c r="B134" s="66"/>
      <c r="C134" s="58"/>
      <c r="D134" s="26"/>
      <c r="E134" s="58"/>
      <c r="F134" s="58"/>
      <c r="G134" s="26"/>
      <c r="H134" s="58"/>
      <c r="I134" s="58"/>
      <c r="J134" s="26"/>
      <c r="K134" s="58"/>
      <c r="L134" s="58"/>
      <c r="M134" s="58"/>
      <c r="N134" s="58"/>
      <c r="O134" s="58"/>
    </row>
    <row r="135" spans="1:15" x14ac:dyDescent="0.25">
      <c r="A135" s="26"/>
      <c r="B135" s="66"/>
      <c r="C135" s="58"/>
      <c r="D135" s="26"/>
      <c r="E135" s="58"/>
      <c r="F135" s="58"/>
      <c r="G135" s="26"/>
      <c r="H135" s="58"/>
      <c r="I135" s="58"/>
      <c r="J135" s="26"/>
      <c r="K135" s="58"/>
      <c r="L135" s="58"/>
      <c r="M135" s="58"/>
      <c r="N135" s="58"/>
      <c r="O135" s="58"/>
    </row>
    <row r="136" spans="1:15" x14ac:dyDescent="0.25">
      <c r="A136" s="26"/>
      <c r="B136" s="66"/>
      <c r="C136" s="58"/>
      <c r="D136" s="26"/>
      <c r="E136" s="58"/>
      <c r="F136" s="58"/>
      <c r="G136" s="26"/>
      <c r="H136" s="58"/>
      <c r="I136" s="58"/>
      <c r="J136" s="26"/>
      <c r="K136" s="58"/>
      <c r="L136" s="58"/>
      <c r="M136" s="58"/>
      <c r="N136" s="58"/>
      <c r="O136" s="58"/>
    </row>
    <row r="137" spans="1:15" x14ac:dyDescent="0.25">
      <c r="A137" s="26"/>
      <c r="B137" s="66"/>
      <c r="C137" s="58"/>
      <c r="D137" s="26"/>
      <c r="E137" s="58"/>
      <c r="F137" s="58"/>
      <c r="G137" s="26"/>
      <c r="H137" s="58"/>
      <c r="I137" s="58"/>
      <c r="J137" s="26"/>
      <c r="K137" s="58"/>
      <c r="L137" s="58"/>
      <c r="M137" s="58"/>
      <c r="N137" s="58"/>
      <c r="O137" s="58"/>
    </row>
    <row r="138" spans="1:15" x14ac:dyDescent="0.25">
      <c r="A138" s="26"/>
      <c r="B138" s="66"/>
      <c r="C138" s="58"/>
      <c r="D138" s="26"/>
      <c r="E138" s="58"/>
      <c r="F138" s="58"/>
      <c r="G138" s="26"/>
      <c r="H138" s="58"/>
      <c r="I138" s="58"/>
      <c r="J138" s="26"/>
      <c r="K138" s="58"/>
      <c r="L138" s="58"/>
      <c r="M138" s="58"/>
      <c r="N138" s="58"/>
      <c r="O138" s="58"/>
    </row>
    <row r="139" spans="1:15" x14ac:dyDescent="0.25">
      <c r="A139" s="26"/>
      <c r="B139" s="66"/>
      <c r="C139" s="58"/>
      <c r="D139" s="26"/>
      <c r="E139" s="58"/>
      <c r="F139" s="58"/>
      <c r="G139" s="26"/>
      <c r="H139" s="58"/>
      <c r="I139" s="58"/>
      <c r="J139" s="26"/>
      <c r="K139" s="58"/>
      <c r="L139" s="58"/>
      <c r="M139" s="58"/>
      <c r="N139" s="58"/>
      <c r="O139" s="58"/>
    </row>
    <row r="140" spans="1:15" x14ac:dyDescent="0.25">
      <c r="A140" s="26"/>
      <c r="B140" s="66"/>
      <c r="C140" s="58"/>
      <c r="D140" s="26"/>
      <c r="E140" s="58"/>
      <c r="F140" s="58"/>
      <c r="G140" s="26"/>
      <c r="H140" s="58"/>
      <c r="I140" s="58"/>
      <c r="J140" s="26"/>
      <c r="K140" s="58"/>
      <c r="L140" s="58"/>
      <c r="M140" s="58"/>
      <c r="N140" s="58"/>
      <c r="O140" s="58"/>
    </row>
    <row r="141" spans="1:15" x14ac:dyDescent="0.25">
      <c r="A141" s="26"/>
      <c r="B141" s="66"/>
      <c r="C141" s="58"/>
      <c r="D141" s="26"/>
      <c r="E141" s="58"/>
      <c r="F141" s="58"/>
      <c r="G141" s="26"/>
      <c r="H141" s="58"/>
      <c r="I141" s="58"/>
      <c r="J141" s="26"/>
      <c r="K141" s="58"/>
      <c r="L141" s="58"/>
      <c r="M141" s="58"/>
      <c r="N141" s="58"/>
      <c r="O141" s="58"/>
    </row>
    <row r="142" spans="1:15" x14ac:dyDescent="0.25">
      <c r="A142" s="26"/>
      <c r="B142" s="66"/>
      <c r="C142" s="58"/>
      <c r="D142" s="26"/>
      <c r="E142" s="58"/>
      <c r="F142" s="58"/>
      <c r="G142" s="26"/>
      <c r="H142" s="58"/>
      <c r="I142" s="58"/>
      <c r="J142" s="26"/>
      <c r="K142" s="58"/>
      <c r="L142" s="58"/>
      <c r="M142" s="58"/>
      <c r="N142" s="58"/>
      <c r="O142" s="58"/>
    </row>
    <row r="143" spans="1:15" x14ac:dyDescent="0.25">
      <c r="A143" s="26"/>
      <c r="B143" s="66"/>
      <c r="C143" s="58"/>
      <c r="D143" s="26"/>
      <c r="E143" s="58"/>
      <c r="F143" s="58"/>
      <c r="G143" s="26"/>
      <c r="H143" s="58"/>
      <c r="I143" s="58"/>
      <c r="J143" s="26"/>
      <c r="K143" s="58"/>
      <c r="L143" s="58"/>
      <c r="M143" s="58"/>
      <c r="N143" s="58"/>
      <c r="O143" s="58"/>
    </row>
    <row r="144" spans="1:15" x14ac:dyDescent="0.25">
      <c r="A144" s="26"/>
      <c r="B144" s="66"/>
      <c r="C144" s="58"/>
      <c r="D144" s="26"/>
      <c r="E144" s="58"/>
      <c r="F144" s="58"/>
      <c r="G144" s="26"/>
      <c r="H144" s="58"/>
      <c r="I144" s="58"/>
      <c r="J144" s="26"/>
      <c r="K144" s="58"/>
      <c r="L144" s="58"/>
      <c r="M144" s="58"/>
      <c r="N144" s="58"/>
      <c r="O144" s="58"/>
    </row>
    <row r="145" spans="1:15" x14ac:dyDescent="0.25">
      <c r="A145" s="26"/>
      <c r="B145" s="66"/>
      <c r="C145" s="58"/>
      <c r="D145" s="26"/>
      <c r="E145" s="58"/>
      <c r="F145" s="58"/>
      <c r="G145" s="26"/>
      <c r="H145" s="58"/>
      <c r="I145" s="58"/>
      <c r="J145" s="26"/>
      <c r="K145" s="58"/>
      <c r="L145" s="58"/>
      <c r="M145" s="58"/>
      <c r="N145" s="58"/>
      <c r="O145" s="58"/>
    </row>
    <row r="146" spans="1:15" x14ac:dyDescent="0.25">
      <c r="A146" s="26"/>
      <c r="B146" s="66"/>
      <c r="C146" s="58"/>
      <c r="D146" s="26"/>
      <c r="E146" s="58"/>
      <c r="F146" s="58"/>
      <c r="G146" s="26"/>
      <c r="H146" s="58"/>
      <c r="I146" s="58"/>
      <c r="J146" s="26"/>
      <c r="K146" s="58"/>
      <c r="L146" s="58"/>
      <c r="M146" s="58"/>
      <c r="N146" s="58"/>
      <c r="O146" s="58"/>
    </row>
    <row r="147" spans="1:15" x14ac:dyDescent="0.25">
      <c r="A147" s="26"/>
      <c r="B147" s="66"/>
      <c r="C147" s="58"/>
      <c r="D147" s="26"/>
      <c r="E147" s="58"/>
      <c r="F147" s="58"/>
      <c r="G147" s="26"/>
      <c r="H147" s="58"/>
      <c r="I147" s="58"/>
      <c r="J147" s="26"/>
      <c r="K147" s="58"/>
      <c r="L147" s="58"/>
      <c r="M147" s="58"/>
      <c r="N147" s="58"/>
      <c r="O147" s="58"/>
    </row>
    <row r="148" spans="1:15" x14ac:dyDescent="0.25">
      <c r="A148" s="26"/>
      <c r="B148" s="66"/>
      <c r="C148" s="58"/>
      <c r="D148" s="26"/>
      <c r="E148" s="58"/>
      <c r="F148" s="58"/>
      <c r="G148" s="26"/>
      <c r="H148" s="58"/>
      <c r="I148" s="58"/>
      <c r="J148" s="26"/>
      <c r="K148" s="58"/>
      <c r="L148" s="58"/>
      <c r="M148" s="58"/>
      <c r="N148" s="58"/>
      <c r="O148" s="58"/>
    </row>
    <row r="149" spans="1:15" x14ac:dyDescent="0.25">
      <c r="A149" s="26"/>
      <c r="B149" s="66"/>
      <c r="C149" s="58"/>
      <c r="D149" s="26"/>
      <c r="E149" s="58"/>
      <c r="F149" s="58"/>
      <c r="G149" s="26"/>
      <c r="H149" s="58"/>
      <c r="I149" s="58"/>
      <c r="J149" s="26"/>
      <c r="K149" s="58"/>
      <c r="L149" s="58"/>
      <c r="M149" s="58"/>
      <c r="N149" s="58"/>
      <c r="O149" s="58"/>
    </row>
    <row r="150" spans="1:15" x14ac:dyDescent="0.25">
      <c r="A150" s="26"/>
      <c r="B150" s="66"/>
      <c r="C150" s="58"/>
      <c r="D150" s="26"/>
      <c r="E150" s="58"/>
      <c r="F150" s="58"/>
      <c r="G150" s="26"/>
      <c r="H150" s="58"/>
      <c r="I150" s="58"/>
      <c r="J150" s="26"/>
      <c r="K150" s="58"/>
      <c r="L150" s="58"/>
      <c r="M150" s="58"/>
      <c r="N150" s="58"/>
      <c r="O150" s="58"/>
    </row>
    <row r="151" spans="1:15" x14ac:dyDescent="0.25">
      <c r="A151" s="26"/>
      <c r="B151" s="66"/>
      <c r="C151" s="58"/>
      <c r="D151" s="26"/>
      <c r="E151" s="58"/>
      <c r="F151" s="58"/>
      <c r="G151" s="26"/>
      <c r="H151" s="58"/>
      <c r="I151" s="58"/>
      <c r="J151" s="26"/>
      <c r="K151" s="58"/>
      <c r="L151" s="58"/>
      <c r="M151" s="58"/>
      <c r="N151" s="58"/>
      <c r="O151" s="58"/>
    </row>
    <row r="152" spans="1:15" x14ac:dyDescent="0.25">
      <c r="A152" s="26"/>
      <c r="B152" s="66"/>
      <c r="C152" s="58"/>
      <c r="D152" s="26"/>
      <c r="E152" s="58"/>
      <c r="F152" s="58"/>
      <c r="G152" s="26"/>
      <c r="H152" s="58"/>
      <c r="I152" s="58"/>
      <c r="J152" s="26"/>
      <c r="K152" s="58"/>
      <c r="L152" s="58"/>
      <c r="M152" s="58"/>
      <c r="N152" s="58"/>
      <c r="O152" s="58"/>
    </row>
    <row r="153" spans="1:15" x14ac:dyDescent="0.25">
      <c r="A153" s="26"/>
      <c r="B153" s="66"/>
      <c r="C153" s="58"/>
      <c r="D153" s="26"/>
      <c r="E153" s="58"/>
      <c r="F153" s="58"/>
      <c r="G153" s="26"/>
      <c r="H153" s="58"/>
      <c r="I153" s="58"/>
      <c r="J153" s="26"/>
      <c r="K153" s="58"/>
      <c r="L153" s="58"/>
      <c r="M153" s="58"/>
      <c r="N153" s="58"/>
      <c r="O153" s="58"/>
    </row>
    <row r="154" spans="1:15" x14ac:dyDescent="0.25">
      <c r="A154" s="26"/>
      <c r="B154" s="66"/>
      <c r="C154" s="58"/>
      <c r="D154" s="26"/>
      <c r="E154" s="58"/>
      <c r="F154" s="58"/>
      <c r="G154" s="26"/>
      <c r="H154" s="58"/>
      <c r="I154" s="58"/>
      <c r="J154" s="26"/>
      <c r="K154" s="58"/>
      <c r="L154" s="58"/>
      <c r="M154" s="58"/>
      <c r="N154" s="58"/>
      <c r="O154" s="58"/>
    </row>
    <row r="155" spans="1:15" x14ac:dyDescent="0.25">
      <c r="A155" s="26"/>
      <c r="B155" s="66"/>
      <c r="C155" s="58"/>
      <c r="D155" s="26"/>
      <c r="E155" s="58"/>
      <c r="F155" s="58"/>
      <c r="G155" s="26"/>
      <c r="H155" s="58"/>
      <c r="I155" s="58"/>
      <c r="J155" s="26"/>
      <c r="K155" s="58"/>
      <c r="L155" s="58"/>
      <c r="M155" s="58"/>
      <c r="N155" s="58"/>
      <c r="O155" s="58"/>
    </row>
    <row r="156" spans="1:15" x14ac:dyDescent="0.25">
      <c r="A156" s="26"/>
      <c r="B156" s="66"/>
      <c r="C156" s="58"/>
      <c r="D156" s="26"/>
      <c r="E156" s="58"/>
      <c r="F156" s="58"/>
      <c r="G156" s="26"/>
      <c r="H156" s="58"/>
      <c r="I156" s="58"/>
      <c r="J156" s="26"/>
      <c r="K156" s="58"/>
      <c r="L156" s="58"/>
      <c r="M156" s="58"/>
      <c r="N156" s="58"/>
      <c r="O156" s="58"/>
    </row>
    <row r="157" spans="1:15" x14ac:dyDescent="0.25">
      <c r="A157" s="26"/>
      <c r="B157" s="66"/>
      <c r="C157" s="58"/>
      <c r="D157" s="26"/>
      <c r="E157" s="58"/>
      <c r="F157" s="58"/>
      <c r="G157" s="26"/>
      <c r="H157" s="58"/>
      <c r="I157" s="58"/>
      <c r="J157" s="26"/>
      <c r="K157" s="58"/>
      <c r="L157" s="58"/>
      <c r="M157" s="58"/>
      <c r="N157" s="58"/>
      <c r="O157" s="58"/>
    </row>
    <row r="158" spans="1:15" x14ac:dyDescent="0.25">
      <c r="A158" s="26"/>
      <c r="B158" s="66"/>
      <c r="C158" s="58"/>
      <c r="D158" s="26"/>
      <c r="E158" s="58"/>
      <c r="F158" s="58"/>
      <c r="G158" s="26"/>
      <c r="H158" s="58"/>
      <c r="I158" s="58"/>
      <c r="J158" s="26"/>
      <c r="K158" s="58"/>
      <c r="L158" s="58"/>
      <c r="M158" s="58"/>
      <c r="N158" s="58"/>
      <c r="O158" s="58"/>
    </row>
    <row r="159" spans="1:15" x14ac:dyDescent="0.25">
      <c r="A159" s="26"/>
      <c r="B159" s="66"/>
      <c r="C159" s="58"/>
      <c r="D159" s="26"/>
      <c r="E159" s="58"/>
      <c r="F159" s="58"/>
      <c r="G159" s="26"/>
      <c r="H159" s="58"/>
      <c r="I159" s="58"/>
      <c r="J159" s="26"/>
      <c r="K159" s="58"/>
      <c r="L159" s="58"/>
      <c r="M159" s="58"/>
      <c r="N159" s="58"/>
      <c r="O159" s="58"/>
    </row>
    <row r="160" spans="1:15" x14ac:dyDescent="0.25">
      <c r="A160" s="26"/>
      <c r="B160" s="66"/>
      <c r="C160" s="58"/>
      <c r="D160" s="26"/>
      <c r="E160" s="58"/>
      <c r="F160" s="58"/>
      <c r="G160" s="26"/>
      <c r="H160" s="58"/>
      <c r="I160" s="58"/>
      <c r="J160" s="26"/>
      <c r="K160" s="58"/>
      <c r="L160" s="58"/>
      <c r="M160" s="58"/>
      <c r="N160" s="58"/>
      <c r="O160" s="58"/>
    </row>
    <row r="161" spans="1:15" x14ac:dyDescent="0.25">
      <c r="A161" s="26"/>
      <c r="B161" s="66"/>
      <c r="C161" s="58"/>
      <c r="D161" s="26"/>
      <c r="E161" s="58"/>
      <c r="F161" s="58"/>
      <c r="G161" s="26"/>
      <c r="H161" s="58"/>
      <c r="I161" s="58"/>
      <c r="J161" s="26"/>
      <c r="K161" s="58"/>
      <c r="L161" s="58"/>
      <c r="M161" s="58"/>
      <c r="N161" s="58"/>
      <c r="O161" s="58"/>
    </row>
    <row r="162" spans="1:15" x14ac:dyDescent="0.25">
      <c r="A162" s="26"/>
      <c r="B162" s="66"/>
      <c r="C162" s="58"/>
      <c r="D162" s="26"/>
      <c r="E162" s="58"/>
      <c r="F162" s="58"/>
      <c r="G162" s="26"/>
      <c r="H162" s="58"/>
      <c r="I162" s="58"/>
      <c r="J162" s="26"/>
      <c r="K162" s="58"/>
      <c r="L162" s="58"/>
      <c r="M162" s="58"/>
      <c r="N162" s="58"/>
      <c r="O162" s="58"/>
    </row>
    <row r="163" spans="1:15" x14ac:dyDescent="0.25">
      <c r="A163" s="26"/>
      <c r="B163" s="66"/>
      <c r="C163" s="58"/>
      <c r="D163" s="26"/>
      <c r="E163" s="58"/>
      <c r="F163" s="58"/>
      <c r="G163" s="26"/>
      <c r="H163" s="58"/>
      <c r="I163" s="58"/>
      <c r="J163" s="26"/>
      <c r="K163" s="58"/>
      <c r="L163" s="58"/>
      <c r="M163" s="58"/>
      <c r="N163" s="58"/>
      <c r="O163" s="58"/>
    </row>
    <row r="164" spans="1:15" x14ac:dyDescent="0.25">
      <c r="A164" s="26"/>
      <c r="B164" s="66"/>
      <c r="C164" s="58"/>
      <c r="D164" s="26"/>
      <c r="E164" s="58"/>
      <c r="F164" s="58"/>
      <c r="G164" s="26"/>
      <c r="H164" s="58"/>
      <c r="I164" s="58"/>
      <c r="J164" s="26"/>
      <c r="K164" s="58"/>
      <c r="L164" s="58"/>
      <c r="M164" s="58"/>
      <c r="N164" s="58"/>
      <c r="O164" s="58"/>
    </row>
    <row r="165" spans="1:15" x14ac:dyDescent="0.25">
      <c r="A165" s="26"/>
      <c r="B165" s="66"/>
      <c r="C165" s="58"/>
      <c r="D165" s="26"/>
      <c r="E165" s="58"/>
      <c r="F165" s="58"/>
      <c r="G165" s="26"/>
      <c r="H165" s="58"/>
      <c r="I165" s="58"/>
      <c r="J165" s="26"/>
      <c r="K165" s="58"/>
      <c r="L165" s="58"/>
      <c r="M165" s="58"/>
      <c r="N165" s="58"/>
      <c r="O165" s="58"/>
    </row>
    <row r="166" spans="1:15" x14ac:dyDescent="0.25">
      <c r="A166" s="26"/>
      <c r="B166" s="66"/>
      <c r="C166" s="58"/>
      <c r="D166" s="26"/>
      <c r="E166" s="58"/>
      <c r="F166" s="58"/>
      <c r="G166" s="26"/>
      <c r="H166" s="58"/>
      <c r="I166" s="58"/>
      <c r="J166" s="26"/>
      <c r="K166" s="58"/>
      <c r="L166" s="58"/>
      <c r="M166" s="58"/>
      <c r="N166" s="58"/>
      <c r="O166" s="58"/>
    </row>
    <row r="167" spans="1:15" x14ac:dyDescent="0.25">
      <c r="A167" s="26"/>
      <c r="B167" s="66"/>
      <c r="C167" s="58"/>
      <c r="D167" s="26"/>
      <c r="E167" s="58"/>
      <c r="F167" s="58"/>
      <c r="G167" s="26"/>
      <c r="H167" s="58"/>
      <c r="I167" s="58"/>
      <c r="J167" s="26"/>
      <c r="K167" s="58"/>
      <c r="L167" s="58"/>
      <c r="M167" s="58"/>
      <c r="N167" s="58"/>
      <c r="O167" s="58"/>
    </row>
    <row r="168" spans="1:15" x14ac:dyDescent="0.25">
      <c r="A168" s="26"/>
      <c r="B168" s="66"/>
      <c r="C168" s="58"/>
      <c r="D168" s="26"/>
      <c r="E168" s="58"/>
      <c r="F168" s="58"/>
      <c r="G168" s="26"/>
      <c r="H168" s="58"/>
      <c r="I168" s="58"/>
      <c r="J168" s="26"/>
      <c r="K168" s="58"/>
      <c r="L168" s="58"/>
      <c r="M168" s="58"/>
      <c r="N168" s="58"/>
      <c r="O168" s="58"/>
    </row>
    <row r="169" spans="1:15" x14ac:dyDescent="0.25">
      <c r="A169" s="26"/>
      <c r="B169" s="66"/>
      <c r="C169" s="58"/>
      <c r="D169" s="26"/>
      <c r="E169" s="58"/>
      <c r="F169" s="58"/>
      <c r="G169" s="26"/>
      <c r="H169" s="58"/>
      <c r="I169" s="58"/>
      <c r="J169" s="26"/>
      <c r="K169" s="58"/>
      <c r="L169" s="58"/>
      <c r="M169" s="58"/>
      <c r="N169" s="58"/>
      <c r="O169" s="58"/>
    </row>
    <row r="170" spans="1:15" x14ac:dyDescent="0.25">
      <c r="A170" s="26"/>
      <c r="B170" s="66"/>
      <c r="C170" s="58"/>
      <c r="D170" s="26"/>
      <c r="E170" s="58"/>
      <c r="F170" s="58"/>
      <c r="G170" s="26"/>
      <c r="H170" s="58"/>
      <c r="I170" s="58"/>
      <c r="J170" s="26"/>
      <c r="K170" s="58"/>
      <c r="L170" s="58"/>
      <c r="M170" s="58"/>
      <c r="N170" s="58"/>
      <c r="O170" s="58"/>
    </row>
    <row r="171" spans="1:15" x14ac:dyDescent="0.25">
      <c r="A171" s="26"/>
      <c r="B171" s="66"/>
      <c r="C171" s="58"/>
      <c r="D171" s="26"/>
      <c r="E171" s="58"/>
      <c r="F171" s="58"/>
      <c r="G171" s="26"/>
      <c r="H171" s="58"/>
      <c r="I171" s="58"/>
      <c r="J171" s="26"/>
      <c r="K171" s="58"/>
      <c r="L171" s="58"/>
      <c r="M171" s="58"/>
      <c r="N171" s="58"/>
      <c r="O171" s="58"/>
    </row>
    <row r="172" spans="1:15" x14ac:dyDescent="0.25">
      <c r="A172" s="26"/>
      <c r="B172" s="66"/>
      <c r="C172" s="58"/>
      <c r="D172" s="26"/>
      <c r="E172" s="58"/>
      <c r="F172" s="58"/>
      <c r="G172" s="26"/>
      <c r="H172" s="58"/>
      <c r="I172" s="58"/>
      <c r="J172" s="26"/>
      <c r="K172" s="58"/>
      <c r="L172" s="58"/>
      <c r="M172" s="58"/>
      <c r="N172" s="58"/>
      <c r="O172" s="58"/>
    </row>
    <row r="173" spans="1:15" x14ac:dyDescent="0.25">
      <c r="A173" s="26"/>
      <c r="B173" s="66"/>
      <c r="C173" s="58"/>
      <c r="D173" s="26"/>
      <c r="E173" s="58"/>
      <c r="F173" s="58"/>
      <c r="G173" s="26"/>
      <c r="H173" s="58"/>
      <c r="I173" s="58"/>
      <c r="J173" s="26"/>
      <c r="K173" s="58"/>
      <c r="L173" s="58"/>
      <c r="M173" s="58"/>
      <c r="N173" s="58"/>
      <c r="O173" s="58"/>
    </row>
    <row r="174" spans="1:15" x14ac:dyDescent="0.25">
      <c r="A174" s="26"/>
      <c r="B174" s="66"/>
      <c r="C174" s="58"/>
      <c r="D174" s="26"/>
      <c r="E174" s="58"/>
      <c r="F174" s="58"/>
      <c r="G174" s="26"/>
      <c r="H174" s="58"/>
      <c r="I174" s="58"/>
      <c r="J174" s="26"/>
      <c r="K174" s="58"/>
      <c r="L174" s="58"/>
      <c r="M174" s="58"/>
      <c r="N174" s="58"/>
      <c r="O174" s="58"/>
    </row>
    <row r="175" spans="1:15" x14ac:dyDescent="0.25">
      <c r="A175" s="26"/>
      <c r="B175" s="66"/>
      <c r="C175" s="58"/>
      <c r="D175" s="26"/>
      <c r="E175" s="58"/>
      <c r="F175" s="58"/>
      <c r="G175" s="26"/>
      <c r="H175" s="58"/>
      <c r="I175" s="58"/>
      <c r="J175" s="26"/>
      <c r="K175" s="58"/>
      <c r="L175" s="58"/>
      <c r="M175" s="58"/>
      <c r="N175" s="58"/>
      <c r="O175" s="58"/>
    </row>
    <row r="176" spans="1:15" x14ac:dyDescent="0.25">
      <c r="A176" s="26"/>
      <c r="B176" s="66"/>
      <c r="C176" s="58"/>
      <c r="D176" s="26"/>
      <c r="E176" s="58"/>
      <c r="F176" s="58"/>
      <c r="G176" s="26"/>
      <c r="H176" s="58"/>
      <c r="I176" s="58"/>
      <c r="J176" s="26"/>
      <c r="K176" s="58"/>
      <c r="L176" s="58"/>
      <c r="M176" s="58"/>
      <c r="N176" s="58"/>
      <c r="O176" s="58"/>
    </row>
    <row r="177" spans="1:15" x14ac:dyDescent="0.25">
      <c r="A177" s="26"/>
      <c r="B177" s="66"/>
      <c r="C177" s="58"/>
      <c r="D177" s="26"/>
      <c r="E177" s="58"/>
      <c r="F177" s="58"/>
      <c r="G177" s="26"/>
      <c r="H177" s="58"/>
      <c r="I177" s="58"/>
      <c r="J177" s="26"/>
      <c r="K177" s="58"/>
      <c r="L177" s="58"/>
      <c r="M177" s="58"/>
      <c r="N177" s="58"/>
      <c r="O177" s="58"/>
    </row>
    <row r="178" spans="1:15" x14ac:dyDescent="0.25">
      <c r="A178" s="26"/>
      <c r="B178" s="66"/>
      <c r="C178" s="58"/>
      <c r="D178" s="26"/>
      <c r="E178" s="58"/>
      <c r="F178" s="58"/>
      <c r="G178" s="26"/>
      <c r="H178" s="58"/>
      <c r="I178" s="58"/>
      <c r="J178" s="26"/>
      <c r="K178" s="58"/>
      <c r="L178" s="58"/>
      <c r="M178" s="58"/>
      <c r="N178" s="58"/>
      <c r="O178" s="58"/>
    </row>
    <row r="179" spans="1:15" x14ac:dyDescent="0.25">
      <c r="A179" s="26"/>
      <c r="B179" s="66"/>
      <c r="C179" s="58"/>
      <c r="D179" s="26"/>
      <c r="E179" s="58"/>
      <c r="F179" s="58"/>
      <c r="G179" s="26"/>
      <c r="H179" s="58"/>
      <c r="I179" s="58"/>
      <c r="J179" s="26"/>
      <c r="K179" s="58"/>
      <c r="L179" s="58"/>
      <c r="M179" s="58"/>
      <c r="N179" s="58"/>
      <c r="O179" s="58"/>
    </row>
    <row r="180" spans="1:15" x14ac:dyDescent="0.25">
      <c r="A180" s="26"/>
      <c r="B180" s="66"/>
      <c r="C180" s="58"/>
      <c r="D180" s="26"/>
      <c r="E180" s="58"/>
      <c r="F180" s="58"/>
      <c r="G180" s="26"/>
      <c r="H180" s="58"/>
      <c r="I180" s="58"/>
      <c r="J180" s="26"/>
      <c r="K180" s="58"/>
      <c r="L180" s="58"/>
      <c r="M180" s="58"/>
      <c r="N180" s="58"/>
      <c r="O180" s="58"/>
    </row>
    <row r="181" spans="1:15" x14ac:dyDescent="0.25">
      <c r="A181" s="26"/>
      <c r="B181" s="66"/>
      <c r="C181" s="58"/>
      <c r="D181" s="26"/>
      <c r="E181" s="58"/>
      <c r="F181" s="58"/>
      <c r="G181" s="26"/>
      <c r="H181" s="58"/>
      <c r="I181" s="58"/>
      <c r="J181" s="26"/>
      <c r="K181" s="58"/>
      <c r="L181" s="58"/>
      <c r="M181" s="58"/>
      <c r="N181" s="58"/>
      <c r="O181" s="58"/>
    </row>
    <row r="182" spans="1:15" x14ac:dyDescent="0.25">
      <c r="A182" s="26"/>
      <c r="B182" s="66"/>
      <c r="C182" s="58"/>
      <c r="D182" s="26"/>
      <c r="E182" s="58"/>
      <c r="F182" s="58"/>
      <c r="G182" s="26"/>
      <c r="H182" s="58"/>
      <c r="I182" s="58"/>
      <c r="J182" s="26"/>
      <c r="K182" s="58"/>
      <c r="L182" s="58"/>
      <c r="M182" s="58"/>
      <c r="N182" s="58"/>
      <c r="O182" s="58"/>
    </row>
    <row r="183" spans="1:15" x14ac:dyDescent="0.25">
      <c r="A183" s="26"/>
      <c r="B183" s="66"/>
      <c r="C183" s="58"/>
      <c r="D183" s="26"/>
      <c r="E183" s="58"/>
      <c r="F183" s="58"/>
      <c r="G183" s="26"/>
      <c r="H183" s="58"/>
      <c r="I183" s="58"/>
      <c r="J183" s="26"/>
      <c r="K183" s="58"/>
      <c r="L183" s="58"/>
      <c r="M183" s="58"/>
      <c r="N183" s="58"/>
      <c r="O183" s="58"/>
    </row>
    <row r="184" spans="1:15" x14ac:dyDescent="0.25">
      <c r="A184" s="26"/>
      <c r="B184" s="66"/>
      <c r="C184" s="58"/>
      <c r="D184" s="26"/>
      <c r="E184" s="58"/>
      <c r="F184" s="58"/>
      <c r="G184" s="26"/>
      <c r="H184" s="58"/>
      <c r="I184" s="58"/>
      <c r="J184" s="26"/>
      <c r="K184" s="58"/>
      <c r="L184" s="58"/>
      <c r="M184" s="58"/>
      <c r="N184" s="58"/>
      <c r="O184" s="58"/>
    </row>
    <row r="185" spans="1:15" x14ac:dyDescent="0.25">
      <c r="A185" s="26"/>
      <c r="B185" s="66"/>
      <c r="C185" s="58"/>
      <c r="D185" s="26"/>
      <c r="E185" s="58"/>
      <c r="F185" s="58"/>
      <c r="G185" s="26"/>
      <c r="H185" s="58"/>
      <c r="I185" s="58"/>
      <c r="J185" s="26"/>
      <c r="K185" s="58"/>
      <c r="L185" s="58"/>
      <c r="M185" s="58"/>
      <c r="N185" s="58"/>
      <c r="O185" s="58"/>
    </row>
    <row r="186" spans="1:15" x14ac:dyDescent="0.25">
      <c r="A186" s="26"/>
      <c r="B186" s="66"/>
      <c r="C186" s="58"/>
      <c r="D186" s="26"/>
      <c r="E186" s="58"/>
      <c r="F186" s="58"/>
      <c r="G186" s="26"/>
      <c r="H186" s="58"/>
      <c r="I186" s="58"/>
      <c r="J186" s="26"/>
      <c r="K186" s="58"/>
      <c r="L186" s="58"/>
      <c r="M186" s="58"/>
      <c r="N186" s="58"/>
      <c r="O186" s="58"/>
    </row>
    <row r="187" spans="1:15" x14ac:dyDescent="0.25">
      <c r="A187" s="26"/>
      <c r="B187" s="66"/>
      <c r="C187" s="58"/>
      <c r="D187" s="26"/>
      <c r="E187" s="58"/>
      <c r="F187" s="58"/>
      <c r="G187" s="26"/>
      <c r="H187" s="58"/>
      <c r="I187" s="58"/>
      <c r="J187" s="26"/>
      <c r="K187" s="58"/>
      <c r="L187" s="58"/>
      <c r="M187" s="58"/>
      <c r="N187" s="58"/>
      <c r="O187" s="58"/>
    </row>
    <row r="188" spans="1:15" x14ac:dyDescent="0.25">
      <c r="A188" s="26"/>
      <c r="B188" s="66"/>
      <c r="C188" s="58"/>
      <c r="D188" s="26"/>
      <c r="E188" s="58"/>
      <c r="F188" s="58"/>
      <c r="G188" s="26"/>
      <c r="H188" s="58"/>
      <c r="I188" s="58"/>
      <c r="J188" s="26"/>
      <c r="K188" s="58"/>
      <c r="L188" s="58"/>
      <c r="M188" s="58"/>
      <c r="N188" s="58"/>
      <c r="O188" s="58"/>
    </row>
    <row r="189" spans="1:15" x14ac:dyDescent="0.25">
      <c r="A189" s="26"/>
      <c r="B189" s="66"/>
      <c r="C189" s="58"/>
      <c r="D189" s="26"/>
      <c r="E189" s="58"/>
      <c r="F189" s="58"/>
      <c r="G189" s="26"/>
      <c r="H189" s="58"/>
      <c r="I189" s="58"/>
      <c r="J189" s="26"/>
      <c r="K189" s="58"/>
      <c r="L189" s="58"/>
      <c r="M189" s="58"/>
      <c r="N189" s="58"/>
      <c r="O189" s="58"/>
    </row>
    <row r="190" spans="1:15" x14ac:dyDescent="0.25">
      <c r="A190" s="26"/>
      <c r="B190" s="66"/>
      <c r="C190" s="58"/>
      <c r="D190" s="26"/>
      <c r="E190" s="58"/>
      <c r="F190" s="58"/>
      <c r="G190" s="26"/>
      <c r="H190" s="58"/>
      <c r="I190" s="58"/>
      <c r="J190" s="26"/>
      <c r="K190" s="58"/>
      <c r="L190" s="58"/>
      <c r="M190" s="58"/>
      <c r="N190" s="58"/>
      <c r="O190" s="58"/>
    </row>
    <row r="191" spans="1:15" x14ac:dyDescent="0.25">
      <c r="A191" s="26"/>
      <c r="B191" s="66"/>
      <c r="C191" s="58"/>
      <c r="D191" s="26"/>
      <c r="E191" s="58"/>
      <c r="F191" s="58"/>
      <c r="G191" s="26"/>
      <c r="H191" s="58"/>
      <c r="I191" s="58"/>
      <c r="J191" s="26"/>
      <c r="K191" s="58"/>
      <c r="L191" s="58"/>
      <c r="M191" s="58"/>
      <c r="N191" s="58"/>
      <c r="O191" s="58"/>
    </row>
    <row r="192" spans="1:15" x14ac:dyDescent="0.25">
      <c r="A192" s="26"/>
      <c r="B192" s="66"/>
      <c r="C192" s="58"/>
      <c r="D192" s="26"/>
      <c r="E192" s="58"/>
      <c r="F192" s="58"/>
      <c r="G192" s="26"/>
      <c r="H192" s="58"/>
      <c r="I192" s="58"/>
      <c r="J192" s="26"/>
      <c r="K192" s="58"/>
      <c r="L192" s="58"/>
      <c r="M192" s="58"/>
      <c r="N192" s="58"/>
      <c r="O192" s="58"/>
    </row>
    <row r="193" spans="1:15" x14ac:dyDescent="0.25">
      <c r="A193" s="26"/>
      <c r="B193" s="66"/>
      <c r="C193" s="58"/>
      <c r="D193" s="26"/>
      <c r="E193" s="58"/>
      <c r="F193" s="58"/>
      <c r="G193" s="26"/>
      <c r="H193" s="58"/>
      <c r="I193" s="58"/>
      <c r="J193" s="26"/>
      <c r="K193" s="58"/>
      <c r="L193" s="58"/>
      <c r="M193" s="58"/>
      <c r="N193" s="58"/>
      <c r="O193" s="58"/>
    </row>
    <row r="194" spans="1:15" x14ac:dyDescent="0.25">
      <c r="A194" s="26"/>
      <c r="B194" s="66"/>
      <c r="C194" s="58"/>
      <c r="D194" s="26"/>
      <c r="E194" s="58"/>
      <c r="F194" s="58"/>
      <c r="G194" s="26"/>
      <c r="H194" s="58"/>
      <c r="I194" s="58"/>
      <c r="J194" s="26"/>
      <c r="K194" s="58"/>
      <c r="L194" s="58"/>
      <c r="M194" s="58"/>
      <c r="N194" s="58"/>
      <c r="O194" s="58"/>
    </row>
    <row r="195" spans="1:15" x14ac:dyDescent="0.25">
      <c r="A195" s="26"/>
      <c r="B195" s="66"/>
      <c r="C195" s="58"/>
      <c r="D195" s="26"/>
      <c r="E195" s="58"/>
      <c r="F195" s="58"/>
      <c r="G195" s="26"/>
      <c r="H195" s="58"/>
      <c r="I195" s="58"/>
      <c r="J195" s="26"/>
      <c r="K195" s="58"/>
      <c r="L195" s="58"/>
      <c r="M195" s="58"/>
      <c r="N195" s="58"/>
      <c r="O195" s="58"/>
    </row>
    <row r="196" spans="1:15" x14ac:dyDescent="0.25">
      <c r="A196" s="26"/>
      <c r="B196" s="66"/>
      <c r="C196" s="58"/>
      <c r="D196" s="26"/>
      <c r="E196" s="58"/>
      <c r="F196" s="58"/>
      <c r="G196" s="26"/>
      <c r="H196" s="58"/>
      <c r="I196" s="58"/>
      <c r="J196" s="26"/>
      <c r="K196" s="58"/>
      <c r="L196" s="58"/>
      <c r="M196" s="58"/>
      <c r="N196" s="58"/>
      <c r="O196" s="58"/>
    </row>
    <row r="197" spans="1:15" x14ac:dyDescent="0.25">
      <c r="A197" s="26"/>
      <c r="B197" s="66"/>
      <c r="C197" s="58"/>
      <c r="D197" s="26"/>
      <c r="E197" s="58"/>
      <c r="F197" s="58"/>
      <c r="G197" s="26"/>
      <c r="H197" s="58"/>
      <c r="I197" s="58"/>
      <c r="J197" s="26"/>
      <c r="K197" s="58"/>
      <c r="L197" s="58"/>
      <c r="M197" s="58"/>
      <c r="N197" s="58"/>
      <c r="O197" s="58"/>
    </row>
    <row r="198" spans="1:15" x14ac:dyDescent="0.25">
      <c r="A198" s="26"/>
      <c r="B198" s="66"/>
      <c r="C198" s="58"/>
      <c r="D198" s="26"/>
      <c r="E198" s="58"/>
      <c r="F198" s="58"/>
      <c r="G198" s="26"/>
      <c r="H198" s="58"/>
      <c r="I198" s="58"/>
      <c r="J198" s="26"/>
      <c r="K198" s="58"/>
      <c r="L198" s="58"/>
      <c r="M198" s="58"/>
      <c r="N198" s="58"/>
      <c r="O198" s="58"/>
    </row>
    <row r="199" spans="1:15" x14ac:dyDescent="0.25">
      <c r="A199" s="26"/>
      <c r="B199" s="66"/>
      <c r="C199" s="58"/>
      <c r="D199" s="26"/>
      <c r="E199" s="58"/>
      <c r="F199" s="58"/>
      <c r="G199" s="26"/>
      <c r="H199" s="58"/>
      <c r="I199" s="58"/>
      <c r="J199" s="26"/>
      <c r="K199" s="58"/>
      <c r="L199" s="58"/>
      <c r="M199" s="58"/>
      <c r="N199" s="58"/>
      <c r="O199" s="58"/>
    </row>
    <row r="200" spans="1:15" x14ac:dyDescent="0.25">
      <c r="A200" s="26"/>
      <c r="B200" s="66"/>
      <c r="C200" s="58"/>
      <c r="D200" s="26"/>
      <c r="E200" s="58"/>
      <c r="F200" s="58"/>
      <c r="G200" s="26"/>
      <c r="H200" s="58"/>
      <c r="I200" s="58"/>
      <c r="J200" s="26"/>
      <c r="K200" s="58"/>
      <c r="L200" s="58"/>
      <c r="M200" s="58"/>
      <c r="N200" s="58"/>
      <c r="O200" s="58"/>
    </row>
    <row r="201" spans="1:15" x14ac:dyDescent="0.25">
      <c r="A201" s="26"/>
      <c r="B201" s="66"/>
      <c r="C201" s="58"/>
      <c r="D201" s="26"/>
      <c r="E201" s="58"/>
      <c r="F201" s="58"/>
      <c r="G201" s="26"/>
      <c r="H201" s="58"/>
      <c r="I201" s="58"/>
      <c r="J201" s="26"/>
      <c r="K201" s="58"/>
      <c r="L201" s="58"/>
      <c r="M201" s="58"/>
      <c r="N201" s="58"/>
      <c r="O201" s="58"/>
    </row>
    <row r="202" spans="1:15" x14ac:dyDescent="0.25">
      <c r="A202" s="26"/>
      <c r="B202" s="66"/>
      <c r="C202" s="58"/>
      <c r="D202" s="26"/>
      <c r="E202" s="58"/>
      <c r="F202" s="58"/>
      <c r="G202" s="26"/>
      <c r="H202" s="58"/>
      <c r="I202" s="58"/>
      <c r="J202" s="26"/>
      <c r="K202" s="58"/>
      <c r="L202" s="58"/>
      <c r="M202" s="58"/>
      <c r="N202" s="58"/>
      <c r="O202" s="58"/>
    </row>
    <row r="203" spans="1:15" x14ac:dyDescent="0.25">
      <c r="A203" s="26"/>
      <c r="B203" s="66"/>
      <c r="C203" s="58"/>
      <c r="D203" s="26"/>
      <c r="E203" s="58"/>
      <c r="F203" s="58"/>
      <c r="G203" s="26"/>
      <c r="H203" s="58"/>
      <c r="I203" s="58"/>
      <c r="J203" s="26"/>
      <c r="K203" s="58"/>
      <c r="L203" s="58"/>
      <c r="M203" s="58"/>
      <c r="N203" s="58"/>
      <c r="O203" s="58"/>
    </row>
    <row r="204" spans="1:15" x14ac:dyDescent="0.25">
      <c r="A204" s="26"/>
      <c r="B204" s="66"/>
      <c r="C204" s="58"/>
      <c r="D204" s="26"/>
      <c r="E204" s="58"/>
      <c r="F204" s="58"/>
      <c r="G204" s="26"/>
      <c r="H204" s="58"/>
      <c r="I204" s="58"/>
      <c r="J204" s="26"/>
      <c r="K204" s="58"/>
      <c r="L204" s="58"/>
      <c r="M204" s="58"/>
      <c r="N204" s="58"/>
      <c r="O204" s="58"/>
    </row>
    <row r="205" spans="1:15" x14ac:dyDescent="0.25">
      <c r="A205" s="26"/>
      <c r="B205" s="66"/>
      <c r="C205" s="58"/>
      <c r="D205" s="26"/>
      <c r="E205" s="58"/>
      <c r="F205" s="58"/>
      <c r="G205" s="26"/>
      <c r="H205" s="58"/>
      <c r="I205" s="58"/>
      <c r="J205" s="26"/>
      <c r="K205" s="58"/>
      <c r="L205" s="58"/>
      <c r="M205" s="58"/>
      <c r="N205" s="58"/>
      <c r="O205" s="58"/>
    </row>
    <row r="206" spans="1:15" x14ac:dyDescent="0.25">
      <c r="A206" s="26"/>
      <c r="B206" s="66"/>
      <c r="C206" s="58"/>
      <c r="D206" s="26"/>
      <c r="E206" s="58"/>
      <c r="F206" s="58"/>
      <c r="G206" s="26"/>
      <c r="H206" s="58"/>
      <c r="I206" s="58"/>
      <c r="J206" s="26"/>
      <c r="K206" s="58"/>
      <c r="L206" s="58"/>
      <c r="M206" s="58"/>
      <c r="N206" s="58"/>
      <c r="O206" s="58"/>
    </row>
    <row r="207" spans="1:15" x14ac:dyDescent="0.25">
      <c r="A207" s="26"/>
      <c r="B207" s="66"/>
      <c r="C207" s="58"/>
      <c r="D207" s="26"/>
      <c r="E207" s="58"/>
      <c r="F207" s="58"/>
      <c r="G207" s="26"/>
      <c r="H207" s="58"/>
      <c r="I207" s="58"/>
      <c r="J207" s="26"/>
      <c r="K207" s="58"/>
      <c r="L207" s="58"/>
      <c r="M207" s="58"/>
      <c r="N207" s="58"/>
      <c r="O207" s="58"/>
    </row>
    <row r="208" spans="1:15" x14ac:dyDescent="0.25">
      <c r="A208" s="26"/>
      <c r="B208" s="66"/>
      <c r="C208" s="58"/>
      <c r="D208" s="26"/>
      <c r="E208" s="58"/>
      <c r="F208" s="58"/>
      <c r="G208" s="26"/>
      <c r="H208" s="58"/>
      <c r="I208" s="58"/>
      <c r="J208" s="26"/>
      <c r="K208" s="58"/>
      <c r="L208" s="58"/>
      <c r="M208" s="58"/>
      <c r="N208" s="58"/>
      <c r="O208" s="58"/>
    </row>
    <row r="209" spans="1:15" x14ac:dyDescent="0.25">
      <c r="A209" s="26"/>
      <c r="B209" s="66"/>
      <c r="C209" s="58"/>
      <c r="D209" s="26"/>
      <c r="E209" s="58"/>
      <c r="F209" s="58"/>
      <c r="G209" s="26"/>
      <c r="H209" s="58"/>
      <c r="I209" s="58"/>
      <c r="J209" s="26"/>
      <c r="K209" s="58"/>
      <c r="L209" s="58"/>
      <c r="M209" s="58"/>
      <c r="N209" s="58"/>
      <c r="O209" s="58"/>
    </row>
    <row r="210" spans="1:15" x14ac:dyDescent="0.25">
      <c r="A210" s="26"/>
      <c r="B210" s="66"/>
      <c r="C210" s="58"/>
      <c r="D210" s="26"/>
      <c r="E210" s="58"/>
      <c r="F210" s="58"/>
      <c r="G210" s="26"/>
      <c r="H210" s="58"/>
      <c r="I210" s="58"/>
      <c r="J210" s="26"/>
      <c r="K210" s="58"/>
      <c r="L210" s="58"/>
      <c r="M210" s="58"/>
      <c r="N210" s="58"/>
      <c r="O210" s="58"/>
    </row>
    <row r="211" spans="1:15" x14ac:dyDescent="0.25">
      <c r="A211" s="26"/>
      <c r="B211" s="66"/>
      <c r="C211" s="58"/>
      <c r="D211" s="26"/>
      <c r="E211" s="58"/>
      <c r="F211" s="58"/>
      <c r="G211" s="26"/>
      <c r="H211" s="58"/>
      <c r="I211" s="58"/>
      <c r="J211" s="26"/>
      <c r="K211" s="58"/>
      <c r="L211" s="58"/>
      <c r="M211" s="58"/>
      <c r="N211" s="58"/>
      <c r="O211" s="58"/>
    </row>
    <row r="212" spans="1:15" x14ac:dyDescent="0.25">
      <c r="A212" s="26"/>
      <c r="B212" s="66"/>
      <c r="C212" s="58"/>
      <c r="D212" s="26"/>
      <c r="E212" s="58"/>
      <c r="F212" s="58"/>
      <c r="G212" s="26"/>
      <c r="H212" s="58"/>
      <c r="I212" s="58"/>
      <c r="J212" s="26"/>
      <c r="K212" s="58"/>
      <c r="L212" s="58"/>
      <c r="M212" s="58"/>
      <c r="N212" s="58"/>
      <c r="O212" s="58"/>
    </row>
    <row r="213" spans="1:15" x14ac:dyDescent="0.25">
      <c r="A213" s="26"/>
      <c r="B213" s="66"/>
      <c r="C213" s="58"/>
      <c r="D213" s="26"/>
      <c r="E213" s="58"/>
      <c r="F213" s="58"/>
      <c r="G213" s="26"/>
      <c r="H213" s="58"/>
      <c r="I213" s="58"/>
      <c r="J213" s="26"/>
      <c r="K213" s="58"/>
      <c r="L213" s="58"/>
      <c r="M213" s="58"/>
      <c r="N213" s="58"/>
      <c r="O213" s="58"/>
    </row>
    <row r="214" spans="1:15" x14ac:dyDescent="0.25">
      <c r="A214" s="26"/>
      <c r="B214" s="66"/>
      <c r="C214" s="58"/>
      <c r="D214" s="26"/>
      <c r="E214" s="58"/>
      <c r="F214" s="58"/>
      <c r="G214" s="26"/>
      <c r="H214" s="58"/>
      <c r="I214" s="58"/>
      <c r="J214" s="26"/>
      <c r="K214" s="58"/>
      <c r="L214" s="58"/>
      <c r="M214" s="58"/>
      <c r="N214" s="58"/>
      <c r="O214" s="58"/>
    </row>
    <row r="215" spans="1:15" x14ac:dyDescent="0.25">
      <c r="A215" s="26"/>
      <c r="B215" s="66"/>
      <c r="C215" s="58"/>
      <c r="D215" s="26"/>
      <c r="E215" s="58"/>
      <c r="F215" s="58"/>
      <c r="G215" s="26"/>
      <c r="H215" s="58"/>
      <c r="I215" s="58"/>
      <c r="J215" s="26"/>
      <c r="K215" s="58"/>
      <c r="L215" s="58"/>
      <c r="M215" s="58"/>
      <c r="N215" s="58"/>
      <c r="O215" s="58"/>
    </row>
    <row r="216" spans="1:15" x14ac:dyDescent="0.25">
      <c r="A216" s="26"/>
      <c r="B216" s="66"/>
      <c r="C216" s="58"/>
      <c r="D216" s="26"/>
      <c r="E216" s="58"/>
      <c r="F216" s="58"/>
      <c r="G216" s="26"/>
      <c r="H216" s="58"/>
      <c r="I216" s="58"/>
      <c r="J216" s="26"/>
      <c r="K216" s="58"/>
      <c r="L216" s="58"/>
      <c r="M216" s="58"/>
      <c r="N216" s="58"/>
      <c r="O216" s="58"/>
    </row>
    <row r="217" spans="1:15" x14ac:dyDescent="0.25">
      <c r="A217" s="26"/>
      <c r="B217" s="66"/>
      <c r="C217" s="58"/>
      <c r="D217" s="26"/>
      <c r="E217" s="58"/>
      <c r="F217" s="58"/>
      <c r="G217" s="26"/>
      <c r="H217" s="58"/>
      <c r="I217" s="58"/>
      <c r="J217" s="26"/>
      <c r="K217" s="58"/>
      <c r="L217" s="58"/>
      <c r="M217" s="58"/>
      <c r="N217" s="58"/>
      <c r="O217" s="58"/>
    </row>
    <row r="218" spans="1:15" x14ac:dyDescent="0.25">
      <c r="A218" s="26"/>
      <c r="B218" s="66"/>
      <c r="C218" s="58"/>
      <c r="D218" s="26"/>
      <c r="E218" s="58"/>
      <c r="F218" s="58"/>
      <c r="G218" s="26"/>
      <c r="H218" s="58"/>
      <c r="I218" s="58"/>
      <c r="J218" s="26"/>
      <c r="K218" s="58"/>
      <c r="L218" s="58"/>
      <c r="M218" s="58"/>
      <c r="N218" s="58"/>
      <c r="O218" s="58"/>
    </row>
    <row r="219" spans="1:15" x14ac:dyDescent="0.25">
      <c r="A219" s="26"/>
      <c r="B219" s="66"/>
      <c r="C219" s="58"/>
      <c r="D219" s="26"/>
      <c r="E219" s="58"/>
      <c r="F219" s="58"/>
      <c r="G219" s="26"/>
      <c r="H219" s="58"/>
      <c r="I219" s="58"/>
      <c r="J219" s="26"/>
      <c r="K219" s="58"/>
      <c r="L219" s="58"/>
      <c r="M219" s="58"/>
      <c r="N219" s="58"/>
      <c r="O219" s="58"/>
    </row>
    <row r="220" spans="1:15" x14ac:dyDescent="0.25">
      <c r="A220" s="26"/>
      <c r="B220" s="66"/>
      <c r="C220" s="58"/>
      <c r="D220" s="26"/>
      <c r="E220" s="58"/>
      <c r="F220" s="58"/>
      <c r="G220" s="26"/>
      <c r="H220" s="58"/>
      <c r="I220" s="58"/>
      <c r="J220" s="26"/>
      <c r="K220" s="58"/>
      <c r="L220" s="58"/>
      <c r="M220" s="58"/>
      <c r="N220" s="58"/>
      <c r="O220" s="58"/>
    </row>
    <row r="221" spans="1:15" x14ac:dyDescent="0.25">
      <c r="A221" s="26"/>
      <c r="B221" s="66"/>
      <c r="C221" s="58"/>
      <c r="D221" s="26"/>
      <c r="E221" s="58"/>
      <c r="F221" s="58"/>
      <c r="G221" s="26"/>
      <c r="H221" s="58"/>
      <c r="I221" s="58"/>
      <c r="J221" s="26"/>
      <c r="K221" s="58"/>
      <c r="L221" s="58"/>
      <c r="M221" s="58"/>
      <c r="N221" s="58"/>
      <c r="O221" s="58"/>
    </row>
    <row r="222" spans="1:15" x14ac:dyDescent="0.25">
      <c r="A222" s="26"/>
      <c r="B222" s="66"/>
      <c r="C222" s="58"/>
      <c r="D222" s="26"/>
      <c r="E222" s="58"/>
      <c r="F222" s="58"/>
      <c r="G222" s="26"/>
      <c r="H222" s="58"/>
      <c r="I222" s="58"/>
      <c r="J222" s="26"/>
      <c r="K222" s="58"/>
      <c r="L222" s="58"/>
      <c r="M222" s="58"/>
      <c r="N222" s="58"/>
      <c r="O222" s="58"/>
    </row>
    <row r="223" spans="1:15" x14ac:dyDescent="0.25">
      <c r="A223" s="26"/>
      <c r="B223" s="66"/>
      <c r="C223" s="58"/>
      <c r="D223" s="26"/>
      <c r="E223" s="58"/>
      <c r="F223" s="58"/>
      <c r="G223" s="26"/>
      <c r="H223" s="58"/>
      <c r="I223" s="58"/>
      <c r="J223" s="26"/>
      <c r="K223" s="58"/>
      <c r="L223" s="58"/>
      <c r="M223" s="58"/>
      <c r="N223" s="58"/>
      <c r="O223" s="58"/>
    </row>
    <row r="224" spans="1:15" x14ac:dyDescent="0.25">
      <c r="A224" s="26"/>
      <c r="B224" s="66"/>
      <c r="C224" s="58"/>
      <c r="D224" s="26"/>
      <c r="E224" s="58"/>
      <c r="F224" s="58"/>
      <c r="G224" s="26"/>
      <c r="H224" s="58"/>
      <c r="I224" s="58"/>
      <c r="J224" s="26"/>
      <c r="K224" s="58"/>
      <c r="L224" s="58"/>
      <c r="M224" s="58"/>
      <c r="N224" s="58"/>
      <c r="O224" s="58"/>
    </row>
    <row r="225" spans="1:15" x14ac:dyDescent="0.25">
      <c r="A225" s="26"/>
      <c r="B225" s="66"/>
      <c r="C225" s="58"/>
      <c r="D225" s="26"/>
      <c r="E225" s="58"/>
      <c r="F225" s="58"/>
      <c r="G225" s="26"/>
      <c r="H225" s="58"/>
      <c r="I225" s="58"/>
      <c r="J225" s="26"/>
      <c r="K225" s="58"/>
      <c r="L225" s="58"/>
      <c r="M225" s="58"/>
      <c r="N225" s="58"/>
      <c r="O225" s="58"/>
    </row>
    <row r="226" spans="1:15" x14ac:dyDescent="0.25">
      <c r="A226" s="26"/>
      <c r="B226" s="66"/>
      <c r="C226" s="58"/>
      <c r="D226" s="26"/>
      <c r="E226" s="58"/>
      <c r="F226" s="58"/>
      <c r="G226" s="26"/>
      <c r="H226" s="58"/>
      <c r="I226" s="58"/>
      <c r="J226" s="26"/>
      <c r="K226" s="58"/>
      <c r="L226" s="58"/>
      <c r="M226" s="58"/>
      <c r="N226" s="58"/>
      <c r="O226" s="58"/>
    </row>
    <row r="227" spans="1:15" x14ac:dyDescent="0.25">
      <c r="A227" s="26"/>
      <c r="B227" s="66"/>
      <c r="C227" s="58"/>
      <c r="D227" s="26"/>
      <c r="E227" s="58"/>
      <c r="F227" s="58"/>
      <c r="G227" s="26"/>
      <c r="H227" s="58"/>
      <c r="I227" s="58"/>
      <c r="J227" s="26"/>
      <c r="K227" s="58"/>
      <c r="L227" s="58"/>
      <c r="M227" s="58"/>
      <c r="N227" s="58"/>
      <c r="O227" s="58"/>
    </row>
    <row r="228" spans="1:15" x14ac:dyDescent="0.25">
      <c r="A228" s="26"/>
      <c r="B228" s="66"/>
      <c r="C228" s="58"/>
      <c r="D228" s="26"/>
      <c r="E228" s="58"/>
      <c r="F228" s="58"/>
      <c r="G228" s="26"/>
      <c r="H228" s="58"/>
      <c r="I228" s="58"/>
      <c r="J228" s="26"/>
      <c r="K228" s="58"/>
      <c r="L228" s="58"/>
      <c r="M228" s="58"/>
      <c r="N228" s="58"/>
      <c r="O228" s="58"/>
    </row>
    <row r="229" spans="1:15" x14ac:dyDescent="0.25">
      <c r="A229" s="26"/>
      <c r="B229" s="66"/>
      <c r="C229" s="58"/>
      <c r="D229" s="26"/>
      <c r="E229" s="58"/>
      <c r="F229" s="58"/>
      <c r="G229" s="26"/>
      <c r="H229" s="58"/>
      <c r="I229" s="58"/>
      <c r="J229" s="26"/>
      <c r="K229" s="58"/>
      <c r="L229" s="58"/>
      <c r="M229" s="58"/>
      <c r="N229" s="58"/>
      <c r="O229" s="58"/>
    </row>
    <row r="230" spans="1:15" x14ac:dyDescent="0.25">
      <c r="A230" s="26"/>
      <c r="B230" s="66"/>
      <c r="C230" s="58"/>
      <c r="D230" s="26"/>
      <c r="E230" s="58"/>
      <c r="F230" s="58"/>
      <c r="G230" s="26"/>
      <c r="H230" s="58"/>
      <c r="I230" s="58"/>
      <c r="J230" s="26"/>
      <c r="K230" s="58"/>
      <c r="L230" s="58"/>
      <c r="M230" s="58"/>
      <c r="N230" s="58"/>
      <c r="O230" s="58"/>
    </row>
    <row r="231" spans="1:15" x14ac:dyDescent="0.25">
      <c r="A231" s="26"/>
      <c r="B231" s="66"/>
      <c r="C231" s="58"/>
      <c r="D231" s="26"/>
      <c r="E231" s="58"/>
      <c r="F231" s="58"/>
      <c r="G231" s="26"/>
      <c r="H231" s="58"/>
      <c r="I231" s="58"/>
      <c r="J231" s="26"/>
      <c r="K231" s="58"/>
      <c r="L231" s="58"/>
      <c r="M231" s="58"/>
      <c r="N231" s="58"/>
      <c r="O231" s="58"/>
    </row>
    <row r="232" spans="1:15" x14ac:dyDescent="0.25">
      <c r="A232" s="26"/>
      <c r="B232" s="66"/>
      <c r="C232" s="58"/>
      <c r="D232" s="26"/>
      <c r="E232" s="58"/>
      <c r="F232" s="58"/>
      <c r="G232" s="26"/>
      <c r="H232" s="58"/>
      <c r="I232" s="58"/>
      <c r="J232" s="26"/>
      <c r="K232" s="58"/>
      <c r="L232" s="58"/>
      <c r="M232" s="58"/>
      <c r="N232" s="58"/>
      <c r="O232" s="58"/>
    </row>
    <row r="233" spans="1:15" x14ac:dyDescent="0.25">
      <c r="A233" s="26"/>
      <c r="B233" s="66"/>
      <c r="C233" s="58"/>
      <c r="D233" s="26"/>
      <c r="E233" s="58"/>
      <c r="F233" s="58"/>
      <c r="G233" s="26"/>
      <c r="H233" s="58"/>
      <c r="I233" s="58"/>
      <c r="J233" s="26"/>
      <c r="K233" s="58"/>
      <c r="L233" s="58"/>
      <c r="M233" s="58"/>
      <c r="N233" s="58"/>
      <c r="O233" s="58"/>
    </row>
    <row r="234" spans="1:15" x14ac:dyDescent="0.25">
      <c r="A234" s="26"/>
      <c r="B234" s="66"/>
      <c r="C234" s="58"/>
      <c r="D234" s="26"/>
      <c r="E234" s="58"/>
      <c r="F234" s="58"/>
      <c r="G234" s="26"/>
      <c r="H234" s="58"/>
      <c r="I234" s="58"/>
      <c r="J234" s="26"/>
      <c r="K234" s="58"/>
      <c r="L234" s="58"/>
      <c r="M234" s="58"/>
      <c r="N234" s="58"/>
      <c r="O234" s="58"/>
    </row>
    <row r="235" spans="1:15" x14ac:dyDescent="0.25">
      <c r="A235" s="26"/>
      <c r="B235" s="66"/>
      <c r="C235" s="58"/>
      <c r="D235" s="26"/>
      <c r="E235" s="58"/>
      <c r="F235" s="58"/>
      <c r="G235" s="26"/>
      <c r="H235" s="58"/>
      <c r="I235" s="58"/>
      <c r="J235" s="26"/>
      <c r="K235" s="58"/>
      <c r="L235" s="58"/>
      <c r="M235" s="58"/>
      <c r="N235" s="58"/>
      <c r="O235" s="58"/>
    </row>
    <row r="236" spans="1:15" x14ac:dyDescent="0.25">
      <c r="A236" s="26"/>
      <c r="B236" s="66"/>
      <c r="C236" s="58"/>
      <c r="D236" s="26"/>
      <c r="E236" s="58"/>
      <c r="F236" s="58"/>
      <c r="G236" s="26"/>
      <c r="H236" s="58"/>
      <c r="I236" s="58"/>
      <c r="J236" s="26"/>
      <c r="K236" s="58"/>
      <c r="L236" s="58"/>
      <c r="M236" s="58"/>
      <c r="N236" s="58"/>
      <c r="O236" s="58"/>
    </row>
    <row r="237" spans="1:15" x14ac:dyDescent="0.25">
      <c r="A237" s="26"/>
      <c r="B237" s="66"/>
      <c r="C237" s="58"/>
      <c r="D237" s="26"/>
      <c r="E237" s="58"/>
      <c r="F237" s="58"/>
      <c r="G237" s="26"/>
      <c r="H237" s="58"/>
      <c r="I237" s="58"/>
      <c r="J237" s="26"/>
      <c r="K237" s="58"/>
      <c r="L237" s="58"/>
      <c r="M237" s="58"/>
      <c r="N237" s="58"/>
      <c r="O237" s="58"/>
    </row>
    <row r="238" spans="1:15" x14ac:dyDescent="0.25">
      <c r="A238" s="26"/>
      <c r="B238" s="66"/>
      <c r="C238" s="58"/>
      <c r="D238" s="26"/>
      <c r="E238" s="58"/>
      <c r="F238" s="58"/>
      <c r="G238" s="26"/>
      <c r="H238" s="58"/>
      <c r="I238" s="58"/>
      <c r="J238" s="26"/>
      <c r="K238" s="58"/>
      <c r="L238" s="58"/>
      <c r="M238" s="58"/>
      <c r="N238" s="58"/>
      <c r="O238" s="58"/>
    </row>
    <row r="239" spans="1:15" x14ac:dyDescent="0.25">
      <c r="A239" s="26"/>
      <c r="B239" s="66"/>
      <c r="C239" s="58"/>
      <c r="D239" s="26"/>
      <c r="E239" s="58"/>
      <c r="F239" s="58"/>
      <c r="G239" s="26"/>
      <c r="H239" s="58"/>
      <c r="I239" s="58"/>
      <c r="J239" s="26"/>
      <c r="K239" s="58"/>
      <c r="L239" s="58"/>
      <c r="M239" s="58"/>
      <c r="N239" s="58"/>
      <c r="O239" s="58"/>
    </row>
    <row r="240" spans="1:15" x14ac:dyDescent="0.25">
      <c r="A240" s="26"/>
      <c r="B240" s="66"/>
      <c r="C240" s="58"/>
      <c r="D240" s="26"/>
      <c r="E240" s="58"/>
      <c r="F240" s="58"/>
      <c r="G240" s="26"/>
      <c r="H240" s="58"/>
      <c r="I240" s="58"/>
      <c r="J240" s="26"/>
      <c r="K240" s="58"/>
      <c r="L240" s="58"/>
      <c r="M240" s="58"/>
      <c r="N240" s="58"/>
      <c r="O240" s="58"/>
    </row>
    <row r="241" spans="1:15" x14ac:dyDescent="0.25">
      <c r="A241" s="26"/>
      <c r="B241" s="66"/>
      <c r="C241" s="58"/>
      <c r="D241" s="26"/>
      <c r="E241" s="58"/>
      <c r="F241" s="58"/>
      <c r="G241" s="26"/>
      <c r="H241" s="58"/>
      <c r="I241" s="58"/>
      <c r="J241" s="26"/>
      <c r="K241" s="58"/>
      <c r="L241" s="58"/>
      <c r="M241" s="58"/>
      <c r="N241" s="58"/>
      <c r="O241" s="58"/>
    </row>
    <row r="242" spans="1:15" x14ac:dyDescent="0.25">
      <c r="A242" s="26"/>
      <c r="B242" s="66"/>
      <c r="C242" s="58"/>
      <c r="D242" s="26"/>
      <c r="E242" s="58"/>
      <c r="F242" s="58"/>
      <c r="G242" s="26"/>
      <c r="H242" s="58"/>
      <c r="I242" s="58"/>
      <c r="J242" s="26"/>
      <c r="K242" s="58"/>
      <c r="L242" s="58"/>
      <c r="M242" s="58"/>
      <c r="N242" s="58"/>
      <c r="O242" s="58"/>
    </row>
    <row r="243" spans="1:15" x14ac:dyDescent="0.25">
      <c r="A243" s="26"/>
      <c r="B243" s="66"/>
      <c r="C243" s="58"/>
      <c r="D243" s="26"/>
      <c r="E243" s="58"/>
      <c r="F243" s="58"/>
      <c r="G243" s="26"/>
      <c r="H243" s="58"/>
      <c r="I243" s="58"/>
      <c r="J243" s="26"/>
      <c r="K243" s="58"/>
      <c r="L243" s="58"/>
      <c r="M243" s="58"/>
      <c r="N243" s="58"/>
      <c r="O243" s="58"/>
    </row>
    <row r="244" spans="1:15" x14ac:dyDescent="0.25">
      <c r="A244" s="26"/>
      <c r="B244" s="66"/>
      <c r="C244" s="58"/>
      <c r="D244" s="26"/>
      <c r="E244" s="58"/>
      <c r="F244" s="58"/>
      <c r="G244" s="26"/>
      <c r="H244" s="58"/>
      <c r="I244" s="58"/>
      <c r="J244" s="26"/>
      <c r="K244" s="58"/>
      <c r="L244" s="58"/>
      <c r="M244" s="58"/>
      <c r="N244" s="58"/>
      <c r="O244" s="58"/>
    </row>
    <row r="245" spans="1:15" x14ac:dyDescent="0.25">
      <c r="A245" s="26"/>
      <c r="B245" s="66"/>
      <c r="C245" s="58"/>
      <c r="D245" s="26"/>
      <c r="E245" s="58"/>
      <c r="F245" s="58"/>
      <c r="G245" s="26"/>
      <c r="H245" s="58"/>
      <c r="I245" s="58"/>
      <c r="J245" s="26"/>
      <c r="K245" s="58"/>
      <c r="L245" s="58"/>
      <c r="M245" s="58"/>
      <c r="N245" s="58"/>
      <c r="O245" s="58"/>
    </row>
    <row r="246" spans="1:15" x14ac:dyDescent="0.25">
      <c r="A246" s="26"/>
      <c r="B246" s="66"/>
      <c r="C246" s="58"/>
      <c r="D246" s="26"/>
      <c r="E246" s="58"/>
      <c r="F246" s="58"/>
      <c r="G246" s="26"/>
      <c r="H246" s="58"/>
      <c r="I246" s="58"/>
      <c r="J246" s="26"/>
      <c r="K246" s="58"/>
      <c r="L246" s="58"/>
      <c r="M246" s="58"/>
      <c r="N246" s="58"/>
      <c r="O246" s="58"/>
    </row>
    <row r="247" spans="1:15" x14ac:dyDescent="0.25">
      <c r="A247" s="26"/>
      <c r="B247" s="66"/>
      <c r="C247" s="58"/>
      <c r="D247" s="26"/>
      <c r="E247" s="58"/>
      <c r="F247" s="58"/>
      <c r="G247" s="26"/>
      <c r="H247" s="58"/>
      <c r="I247" s="58"/>
      <c r="J247" s="26"/>
      <c r="K247" s="58"/>
      <c r="L247" s="58"/>
      <c r="M247" s="58"/>
      <c r="N247" s="58"/>
      <c r="O247" s="58"/>
    </row>
    <row r="248" spans="1:15" x14ac:dyDescent="0.25">
      <c r="A248" s="26"/>
      <c r="B248" s="66"/>
      <c r="C248" s="58"/>
      <c r="D248" s="26"/>
      <c r="E248" s="58"/>
      <c r="F248" s="58"/>
      <c r="G248" s="26"/>
      <c r="H248" s="58"/>
      <c r="I248" s="58"/>
      <c r="J248" s="26"/>
      <c r="K248" s="58"/>
      <c r="L248" s="58"/>
      <c r="M248" s="58"/>
      <c r="N248" s="58"/>
      <c r="O248" s="58"/>
    </row>
    <row r="249" spans="1:15" x14ac:dyDescent="0.25">
      <c r="A249" s="26"/>
      <c r="B249" s="66"/>
      <c r="C249" s="58"/>
      <c r="D249" s="26"/>
      <c r="E249" s="58"/>
      <c r="F249" s="58"/>
      <c r="G249" s="26"/>
      <c r="H249" s="58"/>
      <c r="I249" s="58"/>
      <c r="J249" s="26"/>
      <c r="K249" s="58"/>
      <c r="L249" s="58"/>
      <c r="M249" s="58"/>
      <c r="N249" s="58"/>
      <c r="O249" s="58"/>
    </row>
    <row r="250" spans="1:15" x14ac:dyDescent="0.25">
      <c r="A250" s="26"/>
      <c r="B250" s="66"/>
      <c r="C250" s="58"/>
      <c r="D250" s="26"/>
      <c r="E250" s="58"/>
      <c r="F250" s="58"/>
      <c r="G250" s="26"/>
      <c r="H250" s="58"/>
      <c r="I250" s="58"/>
      <c r="J250" s="26"/>
      <c r="K250" s="58"/>
      <c r="L250" s="58"/>
      <c r="M250" s="58"/>
      <c r="N250" s="58"/>
      <c r="O250" s="58"/>
    </row>
    <row r="251" spans="1:15" x14ac:dyDescent="0.25">
      <c r="A251" s="26"/>
      <c r="B251" s="66"/>
      <c r="C251" s="58"/>
      <c r="D251" s="26"/>
      <c r="E251" s="58"/>
      <c r="F251" s="58"/>
      <c r="G251" s="26"/>
      <c r="H251" s="58"/>
      <c r="I251" s="58"/>
      <c r="J251" s="26"/>
      <c r="K251" s="58"/>
      <c r="L251" s="58"/>
      <c r="M251" s="58"/>
      <c r="N251" s="58"/>
      <c r="O251" s="58"/>
    </row>
    <row r="252" spans="1:15" x14ac:dyDescent="0.25">
      <c r="A252" s="26"/>
      <c r="B252" s="66"/>
      <c r="C252" s="58"/>
      <c r="D252" s="26"/>
      <c r="E252" s="58"/>
      <c r="F252" s="58"/>
      <c r="G252" s="26"/>
      <c r="H252" s="58"/>
      <c r="I252" s="58"/>
      <c r="J252" s="26"/>
      <c r="K252" s="58"/>
      <c r="L252" s="58"/>
      <c r="M252" s="58"/>
      <c r="N252" s="58"/>
      <c r="O252" s="58"/>
    </row>
    <row r="253" spans="1:15" x14ac:dyDescent="0.25">
      <c r="A253" s="26"/>
      <c r="B253" s="66"/>
      <c r="C253" s="58"/>
      <c r="D253" s="26"/>
      <c r="E253" s="58"/>
      <c r="F253" s="58"/>
      <c r="G253" s="26"/>
      <c r="H253" s="58"/>
      <c r="I253" s="58"/>
      <c r="J253" s="26"/>
      <c r="K253" s="58"/>
      <c r="L253" s="58"/>
      <c r="M253" s="58"/>
      <c r="N253" s="58"/>
      <c r="O253" s="58"/>
    </row>
    <row r="254" spans="1:15" x14ac:dyDescent="0.25">
      <c r="A254" s="26"/>
      <c r="B254" s="66"/>
      <c r="C254" s="58"/>
      <c r="D254" s="26"/>
      <c r="E254" s="58"/>
      <c r="F254" s="58"/>
      <c r="G254" s="26"/>
      <c r="H254" s="58"/>
      <c r="I254" s="58"/>
      <c r="J254" s="26"/>
      <c r="K254" s="58"/>
      <c r="L254" s="58"/>
      <c r="M254" s="58"/>
      <c r="N254" s="58"/>
      <c r="O254" s="58"/>
    </row>
    <row r="255" spans="1:15" x14ac:dyDescent="0.25">
      <c r="A255" s="26"/>
      <c r="B255" s="66"/>
      <c r="C255" s="58"/>
      <c r="D255" s="26"/>
      <c r="E255" s="58"/>
      <c r="F255" s="58"/>
      <c r="G255" s="26"/>
      <c r="H255" s="58"/>
      <c r="I255" s="58"/>
      <c r="J255" s="26"/>
      <c r="K255" s="58"/>
      <c r="L255" s="58"/>
      <c r="M255" s="58"/>
      <c r="N255" s="58"/>
      <c r="O255" s="58"/>
    </row>
    <row r="256" spans="1:15" x14ac:dyDescent="0.25">
      <c r="A256" s="26"/>
      <c r="B256" s="66"/>
      <c r="C256" s="58"/>
      <c r="D256" s="26"/>
      <c r="E256" s="58"/>
      <c r="F256" s="58"/>
      <c r="G256" s="26"/>
      <c r="H256" s="58"/>
      <c r="I256" s="58"/>
      <c r="J256" s="26"/>
      <c r="K256" s="58"/>
      <c r="L256" s="58"/>
      <c r="M256" s="58"/>
      <c r="N256" s="58"/>
      <c r="O256" s="58"/>
    </row>
    <row r="257" spans="1:15" x14ac:dyDescent="0.25">
      <c r="A257" s="26"/>
      <c r="B257" s="66"/>
      <c r="C257" s="58"/>
      <c r="D257" s="26"/>
      <c r="E257" s="58"/>
      <c r="F257" s="58"/>
      <c r="G257" s="26"/>
      <c r="H257" s="58"/>
      <c r="I257" s="58"/>
      <c r="J257" s="26"/>
      <c r="K257" s="58"/>
      <c r="L257" s="58"/>
      <c r="M257" s="58"/>
      <c r="N257" s="58"/>
      <c r="O257" s="58"/>
    </row>
    <row r="258" spans="1:15" x14ac:dyDescent="0.25">
      <c r="A258" s="26"/>
      <c r="B258" s="66"/>
      <c r="C258" s="58"/>
      <c r="D258" s="26"/>
      <c r="E258" s="58"/>
      <c r="F258" s="58"/>
      <c r="G258" s="26"/>
      <c r="H258" s="58"/>
      <c r="I258" s="58"/>
      <c r="J258" s="26"/>
      <c r="K258" s="58"/>
      <c r="L258" s="58"/>
      <c r="M258" s="58"/>
      <c r="N258" s="58"/>
      <c r="O258" s="58"/>
    </row>
    <row r="259" spans="1:15" x14ac:dyDescent="0.25">
      <c r="A259" s="26"/>
      <c r="B259" s="66"/>
      <c r="C259" s="58"/>
      <c r="D259" s="26"/>
      <c r="E259" s="58"/>
      <c r="F259" s="58"/>
      <c r="G259" s="26"/>
      <c r="H259" s="58"/>
      <c r="I259" s="58"/>
      <c r="J259" s="26"/>
      <c r="K259" s="58"/>
      <c r="L259" s="58"/>
      <c r="M259" s="58"/>
      <c r="N259" s="58"/>
      <c r="O259" s="58"/>
    </row>
    <row r="260" spans="1:15" x14ac:dyDescent="0.25">
      <c r="A260" s="26"/>
      <c r="B260" s="66"/>
      <c r="C260" s="58"/>
      <c r="D260" s="26"/>
      <c r="E260" s="58"/>
      <c r="F260" s="58"/>
      <c r="G260" s="26"/>
      <c r="H260" s="58"/>
      <c r="I260" s="58"/>
      <c r="J260" s="26"/>
      <c r="K260" s="58"/>
      <c r="L260" s="58"/>
      <c r="M260" s="58"/>
      <c r="N260" s="58"/>
      <c r="O260" s="58"/>
    </row>
    <row r="261" spans="1:15" x14ac:dyDescent="0.25">
      <c r="A261" s="26"/>
      <c r="B261" s="66"/>
      <c r="C261" s="58"/>
      <c r="D261" s="26"/>
      <c r="E261" s="58"/>
      <c r="F261" s="58"/>
      <c r="G261" s="26"/>
      <c r="H261" s="58"/>
      <c r="I261" s="58"/>
      <c r="J261" s="26"/>
      <c r="K261" s="58"/>
      <c r="L261" s="58"/>
      <c r="M261" s="58"/>
      <c r="N261" s="58"/>
      <c r="O261" s="58"/>
    </row>
    <row r="262" spans="1:15" x14ac:dyDescent="0.25">
      <c r="A262" s="26"/>
      <c r="B262" s="66"/>
      <c r="C262" s="58"/>
      <c r="D262" s="26"/>
      <c r="E262" s="58"/>
      <c r="F262" s="58"/>
      <c r="G262" s="26"/>
      <c r="H262" s="58"/>
      <c r="I262" s="58"/>
      <c r="J262" s="26"/>
      <c r="K262" s="58"/>
      <c r="L262" s="58"/>
      <c r="M262" s="58"/>
      <c r="N262" s="58"/>
      <c r="O262" s="58"/>
    </row>
    <row r="263" spans="1:15" x14ac:dyDescent="0.25">
      <c r="A263" s="26"/>
      <c r="B263" s="66"/>
      <c r="C263" s="58"/>
      <c r="D263" s="26"/>
      <c r="E263" s="58"/>
      <c r="F263" s="58"/>
      <c r="G263" s="26"/>
      <c r="H263" s="58"/>
      <c r="I263" s="58"/>
      <c r="J263" s="26"/>
      <c r="K263" s="58"/>
      <c r="L263" s="58"/>
      <c r="M263" s="58"/>
      <c r="N263" s="58"/>
      <c r="O263" s="58"/>
    </row>
    <row r="264" spans="1:15" x14ac:dyDescent="0.25">
      <c r="A264" s="26"/>
      <c r="B264" s="66"/>
      <c r="C264" s="58"/>
      <c r="D264" s="26"/>
      <c r="E264" s="58"/>
      <c r="F264" s="58"/>
      <c r="G264" s="26"/>
      <c r="H264" s="58"/>
      <c r="I264" s="58"/>
      <c r="J264" s="26"/>
      <c r="K264" s="58"/>
      <c r="L264" s="58"/>
      <c r="M264" s="58"/>
      <c r="N264" s="58"/>
      <c r="O264" s="58"/>
    </row>
    <row r="265" spans="1:15" x14ac:dyDescent="0.25">
      <c r="A265" s="26"/>
      <c r="B265" s="66"/>
      <c r="C265" s="58"/>
      <c r="D265" s="26"/>
      <c r="E265" s="58"/>
      <c r="F265" s="58"/>
      <c r="G265" s="26"/>
      <c r="H265" s="58"/>
      <c r="I265" s="58"/>
      <c r="J265" s="26"/>
      <c r="K265" s="58"/>
      <c r="L265" s="58"/>
      <c r="M265" s="58"/>
      <c r="N265" s="58"/>
      <c r="O265" s="58"/>
    </row>
    <row r="266" spans="1:15" x14ac:dyDescent="0.25">
      <c r="A266" s="26"/>
      <c r="B266" s="66"/>
      <c r="C266" s="58"/>
      <c r="D266" s="26"/>
      <c r="E266" s="58"/>
      <c r="F266" s="58"/>
      <c r="G266" s="26"/>
      <c r="H266" s="58"/>
      <c r="I266" s="58"/>
      <c r="J266" s="26"/>
      <c r="K266" s="58"/>
      <c r="L266" s="58"/>
      <c r="M266" s="58"/>
      <c r="N266" s="58"/>
      <c r="O266" s="58"/>
    </row>
    <row r="267" spans="1:15" x14ac:dyDescent="0.25">
      <c r="A267" s="26"/>
      <c r="B267" s="66"/>
      <c r="C267" s="58"/>
      <c r="D267" s="26"/>
      <c r="E267" s="58"/>
      <c r="F267" s="58"/>
      <c r="G267" s="26"/>
      <c r="H267" s="58"/>
      <c r="I267" s="58"/>
      <c r="J267" s="26"/>
      <c r="K267" s="58"/>
      <c r="L267" s="58"/>
      <c r="M267" s="58"/>
      <c r="N267" s="58"/>
      <c r="O267" s="58"/>
    </row>
    <row r="268" spans="1:15" x14ac:dyDescent="0.25">
      <c r="A268" s="26"/>
      <c r="B268" s="66"/>
      <c r="C268" s="58"/>
      <c r="D268" s="26"/>
      <c r="E268" s="58"/>
      <c r="F268" s="58"/>
      <c r="G268" s="26"/>
      <c r="H268" s="58"/>
      <c r="I268" s="58"/>
      <c r="J268" s="26"/>
      <c r="K268" s="58"/>
      <c r="L268" s="58"/>
      <c r="M268" s="58"/>
      <c r="N268" s="58"/>
      <c r="O268" s="58"/>
    </row>
    <row r="269" spans="1:15" x14ac:dyDescent="0.25">
      <c r="A269" s="26"/>
      <c r="B269" s="66"/>
      <c r="C269" s="58"/>
      <c r="D269" s="26"/>
      <c r="E269" s="58"/>
      <c r="F269" s="58"/>
      <c r="G269" s="26"/>
      <c r="H269" s="58"/>
      <c r="I269" s="58"/>
      <c r="J269" s="26"/>
      <c r="K269" s="58"/>
      <c r="L269" s="58"/>
      <c r="M269" s="58"/>
      <c r="N269" s="58"/>
      <c r="O269" s="58"/>
    </row>
    <row r="270" spans="1:15" x14ac:dyDescent="0.25">
      <c r="A270" s="26"/>
      <c r="B270" s="66"/>
      <c r="C270" s="58"/>
      <c r="D270" s="26"/>
      <c r="E270" s="58"/>
      <c r="F270" s="58"/>
      <c r="G270" s="26"/>
      <c r="H270" s="58"/>
      <c r="I270" s="58"/>
      <c r="J270" s="26"/>
      <c r="K270" s="58"/>
      <c r="L270" s="58"/>
      <c r="M270" s="58"/>
      <c r="N270" s="58"/>
      <c r="O270" s="58"/>
    </row>
    <row r="271" spans="1:15" x14ac:dyDescent="0.25">
      <c r="A271" s="26"/>
      <c r="B271" s="66"/>
      <c r="C271" s="58"/>
      <c r="D271" s="26"/>
      <c r="E271" s="58"/>
      <c r="F271" s="58"/>
      <c r="G271" s="26"/>
      <c r="H271" s="58"/>
      <c r="I271" s="58"/>
      <c r="J271" s="26"/>
      <c r="K271" s="58"/>
      <c r="L271" s="58"/>
      <c r="M271" s="58"/>
      <c r="N271" s="58"/>
      <c r="O271" s="58"/>
    </row>
    <row r="272" spans="1:15" x14ac:dyDescent="0.25">
      <c r="A272" s="26"/>
      <c r="B272" s="66"/>
      <c r="C272" s="58"/>
      <c r="D272" s="26"/>
      <c r="E272" s="58"/>
      <c r="F272" s="58"/>
      <c r="G272" s="26"/>
      <c r="H272" s="58"/>
      <c r="I272" s="58"/>
      <c r="J272" s="26"/>
      <c r="K272" s="58"/>
      <c r="L272" s="58"/>
      <c r="M272" s="58"/>
      <c r="N272" s="58"/>
      <c r="O272" s="58"/>
    </row>
    <row r="273" spans="1:15" x14ac:dyDescent="0.25">
      <c r="A273" s="26"/>
      <c r="B273" s="66"/>
      <c r="C273" s="58"/>
      <c r="D273" s="26"/>
      <c r="E273" s="58"/>
      <c r="F273" s="58"/>
      <c r="G273" s="26"/>
      <c r="H273" s="58"/>
      <c r="I273" s="58"/>
      <c r="J273" s="26"/>
      <c r="K273" s="58"/>
      <c r="L273" s="58"/>
      <c r="M273" s="58"/>
      <c r="N273" s="58"/>
      <c r="O273" s="58"/>
    </row>
    <row r="274" spans="1:15" x14ac:dyDescent="0.25">
      <c r="A274" s="26"/>
      <c r="B274" s="66"/>
      <c r="C274" s="58"/>
      <c r="D274" s="26"/>
      <c r="E274" s="58"/>
      <c r="F274" s="58"/>
      <c r="G274" s="26"/>
      <c r="H274" s="58"/>
      <c r="I274" s="58"/>
      <c r="J274" s="26"/>
      <c r="K274" s="58"/>
      <c r="L274" s="58"/>
      <c r="M274" s="58"/>
      <c r="N274" s="58"/>
      <c r="O274" s="58"/>
    </row>
    <row r="275" spans="1:15" x14ac:dyDescent="0.25">
      <c r="A275" s="26"/>
      <c r="B275" s="66"/>
      <c r="C275" s="58"/>
      <c r="D275" s="26"/>
      <c r="E275" s="58"/>
      <c r="F275" s="58"/>
      <c r="G275" s="26"/>
      <c r="H275" s="58"/>
      <c r="I275" s="58"/>
      <c r="J275" s="26"/>
      <c r="K275" s="58"/>
      <c r="L275" s="58"/>
      <c r="M275" s="58"/>
      <c r="N275" s="58"/>
      <c r="O275" s="58"/>
    </row>
    <row r="276" spans="1:15" x14ac:dyDescent="0.25">
      <c r="A276" s="26"/>
      <c r="B276" s="66"/>
      <c r="C276" s="58"/>
      <c r="D276" s="26"/>
      <c r="E276" s="58"/>
      <c r="F276" s="58"/>
      <c r="G276" s="26"/>
      <c r="H276" s="58"/>
      <c r="I276" s="58"/>
      <c r="J276" s="26"/>
      <c r="K276" s="58"/>
      <c r="L276" s="58"/>
      <c r="M276" s="58"/>
      <c r="N276" s="58"/>
      <c r="O276" s="58"/>
    </row>
    <row r="277" spans="1:15" x14ac:dyDescent="0.25">
      <c r="A277" s="26"/>
      <c r="B277" s="66"/>
      <c r="C277" s="58"/>
      <c r="D277" s="26"/>
      <c r="E277" s="58"/>
      <c r="F277" s="58"/>
      <c r="G277" s="26"/>
      <c r="H277" s="58"/>
      <c r="I277" s="58"/>
      <c r="J277" s="26"/>
      <c r="K277" s="58"/>
      <c r="L277" s="58"/>
      <c r="M277" s="58"/>
      <c r="N277" s="58"/>
      <c r="O277" s="58"/>
    </row>
    <row r="278" spans="1:15" x14ac:dyDescent="0.25">
      <c r="A278" s="26"/>
      <c r="B278" s="66"/>
      <c r="C278" s="58"/>
      <c r="D278" s="26"/>
      <c r="E278" s="58"/>
      <c r="F278" s="58"/>
      <c r="G278" s="26"/>
      <c r="H278" s="58"/>
      <c r="I278" s="58"/>
      <c r="J278" s="26"/>
      <c r="K278" s="58"/>
      <c r="L278" s="58"/>
      <c r="M278" s="58"/>
      <c r="N278" s="58"/>
      <c r="O278" s="58"/>
    </row>
    <row r="279" spans="1:15" x14ac:dyDescent="0.25">
      <c r="A279" s="26"/>
      <c r="B279" s="66"/>
      <c r="C279" s="58"/>
      <c r="D279" s="26"/>
      <c r="E279" s="58"/>
      <c r="F279" s="58"/>
      <c r="G279" s="26"/>
      <c r="H279" s="58"/>
      <c r="I279" s="58"/>
      <c r="J279" s="26"/>
      <c r="K279" s="58"/>
      <c r="L279" s="58"/>
      <c r="M279" s="58"/>
      <c r="N279" s="58"/>
      <c r="O279" s="58"/>
    </row>
    <row r="280" spans="1:15" x14ac:dyDescent="0.25">
      <c r="A280" s="26"/>
      <c r="B280" s="66"/>
      <c r="C280" s="58"/>
      <c r="D280" s="26"/>
      <c r="E280" s="58"/>
      <c r="F280" s="58"/>
      <c r="G280" s="26"/>
      <c r="H280" s="58"/>
      <c r="I280" s="58"/>
      <c r="J280" s="26"/>
      <c r="K280" s="58"/>
      <c r="L280" s="58"/>
      <c r="M280" s="58"/>
      <c r="N280" s="58"/>
      <c r="O280" s="58"/>
    </row>
    <row r="281" spans="1:15" x14ac:dyDescent="0.25">
      <c r="A281" s="26"/>
      <c r="B281" s="66"/>
      <c r="C281" s="58"/>
      <c r="D281" s="26"/>
      <c r="E281" s="58"/>
      <c r="F281" s="58"/>
      <c r="G281" s="26"/>
      <c r="H281" s="58"/>
      <c r="I281" s="58"/>
      <c r="J281" s="26"/>
      <c r="K281" s="58"/>
      <c r="L281" s="58"/>
      <c r="M281" s="58"/>
      <c r="N281" s="58"/>
      <c r="O281" s="58"/>
    </row>
    <row r="282" spans="1:15" x14ac:dyDescent="0.25">
      <c r="A282" s="26"/>
      <c r="B282" s="66"/>
      <c r="C282" s="58"/>
      <c r="D282" s="26"/>
      <c r="E282" s="58"/>
      <c r="F282" s="58"/>
      <c r="G282" s="26"/>
      <c r="H282" s="58"/>
      <c r="I282" s="58"/>
      <c r="J282" s="26"/>
      <c r="K282" s="58"/>
      <c r="L282" s="58"/>
      <c r="M282" s="58"/>
      <c r="N282" s="58"/>
      <c r="O282" s="58"/>
    </row>
    <row r="283" spans="1:15" x14ac:dyDescent="0.25">
      <c r="A283" s="26"/>
      <c r="B283" s="66"/>
      <c r="C283" s="58"/>
      <c r="D283" s="26"/>
      <c r="E283" s="58"/>
      <c r="F283" s="58"/>
      <c r="G283" s="26"/>
      <c r="H283" s="58"/>
      <c r="I283" s="58"/>
      <c r="J283" s="26"/>
      <c r="K283" s="58"/>
      <c r="L283" s="58"/>
      <c r="M283" s="58"/>
      <c r="N283" s="58"/>
      <c r="O283" s="58"/>
    </row>
    <row r="284" spans="1:15" x14ac:dyDescent="0.25">
      <c r="A284" s="26"/>
      <c r="B284" s="66"/>
      <c r="C284" s="58"/>
      <c r="D284" s="26"/>
      <c r="E284" s="58"/>
      <c r="F284" s="58"/>
      <c r="G284" s="26"/>
      <c r="H284" s="58"/>
      <c r="I284" s="58"/>
      <c r="J284" s="26"/>
      <c r="K284" s="58"/>
      <c r="L284" s="58"/>
      <c r="M284" s="58"/>
      <c r="N284" s="58"/>
      <c r="O284" s="58"/>
    </row>
    <row r="285" spans="1:15" x14ac:dyDescent="0.25">
      <c r="A285" s="26"/>
      <c r="B285" s="66"/>
      <c r="C285" s="58"/>
      <c r="D285" s="26"/>
      <c r="E285" s="58"/>
      <c r="F285" s="58"/>
      <c r="G285" s="26"/>
      <c r="H285" s="58"/>
      <c r="I285" s="58"/>
      <c r="J285" s="26"/>
      <c r="K285" s="58"/>
      <c r="L285" s="58"/>
      <c r="M285" s="58"/>
      <c r="N285" s="58"/>
      <c r="O285" s="58"/>
    </row>
    <row r="286" spans="1:15" x14ac:dyDescent="0.25">
      <c r="A286" s="26"/>
      <c r="B286" s="66"/>
      <c r="C286" s="58"/>
      <c r="D286" s="26"/>
      <c r="E286" s="58"/>
      <c r="F286" s="58"/>
      <c r="G286" s="26"/>
      <c r="H286" s="58"/>
      <c r="I286" s="58"/>
      <c r="J286" s="26"/>
      <c r="K286" s="58"/>
      <c r="L286" s="58"/>
      <c r="M286" s="58"/>
      <c r="N286" s="58"/>
      <c r="O286" s="58"/>
    </row>
    <row r="287" spans="1:15" x14ac:dyDescent="0.25">
      <c r="A287" s="26"/>
      <c r="B287" s="66"/>
      <c r="C287" s="58"/>
      <c r="D287" s="26"/>
      <c r="E287" s="58"/>
      <c r="F287" s="58"/>
      <c r="G287" s="26"/>
      <c r="H287" s="58"/>
      <c r="I287" s="58"/>
      <c r="J287" s="26"/>
      <c r="K287" s="58"/>
      <c r="L287" s="58"/>
      <c r="M287" s="58"/>
      <c r="N287" s="58"/>
      <c r="O287" s="58"/>
    </row>
    <row r="288" spans="1:15" x14ac:dyDescent="0.25">
      <c r="A288" s="26"/>
      <c r="B288" s="66"/>
      <c r="C288" s="58"/>
      <c r="D288" s="26"/>
      <c r="E288" s="58"/>
      <c r="F288" s="58"/>
      <c r="G288" s="26"/>
      <c r="H288" s="58"/>
      <c r="I288" s="58"/>
      <c r="J288" s="26"/>
      <c r="K288" s="58"/>
      <c r="L288" s="58"/>
      <c r="M288" s="58"/>
      <c r="N288" s="58"/>
      <c r="O288" s="58"/>
    </row>
    <row r="289" spans="1:15" x14ac:dyDescent="0.25">
      <c r="A289" s="26"/>
      <c r="B289" s="66"/>
      <c r="C289" s="58"/>
      <c r="D289" s="26"/>
      <c r="E289" s="58"/>
      <c r="F289" s="58"/>
      <c r="G289" s="26"/>
      <c r="H289" s="58"/>
      <c r="I289" s="58"/>
      <c r="J289" s="26"/>
      <c r="K289" s="58"/>
      <c r="L289" s="58"/>
      <c r="M289" s="58"/>
      <c r="N289" s="58"/>
      <c r="O289" s="58"/>
    </row>
    <row r="290" spans="1:15" x14ac:dyDescent="0.25">
      <c r="A290" s="26"/>
      <c r="B290" s="66"/>
      <c r="C290" s="58"/>
      <c r="D290" s="26"/>
      <c r="E290" s="58"/>
      <c r="F290" s="58"/>
      <c r="G290" s="26"/>
      <c r="H290" s="58"/>
      <c r="I290" s="58"/>
      <c r="J290" s="26"/>
      <c r="K290" s="58"/>
      <c r="L290" s="58"/>
      <c r="M290" s="58"/>
      <c r="N290" s="58"/>
      <c r="O290" s="58"/>
    </row>
    <row r="291" spans="1:15" x14ac:dyDescent="0.25">
      <c r="A291" s="26"/>
      <c r="B291" s="66"/>
      <c r="C291" s="58"/>
      <c r="D291" s="26"/>
      <c r="E291" s="58"/>
      <c r="F291" s="58"/>
      <c r="G291" s="26"/>
      <c r="H291" s="58"/>
      <c r="I291" s="58"/>
      <c r="J291" s="26"/>
      <c r="K291" s="58"/>
      <c r="L291" s="58"/>
      <c r="M291" s="58"/>
      <c r="N291" s="58"/>
      <c r="O291" s="58"/>
    </row>
    <row r="292" spans="1:15" x14ac:dyDescent="0.25">
      <c r="A292" s="26"/>
      <c r="B292" s="66"/>
      <c r="C292" s="58"/>
      <c r="D292" s="26"/>
      <c r="E292" s="58"/>
      <c r="F292" s="58"/>
      <c r="G292" s="26"/>
      <c r="H292" s="58"/>
      <c r="I292" s="58"/>
      <c r="J292" s="26"/>
      <c r="K292" s="58"/>
      <c r="L292" s="58"/>
      <c r="M292" s="58"/>
      <c r="N292" s="58"/>
      <c r="O292" s="58"/>
    </row>
    <row r="293" spans="1:15" x14ac:dyDescent="0.25">
      <c r="A293" s="26"/>
      <c r="B293" s="66"/>
      <c r="C293" s="58"/>
      <c r="D293" s="26"/>
      <c r="E293" s="58"/>
      <c r="F293" s="58"/>
      <c r="G293" s="26"/>
      <c r="H293" s="58"/>
      <c r="I293" s="58"/>
      <c r="J293" s="26"/>
      <c r="K293" s="58"/>
      <c r="L293" s="58"/>
      <c r="M293" s="58"/>
      <c r="N293" s="58"/>
      <c r="O293" s="58"/>
    </row>
    <row r="294" spans="1:15" x14ac:dyDescent="0.25">
      <c r="A294" s="26"/>
      <c r="B294" s="66"/>
      <c r="C294" s="58"/>
      <c r="D294" s="26"/>
      <c r="E294" s="58"/>
      <c r="F294" s="58"/>
      <c r="G294" s="26"/>
      <c r="H294" s="58"/>
      <c r="I294" s="58"/>
      <c r="J294" s="26"/>
      <c r="K294" s="58"/>
      <c r="L294" s="58"/>
      <c r="M294" s="58"/>
      <c r="N294" s="58"/>
      <c r="O294" s="58"/>
    </row>
    <row r="295" spans="1:15" x14ac:dyDescent="0.25">
      <c r="A295" s="26"/>
      <c r="B295" s="66"/>
      <c r="C295" s="58"/>
      <c r="D295" s="26"/>
      <c r="E295" s="58"/>
      <c r="F295" s="58"/>
      <c r="G295" s="26"/>
      <c r="H295" s="58"/>
      <c r="I295" s="58"/>
      <c r="J295" s="26"/>
      <c r="K295" s="58"/>
      <c r="L295" s="58"/>
      <c r="M295" s="58"/>
      <c r="N295" s="58"/>
      <c r="O295" s="58"/>
    </row>
    <row r="296" spans="1:15" x14ac:dyDescent="0.25">
      <c r="A296" s="26"/>
      <c r="B296" s="66"/>
      <c r="C296" s="58"/>
      <c r="D296" s="26"/>
      <c r="E296" s="58"/>
      <c r="F296" s="58"/>
      <c r="G296" s="26"/>
      <c r="H296" s="58"/>
      <c r="I296" s="58"/>
      <c r="J296" s="26"/>
      <c r="K296" s="58"/>
      <c r="L296" s="58"/>
      <c r="M296" s="58"/>
      <c r="N296" s="58"/>
      <c r="O296" s="58"/>
    </row>
    <row r="297" spans="1:15" x14ac:dyDescent="0.25">
      <c r="A297" s="26"/>
      <c r="B297" s="66"/>
      <c r="C297" s="58"/>
      <c r="D297" s="26"/>
      <c r="E297" s="58"/>
      <c r="F297" s="58"/>
      <c r="G297" s="26"/>
      <c r="H297" s="58"/>
      <c r="I297" s="58"/>
      <c r="J297" s="26"/>
      <c r="K297" s="58"/>
      <c r="L297" s="58"/>
      <c r="M297" s="58"/>
      <c r="N297" s="58"/>
      <c r="O297" s="58"/>
    </row>
    <row r="298" spans="1:15" x14ac:dyDescent="0.25">
      <c r="A298" s="26"/>
      <c r="B298" s="66"/>
      <c r="C298" s="58"/>
      <c r="D298" s="26"/>
      <c r="E298" s="58"/>
      <c r="F298" s="58"/>
      <c r="G298" s="26"/>
      <c r="H298" s="58"/>
      <c r="I298" s="58"/>
      <c r="J298" s="26"/>
      <c r="K298" s="58"/>
      <c r="L298" s="58"/>
      <c r="M298" s="58"/>
      <c r="N298" s="58"/>
      <c r="O298" s="58"/>
    </row>
    <row r="299" spans="1:15" x14ac:dyDescent="0.25">
      <c r="A299" s="26"/>
      <c r="B299" s="66"/>
      <c r="C299" s="58"/>
      <c r="D299" s="26"/>
      <c r="E299" s="58"/>
      <c r="F299" s="58"/>
      <c r="G299" s="26"/>
      <c r="H299" s="58"/>
      <c r="I299" s="58"/>
      <c r="J299" s="26"/>
      <c r="K299" s="58"/>
      <c r="L299" s="58"/>
      <c r="M299" s="58"/>
      <c r="N299" s="58"/>
      <c r="O299" s="58"/>
    </row>
    <row r="300" spans="1:15" x14ac:dyDescent="0.25">
      <c r="A300" s="26"/>
      <c r="B300" s="66"/>
      <c r="C300" s="58"/>
      <c r="D300" s="26"/>
      <c r="E300" s="58"/>
      <c r="F300" s="58"/>
      <c r="G300" s="26"/>
      <c r="H300" s="58"/>
      <c r="I300" s="58"/>
      <c r="J300" s="26"/>
      <c r="K300" s="58"/>
      <c r="L300" s="58"/>
      <c r="M300" s="58"/>
      <c r="N300" s="58"/>
      <c r="O300" s="58"/>
    </row>
    <row r="301" spans="1:15" x14ac:dyDescent="0.25">
      <c r="A301" s="26"/>
      <c r="B301" s="66"/>
      <c r="C301" s="58"/>
      <c r="D301" s="26"/>
      <c r="E301" s="58"/>
      <c r="F301" s="58"/>
      <c r="G301" s="26"/>
      <c r="H301" s="58"/>
      <c r="I301" s="58"/>
      <c r="J301" s="26"/>
      <c r="K301" s="58"/>
      <c r="L301" s="58"/>
      <c r="M301" s="58"/>
      <c r="N301" s="58"/>
      <c r="O301" s="58"/>
    </row>
    <row r="302" spans="1:15" x14ac:dyDescent="0.25">
      <c r="A302" s="26"/>
      <c r="B302" s="66"/>
      <c r="C302" s="58"/>
      <c r="D302" s="26"/>
      <c r="E302" s="58"/>
      <c r="F302" s="58"/>
      <c r="G302" s="26"/>
      <c r="H302" s="58"/>
      <c r="I302" s="58"/>
      <c r="J302" s="26"/>
      <c r="K302" s="58"/>
      <c r="L302" s="58"/>
      <c r="M302" s="58"/>
      <c r="N302" s="58"/>
      <c r="O302" s="58"/>
    </row>
    <row r="303" spans="1:15" x14ac:dyDescent="0.25">
      <c r="A303" s="26"/>
      <c r="B303" s="66"/>
      <c r="C303" s="58"/>
      <c r="D303" s="26"/>
      <c r="E303" s="58"/>
      <c r="F303" s="58"/>
      <c r="G303" s="26"/>
      <c r="H303" s="58"/>
      <c r="I303" s="58"/>
      <c r="J303" s="26"/>
      <c r="K303" s="58"/>
      <c r="L303" s="58"/>
      <c r="M303" s="58"/>
      <c r="N303" s="58"/>
      <c r="O303" s="58"/>
    </row>
    <row r="304" spans="1:15" x14ac:dyDescent="0.25">
      <c r="A304" s="26"/>
      <c r="B304" s="66"/>
      <c r="C304" s="58"/>
      <c r="D304" s="26"/>
      <c r="E304" s="58"/>
      <c r="F304" s="58"/>
      <c r="G304" s="26"/>
      <c r="H304" s="58"/>
      <c r="I304" s="58"/>
      <c r="J304" s="26"/>
      <c r="K304" s="58"/>
      <c r="L304" s="58"/>
      <c r="M304" s="58"/>
      <c r="N304" s="58"/>
      <c r="O304" s="58"/>
    </row>
    <row r="305" spans="1:15" x14ac:dyDescent="0.25">
      <c r="A305" s="26"/>
      <c r="B305" s="66"/>
      <c r="C305" s="58"/>
      <c r="D305" s="26"/>
      <c r="E305" s="58"/>
      <c r="F305" s="58"/>
      <c r="G305" s="26"/>
      <c r="H305" s="58"/>
      <c r="I305" s="58"/>
      <c r="J305" s="26"/>
      <c r="K305" s="58"/>
      <c r="L305" s="58"/>
      <c r="M305" s="58"/>
      <c r="N305" s="58"/>
      <c r="O305" s="58"/>
    </row>
    <row r="306" spans="1:15" x14ac:dyDescent="0.25">
      <c r="A306" s="26"/>
      <c r="B306" s="66"/>
      <c r="C306" s="58"/>
      <c r="D306" s="26"/>
      <c r="E306" s="58"/>
      <c r="F306" s="58"/>
      <c r="G306" s="26"/>
      <c r="H306" s="58"/>
      <c r="I306" s="58"/>
      <c r="J306" s="26"/>
      <c r="K306" s="58"/>
      <c r="L306" s="58"/>
      <c r="M306" s="58"/>
      <c r="N306" s="58"/>
      <c r="O306" s="58"/>
    </row>
    <row r="307" spans="1:15" x14ac:dyDescent="0.25">
      <c r="A307" s="26"/>
      <c r="B307" s="66"/>
      <c r="C307" s="58"/>
      <c r="D307" s="26"/>
      <c r="E307" s="58"/>
      <c r="F307" s="58"/>
      <c r="G307" s="26"/>
      <c r="H307" s="58"/>
      <c r="I307" s="58"/>
      <c r="J307" s="26"/>
      <c r="K307" s="58"/>
      <c r="L307" s="58"/>
      <c r="M307" s="58"/>
      <c r="N307" s="58"/>
      <c r="O307" s="58"/>
    </row>
    <row r="308" spans="1:15" x14ac:dyDescent="0.25">
      <c r="A308" s="26"/>
      <c r="B308" s="66"/>
      <c r="C308" s="58"/>
      <c r="D308" s="26"/>
      <c r="E308" s="58"/>
      <c r="F308" s="58"/>
      <c r="G308" s="26"/>
      <c r="H308" s="58"/>
      <c r="I308" s="58"/>
      <c r="J308" s="26"/>
      <c r="K308" s="58"/>
      <c r="L308" s="58"/>
      <c r="M308" s="58"/>
      <c r="N308" s="58"/>
      <c r="O308" s="58"/>
    </row>
    <row r="309" spans="1:15" x14ac:dyDescent="0.25">
      <c r="A309" s="26"/>
      <c r="B309" s="66"/>
      <c r="C309" s="58"/>
      <c r="D309" s="26"/>
      <c r="E309" s="58"/>
      <c r="F309" s="58"/>
      <c r="G309" s="26"/>
      <c r="H309" s="58"/>
      <c r="I309" s="58"/>
      <c r="J309" s="26"/>
      <c r="K309" s="58"/>
      <c r="L309" s="58"/>
      <c r="M309" s="58"/>
      <c r="N309" s="58"/>
      <c r="O309" s="58"/>
    </row>
    <row r="310" spans="1:15" x14ac:dyDescent="0.25">
      <c r="A310" s="26"/>
      <c r="B310" s="66"/>
      <c r="C310" s="58"/>
      <c r="D310" s="26"/>
      <c r="E310" s="58"/>
      <c r="F310" s="58"/>
      <c r="G310" s="26"/>
      <c r="H310" s="58"/>
      <c r="I310" s="58"/>
      <c r="J310" s="26"/>
      <c r="K310" s="58"/>
      <c r="L310" s="58"/>
      <c r="M310" s="58"/>
      <c r="N310" s="58"/>
      <c r="O310" s="58"/>
    </row>
    <row r="311" spans="1:15" x14ac:dyDescent="0.25">
      <c r="A311" s="26"/>
      <c r="B311" s="66"/>
      <c r="C311" s="58"/>
      <c r="D311" s="26"/>
      <c r="E311" s="58"/>
      <c r="F311" s="58"/>
      <c r="G311" s="26"/>
      <c r="H311" s="58"/>
      <c r="I311" s="58"/>
      <c r="J311" s="26"/>
      <c r="K311" s="58"/>
      <c r="L311" s="58"/>
      <c r="M311" s="58"/>
      <c r="N311" s="58"/>
      <c r="O311" s="58"/>
    </row>
    <row r="312" spans="1:15" x14ac:dyDescent="0.25">
      <c r="A312" s="26"/>
      <c r="B312" s="66"/>
      <c r="C312" s="58"/>
      <c r="D312" s="26"/>
      <c r="E312" s="58"/>
      <c r="F312" s="58"/>
      <c r="G312" s="26"/>
      <c r="H312" s="58"/>
      <c r="I312" s="58"/>
      <c r="J312" s="26"/>
      <c r="K312" s="58"/>
      <c r="L312" s="58"/>
      <c r="M312" s="58"/>
      <c r="N312" s="58"/>
      <c r="O312" s="58"/>
    </row>
    <row r="313" spans="1:15" x14ac:dyDescent="0.25">
      <c r="A313" s="26"/>
      <c r="B313" s="66"/>
      <c r="C313" s="58"/>
      <c r="D313" s="26"/>
      <c r="E313" s="58"/>
      <c r="F313" s="58"/>
      <c r="G313" s="26"/>
      <c r="H313" s="58"/>
      <c r="I313" s="58"/>
      <c r="J313" s="26"/>
      <c r="K313" s="58"/>
      <c r="L313" s="58"/>
      <c r="M313" s="58"/>
      <c r="N313" s="58"/>
      <c r="O313" s="58"/>
    </row>
    <row r="314" spans="1:15" x14ac:dyDescent="0.25">
      <c r="A314" s="26"/>
      <c r="B314" s="66"/>
      <c r="C314" s="58"/>
      <c r="D314" s="26"/>
      <c r="E314" s="58"/>
      <c r="F314" s="58"/>
      <c r="G314" s="26"/>
      <c r="H314" s="58"/>
      <c r="I314" s="58"/>
      <c r="J314" s="26"/>
      <c r="K314" s="58"/>
      <c r="L314" s="58"/>
      <c r="M314" s="58"/>
      <c r="N314" s="58"/>
      <c r="O314" s="58"/>
    </row>
    <row r="315" spans="1:15" x14ac:dyDescent="0.25">
      <c r="A315" s="26"/>
      <c r="B315" s="66"/>
      <c r="C315" s="58"/>
      <c r="D315" s="26"/>
      <c r="E315" s="58"/>
      <c r="F315" s="58"/>
      <c r="G315" s="26"/>
      <c r="H315" s="58"/>
      <c r="I315" s="58"/>
      <c r="J315" s="26"/>
      <c r="K315" s="58"/>
      <c r="L315" s="58"/>
      <c r="M315" s="58"/>
      <c r="N315" s="58"/>
      <c r="O315" s="58"/>
    </row>
    <row r="316" spans="1:15" x14ac:dyDescent="0.25">
      <c r="A316" s="26"/>
      <c r="B316" s="66"/>
      <c r="C316" s="58"/>
      <c r="D316" s="26"/>
      <c r="E316" s="58"/>
      <c r="F316" s="58"/>
      <c r="G316" s="26"/>
      <c r="H316" s="58"/>
      <c r="I316" s="58"/>
      <c r="J316" s="26"/>
      <c r="K316" s="58"/>
      <c r="L316" s="58"/>
      <c r="M316" s="58"/>
      <c r="N316" s="58"/>
      <c r="O316" s="58"/>
    </row>
    <row r="317" spans="1:15" x14ac:dyDescent="0.25">
      <c r="A317" s="26"/>
      <c r="B317" s="66"/>
      <c r="C317" s="58"/>
      <c r="D317" s="26"/>
      <c r="E317" s="58"/>
      <c r="F317" s="58"/>
      <c r="G317" s="26"/>
      <c r="H317" s="58"/>
      <c r="I317" s="58"/>
      <c r="J317" s="26"/>
      <c r="K317" s="58"/>
      <c r="L317" s="58"/>
      <c r="M317" s="58"/>
      <c r="N317" s="58"/>
      <c r="O317" s="58"/>
    </row>
    <row r="318" spans="1:15" x14ac:dyDescent="0.25">
      <c r="A318" s="26"/>
      <c r="B318" s="66"/>
      <c r="C318" s="58"/>
      <c r="D318" s="26"/>
      <c r="E318" s="58"/>
      <c r="F318" s="58"/>
      <c r="G318" s="26"/>
      <c r="H318" s="58"/>
      <c r="I318" s="58"/>
      <c r="J318" s="26"/>
      <c r="K318" s="58"/>
      <c r="L318" s="58"/>
      <c r="M318" s="58"/>
      <c r="N318" s="58"/>
      <c r="O318" s="58"/>
    </row>
    <row r="319" spans="1:15" x14ac:dyDescent="0.25">
      <c r="A319" s="26"/>
      <c r="B319" s="66"/>
      <c r="C319" s="58"/>
      <c r="D319" s="26"/>
      <c r="E319" s="58"/>
      <c r="F319" s="58"/>
      <c r="G319" s="26"/>
      <c r="H319" s="58"/>
      <c r="I319" s="58"/>
      <c r="J319" s="26"/>
      <c r="K319" s="58"/>
      <c r="L319" s="58"/>
      <c r="M319" s="58"/>
      <c r="N319" s="58"/>
      <c r="O319" s="58"/>
    </row>
    <row r="320" spans="1:15" x14ac:dyDescent="0.25">
      <c r="A320" s="26"/>
      <c r="B320" s="66"/>
      <c r="C320" s="58"/>
      <c r="D320" s="26"/>
      <c r="E320" s="58"/>
      <c r="F320" s="58"/>
      <c r="G320" s="26"/>
      <c r="H320" s="58"/>
      <c r="I320" s="58"/>
      <c r="J320" s="26"/>
      <c r="K320" s="58"/>
      <c r="L320" s="58"/>
      <c r="M320" s="58"/>
      <c r="N320" s="58"/>
      <c r="O320" s="58"/>
    </row>
    <row r="321" spans="1:15" x14ac:dyDescent="0.25">
      <c r="A321" s="26"/>
      <c r="B321" s="66"/>
      <c r="C321" s="58"/>
      <c r="D321" s="26"/>
      <c r="E321" s="58"/>
      <c r="F321" s="58"/>
      <c r="G321" s="26"/>
      <c r="H321" s="58"/>
      <c r="I321" s="58"/>
      <c r="J321" s="26"/>
      <c r="K321" s="58"/>
      <c r="L321" s="58"/>
      <c r="M321" s="58"/>
      <c r="N321" s="58"/>
      <c r="O321" s="58"/>
    </row>
    <row r="322" spans="1:15" x14ac:dyDescent="0.25">
      <c r="A322" s="26"/>
      <c r="B322" s="66"/>
      <c r="C322" s="58"/>
      <c r="D322" s="26"/>
      <c r="E322" s="58"/>
      <c r="F322" s="58"/>
      <c r="G322" s="26"/>
      <c r="H322" s="58"/>
      <c r="I322" s="58"/>
      <c r="J322" s="26"/>
      <c r="K322" s="58"/>
      <c r="L322" s="58"/>
      <c r="M322" s="58"/>
      <c r="N322" s="58"/>
      <c r="O322" s="58"/>
    </row>
    <row r="323" spans="1:15" x14ac:dyDescent="0.25">
      <c r="A323" s="26"/>
      <c r="B323" s="66"/>
      <c r="C323" s="58"/>
      <c r="D323" s="26"/>
      <c r="E323" s="58"/>
      <c r="F323" s="58"/>
      <c r="G323" s="26"/>
      <c r="H323" s="58"/>
      <c r="I323" s="58"/>
      <c r="J323" s="26"/>
      <c r="K323" s="58"/>
      <c r="L323" s="58"/>
      <c r="M323" s="58"/>
      <c r="N323" s="58"/>
      <c r="O323" s="58"/>
    </row>
    <row r="324" spans="1:15" x14ac:dyDescent="0.25">
      <c r="A324" s="26"/>
      <c r="B324" s="66"/>
      <c r="C324" s="58"/>
      <c r="D324" s="26"/>
      <c r="E324" s="58"/>
      <c r="F324" s="58"/>
      <c r="G324" s="26"/>
      <c r="H324" s="58"/>
      <c r="I324" s="58"/>
      <c r="J324" s="26"/>
      <c r="K324" s="58"/>
      <c r="L324" s="58"/>
      <c r="M324" s="58"/>
      <c r="N324" s="58"/>
      <c r="O324" s="58"/>
    </row>
    <row r="325" spans="1:15" x14ac:dyDescent="0.25">
      <c r="A325" s="26"/>
      <c r="B325" s="66"/>
      <c r="C325" s="58"/>
      <c r="D325" s="26"/>
      <c r="E325" s="58"/>
      <c r="F325" s="58"/>
      <c r="G325" s="26"/>
      <c r="H325" s="58"/>
      <c r="I325" s="58"/>
      <c r="J325" s="26"/>
      <c r="K325" s="58"/>
      <c r="L325" s="58"/>
      <c r="M325" s="58"/>
      <c r="N325" s="58"/>
      <c r="O325" s="58"/>
    </row>
    <row r="326" spans="1:15" x14ac:dyDescent="0.25">
      <c r="A326" s="26"/>
      <c r="B326" s="66"/>
      <c r="C326" s="58"/>
      <c r="D326" s="26"/>
      <c r="E326" s="58"/>
      <c r="F326" s="58"/>
      <c r="G326" s="26"/>
      <c r="H326" s="58"/>
      <c r="I326" s="58"/>
      <c r="J326" s="26"/>
      <c r="K326" s="58"/>
      <c r="L326" s="58"/>
      <c r="M326" s="58"/>
      <c r="N326" s="58"/>
      <c r="O326" s="58"/>
    </row>
    <row r="327" spans="1:15" x14ac:dyDescent="0.25">
      <c r="A327" s="26"/>
      <c r="B327" s="66"/>
      <c r="C327" s="58"/>
      <c r="D327" s="26"/>
      <c r="E327" s="58"/>
      <c r="F327" s="58"/>
      <c r="G327" s="26"/>
      <c r="H327" s="58"/>
      <c r="I327" s="58"/>
      <c r="J327" s="26"/>
      <c r="K327" s="58"/>
      <c r="L327" s="58"/>
      <c r="M327" s="58"/>
      <c r="N327" s="58"/>
      <c r="O327" s="58"/>
    </row>
    <row r="328" spans="1:15" x14ac:dyDescent="0.25">
      <c r="A328" s="26"/>
      <c r="B328" s="66"/>
      <c r="C328" s="58"/>
      <c r="D328" s="26"/>
      <c r="E328" s="58"/>
      <c r="F328" s="58"/>
      <c r="G328" s="26"/>
      <c r="H328" s="58"/>
      <c r="I328" s="58"/>
      <c r="J328" s="26"/>
      <c r="K328" s="58"/>
      <c r="L328" s="58"/>
      <c r="M328" s="58"/>
      <c r="N328" s="58"/>
      <c r="O328" s="58"/>
    </row>
    <row r="329" spans="1:15" x14ac:dyDescent="0.25">
      <c r="A329" s="26"/>
      <c r="B329" s="66"/>
      <c r="C329" s="58"/>
      <c r="D329" s="26"/>
      <c r="E329" s="58"/>
      <c r="F329" s="58"/>
      <c r="G329" s="26"/>
      <c r="H329" s="58"/>
      <c r="I329" s="58"/>
      <c r="J329" s="26"/>
      <c r="K329" s="58"/>
      <c r="L329" s="58"/>
      <c r="M329" s="58"/>
      <c r="N329" s="58"/>
      <c r="O329" s="58"/>
    </row>
    <row r="330" spans="1:15" x14ac:dyDescent="0.25">
      <c r="A330" s="26"/>
      <c r="B330" s="66"/>
      <c r="C330" s="58"/>
      <c r="D330" s="26"/>
      <c r="E330" s="58"/>
      <c r="F330" s="58"/>
      <c r="G330" s="26"/>
      <c r="H330" s="58"/>
      <c r="I330" s="58"/>
      <c r="J330" s="26"/>
      <c r="K330" s="58"/>
      <c r="L330" s="58"/>
      <c r="M330" s="58"/>
      <c r="N330" s="58"/>
      <c r="O330" s="58"/>
    </row>
    <row r="331" spans="1:15" x14ac:dyDescent="0.25">
      <c r="A331" s="26"/>
      <c r="B331" s="66"/>
      <c r="C331" s="58"/>
      <c r="D331" s="26"/>
      <c r="E331" s="58"/>
      <c r="F331" s="58"/>
      <c r="G331" s="26"/>
      <c r="H331" s="58"/>
      <c r="I331" s="58"/>
      <c r="J331" s="26"/>
      <c r="K331" s="58"/>
      <c r="L331" s="58"/>
      <c r="M331" s="58"/>
      <c r="N331" s="58"/>
      <c r="O331" s="58"/>
    </row>
    <row r="332" spans="1:15" x14ac:dyDescent="0.25">
      <c r="A332" s="26"/>
      <c r="B332" s="66"/>
      <c r="C332" s="58"/>
      <c r="D332" s="26"/>
      <c r="E332" s="58"/>
      <c r="F332" s="58"/>
      <c r="G332" s="26"/>
      <c r="H332" s="58"/>
      <c r="I332" s="58"/>
      <c r="J332" s="26"/>
      <c r="K332" s="58"/>
      <c r="L332" s="58"/>
      <c r="M332" s="58"/>
      <c r="N332" s="58"/>
      <c r="O332" s="58"/>
    </row>
    <row r="333" spans="1:15" x14ac:dyDescent="0.25">
      <c r="A333" s="26"/>
      <c r="B333" s="66"/>
      <c r="C333" s="58"/>
      <c r="D333" s="26"/>
      <c r="E333" s="58"/>
      <c r="F333" s="58"/>
      <c r="G333" s="26"/>
      <c r="H333" s="58"/>
      <c r="I333" s="58"/>
      <c r="J333" s="26"/>
      <c r="K333" s="58"/>
      <c r="L333" s="58"/>
      <c r="M333" s="58"/>
      <c r="N333" s="58"/>
      <c r="O333" s="58"/>
    </row>
    <row r="334" spans="1:15" x14ac:dyDescent="0.25">
      <c r="A334" s="26"/>
      <c r="B334" s="66"/>
      <c r="C334" s="58"/>
      <c r="D334" s="26"/>
      <c r="E334" s="58"/>
      <c r="F334" s="58"/>
      <c r="G334" s="26"/>
      <c r="H334" s="58"/>
      <c r="I334" s="58"/>
      <c r="J334" s="26"/>
      <c r="K334" s="58"/>
      <c r="L334" s="58"/>
      <c r="M334" s="58"/>
      <c r="N334" s="58"/>
      <c r="O334" s="58"/>
    </row>
    <row r="335" spans="1:15" x14ac:dyDescent="0.25">
      <c r="A335" s="26"/>
      <c r="B335" s="66"/>
      <c r="C335" s="58"/>
      <c r="D335" s="26"/>
      <c r="E335" s="58"/>
      <c r="F335" s="58"/>
      <c r="G335" s="26"/>
      <c r="H335" s="58"/>
      <c r="I335" s="58"/>
      <c r="J335" s="26"/>
      <c r="K335" s="58"/>
      <c r="L335" s="58"/>
      <c r="M335" s="58"/>
      <c r="N335" s="58"/>
      <c r="O335" s="58"/>
    </row>
    <row r="336" spans="1:15" x14ac:dyDescent="0.25">
      <c r="A336" s="26"/>
      <c r="B336" s="66"/>
      <c r="C336" s="58"/>
      <c r="D336" s="26"/>
      <c r="E336" s="58"/>
      <c r="F336" s="58"/>
      <c r="G336" s="26"/>
      <c r="H336" s="58"/>
      <c r="I336" s="58"/>
      <c r="J336" s="26"/>
      <c r="K336" s="58"/>
      <c r="L336" s="58"/>
      <c r="M336" s="58"/>
      <c r="N336" s="58"/>
      <c r="O336" s="58"/>
    </row>
    <row r="337" spans="1:15" x14ac:dyDescent="0.25">
      <c r="A337" s="26"/>
      <c r="B337" s="66"/>
      <c r="C337" s="58"/>
      <c r="D337" s="26"/>
      <c r="E337" s="58"/>
      <c r="F337" s="58"/>
      <c r="G337" s="26"/>
      <c r="H337" s="58"/>
      <c r="I337" s="58"/>
      <c r="J337" s="26"/>
      <c r="K337" s="58"/>
      <c r="L337" s="58"/>
      <c r="M337" s="58"/>
      <c r="N337" s="58"/>
      <c r="O337" s="58"/>
    </row>
    <row r="338" spans="1:15" x14ac:dyDescent="0.25">
      <c r="A338" s="26"/>
      <c r="B338" s="66"/>
      <c r="C338" s="58"/>
      <c r="D338" s="26"/>
      <c r="E338" s="58"/>
      <c r="F338" s="58"/>
      <c r="G338" s="26"/>
      <c r="H338" s="58"/>
      <c r="I338" s="58"/>
      <c r="J338" s="26"/>
      <c r="K338" s="58"/>
      <c r="L338" s="58"/>
      <c r="M338" s="58"/>
      <c r="N338" s="58"/>
      <c r="O338" s="58"/>
    </row>
    <row r="339" spans="1:15" x14ac:dyDescent="0.25">
      <c r="A339" s="26"/>
      <c r="B339" s="66"/>
      <c r="C339" s="58"/>
      <c r="D339" s="26"/>
      <c r="E339" s="58"/>
      <c r="F339" s="58"/>
      <c r="G339" s="26"/>
      <c r="H339" s="58"/>
      <c r="I339" s="58"/>
      <c r="J339" s="26"/>
      <c r="K339" s="58"/>
      <c r="L339" s="58"/>
      <c r="M339" s="58"/>
      <c r="N339" s="58"/>
      <c r="O339" s="58"/>
    </row>
    <row r="340" spans="1:15" x14ac:dyDescent="0.25">
      <c r="A340" s="26"/>
      <c r="B340" s="66"/>
      <c r="C340" s="58"/>
      <c r="D340" s="26"/>
      <c r="E340" s="58"/>
      <c r="F340" s="58"/>
      <c r="G340" s="26"/>
      <c r="H340" s="58"/>
      <c r="I340" s="58"/>
      <c r="J340" s="26"/>
      <c r="K340" s="58"/>
      <c r="L340" s="58"/>
      <c r="M340" s="58"/>
      <c r="N340" s="58"/>
      <c r="O340" s="58"/>
    </row>
    <row r="341" spans="1:15" x14ac:dyDescent="0.25">
      <c r="A341" s="26"/>
      <c r="B341" s="66"/>
      <c r="C341" s="58"/>
      <c r="D341" s="26"/>
      <c r="E341" s="58"/>
      <c r="F341" s="58"/>
      <c r="G341" s="26"/>
      <c r="H341" s="58"/>
      <c r="I341" s="58"/>
      <c r="J341" s="26"/>
      <c r="K341" s="58"/>
      <c r="L341" s="58"/>
      <c r="M341" s="58"/>
      <c r="N341" s="58"/>
      <c r="O341" s="58"/>
    </row>
    <row r="342" spans="1:15" x14ac:dyDescent="0.25">
      <c r="A342" s="26"/>
      <c r="B342" s="66"/>
      <c r="C342" s="58"/>
      <c r="D342" s="26"/>
      <c r="E342" s="58"/>
      <c r="F342" s="58"/>
      <c r="G342" s="26"/>
      <c r="H342" s="58"/>
      <c r="I342" s="58"/>
      <c r="J342" s="26"/>
      <c r="K342" s="58"/>
      <c r="L342" s="58"/>
      <c r="M342" s="58"/>
      <c r="N342" s="58"/>
      <c r="O342" s="58"/>
    </row>
    <row r="343" spans="1:15" x14ac:dyDescent="0.25">
      <c r="A343" s="26"/>
      <c r="B343" s="66"/>
      <c r="C343" s="58"/>
      <c r="D343" s="26"/>
      <c r="E343" s="58"/>
      <c r="F343" s="58"/>
      <c r="G343" s="26"/>
      <c r="H343" s="58"/>
      <c r="I343" s="58"/>
      <c r="J343" s="26"/>
      <c r="K343" s="58"/>
      <c r="L343" s="58"/>
      <c r="M343" s="58"/>
      <c r="N343" s="58"/>
      <c r="O343" s="58"/>
    </row>
    <row r="344" spans="1:15" x14ac:dyDescent="0.25">
      <c r="A344" s="26"/>
      <c r="B344" s="66"/>
      <c r="C344" s="58"/>
      <c r="D344" s="26"/>
      <c r="E344" s="58"/>
      <c r="F344" s="58"/>
      <c r="G344" s="26"/>
      <c r="H344" s="58"/>
      <c r="I344" s="58"/>
      <c r="J344" s="26"/>
      <c r="K344" s="58"/>
      <c r="L344" s="58"/>
      <c r="M344" s="58"/>
      <c r="N344" s="58"/>
      <c r="O344" s="58"/>
    </row>
    <row r="345" spans="1:15" x14ac:dyDescent="0.25">
      <c r="A345" s="26"/>
      <c r="B345" s="66"/>
      <c r="C345" s="58"/>
      <c r="D345" s="26"/>
      <c r="E345" s="58"/>
      <c r="F345" s="58"/>
      <c r="G345" s="26"/>
      <c r="H345" s="58"/>
      <c r="I345" s="58"/>
      <c r="J345" s="26"/>
      <c r="K345" s="58"/>
      <c r="L345" s="58"/>
      <c r="M345" s="58"/>
      <c r="N345" s="58"/>
      <c r="O345" s="58"/>
    </row>
    <row r="346" spans="1:15" x14ac:dyDescent="0.25">
      <c r="A346" s="26"/>
      <c r="B346" s="66"/>
      <c r="C346" s="58"/>
      <c r="D346" s="26"/>
      <c r="E346" s="58"/>
      <c r="F346" s="58"/>
      <c r="G346" s="26"/>
      <c r="H346" s="58"/>
      <c r="I346" s="58"/>
      <c r="J346" s="26"/>
      <c r="K346" s="58"/>
      <c r="L346" s="58"/>
      <c r="M346" s="58"/>
      <c r="N346" s="58"/>
      <c r="O346" s="58"/>
    </row>
    <row r="347" spans="1:15" x14ac:dyDescent="0.25">
      <c r="A347" s="26"/>
      <c r="B347" s="66"/>
      <c r="C347" s="58"/>
      <c r="D347" s="26"/>
      <c r="E347" s="58"/>
      <c r="F347" s="58"/>
      <c r="G347" s="26"/>
      <c r="H347" s="58"/>
      <c r="I347" s="58"/>
      <c r="J347" s="26"/>
      <c r="K347" s="58"/>
      <c r="L347" s="58"/>
      <c r="M347" s="58"/>
      <c r="N347" s="58"/>
      <c r="O347" s="58"/>
    </row>
    <row r="348" spans="1:15" x14ac:dyDescent="0.25">
      <c r="A348" s="26"/>
      <c r="B348" s="66"/>
      <c r="C348" s="58"/>
      <c r="D348" s="26"/>
      <c r="E348" s="58"/>
      <c r="F348" s="58"/>
      <c r="G348" s="26"/>
      <c r="H348" s="58"/>
      <c r="I348" s="58"/>
      <c r="J348" s="26"/>
      <c r="K348" s="58"/>
      <c r="L348" s="58"/>
      <c r="M348" s="58"/>
      <c r="N348" s="58"/>
      <c r="O348" s="58"/>
    </row>
    <row r="349" spans="1:15" x14ac:dyDescent="0.25">
      <c r="A349" s="26"/>
      <c r="B349" s="66"/>
      <c r="C349" s="58"/>
      <c r="D349" s="26"/>
      <c r="E349" s="58"/>
      <c r="F349" s="58"/>
      <c r="G349" s="26"/>
      <c r="H349" s="58"/>
      <c r="I349" s="58"/>
      <c r="J349" s="26"/>
      <c r="K349" s="58"/>
      <c r="L349" s="58"/>
      <c r="M349" s="58"/>
      <c r="N349" s="58"/>
      <c r="O349" s="58"/>
    </row>
    <row r="350" spans="1:15" x14ac:dyDescent="0.25">
      <c r="A350" s="26"/>
      <c r="B350" s="66"/>
      <c r="C350" s="58"/>
      <c r="D350" s="26"/>
      <c r="E350" s="58"/>
      <c r="F350" s="58"/>
      <c r="G350" s="26"/>
      <c r="H350" s="58"/>
      <c r="I350" s="58"/>
      <c r="J350" s="26"/>
      <c r="K350" s="58"/>
      <c r="L350" s="58"/>
      <c r="M350" s="58"/>
      <c r="N350" s="58"/>
      <c r="O350" s="58"/>
    </row>
    <row r="351" spans="1:15" x14ac:dyDescent="0.25">
      <c r="A351" s="26"/>
      <c r="B351" s="66"/>
      <c r="C351" s="58"/>
      <c r="D351" s="26"/>
      <c r="E351" s="58"/>
      <c r="F351" s="58"/>
      <c r="G351" s="26"/>
      <c r="H351" s="58"/>
      <c r="I351" s="58"/>
      <c r="J351" s="26"/>
      <c r="K351" s="58"/>
      <c r="L351" s="58"/>
      <c r="M351" s="58"/>
      <c r="N351" s="58"/>
      <c r="O351" s="58"/>
    </row>
    <row r="352" spans="1:15" x14ac:dyDescent="0.25">
      <c r="A352" s="26"/>
      <c r="B352" s="66"/>
      <c r="C352" s="58"/>
      <c r="D352" s="26"/>
      <c r="E352" s="58"/>
      <c r="F352" s="58"/>
      <c r="G352" s="26"/>
      <c r="H352" s="58"/>
      <c r="I352" s="58"/>
      <c r="J352" s="26"/>
      <c r="K352" s="58"/>
      <c r="L352" s="58"/>
      <c r="M352" s="58"/>
      <c r="N352" s="58"/>
      <c r="O352" s="58"/>
    </row>
    <row r="353" spans="1:15" x14ac:dyDescent="0.25">
      <c r="A353" s="26"/>
      <c r="B353" s="66"/>
      <c r="C353" s="58"/>
      <c r="D353" s="26"/>
      <c r="E353" s="58"/>
      <c r="F353" s="58"/>
      <c r="G353" s="26"/>
      <c r="H353" s="58"/>
      <c r="I353" s="58"/>
      <c r="J353" s="26"/>
      <c r="K353" s="58"/>
      <c r="L353" s="58"/>
      <c r="M353" s="58"/>
      <c r="N353" s="58"/>
      <c r="O353" s="58"/>
    </row>
    <row r="354" spans="1:15" x14ac:dyDescent="0.25">
      <c r="A354" s="26"/>
      <c r="B354" s="66"/>
      <c r="C354" s="58"/>
      <c r="D354" s="26"/>
      <c r="E354" s="58"/>
      <c r="F354" s="58"/>
      <c r="G354" s="26"/>
      <c r="H354" s="58"/>
      <c r="I354" s="58"/>
      <c r="J354" s="26"/>
      <c r="K354" s="58"/>
      <c r="L354" s="58"/>
      <c r="M354" s="58"/>
      <c r="N354" s="58"/>
      <c r="O354" s="58"/>
    </row>
    <row r="355" spans="1:15" x14ac:dyDescent="0.25">
      <c r="A355" s="26"/>
      <c r="B355" s="66"/>
      <c r="C355" s="58"/>
      <c r="D355" s="26"/>
      <c r="E355" s="58"/>
      <c r="F355" s="58"/>
      <c r="G355" s="26"/>
      <c r="H355" s="58"/>
      <c r="I355" s="58"/>
      <c r="J355" s="26"/>
      <c r="K355" s="58"/>
      <c r="L355" s="58"/>
      <c r="M355" s="58"/>
      <c r="N355" s="58"/>
      <c r="O355" s="58"/>
    </row>
    <row r="356" spans="1:15" x14ac:dyDescent="0.25">
      <c r="A356" s="26"/>
      <c r="B356" s="66"/>
      <c r="C356" s="58"/>
      <c r="D356" s="26"/>
      <c r="E356" s="58"/>
      <c r="F356" s="58"/>
      <c r="G356" s="26"/>
      <c r="H356" s="58"/>
      <c r="I356" s="58"/>
      <c r="J356" s="26"/>
      <c r="K356" s="58"/>
      <c r="L356" s="58"/>
      <c r="M356" s="58"/>
      <c r="N356" s="58"/>
      <c r="O356" s="58"/>
    </row>
    <row r="357" spans="1:15" x14ac:dyDescent="0.25">
      <c r="A357" s="26"/>
      <c r="B357" s="66"/>
      <c r="C357" s="58"/>
      <c r="D357" s="26"/>
      <c r="E357" s="58"/>
      <c r="F357" s="58"/>
      <c r="G357" s="26"/>
      <c r="H357" s="58"/>
      <c r="I357" s="58"/>
      <c r="J357" s="26"/>
      <c r="K357" s="58"/>
      <c r="L357" s="58"/>
      <c r="M357" s="58"/>
      <c r="N357" s="58"/>
      <c r="O357" s="58"/>
    </row>
    <row r="358" spans="1:15" x14ac:dyDescent="0.25">
      <c r="A358" s="26"/>
      <c r="B358" s="66"/>
      <c r="C358" s="58"/>
      <c r="D358" s="26"/>
      <c r="E358" s="58"/>
      <c r="F358" s="58"/>
      <c r="G358" s="26"/>
      <c r="H358" s="58"/>
      <c r="I358" s="58"/>
      <c r="J358" s="26"/>
      <c r="K358" s="58"/>
      <c r="L358" s="58"/>
      <c r="M358" s="58"/>
      <c r="N358" s="58"/>
      <c r="O358" s="58"/>
    </row>
    <row r="359" spans="1:15" x14ac:dyDescent="0.25">
      <c r="A359" s="26"/>
      <c r="B359" s="66"/>
      <c r="C359" s="58"/>
      <c r="D359" s="26"/>
      <c r="E359" s="58"/>
      <c r="F359" s="58"/>
      <c r="G359" s="26"/>
      <c r="H359" s="58"/>
      <c r="I359" s="58"/>
      <c r="J359" s="26"/>
      <c r="K359" s="58"/>
      <c r="L359" s="58"/>
      <c r="M359" s="58"/>
      <c r="N359" s="58"/>
      <c r="O359" s="58"/>
    </row>
    <row r="360" spans="1:15" x14ac:dyDescent="0.25">
      <c r="A360" s="26"/>
      <c r="B360" s="66"/>
      <c r="C360" s="58"/>
      <c r="D360" s="26"/>
      <c r="E360" s="58"/>
      <c r="F360" s="58"/>
      <c r="G360" s="26"/>
      <c r="H360" s="58"/>
      <c r="I360" s="58"/>
      <c r="J360" s="26"/>
      <c r="K360" s="58"/>
      <c r="L360" s="58"/>
      <c r="M360" s="58"/>
      <c r="N360" s="58"/>
      <c r="O360" s="58"/>
    </row>
    <row r="361" spans="1:15" x14ac:dyDescent="0.25">
      <c r="A361" s="26"/>
      <c r="B361" s="66"/>
      <c r="C361" s="58"/>
      <c r="D361" s="26"/>
      <c r="E361" s="58"/>
      <c r="F361" s="58"/>
      <c r="G361" s="26"/>
      <c r="H361" s="58"/>
      <c r="I361" s="58"/>
      <c r="J361" s="26"/>
      <c r="K361" s="58"/>
      <c r="L361" s="58"/>
      <c r="M361" s="58"/>
      <c r="N361" s="58"/>
      <c r="O361" s="58"/>
    </row>
    <row r="362" spans="1:15" x14ac:dyDescent="0.25">
      <c r="A362" s="26"/>
      <c r="B362" s="66"/>
      <c r="C362" s="58"/>
      <c r="D362" s="26"/>
      <c r="E362" s="58"/>
      <c r="F362" s="58"/>
      <c r="G362" s="26"/>
      <c r="H362" s="58"/>
      <c r="I362" s="58"/>
      <c r="J362" s="26"/>
      <c r="K362" s="58"/>
      <c r="L362" s="58"/>
      <c r="M362" s="58"/>
      <c r="N362" s="58"/>
      <c r="O362" s="58"/>
    </row>
    <row r="363" spans="1:15" x14ac:dyDescent="0.25">
      <c r="A363" s="26"/>
      <c r="B363" s="66"/>
      <c r="C363" s="58"/>
      <c r="D363" s="26"/>
      <c r="E363" s="58"/>
      <c r="F363" s="58"/>
      <c r="G363" s="26"/>
      <c r="H363" s="58"/>
      <c r="I363" s="58"/>
      <c r="J363" s="26"/>
      <c r="K363" s="58"/>
      <c r="L363" s="58"/>
      <c r="M363" s="58"/>
      <c r="N363" s="58"/>
      <c r="O363" s="58"/>
    </row>
    <row r="364" spans="1:15" x14ac:dyDescent="0.25">
      <c r="A364" s="26"/>
      <c r="B364" s="66"/>
      <c r="C364" s="58"/>
      <c r="D364" s="26"/>
      <c r="E364" s="58"/>
      <c r="F364" s="58"/>
      <c r="G364" s="26"/>
      <c r="H364" s="58"/>
      <c r="I364" s="58"/>
      <c r="J364" s="26"/>
      <c r="K364" s="58"/>
      <c r="L364" s="58"/>
      <c r="M364" s="58"/>
      <c r="N364" s="58"/>
      <c r="O364" s="58"/>
    </row>
    <row r="365" spans="1:15" x14ac:dyDescent="0.25">
      <c r="A365" s="26"/>
      <c r="B365" s="66"/>
      <c r="C365" s="58"/>
      <c r="D365" s="26"/>
      <c r="E365" s="58"/>
      <c r="F365" s="58"/>
      <c r="G365" s="26"/>
      <c r="H365" s="58"/>
      <c r="I365" s="58"/>
      <c r="J365" s="26"/>
      <c r="K365" s="58"/>
      <c r="L365" s="58"/>
      <c r="M365" s="58"/>
      <c r="N365" s="58"/>
      <c r="O365" s="58"/>
    </row>
    <row r="366" spans="1:15" x14ac:dyDescent="0.25">
      <c r="A366" s="26"/>
      <c r="B366" s="66"/>
      <c r="C366" s="58"/>
      <c r="D366" s="26"/>
      <c r="E366" s="58"/>
      <c r="F366" s="58"/>
      <c r="G366" s="26"/>
      <c r="H366" s="58"/>
      <c r="I366" s="58"/>
      <c r="J366" s="26"/>
      <c r="K366" s="58"/>
      <c r="L366" s="58"/>
      <c r="M366" s="58"/>
      <c r="N366" s="58"/>
      <c r="O366" s="58"/>
    </row>
    <row r="367" spans="1:15" x14ac:dyDescent="0.25">
      <c r="A367" s="26"/>
      <c r="B367" s="66"/>
      <c r="C367" s="58"/>
      <c r="D367" s="26"/>
      <c r="E367" s="58"/>
      <c r="F367" s="58"/>
      <c r="G367" s="26"/>
      <c r="H367" s="58"/>
      <c r="I367" s="58"/>
      <c r="J367" s="26"/>
      <c r="K367" s="58"/>
      <c r="L367" s="58"/>
      <c r="M367" s="58"/>
      <c r="N367" s="58"/>
      <c r="O367" s="58"/>
    </row>
    <row r="368" spans="1:15" x14ac:dyDescent="0.25">
      <c r="A368" s="26"/>
      <c r="B368" s="66"/>
      <c r="C368" s="58"/>
      <c r="D368" s="26"/>
      <c r="E368" s="58"/>
      <c r="F368" s="58"/>
      <c r="G368" s="26"/>
      <c r="H368" s="58"/>
      <c r="I368" s="58"/>
      <c r="J368" s="26"/>
      <c r="K368" s="58"/>
      <c r="L368" s="58"/>
      <c r="M368" s="58"/>
      <c r="N368" s="58"/>
      <c r="O368" s="58"/>
    </row>
    <row r="369" spans="1:15" x14ac:dyDescent="0.25">
      <c r="A369" s="26"/>
      <c r="B369" s="66"/>
      <c r="C369" s="58"/>
      <c r="D369" s="26"/>
      <c r="E369" s="58"/>
      <c r="F369" s="58"/>
      <c r="G369" s="26"/>
      <c r="H369" s="58"/>
      <c r="I369" s="58"/>
      <c r="J369" s="26"/>
      <c r="K369" s="58"/>
      <c r="L369" s="58"/>
      <c r="M369" s="58"/>
      <c r="N369" s="58"/>
      <c r="O369" s="58"/>
    </row>
    <row r="370" spans="1:15" x14ac:dyDescent="0.25">
      <c r="A370" s="26"/>
      <c r="B370" s="66"/>
      <c r="C370" s="58"/>
      <c r="D370" s="26"/>
      <c r="E370" s="58"/>
      <c r="F370" s="58"/>
      <c r="G370" s="26"/>
      <c r="H370" s="58"/>
      <c r="I370" s="58"/>
      <c r="J370" s="26"/>
      <c r="K370" s="58"/>
      <c r="L370" s="58"/>
      <c r="M370" s="58"/>
      <c r="N370" s="58"/>
      <c r="O370" s="58"/>
    </row>
    <row r="371" spans="1:15" x14ac:dyDescent="0.25">
      <c r="A371" s="26"/>
      <c r="B371" s="66"/>
      <c r="C371" s="58"/>
      <c r="D371" s="26"/>
      <c r="E371" s="58"/>
      <c r="F371" s="58"/>
      <c r="G371" s="26"/>
      <c r="H371" s="58"/>
      <c r="I371" s="58"/>
      <c r="J371" s="26"/>
      <c r="K371" s="58"/>
      <c r="L371" s="58"/>
      <c r="M371" s="58"/>
      <c r="N371" s="58"/>
      <c r="O371" s="58"/>
    </row>
    <row r="372" spans="1:15" x14ac:dyDescent="0.25">
      <c r="A372" s="26"/>
      <c r="B372" s="66"/>
      <c r="C372" s="58"/>
      <c r="D372" s="26"/>
      <c r="E372" s="58"/>
      <c r="F372" s="58"/>
      <c r="G372" s="26"/>
      <c r="H372" s="58"/>
      <c r="I372" s="58"/>
      <c r="J372" s="26"/>
      <c r="K372" s="58"/>
      <c r="L372" s="58"/>
      <c r="M372" s="58"/>
      <c r="N372" s="58"/>
      <c r="O372" s="58"/>
    </row>
    <row r="373" spans="1:15" x14ac:dyDescent="0.25">
      <c r="A373" s="26"/>
      <c r="B373" s="66"/>
      <c r="C373" s="58"/>
      <c r="D373" s="26"/>
      <c r="E373" s="58"/>
      <c r="F373" s="58"/>
      <c r="G373" s="26"/>
      <c r="H373" s="58"/>
      <c r="I373" s="58"/>
      <c r="J373" s="26"/>
      <c r="K373" s="58"/>
      <c r="L373" s="58"/>
      <c r="M373" s="58"/>
      <c r="N373" s="58"/>
      <c r="O373" s="58"/>
    </row>
    <row r="374" spans="1:15" x14ac:dyDescent="0.25">
      <c r="A374" s="26"/>
      <c r="B374" s="66"/>
      <c r="C374" s="58"/>
      <c r="D374" s="26"/>
      <c r="E374" s="58"/>
      <c r="F374" s="58"/>
      <c r="G374" s="26"/>
      <c r="H374" s="58"/>
      <c r="I374" s="58"/>
      <c r="J374" s="26"/>
      <c r="K374" s="58"/>
      <c r="L374" s="58"/>
      <c r="M374" s="58"/>
      <c r="N374" s="58"/>
      <c r="O374" s="58"/>
    </row>
    <row r="375" spans="1:15" x14ac:dyDescent="0.25">
      <c r="A375" s="26"/>
      <c r="B375" s="66"/>
      <c r="C375" s="58"/>
      <c r="D375" s="26"/>
      <c r="E375" s="58"/>
      <c r="F375" s="58"/>
      <c r="G375" s="26"/>
      <c r="H375" s="58"/>
      <c r="I375" s="58"/>
      <c r="J375" s="26"/>
      <c r="K375" s="58"/>
      <c r="L375" s="58"/>
      <c r="M375" s="58"/>
      <c r="N375" s="58"/>
      <c r="O375" s="58"/>
    </row>
    <row r="376" spans="1:15" x14ac:dyDescent="0.25">
      <c r="A376" s="26"/>
      <c r="B376" s="66"/>
      <c r="C376" s="58"/>
      <c r="D376" s="26"/>
      <c r="E376" s="58"/>
      <c r="F376" s="58"/>
      <c r="G376" s="26"/>
      <c r="H376" s="58"/>
      <c r="I376" s="58"/>
      <c r="J376" s="26"/>
      <c r="K376" s="58"/>
      <c r="L376" s="58"/>
      <c r="M376" s="58"/>
      <c r="N376" s="58"/>
      <c r="O376" s="58"/>
    </row>
    <row r="377" spans="1:15" x14ac:dyDescent="0.25">
      <c r="A377" s="26"/>
      <c r="B377" s="66"/>
      <c r="C377" s="58"/>
      <c r="D377" s="26"/>
      <c r="E377" s="58"/>
      <c r="F377" s="58"/>
      <c r="G377" s="26"/>
      <c r="H377" s="58"/>
      <c r="I377" s="58"/>
      <c r="J377" s="26"/>
      <c r="K377" s="58"/>
      <c r="L377" s="58"/>
      <c r="M377" s="58"/>
      <c r="N377" s="58"/>
      <c r="O377" s="58"/>
    </row>
    <row r="378" spans="1:15" x14ac:dyDescent="0.25">
      <c r="A378" s="26"/>
      <c r="B378" s="66"/>
      <c r="C378" s="58"/>
      <c r="D378" s="26"/>
      <c r="E378" s="58"/>
      <c r="F378" s="58"/>
      <c r="G378" s="26"/>
      <c r="H378" s="58"/>
      <c r="I378" s="58"/>
      <c r="J378" s="26"/>
      <c r="K378" s="58"/>
      <c r="L378" s="58"/>
      <c r="M378" s="58"/>
      <c r="N378" s="58"/>
      <c r="O378" s="58"/>
    </row>
    <row r="379" spans="1:15" x14ac:dyDescent="0.25">
      <c r="A379" s="26"/>
      <c r="B379" s="66"/>
      <c r="C379" s="58"/>
      <c r="D379" s="26"/>
      <c r="E379" s="58"/>
      <c r="F379" s="58"/>
      <c r="G379" s="26"/>
      <c r="H379" s="58"/>
      <c r="I379" s="58"/>
      <c r="J379" s="26"/>
      <c r="K379" s="58"/>
      <c r="L379" s="58"/>
      <c r="M379" s="58"/>
      <c r="N379" s="58"/>
      <c r="O379" s="58"/>
    </row>
    <row r="380" spans="1:15" x14ac:dyDescent="0.25">
      <c r="A380" s="26"/>
      <c r="B380" s="66"/>
      <c r="C380" s="58"/>
      <c r="D380" s="26"/>
      <c r="E380" s="58"/>
      <c r="F380" s="58"/>
      <c r="G380" s="26"/>
      <c r="H380" s="58"/>
      <c r="I380" s="58"/>
      <c r="J380" s="26"/>
      <c r="K380" s="58"/>
      <c r="L380" s="58"/>
      <c r="M380" s="58"/>
      <c r="N380" s="58"/>
      <c r="O380" s="58"/>
    </row>
    <row r="381" spans="1:15" x14ac:dyDescent="0.25">
      <c r="A381" s="26"/>
      <c r="B381" s="66"/>
      <c r="C381" s="58"/>
      <c r="D381" s="26"/>
      <c r="E381" s="58"/>
      <c r="F381" s="58"/>
      <c r="G381" s="26"/>
      <c r="H381" s="58"/>
      <c r="I381" s="58"/>
      <c r="J381" s="26"/>
      <c r="K381" s="58"/>
      <c r="L381" s="58"/>
      <c r="M381" s="58"/>
      <c r="N381" s="58"/>
      <c r="O381" s="58"/>
    </row>
    <row r="382" spans="1:15" x14ac:dyDescent="0.25">
      <c r="A382" s="26"/>
      <c r="B382" s="66"/>
      <c r="C382" s="58"/>
      <c r="D382" s="26"/>
      <c r="E382" s="58"/>
      <c r="F382" s="58"/>
      <c r="G382" s="26"/>
      <c r="H382" s="58"/>
      <c r="I382" s="58"/>
      <c r="J382" s="26"/>
      <c r="K382" s="58"/>
      <c r="L382" s="58"/>
      <c r="M382" s="58"/>
      <c r="N382" s="58"/>
      <c r="O382" s="58"/>
    </row>
    <row r="383" spans="1:15" x14ac:dyDescent="0.25">
      <c r="A383" s="26"/>
      <c r="B383" s="66"/>
      <c r="C383" s="58"/>
      <c r="D383" s="26"/>
      <c r="E383" s="58"/>
      <c r="F383" s="58"/>
      <c r="G383" s="26"/>
      <c r="H383" s="58"/>
      <c r="I383" s="58"/>
      <c r="J383" s="26"/>
      <c r="K383" s="58"/>
      <c r="L383" s="58"/>
      <c r="M383" s="58"/>
      <c r="N383" s="58"/>
      <c r="O383" s="58"/>
    </row>
    <row r="384" spans="1:15" x14ac:dyDescent="0.25">
      <c r="A384" s="26"/>
      <c r="B384" s="66"/>
      <c r="C384" s="58"/>
      <c r="D384" s="26"/>
      <c r="E384" s="58"/>
      <c r="F384" s="58"/>
      <c r="G384" s="26"/>
      <c r="H384" s="58"/>
      <c r="I384" s="58"/>
      <c r="J384" s="26"/>
      <c r="K384" s="58"/>
      <c r="L384" s="58"/>
      <c r="M384" s="58"/>
      <c r="N384" s="58"/>
      <c r="O384" s="58"/>
    </row>
    <row r="385" spans="1:15" x14ac:dyDescent="0.25">
      <c r="A385" s="26"/>
      <c r="B385" s="66"/>
      <c r="C385" s="58"/>
      <c r="D385" s="26"/>
      <c r="E385" s="58"/>
      <c r="F385" s="58"/>
      <c r="G385" s="26"/>
      <c r="H385" s="58"/>
      <c r="I385" s="58"/>
      <c r="J385" s="26"/>
      <c r="K385" s="58"/>
      <c r="L385" s="58"/>
      <c r="M385" s="58"/>
      <c r="N385" s="58"/>
      <c r="O385" s="58"/>
    </row>
    <row r="386" spans="1:15" x14ac:dyDescent="0.25">
      <c r="A386" s="26"/>
      <c r="B386" s="66"/>
      <c r="C386" s="58"/>
      <c r="D386" s="26"/>
      <c r="E386" s="58"/>
      <c r="F386" s="58"/>
      <c r="G386" s="26"/>
      <c r="H386" s="58"/>
      <c r="I386" s="58"/>
      <c r="J386" s="26"/>
      <c r="K386" s="58"/>
      <c r="L386" s="58"/>
      <c r="M386" s="58"/>
      <c r="N386" s="58"/>
      <c r="O386" s="58"/>
    </row>
    <row r="387" spans="1:15" x14ac:dyDescent="0.25">
      <c r="A387" s="26"/>
      <c r="B387" s="66"/>
      <c r="C387" s="58"/>
      <c r="D387" s="26"/>
      <c r="E387" s="58"/>
      <c r="F387" s="58"/>
      <c r="G387" s="26"/>
      <c r="H387" s="58"/>
      <c r="I387" s="58"/>
      <c r="J387" s="26"/>
      <c r="K387" s="58"/>
      <c r="L387" s="58"/>
      <c r="M387" s="58"/>
      <c r="N387" s="58"/>
      <c r="O387" s="58"/>
    </row>
    <row r="388" spans="1:15" x14ac:dyDescent="0.25">
      <c r="A388" s="26"/>
      <c r="B388" s="66"/>
      <c r="C388" s="58"/>
      <c r="D388" s="26"/>
      <c r="E388" s="58"/>
      <c r="F388" s="58"/>
      <c r="G388" s="26"/>
      <c r="H388" s="58"/>
      <c r="I388" s="58"/>
      <c r="J388" s="26"/>
      <c r="K388" s="58"/>
      <c r="L388" s="58"/>
      <c r="M388" s="58"/>
      <c r="N388" s="58"/>
      <c r="O388" s="58"/>
    </row>
    <row r="389" spans="1:15" x14ac:dyDescent="0.25">
      <c r="A389" s="26"/>
      <c r="B389" s="66"/>
      <c r="C389" s="58"/>
      <c r="D389" s="26"/>
      <c r="E389" s="58"/>
      <c r="F389" s="58"/>
      <c r="G389" s="26"/>
      <c r="H389" s="58"/>
      <c r="I389" s="58"/>
      <c r="J389" s="26"/>
      <c r="K389" s="58"/>
      <c r="L389" s="58"/>
      <c r="M389" s="58"/>
      <c r="N389" s="58"/>
      <c r="O389" s="58"/>
    </row>
    <row r="390" spans="1:15" x14ac:dyDescent="0.25">
      <c r="A390" s="26"/>
      <c r="B390" s="66"/>
      <c r="C390" s="58"/>
      <c r="D390" s="26"/>
      <c r="E390" s="58"/>
      <c r="F390" s="58"/>
      <c r="G390" s="26"/>
      <c r="H390" s="58"/>
      <c r="I390" s="58"/>
      <c r="J390" s="26"/>
      <c r="K390" s="58"/>
      <c r="L390" s="58"/>
      <c r="M390" s="58"/>
      <c r="N390" s="58"/>
      <c r="O390" s="58"/>
    </row>
    <row r="391" spans="1:15" x14ac:dyDescent="0.25">
      <c r="A391" s="26"/>
      <c r="B391" s="66"/>
      <c r="C391" s="58"/>
      <c r="D391" s="26"/>
      <c r="E391" s="58"/>
      <c r="F391" s="58"/>
      <c r="G391" s="26"/>
      <c r="H391" s="58"/>
      <c r="I391" s="58"/>
      <c r="J391" s="26"/>
      <c r="K391" s="58"/>
      <c r="L391" s="58"/>
      <c r="M391" s="58"/>
      <c r="N391" s="58"/>
      <c r="O391" s="58"/>
    </row>
    <row r="392" spans="1:15" x14ac:dyDescent="0.25">
      <c r="A392" s="26"/>
      <c r="B392" s="66"/>
      <c r="C392" s="58"/>
      <c r="D392" s="26"/>
      <c r="E392" s="58"/>
      <c r="F392" s="58"/>
      <c r="G392" s="26"/>
      <c r="H392" s="58"/>
      <c r="I392" s="58"/>
      <c r="J392" s="26"/>
      <c r="K392" s="58"/>
      <c r="L392" s="58"/>
      <c r="M392" s="58"/>
      <c r="N392" s="58"/>
      <c r="O392" s="58"/>
    </row>
    <row r="393" spans="1:15" x14ac:dyDescent="0.25">
      <c r="A393" s="26"/>
      <c r="B393" s="66"/>
      <c r="C393" s="58"/>
      <c r="D393" s="26"/>
      <c r="E393" s="58"/>
      <c r="F393" s="58"/>
      <c r="G393" s="26"/>
      <c r="H393" s="58"/>
      <c r="I393" s="58"/>
      <c r="J393" s="26"/>
      <c r="K393" s="58"/>
      <c r="L393" s="58"/>
      <c r="M393" s="58"/>
      <c r="N393" s="58"/>
      <c r="O393" s="58"/>
    </row>
    <row r="394" spans="1:15" x14ac:dyDescent="0.25">
      <c r="A394" s="26"/>
      <c r="B394" s="66"/>
      <c r="C394" s="58"/>
      <c r="D394" s="26"/>
      <c r="E394" s="58"/>
      <c r="F394" s="58"/>
      <c r="G394" s="26"/>
      <c r="H394" s="58"/>
      <c r="I394" s="58"/>
      <c r="J394" s="26"/>
      <c r="K394" s="58"/>
      <c r="L394" s="58"/>
      <c r="M394" s="58"/>
      <c r="N394" s="58"/>
      <c r="O394" s="58"/>
    </row>
    <row r="395" spans="1:15" x14ac:dyDescent="0.25">
      <c r="A395" s="26"/>
      <c r="B395" s="66"/>
      <c r="C395" s="58"/>
      <c r="D395" s="26"/>
      <c r="E395" s="58"/>
      <c r="F395" s="58"/>
      <c r="G395" s="26"/>
      <c r="H395" s="58"/>
      <c r="I395" s="58"/>
      <c r="J395" s="26"/>
      <c r="K395" s="58"/>
      <c r="L395" s="58"/>
      <c r="M395" s="58"/>
      <c r="N395" s="58"/>
      <c r="O395" s="58"/>
    </row>
    <row r="396" spans="1:15" x14ac:dyDescent="0.25">
      <c r="A396" s="26"/>
      <c r="B396" s="66"/>
      <c r="C396" s="58"/>
      <c r="D396" s="26"/>
      <c r="E396" s="58"/>
      <c r="F396" s="58"/>
      <c r="G396" s="26"/>
      <c r="H396" s="58"/>
      <c r="I396" s="58"/>
      <c r="J396" s="26"/>
      <c r="K396" s="58"/>
      <c r="L396" s="58"/>
      <c r="M396" s="58"/>
      <c r="N396" s="58"/>
      <c r="O396" s="58"/>
    </row>
    <row r="397" spans="1:15" x14ac:dyDescent="0.25">
      <c r="A397" s="26"/>
      <c r="B397" s="66"/>
      <c r="C397" s="58"/>
      <c r="D397" s="26"/>
      <c r="E397" s="58"/>
      <c r="F397" s="58"/>
      <c r="G397" s="26"/>
      <c r="H397" s="58"/>
      <c r="I397" s="58"/>
      <c r="J397" s="26"/>
      <c r="K397" s="58"/>
      <c r="L397" s="58"/>
      <c r="M397" s="58"/>
      <c r="N397" s="58"/>
      <c r="O397" s="58"/>
    </row>
    <row r="398" spans="1:15" x14ac:dyDescent="0.25">
      <c r="A398" s="26"/>
      <c r="B398" s="66"/>
      <c r="C398" s="58"/>
      <c r="D398" s="26"/>
      <c r="E398" s="58"/>
      <c r="F398" s="58"/>
      <c r="G398" s="26"/>
      <c r="H398" s="58"/>
      <c r="I398" s="58"/>
      <c r="J398" s="26"/>
      <c r="K398" s="58"/>
      <c r="L398" s="58"/>
      <c r="M398" s="58"/>
      <c r="N398" s="58"/>
      <c r="O398" s="58"/>
    </row>
    <row r="399" spans="1:15" x14ac:dyDescent="0.25">
      <c r="A399" s="26"/>
      <c r="B399" s="66"/>
      <c r="C399" s="58"/>
      <c r="D399" s="26"/>
      <c r="E399" s="58"/>
      <c r="F399" s="58"/>
      <c r="G399" s="26"/>
      <c r="H399" s="58"/>
      <c r="I399" s="58"/>
      <c r="J399" s="26"/>
      <c r="K399" s="58"/>
      <c r="L399" s="58"/>
      <c r="M399" s="58"/>
      <c r="N399" s="58"/>
      <c r="O399" s="58"/>
    </row>
    <row r="400" spans="1:15" x14ac:dyDescent="0.25">
      <c r="A400" s="26"/>
      <c r="B400" s="66"/>
      <c r="C400" s="58"/>
      <c r="D400" s="26"/>
      <c r="E400" s="58"/>
      <c r="F400" s="58"/>
      <c r="G400" s="26"/>
      <c r="H400" s="58"/>
      <c r="I400" s="58"/>
      <c r="J400" s="26"/>
      <c r="K400" s="58"/>
      <c r="L400" s="58"/>
      <c r="M400" s="58"/>
      <c r="N400" s="58"/>
      <c r="O400" s="58"/>
    </row>
    <row r="401" spans="1:15" x14ac:dyDescent="0.25">
      <c r="A401" s="26"/>
      <c r="B401" s="66"/>
      <c r="C401" s="58"/>
      <c r="D401" s="26"/>
      <c r="E401" s="58"/>
      <c r="F401" s="58"/>
      <c r="G401" s="26"/>
      <c r="H401" s="58"/>
      <c r="I401" s="58"/>
      <c r="J401" s="26"/>
      <c r="K401" s="58"/>
      <c r="L401" s="58"/>
      <c r="M401" s="58"/>
      <c r="N401" s="58"/>
      <c r="O401" s="58"/>
    </row>
    <row r="402" spans="1:15" x14ac:dyDescent="0.25">
      <c r="A402" s="26"/>
      <c r="B402" s="66"/>
      <c r="C402" s="58"/>
      <c r="D402" s="26"/>
      <c r="E402" s="58"/>
      <c r="F402" s="58"/>
      <c r="G402" s="26"/>
      <c r="H402" s="58"/>
      <c r="I402" s="58"/>
      <c r="J402" s="26"/>
      <c r="K402" s="58"/>
      <c r="L402" s="58"/>
      <c r="M402" s="58"/>
      <c r="N402" s="58"/>
      <c r="O402" s="58"/>
    </row>
    <row r="403" spans="1:15" x14ac:dyDescent="0.25">
      <c r="A403" s="26"/>
      <c r="B403" s="66"/>
      <c r="C403" s="58"/>
      <c r="D403" s="26"/>
      <c r="E403" s="58"/>
      <c r="F403" s="58"/>
      <c r="G403" s="26"/>
      <c r="H403" s="58"/>
      <c r="I403" s="58"/>
      <c r="J403" s="26"/>
      <c r="K403" s="58"/>
      <c r="L403" s="58"/>
      <c r="M403" s="58"/>
      <c r="N403" s="58"/>
      <c r="O403" s="58"/>
    </row>
    <row r="404" spans="1:15" x14ac:dyDescent="0.25">
      <c r="A404" s="26"/>
      <c r="B404" s="66"/>
      <c r="C404" s="58"/>
      <c r="D404" s="26"/>
      <c r="E404" s="58"/>
      <c r="F404" s="58"/>
      <c r="G404" s="26"/>
      <c r="H404" s="58"/>
      <c r="I404" s="58"/>
      <c r="J404" s="26"/>
      <c r="K404" s="58"/>
      <c r="L404" s="58"/>
      <c r="M404" s="58"/>
      <c r="N404" s="58"/>
      <c r="O404" s="58"/>
    </row>
    <row r="405" spans="1:15" x14ac:dyDescent="0.25">
      <c r="A405" s="26"/>
      <c r="B405" s="66"/>
      <c r="C405" s="58"/>
      <c r="D405" s="26"/>
      <c r="E405" s="58"/>
      <c r="F405" s="58"/>
      <c r="G405" s="26"/>
      <c r="H405" s="58"/>
      <c r="I405" s="58"/>
      <c r="J405" s="26"/>
      <c r="K405" s="58"/>
      <c r="L405" s="58"/>
      <c r="M405" s="58"/>
      <c r="N405" s="58"/>
      <c r="O405" s="58"/>
    </row>
    <row r="406" spans="1:15" x14ac:dyDescent="0.25">
      <c r="A406" s="26"/>
      <c r="B406" s="66"/>
      <c r="C406" s="58"/>
      <c r="D406" s="26"/>
      <c r="E406" s="58"/>
      <c r="F406" s="58"/>
      <c r="G406" s="26"/>
      <c r="H406" s="58"/>
      <c r="I406" s="58"/>
      <c r="J406" s="26"/>
      <c r="K406" s="58"/>
      <c r="L406" s="58"/>
      <c r="M406" s="58"/>
      <c r="N406" s="58"/>
      <c r="O406" s="58"/>
    </row>
    <row r="407" spans="1:15" x14ac:dyDescent="0.25">
      <c r="A407" s="26"/>
      <c r="B407" s="66"/>
      <c r="C407" s="58"/>
      <c r="D407" s="26"/>
      <c r="E407" s="58"/>
      <c r="F407" s="58"/>
      <c r="G407" s="26"/>
      <c r="H407" s="58"/>
      <c r="I407" s="58"/>
      <c r="J407" s="26"/>
      <c r="K407" s="58"/>
      <c r="L407" s="58"/>
      <c r="M407" s="58"/>
      <c r="N407" s="58"/>
      <c r="O407" s="58"/>
    </row>
    <row r="408" spans="1:15" x14ac:dyDescent="0.25">
      <c r="A408" s="26"/>
      <c r="B408" s="66"/>
      <c r="C408" s="58"/>
      <c r="D408" s="26"/>
      <c r="E408" s="58"/>
      <c r="F408" s="58"/>
      <c r="G408" s="26"/>
      <c r="H408" s="58"/>
      <c r="I408" s="58"/>
      <c r="J408" s="26"/>
      <c r="K408" s="58"/>
      <c r="L408" s="58"/>
      <c r="M408" s="58"/>
      <c r="N408" s="58"/>
      <c r="O408" s="58"/>
    </row>
    <row r="409" spans="1:15" x14ac:dyDescent="0.25">
      <c r="A409" s="26"/>
      <c r="B409" s="66"/>
      <c r="C409" s="58"/>
      <c r="D409" s="26"/>
      <c r="E409" s="58"/>
      <c r="F409" s="58"/>
      <c r="G409" s="26"/>
      <c r="H409" s="58"/>
      <c r="I409" s="58"/>
      <c r="J409" s="26"/>
      <c r="K409" s="58"/>
      <c r="L409" s="58"/>
      <c r="M409" s="58"/>
      <c r="N409" s="58"/>
      <c r="O409" s="58"/>
    </row>
    <row r="410" spans="1:15" x14ac:dyDescent="0.25">
      <c r="A410" s="26"/>
      <c r="B410" s="66"/>
      <c r="C410" s="58"/>
      <c r="D410" s="26"/>
      <c r="E410" s="58"/>
      <c r="F410" s="58"/>
      <c r="G410" s="26"/>
      <c r="H410" s="58"/>
      <c r="I410" s="58"/>
      <c r="J410" s="26"/>
      <c r="K410" s="58"/>
      <c r="L410" s="58"/>
      <c r="M410" s="58"/>
      <c r="N410" s="58"/>
      <c r="O410" s="58"/>
    </row>
    <row r="411" spans="1:15" x14ac:dyDescent="0.25">
      <c r="A411" s="26"/>
      <c r="B411" s="66"/>
      <c r="C411" s="58"/>
      <c r="D411" s="26"/>
      <c r="E411" s="58"/>
      <c r="F411" s="58"/>
      <c r="G411" s="26"/>
      <c r="H411" s="58"/>
      <c r="I411" s="58"/>
      <c r="J411" s="26"/>
      <c r="K411" s="58"/>
      <c r="L411" s="58"/>
      <c r="M411" s="58"/>
      <c r="N411" s="58"/>
      <c r="O411" s="58"/>
    </row>
    <row r="412" spans="1:15" x14ac:dyDescent="0.25">
      <c r="A412" s="26"/>
      <c r="B412" s="66"/>
      <c r="C412" s="58"/>
      <c r="D412" s="26"/>
      <c r="E412" s="58"/>
      <c r="F412" s="58"/>
      <c r="G412" s="26"/>
      <c r="H412" s="58"/>
      <c r="I412" s="58"/>
      <c r="J412" s="26"/>
      <c r="K412" s="58"/>
      <c r="L412" s="58"/>
      <c r="M412" s="58"/>
      <c r="N412" s="58"/>
      <c r="O412" s="58"/>
    </row>
    <row r="413" spans="1:15" x14ac:dyDescent="0.25">
      <c r="A413" s="26"/>
      <c r="B413" s="66"/>
      <c r="C413" s="58"/>
      <c r="D413" s="26"/>
      <c r="E413" s="58"/>
      <c r="F413" s="58"/>
      <c r="G413" s="26"/>
      <c r="H413" s="58"/>
      <c r="I413" s="58"/>
      <c r="J413" s="26"/>
      <c r="K413" s="58"/>
      <c r="L413" s="58"/>
      <c r="M413" s="58"/>
      <c r="N413" s="58"/>
      <c r="O413" s="58"/>
    </row>
    <row r="414" spans="1:15" x14ac:dyDescent="0.25">
      <c r="A414" s="26"/>
      <c r="B414" s="66"/>
      <c r="C414" s="58"/>
      <c r="D414" s="26"/>
      <c r="E414" s="58"/>
      <c r="F414" s="58"/>
      <c r="G414" s="26"/>
      <c r="H414" s="58"/>
      <c r="I414" s="58"/>
      <c r="J414" s="26"/>
      <c r="K414" s="58"/>
      <c r="L414" s="58"/>
      <c r="M414" s="58"/>
      <c r="N414" s="58"/>
      <c r="O414" s="58"/>
    </row>
    <row r="415" spans="1:15" x14ac:dyDescent="0.25">
      <c r="A415" s="26"/>
      <c r="B415" s="66"/>
      <c r="C415" s="58"/>
      <c r="D415" s="26"/>
      <c r="E415" s="58"/>
      <c r="F415" s="58"/>
      <c r="G415" s="26"/>
      <c r="H415" s="58"/>
      <c r="I415" s="58"/>
      <c r="J415" s="26"/>
      <c r="K415" s="58"/>
      <c r="L415" s="58"/>
      <c r="M415" s="58"/>
      <c r="N415" s="58"/>
      <c r="O415" s="58"/>
    </row>
    <row r="416" spans="1:15" x14ac:dyDescent="0.25">
      <c r="A416" s="26"/>
      <c r="B416" s="66"/>
      <c r="C416" s="58"/>
      <c r="D416" s="26"/>
      <c r="E416" s="58"/>
      <c r="F416" s="58"/>
      <c r="G416" s="26"/>
      <c r="H416" s="58"/>
      <c r="I416" s="58"/>
      <c r="J416" s="26"/>
      <c r="K416" s="58"/>
      <c r="L416" s="58"/>
      <c r="M416" s="58"/>
      <c r="N416" s="58"/>
      <c r="O416" s="58"/>
    </row>
    <row r="417" spans="1:15" x14ac:dyDescent="0.25">
      <c r="A417" s="26"/>
      <c r="B417" s="66"/>
      <c r="C417" s="58"/>
      <c r="D417" s="26"/>
      <c r="E417" s="58"/>
      <c r="F417" s="58"/>
      <c r="G417" s="26"/>
      <c r="H417" s="58"/>
      <c r="I417" s="58"/>
      <c r="J417" s="26"/>
      <c r="K417" s="58"/>
      <c r="L417" s="58"/>
      <c r="M417" s="58"/>
      <c r="N417" s="58"/>
      <c r="O417" s="58"/>
    </row>
    <row r="418" spans="1:15" x14ac:dyDescent="0.25">
      <c r="A418" s="26"/>
      <c r="B418" s="66"/>
      <c r="C418" s="58"/>
      <c r="D418" s="26"/>
      <c r="E418" s="58"/>
      <c r="F418" s="58"/>
      <c r="G418" s="26"/>
      <c r="H418" s="58"/>
      <c r="I418" s="58"/>
      <c r="J418" s="26"/>
      <c r="K418" s="58"/>
      <c r="L418" s="58"/>
      <c r="M418" s="58"/>
      <c r="N418" s="58"/>
      <c r="O418" s="58"/>
    </row>
    <row r="419" spans="1:15" x14ac:dyDescent="0.25">
      <c r="A419" s="26"/>
      <c r="B419" s="66"/>
      <c r="C419" s="58"/>
      <c r="D419" s="26"/>
      <c r="E419" s="58"/>
      <c r="F419" s="58"/>
      <c r="G419" s="26"/>
      <c r="H419" s="58"/>
      <c r="I419" s="58"/>
      <c r="J419" s="26"/>
      <c r="K419" s="58"/>
      <c r="L419" s="58"/>
      <c r="M419" s="58"/>
      <c r="N419" s="58"/>
      <c r="O419" s="58"/>
    </row>
    <row r="420" spans="1:15" x14ac:dyDescent="0.25">
      <c r="A420" s="26"/>
      <c r="B420" s="66"/>
      <c r="C420" s="58"/>
      <c r="D420" s="26"/>
      <c r="E420" s="58"/>
      <c r="F420" s="58"/>
      <c r="G420" s="26"/>
      <c r="H420" s="58"/>
      <c r="I420" s="58"/>
      <c r="J420" s="26"/>
      <c r="K420" s="58"/>
      <c r="L420" s="58"/>
      <c r="M420" s="58"/>
      <c r="N420" s="58"/>
      <c r="O420" s="58"/>
    </row>
    <row r="421" spans="1:15" x14ac:dyDescent="0.25">
      <c r="A421" s="26"/>
      <c r="B421" s="66"/>
      <c r="C421" s="58"/>
      <c r="D421" s="26"/>
      <c r="E421" s="58"/>
      <c r="F421" s="58"/>
      <c r="G421" s="26"/>
      <c r="H421" s="58"/>
      <c r="I421" s="58"/>
      <c r="J421" s="26"/>
      <c r="K421" s="58"/>
      <c r="L421" s="58"/>
      <c r="M421" s="58"/>
      <c r="N421" s="58"/>
      <c r="O421" s="58"/>
    </row>
    <row r="422" spans="1:15" x14ac:dyDescent="0.25">
      <c r="A422" s="26"/>
      <c r="B422" s="66"/>
      <c r="C422" s="58"/>
      <c r="D422" s="26"/>
      <c r="E422" s="58"/>
      <c r="F422" s="58"/>
      <c r="G422" s="26"/>
      <c r="H422" s="58"/>
      <c r="I422" s="58"/>
      <c r="J422" s="26"/>
      <c r="K422" s="58"/>
      <c r="L422" s="58"/>
      <c r="M422" s="58"/>
      <c r="N422" s="58"/>
      <c r="O422" s="58"/>
    </row>
    <row r="423" spans="1:15" x14ac:dyDescent="0.25">
      <c r="A423" s="26"/>
      <c r="B423" s="66"/>
      <c r="C423" s="58"/>
      <c r="D423" s="26"/>
      <c r="E423" s="58"/>
      <c r="F423" s="58"/>
      <c r="G423" s="26"/>
      <c r="H423" s="58"/>
      <c r="I423" s="58"/>
      <c r="J423" s="26"/>
      <c r="K423" s="58"/>
      <c r="L423" s="58"/>
      <c r="M423" s="58"/>
      <c r="N423" s="58"/>
      <c r="O423" s="58"/>
    </row>
    <row r="424" spans="1:15" x14ac:dyDescent="0.25">
      <c r="A424" s="26"/>
      <c r="B424" s="66"/>
      <c r="C424" s="58"/>
      <c r="D424" s="26"/>
      <c r="E424" s="58"/>
      <c r="F424" s="58"/>
      <c r="G424" s="26"/>
      <c r="H424" s="58"/>
      <c r="I424" s="58"/>
      <c r="J424" s="26"/>
      <c r="K424" s="58"/>
      <c r="L424" s="58"/>
      <c r="M424" s="58"/>
      <c r="N424" s="58"/>
      <c r="O424" s="58"/>
    </row>
    <row r="425" spans="1:15" x14ac:dyDescent="0.25">
      <c r="A425" s="26"/>
      <c r="B425" s="66"/>
      <c r="C425" s="58"/>
      <c r="D425" s="26"/>
      <c r="E425" s="58"/>
      <c r="F425" s="58"/>
      <c r="G425" s="26"/>
      <c r="H425" s="58"/>
      <c r="I425" s="58"/>
      <c r="J425" s="26"/>
      <c r="K425" s="58"/>
      <c r="L425" s="58"/>
      <c r="M425" s="58"/>
      <c r="N425" s="58"/>
      <c r="O425" s="58"/>
    </row>
    <row r="426" spans="1:15" x14ac:dyDescent="0.25">
      <c r="A426" s="26"/>
      <c r="B426" s="66"/>
      <c r="C426" s="58"/>
      <c r="D426" s="26"/>
      <c r="E426" s="58"/>
      <c r="F426" s="58"/>
      <c r="G426" s="26"/>
      <c r="H426" s="58"/>
      <c r="I426" s="58"/>
      <c r="J426" s="26"/>
      <c r="K426" s="58"/>
      <c r="L426" s="58"/>
      <c r="M426" s="58"/>
      <c r="N426" s="58"/>
      <c r="O426" s="58"/>
    </row>
    <row r="427" spans="1:15" x14ac:dyDescent="0.25">
      <c r="A427" s="26"/>
      <c r="B427" s="66"/>
      <c r="C427" s="58"/>
      <c r="D427" s="26"/>
      <c r="E427" s="58"/>
      <c r="F427" s="58"/>
      <c r="G427" s="26"/>
      <c r="H427" s="58"/>
      <c r="I427" s="58"/>
      <c r="J427" s="26"/>
      <c r="K427" s="58"/>
      <c r="L427" s="58"/>
      <c r="M427" s="58"/>
      <c r="N427" s="58"/>
      <c r="O427" s="58"/>
    </row>
    <row r="428" spans="1:15" x14ac:dyDescent="0.25">
      <c r="A428" s="26"/>
      <c r="B428" s="66"/>
      <c r="C428" s="58"/>
      <c r="D428" s="26"/>
      <c r="E428" s="58"/>
      <c r="F428" s="58"/>
      <c r="G428" s="26"/>
      <c r="H428" s="58"/>
      <c r="I428" s="58"/>
      <c r="J428" s="26"/>
      <c r="K428" s="58"/>
      <c r="L428" s="58"/>
      <c r="M428" s="58"/>
      <c r="N428" s="58"/>
      <c r="O428" s="58"/>
    </row>
    <row r="429" spans="1:15" x14ac:dyDescent="0.25">
      <c r="A429" s="26"/>
      <c r="B429" s="66"/>
      <c r="C429" s="58"/>
      <c r="D429" s="26"/>
      <c r="E429" s="58"/>
      <c r="F429" s="58"/>
      <c r="G429" s="26"/>
      <c r="H429" s="58"/>
      <c r="I429" s="58"/>
      <c r="J429" s="26"/>
      <c r="K429" s="58"/>
      <c r="L429" s="58"/>
      <c r="M429" s="58"/>
      <c r="N429" s="58"/>
      <c r="O429" s="58"/>
    </row>
    <row r="430" spans="1:15" x14ac:dyDescent="0.25">
      <c r="A430" s="26"/>
      <c r="B430" s="66"/>
      <c r="C430" s="58"/>
      <c r="D430" s="26"/>
      <c r="E430" s="58"/>
      <c r="F430" s="58"/>
      <c r="G430" s="26"/>
      <c r="H430" s="58"/>
      <c r="I430" s="58"/>
      <c r="J430" s="26"/>
      <c r="K430" s="58"/>
      <c r="L430" s="58"/>
      <c r="M430" s="58"/>
      <c r="N430" s="58"/>
      <c r="O430" s="58"/>
    </row>
    <row r="431" spans="1:15" x14ac:dyDescent="0.25">
      <c r="A431" s="26"/>
      <c r="B431" s="66"/>
      <c r="C431" s="58"/>
      <c r="D431" s="26"/>
      <c r="E431" s="58"/>
      <c r="F431" s="58"/>
      <c r="G431" s="26"/>
      <c r="H431" s="58"/>
      <c r="I431" s="58"/>
      <c r="J431" s="26"/>
      <c r="K431" s="58"/>
      <c r="L431" s="58"/>
      <c r="M431" s="58"/>
      <c r="N431" s="58"/>
      <c r="O431" s="58"/>
    </row>
    <row r="432" spans="1:15" x14ac:dyDescent="0.25">
      <c r="A432" s="26"/>
      <c r="B432" s="66"/>
      <c r="C432" s="58"/>
      <c r="D432" s="26"/>
      <c r="E432" s="58"/>
      <c r="F432" s="58"/>
      <c r="G432" s="26"/>
      <c r="H432" s="58"/>
      <c r="I432" s="58"/>
      <c r="J432" s="26"/>
      <c r="K432" s="58"/>
      <c r="L432" s="58"/>
      <c r="M432" s="58"/>
      <c r="N432" s="58"/>
      <c r="O432" s="58"/>
    </row>
    <row r="433" spans="1:15" x14ac:dyDescent="0.25">
      <c r="A433" s="26"/>
      <c r="B433" s="66"/>
      <c r="C433" s="58"/>
      <c r="D433" s="26"/>
      <c r="E433" s="58"/>
      <c r="F433" s="58"/>
      <c r="G433" s="26"/>
      <c r="H433" s="58"/>
      <c r="I433" s="58"/>
      <c r="J433" s="26"/>
      <c r="K433" s="58"/>
      <c r="L433" s="58"/>
      <c r="M433" s="58"/>
      <c r="N433" s="58"/>
      <c r="O433" s="58"/>
    </row>
    <row r="434" spans="1:15" x14ac:dyDescent="0.25">
      <c r="A434" s="26"/>
      <c r="B434" s="66"/>
      <c r="C434" s="58"/>
      <c r="D434" s="26"/>
      <c r="E434" s="58"/>
      <c r="F434" s="58"/>
      <c r="G434" s="26"/>
      <c r="H434" s="58"/>
      <c r="I434" s="58"/>
      <c r="J434" s="26"/>
      <c r="K434" s="58"/>
      <c r="L434" s="58"/>
      <c r="M434" s="58"/>
      <c r="N434" s="58"/>
      <c r="O434" s="58"/>
    </row>
    <row r="435" spans="1:15" x14ac:dyDescent="0.25">
      <c r="A435" s="26"/>
      <c r="B435" s="66"/>
      <c r="C435" s="58"/>
      <c r="D435" s="26"/>
      <c r="E435" s="58"/>
      <c r="F435" s="58"/>
      <c r="G435" s="26"/>
      <c r="H435" s="58"/>
      <c r="I435" s="58"/>
      <c r="J435" s="26"/>
      <c r="K435" s="58"/>
      <c r="L435" s="58"/>
      <c r="M435" s="58"/>
      <c r="N435" s="58"/>
      <c r="O435" s="58"/>
    </row>
    <row r="436" spans="1:15" x14ac:dyDescent="0.25">
      <c r="A436" s="26"/>
      <c r="B436" s="66"/>
      <c r="C436" s="58"/>
      <c r="D436" s="26"/>
      <c r="E436" s="58"/>
      <c r="F436" s="58"/>
      <c r="G436" s="26"/>
      <c r="H436" s="58"/>
      <c r="I436" s="58"/>
      <c r="J436" s="26"/>
      <c r="K436" s="58"/>
      <c r="L436" s="58"/>
      <c r="M436" s="58"/>
      <c r="N436" s="58"/>
      <c r="O436" s="58"/>
    </row>
    <row r="437" spans="1:15" x14ac:dyDescent="0.25">
      <c r="A437" s="26"/>
      <c r="B437" s="66"/>
      <c r="C437" s="58"/>
      <c r="D437" s="26"/>
      <c r="E437" s="58"/>
      <c r="F437" s="58"/>
      <c r="G437" s="26"/>
      <c r="H437" s="58"/>
      <c r="I437" s="58"/>
      <c r="J437" s="26"/>
      <c r="K437" s="58"/>
      <c r="L437" s="58"/>
      <c r="M437" s="58"/>
      <c r="N437" s="58"/>
      <c r="O437" s="58"/>
    </row>
    <row r="438" spans="1:15" x14ac:dyDescent="0.25">
      <c r="A438" s="26"/>
      <c r="B438" s="66"/>
      <c r="C438" s="58"/>
      <c r="D438" s="26"/>
      <c r="E438" s="58"/>
      <c r="F438" s="58"/>
      <c r="G438" s="26"/>
      <c r="H438" s="58"/>
      <c r="I438" s="58"/>
      <c r="J438" s="26"/>
      <c r="K438" s="58"/>
      <c r="L438" s="58"/>
      <c r="M438" s="58"/>
      <c r="N438" s="58"/>
      <c r="O438" s="58"/>
    </row>
    <row r="439" spans="1:15" x14ac:dyDescent="0.25">
      <c r="A439" s="26"/>
      <c r="B439" s="66"/>
      <c r="C439" s="58"/>
      <c r="D439" s="26"/>
      <c r="E439" s="58"/>
      <c r="F439" s="58"/>
      <c r="G439" s="26"/>
      <c r="H439" s="58"/>
      <c r="I439" s="58"/>
      <c r="J439" s="26"/>
      <c r="K439" s="58"/>
      <c r="L439" s="58"/>
      <c r="M439" s="58"/>
      <c r="N439" s="58"/>
      <c r="O439" s="58"/>
    </row>
    <row r="440" spans="1:15" x14ac:dyDescent="0.25">
      <c r="A440" s="26"/>
      <c r="B440" s="66"/>
      <c r="C440" s="58"/>
      <c r="D440" s="26"/>
      <c r="E440" s="58"/>
      <c r="F440" s="58"/>
      <c r="G440" s="26"/>
      <c r="H440" s="58"/>
      <c r="I440" s="58"/>
      <c r="J440" s="26"/>
      <c r="K440" s="58"/>
      <c r="L440" s="58"/>
      <c r="M440" s="58"/>
      <c r="N440" s="58"/>
      <c r="O440" s="58"/>
    </row>
    <row r="441" spans="1:15" x14ac:dyDescent="0.25">
      <c r="A441" s="26"/>
      <c r="B441" s="66"/>
      <c r="C441" s="58"/>
      <c r="D441" s="26"/>
      <c r="E441" s="58"/>
      <c r="F441" s="58"/>
      <c r="G441" s="26"/>
      <c r="H441" s="58"/>
      <c r="I441" s="58"/>
      <c r="J441" s="26"/>
      <c r="K441" s="58"/>
      <c r="L441" s="58"/>
      <c r="M441" s="58"/>
      <c r="N441" s="58"/>
      <c r="O441" s="58"/>
    </row>
    <row r="442" spans="1:15" x14ac:dyDescent="0.25">
      <c r="A442" s="26"/>
      <c r="B442" s="66"/>
      <c r="C442" s="58"/>
      <c r="D442" s="26"/>
      <c r="E442" s="58"/>
      <c r="F442" s="58"/>
      <c r="G442" s="26"/>
      <c r="H442" s="58"/>
      <c r="I442" s="58"/>
      <c r="J442" s="26"/>
      <c r="K442" s="58"/>
      <c r="L442" s="58"/>
      <c r="M442" s="58"/>
      <c r="N442" s="58"/>
      <c r="O442" s="58"/>
    </row>
    <row r="443" spans="1:15" x14ac:dyDescent="0.25">
      <c r="A443" s="26"/>
      <c r="B443" s="66"/>
      <c r="C443" s="58"/>
      <c r="D443" s="26"/>
      <c r="E443" s="58"/>
      <c r="F443" s="58"/>
      <c r="G443" s="26"/>
      <c r="H443" s="58"/>
      <c r="I443" s="58"/>
      <c r="J443" s="26"/>
      <c r="K443" s="58"/>
      <c r="L443" s="58"/>
      <c r="M443" s="58"/>
      <c r="N443" s="58"/>
      <c r="O443" s="58"/>
    </row>
    <row r="444" spans="1:15" x14ac:dyDescent="0.25">
      <c r="A444" s="26"/>
      <c r="B444" s="66"/>
      <c r="C444" s="58"/>
      <c r="D444" s="26"/>
      <c r="E444" s="58"/>
      <c r="F444" s="58"/>
      <c r="G444" s="26"/>
      <c r="H444" s="58"/>
      <c r="I444" s="58"/>
      <c r="J444" s="26"/>
      <c r="K444" s="58"/>
      <c r="L444" s="58"/>
      <c r="M444" s="58"/>
      <c r="N444" s="58"/>
      <c r="O444" s="58"/>
    </row>
    <row r="445" spans="1:15" x14ac:dyDescent="0.25">
      <c r="A445" s="26"/>
      <c r="B445" s="66"/>
      <c r="C445" s="58"/>
      <c r="D445" s="26"/>
      <c r="E445" s="58"/>
      <c r="F445" s="58"/>
      <c r="G445" s="26"/>
      <c r="H445" s="58"/>
      <c r="I445" s="58"/>
      <c r="J445" s="26"/>
      <c r="K445" s="58"/>
      <c r="L445" s="58"/>
      <c r="M445" s="58"/>
      <c r="N445" s="58"/>
      <c r="O445" s="58"/>
    </row>
    <row r="446" spans="1:15" x14ac:dyDescent="0.25">
      <c r="A446" s="26"/>
      <c r="B446" s="66"/>
      <c r="C446" s="58"/>
      <c r="D446" s="26"/>
      <c r="E446" s="58"/>
      <c r="F446" s="58"/>
      <c r="G446" s="26"/>
      <c r="H446" s="58"/>
      <c r="I446" s="58"/>
      <c r="J446" s="26"/>
      <c r="K446" s="58"/>
      <c r="L446" s="58"/>
      <c r="M446" s="58"/>
      <c r="N446" s="58"/>
      <c r="O446" s="58"/>
    </row>
    <row r="447" spans="1:15" x14ac:dyDescent="0.25">
      <c r="A447" s="26"/>
      <c r="B447" s="66"/>
      <c r="C447" s="58"/>
      <c r="D447" s="26"/>
      <c r="E447" s="58"/>
      <c r="F447" s="58"/>
      <c r="G447" s="26"/>
      <c r="H447" s="58"/>
      <c r="I447" s="58"/>
      <c r="J447" s="26"/>
      <c r="K447" s="58"/>
      <c r="L447" s="58"/>
      <c r="M447" s="58"/>
      <c r="N447" s="58"/>
      <c r="O447" s="58"/>
    </row>
    <row r="448" spans="1:15" x14ac:dyDescent="0.25">
      <c r="A448" s="26"/>
      <c r="B448" s="66"/>
      <c r="C448" s="58"/>
      <c r="D448" s="26"/>
      <c r="E448" s="58"/>
      <c r="F448" s="58"/>
      <c r="G448" s="26"/>
      <c r="H448" s="58"/>
      <c r="I448" s="58"/>
      <c r="J448" s="26"/>
      <c r="K448" s="58"/>
      <c r="L448" s="58"/>
      <c r="M448" s="58"/>
      <c r="N448" s="58"/>
      <c r="O448" s="58"/>
    </row>
    <row r="449" spans="1:15" x14ac:dyDescent="0.25">
      <c r="A449" s="26"/>
      <c r="B449" s="66"/>
      <c r="C449" s="58"/>
      <c r="D449" s="26"/>
      <c r="E449" s="58"/>
      <c r="F449" s="58"/>
      <c r="G449" s="26"/>
      <c r="H449" s="58"/>
      <c r="I449" s="58"/>
      <c r="J449" s="26"/>
      <c r="K449" s="58"/>
      <c r="L449" s="58"/>
      <c r="M449" s="58"/>
      <c r="N449" s="58"/>
      <c r="O449" s="58"/>
    </row>
    <row r="450" spans="1:15" x14ac:dyDescent="0.25">
      <c r="A450" s="26"/>
      <c r="B450" s="66"/>
      <c r="C450" s="58"/>
      <c r="D450" s="26"/>
      <c r="E450" s="58"/>
      <c r="F450" s="58"/>
      <c r="G450" s="26"/>
      <c r="H450" s="58"/>
      <c r="I450" s="58"/>
      <c r="J450" s="26"/>
      <c r="K450" s="58"/>
      <c r="L450" s="58"/>
      <c r="M450" s="58"/>
      <c r="N450" s="58"/>
      <c r="O450" s="58"/>
    </row>
    <row r="451" spans="1:15" x14ac:dyDescent="0.25">
      <c r="A451" s="26"/>
      <c r="B451" s="66"/>
      <c r="C451" s="58"/>
      <c r="D451" s="26"/>
      <c r="E451" s="58"/>
      <c r="F451" s="58"/>
      <c r="G451" s="26"/>
      <c r="H451" s="58"/>
      <c r="I451" s="58"/>
      <c r="J451" s="26"/>
      <c r="K451" s="58"/>
      <c r="L451" s="58"/>
      <c r="M451" s="58"/>
      <c r="N451" s="58"/>
      <c r="O451" s="58"/>
    </row>
    <row r="452" spans="1:15" x14ac:dyDescent="0.25">
      <c r="A452" s="26"/>
      <c r="B452" s="66"/>
      <c r="C452" s="58"/>
      <c r="D452" s="26"/>
      <c r="E452" s="58"/>
      <c r="F452" s="58"/>
      <c r="G452" s="26"/>
      <c r="H452" s="58"/>
      <c r="I452" s="58"/>
      <c r="J452" s="26"/>
      <c r="K452" s="58"/>
      <c r="L452" s="58"/>
      <c r="M452" s="58"/>
      <c r="N452" s="58"/>
      <c r="O452" s="58"/>
    </row>
    <row r="453" spans="1:15" x14ac:dyDescent="0.25">
      <c r="A453" s="26"/>
      <c r="B453" s="66"/>
      <c r="C453" s="58"/>
      <c r="D453" s="26"/>
      <c r="E453" s="58"/>
      <c r="F453" s="58"/>
      <c r="G453" s="26"/>
      <c r="H453" s="58"/>
      <c r="I453" s="58"/>
      <c r="J453" s="26"/>
      <c r="K453" s="58"/>
      <c r="L453" s="58"/>
      <c r="M453" s="58"/>
      <c r="N453" s="58"/>
      <c r="O453" s="58"/>
    </row>
    <row r="454" spans="1:15" x14ac:dyDescent="0.25">
      <c r="A454" s="26"/>
      <c r="B454" s="66"/>
      <c r="C454" s="58"/>
      <c r="D454" s="26"/>
      <c r="E454" s="58"/>
      <c r="F454" s="58"/>
      <c r="G454" s="26"/>
      <c r="H454" s="58"/>
      <c r="I454" s="58"/>
      <c r="J454" s="26"/>
      <c r="K454" s="58"/>
      <c r="L454" s="58"/>
      <c r="M454" s="58"/>
      <c r="N454" s="58"/>
      <c r="O454" s="58"/>
    </row>
    <row r="455" spans="1:15" x14ac:dyDescent="0.25">
      <c r="A455" s="26"/>
      <c r="B455" s="66"/>
      <c r="C455" s="58"/>
      <c r="D455" s="26"/>
      <c r="E455" s="58"/>
      <c r="F455" s="58"/>
      <c r="G455" s="26"/>
      <c r="H455" s="58"/>
      <c r="I455" s="58"/>
      <c r="J455" s="26"/>
      <c r="K455" s="58"/>
      <c r="L455" s="58"/>
      <c r="M455" s="58"/>
      <c r="N455" s="58"/>
      <c r="O455" s="58"/>
    </row>
    <row r="456" spans="1:15" x14ac:dyDescent="0.25">
      <c r="A456" s="26"/>
      <c r="B456" s="66"/>
      <c r="C456" s="58"/>
      <c r="D456" s="26"/>
      <c r="E456" s="58"/>
      <c r="F456" s="58"/>
      <c r="G456" s="26"/>
      <c r="H456" s="58"/>
      <c r="I456" s="58"/>
      <c r="J456" s="26"/>
      <c r="K456" s="58"/>
      <c r="L456" s="58"/>
      <c r="M456" s="58"/>
      <c r="N456" s="58"/>
      <c r="O456" s="58"/>
    </row>
    <row r="457" spans="1:15" x14ac:dyDescent="0.25">
      <c r="A457" s="26"/>
      <c r="B457" s="66"/>
      <c r="C457" s="58"/>
      <c r="D457" s="26"/>
      <c r="E457" s="58"/>
      <c r="F457" s="58"/>
      <c r="G457" s="26"/>
      <c r="H457" s="58"/>
      <c r="I457" s="58"/>
      <c r="J457" s="26"/>
      <c r="K457" s="58"/>
      <c r="L457" s="58"/>
      <c r="M457" s="58"/>
      <c r="N457" s="58"/>
      <c r="O457" s="58"/>
    </row>
    <row r="458" spans="1:15" x14ac:dyDescent="0.25">
      <c r="A458" s="26"/>
      <c r="B458" s="66"/>
      <c r="C458" s="58"/>
      <c r="D458" s="26"/>
      <c r="E458" s="58"/>
      <c r="F458" s="58"/>
      <c r="G458" s="26"/>
      <c r="H458" s="58"/>
      <c r="I458" s="58"/>
      <c r="J458" s="26"/>
      <c r="K458" s="58"/>
      <c r="L458" s="58"/>
      <c r="M458" s="58"/>
      <c r="N458" s="58"/>
      <c r="O458" s="58"/>
    </row>
    <row r="459" spans="1:15" x14ac:dyDescent="0.25">
      <c r="A459" s="26"/>
      <c r="B459" s="66"/>
      <c r="C459" s="58"/>
      <c r="D459" s="26"/>
      <c r="E459" s="58"/>
      <c r="F459" s="58"/>
      <c r="G459" s="26"/>
      <c r="H459" s="58"/>
      <c r="I459" s="58"/>
      <c r="J459" s="26"/>
      <c r="K459" s="58"/>
      <c r="L459" s="58"/>
      <c r="M459" s="58"/>
      <c r="N459" s="58"/>
      <c r="O459" s="58"/>
    </row>
    <row r="460" spans="1:15" x14ac:dyDescent="0.25">
      <c r="A460" s="26"/>
      <c r="B460" s="66"/>
      <c r="C460" s="58"/>
      <c r="D460" s="26"/>
      <c r="E460" s="58"/>
      <c r="F460" s="58"/>
      <c r="G460" s="26"/>
      <c r="H460" s="58"/>
      <c r="I460" s="58"/>
      <c r="J460" s="26"/>
      <c r="K460" s="58"/>
      <c r="L460" s="58"/>
      <c r="M460" s="58"/>
      <c r="N460" s="58"/>
      <c r="O460" s="58"/>
    </row>
    <row r="461" spans="1:15" x14ac:dyDescent="0.25">
      <c r="A461" s="26"/>
      <c r="B461" s="66"/>
      <c r="C461" s="58"/>
      <c r="D461" s="26"/>
      <c r="E461" s="58"/>
      <c r="F461" s="58"/>
      <c r="G461" s="26"/>
      <c r="H461" s="58"/>
      <c r="I461" s="58"/>
      <c r="J461" s="26"/>
      <c r="K461" s="58"/>
      <c r="L461" s="58"/>
      <c r="M461" s="58"/>
      <c r="N461" s="58"/>
      <c r="O461" s="58"/>
    </row>
    <row r="462" spans="1:15" x14ac:dyDescent="0.25">
      <c r="A462" s="26"/>
      <c r="B462" s="66"/>
      <c r="C462" s="58"/>
      <c r="D462" s="26"/>
      <c r="E462" s="58"/>
      <c r="F462" s="58"/>
      <c r="G462" s="26"/>
      <c r="H462" s="58"/>
      <c r="I462" s="58"/>
      <c r="J462" s="26"/>
      <c r="K462" s="58"/>
      <c r="L462" s="58"/>
      <c r="M462" s="58"/>
      <c r="N462" s="58"/>
      <c r="O462" s="58"/>
    </row>
    <row r="463" spans="1:15" x14ac:dyDescent="0.25">
      <c r="A463" s="26"/>
      <c r="B463" s="66"/>
      <c r="C463" s="58"/>
      <c r="D463" s="26"/>
      <c r="E463" s="58"/>
      <c r="F463" s="58"/>
      <c r="G463" s="26"/>
      <c r="H463" s="58"/>
      <c r="I463" s="58"/>
      <c r="J463" s="26"/>
      <c r="K463" s="58"/>
      <c r="L463" s="58"/>
      <c r="M463" s="58"/>
      <c r="N463" s="58"/>
      <c r="O463" s="58"/>
    </row>
    <row r="464" spans="1:15" x14ac:dyDescent="0.25">
      <c r="A464" s="26"/>
      <c r="B464" s="66"/>
      <c r="C464" s="58"/>
      <c r="D464" s="26"/>
      <c r="E464" s="58"/>
      <c r="F464" s="58"/>
      <c r="G464" s="26"/>
      <c r="H464" s="58"/>
      <c r="I464" s="58"/>
      <c r="J464" s="26"/>
      <c r="K464" s="58"/>
      <c r="L464" s="58"/>
      <c r="M464" s="58"/>
      <c r="N464" s="58"/>
      <c r="O464" s="58"/>
    </row>
    <row r="465" spans="1:15" x14ac:dyDescent="0.25">
      <c r="A465" s="26"/>
      <c r="B465" s="66"/>
      <c r="C465" s="58"/>
      <c r="D465" s="26"/>
      <c r="E465" s="58"/>
      <c r="F465" s="58"/>
      <c r="G465" s="26"/>
      <c r="H465" s="58"/>
      <c r="I465" s="58"/>
      <c r="J465" s="26"/>
      <c r="K465" s="58"/>
      <c r="L465" s="58"/>
      <c r="M465" s="58"/>
      <c r="N465" s="58"/>
      <c r="O465" s="58"/>
    </row>
    <row r="466" spans="1:15" x14ac:dyDescent="0.25">
      <c r="A466" s="26"/>
      <c r="B466" s="66"/>
      <c r="C466" s="58"/>
      <c r="D466" s="26"/>
      <c r="E466" s="58"/>
      <c r="F466" s="58"/>
      <c r="G466" s="26"/>
      <c r="H466" s="58"/>
      <c r="I466" s="58"/>
      <c r="J466" s="26"/>
      <c r="K466" s="58"/>
      <c r="L466" s="58"/>
      <c r="M466" s="58"/>
      <c r="N466" s="58"/>
      <c r="O466" s="58"/>
    </row>
    <row r="467" spans="1:15" x14ac:dyDescent="0.25">
      <c r="A467" s="26"/>
      <c r="B467" s="66"/>
      <c r="C467" s="58"/>
      <c r="D467" s="26"/>
      <c r="E467" s="58"/>
      <c r="F467" s="58"/>
      <c r="G467" s="26"/>
      <c r="H467" s="58"/>
      <c r="I467" s="58"/>
      <c r="J467" s="26"/>
      <c r="K467" s="58"/>
      <c r="L467" s="58"/>
      <c r="M467" s="58"/>
      <c r="N467" s="58"/>
      <c r="O467" s="58"/>
    </row>
    <row r="468" spans="1:15" x14ac:dyDescent="0.25">
      <c r="A468" s="26"/>
      <c r="B468" s="66"/>
      <c r="C468" s="58"/>
      <c r="D468" s="26"/>
      <c r="E468" s="58"/>
      <c r="F468" s="58"/>
      <c r="G468" s="26"/>
      <c r="H468" s="58"/>
      <c r="I468" s="58"/>
      <c r="J468" s="26"/>
      <c r="K468" s="58"/>
      <c r="L468" s="58"/>
      <c r="M468" s="58"/>
      <c r="N468" s="58"/>
      <c r="O468" s="58"/>
    </row>
    <row r="469" spans="1:15" x14ac:dyDescent="0.25">
      <c r="A469" s="26"/>
      <c r="B469" s="66"/>
      <c r="C469" s="58"/>
      <c r="D469" s="26"/>
      <c r="E469" s="58"/>
      <c r="F469" s="58"/>
      <c r="G469" s="26"/>
      <c r="H469" s="58"/>
      <c r="I469" s="58"/>
      <c r="J469" s="26"/>
      <c r="K469" s="58"/>
      <c r="L469" s="58"/>
      <c r="M469" s="58"/>
      <c r="N469" s="58"/>
      <c r="O469" s="58"/>
    </row>
    <row r="470" spans="1:15" x14ac:dyDescent="0.25">
      <c r="A470" s="26"/>
      <c r="B470" s="66"/>
      <c r="C470" s="58"/>
      <c r="D470" s="26"/>
      <c r="E470" s="58"/>
      <c r="F470" s="58"/>
      <c r="G470" s="26"/>
      <c r="H470" s="58"/>
      <c r="I470" s="58"/>
      <c r="J470" s="26"/>
      <c r="K470" s="58"/>
      <c r="L470" s="58"/>
      <c r="M470" s="58"/>
      <c r="N470" s="58"/>
      <c r="O470" s="58"/>
    </row>
    <row r="471" spans="1:15" x14ac:dyDescent="0.25">
      <c r="A471" s="26"/>
      <c r="B471" s="66"/>
      <c r="C471" s="58"/>
      <c r="D471" s="26"/>
      <c r="E471" s="58"/>
      <c r="F471" s="58"/>
      <c r="G471" s="26"/>
      <c r="H471" s="58"/>
      <c r="I471" s="58"/>
      <c r="J471" s="26"/>
      <c r="K471" s="58"/>
      <c r="L471" s="58"/>
      <c r="M471" s="58"/>
      <c r="N471" s="58"/>
      <c r="O471" s="58"/>
    </row>
    <row r="472" spans="1:15" x14ac:dyDescent="0.25">
      <c r="A472" s="26"/>
      <c r="B472" s="66"/>
      <c r="C472" s="58"/>
      <c r="D472" s="26"/>
      <c r="E472" s="58"/>
      <c r="F472" s="58"/>
      <c r="G472" s="26"/>
      <c r="H472" s="58"/>
      <c r="I472" s="58"/>
      <c r="J472" s="26"/>
      <c r="K472" s="58"/>
      <c r="L472" s="58"/>
      <c r="M472" s="58"/>
      <c r="N472" s="58"/>
      <c r="O472" s="58"/>
    </row>
    <row r="473" spans="1:15" x14ac:dyDescent="0.25">
      <c r="A473" s="26"/>
      <c r="B473" s="66"/>
      <c r="C473" s="58"/>
      <c r="D473" s="26"/>
      <c r="E473" s="58"/>
      <c r="F473" s="58"/>
      <c r="G473" s="26"/>
      <c r="H473" s="58"/>
      <c r="I473" s="58"/>
      <c r="J473" s="26"/>
      <c r="K473" s="58"/>
      <c r="L473" s="58"/>
      <c r="M473" s="58"/>
      <c r="N473" s="58"/>
      <c r="O473" s="58"/>
    </row>
    <row r="474" spans="1:15" x14ac:dyDescent="0.25">
      <c r="A474" s="26"/>
      <c r="B474" s="66"/>
      <c r="C474" s="58"/>
      <c r="D474" s="26"/>
      <c r="E474" s="58"/>
      <c r="F474" s="58"/>
      <c r="G474" s="26"/>
      <c r="H474" s="58"/>
      <c r="I474" s="58"/>
      <c r="J474" s="26"/>
      <c r="K474" s="58"/>
      <c r="L474" s="58"/>
      <c r="M474" s="58"/>
      <c r="N474" s="58"/>
      <c r="O474" s="58"/>
    </row>
    <row r="475" spans="1:15" x14ac:dyDescent="0.25">
      <c r="A475" s="26"/>
      <c r="B475" s="66"/>
      <c r="C475" s="58"/>
      <c r="D475" s="26"/>
      <c r="E475" s="58"/>
      <c r="F475" s="58"/>
      <c r="G475" s="26"/>
      <c r="H475" s="58"/>
      <c r="I475" s="58"/>
      <c r="J475" s="26"/>
      <c r="K475" s="58"/>
      <c r="L475" s="58"/>
      <c r="M475" s="58"/>
      <c r="N475" s="58"/>
      <c r="O475" s="58"/>
    </row>
    <row r="476" spans="1:15" x14ac:dyDescent="0.25">
      <c r="A476" s="26"/>
      <c r="B476" s="66"/>
      <c r="C476" s="58"/>
      <c r="D476" s="26"/>
      <c r="E476" s="58"/>
      <c r="F476" s="58"/>
      <c r="G476" s="26"/>
      <c r="H476" s="58"/>
      <c r="I476" s="58"/>
      <c r="J476" s="26"/>
      <c r="K476" s="58"/>
      <c r="L476" s="58"/>
      <c r="M476" s="58"/>
      <c r="N476" s="58"/>
      <c r="O476" s="58"/>
    </row>
    <row r="477" spans="1:15" x14ac:dyDescent="0.25">
      <c r="A477" s="26"/>
      <c r="B477" s="66"/>
      <c r="C477" s="58"/>
      <c r="D477" s="26"/>
      <c r="E477" s="58"/>
      <c r="F477" s="58"/>
      <c r="G477" s="26"/>
      <c r="H477" s="58"/>
      <c r="I477" s="58"/>
      <c r="J477" s="26"/>
      <c r="K477" s="58"/>
      <c r="L477" s="58"/>
      <c r="M477" s="58"/>
      <c r="N477" s="58"/>
      <c r="O477" s="58"/>
    </row>
    <row r="478" spans="1:15" x14ac:dyDescent="0.25">
      <c r="A478" s="26"/>
      <c r="B478" s="66"/>
      <c r="C478" s="58"/>
      <c r="D478" s="26"/>
      <c r="E478" s="58"/>
      <c r="F478" s="58"/>
      <c r="G478" s="26"/>
      <c r="H478" s="58"/>
      <c r="I478" s="58"/>
      <c r="J478" s="26"/>
      <c r="K478" s="58"/>
      <c r="L478" s="58"/>
      <c r="M478" s="58"/>
      <c r="N478" s="58"/>
      <c r="O478" s="58"/>
    </row>
    <row r="479" spans="1:15" x14ac:dyDescent="0.25">
      <c r="A479" s="26"/>
      <c r="B479" s="66"/>
      <c r="C479" s="58"/>
      <c r="D479" s="26"/>
      <c r="E479" s="58"/>
      <c r="F479" s="58"/>
      <c r="G479" s="26"/>
      <c r="H479" s="58"/>
      <c r="I479" s="58"/>
      <c r="J479" s="26"/>
      <c r="K479" s="58"/>
      <c r="L479" s="58"/>
      <c r="M479" s="58"/>
      <c r="N479" s="58"/>
      <c r="O479" s="58"/>
    </row>
    <row r="480" spans="1:15" x14ac:dyDescent="0.25">
      <c r="A480" s="26"/>
      <c r="B480" s="66"/>
      <c r="C480" s="58"/>
      <c r="D480" s="26"/>
      <c r="E480" s="58"/>
      <c r="F480" s="58"/>
      <c r="G480" s="26"/>
      <c r="H480" s="58"/>
      <c r="I480" s="58"/>
      <c r="J480" s="26"/>
      <c r="K480" s="58"/>
      <c r="L480" s="58"/>
      <c r="M480" s="58"/>
      <c r="N480" s="58"/>
      <c r="O480" s="58"/>
    </row>
    <row r="481" spans="1:15" x14ac:dyDescent="0.25">
      <c r="A481" s="26"/>
      <c r="B481" s="66"/>
      <c r="C481" s="58"/>
      <c r="D481" s="26"/>
      <c r="E481" s="58"/>
      <c r="F481" s="58"/>
      <c r="G481" s="26"/>
      <c r="H481" s="58"/>
      <c r="I481" s="58"/>
      <c r="J481" s="26"/>
      <c r="K481" s="58"/>
      <c r="L481" s="58"/>
      <c r="M481" s="58"/>
      <c r="N481" s="58"/>
      <c r="O481" s="58"/>
    </row>
    <row r="482" spans="1:15" x14ac:dyDescent="0.25">
      <c r="A482" s="26"/>
      <c r="B482" s="66"/>
      <c r="C482" s="58"/>
      <c r="D482" s="26"/>
      <c r="E482" s="58"/>
      <c r="F482" s="58"/>
      <c r="G482" s="26"/>
      <c r="H482" s="58"/>
      <c r="I482" s="58"/>
      <c r="J482" s="26"/>
      <c r="K482" s="58"/>
      <c r="L482" s="58"/>
      <c r="M482" s="58"/>
      <c r="N482" s="58"/>
      <c r="O482" s="58"/>
    </row>
    <row r="483" spans="1:15" x14ac:dyDescent="0.25">
      <c r="A483" s="26"/>
      <c r="B483" s="66"/>
      <c r="C483" s="58"/>
      <c r="D483" s="26"/>
      <c r="E483" s="58"/>
      <c r="F483" s="58"/>
      <c r="G483" s="26"/>
      <c r="H483" s="58"/>
      <c r="I483" s="58"/>
      <c r="J483" s="26"/>
      <c r="K483" s="58"/>
      <c r="L483" s="58"/>
      <c r="M483" s="58"/>
      <c r="N483" s="58"/>
      <c r="O483" s="58"/>
    </row>
    <row r="484" spans="1:15" x14ac:dyDescent="0.25">
      <c r="A484" s="26"/>
      <c r="B484" s="66"/>
      <c r="C484" s="58"/>
      <c r="D484" s="26"/>
      <c r="E484" s="58"/>
      <c r="F484" s="58"/>
      <c r="G484" s="26"/>
      <c r="H484" s="58"/>
      <c r="I484" s="58"/>
      <c r="J484" s="26"/>
      <c r="K484" s="58"/>
      <c r="L484" s="58"/>
      <c r="M484" s="58"/>
      <c r="N484" s="58"/>
      <c r="O484" s="58"/>
    </row>
    <row r="485" spans="1:15" x14ac:dyDescent="0.25">
      <c r="A485" s="26"/>
      <c r="B485" s="66"/>
      <c r="C485" s="58"/>
      <c r="D485" s="26"/>
      <c r="E485" s="58"/>
      <c r="F485" s="58"/>
      <c r="G485" s="26"/>
      <c r="H485" s="58"/>
      <c r="I485" s="58"/>
      <c r="J485" s="26"/>
      <c r="K485" s="58"/>
      <c r="L485" s="58"/>
      <c r="M485" s="58"/>
      <c r="N485" s="58"/>
      <c r="O485" s="58"/>
    </row>
    <row r="486" spans="1:15" x14ac:dyDescent="0.25">
      <c r="A486" s="26"/>
      <c r="B486" s="66"/>
      <c r="C486" s="58"/>
      <c r="D486" s="26"/>
      <c r="E486" s="58"/>
      <c r="F486" s="58"/>
      <c r="G486" s="26"/>
      <c r="H486" s="58"/>
      <c r="I486" s="58"/>
      <c r="J486" s="26"/>
      <c r="K486" s="58"/>
      <c r="L486" s="58"/>
      <c r="M486" s="58"/>
      <c r="N486" s="58"/>
      <c r="O486" s="58"/>
    </row>
    <row r="487" spans="1:15" x14ac:dyDescent="0.25">
      <c r="A487" s="26"/>
      <c r="B487" s="66"/>
      <c r="C487" s="58"/>
      <c r="D487" s="26"/>
      <c r="E487" s="58"/>
      <c r="F487" s="58"/>
      <c r="G487" s="26"/>
      <c r="H487" s="58"/>
      <c r="I487" s="58"/>
      <c r="J487" s="26"/>
      <c r="K487" s="58"/>
      <c r="L487" s="58"/>
      <c r="M487" s="58"/>
      <c r="N487" s="58"/>
      <c r="O487" s="58"/>
    </row>
    <row r="488" spans="1:15" x14ac:dyDescent="0.25">
      <c r="A488" s="26"/>
      <c r="B488" s="66"/>
      <c r="C488" s="58"/>
      <c r="D488" s="26"/>
      <c r="E488" s="58"/>
      <c r="F488" s="58"/>
      <c r="G488" s="26"/>
      <c r="H488" s="58"/>
      <c r="I488" s="58"/>
      <c r="J488" s="26"/>
      <c r="K488" s="58"/>
      <c r="L488" s="58"/>
      <c r="M488" s="58"/>
      <c r="N488" s="58"/>
      <c r="O488" s="58"/>
    </row>
    <row r="489" spans="1:15" x14ac:dyDescent="0.25">
      <c r="A489" s="26"/>
      <c r="B489" s="66"/>
      <c r="C489" s="58"/>
      <c r="D489" s="26"/>
      <c r="E489" s="58"/>
      <c r="F489" s="58"/>
      <c r="G489" s="26"/>
      <c r="H489" s="58"/>
      <c r="I489" s="58"/>
      <c r="J489" s="26"/>
      <c r="K489" s="58"/>
      <c r="L489" s="58"/>
      <c r="M489" s="58"/>
      <c r="N489" s="58"/>
      <c r="O489" s="58"/>
    </row>
    <row r="490" spans="1:15" x14ac:dyDescent="0.25">
      <c r="A490" s="26"/>
      <c r="B490" s="66"/>
      <c r="C490" s="58"/>
      <c r="D490" s="26"/>
      <c r="E490" s="58"/>
      <c r="F490" s="58"/>
      <c r="G490" s="26"/>
      <c r="H490" s="58"/>
      <c r="I490" s="58"/>
      <c r="J490" s="26"/>
      <c r="K490" s="58"/>
      <c r="L490" s="58"/>
      <c r="M490" s="58"/>
      <c r="N490" s="58"/>
      <c r="O490" s="58"/>
    </row>
    <row r="491" spans="1:15" x14ac:dyDescent="0.25">
      <c r="A491" s="26"/>
      <c r="B491" s="66"/>
      <c r="C491" s="58"/>
      <c r="D491" s="26"/>
      <c r="E491" s="58"/>
      <c r="F491" s="58"/>
      <c r="G491" s="26"/>
      <c r="H491" s="58"/>
      <c r="I491" s="58"/>
      <c r="J491" s="26"/>
      <c r="K491" s="58"/>
      <c r="L491" s="58"/>
      <c r="M491" s="58"/>
      <c r="N491" s="58"/>
      <c r="O491" s="58"/>
    </row>
    <row r="492" spans="1:15" x14ac:dyDescent="0.25">
      <c r="A492" s="26"/>
      <c r="B492" s="66"/>
      <c r="C492" s="58"/>
      <c r="D492" s="26"/>
      <c r="E492" s="58"/>
      <c r="F492" s="58"/>
      <c r="G492" s="26"/>
      <c r="H492" s="58"/>
      <c r="I492" s="58"/>
      <c r="J492" s="26"/>
      <c r="K492" s="58"/>
      <c r="L492" s="58"/>
      <c r="M492" s="58"/>
      <c r="N492" s="58"/>
      <c r="O492" s="58"/>
    </row>
    <row r="493" spans="1:15" x14ac:dyDescent="0.25">
      <c r="A493" s="26"/>
      <c r="B493" s="66"/>
      <c r="C493" s="58"/>
      <c r="D493" s="26"/>
      <c r="E493" s="58"/>
      <c r="F493" s="58"/>
      <c r="G493" s="26"/>
      <c r="H493" s="58"/>
      <c r="I493" s="58"/>
      <c r="J493" s="26"/>
      <c r="K493" s="58"/>
      <c r="L493" s="58"/>
      <c r="M493" s="58"/>
      <c r="N493" s="58"/>
      <c r="O493" s="58"/>
    </row>
    <row r="494" spans="1:15" x14ac:dyDescent="0.25">
      <c r="A494" s="26"/>
      <c r="B494" s="66"/>
      <c r="C494" s="58"/>
      <c r="D494" s="26"/>
      <c r="E494" s="58"/>
      <c r="F494" s="58"/>
      <c r="G494" s="26"/>
      <c r="H494" s="58"/>
      <c r="I494" s="58"/>
      <c r="J494" s="26"/>
      <c r="K494" s="58"/>
      <c r="L494" s="58"/>
      <c r="M494" s="58"/>
      <c r="N494" s="58"/>
      <c r="O494" s="58"/>
    </row>
    <row r="495" spans="1:15" x14ac:dyDescent="0.25">
      <c r="A495" s="26"/>
      <c r="B495" s="66"/>
      <c r="C495" s="58"/>
      <c r="D495" s="26"/>
      <c r="E495" s="58"/>
      <c r="F495" s="58"/>
      <c r="G495" s="26"/>
      <c r="H495" s="58"/>
      <c r="I495" s="58"/>
      <c r="J495" s="26"/>
      <c r="K495" s="58"/>
      <c r="L495" s="58"/>
      <c r="M495" s="58"/>
      <c r="N495" s="58"/>
      <c r="O495" s="58"/>
    </row>
    <row r="496" spans="1:15" x14ac:dyDescent="0.25">
      <c r="A496" s="26"/>
      <c r="B496" s="66"/>
      <c r="C496" s="58"/>
      <c r="D496" s="26"/>
      <c r="E496" s="58"/>
      <c r="F496" s="58"/>
      <c r="G496" s="26"/>
      <c r="H496" s="58"/>
      <c r="I496" s="58"/>
      <c r="J496" s="26"/>
      <c r="K496" s="58"/>
      <c r="L496" s="58"/>
      <c r="M496" s="58"/>
      <c r="N496" s="58"/>
      <c r="O496" s="58"/>
    </row>
    <row r="497" spans="1:15" x14ac:dyDescent="0.25">
      <c r="A497" s="26"/>
      <c r="B497" s="66"/>
      <c r="C497" s="58"/>
      <c r="D497" s="26"/>
      <c r="E497" s="58"/>
      <c r="F497" s="58"/>
      <c r="G497" s="26"/>
      <c r="H497" s="58"/>
      <c r="I497" s="58"/>
      <c r="J497" s="26"/>
      <c r="K497" s="58"/>
      <c r="L497" s="58"/>
      <c r="M497" s="58"/>
      <c r="N497" s="58"/>
      <c r="O497" s="58"/>
    </row>
    <row r="498" spans="1:15" x14ac:dyDescent="0.25">
      <c r="A498" s="26"/>
      <c r="B498" s="66"/>
      <c r="C498" s="58"/>
      <c r="D498" s="26"/>
      <c r="E498" s="58"/>
      <c r="F498" s="58"/>
      <c r="G498" s="26"/>
      <c r="H498" s="58"/>
      <c r="I498" s="58"/>
      <c r="J498" s="26"/>
      <c r="K498" s="58"/>
      <c r="L498" s="58"/>
      <c r="M498" s="58"/>
      <c r="N498" s="58"/>
      <c r="O498" s="58"/>
    </row>
    <row r="499" spans="1:15" x14ac:dyDescent="0.25">
      <c r="A499" s="26"/>
      <c r="B499" s="66"/>
      <c r="C499" s="58"/>
      <c r="D499" s="26"/>
      <c r="E499" s="58"/>
      <c r="F499" s="58"/>
      <c r="G499" s="26"/>
      <c r="H499" s="58"/>
      <c r="I499" s="58"/>
      <c r="J499" s="26"/>
      <c r="K499" s="58"/>
      <c r="L499" s="58"/>
      <c r="M499" s="58"/>
      <c r="N499" s="58"/>
      <c r="O499" s="58"/>
    </row>
    <row r="500" spans="1:15" x14ac:dyDescent="0.25">
      <c r="A500" s="26"/>
      <c r="B500" s="66"/>
      <c r="C500" s="58"/>
      <c r="D500" s="26"/>
      <c r="E500" s="58"/>
      <c r="F500" s="58"/>
      <c r="G500" s="26"/>
      <c r="H500" s="58"/>
      <c r="I500" s="58"/>
      <c r="J500" s="26"/>
      <c r="K500" s="58"/>
      <c r="L500" s="58"/>
      <c r="M500" s="58"/>
      <c r="N500" s="58"/>
      <c r="O500" s="58"/>
    </row>
    <row r="501" spans="1:15" x14ac:dyDescent="0.25">
      <c r="A501" s="26"/>
      <c r="B501" s="66"/>
      <c r="C501" s="58"/>
      <c r="D501" s="26"/>
      <c r="E501" s="58"/>
      <c r="F501" s="58"/>
      <c r="G501" s="26"/>
      <c r="H501" s="58"/>
      <c r="I501" s="58"/>
      <c r="J501" s="26"/>
      <c r="K501" s="58"/>
      <c r="L501" s="58"/>
      <c r="M501" s="58"/>
      <c r="N501" s="58"/>
      <c r="O501" s="58"/>
    </row>
    <row r="502" spans="1:15" x14ac:dyDescent="0.25">
      <c r="A502" s="26"/>
      <c r="B502" s="66"/>
      <c r="C502" s="58"/>
      <c r="D502" s="26"/>
      <c r="E502" s="58"/>
      <c r="F502" s="58"/>
      <c r="G502" s="26"/>
      <c r="H502" s="58"/>
      <c r="I502" s="58"/>
      <c r="J502" s="26"/>
      <c r="K502" s="58"/>
      <c r="L502" s="58"/>
      <c r="M502" s="58"/>
      <c r="N502" s="58"/>
      <c r="O502" s="58"/>
    </row>
    <row r="503" spans="1:15" x14ac:dyDescent="0.25">
      <c r="A503" s="26"/>
      <c r="B503" s="66"/>
      <c r="C503" s="58"/>
      <c r="D503" s="26"/>
      <c r="E503" s="58"/>
      <c r="F503" s="58"/>
      <c r="G503" s="26"/>
      <c r="H503" s="58"/>
      <c r="I503" s="58"/>
      <c r="J503" s="26"/>
      <c r="K503" s="58"/>
      <c r="L503" s="58"/>
      <c r="M503" s="58"/>
      <c r="N503" s="58"/>
      <c r="O503" s="58"/>
    </row>
    <row r="504" spans="1:15" x14ac:dyDescent="0.25">
      <c r="A504" s="26"/>
      <c r="B504" s="66"/>
      <c r="C504" s="58"/>
      <c r="D504" s="26"/>
      <c r="E504" s="58"/>
      <c r="F504" s="58"/>
      <c r="G504" s="26"/>
      <c r="H504" s="58"/>
      <c r="I504" s="58"/>
      <c r="J504" s="26"/>
      <c r="K504" s="58"/>
      <c r="L504" s="58"/>
      <c r="M504" s="58"/>
      <c r="N504" s="58"/>
      <c r="O504" s="58"/>
    </row>
    <row r="505" spans="1:15" x14ac:dyDescent="0.25">
      <c r="A505" s="26"/>
      <c r="B505" s="66"/>
      <c r="C505" s="58"/>
      <c r="D505" s="26"/>
      <c r="E505" s="58"/>
      <c r="F505" s="58"/>
      <c r="G505" s="26"/>
      <c r="H505" s="58"/>
      <c r="I505" s="58"/>
      <c r="J505" s="26"/>
      <c r="K505" s="58"/>
      <c r="L505" s="58"/>
      <c r="M505" s="58"/>
      <c r="N505" s="58"/>
      <c r="O505" s="58"/>
    </row>
    <row r="506" spans="1:15" x14ac:dyDescent="0.25">
      <c r="A506" s="26"/>
      <c r="B506" s="66"/>
      <c r="C506" s="58"/>
      <c r="D506" s="26"/>
      <c r="E506" s="58"/>
      <c r="F506" s="58"/>
      <c r="G506" s="26"/>
      <c r="H506" s="58"/>
      <c r="I506" s="58"/>
      <c r="J506" s="26"/>
      <c r="K506" s="58"/>
      <c r="L506" s="58"/>
      <c r="M506" s="58"/>
      <c r="N506" s="58"/>
      <c r="O506" s="58"/>
    </row>
    <row r="507" spans="1:15" x14ac:dyDescent="0.25">
      <c r="A507" s="26"/>
      <c r="B507" s="66"/>
      <c r="C507" s="58"/>
      <c r="D507" s="26"/>
      <c r="E507" s="58"/>
      <c r="F507" s="58"/>
      <c r="G507" s="26"/>
      <c r="H507" s="58"/>
      <c r="I507" s="58"/>
      <c r="J507" s="26"/>
      <c r="K507" s="58"/>
      <c r="L507" s="58"/>
      <c r="M507" s="58"/>
      <c r="N507" s="58"/>
      <c r="O507" s="58"/>
    </row>
    <row r="508" spans="1:15" x14ac:dyDescent="0.25">
      <c r="A508" s="26"/>
      <c r="B508" s="66"/>
      <c r="C508" s="58"/>
      <c r="D508" s="26"/>
      <c r="E508" s="58"/>
      <c r="F508" s="58"/>
      <c r="G508" s="26"/>
      <c r="H508" s="58"/>
      <c r="I508" s="58"/>
      <c r="J508" s="26"/>
      <c r="K508" s="58"/>
      <c r="L508" s="58"/>
      <c r="M508" s="58"/>
      <c r="N508" s="58"/>
      <c r="O508" s="58"/>
    </row>
    <row r="509" spans="1:15" x14ac:dyDescent="0.25">
      <c r="A509" s="26"/>
      <c r="B509" s="66"/>
      <c r="C509" s="58"/>
      <c r="D509" s="26"/>
      <c r="E509" s="58"/>
      <c r="F509" s="58"/>
      <c r="G509" s="26"/>
      <c r="H509" s="58"/>
      <c r="I509" s="58"/>
      <c r="J509" s="26"/>
      <c r="K509" s="58"/>
      <c r="L509" s="58"/>
      <c r="M509" s="58"/>
      <c r="N509" s="58"/>
      <c r="O509" s="58"/>
    </row>
    <row r="510" spans="1:15" x14ac:dyDescent="0.25">
      <c r="A510" s="26"/>
      <c r="B510" s="66"/>
      <c r="C510" s="58"/>
      <c r="D510" s="26"/>
      <c r="E510" s="58"/>
      <c r="F510" s="58"/>
      <c r="G510" s="26"/>
      <c r="H510" s="58"/>
      <c r="I510" s="58"/>
      <c r="J510" s="26"/>
      <c r="K510" s="58"/>
      <c r="L510" s="58"/>
      <c r="M510" s="58"/>
      <c r="N510" s="58"/>
      <c r="O510" s="58"/>
    </row>
    <row r="511" spans="1:15" x14ac:dyDescent="0.25">
      <c r="A511" s="26"/>
      <c r="B511" s="66"/>
      <c r="C511" s="58"/>
      <c r="D511" s="26"/>
      <c r="E511" s="58"/>
      <c r="F511" s="58"/>
      <c r="G511" s="26"/>
      <c r="H511" s="58"/>
      <c r="I511" s="58"/>
      <c r="J511" s="26"/>
      <c r="K511" s="58"/>
      <c r="L511" s="58"/>
      <c r="M511" s="58"/>
      <c r="N511" s="58"/>
      <c r="O511" s="58"/>
    </row>
    <row r="512" spans="1:15" x14ac:dyDescent="0.25">
      <c r="A512" s="26"/>
      <c r="B512" s="66"/>
      <c r="C512" s="58"/>
      <c r="D512" s="26"/>
      <c r="E512" s="58"/>
      <c r="F512" s="58"/>
      <c r="G512" s="26"/>
      <c r="H512" s="58"/>
      <c r="I512" s="58"/>
      <c r="J512" s="26"/>
      <c r="K512" s="58"/>
      <c r="L512" s="58"/>
      <c r="M512" s="58"/>
      <c r="N512" s="58"/>
      <c r="O512" s="58"/>
    </row>
    <row r="513" spans="1:15" x14ac:dyDescent="0.25">
      <c r="A513" s="26"/>
      <c r="B513" s="66"/>
      <c r="C513" s="58"/>
      <c r="D513" s="26"/>
      <c r="E513" s="58"/>
      <c r="F513" s="58"/>
      <c r="G513" s="26"/>
      <c r="H513" s="58"/>
      <c r="I513" s="58"/>
      <c r="J513" s="26"/>
      <c r="K513" s="58"/>
      <c r="L513" s="58"/>
      <c r="M513" s="58"/>
      <c r="N513" s="58"/>
      <c r="O513" s="58"/>
    </row>
    <row r="514" spans="1:15" x14ac:dyDescent="0.25">
      <c r="A514" s="26"/>
      <c r="B514" s="66"/>
      <c r="C514" s="58"/>
      <c r="D514" s="26"/>
      <c r="E514" s="58"/>
      <c r="F514" s="58"/>
      <c r="G514" s="26"/>
      <c r="H514" s="58"/>
      <c r="I514" s="58"/>
      <c r="J514" s="26"/>
      <c r="K514" s="58"/>
      <c r="L514" s="58"/>
      <c r="M514" s="58"/>
      <c r="N514" s="58"/>
      <c r="O514" s="58"/>
    </row>
    <row r="515" spans="1:15" x14ac:dyDescent="0.25">
      <c r="A515" s="26"/>
      <c r="B515" s="66"/>
      <c r="C515" s="58"/>
      <c r="D515" s="26"/>
      <c r="E515" s="58"/>
      <c r="F515" s="58"/>
      <c r="G515" s="26"/>
      <c r="H515" s="58"/>
      <c r="I515" s="58"/>
      <c r="J515" s="26"/>
      <c r="K515" s="58"/>
      <c r="L515" s="58"/>
      <c r="M515" s="58"/>
      <c r="N515" s="58"/>
      <c r="O515" s="58"/>
    </row>
    <row r="516" spans="1:15" x14ac:dyDescent="0.25">
      <c r="A516" s="26"/>
      <c r="B516" s="66"/>
      <c r="C516" s="58"/>
      <c r="D516" s="26"/>
      <c r="E516" s="58"/>
      <c r="F516" s="58"/>
      <c r="G516" s="26"/>
      <c r="H516" s="58"/>
      <c r="I516" s="58"/>
      <c r="J516" s="26"/>
      <c r="K516" s="58"/>
      <c r="L516" s="58"/>
      <c r="M516" s="58"/>
      <c r="N516" s="58"/>
      <c r="O516" s="58"/>
    </row>
    <row r="517" spans="1:15" x14ac:dyDescent="0.25">
      <c r="A517" s="26"/>
      <c r="B517" s="66"/>
      <c r="C517" s="58"/>
      <c r="D517" s="26"/>
      <c r="E517" s="58"/>
      <c r="F517" s="58"/>
      <c r="G517" s="26"/>
      <c r="H517" s="58"/>
      <c r="I517" s="58"/>
      <c r="J517" s="26"/>
      <c r="K517" s="58"/>
      <c r="L517" s="58"/>
      <c r="M517" s="58"/>
      <c r="N517" s="58"/>
      <c r="O517" s="58"/>
    </row>
    <row r="518" spans="1:15" x14ac:dyDescent="0.25">
      <c r="A518" s="26"/>
      <c r="B518" s="66"/>
      <c r="C518" s="58"/>
      <c r="D518" s="26"/>
      <c r="E518" s="58"/>
      <c r="F518" s="58"/>
      <c r="G518" s="26"/>
      <c r="H518" s="58"/>
      <c r="I518" s="58"/>
      <c r="J518" s="26"/>
      <c r="K518" s="58"/>
      <c r="L518" s="58"/>
      <c r="M518" s="58"/>
      <c r="N518" s="58"/>
      <c r="O518" s="58"/>
    </row>
    <row r="519" spans="1:15" x14ac:dyDescent="0.25">
      <c r="A519" s="26"/>
      <c r="B519" s="66"/>
      <c r="C519" s="58"/>
      <c r="D519" s="26"/>
      <c r="E519" s="58"/>
      <c r="F519" s="58"/>
      <c r="G519" s="26"/>
      <c r="H519" s="58"/>
      <c r="I519" s="58"/>
      <c r="J519" s="26"/>
      <c r="K519" s="58"/>
      <c r="L519" s="58"/>
      <c r="M519" s="58"/>
      <c r="N519" s="58"/>
      <c r="O519" s="58"/>
    </row>
    <row r="520" spans="1:15" x14ac:dyDescent="0.25">
      <c r="A520" s="26"/>
      <c r="B520" s="66"/>
      <c r="C520" s="58"/>
      <c r="D520" s="26"/>
      <c r="E520" s="58"/>
      <c r="F520" s="58"/>
      <c r="G520" s="26"/>
      <c r="H520" s="58"/>
      <c r="I520" s="58"/>
      <c r="J520" s="26"/>
      <c r="K520" s="58"/>
      <c r="L520" s="58"/>
      <c r="M520" s="58"/>
      <c r="N520" s="58"/>
      <c r="O520" s="58"/>
    </row>
    <row r="521" spans="1:15" x14ac:dyDescent="0.25">
      <c r="A521" s="26"/>
      <c r="B521" s="66"/>
      <c r="C521" s="58"/>
      <c r="D521" s="26"/>
      <c r="E521" s="58"/>
      <c r="F521" s="58"/>
      <c r="G521" s="26"/>
      <c r="H521" s="58"/>
      <c r="I521" s="58"/>
      <c r="J521" s="26"/>
      <c r="K521" s="58"/>
      <c r="L521" s="58"/>
      <c r="M521" s="58"/>
      <c r="N521" s="58"/>
      <c r="O521" s="58"/>
    </row>
    <row r="522" spans="1:15" x14ac:dyDescent="0.25">
      <c r="A522" s="26"/>
      <c r="B522" s="66"/>
      <c r="C522" s="58"/>
      <c r="D522" s="26"/>
      <c r="E522" s="58"/>
      <c r="F522" s="58"/>
      <c r="G522" s="26"/>
      <c r="H522" s="58"/>
      <c r="I522" s="58"/>
      <c r="J522" s="26"/>
      <c r="K522" s="58"/>
      <c r="L522" s="58"/>
      <c r="M522" s="58"/>
      <c r="N522" s="58"/>
      <c r="O522" s="58"/>
    </row>
    <row r="523" spans="1:15" x14ac:dyDescent="0.25">
      <c r="A523" s="26"/>
      <c r="B523" s="66"/>
      <c r="C523" s="58"/>
      <c r="D523" s="26"/>
      <c r="E523" s="58"/>
      <c r="F523" s="58"/>
      <c r="G523" s="26"/>
      <c r="H523" s="58"/>
      <c r="I523" s="58"/>
      <c r="J523" s="26"/>
      <c r="K523" s="58"/>
      <c r="L523" s="58"/>
      <c r="M523" s="58"/>
      <c r="N523" s="58"/>
      <c r="O523" s="58"/>
    </row>
    <row r="524" spans="1:15" x14ac:dyDescent="0.25">
      <c r="A524" s="26"/>
      <c r="B524" s="66"/>
      <c r="C524" s="58"/>
      <c r="D524" s="26"/>
      <c r="E524" s="58"/>
      <c r="F524" s="58"/>
      <c r="G524" s="26"/>
      <c r="H524" s="58"/>
      <c r="I524" s="58"/>
      <c r="J524" s="26"/>
      <c r="K524" s="58"/>
      <c r="L524" s="58"/>
      <c r="M524" s="58"/>
      <c r="N524" s="58"/>
      <c r="O524" s="58"/>
    </row>
    <row r="525" spans="1:15" x14ac:dyDescent="0.25">
      <c r="A525" s="26"/>
      <c r="B525" s="66"/>
      <c r="C525" s="58"/>
      <c r="D525" s="26"/>
      <c r="E525" s="58"/>
      <c r="F525" s="58"/>
      <c r="G525" s="26"/>
      <c r="H525" s="58"/>
      <c r="I525" s="58"/>
      <c r="J525" s="26"/>
      <c r="K525" s="58"/>
      <c r="L525" s="58"/>
      <c r="M525" s="58"/>
      <c r="N525" s="58"/>
      <c r="O525" s="58"/>
    </row>
    <row r="526" spans="1:15" x14ac:dyDescent="0.25">
      <c r="A526" s="26"/>
      <c r="B526" s="66"/>
      <c r="C526" s="58"/>
      <c r="D526" s="26"/>
      <c r="E526" s="58"/>
      <c r="F526" s="58"/>
      <c r="G526" s="26"/>
      <c r="H526" s="58"/>
      <c r="I526" s="58"/>
      <c r="J526" s="26"/>
      <c r="K526" s="58"/>
      <c r="L526" s="58"/>
      <c r="M526" s="58"/>
      <c r="N526" s="58"/>
      <c r="O526" s="58"/>
    </row>
    <row r="527" spans="1:15" x14ac:dyDescent="0.25">
      <c r="A527" s="26"/>
      <c r="B527" s="66"/>
      <c r="C527" s="58"/>
      <c r="D527" s="26"/>
      <c r="E527" s="58"/>
      <c r="F527" s="58"/>
      <c r="G527" s="26"/>
      <c r="H527" s="58"/>
      <c r="I527" s="58"/>
      <c r="J527" s="26"/>
      <c r="K527" s="58"/>
      <c r="L527" s="58"/>
      <c r="M527" s="58"/>
      <c r="N527" s="58"/>
      <c r="O527" s="58"/>
    </row>
    <row r="528" spans="1:15" x14ac:dyDescent="0.25">
      <c r="A528" s="26"/>
      <c r="B528" s="66"/>
      <c r="C528" s="58"/>
      <c r="D528" s="26"/>
      <c r="E528" s="58"/>
      <c r="F528" s="58"/>
      <c r="G528" s="26"/>
      <c r="H528" s="58"/>
      <c r="I528" s="58"/>
      <c r="J528" s="26"/>
      <c r="K528" s="58"/>
      <c r="L528" s="58"/>
      <c r="M528" s="58"/>
      <c r="N528" s="58"/>
      <c r="O528" s="58"/>
    </row>
    <row r="529" spans="1:15" x14ac:dyDescent="0.25">
      <c r="A529" s="26"/>
      <c r="B529" s="66"/>
      <c r="C529" s="58"/>
      <c r="D529" s="26"/>
      <c r="E529" s="58"/>
      <c r="F529" s="58"/>
      <c r="G529" s="26"/>
      <c r="H529" s="58"/>
      <c r="I529" s="58"/>
      <c r="J529" s="26"/>
      <c r="K529" s="58"/>
      <c r="L529" s="58"/>
      <c r="M529" s="58"/>
      <c r="N529" s="58"/>
      <c r="O529" s="58"/>
    </row>
    <row r="530" spans="1:15" x14ac:dyDescent="0.25">
      <c r="A530" s="26"/>
      <c r="B530" s="66"/>
      <c r="C530" s="58"/>
      <c r="D530" s="26"/>
      <c r="E530" s="58"/>
      <c r="F530" s="58"/>
      <c r="G530" s="26"/>
      <c r="H530" s="58"/>
      <c r="I530" s="58"/>
      <c r="J530" s="26"/>
      <c r="K530" s="58"/>
      <c r="L530" s="58"/>
      <c r="M530" s="58"/>
      <c r="N530" s="58"/>
      <c r="O530" s="58"/>
    </row>
    <row r="531" spans="1:15" x14ac:dyDescent="0.25">
      <c r="A531" s="26"/>
      <c r="B531" s="66"/>
      <c r="C531" s="58"/>
      <c r="D531" s="26"/>
      <c r="E531" s="58"/>
      <c r="F531" s="58"/>
      <c r="G531" s="26"/>
      <c r="H531" s="58"/>
      <c r="I531" s="58"/>
      <c r="J531" s="26"/>
      <c r="K531" s="58"/>
      <c r="L531" s="58"/>
      <c r="M531" s="58"/>
      <c r="N531" s="58"/>
      <c r="O531" s="58"/>
    </row>
    <row r="532" spans="1:15" x14ac:dyDescent="0.25">
      <c r="A532" s="26"/>
      <c r="B532" s="66"/>
      <c r="C532" s="58"/>
      <c r="D532" s="26"/>
      <c r="E532" s="58"/>
      <c r="F532" s="58"/>
      <c r="G532" s="26"/>
      <c r="H532" s="58"/>
      <c r="I532" s="58"/>
      <c r="J532" s="26"/>
      <c r="K532" s="58"/>
      <c r="L532" s="58"/>
      <c r="M532" s="58"/>
      <c r="N532" s="58"/>
      <c r="O532" s="58"/>
    </row>
    <row r="533" spans="1:15" x14ac:dyDescent="0.25">
      <c r="A533" s="26"/>
      <c r="B533" s="66"/>
      <c r="C533" s="58"/>
      <c r="D533" s="26"/>
      <c r="E533" s="58"/>
      <c r="F533" s="58"/>
      <c r="G533" s="26"/>
      <c r="H533" s="58"/>
      <c r="I533" s="58"/>
      <c r="J533" s="26"/>
      <c r="K533" s="58"/>
      <c r="L533" s="58"/>
      <c r="M533" s="58"/>
      <c r="N533" s="58"/>
      <c r="O533" s="58"/>
    </row>
    <row r="534" spans="1:15" x14ac:dyDescent="0.25">
      <c r="A534" s="26"/>
      <c r="B534" s="66"/>
      <c r="C534" s="58"/>
      <c r="D534" s="26"/>
      <c r="E534" s="58"/>
      <c r="F534" s="58"/>
      <c r="G534" s="26"/>
      <c r="H534" s="58"/>
      <c r="I534" s="58"/>
      <c r="J534" s="26"/>
      <c r="K534" s="58"/>
      <c r="L534" s="58"/>
      <c r="M534" s="58"/>
      <c r="N534" s="58"/>
      <c r="O534" s="58"/>
    </row>
    <row r="535" spans="1:15" x14ac:dyDescent="0.25">
      <c r="A535" s="26"/>
      <c r="B535" s="66"/>
      <c r="C535" s="58"/>
      <c r="D535" s="26"/>
      <c r="E535" s="58"/>
      <c r="F535" s="58"/>
      <c r="G535" s="26"/>
      <c r="H535" s="58"/>
      <c r="I535" s="58"/>
      <c r="J535" s="26"/>
      <c r="K535" s="58"/>
      <c r="L535" s="58"/>
      <c r="M535" s="58"/>
      <c r="N535" s="58"/>
      <c r="O535" s="58"/>
    </row>
    <row r="536" spans="1:15" x14ac:dyDescent="0.25">
      <c r="A536" s="26"/>
      <c r="B536" s="66"/>
      <c r="C536" s="58"/>
      <c r="G536" s="26"/>
      <c r="H536" s="58"/>
      <c r="I536" s="5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C C Aportaciones ENE 20</vt:lpstr>
      <vt:lpstr>C C Aportaciones FEB 20</vt:lpstr>
      <vt:lpstr>C C Aportacines MAR 20</vt:lpstr>
      <vt:lpstr>C C Aportaciones ABR 20  </vt:lpstr>
      <vt:lpstr>C C Aportaciones MAY 20</vt:lpstr>
      <vt:lpstr>C C Aportaciones JUN 20</vt:lpstr>
      <vt:lpstr>C C Aportaciones JUL 20   </vt:lpstr>
      <vt:lpstr>C C Aportaciones AGO 20   </vt:lpstr>
      <vt:lpstr>C C Aportaciones SEP 20</vt:lpstr>
      <vt:lpstr>C C Aportaciones OCT 20 </vt:lpstr>
      <vt:lpstr>C C Aportaciones NOV 20   </vt:lpstr>
      <vt:lpstr>C C Aportaciones DIC 20  </vt:lpstr>
      <vt:lpstr>'C C Aportacines MAR 20'!Área_de_impresión</vt:lpstr>
      <vt:lpstr>'C C Aportaciones ABR 20  '!Área_de_impresión</vt:lpstr>
      <vt:lpstr>'C C Aportaciones AGO 20   '!Área_de_impresión</vt:lpstr>
      <vt:lpstr>'C C Aportaciones DIC 20  '!Área_de_impresión</vt:lpstr>
      <vt:lpstr>'C C Aportaciones ENE 20'!Área_de_impresión</vt:lpstr>
      <vt:lpstr>'C C Aportaciones FEB 20'!Área_de_impresión</vt:lpstr>
      <vt:lpstr>'C C Aportaciones JUL 20   '!Área_de_impresión</vt:lpstr>
      <vt:lpstr>'C C Aportaciones JUN 20'!Área_de_impresión</vt:lpstr>
      <vt:lpstr>'C C Aportaciones MAY 20'!Área_de_impresión</vt:lpstr>
      <vt:lpstr>'C C Aportaciones NOV 20   '!Área_de_impresión</vt:lpstr>
      <vt:lpstr>'C C Aportaciones OCT 20 '!Área_de_impresión</vt:lpstr>
      <vt:lpstr>'C C Aportaciones SEP 20'!Área_de_impresión</vt:lpstr>
      <vt:lpstr>'C C Aportacines MAR 20'!Títulos_a_imprimir</vt:lpstr>
      <vt:lpstr>'C C Aportaciones ABR 20  '!Títulos_a_imprimir</vt:lpstr>
      <vt:lpstr>'C C Aportaciones AGO 20   '!Títulos_a_imprimir</vt:lpstr>
      <vt:lpstr>'C C Aportaciones DIC 20  '!Títulos_a_imprimir</vt:lpstr>
      <vt:lpstr>'C C Aportaciones ENE 20'!Títulos_a_imprimir</vt:lpstr>
      <vt:lpstr>'C C Aportaciones FEB 20'!Títulos_a_imprimir</vt:lpstr>
      <vt:lpstr>'C C Aportaciones JUL 20   '!Títulos_a_imprimir</vt:lpstr>
      <vt:lpstr>'C C Aportaciones JUN 20'!Títulos_a_imprimir</vt:lpstr>
      <vt:lpstr>'C C Aportaciones MAY 20'!Títulos_a_imprimir</vt:lpstr>
      <vt:lpstr>'C C Aportaciones NOV 20   '!Títulos_a_imprimir</vt:lpstr>
      <vt:lpstr>'C C Aportaciones OCT 20 '!Títulos_a_imprimir</vt:lpstr>
      <vt:lpstr>'C C Aportaciones SEP 20'!Títulos_a_imprimir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2020-12-28T03:17:12Z</cp:lastPrinted>
  <dcterms:created xsi:type="dcterms:W3CDTF">2013-12-30T22:30:56Z</dcterms:created>
  <dcterms:modified xsi:type="dcterms:W3CDTF">2020-12-30T05:17:04Z</dcterms:modified>
</cp:coreProperties>
</file>