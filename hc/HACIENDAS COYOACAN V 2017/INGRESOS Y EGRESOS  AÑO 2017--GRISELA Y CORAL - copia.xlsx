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120" yWindow="585" windowWidth="20730" windowHeight="9045" firstSheet="7" activeTab="11"/>
  </bookViews>
  <sheets>
    <sheet name="ENERO-17 " sheetId="15" r:id="rId1"/>
    <sheet name="FEBRERO-17 " sheetId="28" r:id="rId2"/>
    <sheet name="MARZO-17" sheetId="18" r:id="rId3"/>
    <sheet name="ABRIL-17" sheetId="21" r:id="rId4"/>
    <sheet name="MAYO-17" sheetId="26" r:id="rId5"/>
    <sheet name="JUNIO-17" sheetId="9" r:id="rId6"/>
    <sheet name="JULIO-17" sheetId="10" r:id="rId7"/>
    <sheet name="AGOSTO-17" sheetId="11" r:id="rId8"/>
    <sheet name="SEPTIEMBRE-17" sheetId="12" r:id="rId9"/>
    <sheet name="OCTUBRE-17" sheetId="13" r:id="rId10"/>
    <sheet name="NOVIEMBRE-17 " sheetId="29" r:id="rId11"/>
    <sheet name="DICIEMBRE-17 " sheetId="30" r:id="rId12"/>
    <sheet name="ESTADO DE CUENTA" sheetId="16" r:id="rId13"/>
  </sheets>
  <definedNames>
    <definedName name="_xlnm.Print_Area" localSheetId="3">'ABRIL-17'!$B$1:$L$193</definedName>
    <definedName name="_xlnm.Print_Area" localSheetId="7">'AGOSTO-17'!$B$1:$L$162</definedName>
    <definedName name="_xlnm.Print_Area" localSheetId="11">'DICIEMBRE-17 '!$B$1:$L$153</definedName>
    <definedName name="_xlnm.Print_Area" localSheetId="0">'ENERO-17 '!$A$1:$J$156</definedName>
    <definedName name="_xlnm.Print_Area" localSheetId="12">'ESTADO DE CUENTA'!$B$1:$N$28</definedName>
    <definedName name="_xlnm.Print_Area" localSheetId="1">'FEBRERO-17 '!$B$1:$L$161</definedName>
    <definedName name="_xlnm.Print_Area" localSheetId="6">'JULIO-17'!$B$1:$L$128</definedName>
    <definedName name="_xlnm.Print_Area" localSheetId="5">'JUNIO-17'!$B$107:$L$116</definedName>
    <definedName name="_xlnm.Print_Area" localSheetId="2">'MARZO-17'!$B$1:$L$184</definedName>
    <definedName name="_xlnm.Print_Area" localSheetId="4">'MAYO-17'!$B$3:$L$165</definedName>
    <definedName name="_xlnm.Print_Area" localSheetId="10">'NOVIEMBRE-17 '!$B$1:$L$113</definedName>
    <definedName name="_xlnm.Print_Area" localSheetId="9">'OCTUBRE-17'!$B$1:$L$112</definedName>
    <definedName name="_xlnm.Print_Area" localSheetId="8">'SEPTIEMBRE-17'!$A$1:$L$139</definedName>
  </definedNames>
  <calcPr calcId="144525"/>
</workbook>
</file>

<file path=xl/calcChain.xml><?xml version="1.0" encoding="utf-8"?>
<calcChain xmlns="http://schemas.openxmlformats.org/spreadsheetml/2006/main">
  <c r="J113" i="30" l="1"/>
  <c r="K118" i="30"/>
  <c r="J118" i="30"/>
  <c r="K61" i="30"/>
  <c r="J61" i="30"/>
  <c r="F117" i="30" l="1"/>
  <c r="H149" i="30"/>
  <c r="G149" i="30"/>
  <c r="E149" i="30"/>
  <c r="D149" i="30"/>
  <c r="F149" i="30" l="1"/>
  <c r="H114" i="30"/>
  <c r="D114" i="30"/>
  <c r="H57" i="30"/>
  <c r="G57" i="30"/>
  <c r="D57" i="30"/>
  <c r="I57" i="30" l="1"/>
  <c r="E57" i="30"/>
  <c r="F57" i="30" s="1"/>
  <c r="J62" i="29" l="1"/>
  <c r="K62" i="29"/>
  <c r="J63" i="29"/>
  <c r="K63" i="29"/>
  <c r="J64" i="29"/>
  <c r="K64" i="29"/>
  <c r="J65" i="29"/>
  <c r="K65" i="29"/>
  <c r="J66" i="29"/>
  <c r="K66" i="29"/>
  <c r="J67" i="29"/>
  <c r="K67" i="29"/>
  <c r="J68" i="29"/>
  <c r="K68" i="29"/>
  <c r="J69" i="29"/>
  <c r="K69" i="29"/>
  <c r="J70" i="29"/>
  <c r="K70" i="29"/>
  <c r="J71" i="29"/>
  <c r="K71" i="29"/>
  <c r="J72" i="29"/>
  <c r="K72" i="29"/>
  <c r="J73" i="29"/>
  <c r="K73" i="29"/>
  <c r="J74" i="29"/>
  <c r="K74" i="29"/>
  <c r="J75" i="29"/>
  <c r="K75" i="29"/>
  <c r="J76" i="29"/>
  <c r="K76" i="29"/>
  <c r="J77" i="29"/>
  <c r="K77" i="29"/>
  <c r="J78" i="29"/>
  <c r="K78" i="29"/>
  <c r="J79" i="29"/>
  <c r="K79" i="29"/>
  <c r="J80" i="29"/>
  <c r="K80" i="29"/>
  <c r="J81" i="29"/>
  <c r="K81" i="29"/>
  <c r="J82" i="29"/>
  <c r="K82" i="29"/>
  <c r="J83" i="29"/>
  <c r="K83" i="29"/>
  <c r="J84" i="29"/>
  <c r="K84" i="29"/>
  <c r="J85" i="29"/>
  <c r="K85" i="29"/>
  <c r="J86" i="29"/>
  <c r="K86" i="29"/>
  <c r="J87" i="29"/>
  <c r="K87" i="29"/>
  <c r="J88" i="29"/>
  <c r="K88" i="29"/>
  <c r="J89" i="29"/>
  <c r="K89" i="29"/>
  <c r="J90" i="29"/>
  <c r="K90" i="29"/>
  <c r="J91" i="29"/>
  <c r="K91" i="29"/>
  <c r="J92" i="29"/>
  <c r="K92" i="29"/>
  <c r="J93" i="29"/>
  <c r="K93" i="29"/>
  <c r="J94" i="29"/>
  <c r="K94" i="29"/>
  <c r="J95" i="29"/>
  <c r="K95" i="29"/>
  <c r="J96" i="29"/>
  <c r="K96" i="29"/>
  <c r="J97" i="29"/>
  <c r="K97" i="29"/>
  <c r="J98" i="29"/>
  <c r="K98" i="29"/>
  <c r="J99" i="29"/>
  <c r="K99" i="29"/>
  <c r="J100" i="29"/>
  <c r="K100" i="29"/>
  <c r="J101" i="29"/>
  <c r="K101" i="29"/>
  <c r="J102" i="29"/>
  <c r="K102" i="29"/>
  <c r="J103" i="29"/>
  <c r="K103" i="29"/>
  <c r="J104" i="29"/>
  <c r="K104" i="29"/>
  <c r="J105" i="29"/>
  <c r="K105" i="29"/>
  <c r="J106" i="29"/>
  <c r="K106" i="29"/>
  <c r="J107" i="29"/>
  <c r="K107" i="29"/>
  <c r="J108" i="29"/>
  <c r="K108" i="29"/>
  <c r="J109" i="29"/>
  <c r="K109" i="29"/>
  <c r="J61" i="29"/>
  <c r="J56" i="29"/>
  <c r="K61" i="29"/>
  <c r="H57" i="29" l="1"/>
  <c r="H110" i="29"/>
  <c r="J62" i="13" l="1"/>
  <c r="K62" i="13"/>
  <c r="J63" i="13"/>
  <c r="K63" i="13"/>
  <c r="J64" i="13"/>
  <c r="K64" i="13"/>
  <c r="J65" i="13"/>
  <c r="K65" i="13"/>
  <c r="J66" i="13"/>
  <c r="K66" i="13"/>
  <c r="J67" i="13"/>
  <c r="K67" i="13"/>
  <c r="J68" i="13"/>
  <c r="K68" i="13"/>
  <c r="J69" i="13"/>
  <c r="K69" i="13"/>
  <c r="J70" i="13"/>
  <c r="K70" i="13"/>
  <c r="J71" i="13"/>
  <c r="K71" i="13"/>
  <c r="J72" i="13"/>
  <c r="K72" i="13"/>
  <c r="J73" i="13"/>
  <c r="K73" i="13"/>
  <c r="J74" i="13"/>
  <c r="K74" i="13"/>
  <c r="J75" i="13"/>
  <c r="K75" i="13"/>
  <c r="J76" i="13"/>
  <c r="K76" i="13"/>
  <c r="J77" i="13"/>
  <c r="K77" i="13"/>
  <c r="J78" i="13"/>
  <c r="K78" i="13"/>
  <c r="J79" i="13"/>
  <c r="K79" i="13"/>
  <c r="J80" i="13"/>
  <c r="K80" i="13"/>
  <c r="J81" i="13"/>
  <c r="K81" i="13"/>
  <c r="J82" i="13"/>
  <c r="K82" i="13"/>
  <c r="J83" i="13"/>
  <c r="K83" i="13"/>
  <c r="J84" i="13"/>
  <c r="K84" i="13"/>
  <c r="J85" i="13"/>
  <c r="K85" i="13"/>
  <c r="J86" i="13"/>
  <c r="K86" i="13"/>
  <c r="J87" i="13"/>
  <c r="K87" i="13"/>
  <c r="J88" i="13"/>
  <c r="K88" i="13"/>
  <c r="J89" i="13"/>
  <c r="K89" i="13"/>
  <c r="J90" i="13"/>
  <c r="K90" i="13"/>
  <c r="J91" i="13"/>
  <c r="K91" i="13"/>
  <c r="J92" i="13"/>
  <c r="K92" i="13"/>
  <c r="J93" i="13"/>
  <c r="K93" i="13"/>
  <c r="J94" i="13"/>
  <c r="K94" i="13"/>
  <c r="J95" i="13"/>
  <c r="K95" i="13"/>
  <c r="J96" i="13"/>
  <c r="K96" i="13"/>
  <c r="J97" i="13"/>
  <c r="K97" i="13"/>
  <c r="J98" i="13"/>
  <c r="K98" i="13"/>
  <c r="J99" i="13"/>
  <c r="K99" i="13"/>
  <c r="J100" i="13"/>
  <c r="K100" i="13"/>
  <c r="J101" i="13"/>
  <c r="K101" i="13"/>
  <c r="J102" i="13"/>
  <c r="K102" i="13"/>
  <c r="J103" i="13"/>
  <c r="K103" i="13"/>
  <c r="J104" i="13"/>
  <c r="K104" i="13"/>
  <c r="J105" i="13"/>
  <c r="K105" i="13"/>
  <c r="K106" i="13" s="1"/>
  <c r="K107" i="13" s="1"/>
  <c r="K108" i="13" s="1"/>
  <c r="J106" i="13"/>
  <c r="J107" i="13"/>
  <c r="J108" i="13"/>
  <c r="K61" i="13"/>
  <c r="J61" i="13"/>
  <c r="E109" i="13"/>
  <c r="D109" i="13"/>
  <c r="F109" i="13" s="1"/>
  <c r="H57" i="13" l="1"/>
  <c r="G57" i="13"/>
  <c r="E57" i="13"/>
  <c r="D57" i="13"/>
  <c r="F57" i="13" l="1"/>
  <c r="I57" i="13"/>
  <c r="K5" i="12"/>
  <c r="H114" i="12" l="1"/>
  <c r="I131" i="12"/>
  <c r="H131" i="12"/>
  <c r="J67" i="11" l="1"/>
  <c r="K67" i="11"/>
  <c r="J68" i="11"/>
  <c r="K68" i="11"/>
  <c r="J69" i="11"/>
  <c r="K69" i="11"/>
  <c r="J70" i="11"/>
  <c r="K70" i="11"/>
  <c r="J71" i="11"/>
  <c r="K71" i="11"/>
  <c r="J72" i="11"/>
  <c r="K72" i="11"/>
  <c r="J73" i="11"/>
  <c r="K73" i="11"/>
  <c r="J74" i="11"/>
  <c r="K74" i="11"/>
  <c r="J75" i="11"/>
  <c r="K75" i="11"/>
  <c r="J76" i="11"/>
  <c r="K76" i="11"/>
  <c r="J77" i="11"/>
  <c r="K77" i="11"/>
  <c r="J78" i="11"/>
  <c r="K78" i="11"/>
  <c r="J79" i="11"/>
  <c r="K79" i="11"/>
  <c r="J80" i="11"/>
  <c r="K80" i="11"/>
  <c r="J81" i="11"/>
  <c r="K81" i="11"/>
  <c r="J82" i="11"/>
  <c r="K82" i="11"/>
  <c r="J83" i="11"/>
  <c r="K83" i="11"/>
  <c r="J84" i="11"/>
  <c r="K84" i="11"/>
  <c r="J85" i="11"/>
  <c r="K85" i="11"/>
  <c r="J86" i="11"/>
  <c r="K86" i="11"/>
  <c r="J87" i="11"/>
  <c r="K87" i="11"/>
  <c r="J88" i="11"/>
  <c r="K88" i="11"/>
  <c r="J89" i="11"/>
  <c r="K89" i="11"/>
  <c r="J90" i="11"/>
  <c r="K90" i="11"/>
  <c r="J91" i="11"/>
  <c r="K91" i="11"/>
  <c r="J92" i="11"/>
  <c r="K92" i="11"/>
  <c r="J93" i="11"/>
  <c r="K93" i="11"/>
  <c r="J94" i="11"/>
  <c r="K94" i="11"/>
  <c r="J95" i="11"/>
  <c r="K95" i="11"/>
  <c r="J96" i="11"/>
  <c r="K96" i="11"/>
  <c r="J97" i="11"/>
  <c r="K97" i="11"/>
  <c r="J98" i="11"/>
  <c r="K98" i="11"/>
  <c r="J99" i="11"/>
  <c r="K99" i="11"/>
  <c r="J100" i="11"/>
  <c r="K100" i="11"/>
  <c r="J101" i="11"/>
  <c r="K101" i="11"/>
  <c r="J102" i="11"/>
  <c r="K102" i="11"/>
  <c r="J103" i="11"/>
  <c r="K103" i="11"/>
  <c r="J104" i="11"/>
  <c r="K104" i="11"/>
  <c r="J105" i="11"/>
  <c r="K105" i="11"/>
  <c r="J106" i="11"/>
  <c r="K106" i="11"/>
  <c r="J107" i="11"/>
  <c r="K107" i="11"/>
  <c r="J108" i="11"/>
  <c r="K108" i="11"/>
  <c r="J109" i="11"/>
  <c r="K109" i="11"/>
  <c r="J110" i="11"/>
  <c r="K110" i="11"/>
  <c r="J111" i="11"/>
  <c r="K111" i="11"/>
  <c r="J112" i="11"/>
  <c r="K112" i="11"/>
  <c r="J113" i="11"/>
  <c r="K113" i="11"/>
  <c r="J114" i="11"/>
  <c r="K114" i="11"/>
  <c r="J115" i="11"/>
  <c r="K115" i="11"/>
  <c r="J116" i="11"/>
  <c r="K116" i="11"/>
  <c r="J117" i="11"/>
  <c r="K117" i="11"/>
  <c r="J118" i="11"/>
  <c r="K118" i="11"/>
  <c r="K119" i="11" s="1"/>
  <c r="K120" i="11" s="1"/>
  <c r="K121" i="11" s="1"/>
  <c r="J119" i="11"/>
  <c r="J120" i="11"/>
  <c r="J121" i="11"/>
  <c r="J66" i="11"/>
  <c r="J65" i="11"/>
  <c r="J60" i="11"/>
  <c r="J126" i="11"/>
  <c r="K126" i="11"/>
  <c r="J127" i="11"/>
  <c r="K127" i="11"/>
  <c r="J128" i="11"/>
  <c r="K128" i="11"/>
  <c r="J129" i="11"/>
  <c r="K129" i="11"/>
  <c r="J130" i="11"/>
  <c r="K130" i="11"/>
  <c r="J131" i="11"/>
  <c r="K131" i="11"/>
  <c r="J132" i="11"/>
  <c r="K132" i="11"/>
  <c r="J133" i="11"/>
  <c r="K133" i="11"/>
  <c r="J134" i="11"/>
  <c r="K134" i="11"/>
  <c r="J135" i="11"/>
  <c r="K135" i="11"/>
  <c r="J136" i="11"/>
  <c r="K136" i="11"/>
  <c r="J137" i="11"/>
  <c r="K137" i="11"/>
  <c r="J138" i="11"/>
  <c r="K138" i="11"/>
  <c r="J139" i="11"/>
  <c r="K139" i="11"/>
  <c r="J140" i="11"/>
  <c r="K140" i="11"/>
  <c r="J141" i="11"/>
  <c r="K141" i="11"/>
  <c r="J142" i="11"/>
  <c r="K142" i="11"/>
  <c r="J143" i="11"/>
  <c r="K143" i="11"/>
  <c r="J144" i="11"/>
  <c r="K144" i="11"/>
  <c r="J145" i="11"/>
  <c r="K145" i="11"/>
  <c r="J146" i="11"/>
  <c r="K146" i="11"/>
  <c r="J147" i="11"/>
  <c r="K147" i="11"/>
  <c r="J148" i="11"/>
  <c r="K148" i="11"/>
  <c r="J149" i="11"/>
  <c r="K149" i="11"/>
  <c r="J150" i="11"/>
  <c r="K150" i="11"/>
  <c r="J151" i="11"/>
  <c r="K151" i="11"/>
  <c r="J152" i="11"/>
  <c r="K152" i="11"/>
  <c r="J153" i="11"/>
  <c r="K153" i="11"/>
  <c r="K154" i="11" s="1"/>
  <c r="K155" i="11" s="1"/>
  <c r="K156" i="11" s="1"/>
  <c r="K157" i="11" s="1"/>
  <c r="J154" i="11"/>
  <c r="J155" i="11" s="1"/>
  <c r="J156" i="11" s="1"/>
  <c r="J157" i="11" s="1"/>
  <c r="K65" i="11"/>
  <c r="K66" i="11" s="1"/>
  <c r="H158" i="11" l="1"/>
  <c r="D158" i="11"/>
  <c r="D61" i="11" l="1"/>
  <c r="H122" i="11"/>
  <c r="G122" i="11"/>
  <c r="E122" i="11"/>
  <c r="D122" i="11"/>
  <c r="F122" i="11" l="1"/>
  <c r="H61" i="11"/>
  <c r="G61" i="11"/>
  <c r="E61" i="11"/>
  <c r="I61" i="11" l="1"/>
  <c r="F61" i="11"/>
  <c r="K5" i="11"/>
  <c r="J113" i="10" l="1"/>
  <c r="J114" i="10"/>
  <c r="J115" i="10"/>
  <c r="J116" i="10"/>
  <c r="J117" i="10"/>
  <c r="J118" i="10"/>
  <c r="J119" i="10"/>
  <c r="J120" i="10"/>
  <c r="J112" i="10"/>
  <c r="K112" i="10"/>
  <c r="K113" i="10" s="1"/>
  <c r="K114" i="10" s="1"/>
  <c r="K115" i="10" s="1"/>
  <c r="K116" i="10" s="1"/>
  <c r="K117" i="10" s="1"/>
  <c r="K118" i="10" s="1"/>
  <c r="K119" i="10" s="1"/>
  <c r="K120" i="10" s="1"/>
  <c r="F111" i="10" l="1"/>
  <c r="G54" i="10" l="1"/>
  <c r="H54" i="10"/>
  <c r="I54" i="10" l="1"/>
  <c r="F57" i="10"/>
  <c r="H106" i="9" l="1"/>
  <c r="H113" i="9"/>
  <c r="I113" i="9" s="1"/>
  <c r="G113" i="9"/>
  <c r="E113" i="9"/>
  <c r="D113" i="9"/>
  <c r="I109" i="9"/>
  <c r="F109" i="9"/>
  <c r="I106" i="9"/>
  <c r="G106" i="9"/>
  <c r="F106" i="9"/>
  <c r="E106" i="9"/>
  <c r="D106" i="9"/>
  <c r="K57" i="9"/>
  <c r="K58" i="9" s="1"/>
  <c r="K59" i="9" s="1"/>
  <c r="K60" i="9" s="1"/>
  <c r="K61" i="9" s="1"/>
  <c r="K62" i="9" s="1"/>
  <c r="K63" i="9" s="1"/>
  <c r="K64" i="9" s="1"/>
  <c r="K65" i="9" s="1"/>
  <c r="K66" i="9" s="1"/>
  <c r="K67" i="9" s="1"/>
  <c r="K68" i="9" s="1"/>
  <c r="K69" i="9" s="1"/>
  <c r="K70" i="9" s="1"/>
  <c r="K71" i="9" s="1"/>
  <c r="K72" i="9" s="1"/>
  <c r="K73" i="9" s="1"/>
  <c r="K74" i="9" s="1"/>
  <c r="K75" i="9" s="1"/>
  <c r="K76" i="9" s="1"/>
  <c r="K77" i="9" s="1"/>
  <c r="K78" i="9" s="1"/>
  <c r="K79" i="9" s="1"/>
  <c r="K80" i="9" s="1"/>
  <c r="K81" i="9" s="1"/>
  <c r="K82" i="9" s="1"/>
  <c r="K83" i="9" s="1"/>
  <c r="K84" i="9" s="1"/>
  <c r="K85" i="9" s="1"/>
  <c r="K86" i="9" s="1"/>
  <c r="K87" i="9" s="1"/>
  <c r="K88" i="9" s="1"/>
  <c r="K89" i="9" s="1"/>
  <c r="K90" i="9" s="1"/>
  <c r="K91" i="9" s="1"/>
  <c r="K92" i="9" s="1"/>
  <c r="K93" i="9" s="1"/>
  <c r="K94" i="9" s="1"/>
  <c r="K95" i="9" s="1"/>
  <c r="K96" i="9" s="1"/>
  <c r="K97" i="9" s="1"/>
  <c r="K98" i="9" s="1"/>
  <c r="K99" i="9" s="1"/>
  <c r="K100" i="9" s="1"/>
  <c r="K101" i="9" s="1"/>
  <c r="K102" i="9" s="1"/>
  <c r="K103" i="9" s="1"/>
  <c r="K104" i="9" s="1"/>
  <c r="K105" i="9" s="1"/>
  <c r="K110" i="9" s="1"/>
  <c r="K111" i="9" s="1"/>
  <c r="K112" i="9" s="1"/>
  <c r="J57" i="9"/>
  <c r="J58" i="9" s="1"/>
  <c r="J59" i="9" s="1"/>
  <c r="J60" i="9" s="1"/>
  <c r="J61" i="9" s="1"/>
  <c r="J62" i="9" s="1"/>
  <c r="J63" i="9" s="1"/>
  <c r="J64" i="9" s="1"/>
  <c r="J65" i="9" s="1"/>
  <c r="J66" i="9" s="1"/>
  <c r="J67" i="9" s="1"/>
  <c r="J68" i="9" s="1"/>
  <c r="J69" i="9" s="1"/>
  <c r="J70" i="9" s="1"/>
  <c r="J71" i="9" s="1"/>
  <c r="J72" i="9" s="1"/>
  <c r="J73" i="9" s="1"/>
  <c r="J74" i="9" s="1"/>
  <c r="J75" i="9" s="1"/>
  <c r="J76" i="9" s="1"/>
  <c r="J77" i="9" s="1"/>
  <c r="J78" i="9" s="1"/>
  <c r="J79" i="9" s="1"/>
  <c r="J80" i="9" s="1"/>
  <c r="J81" i="9" s="1"/>
  <c r="J82" i="9" s="1"/>
  <c r="J83" i="9" s="1"/>
  <c r="J84" i="9" s="1"/>
  <c r="J85" i="9" s="1"/>
  <c r="J86" i="9" s="1"/>
  <c r="J87" i="9" s="1"/>
  <c r="J88" i="9" s="1"/>
  <c r="J89" i="9" s="1"/>
  <c r="J90" i="9" s="1"/>
  <c r="J91" i="9" s="1"/>
  <c r="J92" i="9" s="1"/>
  <c r="J93" i="9" s="1"/>
  <c r="J94" i="9" s="1"/>
  <c r="J95" i="9" s="1"/>
  <c r="J96" i="9" s="1"/>
  <c r="J97" i="9" s="1"/>
  <c r="J98" i="9" s="1"/>
  <c r="J99" i="9" s="1"/>
  <c r="J100" i="9" s="1"/>
  <c r="J101" i="9" s="1"/>
  <c r="J102" i="9" s="1"/>
  <c r="J103" i="9" s="1"/>
  <c r="J104" i="9" s="1"/>
  <c r="J105" i="9" s="1"/>
  <c r="J110" i="9" s="1"/>
  <c r="J111" i="9" s="1"/>
  <c r="J112" i="9" s="1"/>
  <c r="F113" i="9" l="1"/>
  <c r="H53" i="9"/>
  <c r="E53" i="9"/>
  <c r="D53" i="9"/>
  <c r="K5" i="9" l="1"/>
  <c r="K6" i="9" s="1"/>
  <c r="K7" i="9" s="1"/>
  <c r="K8" i="9" s="1"/>
  <c r="K9" i="9" s="1"/>
  <c r="K10" i="9" s="1"/>
  <c r="K11" i="9" s="1"/>
  <c r="K12" i="9" s="1"/>
  <c r="K13" i="9" s="1"/>
  <c r="K14" i="9" s="1"/>
  <c r="K15" i="9" s="1"/>
  <c r="K16" i="9" s="1"/>
  <c r="K17" i="9" s="1"/>
  <c r="K18" i="9" s="1"/>
  <c r="K19" i="9" s="1"/>
  <c r="K20" i="9" s="1"/>
  <c r="K21" i="9" s="1"/>
  <c r="K22" i="9" s="1"/>
  <c r="K23" i="9" s="1"/>
  <c r="K24" i="9" s="1"/>
  <c r="K25" i="9" s="1"/>
  <c r="K26" i="9" s="1"/>
  <c r="K27" i="9" s="1"/>
  <c r="K28" i="9" s="1"/>
  <c r="K29" i="9" s="1"/>
  <c r="K30" i="9" s="1"/>
  <c r="K31" i="9" s="1"/>
  <c r="K32" i="9" s="1"/>
  <c r="K33" i="9" s="1"/>
  <c r="K34" i="9" s="1"/>
  <c r="K35" i="9" s="1"/>
  <c r="K36" i="9" s="1"/>
  <c r="K37" i="9" s="1"/>
  <c r="K38" i="9" s="1"/>
  <c r="K39" i="9" s="1"/>
  <c r="K40" i="9" s="1"/>
  <c r="K41" i="9" s="1"/>
  <c r="K42" i="9" s="1"/>
  <c r="K43" i="9" s="1"/>
  <c r="K44" i="9" s="1"/>
  <c r="K45" i="9" s="1"/>
  <c r="K46" i="9" s="1"/>
  <c r="K47" i="9" s="1"/>
  <c r="K48" i="9" s="1"/>
  <c r="K49" i="9" s="1"/>
  <c r="K50" i="9" s="1"/>
  <c r="K51" i="9" s="1"/>
  <c r="K52" i="9" s="1"/>
  <c r="H116" i="26" l="1"/>
  <c r="D116" i="26"/>
  <c r="H59" i="26"/>
  <c r="G59" i="26"/>
  <c r="E59" i="26"/>
  <c r="D59" i="26"/>
  <c r="J120" i="26"/>
  <c r="K120" i="26"/>
  <c r="K121" i="26" s="1"/>
  <c r="K122" i="26" s="1"/>
  <c r="K123" i="26" s="1"/>
  <c r="K124" i="26" s="1"/>
  <c r="K125" i="26" s="1"/>
  <c r="K126" i="26" s="1"/>
  <c r="K127" i="26" s="1"/>
  <c r="K128" i="26" s="1"/>
  <c r="K129" i="26" s="1"/>
  <c r="K130" i="26" s="1"/>
  <c r="K131" i="26" s="1"/>
  <c r="K132" i="26" s="1"/>
  <c r="K133" i="26" s="1"/>
  <c r="K134" i="26" s="1"/>
  <c r="K135" i="26" s="1"/>
  <c r="K136" i="26" s="1"/>
  <c r="K137" i="26" s="1"/>
  <c r="K138" i="26" s="1"/>
  <c r="K139" i="26" s="1"/>
  <c r="K140" i="26" s="1"/>
  <c r="K141" i="26" s="1"/>
  <c r="K142" i="26" s="1"/>
  <c r="K143" i="26" s="1"/>
  <c r="K144" i="26" s="1"/>
  <c r="K145" i="26" s="1"/>
  <c r="K146" i="26" s="1"/>
  <c r="K147" i="26" s="1"/>
  <c r="K148" i="26" s="1"/>
  <c r="K149" i="26" s="1"/>
  <c r="K150" i="26" s="1"/>
  <c r="K151" i="26" s="1"/>
  <c r="K152" i="26" s="1"/>
  <c r="K153" i="26" s="1"/>
  <c r="K154" i="26" s="1"/>
  <c r="K155" i="26" s="1"/>
  <c r="K156" i="26" s="1"/>
  <c r="K157" i="26" s="1"/>
  <c r="K158" i="26" s="1"/>
  <c r="J121" i="26"/>
  <c r="J122" i="26"/>
  <c r="J123" i="26" s="1"/>
  <c r="J124" i="26" s="1"/>
  <c r="J125" i="26" s="1"/>
  <c r="J126" i="26" s="1"/>
  <c r="J127" i="26" s="1"/>
  <c r="J128" i="26" s="1"/>
  <c r="J129" i="26" s="1"/>
  <c r="J130" i="26" s="1"/>
  <c r="J131" i="26" s="1"/>
  <c r="J132" i="26" s="1"/>
  <c r="J133" i="26" s="1"/>
  <c r="J134" i="26" s="1"/>
  <c r="J135" i="26" s="1"/>
  <c r="J136" i="26" s="1"/>
  <c r="J137" i="26" s="1"/>
  <c r="J138" i="26" s="1"/>
  <c r="J139" i="26" s="1"/>
  <c r="J140" i="26" s="1"/>
  <c r="J141" i="26" s="1"/>
  <c r="J142" i="26" s="1"/>
  <c r="J143" i="26" s="1"/>
  <c r="J144" i="26" s="1"/>
  <c r="J145" i="26" s="1"/>
  <c r="J146" i="26" s="1"/>
  <c r="J147" i="26" s="1"/>
  <c r="J148" i="26" s="1"/>
  <c r="J149" i="26" s="1"/>
  <c r="J150" i="26" s="1"/>
  <c r="J151" i="26" s="1"/>
  <c r="J152" i="26" s="1"/>
  <c r="J153" i="26" s="1"/>
  <c r="J154" i="26" s="1"/>
  <c r="J155" i="26" s="1"/>
  <c r="J156" i="26" s="1"/>
  <c r="J157" i="26" s="1"/>
  <c r="J158" i="26" s="1"/>
  <c r="J63" i="26"/>
  <c r="J64" i="26" s="1"/>
  <c r="J65" i="26" s="1"/>
  <c r="J66" i="26" s="1"/>
  <c r="J67" i="26" s="1"/>
  <c r="J68" i="26" s="1"/>
  <c r="J69" i="26" s="1"/>
  <c r="J70" i="26" s="1"/>
  <c r="J71" i="26" s="1"/>
  <c r="J72" i="26" s="1"/>
  <c r="J73" i="26" s="1"/>
  <c r="J74" i="26" s="1"/>
  <c r="J75" i="26" s="1"/>
  <c r="J76" i="26" s="1"/>
  <c r="J77" i="26" s="1"/>
  <c r="J78" i="26" s="1"/>
  <c r="J79" i="26" s="1"/>
  <c r="J80" i="26" s="1"/>
  <c r="J81" i="26" s="1"/>
  <c r="J82" i="26" s="1"/>
  <c r="J83" i="26" s="1"/>
  <c r="J84" i="26" s="1"/>
  <c r="J85" i="26" s="1"/>
  <c r="J86" i="26" s="1"/>
  <c r="J87" i="26" s="1"/>
  <c r="J88" i="26" s="1"/>
  <c r="J89" i="26" s="1"/>
  <c r="J90" i="26" s="1"/>
  <c r="J91" i="26" s="1"/>
  <c r="J92" i="26" s="1"/>
  <c r="J93" i="26" s="1"/>
  <c r="J94" i="26" s="1"/>
  <c r="J95" i="26" s="1"/>
  <c r="J96" i="26" s="1"/>
  <c r="J97" i="26" s="1"/>
  <c r="J98" i="26" s="1"/>
  <c r="J99" i="26" s="1"/>
  <c r="J100" i="26" s="1"/>
  <c r="J101" i="26" s="1"/>
  <c r="J102" i="26" s="1"/>
  <c r="J103" i="26" s="1"/>
  <c r="J104" i="26" s="1"/>
  <c r="J105" i="26" s="1"/>
  <c r="J106" i="26" s="1"/>
  <c r="J107" i="26" s="1"/>
  <c r="J108" i="26" s="1"/>
  <c r="J109" i="26" s="1"/>
  <c r="J110" i="26" s="1"/>
  <c r="J111" i="26" s="1"/>
  <c r="J112" i="26" s="1"/>
  <c r="J113" i="26" s="1"/>
  <c r="J114" i="26" s="1"/>
  <c r="J115" i="26" s="1"/>
  <c r="K63" i="26"/>
  <c r="K64" i="26" s="1"/>
  <c r="K65" i="26" s="1"/>
  <c r="K66" i="26" s="1"/>
  <c r="K67" i="26" s="1"/>
  <c r="K68" i="26" s="1"/>
  <c r="K69" i="26" s="1"/>
  <c r="K70" i="26" s="1"/>
  <c r="K71" i="26" s="1"/>
  <c r="K72" i="26" s="1"/>
  <c r="K73" i="26" s="1"/>
  <c r="K74" i="26" s="1"/>
  <c r="K75" i="26" s="1"/>
  <c r="K76" i="26" s="1"/>
  <c r="K77" i="26" s="1"/>
  <c r="K78" i="26" s="1"/>
  <c r="K79" i="26" s="1"/>
  <c r="K80" i="26" s="1"/>
  <c r="K81" i="26" s="1"/>
  <c r="K82" i="26" s="1"/>
  <c r="K83" i="26" s="1"/>
  <c r="K84" i="26" s="1"/>
  <c r="K85" i="26" s="1"/>
  <c r="K86" i="26" s="1"/>
  <c r="K87" i="26" s="1"/>
  <c r="K88" i="26" s="1"/>
  <c r="K89" i="26" s="1"/>
  <c r="K90" i="26" s="1"/>
  <c r="K91" i="26" s="1"/>
  <c r="K92" i="26" s="1"/>
  <c r="K93" i="26" s="1"/>
  <c r="K94" i="26" s="1"/>
  <c r="K95" i="26" s="1"/>
  <c r="K96" i="26" s="1"/>
  <c r="K97" i="26" s="1"/>
  <c r="K98" i="26" s="1"/>
  <c r="K99" i="26" s="1"/>
  <c r="K100" i="26" s="1"/>
  <c r="K101" i="26" s="1"/>
  <c r="K102" i="26" s="1"/>
  <c r="K103" i="26" s="1"/>
  <c r="K104" i="26" s="1"/>
  <c r="K105" i="26" s="1"/>
  <c r="K106" i="26" s="1"/>
  <c r="K107" i="26" s="1"/>
  <c r="K108" i="26" s="1"/>
  <c r="K109" i="26" s="1"/>
  <c r="K110" i="26" s="1"/>
  <c r="K111" i="26" s="1"/>
  <c r="K112" i="26" s="1"/>
  <c r="K113" i="26" s="1"/>
  <c r="K114" i="26" s="1"/>
  <c r="K115" i="26" s="1"/>
  <c r="F59" i="26" l="1"/>
  <c r="I119" i="26"/>
  <c r="I62" i="26"/>
  <c r="J170" i="21" l="1"/>
  <c r="K170" i="21"/>
  <c r="J171" i="21"/>
  <c r="K171" i="21"/>
  <c r="J172" i="21"/>
  <c r="K172" i="21"/>
  <c r="J173" i="21"/>
  <c r="K173" i="21"/>
  <c r="J174" i="21"/>
  <c r="K174" i="21"/>
  <c r="J175" i="21"/>
  <c r="K175" i="21"/>
  <c r="J176" i="21"/>
  <c r="K176" i="21"/>
  <c r="J177" i="21"/>
  <c r="K177" i="21"/>
  <c r="J178" i="21"/>
  <c r="K178" i="21"/>
  <c r="J179" i="21"/>
  <c r="K179" i="21"/>
  <c r="J180" i="21"/>
  <c r="K180" i="21"/>
  <c r="J181" i="21"/>
  <c r="K181" i="21"/>
  <c r="J182" i="21"/>
  <c r="K182" i="21"/>
  <c r="J183" i="21"/>
  <c r="K183" i="21"/>
  <c r="J184" i="21"/>
  <c r="K184" i="21"/>
  <c r="J185" i="21"/>
  <c r="K185" i="21"/>
  <c r="J186" i="21"/>
  <c r="K186" i="21"/>
  <c r="J187" i="21"/>
  <c r="K187" i="21"/>
  <c r="J188" i="21"/>
  <c r="K188" i="21"/>
  <c r="J189" i="21"/>
  <c r="K189" i="21"/>
  <c r="J169" i="21"/>
  <c r="J164" i="21"/>
  <c r="K169" i="21"/>
  <c r="H165" i="21"/>
  <c r="G165" i="21"/>
  <c r="E165" i="21"/>
  <c r="D165" i="21"/>
  <c r="K114" i="21"/>
  <c r="K115" i="21" s="1"/>
  <c r="K116" i="21" s="1"/>
  <c r="K117" i="21" s="1"/>
  <c r="K118" i="21" s="1"/>
  <c r="K119" i="21" s="1"/>
  <c r="K120" i="21" s="1"/>
  <c r="K121" i="21" s="1"/>
  <c r="K122" i="21" s="1"/>
  <c r="K123" i="21" s="1"/>
  <c r="K124" i="21" s="1"/>
  <c r="K125" i="21" s="1"/>
  <c r="K126" i="21" s="1"/>
  <c r="K127" i="21" s="1"/>
  <c r="K128" i="21" s="1"/>
  <c r="K129" i="21" s="1"/>
  <c r="K130" i="21" s="1"/>
  <c r="K131" i="21" s="1"/>
  <c r="K132" i="21" s="1"/>
  <c r="K133" i="21" s="1"/>
  <c r="K134" i="21" s="1"/>
  <c r="K135" i="21" s="1"/>
  <c r="K136" i="21" s="1"/>
  <c r="K137" i="21" s="1"/>
  <c r="K138" i="21" s="1"/>
  <c r="K139" i="21" s="1"/>
  <c r="K140" i="21" s="1"/>
  <c r="K141" i="21" s="1"/>
  <c r="K142" i="21" s="1"/>
  <c r="K143" i="21" s="1"/>
  <c r="K144" i="21" s="1"/>
  <c r="K145" i="21" s="1"/>
  <c r="K146" i="21" s="1"/>
  <c r="K147" i="21" s="1"/>
  <c r="K148" i="21" s="1"/>
  <c r="K149" i="21" s="1"/>
  <c r="K150" i="21" s="1"/>
  <c r="K151" i="21" s="1"/>
  <c r="K152" i="21" s="1"/>
  <c r="K153" i="21" s="1"/>
  <c r="K154" i="21" s="1"/>
  <c r="K155" i="21" s="1"/>
  <c r="K156" i="21" s="1"/>
  <c r="K157" i="21" s="1"/>
  <c r="K158" i="21" s="1"/>
  <c r="K159" i="21" s="1"/>
  <c r="K160" i="21" s="1"/>
  <c r="K161" i="21" s="1"/>
  <c r="K162" i="21" s="1"/>
  <c r="K163" i="21" s="1"/>
  <c r="K164" i="21" s="1"/>
  <c r="J114" i="21"/>
  <c r="J115" i="21" s="1"/>
  <c r="J116" i="21" s="1"/>
  <c r="J117" i="21" s="1"/>
  <c r="J118" i="21" s="1"/>
  <c r="J119" i="21" s="1"/>
  <c r="J120" i="21" s="1"/>
  <c r="J121" i="21" s="1"/>
  <c r="J122" i="21" s="1"/>
  <c r="J123" i="21" s="1"/>
  <c r="J124" i="21" s="1"/>
  <c r="J125" i="21" s="1"/>
  <c r="J126" i="21" s="1"/>
  <c r="J127" i="21" s="1"/>
  <c r="J128" i="21" s="1"/>
  <c r="J129" i="21" s="1"/>
  <c r="J130" i="21" s="1"/>
  <c r="J131" i="21" s="1"/>
  <c r="J132" i="21" s="1"/>
  <c r="J133" i="21" s="1"/>
  <c r="J134" i="21" s="1"/>
  <c r="J135" i="21" s="1"/>
  <c r="J136" i="21" s="1"/>
  <c r="J137" i="21" s="1"/>
  <c r="J138" i="21" s="1"/>
  <c r="J139" i="21" s="1"/>
  <c r="J140" i="21" s="1"/>
  <c r="J141" i="21" s="1"/>
  <c r="J142" i="21" s="1"/>
  <c r="J143" i="21" s="1"/>
  <c r="J144" i="21" s="1"/>
  <c r="J145" i="21" s="1"/>
  <c r="J146" i="21" s="1"/>
  <c r="J147" i="21" s="1"/>
  <c r="J148" i="21" s="1"/>
  <c r="J149" i="21" s="1"/>
  <c r="J150" i="21" s="1"/>
  <c r="J151" i="21" s="1"/>
  <c r="J152" i="21" s="1"/>
  <c r="J153" i="21" s="1"/>
  <c r="J154" i="21" s="1"/>
  <c r="J155" i="21" s="1"/>
  <c r="J156" i="21" s="1"/>
  <c r="J157" i="21" s="1"/>
  <c r="J158" i="21" s="1"/>
  <c r="J159" i="21" s="1"/>
  <c r="J160" i="21" s="1"/>
  <c r="J161" i="21" s="1"/>
  <c r="J162" i="21" s="1"/>
  <c r="J163" i="21" s="1"/>
  <c r="E110" i="21"/>
  <c r="D110" i="21"/>
  <c r="H110" i="21"/>
  <c r="G110" i="21"/>
  <c r="K59" i="21"/>
  <c r="K60" i="21" s="1"/>
  <c r="K61" i="21" s="1"/>
  <c r="K62" i="21" s="1"/>
  <c r="K63" i="21" s="1"/>
  <c r="K64" i="21" s="1"/>
  <c r="K65" i="21" s="1"/>
  <c r="K66" i="21" s="1"/>
  <c r="K67" i="21" s="1"/>
  <c r="K68" i="21" s="1"/>
  <c r="K69" i="21" s="1"/>
  <c r="K70" i="21" s="1"/>
  <c r="K71" i="21" s="1"/>
  <c r="K72" i="21" s="1"/>
  <c r="K73" i="21" s="1"/>
  <c r="K74" i="21" s="1"/>
  <c r="K75" i="21" s="1"/>
  <c r="K76" i="21" s="1"/>
  <c r="K77" i="21" s="1"/>
  <c r="K78" i="21" s="1"/>
  <c r="K79" i="21" s="1"/>
  <c r="K80" i="21" s="1"/>
  <c r="K81" i="21" s="1"/>
  <c r="K82" i="21" s="1"/>
  <c r="K83" i="21" s="1"/>
  <c r="K84" i="21" s="1"/>
  <c r="K85" i="21" s="1"/>
  <c r="K86" i="21" s="1"/>
  <c r="K87" i="21" s="1"/>
  <c r="K88" i="21" s="1"/>
  <c r="K89" i="21" s="1"/>
  <c r="K90" i="21" s="1"/>
  <c r="K91" i="21" s="1"/>
  <c r="K92" i="21" s="1"/>
  <c r="K93" i="21" s="1"/>
  <c r="K94" i="21" s="1"/>
  <c r="K95" i="21" s="1"/>
  <c r="K96" i="21" s="1"/>
  <c r="K97" i="21" s="1"/>
  <c r="K98" i="21" s="1"/>
  <c r="K99" i="21" s="1"/>
  <c r="K100" i="21" s="1"/>
  <c r="K101" i="21" s="1"/>
  <c r="K102" i="21" s="1"/>
  <c r="K103" i="21" s="1"/>
  <c r="K104" i="21" s="1"/>
  <c r="K105" i="21" s="1"/>
  <c r="K106" i="21" s="1"/>
  <c r="K107" i="21" s="1"/>
  <c r="K108" i="21" s="1"/>
  <c r="K109" i="21" s="1"/>
  <c r="J59" i="21"/>
  <c r="J60" i="21" s="1"/>
  <c r="J61" i="21" s="1"/>
  <c r="J62" i="21" s="1"/>
  <c r="J63" i="21" s="1"/>
  <c r="J64" i="21" s="1"/>
  <c r="J65" i="21" s="1"/>
  <c r="J66" i="21" s="1"/>
  <c r="J67" i="21" s="1"/>
  <c r="J68" i="21" s="1"/>
  <c r="J69" i="21" s="1"/>
  <c r="J70" i="21" s="1"/>
  <c r="J71" i="21" s="1"/>
  <c r="J72" i="21" s="1"/>
  <c r="J73" i="21" s="1"/>
  <c r="J74" i="21" s="1"/>
  <c r="J75" i="21" s="1"/>
  <c r="J76" i="21" s="1"/>
  <c r="J77" i="21" s="1"/>
  <c r="J78" i="21" s="1"/>
  <c r="J79" i="21" s="1"/>
  <c r="J80" i="21" s="1"/>
  <c r="J81" i="21" s="1"/>
  <c r="J82" i="21" s="1"/>
  <c r="J83" i="21" s="1"/>
  <c r="J84" i="21" s="1"/>
  <c r="J85" i="21" s="1"/>
  <c r="J86" i="21" s="1"/>
  <c r="J87" i="21" s="1"/>
  <c r="J88" i="21" s="1"/>
  <c r="J89" i="21" s="1"/>
  <c r="J90" i="21" s="1"/>
  <c r="J91" i="21" s="1"/>
  <c r="J92" i="21" s="1"/>
  <c r="J93" i="21" s="1"/>
  <c r="J94" i="21" s="1"/>
  <c r="J95" i="21" s="1"/>
  <c r="J96" i="21" s="1"/>
  <c r="J97" i="21" s="1"/>
  <c r="J98" i="21" s="1"/>
  <c r="J99" i="21" s="1"/>
  <c r="J100" i="21" s="1"/>
  <c r="J101" i="21" s="1"/>
  <c r="J102" i="21" s="1"/>
  <c r="J103" i="21" s="1"/>
  <c r="J104" i="21" s="1"/>
  <c r="J105" i="21" s="1"/>
  <c r="J106" i="21" s="1"/>
  <c r="J107" i="21" s="1"/>
  <c r="J108" i="21" s="1"/>
  <c r="J109" i="21" s="1"/>
  <c r="H55" i="21"/>
  <c r="G55" i="21"/>
  <c r="D55" i="21"/>
  <c r="E55" i="21"/>
  <c r="I55" i="21" l="1"/>
  <c r="I110" i="21"/>
  <c r="F110" i="21"/>
  <c r="F165" i="21"/>
  <c r="I165" i="21"/>
  <c r="F55" i="21"/>
  <c r="K6" i="21"/>
  <c r="K7" i="21" s="1"/>
  <c r="K8" i="21" s="1"/>
  <c r="K9" i="21" s="1"/>
  <c r="K10" i="21" s="1"/>
  <c r="K11" i="21" s="1"/>
  <c r="K12" i="21" s="1"/>
  <c r="K13" i="21" s="1"/>
  <c r="K14" i="21" s="1"/>
  <c r="K15" i="21" s="1"/>
  <c r="K16" i="21" s="1"/>
  <c r="K17" i="21" s="1"/>
  <c r="K18" i="21" s="1"/>
  <c r="K19" i="21" s="1"/>
  <c r="K20" i="21" s="1"/>
  <c r="K21" i="21" s="1"/>
  <c r="K22" i="21" s="1"/>
  <c r="K23" i="21" s="1"/>
  <c r="K24" i="21" s="1"/>
  <c r="K25" i="21" s="1"/>
  <c r="K26" i="21" s="1"/>
  <c r="K27" i="21" s="1"/>
  <c r="K28" i="21" s="1"/>
  <c r="K29" i="21" s="1"/>
  <c r="K30" i="21" s="1"/>
  <c r="K31" i="21" s="1"/>
  <c r="K32" i="21" s="1"/>
  <c r="K33" i="21" s="1"/>
  <c r="K34" i="21" s="1"/>
  <c r="K35" i="21" s="1"/>
  <c r="K36" i="21" s="1"/>
  <c r="K37" i="21" s="1"/>
  <c r="K38" i="21" s="1"/>
  <c r="K39" i="21" s="1"/>
  <c r="K40" i="21" s="1"/>
  <c r="K41" i="21" s="1"/>
  <c r="K42" i="21" s="1"/>
  <c r="K43" i="21" s="1"/>
  <c r="K44" i="21" s="1"/>
  <c r="K45" i="21" s="1"/>
  <c r="K46" i="21" s="1"/>
  <c r="K47" i="21" s="1"/>
  <c r="K48" i="21" s="1"/>
  <c r="K49" i="21" s="1"/>
  <c r="K50" i="21" s="1"/>
  <c r="K51" i="21" s="1"/>
  <c r="K52" i="21" s="1"/>
  <c r="K53" i="21" s="1"/>
  <c r="K54" i="21" s="1"/>
  <c r="G190" i="21"/>
  <c r="D190" i="21"/>
  <c r="H190" i="21" l="1"/>
  <c r="F168" i="21" l="1"/>
  <c r="I168" i="21"/>
  <c r="E190" i="21"/>
  <c r="F190" i="21" s="1"/>
  <c r="I190" i="21" l="1"/>
  <c r="K193" i="21" l="1"/>
  <c r="J170" i="18" l="1"/>
  <c r="K170" i="18"/>
  <c r="H165" i="18"/>
  <c r="G165" i="18"/>
  <c r="E165" i="18"/>
  <c r="F165" i="18" s="1"/>
  <c r="D165" i="18"/>
  <c r="K115" i="18"/>
  <c r="J115" i="18"/>
  <c r="H110" i="18"/>
  <c r="G110" i="18"/>
  <c r="I110" i="18" s="1"/>
  <c r="E110" i="18"/>
  <c r="D110" i="18"/>
  <c r="J59" i="18"/>
  <c r="J60" i="18" s="1"/>
  <c r="J61" i="18" s="1"/>
  <c r="J62" i="18" s="1"/>
  <c r="J63" i="18" s="1"/>
  <c r="J64" i="18" s="1"/>
  <c r="J65" i="18" s="1"/>
  <c r="J66" i="18" s="1"/>
  <c r="J67" i="18" s="1"/>
  <c r="J68" i="18" s="1"/>
  <c r="J69" i="18" s="1"/>
  <c r="J70" i="18" s="1"/>
  <c r="J71" i="18" s="1"/>
  <c r="J72" i="18" s="1"/>
  <c r="J73" i="18" s="1"/>
  <c r="J74" i="18" s="1"/>
  <c r="J75" i="18" s="1"/>
  <c r="J76" i="18" s="1"/>
  <c r="J77" i="18" s="1"/>
  <c r="J78" i="18" s="1"/>
  <c r="J79" i="18" s="1"/>
  <c r="J80" i="18" s="1"/>
  <c r="J81" i="18" s="1"/>
  <c r="J82" i="18" s="1"/>
  <c r="J83" i="18" s="1"/>
  <c r="J84" i="18" s="1"/>
  <c r="J85" i="18" s="1"/>
  <c r="J86" i="18" s="1"/>
  <c r="J87" i="18" s="1"/>
  <c r="J88" i="18" s="1"/>
  <c r="J89" i="18" s="1"/>
  <c r="J90" i="18" s="1"/>
  <c r="J91" i="18" s="1"/>
  <c r="J92" i="18" s="1"/>
  <c r="J93" i="18" s="1"/>
  <c r="J94" i="18" s="1"/>
  <c r="J95" i="18" s="1"/>
  <c r="J96" i="18" s="1"/>
  <c r="J97" i="18" s="1"/>
  <c r="J98" i="18" s="1"/>
  <c r="J99" i="18" s="1"/>
  <c r="J100" i="18" s="1"/>
  <c r="J101" i="18" s="1"/>
  <c r="J102" i="18" s="1"/>
  <c r="J103" i="18" s="1"/>
  <c r="J104" i="18" s="1"/>
  <c r="J105" i="18" s="1"/>
  <c r="J106" i="18" s="1"/>
  <c r="J107" i="18" s="1"/>
  <c r="J108" i="18" s="1"/>
  <c r="J109" i="18" s="1"/>
  <c r="H55" i="18"/>
  <c r="G55" i="18"/>
  <c r="I55" i="18" s="1"/>
  <c r="E55" i="18"/>
  <c r="D55" i="18"/>
  <c r="F55" i="18" s="1"/>
  <c r="H181" i="18" l="1"/>
  <c r="F169" i="18"/>
  <c r="F114" i="18" l="1"/>
  <c r="F58" i="18" l="1"/>
  <c r="F110" i="18" l="1"/>
  <c r="G158" i="28"/>
  <c r="I158" i="28"/>
  <c r="H158" i="28"/>
  <c r="F158" i="28"/>
  <c r="E158" i="28"/>
  <c r="D158" i="28"/>
  <c r="J140" i="28"/>
  <c r="K140" i="28"/>
  <c r="J141" i="28"/>
  <c r="K141" i="28"/>
  <c r="J142" i="28"/>
  <c r="K142" i="28"/>
  <c r="J143" i="28"/>
  <c r="K143" i="28"/>
  <c r="J144" i="28"/>
  <c r="K144" i="28"/>
  <c r="J145" i="28"/>
  <c r="K145" i="28"/>
  <c r="J146" i="28"/>
  <c r="K146" i="28"/>
  <c r="J147" i="28"/>
  <c r="K147" i="28"/>
  <c r="J148" i="28"/>
  <c r="K148" i="28"/>
  <c r="J149" i="28"/>
  <c r="K149" i="28"/>
  <c r="J150" i="28"/>
  <c r="K150" i="28"/>
  <c r="J151" i="28"/>
  <c r="K151" i="28"/>
  <c r="J152" i="28"/>
  <c r="K152" i="28"/>
  <c r="J153" i="28"/>
  <c r="K153" i="28"/>
  <c r="J154" i="28"/>
  <c r="K154" i="28"/>
  <c r="J155" i="28"/>
  <c r="K155" i="28"/>
  <c r="J156" i="28"/>
  <c r="K156" i="28"/>
  <c r="J157" i="28"/>
  <c r="K157" i="28"/>
  <c r="H110" i="28" l="1"/>
  <c r="H55" i="28"/>
  <c r="F58" i="28"/>
  <c r="K114" i="28"/>
  <c r="K115" i="28" s="1"/>
  <c r="K116" i="28" s="1"/>
  <c r="K117" i="28" s="1"/>
  <c r="K118" i="28" s="1"/>
  <c r="K119" i="28" s="1"/>
  <c r="K120" i="28" s="1"/>
  <c r="K121" i="28" s="1"/>
  <c r="K122" i="28" s="1"/>
  <c r="K123" i="28" s="1"/>
  <c r="K124" i="28" s="1"/>
  <c r="K125" i="28" s="1"/>
  <c r="K126" i="28" s="1"/>
  <c r="K127" i="28" s="1"/>
  <c r="K128" i="28" s="1"/>
  <c r="K129" i="28" s="1"/>
  <c r="K130" i="28" s="1"/>
  <c r="K131" i="28" s="1"/>
  <c r="K132" i="28" s="1"/>
  <c r="K133" i="28" s="1"/>
  <c r="K134" i="28" s="1"/>
  <c r="K135" i="28" s="1"/>
  <c r="K136" i="28" s="1"/>
  <c r="K137" i="28" s="1"/>
  <c r="K138" i="28" s="1"/>
  <c r="K139" i="28" s="1"/>
  <c r="J114" i="28"/>
  <c r="J115" i="28" s="1"/>
  <c r="J116" i="28" s="1"/>
  <c r="J117" i="28" s="1"/>
  <c r="J118" i="28" s="1"/>
  <c r="J119" i="28" s="1"/>
  <c r="J120" i="28" s="1"/>
  <c r="J121" i="28" s="1"/>
  <c r="J122" i="28" s="1"/>
  <c r="J123" i="28" s="1"/>
  <c r="J124" i="28" s="1"/>
  <c r="J125" i="28" s="1"/>
  <c r="J126" i="28" s="1"/>
  <c r="J127" i="28" s="1"/>
  <c r="J128" i="28" s="1"/>
  <c r="J129" i="28" s="1"/>
  <c r="J130" i="28" s="1"/>
  <c r="J131" i="28" s="1"/>
  <c r="J132" i="28" s="1"/>
  <c r="J133" i="28" s="1"/>
  <c r="J134" i="28" s="1"/>
  <c r="J135" i="28" s="1"/>
  <c r="J136" i="28" s="1"/>
  <c r="J137" i="28" s="1"/>
  <c r="J138" i="28" s="1"/>
  <c r="J139" i="28" s="1"/>
  <c r="I113" i="28"/>
  <c r="F113" i="28"/>
  <c r="K59" i="28" l="1"/>
  <c r="J59" i="28"/>
  <c r="G55" i="28" l="1"/>
  <c r="I55" i="28" s="1"/>
  <c r="E55" i="28"/>
  <c r="D55" i="28"/>
  <c r="F55" i="28" l="1"/>
  <c r="K5" i="28"/>
  <c r="K6" i="28" s="1"/>
  <c r="K7" i="28" s="1"/>
  <c r="K8" i="28" s="1"/>
  <c r="K9" i="28" s="1"/>
  <c r="K10" i="28" s="1"/>
  <c r="K11" i="28" s="1"/>
  <c r="K12" i="28" s="1"/>
  <c r="K13" i="28" s="1"/>
  <c r="K14" i="28" s="1"/>
  <c r="K15" i="28" s="1"/>
  <c r="K16" i="28" s="1"/>
  <c r="K17" i="28" s="1"/>
  <c r="K18" i="28" s="1"/>
  <c r="K19" i="28" s="1"/>
  <c r="K20" i="28" s="1"/>
  <c r="K21" i="28" s="1"/>
  <c r="K22" i="28" s="1"/>
  <c r="K23" i="28" s="1"/>
  <c r="K24" i="28" s="1"/>
  <c r="K25" i="28" s="1"/>
  <c r="K26" i="28" s="1"/>
  <c r="K27" i="28" s="1"/>
  <c r="K28" i="28" s="1"/>
  <c r="K29" i="28" s="1"/>
  <c r="K30" i="28" s="1"/>
  <c r="K31" i="28" s="1"/>
  <c r="K32" i="28" s="1"/>
  <c r="J5" i="28"/>
  <c r="J6" i="28" s="1"/>
  <c r="J7" i="28" s="1"/>
  <c r="J8" i="28" s="1"/>
  <c r="J9" i="28" s="1"/>
  <c r="J10" i="28" s="1"/>
  <c r="J11" i="28" s="1"/>
  <c r="J12" i="28" s="1"/>
  <c r="J13" i="28" s="1"/>
  <c r="J14" i="28" s="1"/>
  <c r="J15" i="28" s="1"/>
  <c r="J16" i="28" s="1"/>
  <c r="J17" i="28" s="1"/>
  <c r="J18" i="28" s="1"/>
  <c r="J19" i="28" s="1"/>
  <c r="J20" i="28" s="1"/>
  <c r="J21" i="28" s="1"/>
  <c r="J22" i="28" s="1"/>
  <c r="J23" i="28" s="1"/>
  <c r="J24" i="28" s="1"/>
  <c r="J25" i="28" s="1"/>
  <c r="J26" i="28" s="1"/>
  <c r="J27" i="28" s="1"/>
  <c r="J28" i="28" s="1"/>
  <c r="J29" i="28" s="1"/>
  <c r="J30" i="28" s="1"/>
  <c r="J31" i="28" s="1"/>
  <c r="J32" i="28" s="1"/>
  <c r="I152" i="15"/>
  <c r="K60" i="28" l="1"/>
  <c r="K61" i="28" s="1"/>
  <c r="K62" i="28" s="1"/>
  <c r="K63" i="28" s="1"/>
  <c r="K64" i="28" s="1"/>
  <c r="K65" i="28" s="1"/>
  <c r="K66" i="28" s="1"/>
  <c r="K67" i="28" s="1"/>
  <c r="K68" i="28" s="1"/>
  <c r="K69" i="28" s="1"/>
  <c r="K70" i="28" s="1"/>
  <c r="K71" i="28" s="1"/>
  <c r="K72" i="28" s="1"/>
  <c r="K73" i="28" s="1"/>
  <c r="K74" i="28" s="1"/>
  <c r="K75" i="28" s="1"/>
  <c r="K76" i="28" s="1"/>
  <c r="K77" i="28" s="1"/>
  <c r="K78" i="28" s="1"/>
  <c r="K79" i="28" s="1"/>
  <c r="K80" i="28" s="1"/>
  <c r="K81" i="28" s="1"/>
  <c r="K82" i="28" s="1"/>
  <c r="K83" i="28" s="1"/>
  <c r="K84" i="28" s="1"/>
  <c r="K85" i="28" s="1"/>
  <c r="K86" i="28" s="1"/>
  <c r="K87" i="28" s="1"/>
  <c r="K88" i="28" s="1"/>
  <c r="K89" i="28" s="1"/>
  <c r="K90" i="28" s="1"/>
  <c r="K91" i="28" s="1"/>
  <c r="K92" i="28" s="1"/>
  <c r="K93" i="28" s="1"/>
  <c r="K94" i="28" s="1"/>
  <c r="K95" i="28" s="1"/>
  <c r="K96" i="28" s="1"/>
  <c r="K97" i="28" s="1"/>
  <c r="K98" i="28" s="1"/>
  <c r="K99" i="28" s="1"/>
  <c r="K100" i="28" s="1"/>
  <c r="K101" i="28" s="1"/>
  <c r="K102" i="28" s="1"/>
  <c r="K103" i="28" s="1"/>
  <c r="K104" i="28" s="1"/>
  <c r="K105" i="28" s="1"/>
  <c r="K106" i="28" s="1"/>
  <c r="K107" i="28" s="1"/>
  <c r="K108" i="28" s="1"/>
  <c r="K109" i="28" s="1"/>
  <c r="K33" i="28"/>
  <c r="K34" i="28" s="1"/>
  <c r="K35" i="28" s="1"/>
  <c r="K36" i="28" s="1"/>
  <c r="K37" i="28" s="1"/>
  <c r="K38" i="28" s="1"/>
  <c r="K39" i="28" s="1"/>
  <c r="K40" i="28" s="1"/>
  <c r="K41" i="28" s="1"/>
  <c r="K42" i="28" s="1"/>
  <c r="K43" i="28" s="1"/>
  <c r="K44" i="28" s="1"/>
  <c r="K45" i="28" s="1"/>
  <c r="K46" i="28" s="1"/>
  <c r="K47" i="28" s="1"/>
  <c r="K48" i="28" s="1"/>
  <c r="K49" i="28" s="1"/>
  <c r="K50" i="28" s="1"/>
  <c r="K51" i="28" s="1"/>
  <c r="K52" i="28" s="1"/>
  <c r="K53" i="28" s="1"/>
  <c r="K54" i="28" s="1"/>
  <c r="J60" i="28"/>
  <c r="J61" i="28" s="1"/>
  <c r="J62" i="28" s="1"/>
  <c r="J63" i="28" s="1"/>
  <c r="J64" i="28" s="1"/>
  <c r="J65" i="28" s="1"/>
  <c r="J66" i="28" s="1"/>
  <c r="J67" i="28" s="1"/>
  <c r="J68" i="28" s="1"/>
  <c r="J69" i="28" s="1"/>
  <c r="J70" i="28" s="1"/>
  <c r="J71" i="28" s="1"/>
  <c r="J72" i="28" s="1"/>
  <c r="J73" i="28" s="1"/>
  <c r="J74" i="28" s="1"/>
  <c r="J75" i="28" s="1"/>
  <c r="J76" i="28" s="1"/>
  <c r="J77" i="28" s="1"/>
  <c r="J78" i="28" s="1"/>
  <c r="J79" i="28" s="1"/>
  <c r="J80" i="28" s="1"/>
  <c r="J81" i="28" s="1"/>
  <c r="J82" i="28" s="1"/>
  <c r="J83" i="28" s="1"/>
  <c r="J84" i="28" s="1"/>
  <c r="J85" i="28" s="1"/>
  <c r="J86" i="28" s="1"/>
  <c r="J87" i="28" s="1"/>
  <c r="J88" i="28" s="1"/>
  <c r="J89" i="28" s="1"/>
  <c r="J90" i="28" s="1"/>
  <c r="J91" i="28" s="1"/>
  <c r="J92" i="28" s="1"/>
  <c r="J93" i="28" s="1"/>
  <c r="J94" i="28" s="1"/>
  <c r="J95" i="28" s="1"/>
  <c r="J96" i="28" s="1"/>
  <c r="J97" i="28" s="1"/>
  <c r="J98" i="28" s="1"/>
  <c r="J99" i="28" s="1"/>
  <c r="J100" i="28" s="1"/>
  <c r="J101" i="28" s="1"/>
  <c r="J102" i="28" s="1"/>
  <c r="J103" i="28" s="1"/>
  <c r="J104" i="28" s="1"/>
  <c r="J105" i="28" s="1"/>
  <c r="J106" i="28" s="1"/>
  <c r="J107" i="28" s="1"/>
  <c r="J108" i="28" s="1"/>
  <c r="J109" i="28" s="1"/>
  <c r="J33" i="28"/>
  <c r="J34" i="28" s="1"/>
  <c r="J35" i="28" s="1"/>
  <c r="J36" i="28" s="1"/>
  <c r="J37" i="28" s="1"/>
  <c r="J38" i="28" s="1"/>
  <c r="J39" i="28" s="1"/>
  <c r="J40" i="28" s="1"/>
  <c r="J41" i="28" s="1"/>
  <c r="J42" i="28" s="1"/>
  <c r="J43" i="28" s="1"/>
  <c r="J44" i="28" s="1"/>
  <c r="J45" i="28" s="1"/>
  <c r="J46" i="28" s="1"/>
  <c r="J47" i="28" s="1"/>
  <c r="J48" i="28" s="1"/>
  <c r="J49" i="28" s="1"/>
  <c r="J50" i="28" s="1"/>
  <c r="J51" i="28" s="1"/>
  <c r="J52" i="28" s="1"/>
  <c r="J53" i="28" s="1"/>
  <c r="J54" i="28" s="1"/>
  <c r="J156" i="15"/>
  <c r="J149" i="15"/>
  <c r="J150" i="15"/>
  <c r="J151" i="15"/>
  <c r="J152" i="15"/>
  <c r="D153" i="15"/>
  <c r="F153" i="15"/>
  <c r="J148" i="15"/>
  <c r="C104" i="15" l="1"/>
  <c r="D104" i="15"/>
  <c r="F104" i="15"/>
  <c r="G104" i="15"/>
  <c r="G153" i="15"/>
  <c r="C153" i="15"/>
  <c r="I108" i="15"/>
  <c r="I109" i="15" s="1"/>
  <c r="I110" i="15" s="1"/>
  <c r="I111" i="15" s="1"/>
  <c r="I112" i="15" s="1"/>
  <c r="I113" i="15" s="1"/>
  <c r="I114" i="15" s="1"/>
  <c r="I115" i="15" s="1"/>
  <c r="I116" i="15" s="1"/>
  <c r="I117" i="15" s="1"/>
  <c r="I118" i="15" s="1"/>
  <c r="I119" i="15" s="1"/>
  <c r="I120" i="15" s="1"/>
  <c r="I121" i="15" s="1"/>
  <c r="I122" i="15" s="1"/>
  <c r="I123" i="15" s="1"/>
  <c r="I124" i="15" s="1"/>
  <c r="I125" i="15" s="1"/>
  <c r="I126" i="15" s="1"/>
  <c r="I127" i="15" s="1"/>
  <c r="I128" i="15" s="1"/>
  <c r="I129" i="15" s="1"/>
  <c r="I130" i="15" s="1"/>
  <c r="I131" i="15" s="1"/>
  <c r="I132" i="15" s="1"/>
  <c r="I133" i="15" s="1"/>
  <c r="I134" i="15" s="1"/>
  <c r="I135" i="15" s="1"/>
  <c r="I136" i="15" s="1"/>
  <c r="I137" i="15" s="1"/>
  <c r="I138" i="15" s="1"/>
  <c r="I139" i="15" s="1"/>
  <c r="I140" i="15" s="1"/>
  <c r="I141" i="15" s="1"/>
  <c r="I142" i="15" s="1"/>
  <c r="I143" i="15" s="1"/>
  <c r="I144" i="15" s="1"/>
  <c r="I145" i="15" s="1"/>
  <c r="I146" i="15" s="1"/>
  <c r="I147" i="15" s="1"/>
  <c r="I148" i="15" s="1"/>
  <c r="I149" i="15" s="1"/>
  <c r="I150" i="15" s="1"/>
  <c r="I151" i="15" s="1"/>
  <c r="E107" i="15"/>
  <c r="J56" i="15"/>
  <c r="J57" i="15" s="1"/>
  <c r="J58" i="15" s="1"/>
  <c r="J59" i="15" s="1"/>
  <c r="J60" i="15" s="1"/>
  <c r="J61" i="15" s="1"/>
  <c r="J62" i="15" s="1"/>
  <c r="J63" i="15" s="1"/>
  <c r="J64" i="15" s="1"/>
  <c r="J65" i="15" s="1"/>
  <c r="J66" i="15" s="1"/>
  <c r="J67" i="15" s="1"/>
  <c r="J68" i="15" s="1"/>
  <c r="J69" i="15" s="1"/>
  <c r="J70" i="15" s="1"/>
  <c r="J71" i="15" s="1"/>
  <c r="J72" i="15" s="1"/>
  <c r="J73" i="15" s="1"/>
  <c r="J74" i="15" s="1"/>
  <c r="J75" i="15" s="1"/>
  <c r="J76" i="15" s="1"/>
  <c r="J77" i="15" s="1"/>
  <c r="J78" i="15" s="1"/>
  <c r="J79" i="15" s="1"/>
  <c r="J80" i="15" s="1"/>
  <c r="J81" i="15" s="1"/>
  <c r="J82" i="15" s="1"/>
  <c r="J83" i="15" s="1"/>
  <c r="J84" i="15" s="1"/>
  <c r="J85" i="15" s="1"/>
  <c r="J86" i="15" s="1"/>
  <c r="J87" i="15" s="1"/>
  <c r="J88" i="15" s="1"/>
  <c r="J89" i="15" s="1"/>
  <c r="J90" i="15" s="1"/>
  <c r="J91" i="15" s="1"/>
  <c r="J92" i="15" s="1"/>
  <c r="J93" i="15" s="1"/>
  <c r="J94" i="15" s="1"/>
  <c r="J95" i="15" s="1"/>
  <c r="J96" i="15" s="1"/>
  <c r="J97" i="15" s="1"/>
  <c r="J98" i="15" s="1"/>
  <c r="J99" i="15" s="1"/>
  <c r="J100" i="15" s="1"/>
  <c r="J101" i="15" s="1"/>
  <c r="J102" i="15" s="1"/>
  <c r="J103" i="15" s="1"/>
  <c r="I56" i="15"/>
  <c r="I57" i="15" s="1"/>
  <c r="I58" i="15" s="1"/>
  <c r="I59" i="15" s="1"/>
  <c r="I60" i="15" s="1"/>
  <c r="I61" i="15" s="1"/>
  <c r="I62" i="15" s="1"/>
  <c r="I63" i="15" s="1"/>
  <c r="I64" i="15" s="1"/>
  <c r="I65" i="15" s="1"/>
  <c r="I66" i="15" s="1"/>
  <c r="I67" i="15" s="1"/>
  <c r="I68" i="15" s="1"/>
  <c r="I69" i="15" s="1"/>
  <c r="I70" i="15" s="1"/>
  <c r="I71" i="15" s="1"/>
  <c r="I72" i="15" s="1"/>
  <c r="I73" i="15" s="1"/>
  <c r="I74" i="15" s="1"/>
  <c r="I75" i="15" s="1"/>
  <c r="I76" i="15" s="1"/>
  <c r="I77" i="15" s="1"/>
  <c r="I78" i="15" s="1"/>
  <c r="I79" i="15" s="1"/>
  <c r="I80" i="15" s="1"/>
  <c r="I81" i="15" s="1"/>
  <c r="I82" i="15" s="1"/>
  <c r="I83" i="15" s="1"/>
  <c r="I84" i="15" s="1"/>
  <c r="I85" i="15" s="1"/>
  <c r="I86" i="15" s="1"/>
  <c r="I87" i="15" s="1"/>
  <c r="I88" i="15" s="1"/>
  <c r="I89" i="15" s="1"/>
  <c r="I90" i="15" s="1"/>
  <c r="I91" i="15" s="1"/>
  <c r="I92" i="15" s="1"/>
  <c r="I93" i="15" s="1"/>
  <c r="I94" i="15" s="1"/>
  <c r="I95" i="15" s="1"/>
  <c r="I96" i="15" s="1"/>
  <c r="I97" i="15" s="1"/>
  <c r="I98" i="15" s="1"/>
  <c r="I99" i="15" s="1"/>
  <c r="I100" i="15" s="1"/>
  <c r="I101" i="15" s="1"/>
  <c r="I102" i="15" s="1"/>
  <c r="I103" i="15" s="1"/>
  <c r="J5" i="15"/>
  <c r="J6" i="15" s="1"/>
  <c r="J7" i="15" s="1"/>
  <c r="J8" i="15" s="1"/>
  <c r="J9" i="15" s="1"/>
  <c r="J10" i="15" s="1"/>
  <c r="J11" i="15" s="1"/>
  <c r="J12" i="15" s="1"/>
  <c r="J13" i="15" s="1"/>
  <c r="J14" i="15" s="1"/>
  <c r="J15" i="15" s="1"/>
  <c r="J16" i="15" s="1"/>
  <c r="J17" i="15" s="1"/>
  <c r="J18" i="15" s="1"/>
  <c r="J19" i="15" s="1"/>
  <c r="J20" i="15" s="1"/>
  <c r="J21" i="15" s="1"/>
  <c r="J22" i="15" s="1"/>
  <c r="J23" i="15" s="1"/>
  <c r="J24" i="15" s="1"/>
  <c r="J25" i="15" s="1"/>
  <c r="J26" i="15" s="1"/>
  <c r="J27" i="15" s="1"/>
  <c r="J28" i="15" s="1"/>
  <c r="J29" i="15" s="1"/>
  <c r="J30" i="15" s="1"/>
  <c r="J31" i="15" s="1"/>
  <c r="J32" i="15" s="1"/>
  <c r="J33" i="15" s="1"/>
  <c r="J34" i="15" s="1"/>
  <c r="J35" i="15" s="1"/>
  <c r="J36" i="15" s="1"/>
  <c r="J37" i="15" s="1"/>
  <c r="J38" i="15" s="1"/>
  <c r="J39" i="15" s="1"/>
  <c r="J40" i="15" s="1"/>
  <c r="J41" i="15" s="1"/>
  <c r="J42" i="15" s="1"/>
  <c r="J43" i="15" s="1"/>
  <c r="J44" i="15" s="1"/>
  <c r="J45" i="15" s="1"/>
  <c r="J46" i="15" s="1"/>
  <c r="J47" i="15" s="1"/>
  <c r="J48" i="15" s="1"/>
  <c r="J49" i="15" s="1"/>
  <c r="J50" i="15" s="1"/>
  <c r="J51" i="15" s="1"/>
  <c r="I5" i="15"/>
  <c r="I6" i="15" s="1"/>
  <c r="I7" i="15" s="1"/>
  <c r="I8" i="15" s="1"/>
  <c r="I9" i="15" s="1"/>
  <c r="I10" i="15" s="1"/>
  <c r="I11" i="15" s="1"/>
  <c r="I12" i="15" s="1"/>
  <c r="I13" i="15" s="1"/>
  <c r="I14" i="15" s="1"/>
  <c r="I15" i="15" s="1"/>
  <c r="I16" i="15" s="1"/>
  <c r="I17" i="15" s="1"/>
  <c r="I18" i="15" s="1"/>
  <c r="I19" i="15" s="1"/>
  <c r="I20" i="15" s="1"/>
  <c r="I21" i="15" s="1"/>
  <c r="I22" i="15" s="1"/>
  <c r="I23" i="15" s="1"/>
  <c r="I24" i="15" s="1"/>
  <c r="I25" i="15" s="1"/>
  <c r="I26" i="15" s="1"/>
  <c r="I27" i="15" s="1"/>
  <c r="I28" i="15" s="1"/>
  <c r="I29" i="15" s="1"/>
  <c r="I30" i="15" s="1"/>
  <c r="I31" i="15" s="1"/>
  <c r="I32" i="15" s="1"/>
  <c r="I33" i="15" s="1"/>
  <c r="I34" i="15" s="1"/>
  <c r="I35" i="15" s="1"/>
  <c r="I36" i="15" s="1"/>
  <c r="I37" i="15" s="1"/>
  <c r="I38" i="15" s="1"/>
  <c r="I39" i="15" s="1"/>
  <c r="I40" i="15" s="1"/>
  <c r="I41" i="15" s="1"/>
  <c r="I42" i="15" s="1"/>
  <c r="I43" i="15" s="1"/>
  <c r="I44" i="15" s="1"/>
  <c r="I45" i="15" s="1"/>
  <c r="I46" i="15" s="1"/>
  <c r="I47" i="15" s="1"/>
  <c r="I48" i="15" s="1"/>
  <c r="I49" i="15" s="1"/>
  <c r="I50" i="15" s="1"/>
  <c r="I51" i="15" s="1"/>
  <c r="H104" i="15" l="1"/>
  <c r="H153" i="15"/>
  <c r="E104" i="15"/>
  <c r="E153" i="15"/>
  <c r="J108" i="15" l="1"/>
  <c r="J109" i="15" s="1"/>
  <c r="J110" i="15" s="1"/>
  <c r="J111" i="15" s="1"/>
  <c r="J112" i="15" s="1"/>
  <c r="J113" i="15" s="1"/>
  <c r="J114" i="15" s="1"/>
  <c r="J115" i="15" s="1"/>
  <c r="J116" i="15" s="1"/>
  <c r="J117" i="15" s="1"/>
  <c r="J118" i="15" s="1"/>
  <c r="J119" i="15" s="1"/>
  <c r="J120" i="15" s="1"/>
  <c r="J121" i="15" s="1"/>
  <c r="J122" i="15" s="1"/>
  <c r="J123" i="15" s="1"/>
  <c r="J124" i="15" s="1"/>
  <c r="J125" i="15" s="1"/>
  <c r="J126" i="15" s="1"/>
  <c r="J127" i="15" s="1"/>
  <c r="J128" i="15" s="1"/>
  <c r="J129" i="15" s="1"/>
  <c r="J130" i="15" s="1"/>
  <c r="J131" i="15" s="1"/>
  <c r="J132" i="15" s="1"/>
  <c r="J133" i="15" s="1"/>
  <c r="J134" i="15" s="1"/>
  <c r="J135" i="15" s="1"/>
  <c r="J136" i="15" s="1"/>
  <c r="J137" i="15" s="1"/>
  <c r="J138" i="15" s="1"/>
  <c r="J139" i="15" s="1"/>
  <c r="J140" i="15" s="1"/>
  <c r="J141" i="15" s="1"/>
  <c r="J142" i="15" s="1"/>
  <c r="J143" i="15" s="1"/>
  <c r="J144" i="15" s="1"/>
  <c r="J145" i="15" s="1"/>
  <c r="J146" i="15" s="1"/>
  <c r="J147" i="15" s="1"/>
  <c r="H107" i="15"/>
  <c r="H55" i="15" l="1"/>
  <c r="E55" i="15" l="1"/>
  <c r="G52" i="15"/>
  <c r="F52" i="15"/>
  <c r="D52" i="15"/>
  <c r="C52" i="15"/>
  <c r="H52" i="15" l="1"/>
  <c r="E52" i="15"/>
  <c r="I117" i="30"/>
  <c r="I60" i="30"/>
  <c r="K153" i="30"/>
  <c r="I149" i="30"/>
  <c r="K119" i="30"/>
  <c r="K120" i="30" s="1"/>
  <c r="K121" i="30" s="1"/>
  <c r="K122" i="30" s="1"/>
  <c r="K123" i="30" s="1"/>
  <c r="K124" i="30" s="1"/>
  <c r="K125" i="30" s="1"/>
  <c r="K126" i="30" s="1"/>
  <c r="K127" i="30" s="1"/>
  <c r="K128" i="30" s="1"/>
  <c r="K129" i="30" s="1"/>
  <c r="K130" i="30" s="1"/>
  <c r="K131" i="30" s="1"/>
  <c r="K132" i="30" s="1"/>
  <c r="K133" i="30" s="1"/>
  <c r="K134" i="30" s="1"/>
  <c r="K135" i="30" s="1"/>
  <c r="K136" i="30" s="1"/>
  <c r="K137" i="30" s="1"/>
  <c r="K138" i="30" s="1"/>
  <c r="K139" i="30" s="1"/>
  <c r="K140" i="30" s="1"/>
  <c r="K141" i="30" s="1"/>
  <c r="K142" i="30" s="1"/>
  <c r="K143" i="30" s="1"/>
  <c r="K144" i="30" s="1"/>
  <c r="K145" i="30" s="1"/>
  <c r="K146" i="30" s="1"/>
  <c r="K147" i="30" s="1"/>
  <c r="K148" i="30" s="1"/>
  <c r="J119" i="30"/>
  <c r="J120" i="30" s="1"/>
  <c r="J121" i="30" s="1"/>
  <c r="J122" i="30" s="1"/>
  <c r="J123" i="30" s="1"/>
  <c r="J124" i="30" s="1"/>
  <c r="J125" i="30" s="1"/>
  <c r="J126" i="30" s="1"/>
  <c r="J127" i="30" s="1"/>
  <c r="J128" i="30" s="1"/>
  <c r="J129" i="30" s="1"/>
  <c r="J130" i="30" s="1"/>
  <c r="J131" i="30" s="1"/>
  <c r="J132" i="30" s="1"/>
  <c r="J133" i="30" s="1"/>
  <c r="J134" i="30" s="1"/>
  <c r="J135" i="30" s="1"/>
  <c r="J136" i="30" s="1"/>
  <c r="J137" i="30" s="1"/>
  <c r="J138" i="30" s="1"/>
  <c r="J139" i="30" s="1"/>
  <c r="J140" i="30" s="1"/>
  <c r="J141" i="30" s="1"/>
  <c r="J142" i="30" s="1"/>
  <c r="J143" i="30" s="1"/>
  <c r="J144" i="30" s="1"/>
  <c r="J145" i="30" s="1"/>
  <c r="J146" i="30" s="1"/>
  <c r="J147" i="30" s="1"/>
  <c r="J148" i="30" s="1"/>
  <c r="G114" i="30"/>
  <c r="I114" i="30" s="1"/>
  <c r="E114" i="30"/>
  <c r="F114" i="30" s="1"/>
  <c r="K62" i="30"/>
  <c r="K63" i="30" s="1"/>
  <c r="K64" i="30" s="1"/>
  <c r="K65" i="30" s="1"/>
  <c r="K66" i="30" s="1"/>
  <c r="K67" i="30" s="1"/>
  <c r="K68" i="30" s="1"/>
  <c r="K69" i="30" s="1"/>
  <c r="K70" i="30" s="1"/>
  <c r="K71" i="30" s="1"/>
  <c r="K72" i="30" s="1"/>
  <c r="K73" i="30" s="1"/>
  <c r="K74" i="30" s="1"/>
  <c r="K75" i="30" s="1"/>
  <c r="K76" i="30" s="1"/>
  <c r="K77" i="30" s="1"/>
  <c r="K78" i="30" s="1"/>
  <c r="K79" i="30" s="1"/>
  <c r="K80" i="30" s="1"/>
  <c r="K81" i="30" s="1"/>
  <c r="K82" i="30" s="1"/>
  <c r="K83" i="30" s="1"/>
  <c r="K84" i="30" s="1"/>
  <c r="K85" i="30" s="1"/>
  <c r="K86" i="30" s="1"/>
  <c r="K87" i="30" s="1"/>
  <c r="K88" i="30" s="1"/>
  <c r="K89" i="30" s="1"/>
  <c r="K90" i="30" s="1"/>
  <c r="K91" i="30" s="1"/>
  <c r="K92" i="30" s="1"/>
  <c r="K93" i="30" s="1"/>
  <c r="K94" i="30" s="1"/>
  <c r="K95" i="30" s="1"/>
  <c r="K96" i="30" s="1"/>
  <c r="K97" i="30" s="1"/>
  <c r="K98" i="30" s="1"/>
  <c r="K99" i="30" s="1"/>
  <c r="K100" i="30" s="1"/>
  <c r="K101" i="30" s="1"/>
  <c r="K102" i="30" s="1"/>
  <c r="K103" i="30" s="1"/>
  <c r="K104" i="30" s="1"/>
  <c r="K105" i="30" s="1"/>
  <c r="K106" i="30" s="1"/>
  <c r="K107" i="30" s="1"/>
  <c r="K108" i="30" s="1"/>
  <c r="K109" i="30" s="1"/>
  <c r="K110" i="30" s="1"/>
  <c r="K111" i="30" s="1"/>
  <c r="K112" i="30" s="1"/>
  <c r="K113" i="30" s="1"/>
  <c r="J62" i="30"/>
  <c r="J63" i="30" s="1"/>
  <c r="J64" i="30" s="1"/>
  <c r="J65" i="30" s="1"/>
  <c r="J66" i="30" s="1"/>
  <c r="J67" i="30" s="1"/>
  <c r="J68" i="30" s="1"/>
  <c r="J69" i="30" s="1"/>
  <c r="J70" i="30" s="1"/>
  <c r="J71" i="30" s="1"/>
  <c r="J72" i="30" s="1"/>
  <c r="J73" i="30" s="1"/>
  <c r="J74" i="30" s="1"/>
  <c r="J75" i="30" s="1"/>
  <c r="J76" i="30" s="1"/>
  <c r="J77" i="30" s="1"/>
  <c r="J78" i="30" s="1"/>
  <c r="J79" i="30" s="1"/>
  <c r="J80" i="30" s="1"/>
  <c r="J81" i="30" s="1"/>
  <c r="J82" i="30" s="1"/>
  <c r="J83" i="30" s="1"/>
  <c r="J84" i="30" s="1"/>
  <c r="J85" i="30" s="1"/>
  <c r="J86" i="30" s="1"/>
  <c r="J87" i="30" s="1"/>
  <c r="J88" i="30" s="1"/>
  <c r="J89" i="30" s="1"/>
  <c r="J90" i="30" s="1"/>
  <c r="J91" i="30" s="1"/>
  <c r="J92" i="30" s="1"/>
  <c r="J93" i="30" s="1"/>
  <c r="J94" i="30" s="1"/>
  <c r="J95" i="30" s="1"/>
  <c r="J96" i="30" s="1"/>
  <c r="J97" i="30" s="1"/>
  <c r="J98" i="30" s="1"/>
  <c r="J99" i="30" s="1"/>
  <c r="J100" i="30" s="1"/>
  <c r="J101" i="30" s="1"/>
  <c r="J102" i="30" s="1"/>
  <c r="J103" i="30" s="1"/>
  <c r="J104" i="30" s="1"/>
  <c r="J105" i="30" s="1"/>
  <c r="J106" i="30" s="1"/>
  <c r="J107" i="30" s="1"/>
  <c r="J108" i="30" s="1"/>
  <c r="J109" i="30" s="1"/>
  <c r="J110" i="30" s="1"/>
  <c r="J111" i="30" s="1"/>
  <c r="J112" i="30" s="1"/>
  <c r="F60" i="30"/>
  <c r="K5" i="30"/>
  <c r="K6" i="30" s="1"/>
  <c r="K7" i="30" s="1"/>
  <c r="K8" i="30" s="1"/>
  <c r="K9" i="30" s="1"/>
  <c r="K10" i="30" s="1"/>
  <c r="K11" i="30" s="1"/>
  <c r="K12" i="30" s="1"/>
  <c r="K13" i="30" s="1"/>
  <c r="K14" i="30" s="1"/>
  <c r="K15" i="30" s="1"/>
  <c r="K16" i="30" s="1"/>
  <c r="K17" i="30" s="1"/>
  <c r="K18" i="30" s="1"/>
  <c r="K19" i="30" s="1"/>
  <c r="K20" i="30" s="1"/>
  <c r="K21" i="30" s="1"/>
  <c r="K22" i="30" s="1"/>
  <c r="K23" i="30" s="1"/>
  <c r="K24" i="30" s="1"/>
  <c r="K25" i="30" s="1"/>
  <c r="K26" i="30" s="1"/>
  <c r="K27" i="30" s="1"/>
  <c r="K28" i="30" s="1"/>
  <c r="K29" i="30" s="1"/>
  <c r="K30" i="30" s="1"/>
  <c r="K31" i="30" s="1"/>
  <c r="K32" i="30" s="1"/>
  <c r="K33" i="30" s="1"/>
  <c r="K34" i="30" s="1"/>
  <c r="K35" i="30" s="1"/>
  <c r="K36" i="30" s="1"/>
  <c r="K37" i="30" s="1"/>
  <c r="K38" i="30" s="1"/>
  <c r="K39" i="30" s="1"/>
  <c r="K40" i="30" s="1"/>
  <c r="K41" i="30" s="1"/>
  <c r="K42" i="30" s="1"/>
  <c r="K43" i="30" s="1"/>
  <c r="K44" i="30" s="1"/>
  <c r="K45" i="30" s="1"/>
  <c r="K46" i="30" s="1"/>
  <c r="K47" i="30" s="1"/>
  <c r="K48" i="30" s="1"/>
  <c r="K49" i="30" s="1"/>
  <c r="K50" i="30" s="1"/>
  <c r="K51" i="30" s="1"/>
  <c r="K52" i="30" s="1"/>
  <c r="K53" i="30" s="1"/>
  <c r="K54" i="30" s="1"/>
  <c r="K55" i="30" s="1"/>
  <c r="K56" i="30" s="1"/>
  <c r="J5" i="30"/>
  <c r="J6" i="30" s="1"/>
  <c r="J7" i="30" s="1"/>
  <c r="J8" i="30" s="1"/>
  <c r="J9" i="30" s="1"/>
  <c r="J10" i="30" s="1"/>
  <c r="J11" i="30" s="1"/>
  <c r="J12" i="30" s="1"/>
  <c r="J13" i="30" s="1"/>
  <c r="J14" i="30" s="1"/>
  <c r="J15" i="30" s="1"/>
  <c r="J16" i="30" s="1"/>
  <c r="J17" i="30" s="1"/>
  <c r="J18" i="30" s="1"/>
  <c r="J19" i="30" s="1"/>
  <c r="J20" i="30" s="1"/>
  <c r="J21" i="30" s="1"/>
  <c r="J22" i="30" s="1"/>
  <c r="J23" i="30" s="1"/>
  <c r="J24" i="30" s="1"/>
  <c r="J25" i="30" s="1"/>
  <c r="J26" i="30" s="1"/>
  <c r="J27" i="30" s="1"/>
  <c r="J28" i="30" s="1"/>
  <c r="J29" i="30" s="1"/>
  <c r="J30" i="30" s="1"/>
  <c r="J31" i="30" s="1"/>
  <c r="J32" i="30" s="1"/>
  <c r="J33" i="30" s="1"/>
  <c r="J34" i="30" s="1"/>
  <c r="J35" i="30" s="1"/>
  <c r="J36" i="30" s="1"/>
  <c r="J37" i="30" s="1"/>
  <c r="J38" i="30" s="1"/>
  <c r="J39" i="30" s="1"/>
  <c r="J40" i="30" s="1"/>
  <c r="J41" i="30" s="1"/>
  <c r="J42" i="30" s="1"/>
  <c r="J43" i="30" s="1"/>
  <c r="J44" i="30" s="1"/>
  <c r="J45" i="30" s="1"/>
  <c r="J46" i="30" s="1"/>
  <c r="J47" i="30" s="1"/>
  <c r="J48" i="30" s="1"/>
  <c r="J49" i="30" s="1"/>
  <c r="J50" i="30" s="1"/>
  <c r="J51" i="30" s="1"/>
  <c r="J52" i="30" s="1"/>
  <c r="J53" i="30" s="1"/>
  <c r="J54" i="30" s="1"/>
  <c r="J55" i="30" s="1"/>
  <c r="J56" i="30" s="1"/>
  <c r="K113" i="29"/>
  <c r="G110" i="29"/>
  <c r="E110" i="29"/>
  <c r="D110" i="29"/>
  <c r="I60" i="29"/>
  <c r="F60" i="29"/>
  <c r="G57" i="29"/>
  <c r="E57" i="29"/>
  <c r="D57" i="29"/>
  <c r="K5" i="29"/>
  <c r="K6" i="29" s="1"/>
  <c r="K7" i="29" s="1"/>
  <c r="K8" i="29" s="1"/>
  <c r="K9" i="29" s="1"/>
  <c r="K10" i="29" s="1"/>
  <c r="K11" i="29" s="1"/>
  <c r="K12" i="29" s="1"/>
  <c r="K13" i="29" s="1"/>
  <c r="K14" i="29" s="1"/>
  <c r="K15" i="29" s="1"/>
  <c r="K16" i="29" s="1"/>
  <c r="K17" i="29" s="1"/>
  <c r="K18" i="29" s="1"/>
  <c r="K19" i="29" s="1"/>
  <c r="K20" i="29" s="1"/>
  <c r="K21" i="29" s="1"/>
  <c r="K22" i="29" s="1"/>
  <c r="K23" i="29" s="1"/>
  <c r="K24" i="29" s="1"/>
  <c r="K25" i="29" s="1"/>
  <c r="K26" i="29" s="1"/>
  <c r="K27" i="29" s="1"/>
  <c r="K28" i="29" s="1"/>
  <c r="K29" i="29" s="1"/>
  <c r="K30" i="29" s="1"/>
  <c r="K31" i="29" s="1"/>
  <c r="K32" i="29" s="1"/>
  <c r="K33" i="29" s="1"/>
  <c r="K34" i="29" s="1"/>
  <c r="K35" i="29" s="1"/>
  <c r="K36" i="29" s="1"/>
  <c r="K37" i="29" s="1"/>
  <c r="K38" i="29" s="1"/>
  <c r="K39" i="29" s="1"/>
  <c r="K40" i="29" s="1"/>
  <c r="K41" i="29" s="1"/>
  <c r="K42" i="29" s="1"/>
  <c r="K43" i="29" s="1"/>
  <c r="K44" i="29" s="1"/>
  <c r="K45" i="29" s="1"/>
  <c r="K46" i="29" s="1"/>
  <c r="K47" i="29" s="1"/>
  <c r="K48" i="29" s="1"/>
  <c r="K49" i="29" s="1"/>
  <c r="K50" i="29" s="1"/>
  <c r="K51" i="29" s="1"/>
  <c r="K52" i="29" s="1"/>
  <c r="K53" i="29" s="1"/>
  <c r="K54" i="29" s="1"/>
  <c r="K55" i="29" s="1"/>
  <c r="K56" i="29" s="1"/>
  <c r="J5" i="29"/>
  <c r="J6" i="29" s="1"/>
  <c r="J7" i="29" s="1"/>
  <c r="J8" i="29" s="1"/>
  <c r="J9" i="29" s="1"/>
  <c r="J10" i="29" s="1"/>
  <c r="J11" i="29" s="1"/>
  <c r="J12" i="29" s="1"/>
  <c r="J13" i="29" s="1"/>
  <c r="J14" i="29" s="1"/>
  <c r="J15" i="29" s="1"/>
  <c r="J16" i="29" s="1"/>
  <c r="J17" i="29" s="1"/>
  <c r="J18" i="29" s="1"/>
  <c r="J19" i="29" s="1"/>
  <c r="J20" i="29" s="1"/>
  <c r="J21" i="29" s="1"/>
  <c r="J22" i="29" s="1"/>
  <c r="J23" i="29" s="1"/>
  <c r="J24" i="29" s="1"/>
  <c r="J25" i="29" s="1"/>
  <c r="J26" i="29" s="1"/>
  <c r="J27" i="29" s="1"/>
  <c r="J28" i="29" s="1"/>
  <c r="J29" i="29" s="1"/>
  <c r="J30" i="29" s="1"/>
  <c r="J31" i="29" s="1"/>
  <c r="J32" i="29" s="1"/>
  <c r="J33" i="29" s="1"/>
  <c r="J34" i="29" s="1"/>
  <c r="J35" i="29" s="1"/>
  <c r="J36" i="29" s="1"/>
  <c r="J37" i="29" s="1"/>
  <c r="J38" i="29" s="1"/>
  <c r="J39" i="29" s="1"/>
  <c r="J40" i="29" s="1"/>
  <c r="J41" i="29" s="1"/>
  <c r="J42" i="29" s="1"/>
  <c r="J43" i="29" s="1"/>
  <c r="J44" i="29" s="1"/>
  <c r="J45" i="29" s="1"/>
  <c r="J46" i="29" s="1"/>
  <c r="J47" i="29" s="1"/>
  <c r="J48" i="29" s="1"/>
  <c r="J49" i="29" s="1"/>
  <c r="J50" i="29" s="1"/>
  <c r="J51" i="29" s="1"/>
  <c r="J52" i="29" s="1"/>
  <c r="J53" i="29" s="1"/>
  <c r="J54" i="29" s="1"/>
  <c r="J55" i="29" s="1"/>
  <c r="F57" i="29" l="1"/>
  <c r="F110" i="29"/>
  <c r="I110" i="29"/>
  <c r="I57" i="29"/>
  <c r="I113" i="21" l="1"/>
  <c r="I58" i="21"/>
  <c r="F113" i="21"/>
  <c r="F58" i="21"/>
  <c r="D181" i="18" l="1"/>
  <c r="E181" i="18"/>
  <c r="G181" i="18"/>
  <c r="K184" i="18"/>
  <c r="F181" i="18" l="1"/>
  <c r="I181" i="18"/>
  <c r="K171" i="18" l="1"/>
  <c r="K172" i="18" s="1"/>
  <c r="K173" i="18" s="1"/>
  <c r="J171" i="18"/>
  <c r="J172" i="18" s="1"/>
  <c r="J173" i="18" s="1"/>
  <c r="J174" i="18" s="1"/>
  <c r="J175" i="18" s="1"/>
  <c r="J176" i="18" s="1"/>
  <c r="J177" i="18" s="1"/>
  <c r="J178" i="18" s="1"/>
  <c r="J179" i="18" s="1"/>
  <c r="J180" i="18" s="1"/>
  <c r="I169" i="18"/>
  <c r="K116" i="18"/>
  <c r="K117" i="18" s="1"/>
  <c r="K118" i="18" s="1"/>
  <c r="K119" i="18" s="1"/>
  <c r="K120" i="18" s="1"/>
  <c r="K121" i="18" s="1"/>
  <c r="K122" i="18" s="1"/>
  <c r="K123" i="18" s="1"/>
  <c r="K124" i="18" s="1"/>
  <c r="K125" i="18" s="1"/>
  <c r="K126" i="18" s="1"/>
  <c r="K127" i="18" s="1"/>
  <c r="K128" i="18" s="1"/>
  <c r="K129" i="18" s="1"/>
  <c r="K130" i="18" s="1"/>
  <c r="K131" i="18" s="1"/>
  <c r="K132" i="18" s="1"/>
  <c r="K133" i="18" s="1"/>
  <c r="K134" i="18" s="1"/>
  <c r="K135" i="18" s="1"/>
  <c r="K136" i="18" s="1"/>
  <c r="K137" i="18" s="1"/>
  <c r="K138" i="18" s="1"/>
  <c r="K139" i="18" s="1"/>
  <c r="K140" i="18" s="1"/>
  <c r="K141" i="18" s="1"/>
  <c r="K142" i="18" s="1"/>
  <c r="K143" i="18" s="1"/>
  <c r="K144" i="18" s="1"/>
  <c r="K145" i="18" s="1"/>
  <c r="K146" i="18" s="1"/>
  <c r="K147" i="18" s="1"/>
  <c r="K148" i="18" s="1"/>
  <c r="K149" i="18" s="1"/>
  <c r="K150" i="18" s="1"/>
  <c r="K151" i="18" s="1"/>
  <c r="K152" i="18" s="1"/>
  <c r="K153" i="18" s="1"/>
  <c r="K154" i="18" s="1"/>
  <c r="K155" i="18" s="1"/>
  <c r="K156" i="18" s="1"/>
  <c r="K157" i="18" s="1"/>
  <c r="K158" i="18" s="1"/>
  <c r="K159" i="18" s="1"/>
  <c r="K160" i="18" s="1"/>
  <c r="K161" i="18" s="1"/>
  <c r="K162" i="18" s="1"/>
  <c r="K163" i="18" s="1"/>
  <c r="K164" i="18" s="1"/>
  <c r="J116" i="18"/>
  <c r="J117" i="18" s="1"/>
  <c r="J118" i="18" s="1"/>
  <c r="J119" i="18" s="1"/>
  <c r="J120" i="18" s="1"/>
  <c r="J121" i="18" s="1"/>
  <c r="J122" i="18" s="1"/>
  <c r="J123" i="18" s="1"/>
  <c r="J124" i="18" s="1"/>
  <c r="J125" i="18" s="1"/>
  <c r="J126" i="18" s="1"/>
  <c r="J127" i="18" s="1"/>
  <c r="J128" i="18" s="1"/>
  <c r="J129" i="18" s="1"/>
  <c r="J130" i="18" s="1"/>
  <c r="J131" i="18" s="1"/>
  <c r="J132" i="18" s="1"/>
  <c r="J133" i="18" s="1"/>
  <c r="J134" i="18" s="1"/>
  <c r="J135" i="18" s="1"/>
  <c r="J136" i="18" s="1"/>
  <c r="J137" i="18" s="1"/>
  <c r="J138" i="18" s="1"/>
  <c r="J139" i="18" s="1"/>
  <c r="J140" i="18" s="1"/>
  <c r="J141" i="18" s="1"/>
  <c r="J142" i="18" s="1"/>
  <c r="J143" i="18" s="1"/>
  <c r="J144" i="18" s="1"/>
  <c r="J145" i="18" s="1"/>
  <c r="J146" i="18" s="1"/>
  <c r="J147" i="18" s="1"/>
  <c r="J148" i="18" s="1"/>
  <c r="J149" i="18" s="1"/>
  <c r="J150" i="18" s="1"/>
  <c r="J151" i="18" s="1"/>
  <c r="J152" i="18" s="1"/>
  <c r="J153" i="18" s="1"/>
  <c r="J154" i="18" s="1"/>
  <c r="J155" i="18" s="1"/>
  <c r="J156" i="18" s="1"/>
  <c r="J157" i="18" s="1"/>
  <c r="J158" i="18" s="1"/>
  <c r="J159" i="18" s="1"/>
  <c r="J160" i="18" s="1"/>
  <c r="J161" i="18" s="1"/>
  <c r="J162" i="18" s="1"/>
  <c r="J163" i="18" s="1"/>
  <c r="J164" i="18" s="1"/>
  <c r="I114" i="18"/>
  <c r="I58" i="18"/>
  <c r="K174" i="18" l="1"/>
  <c r="K175" i="18" s="1"/>
  <c r="K176" i="18" s="1"/>
  <c r="K177" i="18" s="1"/>
  <c r="K178" i="18" s="1"/>
  <c r="K179" i="18" s="1"/>
  <c r="K180" i="18" s="1"/>
  <c r="I165" i="18"/>
  <c r="E110" i="28"/>
  <c r="K161" i="28" l="1"/>
  <c r="G110" i="28"/>
  <c r="D110" i="28"/>
  <c r="I58" i="28"/>
  <c r="F110" i="28" l="1"/>
  <c r="I110" i="28"/>
  <c r="E159" i="26" l="1"/>
  <c r="D159" i="26"/>
  <c r="G159" i="26"/>
  <c r="H159" i="26"/>
  <c r="I159" i="26" l="1"/>
  <c r="F159" i="26"/>
  <c r="H109" i="13"/>
  <c r="G109" i="13" l="1"/>
  <c r="K112" i="13" l="1"/>
  <c r="I60" i="13"/>
  <c r="F60" i="13"/>
  <c r="K5" i="13"/>
  <c r="K6" i="13" s="1"/>
  <c r="K7" i="13" s="1"/>
  <c r="K8" i="13" s="1"/>
  <c r="K9" i="13" s="1"/>
  <c r="K10" i="13" s="1"/>
  <c r="K11" i="13" s="1"/>
  <c r="K12" i="13" s="1"/>
  <c r="K13" i="13" s="1"/>
  <c r="K14" i="13" s="1"/>
  <c r="K15" i="13" s="1"/>
  <c r="K16" i="13" s="1"/>
  <c r="K17" i="13" s="1"/>
  <c r="K18" i="13" s="1"/>
  <c r="K19" i="13" s="1"/>
  <c r="K20" i="13" s="1"/>
  <c r="K21" i="13" s="1"/>
  <c r="K22" i="13" s="1"/>
  <c r="K23" i="13" s="1"/>
  <c r="K24" i="13" s="1"/>
  <c r="K25" i="13" s="1"/>
  <c r="K26" i="13" s="1"/>
  <c r="K27" i="13" s="1"/>
  <c r="K28" i="13" s="1"/>
  <c r="K29" i="13" s="1"/>
  <c r="K30" i="13" s="1"/>
  <c r="K31" i="13" s="1"/>
  <c r="K32" i="13" s="1"/>
  <c r="K33" i="13" s="1"/>
  <c r="K34" i="13" s="1"/>
  <c r="K35" i="13" s="1"/>
  <c r="K36" i="13" s="1"/>
  <c r="K37" i="13" s="1"/>
  <c r="K38" i="13" s="1"/>
  <c r="K39" i="13" s="1"/>
  <c r="K40" i="13" s="1"/>
  <c r="K41" i="13" s="1"/>
  <c r="K42" i="13" s="1"/>
  <c r="K43" i="13" s="1"/>
  <c r="K44" i="13" s="1"/>
  <c r="K45" i="13" s="1"/>
  <c r="K46" i="13" s="1"/>
  <c r="K47" i="13" s="1"/>
  <c r="K48" i="13" s="1"/>
  <c r="K49" i="13" s="1"/>
  <c r="K50" i="13" s="1"/>
  <c r="K51" i="13" s="1"/>
  <c r="K52" i="13" s="1"/>
  <c r="K53" i="13" s="1"/>
  <c r="K54" i="13" s="1"/>
  <c r="K55" i="13" s="1"/>
  <c r="K56" i="13" s="1"/>
  <c r="J5" i="13"/>
  <c r="J6" i="13" s="1"/>
  <c r="J7" i="13" s="1"/>
  <c r="J8" i="13" s="1"/>
  <c r="J9" i="13" s="1"/>
  <c r="J10" i="13" s="1"/>
  <c r="J11" i="13" s="1"/>
  <c r="J12" i="13" s="1"/>
  <c r="J13" i="13" s="1"/>
  <c r="J14" i="13" s="1"/>
  <c r="J15" i="13" s="1"/>
  <c r="J16" i="13" s="1"/>
  <c r="J17" i="13" s="1"/>
  <c r="J18" i="13" s="1"/>
  <c r="J19" i="13" s="1"/>
  <c r="J20" i="13" s="1"/>
  <c r="J21" i="13" s="1"/>
  <c r="J22" i="13" s="1"/>
  <c r="J23" i="13" s="1"/>
  <c r="J24" i="13" s="1"/>
  <c r="J25" i="13" s="1"/>
  <c r="J26" i="13" s="1"/>
  <c r="J27" i="13" s="1"/>
  <c r="J28" i="13" s="1"/>
  <c r="J29" i="13" s="1"/>
  <c r="J30" i="13" s="1"/>
  <c r="J31" i="13" s="1"/>
  <c r="J32" i="13" s="1"/>
  <c r="J33" i="13" s="1"/>
  <c r="J34" i="13" s="1"/>
  <c r="J35" i="13" s="1"/>
  <c r="J36" i="13" s="1"/>
  <c r="J37" i="13" s="1"/>
  <c r="J38" i="13" s="1"/>
  <c r="J39" i="13" s="1"/>
  <c r="J40" i="13" s="1"/>
  <c r="J41" i="13" s="1"/>
  <c r="J42" i="13" s="1"/>
  <c r="J43" i="13" s="1"/>
  <c r="J44" i="13" s="1"/>
  <c r="J45" i="13" s="1"/>
  <c r="J46" i="13" s="1"/>
  <c r="J47" i="13" s="1"/>
  <c r="J48" i="13" s="1"/>
  <c r="J49" i="13" s="1"/>
  <c r="J50" i="13" s="1"/>
  <c r="J51" i="13" s="1"/>
  <c r="J52" i="13" s="1"/>
  <c r="J53" i="13" s="1"/>
  <c r="J54" i="13" s="1"/>
  <c r="J55" i="13" s="1"/>
  <c r="J56" i="13" s="1"/>
  <c r="I109" i="13" l="1"/>
  <c r="K118" i="12"/>
  <c r="H57" i="12"/>
  <c r="K135" i="12" l="1"/>
  <c r="G131" i="12"/>
  <c r="E131" i="12"/>
  <c r="D131" i="12"/>
  <c r="K119" i="12"/>
  <c r="K120" i="12" s="1"/>
  <c r="K121" i="12" s="1"/>
  <c r="K122" i="12" s="1"/>
  <c r="K123" i="12" s="1"/>
  <c r="K124" i="12" s="1"/>
  <c r="K125" i="12" s="1"/>
  <c r="K126" i="12" s="1"/>
  <c r="K127" i="12" s="1"/>
  <c r="K128" i="12" s="1"/>
  <c r="K129" i="12" s="1"/>
  <c r="K130" i="12" s="1"/>
  <c r="J118" i="12"/>
  <c r="J119" i="12" s="1"/>
  <c r="J120" i="12" s="1"/>
  <c r="J121" i="12" s="1"/>
  <c r="J122" i="12" s="1"/>
  <c r="J123" i="12" s="1"/>
  <c r="J124" i="12" s="1"/>
  <c r="J125" i="12" s="1"/>
  <c r="J126" i="12" s="1"/>
  <c r="J127" i="12" s="1"/>
  <c r="J128" i="12" s="1"/>
  <c r="J129" i="12" s="1"/>
  <c r="J130" i="12" s="1"/>
  <c r="I117" i="12"/>
  <c r="G114" i="12"/>
  <c r="E114" i="12"/>
  <c r="D114" i="12"/>
  <c r="K61" i="12"/>
  <c r="K62" i="12" s="1"/>
  <c r="K63" i="12" s="1"/>
  <c r="K64" i="12" s="1"/>
  <c r="K65" i="12" s="1"/>
  <c r="K66" i="12" s="1"/>
  <c r="K67" i="12" s="1"/>
  <c r="K68" i="12" s="1"/>
  <c r="K69" i="12" s="1"/>
  <c r="K70" i="12" s="1"/>
  <c r="K71" i="12" s="1"/>
  <c r="K72" i="12" s="1"/>
  <c r="K73" i="12" s="1"/>
  <c r="K74" i="12" s="1"/>
  <c r="K75" i="12" s="1"/>
  <c r="K76" i="12" s="1"/>
  <c r="K77" i="12" s="1"/>
  <c r="K78" i="12" s="1"/>
  <c r="K79" i="12" s="1"/>
  <c r="K80" i="12" s="1"/>
  <c r="K81" i="12" s="1"/>
  <c r="K82" i="12" s="1"/>
  <c r="K83" i="12" s="1"/>
  <c r="K84" i="12" s="1"/>
  <c r="K85" i="12" s="1"/>
  <c r="K86" i="12" s="1"/>
  <c r="K87" i="12" s="1"/>
  <c r="K88" i="12" s="1"/>
  <c r="K89" i="12" s="1"/>
  <c r="K90" i="12" s="1"/>
  <c r="K91" i="12" s="1"/>
  <c r="K92" i="12" s="1"/>
  <c r="K93" i="12" s="1"/>
  <c r="K94" i="12" s="1"/>
  <c r="K95" i="12" s="1"/>
  <c r="K96" i="12" s="1"/>
  <c r="K97" i="12" s="1"/>
  <c r="K98" i="12" s="1"/>
  <c r="K99" i="12" s="1"/>
  <c r="K100" i="12" s="1"/>
  <c r="K101" i="12" s="1"/>
  <c r="K102" i="12" s="1"/>
  <c r="K103" i="12" s="1"/>
  <c r="K104" i="12" s="1"/>
  <c r="K105" i="12" s="1"/>
  <c r="K106" i="12" s="1"/>
  <c r="K107" i="12" s="1"/>
  <c r="K108" i="12" s="1"/>
  <c r="K109" i="12" s="1"/>
  <c r="K110" i="12" s="1"/>
  <c r="K111" i="12" s="1"/>
  <c r="K112" i="12" s="1"/>
  <c r="K113" i="12" s="1"/>
  <c r="J61" i="12"/>
  <c r="J62" i="12" s="1"/>
  <c r="J63" i="12" s="1"/>
  <c r="J64" i="12" s="1"/>
  <c r="J65" i="12" s="1"/>
  <c r="J66" i="12" s="1"/>
  <c r="J67" i="12" s="1"/>
  <c r="J68" i="12" s="1"/>
  <c r="J69" i="12" s="1"/>
  <c r="J70" i="12" s="1"/>
  <c r="J71" i="12" s="1"/>
  <c r="J72" i="12" s="1"/>
  <c r="J73" i="12" s="1"/>
  <c r="J74" i="12" s="1"/>
  <c r="J75" i="12" s="1"/>
  <c r="J76" i="12" s="1"/>
  <c r="J77" i="12" s="1"/>
  <c r="J78" i="12" s="1"/>
  <c r="J79" i="12" s="1"/>
  <c r="J80" i="12" s="1"/>
  <c r="J81" i="12" s="1"/>
  <c r="J82" i="12" s="1"/>
  <c r="J83" i="12" s="1"/>
  <c r="J84" i="12" s="1"/>
  <c r="J85" i="12" s="1"/>
  <c r="J86" i="12" s="1"/>
  <c r="J87" i="12" s="1"/>
  <c r="J88" i="12" s="1"/>
  <c r="J89" i="12" s="1"/>
  <c r="J90" i="12" s="1"/>
  <c r="J91" i="12" s="1"/>
  <c r="J92" i="12" s="1"/>
  <c r="J93" i="12" s="1"/>
  <c r="J94" i="12" s="1"/>
  <c r="J95" i="12" s="1"/>
  <c r="J96" i="12" s="1"/>
  <c r="J97" i="12" s="1"/>
  <c r="J98" i="12" s="1"/>
  <c r="J99" i="12" s="1"/>
  <c r="J100" i="12" s="1"/>
  <c r="J101" i="12" s="1"/>
  <c r="J102" i="12" s="1"/>
  <c r="J103" i="12" s="1"/>
  <c r="J104" i="12" s="1"/>
  <c r="J105" i="12" s="1"/>
  <c r="J106" i="12" s="1"/>
  <c r="J107" i="12" s="1"/>
  <c r="J108" i="12" s="1"/>
  <c r="J109" i="12" s="1"/>
  <c r="J110" i="12" s="1"/>
  <c r="J111" i="12" s="1"/>
  <c r="J112" i="12" s="1"/>
  <c r="J113" i="12" s="1"/>
  <c r="I60" i="12"/>
  <c r="F60" i="12"/>
  <c r="G57" i="12"/>
  <c r="E57" i="12"/>
  <c r="D57" i="12"/>
  <c r="K6" i="12"/>
  <c r="K7" i="12" s="1"/>
  <c r="K8" i="12" s="1"/>
  <c r="K9" i="12" s="1"/>
  <c r="K10" i="12" s="1"/>
  <c r="K11" i="12" s="1"/>
  <c r="K12" i="12" s="1"/>
  <c r="K13" i="12" s="1"/>
  <c r="K14" i="12" s="1"/>
  <c r="K15" i="12" s="1"/>
  <c r="K16" i="12" s="1"/>
  <c r="K17" i="12" s="1"/>
  <c r="K18" i="12" s="1"/>
  <c r="K19" i="12" s="1"/>
  <c r="K20" i="12" s="1"/>
  <c r="K21" i="12" s="1"/>
  <c r="K22" i="12" s="1"/>
  <c r="K23" i="12" s="1"/>
  <c r="K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35" i="12" s="1"/>
  <c r="K36" i="12" s="1"/>
  <c r="K37" i="12" s="1"/>
  <c r="K38" i="12" s="1"/>
  <c r="K39" i="12" s="1"/>
  <c r="K40" i="12" s="1"/>
  <c r="K41" i="12" s="1"/>
  <c r="K42" i="12" s="1"/>
  <c r="K43" i="12" s="1"/>
  <c r="K44" i="12" s="1"/>
  <c r="K45" i="12" s="1"/>
  <c r="K46" i="12" s="1"/>
  <c r="K47" i="12" s="1"/>
  <c r="K48" i="12" s="1"/>
  <c r="K49" i="12" s="1"/>
  <c r="K50" i="12" s="1"/>
  <c r="K51" i="12" s="1"/>
  <c r="K52" i="12" s="1"/>
  <c r="K53" i="12" s="1"/>
  <c r="K54" i="12" s="1"/>
  <c r="K55" i="12" s="1"/>
  <c r="K56" i="12" s="1"/>
  <c r="J5" i="12"/>
  <c r="J6" i="12" s="1"/>
  <c r="J7" i="12" s="1"/>
  <c r="J8" i="12" s="1"/>
  <c r="J9" i="12" s="1"/>
  <c r="J10" i="12" s="1"/>
  <c r="J11" i="12" s="1"/>
  <c r="J12" i="12" s="1"/>
  <c r="J13" i="12" s="1"/>
  <c r="J14" i="12" s="1"/>
  <c r="J15" i="12" s="1"/>
  <c r="J16" i="12" s="1"/>
  <c r="J17" i="12" s="1"/>
  <c r="J18" i="12" s="1"/>
  <c r="J19" i="12" s="1"/>
  <c r="J20" i="12" s="1"/>
  <c r="J21" i="12" s="1"/>
  <c r="J22" i="12" s="1"/>
  <c r="J23" i="12" s="1"/>
  <c r="J24" i="12" s="1"/>
  <c r="J25" i="12" s="1"/>
  <c r="J26" i="12" s="1"/>
  <c r="J27" i="12" s="1"/>
  <c r="J28" i="12" s="1"/>
  <c r="J29" i="12" s="1"/>
  <c r="J30" i="12" s="1"/>
  <c r="J31" i="12" s="1"/>
  <c r="J32" i="12" s="1"/>
  <c r="J33" i="12" s="1"/>
  <c r="J34" i="12" s="1"/>
  <c r="J35" i="12" s="1"/>
  <c r="J36" i="12" s="1"/>
  <c r="J37" i="12" s="1"/>
  <c r="J38" i="12" s="1"/>
  <c r="J39" i="12" s="1"/>
  <c r="J40" i="12" s="1"/>
  <c r="J41" i="12" s="1"/>
  <c r="J42" i="12" s="1"/>
  <c r="J43" i="12" s="1"/>
  <c r="J44" i="12" s="1"/>
  <c r="J45" i="12" s="1"/>
  <c r="J46" i="12" s="1"/>
  <c r="J47" i="12" s="1"/>
  <c r="J48" i="12" s="1"/>
  <c r="J49" i="12" s="1"/>
  <c r="J50" i="12" s="1"/>
  <c r="J51" i="12" s="1"/>
  <c r="J52" i="12" s="1"/>
  <c r="J53" i="12" s="1"/>
  <c r="J54" i="12" s="1"/>
  <c r="J55" i="12" s="1"/>
  <c r="J56" i="12" s="1"/>
  <c r="F57" i="12" l="1"/>
  <c r="F114" i="12"/>
  <c r="F131" i="12"/>
  <c r="I57" i="12"/>
  <c r="K162" i="11"/>
  <c r="I122" i="11" l="1"/>
  <c r="I125" i="11" l="1"/>
  <c r="F125" i="11"/>
  <c r="H108" i="10" l="1"/>
  <c r="H121" i="10"/>
  <c r="J58" i="10"/>
  <c r="J59" i="10" s="1"/>
  <c r="J60" i="10" s="1"/>
  <c r="J61" i="10" s="1"/>
  <c r="J62" i="10" s="1"/>
  <c r="J63" i="10" s="1"/>
  <c r="J64" i="10" s="1"/>
  <c r="J65" i="10" s="1"/>
  <c r="J66" i="10" s="1"/>
  <c r="J67" i="10" s="1"/>
  <c r="J68" i="10" s="1"/>
  <c r="J69" i="10" s="1"/>
  <c r="J70" i="10" s="1"/>
  <c r="J71" i="10" s="1"/>
  <c r="J72" i="10" s="1"/>
  <c r="J73" i="10" s="1"/>
  <c r="J74" i="10" s="1"/>
  <c r="J75" i="10" s="1"/>
  <c r="J76" i="10" s="1"/>
  <c r="J77" i="10" s="1"/>
  <c r="J78" i="10" s="1"/>
  <c r="J79" i="10" s="1"/>
  <c r="J80" i="10" s="1"/>
  <c r="J81" i="10" s="1"/>
  <c r="J82" i="10" s="1"/>
  <c r="J83" i="10" s="1"/>
  <c r="J84" i="10" s="1"/>
  <c r="J85" i="10" s="1"/>
  <c r="J86" i="10" s="1"/>
  <c r="J87" i="10" s="1"/>
  <c r="J88" i="10" s="1"/>
  <c r="J89" i="10" s="1"/>
  <c r="J90" i="10" s="1"/>
  <c r="J91" i="10" s="1"/>
  <c r="J92" i="10" s="1"/>
  <c r="J93" i="10" s="1"/>
  <c r="J94" i="10" s="1"/>
  <c r="J95" i="10" s="1"/>
  <c r="J96" i="10" s="1"/>
  <c r="J97" i="10" s="1"/>
  <c r="J98" i="10" s="1"/>
  <c r="J99" i="10" s="1"/>
  <c r="J100" i="10" s="1"/>
  <c r="J101" i="10" s="1"/>
  <c r="J102" i="10" s="1"/>
  <c r="J103" i="10" s="1"/>
  <c r="J104" i="10" s="1"/>
  <c r="J105" i="10" s="1"/>
  <c r="J106" i="10" s="1"/>
  <c r="J107" i="10" s="1"/>
  <c r="K58" i="10"/>
  <c r="K59" i="10" s="1"/>
  <c r="K60" i="10" s="1"/>
  <c r="K61" i="10" s="1"/>
  <c r="K62" i="10" s="1"/>
  <c r="K63" i="10" s="1"/>
  <c r="K64" i="10" s="1"/>
  <c r="K65" i="10" s="1"/>
  <c r="K66" i="10" s="1"/>
  <c r="K67" i="10" s="1"/>
  <c r="K68" i="10" s="1"/>
  <c r="K69" i="10" s="1"/>
  <c r="K70" i="10" s="1"/>
  <c r="K71" i="10" s="1"/>
  <c r="K72" i="10" s="1"/>
  <c r="K73" i="10" s="1"/>
  <c r="K74" i="10" s="1"/>
  <c r="K75" i="10" s="1"/>
  <c r="K76" i="10" s="1"/>
  <c r="K77" i="10" s="1"/>
  <c r="K78" i="10" s="1"/>
  <c r="K79" i="10" s="1"/>
  <c r="K80" i="10" s="1"/>
  <c r="K81" i="10" s="1"/>
  <c r="K82" i="10" s="1"/>
  <c r="K83" i="10" s="1"/>
  <c r="K84" i="10" s="1"/>
  <c r="K85" i="10" s="1"/>
  <c r="K86" i="10" s="1"/>
  <c r="K87" i="10" s="1"/>
  <c r="K88" i="10" s="1"/>
  <c r="K89" i="10" s="1"/>
  <c r="K90" i="10" s="1"/>
  <c r="K91" i="10" s="1"/>
  <c r="K92" i="10" s="1"/>
  <c r="K93" i="10" s="1"/>
  <c r="K94" i="10" s="1"/>
  <c r="K95" i="10" s="1"/>
  <c r="K96" i="10" s="1"/>
  <c r="K97" i="10" s="1"/>
  <c r="K98" i="10" s="1"/>
  <c r="K99" i="10" s="1"/>
  <c r="K100" i="10" s="1"/>
  <c r="K101" i="10" s="1"/>
  <c r="K102" i="10" s="1"/>
  <c r="K103" i="10" s="1"/>
  <c r="K104" i="10" s="1"/>
  <c r="K105" i="10" s="1"/>
  <c r="K106" i="10" s="1"/>
  <c r="K107" i="10" s="1"/>
  <c r="I111" i="10"/>
  <c r="J5" i="10"/>
  <c r="J6" i="10" s="1"/>
  <c r="K162" i="26" l="1"/>
  <c r="K116" i="9"/>
  <c r="K124" i="10"/>
  <c r="G158" i="11" l="1"/>
  <c r="I158" i="11" s="1"/>
  <c r="E158" i="11"/>
  <c r="I64" i="11"/>
  <c r="F64" i="11"/>
  <c r="K6" i="11"/>
  <c r="K7" i="11" s="1"/>
  <c r="K8" i="11" s="1"/>
  <c r="K9" i="11" s="1"/>
  <c r="K10" i="11" s="1"/>
  <c r="K11" i="11" s="1"/>
  <c r="K12" i="11" s="1"/>
  <c r="K13" i="11" s="1"/>
  <c r="K14" i="11" s="1"/>
  <c r="K15" i="11" s="1"/>
  <c r="K16" i="11" s="1"/>
  <c r="K17" i="11" s="1"/>
  <c r="K18" i="11" s="1"/>
  <c r="K19" i="11" s="1"/>
  <c r="K20" i="11" s="1"/>
  <c r="K21" i="11" s="1"/>
  <c r="K22" i="11" s="1"/>
  <c r="K23" i="11" s="1"/>
  <c r="K24" i="11" s="1"/>
  <c r="K25" i="11" s="1"/>
  <c r="K26" i="11" s="1"/>
  <c r="K27" i="11" s="1"/>
  <c r="K28" i="11" s="1"/>
  <c r="K29" i="11" s="1"/>
  <c r="K30" i="11" s="1"/>
  <c r="K31" i="11" s="1"/>
  <c r="K32" i="11" s="1"/>
  <c r="K33" i="11" s="1"/>
  <c r="K34" i="11" s="1"/>
  <c r="K35" i="11" s="1"/>
  <c r="K36" i="11" s="1"/>
  <c r="K37" i="11" s="1"/>
  <c r="K38" i="11" s="1"/>
  <c r="K39" i="11" s="1"/>
  <c r="K40" i="11" s="1"/>
  <c r="K41" i="11" s="1"/>
  <c r="K42" i="11" s="1"/>
  <c r="K43" i="11" s="1"/>
  <c r="K44" i="11" s="1"/>
  <c r="K45" i="11" s="1"/>
  <c r="K46" i="11" s="1"/>
  <c r="K47" i="11" s="1"/>
  <c r="K48" i="11" s="1"/>
  <c r="K49" i="11" s="1"/>
  <c r="K50" i="11" s="1"/>
  <c r="K51" i="11" s="1"/>
  <c r="K52" i="11" s="1"/>
  <c r="K53" i="11" s="1"/>
  <c r="K54" i="11" s="1"/>
  <c r="K55" i="11" s="1"/>
  <c r="K56" i="11" s="1"/>
  <c r="K57" i="11" s="1"/>
  <c r="K58" i="11" s="1"/>
  <c r="K59" i="11" s="1"/>
  <c r="K60" i="11" s="1"/>
  <c r="J5" i="11"/>
  <c r="J6" i="11" s="1"/>
  <c r="J7" i="11" s="1"/>
  <c r="J8" i="11" s="1"/>
  <c r="J9" i="11" s="1"/>
  <c r="J10" i="11" s="1"/>
  <c r="J11" i="11" s="1"/>
  <c r="J12" i="11" s="1"/>
  <c r="J13" i="11" s="1"/>
  <c r="J14" i="11" s="1"/>
  <c r="J15" i="11" s="1"/>
  <c r="J16" i="11" s="1"/>
  <c r="J17" i="11" s="1"/>
  <c r="J18" i="11" s="1"/>
  <c r="J19" i="11" s="1"/>
  <c r="J20" i="11" s="1"/>
  <c r="J21" i="11" s="1"/>
  <c r="J22" i="11" s="1"/>
  <c r="J23" i="11" s="1"/>
  <c r="J24" i="11" s="1"/>
  <c r="J25" i="11" s="1"/>
  <c r="J26" i="11" s="1"/>
  <c r="J27" i="11" s="1"/>
  <c r="J28" i="11" s="1"/>
  <c r="J29" i="11" s="1"/>
  <c r="J30" i="11" s="1"/>
  <c r="J31" i="11" s="1"/>
  <c r="J32" i="11" s="1"/>
  <c r="J33" i="11" s="1"/>
  <c r="J34" i="11" s="1"/>
  <c r="J35" i="11" s="1"/>
  <c r="J36" i="11" s="1"/>
  <c r="J37" i="11" s="1"/>
  <c r="J38" i="11" s="1"/>
  <c r="J39" i="11" s="1"/>
  <c r="J40" i="11" s="1"/>
  <c r="J41" i="11" s="1"/>
  <c r="J42" i="11" s="1"/>
  <c r="J43" i="11" s="1"/>
  <c r="J44" i="11" s="1"/>
  <c r="J45" i="11" s="1"/>
  <c r="J46" i="11" s="1"/>
  <c r="J47" i="11" s="1"/>
  <c r="J48" i="11" s="1"/>
  <c r="J49" i="11" s="1"/>
  <c r="J50" i="11" s="1"/>
  <c r="J51" i="11" s="1"/>
  <c r="J52" i="11" s="1"/>
  <c r="J53" i="11" s="1"/>
  <c r="J54" i="11" s="1"/>
  <c r="J55" i="11" s="1"/>
  <c r="J56" i="11" s="1"/>
  <c r="J57" i="11" s="1"/>
  <c r="J58" i="11" s="1"/>
  <c r="J59" i="11" s="1"/>
  <c r="F158" i="11" l="1"/>
  <c r="L9" i="16" l="1"/>
  <c r="M9" i="16"/>
  <c r="L10" i="16"/>
  <c r="M10" i="16"/>
  <c r="N10" i="16" s="1"/>
  <c r="L11" i="16"/>
  <c r="M11" i="16"/>
  <c r="M8" i="16"/>
  <c r="L8" i="16"/>
  <c r="N8" i="16" s="1"/>
  <c r="J8" i="16"/>
  <c r="J9" i="16" s="1"/>
  <c r="J10" i="16" s="1"/>
  <c r="J11" i="16" s="1"/>
  <c r="F6" i="16"/>
  <c r="F7" i="16" s="1"/>
  <c r="F8" i="16" s="1"/>
  <c r="N11" i="16" l="1"/>
  <c r="N9" i="16"/>
  <c r="F9" i="16"/>
  <c r="F10" i="16" l="1"/>
  <c r="F11" i="16" s="1"/>
  <c r="I57" i="10"/>
  <c r="D108" i="10" l="1"/>
  <c r="E108" i="10"/>
  <c r="G108" i="10"/>
  <c r="I108" i="10" s="1"/>
  <c r="F108" i="10" l="1"/>
  <c r="G121" i="10"/>
  <c r="E121" i="10"/>
  <c r="D121" i="10"/>
  <c r="E54" i="10"/>
  <c r="D54" i="10"/>
  <c r="F54" i="10" s="1"/>
  <c r="K5" i="10"/>
  <c r="K6" i="10" s="1"/>
  <c r="K7" i="10" s="1"/>
  <c r="K8" i="10" s="1"/>
  <c r="K9" i="10" s="1"/>
  <c r="K10" i="10" s="1"/>
  <c r="K11" i="10" s="1"/>
  <c r="K12" i="10" s="1"/>
  <c r="K13" i="10" s="1"/>
  <c r="K14" i="10" s="1"/>
  <c r="K15" i="10" s="1"/>
  <c r="K16" i="10" s="1"/>
  <c r="K17" i="10" s="1"/>
  <c r="K18" i="10" s="1"/>
  <c r="K19" i="10" s="1"/>
  <c r="K20" i="10" s="1"/>
  <c r="K21" i="10" s="1"/>
  <c r="K22" i="10" s="1"/>
  <c r="K23" i="10" s="1"/>
  <c r="K24" i="10" s="1"/>
  <c r="K25" i="10" s="1"/>
  <c r="K26" i="10" s="1"/>
  <c r="K27" i="10" s="1"/>
  <c r="K28" i="10" s="1"/>
  <c r="K29" i="10" s="1"/>
  <c r="K30" i="10" s="1"/>
  <c r="K31" i="10" s="1"/>
  <c r="K32" i="10" s="1"/>
  <c r="K33" i="10" s="1"/>
  <c r="K34" i="10" s="1"/>
  <c r="K35" i="10" s="1"/>
  <c r="K36" i="10" s="1"/>
  <c r="K37" i="10" s="1"/>
  <c r="K38" i="10" s="1"/>
  <c r="K39" i="10" s="1"/>
  <c r="K40" i="10" s="1"/>
  <c r="K41" i="10" s="1"/>
  <c r="K42" i="10" s="1"/>
  <c r="K43" i="10" s="1"/>
  <c r="K44" i="10" s="1"/>
  <c r="K45" i="10" s="1"/>
  <c r="K46" i="10" s="1"/>
  <c r="K47" i="10" s="1"/>
  <c r="K48" i="10" s="1"/>
  <c r="K49" i="10" s="1"/>
  <c r="K50" i="10" s="1"/>
  <c r="K51" i="10" s="1"/>
  <c r="K52" i="10" s="1"/>
  <c r="K53" i="10" s="1"/>
  <c r="J7" i="10"/>
  <c r="J8" i="10" s="1"/>
  <c r="J9" i="10" s="1"/>
  <c r="J10" i="10" s="1"/>
  <c r="J11" i="10" s="1"/>
  <c r="J12" i="10" s="1"/>
  <c r="J13" i="10" s="1"/>
  <c r="J14" i="10" s="1"/>
  <c r="J15" i="10" s="1"/>
  <c r="J16" i="10" s="1"/>
  <c r="J17" i="10" s="1"/>
  <c r="J18" i="10" s="1"/>
  <c r="J19" i="10" s="1"/>
  <c r="J20" i="10" s="1"/>
  <c r="J21" i="10" s="1"/>
  <c r="J22" i="10" s="1"/>
  <c r="J23" i="10" s="1"/>
  <c r="J24" i="10" s="1"/>
  <c r="J25" i="10" s="1"/>
  <c r="J26" i="10" s="1"/>
  <c r="J27" i="10" s="1"/>
  <c r="J28" i="10" s="1"/>
  <c r="J29" i="10" s="1"/>
  <c r="J30" i="10" s="1"/>
  <c r="J31" i="10" s="1"/>
  <c r="J32" i="10" s="1"/>
  <c r="J33" i="10" s="1"/>
  <c r="J34" i="10" s="1"/>
  <c r="J35" i="10" s="1"/>
  <c r="J36" i="10" s="1"/>
  <c r="J37" i="10" s="1"/>
  <c r="J38" i="10" s="1"/>
  <c r="J39" i="10" s="1"/>
  <c r="J40" i="10" s="1"/>
  <c r="J41" i="10" s="1"/>
  <c r="J42" i="10" s="1"/>
  <c r="J43" i="10" s="1"/>
  <c r="J44" i="10" s="1"/>
  <c r="J45" i="10" s="1"/>
  <c r="J46" i="10" s="1"/>
  <c r="J47" i="10" s="1"/>
  <c r="J48" i="10" s="1"/>
  <c r="J49" i="10" s="1"/>
  <c r="J50" i="10" s="1"/>
  <c r="J51" i="10" s="1"/>
  <c r="J52" i="10" s="1"/>
  <c r="J53" i="10" s="1"/>
  <c r="F121" i="10" l="1"/>
  <c r="I121" i="10"/>
  <c r="F56" i="9"/>
  <c r="I56" i="9"/>
  <c r="G53" i="9"/>
  <c r="F53" i="9" l="1"/>
  <c r="I53" i="9"/>
  <c r="J5" i="9" l="1"/>
  <c r="J6" i="9" s="1"/>
  <c r="J7" i="9" s="1"/>
  <c r="J8" i="9" s="1"/>
  <c r="J9" i="9" s="1"/>
  <c r="J10" i="9" s="1"/>
  <c r="J11" i="9" s="1"/>
  <c r="J12" i="9" s="1"/>
  <c r="J13" i="9" s="1"/>
  <c r="J14" i="9" s="1"/>
  <c r="J15" i="9" s="1"/>
  <c r="J16" i="9" s="1"/>
  <c r="J17" i="9" s="1"/>
  <c r="J18" i="9" s="1"/>
  <c r="J19" i="9" s="1"/>
  <c r="J20" i="9" s="1"/>
  <c r="J21" i="9" s="1"/>
  <c r="J22" i="9" s="1"/>
  <c r="J23" i="9" s="1"/>
  <c r="J24" i="9" s="1"/>
  <c r="J25" i="9" s="1"/>
  <c r="J26" i="9" s="1"/>
  <c r="J27" i="9" s="1"/>
  <c r="J28" i="9" s="1"/>
  <c r="J29" i="9" s="1"/>
  <c r="J30" i="9" s="1"/>
  <c r="J31" i="9" s="1"/>
  <c r="J32" i="9" s="1"/>
  <c r="J33" i="9" s="1"/>
  <c r="J34" i="9" s="1"/>
  <c r="J35" i="9" s="1"/>
  <c r="J36" i="9" s="1"/>
  <c r="J37" i="9" s="1"/>
  <c r="J38" i="9" s="1"/>
  <c r="J39" i="9" s="1"/>
  <c r="J40" i="9" s="1"/>
  <c r="J41" i="9" s="1"/>
  <c r="J42" i="9" s="1"/>
  <c r="J43" i="9" s="1"/>
  <c r="J44" i="9" s="1"/>
  <c r="J45" i="9" s="1"/>
  <c r="J46" i="9" s="1"/>
  <c r="J47" i="9" s="1"/>
  <c r="J48" i="9" s="1"/>
  <c r="J49" i="9" s="1"/>
  <c r="J50" i="9" s="1"/>
  <c r="J51" i="9" s="1"/>
  <c r="J52" i="9" s="1"/>
  <c r="G62" i="26" l="1"/>
  <c r="G116" i="26" s="1"/>
  <c r="I116" i="26" s="1"/>
  <c r="E62" i="26"/>
  <c r="E116" i="26" s="1"/>
  <c r="F116" i="26" s="1"/>
  <c r="F119" i="26"/>
  <c r="F62" i="26" l="1"/>
  <c r="I59" i="26"/>
  <c r="K6" i="26" l="1"/>
  <c r="K7" i="26" s="1"/>
  <c r="K8" i="26" s="1"/>
  <c r="K9" i="26" s="1"/>
  <c r="K10" i="26" s="1"/>
  <c r="K11" i="26" s="1"/>
  <c r="K12" i="26" s="1"/>
  <c r="K13" i="26" s="1"/>
  <c r="K14" i="26" s="1"/>
  <c r="K15" i="26" s="1"/>
  <c r="K16" i="26" s="1"/>
  <c r="K17" i="26" s="1"/>
  <c r="K18" i="26" s="1"/>
  <c r="K19" i="26" s="1"/>
  <c r="K20" i="26" s="1"/>
  <c r="K21" i="26" s="1"/>
  <c r="K22" i="26" s="1"/>
  <c r="K23" i="26" s="1"/>
  <c r="K24" i="26" s="1"/>
  <c r="K25" i="26" s="1"/>
  <c r="K26" i="26" s="1"/>
  <c r="K27" i="26" s="1"/>
  <c r="K28" i="26" s="1"/>
  <c r="K29" i="26" s="1"/>
  <c r="K30" i="26" s="1"/>
  <c r="K31" i="26" s="1"/>
  <c r="K32" i="26" s="1"/>
  <c r="K33" i="26" s="1"/>
  <c r="K34" i="26" s="1"/>
  <c r="K35" i="26" s="1"/>
  <c r="K36" i="26" s="1"/>
  <c r="K37" i="26" s="1"/>
  <c r="K38" i="26" s="1"/>
  <c r="K39" i="26" s="1"/>
  <c r="K40" i="26" s="1"/>
  <c r="K41" i="26" s="1"/>
  <c r="K42" i="26" s="1"/>
  <c r="K43" i="26" s="1"/>
  <c r="K44" i="26" s="1"/>
  <c r="K45" i="26" s="1"/>
  <c r="K46" i="26" s="1"/>
  <c r="K47" i="26" s="1"/>
  <c r="K48" i="26" s="1"/>
  <c r="K49" i="26" s="1"/>
  <c r="K50" i="26" s="1"/>
  <c r="K51" i="26" s="1"/>
  <c r="K52" i="26" s="1"/>
  <c r="K53" i="26" s="1"/>
  <c r="K54" i="26" s="1"/>
  <c r="K55" i="26" s="1"/>
  <c r="K56" i="26" s="1"/>
  <c r="K57" i="26" s="1"/>
  <c r="K58" i="26" s="1"/>
  <c r="J6" i="26"/>
  <c r="J7" i="26" s="1"/>
  <c r="J8" i="26" s="1"/>
  <c r="J9" i="26" s="1"/>
  <c r="J10" i="26" s="1"/>
  <c r="J11" i="26" s="1"/>
  <c r="J12" i="26" s="1"/>
  <c r="J13" i="26" s="1"/>
  <c r="J14" i="26" s="1"/>
  <c r="J15" i="26" s="1"/>
  <c r="J16" i="26" s="1"/>
  <c r="J17" i="26" s="1"/>
  <c r="J18" i="26" s="1"/>
  <c r="J19" i="26" s="1"/>
  <c r="J20" i="26" s="1"/>
  <c r="J21" i="26" s="1"/>
  <c r="J22" i="26" s="1"/>
  <c r="J23" i="26" s="1"/>
  <c r="J24" i="26" s="1"/>
  <c r="J25" i="26" s="1"/>
  <c r="J26" i="26" s="1"/>
  <c r="J27" i="26" s="1"/>
  <c r="J28" i="26" s="1"/>
  <c r="J29" i="26" s="1"/>
  <c r="J30" i="26" s="1"/>
  <c r="J31" i="26" s="1"/>
  <c r="J32" i="26" s="1"/>
  <c r="J33" i="26" l="1"/>
  <c r="J34" i="26" s="1"/>
  <c r="J35" i="26" s="1"/>
  <c r="J36" i="26" s="1"/>
  <c r="J37" i="26" s="1"/>
  <c r="J38" i="26" s="1"/>
  <c r="J39" i="26" s="1"/>
  <c r="J40" i="26" s="1"/>
  <c r="J41" i="26" s="1"/>
  <c r="J42" i="26" s="1"/>
  <c r="J43" i="26" s="1"/>
  <c r="J44" i="26" s="1"/>
  <c r="J45" i="26" s="1"/>
  <c r="J46" i="26" s="1"/>
  <c r="J47" i="26" s="1"/>
  <c r="J48" i="26" s="1"/>
  <c r="J49" i="26" s="1"/>
  <c r="J50" i="26" s="1"/>
  <c r="J51" i="26" s="1"/>
  <c r="J52" i="26" s="1"/>
  <c r="J53" i="26" s="1"/>
  <c r="J54" i="26" s="1"/>
  <c r="J55" i="26" s="1"/>
  <c r="J56" i="26" s="1"/>
  <c r="J57" i="26" s="1"/>
  <c r="J58" i="26" s="1"/>
  <c r="J6" i="21" l="1"/>
  <c r="J7" i="21" s="1"/>
  <c r="J8" i="21" s="1"/>
  <c r="J9" i="21" s="1"/>
  <c r="J10" i="21" s="1"/>
  <c r="J11" i="21" s="1"/>
  <c r="J12" i="21" s="1"/>
  <c r="J13" i="21" s="1"/>
  <c r="J14" i="21" s="1"/>
  <c r="J15" i="21" s="1"/>
  <c r="J16" i="21" s="1"/>
  <c r="J17" i="21" s="1"/>
  <c r="J18" i="21" s="1"/>
  <c r="J19" i="21" s="1"/>
  <c r="J20" i="21" s="1"/>
  <c r="J21" i="21" s="1"/>
  <c r="J22" i="21" s="1"/>
  <c r="J23" i="21" s="1"/>
  <c r="J24" i="21" s="1"/>
  <c r="J25" i="21" s="1"/>
  <c r="J26" i="21" s="1"/>
  <c r="J27" i="21" s="1"/>
  <c r="J28" i="21" s="1"/>
  <c r="J29" i="21" s="1"/>
  <c r="J30" i="21" s="1"/>
  <c r="J31" i="21" s="1"/>
  <c r="J32" i="21" s="1"/>
  <c r="J33" i="21" s="1"/>
  <c r="J34" i="21" s="1"/>
  <c r="J35" i="21" s="1"/>
  <c r="J36" i="21" s="1"/>
  <c r="J37" i="21" s="1"/>
  <c r="J38" i="21" s="1"/>
  <c r="J39" i="21" s="1"/>
  <c r="J40" i="21" s="1"/>
  <c r="J41" i="21" s="1"/>
  <c r="J42" i="21" s="1"/>
  <c r="J43" i="21" s="1"/>
  <c r="J44" i="21" s="1"/>
  <c r="J45" i="21" s="1"/>
  <c r="J46" i="21" s="1"/>
  <c r="J47" i="21" s="1"/>
  <c r="J48" i="21" s="1"/>
  <c r="J49" i="21" s="1"/>
  <c r="J50" i="21" s="1"/>
  <c r="J51" i="21" s="1"/>
  <c r="J52" i="21" s="1"/>
  <c r="J53" i="21" s="1"/>
  <c r="J54" i="21" s="1"/>
  <c r="L89" i="21"/>
  <c r="J6" i="18" l="1"/>
  <c r="J7" i="18" s="1"/>
  <c r="J8" i="18" s="1"/>
  <c r="J9" i="18" s="1"/>
  <c r="J10" i="18" s="1"/>
  <c r="J11" i="18" s="1"/>
  <c r="J12" i="18" s="1"/>
  <c r="J13" i="18" s="1"/>
  <c r="J14" i="18" s="1"/>
  <c r="J15" i="18" s="1"/>
  <c r="J16" i="18" s="1"/>
  <c r="J17" i="18" s="1"/>
  <c r="J18" i="18" s="1"/>
  <c r="J19" i="18" s="1"/>
  <c r="J20" i="18" s="1"/>
  <c r="J21" i="18" s="1"/>
  <c r="J22" i="18" s="1"/>
  <c r="J23" i="18" s="1"/>
  <c r="J24" i="18" s="1"/>
  <c r="J25" i="18" s="1"/>
  <c r="J26" i="18" s="1"/>
  <c r="J27" i="18" s="1"/>
  <c r="J28" i="18" s="1"/>
  <c r="J29" i="18" s="1"/>
  <c r="J30" i="18" s="1"/>
  <c r="J31" i="18" s="1"/>
  <c r="J32" i="18" s="1"/>
  <c r="J33" i="18" s="1"/>
  <c r="J34" i="18" s="1"/>
  <c r="J35" i="18" s="1"/>
  <c r="J36" i="18" s="1"/>
  <c r="J37" i="18" s="1"/>
  <c r="J38" i="18" s="1"/>
  <c r="J39" i="18" s="1"/>
  <c r="J40" i="18" s="1"/>
  <c r="J41" i="18" s="1"/>
  <c r="J42" i="18" s="1"/>
  <c r="J43" i="18" s="1"/>
  <c r="J44" i="18" s="1"/>
  <c r="J45" i="18" s="1"/>
  <c r="J46" i="18" s="1"/>
  <c r="J47" i="18" s="1"/>
  <c r="J48" i="18" s="1"/>
  <c r="J49" i="18" s="1"/>
  <c r="J50" i="18" s="1"/>
  <c r="J51" i="18" s="1"/>
  <c r="J52" i="18" s="1"/>
  <c r="J53" i="18" s="1"/>
  <c r="J54" i="18" s="1"/>
  <c r="K6" i="18"/>
  <c r="K7" i="18" s="1"/>
  <c r="K8" i="18" s="1"/>
  <c r="K9" i="18" s="1"/>
  <c r="K10" i="18" s="1"/>
  <c r="K11" i="18" s="1"/>
  <c r="K12" i="18" s="1"/>
  <c r="K13" i="18" s="1"/>
  <c r="K14" i="18" s="1"/>
  <c r="K15" i="18" s="1"/>
  <c r="K16" i="18" s="1"/>
  <c r="K17" i="18" s="1"/>
  <c r="K18" i="18" s="1"/>
  <c r="K19" i="18" s="1"/>
  <c r="K20" i="18" s="1"/>
  <c r="K21" i="18" s="1"/>
  <c r="K22" i="18" s="1"/>
  <c r="K23" i="18" s="1"/>
  <c r="K24" i="18" s="1"/>
  <c r="K25" i="18" s="1"/>
  <c r="K26" i="18" s="1"/>
  <c r="K27" i="18" s="1"/>
  <c r="K28" i="18" s="1"/>
  <c r="K29" i="18" s="1"/>
  <c r="K30" i="18" s="1"/>
  <c r="K31" i="18" s="1"/>
  <c r="K32" i="18" s="1"/>
  <c r="K33" i="18" s="1"/>
  <c r="K34" i="18" s="1"/>
  <c r="K35" i="18" s="1"/>
  <c r="K36" i="18" s="1"/>
  <c r="K37" i="18" s="1"/>
  <c r="K38" i="18" s="1"/>
  <c r="K39" i="18" s="1"/>
  <c r="K40" i="18" s="1"/>
  <c r="K41" i="18" s="1"/>
  <c r="K42" i="18" s="1"/>
  <c r="K43" i="18" s="1"/>
  <c r="K44" i="18" s="1"/>
  <c r="K45" i="18" s="1"/>
  <c r="K46" i="18" s="1"/>
  <c r="K47" i="18" s="1"/>
  <c r="K48" i="18" s="1"/>
  <c r="K49" i="18" s="1"/>
  <c r="K50" i="18" s="1"/>
  <c r="K51" i="18" s="1"/>
  <c r="K52" i="18" s="1"/>
  <c r="K53" i="18" s="1"/>
  <c r="K54" i="18" s="1"/>
  <c r="K59" i="18" s="1"/>
  <c r="K60" i="18" s="1"/>
  <c r="K61" i="18" s="1"/>
  <c r="K62" i="18" s="1"/>
  <c r="K63" i="18" s="1"/>
  <c r="K64" i="18" s="1"/>
  <c r="K65" i="18" s="1"/>
  <c r="K66" i="18" s="1"/>
  <c r="K67" i="18" s="1"/>
  <c r="K68" i="18" s="1"/>
  <c r="K69" i="18" s="1"/>
  <c r="K70" i="18" s="1"/>
  <c r="K71" i="18" s="1"/>
  <c r="K72" i="18" s="1"/>
  <c r="K73" i="18" s="1"/>
  <c r="K74" i="18" s="1"/>
  <c r="K75" i="18" s="1"/>
  <c r="K76" i="18" s="1"/>
  <c r="K77" i="18" s="1"/>
  <c r="K78" i="18" s="1"/>
  <c r="K79" i="18" s="1"/>
  <c r="K80" i="18" s="1"/>
  <c r="K81" i="18" s="1"/>
  <c r="K82" i="18" s="1"/>
  <c r="K83" i="18" s="1"/>
  <c r="K84" i="18" s="1"/>
  <c r="K85" i="18" s="1"/>
  <c r="K86" i="18" s="1"/>
  <c r="K87" i="18" s="1"/>
  <c r="K88" i="18" s="1"/>
  <c r="K89" i="18" s="1"/>
  <c r="K90" i="18" s="1"/>
  <c r="K91" i="18" s="1"/>
  <c r="K92" i="18" s="1"/>
  <c r="K93" i="18" s="1"/>
  <c r="K94" i="18" s="1"/>
  <c r="K95" i="18" s="1"/>
  <c r="K96" i="18" s="1"/>
  <c r="K97" i="18" s="1"/>
  <c r="K98" i="18" s="1"/>
  <c r="K99" i="18" s="1"/>
  <c r="K100" i="18" s="1"/>
  <c r="K101" i="18" s="1"/>
  <c r="K102" i="18" s="1"/>
  <c r="K103" i="18" s="1"/>
  <c r="K104" i="18" s="1"/>
  <c r="K105" i="18" s="1"/>
  <c r="K106" i="18" s="1"/>
  <c r="K107" i="18" s="1"/>
  <c r="K108" i="18" s="1"/>
  <c r="K109" i="18" s="1"/>
  <c r="N135" i="18" l="1"/>
  <c r="E19" i="16" l="1"/>
  <c r="D19" i="16"/>
  <c r="I6" i="16"/>
  <c r="I114" i="12" l="1"/>
</calcChain>
</file>

<file path=xl/sharedStrings.xml><?xml version="1.0" encoding="utf-8"?>
<sst xmlns="http://schemas.openxmlformats.org/spreadsheetml/2006/main" count="2276" uniqueCount="1352">
  <si>
    <t>TOTAL</t>
  </si>
  <si>
    <t>FECHA</t>
  </si>
  <si>
    <t>CONCEPTO</t>
  </si>
  <si>
    <t>INGRESOS</t>
  </si>
  <si>
    <t>EGRESOS</t>
  </si>
  <si>
    <t>EFECTIVO</t>
  </si>
  <si>
    <t>INGRESOS Y EGRESOS DEL MES DE ABRIL/16</t>
  </si>
  <si>
    <t>Electropura, S. de R.L. de C.V. compra de 3 garrafones de agua</t>
  </si>
  <si>
    <t>CAJA</t>
  </si>
  <si>
    <t>BANCO</t>
  </si>
  <si>
    <t>INICIO DE AÑO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</si>
  <si>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</si>
  <si>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</si>
  <si>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</si>
  <si>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</si>
  <si>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</si>
  <si>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</si>
  <si>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</si>
  <si>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</si>
  <si>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</si>
  <si>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</si>
  <si>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</si>
  <si>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</si>
  <si>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SUMA</t>
  </si>
  <si>
    <t>EGRESO</t>
  </si>
  <si>
    <t>CHEQUE</t>
  </si>
  <si>
    <t>HOJA   1</t>
  </si>
  <si>
    <t>ING. CHEQ.</t>
  </si>
  <si>
    <t>EGRE CHEQ.</t>
  </si>
  <si>
    <t>SUMA ING</t>
  </si>
  <si>
    <t>SUMA EGRE</t>
  </si>
  <si>
    <t>DEFICIT/</t>
  </si>
  <si>
    <t>SUPERAVIT</t>
  </si>
  <si>
    <t>EN ESTE MES NO SE REFLEJA DEFICIT EN VIRTUD DE</t>
  </si>
  <si>
    <t xml:space="preserve">QUE SE TUVIERON INGRESOS EXTRAORDINARIOS </t>
  </si>
  <si>
    <t>CON LA VENTA DE TARJETONES.       DE NO HABER</t>
  </si>
  <si>
    <t>TENIDO ESTA VENTA EL DEFICIT HUBIERA SIDO DE</t>
  </si>
  <si>
    <t xml:space="preserve">                            ANALISIS COMPARATIVO ENTRE LOS INGRESOS Y LOS EGRESOS EN EL PRESENTE AÑO </t>
  </si>
  <si>
    <t>Cadena Comercial Oxxo, S.A. de C.V., compra de refrescos para vigilancia</t>
  </si>
  <si>
    <t>Electropura, S. de R.L. de C.V., compra de 8 garrafones de agua</t>
  </si>
  <si>
    <t>Advanced Servicio CCTV y Cómputo, pago de 1 respaldo de video</t>
  </si>
  <si>
    <t>Pedro Bazzan, pago por recolecciòn de basura fin de semana</t>
  </si>
  <si>
    <t>Pedro Bazzan, pago por recolecciòn de basura en fin de semana</t>
  </si>
  <si>
    <t>Pedro Bazzan, pago por recolección de basura en fin de semana</t>
  </si>
  <si>
    <t>Estacionamiento, visita a contador Siegrist</t>
  </si>
  <si>
    <t>ENERO  2017</t>
  </si>
  <si>
    <t>Saldo del mes de Diciembre</t>
  </si>
  <si>
    <t>Cadena Comercial Oxxo, S.A. de C.V. compra de café y refrescos  mesa de cobranza y vigilan</t>
  </si>
  <si>
    <t xml:space="preserve">Pedro Bazzan, pago por recolecciòn de pasto </t>
  </si>
  <si>
    <t>Entrega a Grisela Peralta cobranza del primer domingo de enero/17</t>
  </si>
  <si>
    <t>Entrega a Grisela Peralta cobranza del segundo domingo de enero/17</t>
  </si>
  <si>
    <t>Electropura, S. de R.L. de C.V., compra de 10 garrarafones de agua</t>
  </si>
  <si>
    <t>Office Depot de Mèxico, S.A. de C.V., compra de papaelerìa para Tesoreria</t>
  </si>
  <si>
    <t>Italcafe, S.A. de C.V., desayuno de mesa directiva</t>
  </si>
  <si>
    <t>Estacionamiento Cuemanco, pago de estacionamiento junta directiva</t>
  </si>
  <si>
    <t>Estacionamiento Cuemanco, pago de estacionamiento compra de papelerìa</t>
  </si>
  <si>
    <t>Advanced Servicio CCTV y Còmputo, compra de 30 portatarjetas llaves fraccionamiento</t>
  </si>
  <si>
    <t>Advanced Servicio CCTV y Còmputo, pago de 1 disco duro en DVR comfiguraciòn y programa</t>
  </si>
  <si>
    <t>Advanced Servicio CCTV y Còmputo, compra de 1 disco duro thosiba capacidad 1000 G</t>
  </si>
  <si>
    <t>Nueva Walmart de Mèxico, S de R.L. de C.V. compra de rosca de reyes para vigilancia</t>
  </si>
  <si>
    <t>Telefonos de Mèxico, S.A.B. de C.V. pago telefono de diciembre/17</t>
  </si>
  <si>
    <t>Ing. Jorge Vàzquez, compra de pila para control remoto de pluma de de caseta zinampa</t>
  </si>
  <si>
    <t>Advanced Servicio CCTV y Còmputo, compra de 1 fuente para DVR H264 1 Voltios</t>
  </si>
  <si>
    <t>Advanced Servicio CCTV y Còmputo, pago mano de obra en instalaciòn de disco duro en DV</t>
  </si>
  <si>
    <t>Luis Hernàndez, pago por arreglo de resbaladilla en parque del fraccionamiento</t>
  </si>
  <si>
    <t>Luis Hernàndez, pago por arreglo de puertas peatonales de LD, UP y CL en mal estado</t>
  </si>
  <si>
    <t>Advanced Servicio CCTV y Còmputo, pago de mano de obra en pluma de salida mantenim</t>
  </si>
  <si>
    <t>Roberto Miranda, pago por recolecciòn de pasto</t>
  </si>
  <si>
    <t>Gloria Mazzòn, pago por captura de datos del 02 al 06 de enero/17</t>
  </si>
  <si>
    <t>Asunciòn Gama, compra de refresco vigilancia</t>
  </si>
  <si>
    <t>Constantino Cabrera, pago por poda de pasto del fracc del 03 al 07 de enero/17</t>
  </si>
  <si>
    <t>Asunciòn Gama, compra de tortillas para vigilancia</t>
  </si>
  <si>
    <t>Pedro Bazzan, pago por recolecciòn de pasto podado en la semana</t>
  </si>
  <si>
    <t>Ferre Elèctrica Dìaz, Compra de 2 focos para caseta de zinampa</t>
  </si>
  <si>
    <t>Servicio Rodasa, S.A. de C.V. pago de gasolina presidencia compras varias</t>
  </si>
  <si>
    <t>Asunciòn Gama, pago en apoyo extraordinaro en investiga a vecinos problemas ambulan</t>
  </si>
  <si>
    <t>Olegario Gama, pago en apoyo de recorte y poda de àrboles en Romeral que tapan cama</t>
  </si>
  <si>
    <t>Advanced Servicio CCTV y Còmputo, pago mano de obra realizaciòn 1 respaldo en video</t>
  </si>
  <si>
    <t>Advanced Servicio CCTV y Còmputo, compra de una bobina cabel UTP  camaras Landero</t>
  </si>
  <si>
    <t>Advanced Servicio CCTV y Còmputo, compra de un disco duro de 1000 G para Landero</t>
  </si>
  <si>
    <t>Sistema de Còmputo, pago por ediciòn y carga de datos en sistema de credenciales</t>
  </si>
  <si>
    <t>Juan Sànchez, pago por quitar todos los adornos del kiosco y guarlarlos</t>
  </si>
  <si>
    <t>Guardìaz y Custodìas Gama, pago de la 1er quincena de enero/17</t>
  </si>
  <si>
    <t>Grisela Peralta Portugal, pago de la 1er quincena de enero/17</t>
  </si>
  <si>
    <t>Camiòn Basura, pago por recolecciòn de basura Recoveco y desechos de tierra y vidrio</t>
  </si>
  <si>
    <t>Luis Hernàndez, Pago por arreglar reja de Estopila y riel de lado derecho</t>
  </si>
  <si>
    <t>Office Depot de Mèxico, S.A. de C.V., pago de enmicado de 3 credenciales pesonal de serv</t>
  </si>
  <si>
    <t>Gloria Mazzòn, pago por captura de datos del 09 al 13 de enero/17</t>
  </si>
  <si>
    <t xml:space="preserve">Sistema de Còmputo, pago por elaboraciòn de 3 credenciales </t>
  </si>
  <si>
    <t>Constantino Cabrera, compra de materiales para poda de parque</t>
  </si>
  <si>
    <t>Constantino cabrera, pago por poda de pasto del fracc del 10 al 14 de enero/17</t>
  </si>
  <si>
    <t>Pedro Bazzan, pago por recolecciòn de basura en todo el fracc de lunes a viernes 1er quin</t>
  </si>
  <si>
    <t>Roberto Miranda, pago por barrer todo el fraccionamiento 1er quincena</t>
  </si>
  <si>
    <t>Jose Asunciòn Jimenez, pago por varios trabajos realizados en todo el fraccionamiento</t>
  </si>
  <si>
    <t>Advanced Servicio CCTV y Còmputo, compra de maletìn para cobranza</t>
  </si>
  <si>
    <t>Advanced Servicio CCTV y Còmputo, compra de 10 portatarjetas</t>
  </si>
  <si>
    <t>Office Depot de Mèxico, S.A. de C.V. compra de cartuchos para tesoreria</t>
  </si>
  <si>
    <t>Papelerìa Colibrì, compra de hojas oficio para reporte financiero a mesa directiva</t>
  </si>
  <si>
    <t>Advanced Servicio CCTV y Còmputo,  pago  de 1 reslado de video cuchilla-estopila</t>
  </si>
  <si>
    <t>Entrega a Grisela Peralta, cobranza del domingo 15 de enero/17</t>
  </si>
  <si>
    <t>Cadena Comercial Oxxo, S.A. de C.V. compra de material de limpieza para casetas</t>
  </si>
  <si>
    <t>Sabine Perèz, pago de comida para personal delegaciòn que puso letreros de no tirar bas</t>
  </si>
  <si>
    <t>Estacionamiento, pago de estacionamiento para visita al contador Siegrist</t>
  </si>
  <si>
    <t>SAT Servicio de Administración Tributaria, pago de mes de enero/17 cheque #69</t>
  </si>
  <si>
    <t>Siegrist Contadores Publicos, pago de honorarios del mes enero/17 cheque #68</t>
  </si>
  <si>
    <t>Israel Galan Quintin, pago de 30 llaves de seguridad</t>
  </si>
  <si>
    <t>Servicio Rodasa, S.A. de C.V. pago de gasolina presidencia visita a contador Siegrist</t>
  </si>
  <si>
    <t>Centro de Copiado y Papelerìa, compra de 2 lapiz y 10 folders presidencia</t>
  </si>
  <si>
    <t>Tiendita, compra de botanans para vigilancia</t>
  </si>
  <si>
    <t>Centro de Copiado y Papelerìa, pago de 2,334 copias para reporte anual a todo el fraccion</t>
  </si>
  <si>
    <t>Jovenes del fraccionamiento, compensaciòn por entregar a todo el fraccionamiento report</t>
  </si>
  <si>
    <t>Delegaciòn, compra de refrescos para personal banquetas</t>
  </si>
  <si>
    <t xml:space="preserve">Camiòn Basura, pago por llevarse cascajo frente a cuchilla </t>
  </si>
  <si>
    <t>Ing. Jorge Vàzquez, compra de 1 computadora para presidencia</t>
  </si>
  <si>
    <t>Advanced Serviciio CCTV  y Còmputo, compra de 1 centro de metal reparaciòn plucla de acc</t>
  </si>
  <si>
    <t>Papelerìa Colibrì, compra de sobres de plastico</t>
  </si>
  <si>
    <t>El Globo, tradiciòn en pastelerìas, S.A. de C.V., junta mesa directiva</t>
  </si>
  <si>
    <t>Gloria Mazzòn, pago por captura de datos del 16 al 20 de enero/17</t>
  </si>
  <si>
    <t>Pedro Bazzan, pago por recolección de pasto jueves y viernes</t>
  </si>
  <si>
    <t>Imagen Publicitaría, pago de 1000 recibos c/copia de cobranza</t>
  </si>
  <si>
    <t>Advanced Servicio CCTV y Còmputo, pago por reparaciòn de pluma de salida</t>
  </si>
  <si>
    <t>Advanced Servicio CCTV y Còmputo, pago por desbloque y bloqueo de tarjetas de base dat</t>
  </si>
  <si>
    <t>Advanced Servicio CCTV y Còmputo, pago por instalaciòn de antivirus para presidencia</t>
  </si>
  <si>
    <t>Advanced Servicio CCTV y Cómputo, compra de 1 paquete para 3 equipo de antivirus</t>
  </si>
  <si>
    <t>Deposito Colegio Carmel pago mantenimiento enero/17</t>
  </si>
  <si>
    <t>Constantino Cabrera, pago po poda pasto parque fracc del 17 al 21 de enero/17</t>
  </si>
  <si>
    <t>Nueva Walmart de México, S. de R.L. de C.V. compra de banco para caseta CL/EP</t>
  </si>
  <si>
    <t>Estacionamiento Cuemanco, compra de banco</t>
  </si>
  <si>
    <t>Nueva Walmart de México, s. de R.L. de C.V., compra de carpeta para archivo presidencia</t>
  </si>
  <si>
    <t>Cadena Comercial Oxxo, S.A. de C.V. compra de refrescos para mesa de cobranza domingo</t>
  </si>
  <si>
    <t>Pedro Bazzan, recolección de  basura fin de semana de todo el fraccionameito</t>
  </si>
  <si>
    <t>Gloria Mazzón, pago en apoyo a cobranza domingo 22 de enero/17</t>
  </si>
  <si>
    <t>Cadena Comercial Oxxo, S.A. de C.V., compra de refrescos junta vigilancia y mesa directiva</t>
  </si>
  <si>
    <t>Advanced Servicio CCTV y Cómputo, compra de 5 carcasas para camaras del fraccionamien</t>
  </si>
  <si>
    <t>Entrega a Grisela Peralta cobranza del 4to domingo de enero/17</t>
  </si>
  <si>
    <t>Cadena Comercial Oxxo, S.A. de C.V. compra de refrescos junta mesa directiva y vigilancia</t>
  </si>
  <si>
    <t>Distribuidora El Bollo Cafetales, S.A. de C.V. evento de gama, vigilancia</t>
  </si>
  <si>
    <t>Jose Asunción Jimenez, compensación en apoyo a recoger troncos del parque</t>
  </si>
  <si>
    <t>Roberto Miranda pago por recoger troncos del paque del fraccionamiento</t>
  </si>
  <si>
    <t>Personal Delegación, compra de refrescos personal arreglo de banquetas</t>
  </si>
  <si>
    <t>Grupo Amigos de San Angel , S.A. de C.V., desayuno de mesa directiva con comité de vigila</t>
  </si>
  <si>
    <t>Personal Delegación, compensación en apoyo a tabar varios hoyos en fraccionameintos</t>
  </si>
  <si>
    <t>Sistemeas de Cómputo, pago por captura y enmicado de credenciales programa personal s</t>
  </si>
  <si>
    <t>Office Depot de México, S.A. de C.V. compra de pape, boligrafos y enmicado de credencial</t>
  </si>
  <si>
    <t>Manuel Gama, compra de agua para casetas</t>
  </si>
  <si>
    <t>Padre David, aportación voluntaria de mesa directiva, misa de difunto apoyo vecino</t>
  </si>
  <si>
    <t>Gloria Mazzón, pago por captura de datos del 23 al 27 de enero/17</t>
  </si>
  <si>
    <t>Guardìas y Custodìas Gama, pago A/C de la 2da quincena de enero/17</t>
  </si>
  <si>
    <t>Guardías y Custodoías Gama, pago LIQ de la 2da. Quincena de enero/17</t>
  </si>
  <si>
    <t>Grisela Peralta, pago de la 2da. Quincena de enero/17</t>
  </si>
  <si>
    <t>Benotto, S.A. de C.V., compra de 1 tapòn de camara poara bicicleta de vigilancia</t>
  </si>
  <si>
    <t>Constantino Cabrera, pago por poda pasto parque fracc del 24 al 28 enero/17</t>
  </si>
  <si>
    <t>Servicio Robledo, S.A. de C.V., gasolina para presidencia para varias visitas</t>
  </si>
  <si>
    <t>Pedro Bazzan, pago por recolecciòn de basura de pasto en parque podado en la semana</t>
  </si>
  <si>
    <t>Electricista, pago por reconecciòn cable en kiosco en parte interna</t>
  </si>
  <si>
    <t>Gloria Mazzòn pago en apoyo cobranza domingo 29 enero/17</t>
  </si>
  <si>
    <t>Electropura, S. de R.L. de C.V., compra de 8 garrarafones de agua</t>
  </si>
  <si>
    <t>Patrulla 007, compensaciòn en apoyo en terreno Estanzuela problemática 2 dueños</t>
  </si>
  <si>
    <t>Jose Asunciòn Jimenez, compesaciòn en entrega de algunas credenciales al fraccionam</t>
  </si>
  <si>
    <t>Cuadrilla Delegaciòn alumbrado, compensaciòn en apoyo alumbrado parque</t>
  </si>
  <si>
    <t>Roberto Miranda, pago por barrer todo el fraccionamiento 2da quincena enero/17</t>
  </si>
  <si>
    <t>Pedro Bazzan, pago por recolecciòn basura todo fracc de lunes a viernes 2da quincena</t>
  </si>
  <si>
    <t>Telefonos de Mèxico, S.A.B. de C.V. pago telefono de enero/17</t>
  </si>
  <si>
    <t>Fantacias Miguel, compra de 1 tablero para credenciales de personal de limpieza fracc</t>
  </si>
  <si>
    <t>Operadora Central de Estacionamiento SAPI de C.V. compra de tablero</t>
  </si>
  <si>
    <t>Entrega a Grisela Peralta del 5to. Domingo de enero/17</t>
  </si>
  <si>
    <t>Entrega a Grisela Peralta cobranza 4to. Domingo de enero/17</t>
  </si>
  <si>
    <t>Deposito UP_46 Fam. Fuentes pago mes de enero</t>
  </si>
  <si>
    <t>Deposito CL_29 Fam. Vega Sanchez V. pago mes de jul/ago/sep/16</t>
  </si>
  <si>
    <t>Deposito EZ_15 Fam. Gonzalez pago mes de dic/16 y ene/17</t>
  </si>
  <si>
    <t xml:space="preserve">Comisión cheq. Exped. </t>
  </si>
  <si>
    <t>I.V.A. de comisión cheq. Exped.</t>
  </si>
  <si>
    <t>INGRESOS Y EGRESOS DEL MES DE MARZO/17</t>
  </si>
  <si>
    <t>Saldo del mes de febrero/17</t>
  </si>
  <si>
    <t>FEBRERO    2017</t>
  </si>
  <si>
    <t>Saldo del mes de Enero/17</t>
  </si>
  <si>
    <t>JB Estacionamiento S.A. de C.V. , asistencia a registro Pùblico de la propiedad</t>
  </si>
  <si>
    <t>Operadora Vips S. de R.L. de C.V. comida mesa directiva por asistencia registro Pùblico</t>
  </si>
  <si>
    <t>Consorcio Gasolinero Plus, S.A. de C.V. Gasolina Presidencia para visita al Registro Pùblico</t>
  </si>
  <si>
    <t>Sr. Noe Tamales, compra de tamales tradiciòn de 2 de febrero con personal viligancia y mesa</t>
  </si>
  <si>
    <t>Josè Aunciòn, compensaciòn por organizaciòn de llaves puertas de todo el fraccionamiento</t>
  </si>
  <si>
    <t>Pedro Bazzan, pago por recolecciòn de basura de madera y troncos que faltaron el en parque</t>
  </si>
  <si>
    <t>Josè Asunciòn, compensaciòn en limpieza de caseta de RV y sus alrederoes</t>
  </si>
  <si>
    <t>Office Depot de Mèxico, S.A. de C.V. compra de papelerìa para tesorerìa</t>
  </si>
  <si>
    <t>Office Depot de Mèxico, S.A. de C.V. compra de papelerìa para presidencia</t>
  </si>
  <si>
    <t>Patrulla 007, compesaciòn en apoyo a patrullaje y rondines en colonia por noche parque sin luz</t>
  </si>
  <si>
    <t>Office Depot de Mèxico, S.A. de C.V., compra de impresora para presidencia</t>
  </si>
  <si>
    <t>Personal Delegaciòn, compensaciòn en repraciòn y cambio de regulador en parque cable nuevo</t>
  </si>
  <si>
    <t>Gestor, por asesorìa en visitar Registro Pùblico de la Propiedad, terreno EZ esq. RV</t>
  </si>
  <si>
    <t>Advanced Servicio CCTV y Còmputo, compra de 5 camaras AD Tecnologìa</t>
  </si>
  <si>
    <t>Niño Dios del fraccionamiento, compra de vestimenta y canasta</t>
  </si>
  <si>
    <t>Roberto Miranda, pago por ayuda en recolecciòn de ramas y troncos y llevarselo al camiòn</t>
  </si>
  <si>
    <t>Gloria Mazzòn, pago de honorarios por captura de recibos y los egresos del 30 ene al 03 feb/17</t>
  </si>
  <si>
    <t>Olegariò Vàzquez, pago por quitar todo los leteros de la colonia y por fuera de fraccionamiento</t>
  </si>
  <si>
    <t>Constantino Cabrera, pago por poda de pasto del parque del 31 enero al 04 febrero/17</t>
  </si>
  <si>
    <t>Patrulla 007, compensaciòn por llevar a vecinos a juez civico por problema de estacionamiento</t>
  </si>
  <si>
    <t>Cadena Comercial Oxxo, S.A. de C.V. compra de café y agua para mesa de cobranza y vigilancia</t>
  </si>
  <si>
    <t>Patrulla 007, compensaciòn en apoyo de rondines en parque por no haber luz</t>
  </si>
  <si>
    <t>Electropura, S. de R.L. de C.V. compra de 10 garrafones para casetas</t>
  </si>
  <si>
    <t>Cadena Comercial Oxxo, S.A. de C.V., compra de 1 garrafon de agua</t>
  </si>
  <si>
    <t>Cadena Comercial Oxxo, S.A. de C.V. compra de materiales de limpieza para casetas</t>
  </si>
  <si>
    <t>Gloria Mazzòn, pago en apoyo de cobranza domingo 05 de febrero/17</t>
  </si>
  <si>
    <t>Josè Manuel Olivera, compensaciòn en quitar y poda de pasto en caseta de Romeral</t>
  </si>
  <si>
    <t>Constantino Cabrera, compensaciòn programa por corte de tocones</t>
  </si>
  <si>
    <t>Guardìas y Custodìas Gama, pago a/c de la primer quincena de febrero/17</t>
  </si>
  <si>
    <t>Secretarìa de Marina, pago de gasolina para presidencia asuntos varios</t>
  </si>
  <si>
    <t xml:space="preserve">Tienda, compra de café para mesa directiva asunto de cepelio de un familiar </t>
  </si>
  <si>
    <t>Padre David, compensaciòn por oficiar misa a familiar de integrante de mesa directiva</t>
  </si>
  <si>
    <t xml:space="preserve">Florerìa Alex, compra de arreglo florar </t>
  </si>
  <si>
    <t>Luis Hernàndez, pago por reparaciòn chapa EP y desarmar y cambiar pieza en puertaEZ</t>
  </si>
  <si>
    <t xml:space="preserve">Pedro Bazzan, pago por recolección de pasto de martes a jueves y sabado </t>
  </si>
  <si>
    <t>Registro Público de la Propiedad, gestión del lote EZ esq. RV 160 m2</t>
  </si>
  <si>
    <t>Registro Público de la Propiedad, gestión del lote EZ esq. RV 355 m2</t>
  </si>
  <si>
    <t>Gloria Mazzón, pago por honorarios, trabajos captura de recibos y egresos 06 al 10 de feb/17</t>
  </si>
  <si>
    <t>Gestor, pago por tener derechos para obtener constancia del inmueble EZ esq. RV</t>
  </si>
  <si>
    <t>Advanced Servicio CCTV y Cómputo, compra 5 eliminadores, 10 transeptores y 5 plug invertido</t>
  </si>
  <si>
    <t>Constantino Cabrera, pago por concepto de poda de pasto del 07 al 11 de febrero/17</t>
  </si>
  <si>
    <t>Manuel Olivares, compra de jabón, cloro, escoba y pino material de limpieza para casetas</t>
  </si>
  <si>
    <t>Pedro Bazzan, pago por recolección de basura fines de semana</t>
  </si>
  <si>
    <t>Cadena Comercial Oxxo, S.A. de C.V.,  compra de refrescos para junta de mesa directiva</t>
  </si>
  <si>
    <t>Electropura, S. de R.L. de C.V. compra de 2 garrafones de agua</t>
  </si>
  <si>
    <t>Electropura, S. de R.L. de C.V., compra de 10 grarrafones de agua</t>
  </si>
  <si>
    <t>Ing. Jorge Vàzquez, compra de 2 botes de aire mercurio plus, para camaras y lectorres CL</t>
  </si>
  <si>
    <t>Cuadrilla Delegaciòn, pago por apoyo en arreglar luz en CL y trabajo urgente en RV</t>
  </si>
  <si>
    <t>Cuadrilla Delegaciòn, compra de refrescos para cuadrilla que arreglaron fuga de agua ZB</t>
  </si>
  <si>
    <t>Ing. Jorge Vàzquez, compra de 2 bolsas de sujetadores y 10 abrazaderas para postes coloc cama</t>
  </si>
  <si>
    <t>Pastelerìa Bodon, SA. De C.V., compra de paletas para vecinos por el dìa 14 de febrero</t>
  </si>
  <si>
    <t>Cadena Comercial Oxxo, S.A. de C.V. compra de agua para caseta de Romeral</t>
  </si>
  <si>
    <t>Cadena Comercial Oxxo, S.A. de C.V., compra de refrescos para cuadrilla que arreglo fuga agua</t>
  </si>
  <si>
    <t>Entrega a Grisela Peralta Cobranza 2do. Domigo febrero/17</t>
  </si>
  <si>
    <t>Grisela Peralta Portugal, pago de la primer quincena del mes de febrero</t>
  </si>
  <si>
    <t>Roberto Miranda, pago por barrer todo el fraccionamiento de lunes a viernes 1er quincena</t>
  </si>
  <si>
    <t>Pedro Bazzan, pago por recolección de basura en todo el fracc. De lunes a viernes 1er quincena</t>
  </si>
  <si>
    <t>Materiales y Tlapalería La Palma, pago de 1 juego de llaves para plumas de Zinampa</t>
  </si>
  <si>
    <t>Entrega a Grisela Peralta Cobranza 1er domingo febrero/17</t>
  </si>
  <si>
    <t>Cuadrilla Delegación en apoyo arreglo luz del parque cambio de cable</t>
  </si>
  <si>
    <t>Ing. Jorge Vázquz, compra de herramienta para arreglo de pluma que derribo vecino EZ 61</t>
  </si>
  <si>
    <t xml:space="preserve">Roberto Arambula, compensación en apoyo de quedarse mas tiempo extra ayuda raparación </t>
  </si>
  <si>
    <t>Advanced Servicio CCTV y Cómputo, pago por reparación y ajuste de pluma subida y bajada</t>
  </si>
  <si>
    <t>Advanced Servicio CCTV y Cómputo, compra de 1 eliinador AV 2 amp</t>
  </si>
  <si>
    <t>Manuel Olivares, apoyo en resane de hoyo en ZB y apoyo en dos eventos vecinos revoltosos</t>
  </si>
  <si>
    <t>Electropura, S. de R.L. de C.V. pago de 10 garrafones</t>
  </si>
  <si>
    <t>Gloria Mazzón, pago honorarios por cpatura de recibos y egresos del 12 al 17 de feb/17</t>
  </si>
  <si>
    <t>Constantino Cabrera, pago por poda de pasto del parque del 14 al 18 de  febrero/17</t>
  </si>
  <si>
    <t>Abasecedora del Jardin, compra de soplador y desmalezadora para poda del jardin fraccionam</t>
  </si>
  <si>
    <t>Cesar Armando, compra de cemento para bache en Upacuaro</t>
  </si>
  <si>
    <t>Daniel Gama, compensación en apoyo pasaje turno que doblo</t>
  </si>
  <si>
    <t>Jose Asunción Dominguez, compensación en apoyo reparar la pluma de Zinampa</t>
  </si>
  <si>
    <t>Advanced Servicio CCTV y Cómputo, pago de 2 respados de video acontecimiento UP 103</t>
  </si>
  <si>
    <t>Ing. Jorge Vázquez, compra de alimentos por estar todo 1 día en video de UP 103</t>
  </si>
  <si>
    <t>Cadena Comercial Oxxo, S.A de C.V. compra de café y refrescos mesa de cobranza domingos</t>
  </si>
  <si>
    <t>Pedro Bazzan, pago por recolección de pasto martes, jueves y sabado</t>
  </si>
  <si>
    <t>Tienda, compra de café y tortas para vigilancia junta con el colegio carmel</t>
  </si>
  <si>
    <t>Administradora Auriga, S.A. de C.V. gasolina para presidencia eventos varios</t>
  </si>
  <si>
    <t>Estacionamiento, pago de estacionamiento visita Contador Siegrist</t>
  </si>
  <si>
    <t>Empresas Myah, S.A. de C.V.compra de galletas para junta contador Siegrist</t>
  </si>
  <si>
    <t>Materiales y Tlapalería La Palma, compra de 15 m de piola para de miercoles de ceniza</t>
  </si>
  <si>
    <t>Tlapalería, compra de manija de wc y sapito wc caseta Romeral</t>
  </si>
  <si>
    <t>Entrega a Grisela Peralta cobranza del 3er domingo febrero/17</t>
  </si>
  <si>
    <t>Siegrist Contadores Publicos, pago de honorarios del mes febrero/17 cheque #68</t>
  </si>
  <si>
    <t>SAT Servicio de Administración Tributaria, pago de mes de febrero/17 cheque #69</t>
  </si>
  <si>
    <t>Centro de Copiado y Papelería, pago de 910 copias para informe al fraccionamiento</t>
  </si>
  <si>
    <t>Centro de Copiado y Papelería, compra de corrector para presidencia</t>
  </si>
  <si>
    <t>Cuadrilla Delegación, pago de comida para personal de dragado y desasolve</t>
  </si>
  <si>
    <t>Advanced Servicio CCTV y Cómputo, pago por reparación de pluma de entrada</t>
  </si>
  <si>
    <t>Luis Hernández, pago por mantenimiento de 2 chapas y una descompuesta en Estopila y Estanz</t>
  </si>
  <si>
    <t>Sistemas de Cómputo, pago por captura de datos en sistema y enmicado de credenciales</t>
  </si>
  <si>
    <t>Grupo Modelo, S.A.B. de C.V. compra de refrescos para junta presidencia con comité vecinal</t>
  </si>
  <si>
    <t>Ferretería, compra de herramientas para fraccionamiento</t>
  </si>
  <si>
    <t>Herramientas Automotrices, copra de herramientas para fraccionamiento</t>
  </si>
  <si>
    <t>Office Depot de México, S.A. de C.V. pago de enmicados de credenciales personal de servicio frac</t>
  </si>
  <si>
    <t>Sabina Pérez,, pago de 6 coidas para trabajadores delegación desasolve en Estanzuela</t>
  </si>
  <si>
    <t>Paco Bicis, compra de rin trasero para bicicleta de rondines del fraccionamiento</t>
  </si>
  <si>
    <t>Asunción Gama, compensación en apoyo por arreglo del kiosco guardar todos los adornos</t>
  </si>
  <si>
    <t xml:space="preserve">Asunción Gama, compensación en apoyo por lavar y limiar todo el kisoco para actividades </t>
  </si>
  <si>
    <t>Roberto Miranda, pago por recolección de desechos que dejo la CFE</t>
  </si>
  <si>
    <t>Manuel Olivares, compra de materiales de limpieza para casetas</t>
  </si>
  <si>
    <t>Advanced Servicio CCTV y Cómputo, compra de 1 monitor Sony para circuito de Landero</t>
  </si>
  <si>
    <t>Papelería, compra de cajas de archivo muerto tesoreria</t>
  </si>
  <si>
    <t>Advanced Servicio CCTV y Cómputo, compra de material para limpieza de camaras</t>
  </si>
  <si>
    <t>Advanced Servicio CCTV y Cómputo, pago de mano de obra en platos</t>
  </si>
  <si>
    <t>Advanced Servicio CCTV y Cómputo, pago por conectar tipo canon</t>
  </si>
  <si>
    <t>Sabina Pérez, pago de comida para personal de vigilancia que estuvo pediente noche colonial</t>
  </si>
  <si>
    <t>Gloria Mazzón Soto, pago de honorarios, por cptura de recibos y egresos, del 20 al 4 de feb/17</t>
  </si>
  <si>
    <t>Office Depot de México, S.A. de C.V. compra de cajas para archivo muerto de Tesorería</t>
  </si>
  <si>
    <t>Constantino Cabrera, pago por poda de pasto del parque del 21 al 25 de febrero/17</t>
  </si>
  <si>
    <t>Sabina Pérez, pago de cena para personal de vigilancia que estubo al pendiente todo el tiempo</t>
  </si>
  <si>
    <t>Office Depot de México, S.A. de C.V. enmicado de credenciales para personal de servicio frac.</t>
  </si>
  <si>
    <t xml:space="preserve">Pedro Bazzan, pago por recolección de basura fin de semana </t>
  </si>
  <si>
    <t>Pedro Bazzan, pago por recolección de pasto podado el martes, jueves y sabado</t>
  </si>
  <si>
    <t>Gloria Mazzon, pago por captura adicional de lista de cuotas extraordinarias equipo de camar</t>
  </si>
  <si>
    <t>Electropura, S. de R.L. de C.V., compra de 10 garrafones de agua para casetas</t>
  </si>
  <si>
    <t>Estacionamiento Galerías Coapa, pago de estacionamiento busca de lockers</t>
  </si>
  <si>
    <t>Entrega a Grisela Peralta cobranza del 4to domiongo de febrero</t>
  </si>
  <si>
    <t>Entrega a Grisela Peralta cobranza del 4to domingo de cuotas extraordinarias</t>
  </si>
  <si>
    <t>Entrega a Grisela Peralta cobranza entre semana cuotas</t>
  </si>
  <si>
    <t>Pedro Bazzan, pago por recolección de basura de lunes a viernes entre semana 1er quincena</t>
  </si>
  <si>
    <t>Roberto Miranda, Pago por barrer todo el fraccionamiento de la 2da. Quincena</t>
  </si>
  <si>
    <t>Grisela Peralta Portugal, pago de la segunda quincena del mes de febrero</t>
  </si>
  <si>
    <t>Guardìas y Custodìas Gama, pago 2da quincena de febrero/17</t>
  </si>
  <si>
    <t>Guardìas y Custodìas Gama, pago liq. 1er quincena de febrero/17</t>
  </si>
  <si>
    <t>Gloria Mazzón Soto pago por concepto de apoyo en cobranza del domingo 26 de febrero</t>
  </si>
  <si>
    <t>Office Depot de México, S.A. de C.V., compra de archivero y papelelría</t>
  </si>
  <si>
    <t>Advanced Servicio CCTV y Cómputo, anticipo para compra de camaras upacuaro circuito</t>
  </si>
  <si>
    <t>Fam. Fuentes UP_46 pago transferencia bancaria del mes de febrero/17</t>
  </si>
  <si>
    <t xml:space="preserve">Fam. Sánchez Vega  CL_29 pago transferencia bancaria de oct/nov/dic/16 </t>
  </si>
  <si>
    <t>Deposito cheque colegio Carmel pago de mantenimiento mes de febrero/17</t>
  </si>
  <si>
    <t>Tlapalería y Ferretería el Hueso, compra de bola de rafia para colocar lonas</t>
  </si>
  <si>
    <t>Centro de Copiado y Papelería, pago de copias y folders para presidencia</t>
  </si>
  <si>
    <t>Electropura, S. de R.L. de C.V. compra de 10 garrafones de auga</t>
  </si>
  <si>
    <t>Advanced Servicio CCTV y Còmputo, a/c del circuito de Upacuaro</t>
  </si>
  <si>
    <t>Josè Asunciòn Dominguez, pago por arreglo de chapa de Recoveco y Estopila</t>
  </si>
  <si>
    <t>Camiòn de basura, pago por apoyo a llevarse los escombros que dejo CFE</t>
  </si>
  <si>
    <t>ES 2095 Servicio Coapa, pago de gasolina para presidencia varios asuntos fracc</t>
  </si>
  <si>
    <t>El Palacio de Hierro SA de CV desayuno mesa directiva con ingeniero de cama</t>
  </si>
  <si>
    <t>Juan Sànchez, pago por corte de pasto de Romeral en toda la banqueta</t>
  </si>
  <si>
    <t>Gloria Mazzòn, pago por captura de datos del 27 febrero al 04 de marzo/17</t>
  </si>
  <si>
    <t>Cuadrilla Delegaciòn, compensaciòn en apoyo luinarias UP y parque fracc.</t>
  </si>
  <si>
    <t>Sistema de Computo, captura y elaboracion de credenciales personal servicio</t>
  </si>
  <si>
    <t>Constantino Cabrera, pago por poda de pasto del 28 feb al 04 mar/17 fracc</t>
  </si>
  <si>
    <t>Cadena Comercial Oxxo, S.A. de C.V. compra de café y agua para mesa de cobranza</t>
  </si>
  <si>
    <t>Constantino Cabrera, compra de material para poda de pasto en el fraccionamient</t>
  </si>
  <si>
    <t>Pedro Bazzan, pago por recolecciòn de pasto martes, jueves y sabado</t>
  </si>
  <si>
    <t>Pedro Bazzan, pago por recolecciòn de basura en fin de semana en todo el fracc</t>
  </si>
  <si>
    <t>Office Depot de Mèxico, S.A. de C.V. compra de cordon para gafetes y enmicados</t>
  </si>
  <si>
    <t>Josè Asunciòn Dominguez, pago horas extras trabajadas en el fraccionamiento</t>
  </si>
  <si>
    <t>Daniel Gama, pago por quitar àrbol con espinas en parque àrea de juegos infantile</t>
  </si>
  <si>
    <t>Entrega a Grisela Peralta cobranza de cuotas extraordinarias UP camaras</t>
  </si>
  <si>
    <t>Gloria Mazzòn, pago por concepto en apoyo cobranza domingo 05 marzo/17</t>
  </si>
  <si>
    <t>Luis Hernàndez, pago por arreglo de dos chaps estanzuela y zinampa y mto RV</t>
  </si>
  <si>
    <t>Luis Hernàndez, pago por reparar reja con trabajo de soldadura de RV y ZB</t>
  </si>
  <si>
    <t>Distribuidora El Bollo Cafetales, S.A. de C.V. compra de pastel para vigilancia</t>
  </si>
  <si>
    <t>Electropura, S. de R.L. de C.V. compra de 7 garrafones de auga</t>
  </si>
  <si>
    <t>Advanced Servicio CCTV y Còmputo, pago de 1 respaldo de video EZ</t>
  </si>
  <si>
    <t>Centro de Copiado y Papelerìa, compra de 500 copias informe fraccionamiento</t>
  </si>
  <si>
    <t>Camiòn de basura, pago por recolecciòn de basura y llervase 2 àrboles grandes</t>
  </si>
  <si>
    <t>Patrulla 007, compensaciòn en apoyo de mñover coche y hablar con vecinos rampa</t>
  </si>
  <si>
    <t>Sr. Noe, compra de tamales para personas que estuvieron en miercoles de ceniza</t>
  </si>
  <si>
    <t>Cerrajerìa y Plomerìa Azul, pago por compostura de puerta en Estopila llave atorada</t>
  </si>
  <si>
    <t>Guardìas y Custodìas Gama, pago a/c 1er quincena de marzo/17</t>
  </si>
  <si>
    <t>Cuadrilla Delegaciòn, compensaciòn en reparaciòn del parque luz medio circuito</t>
  </si>
  <si>
    <t>Jovenes fraccionamiento, compensaciòn por doblar y repartir informe a cada casa del fracc.</t>
  </si>
  <si>
    <t>Advanced Servicio CCTV y Còmputo, pago por repraciòn de pluma por tornillos degollado</t>
  </si>
  <si>
    <t>Advanced Servicio CCTV y Còmputo, pago por respaldo de video asuntos del fraccionamiento</t>
  </si>
  <si>
    <t>Manuel Olivares, compensaciòn por recolecciòn basura todo el parque en toda la semana</t>
  </si>
  <si>
    <t>Protecciòn y Seguridad Industrial, S.A. de C.V. pago por 2 recarga extintor de polvo quimico seco</t>
  </si>
  <si>
    <t>Telefonos de Mèxico, SAB de C.V., pago telefonos de caseta fraccionamieto mes de febrero/17</t>
  </si>
  <si>
    <t>Office Depot de Mèxico, S.A. de C.V. compra de memoria para tesoreria</t>
  </si>
  <si>
    <t>Estacionamiento Cuemanco compra de memoria para tesorerìa</t>
  </si>
  <si>
    <t>Advanced Servicio CCTV y Còmputo, compra de 30 tarjetas procard ID</t>
  </si>
  <si>
    <t>Gloria Mazzòn, pago por captura de ingresos y egresos del 06 al 10 de marzo/17</t>
  </si>
  <si>
    <t>Constantino Cabrera pago por poda de pasto del 07 al 11 de marzo/17</t>
  </si>
  <si>
    <t>Biclicletas Benotto, S.A. de C.V. compra de llanta para bicicleta del fraccionamiento</t>
  </si>
  <si>
    <t>Gloria Mazzòn, pago en apoyo cobranza doingo 12 de marzo/17</t>
  </si>
  <si>
    <t>Electropura, S. de R.L. de C.V. compra de 7 garrafones de agua</t>
  </si>
  <si>
    <t>Advanced Servicio CCTV y Còmputo, compra de 1 memora USB 9 GB adata</t>
  </si>
  <si>
    <t>Advanced Servicio CCTV y Còmputo, pago de 1 respaldo de video 2 tomas cuircuito CL</t>
  </si>
  <si>
    <t>Advanced Servicio CCTV y Còmputo, compra de material para circuito upacuaro</t>
  </si>
  <si>
    <t>Sr. Marìo, compra de refacciòn para bicicleta azul del fraccionamiento</t>
  </si>
  <si>
    <t>Entrega a Grisela Peralta Portugal cobranza del 2do Domingo de marzo/17</t>
  </si>
  <si>
    <t>Entrega a Grisela Peralta Portugal, cobranza coutas extraordinarias circuito de upacuaro</t>
  </si>
  <si>
    <t>Entrega a Grisela Peralta cobranza del 1 er. Domingo de marzo/17</t>
  </si>
  <si>
    <t>Office Depot de México, Pago de enmicado tamaño oficio</t>
  </si>
  <si>
    <t>Advanced Servicio CCTV y Cómputo, compra de 1 portafolis samsonite para laptop presidencia</t>
  </si>
  <si>
    <t>Roberto Miranda, pago por recolección y barrer zona que dejan hojarasca de enero a marzo</t>
  </si>
  <si>
    <t>Comercial City Fresko S. de R.L. de C.V. compra de café para casetas</t>
  </si>
  <si>
    <t>Office Depot de México, S.A. de C.V. compra de cartuchos epson negros para impresora tesoreria</t>
  </si>
  <si>
    <t>Ma. Teresa del Pozo, pago por fumigar mañana parque del fraccionamiento</t>
  </si>
  <si>
    <t>Pedro Bazzan, pago 1er quinena por recolección basura todo el fraccionamiento entre semana</t>
  </si>
  <si>
    <t>Roberto Miranda, 1 er quincena de marzo/17 por barrer todo el fraccionamiento entre semana</t>
  </si>
  <si>
    <t>Grisela Peralta, pago de la primer quincena de marzo/17</t>
  </si>
  <si>
    <t>Ing. Jorge Vazquez, compra de botones para pluma de salida y entrada</t>
  </si>
  <si>
    <t>Manuel Olivarez, compensaciòn por barrer el parque zona caseta ZB</t>
  </si>
  <si>
    <t>Advanced Servicio CCTV y Còmputo, pago de 1 respaldo de video calle Upacuaro</t>
  </si>
  <si>
    <t>Mercado San Judas Tadeo, compra de bolsas de plastico para forrar informe a fraccionamiento</t>
  </si>
  <si>
    <t>Centro de Copiado y Papelerìa, pago de 461 copias para informe al fraccionamiento visita bom</t>
  </si>
  <si>
    <t>Centro de Copiado y Papelerìa, compra de 2 tablas sujetadoras tamaño carta</t>
  </si>
  <si>
    <t>Gloria Mazzòn Soto, pago de honorarios por captura de datos del 13 al 17 de marzo/17</t>
  </si>
  <si>
    <t>Camiòn Basura, pago por recolecciòn de escombros de varilla en diferentes partes del fracc</t>
  </si>
  <si>
    <t>Constantino Cabrera, pago por poda en parque del fraccionamiento del 14 al 18 de marzo/17</t>
  </si>
  <si>
    <t>Cadena Comercial Oxxo, S.A. de C.V., compra de café y refrescos mesa de cobranza domingo</t>
  </si>
  <si>
    <t>Pedro Bazzan, pago por recolecciòn de pasto del jardin del fraccionamiento podado entre sema</t>
  </si>
  <si>
    <t>Gloria Mazzón Soto, pago en apoyo cobranza domingo 19 de marzo/17</t>
  </si>
  <si>
    <t>Advanced Servicio CCTV y Cómputo, compra de 2 telefonos con identificador para casetas</t>
  </si>
  <si>
    <t>Advanced Servicio CCTV y Cómputo, pago por conexión a internet de DVR Bytek</t>
  </si>
  <si>
    <t>Donación para colocación de camara en calle de upacuaro</t>
  </si>
  <si>
    <t>Advanced Servicio CCTV y Cómputo, compra de camara con equipo para calle de upacuaro</t>
  </si>
  <si>
    <t>Advanced Servicio CCTV y Cómputo, compra de 2 USB para respaldos</t>
  </si>
  <si>
    <t>Entrega a Grisela Peralta, cobranza del 3er domingo de marzo/17</t>
  </si>
  <si>
    <t>Entrega a Grisela Peralta, cuotas voluntaria circuito Upacuaro</t>
  </si>
  <si>
    <t>Luis Hernández, pago por reparación de chapas en EZ con llave trabada, ZB revisión y reja</t>
  </si>
  <si>
    <t>Advanced Servicio CCTV y Cómputo, compra de material para circuito Upacuaro</t>
  </si>
  <si>
    <t>Electropura, S. de R.L. de C.V. compra de 7 garragones de agua para casetas</t>
  </si>
  <si>
    <t>Advanced Servicio CCTV y Cómputo, configuración de 30 tarjetas procard a sistemas</t>
  </si>
  <si>
    <t>Angelina, compra de galletas a vecina para evento de bomberos</t>
  </si>
  <si>
    <t>Advanced Servicio CCTV y Cómputo, verificación del sistema de plumas</t>
  </si>
  <si>
    <t>Cuadrilla Delegación, compensación en reparación luz de parque</t>
  </si>
  <si>
    <t>Pastelería Bodon, S.A. de C.V., compra de botanas para evento del parque con bomberos</t>
  </si>
  <si>
    <t>Cadena Comercial Oxxo, S.A. de C.V. compra de refrescos para personal que apoyo para evento</t>
  </si>
  <si>
    <t>Comercial City Fresko S. de R.L. de C.V. compra de agua para evento bomberos</t>
  </si>
  <si>
    <t>Olegario Gama, compensaciòn en apoyo evento de los bomberos en el fraccionamiento</t>
  </si>
  <si>
    <t>Guardìas y Custodìas Gama, pago liq. 1er quincena de marzo/17</t>
  </si>
  <si>
    <t>Guardìas y Custodìas Gama, pago a/c 2da. quincena de marzo/17</t>
  </si>
  <si>
    <t>Constantino Cabrera, pago por arreglo pasto zona donde se pone mesa de cobranza domingos</t>
  </si>
  <si>
    <t>Cuerpo de Bomberos, compensaciòn por platica a todo el fraccionamiento medidas de seguridad</t>
  </si>
  <si>
    <t>Constantino Cabrera, pago por barrer zona de pasto en Romeral muy sucio por coches abandon</t>
  </si>
  <si>
    <t>Cadena Comercial Oxxo, S.A. de C.V. compra de croquetas para perro en espera de adopciòn</t>
  </si>
  <si>
    <t>SAT Servicio de Administración Tributaria, pago de mes de marzo/17 cheque #72</t>
  </si>
  <si>
    <t>Siegrist Contadores Publicos, pago de honorarios del mes marzo/17 cheque #73</t>
  </si>
  <si>
    <t>Gloria Mazzòn Soto, pago de honorarios por captura de datos del 20 al 24 de marzo/17</t>
  </si>
  <si>
    <t>Guardìas, compensaciòn por apoyo especiales en todo el fraccionamiento compra de despensas</t>
  </si>
  <si>
    <t>Patrulla 007, compensaciòn en apoyo de patrullaje en eveto y toda la semana que no hubo luz</t>
  </si>
  <si>
    <t>Advanced Servicio CCTV y Còmputo, pago mano de obra de tendido de cableado de 2 camaras</t>
  </si>
  <si>
    <t>Constantino Cabrera, pago por poda de pasto del 20 al 25 de marzo/17</t>
  </si>
  <si>
    <t>Josè Asunciòn Dominguez, pago por arreglo de puertas peaonales y zona de ejercitadores</t>
  </si>
  <si>
    <t>Constantino Cabrera, pago por sopletear explanada y kiosco, trabajos de jardinerìa</t>
  </si>
  <si>
    <t>Cadena Comercial Oxxo, S.A. de C.V.,  compra de refrescos para junta con vigilancia</t>
  </si>
  <si>
    <t>Villafaña Perez Judith, compra de café para mesa de cobranza domingos</t>
  </si>
  <si>
    <t xml:space="preserve">Nueva Walmart de Mèxico, S de R.L. de C.V. compra de hojas para presidencia </t>
  </si>
  <si>
    <t>Cadena Comercial Oxxo, S.A. de C.V. compra de agua y refrescos mesa de cobranza y vigilancia</t>
  </si>
  <si>
    <t>Pedro Bazzan, pago por recolecciòn de pasto podado entre semana</t>
  </si>
  <si>
    <t>Gloria Mazzòn, pago en apoyo cobranza domingo 26 de marzo/17</t>
  </si>
  <si>
    <t>Helena Osorio, pago en apoyo cobranza domingo 26 de marzo/17</t>
  </si>
  <si>
    <t>Entrega a Grisela Peralta, cobranza del 3to. Domingo marzo/17</t>
  </si>
  <si>
    <t>Entrega a Grisela Perlata, cobranza de cuotas circuito Upacuaro</t>
  </si>
  <si>
    <t>Gasolina, para mesa directiva visita a contador siegrist y varios asuntos del fraccionamiento</t>
  </si>
  <si>
    <t>Advanced Servicio CCTV y Còmputo, compra de equipo para Upacuaro</t>
  </si>
  <si>
    <t>Entrada a Grisela Peralta, cobranza entre semana para circuito Upacuaro</t>
  </si>
  <si>
    <t>Tienda, compra de agua para mesa directiva cobranza calle por calle</t>
  </si>
  <si>
    <t>Cadena Comercial Oxxo, S.A. de C.V. compra de agua y refrescos para junta mesa directiva</t>
  </si>
  <si>
    <t>Entrega a Grisela Peralta, cobranza de cuotas circuito Upacuaro</t>
  </si>
  <si>
    <t>Advanced Servicio CCTV y Còmputo, pago de tendido de 5 camaras en Upacuaro</t>
  </si>
  <si>
    <t>Advanced Servicio CCTV y Còmputo, pago por instalaciòn de equipo DVR, Disco duro, monitor</t>
  </si>
  <si>
    <t>Advanced Servicio CCTV y Còmputo, pago soporte para pantalla macormet de 32" a 60"</t>
  </si>
  <si>
    <t>Cerrajerìa y Plomerìa Azul, pago por compostura de puerta Zinampa</t>
  </si>
  <si>
    <t>Alfonso Basulda, pago por areglo drenaje WC caseta Romeral</t>
  </si>
  <si>
    <t>Entrega a Grisela Peralta cobranza entre semana del 27 al 30 de marzo/17</t>
  </si>
  <si>
    <t>Entrega a Grisela Peralta, cobranza entre semana de cuotas voluntarias circuito Upacuaro</t>
  </si>
  <si>
    <t>Gloria Mazzòn Soto, pago de honorarios por captura de datos del 27 al 31 de marzo/17</t>
  </si>
  <si>
    <t>Grisela Peralta, pago de la segunda quincena de marzo/17</t>
  </si>
  <si>
    <t>Guardìas y Custodìas Gama, pago liq. 2da. quincena de marzo/17</t>
  </si>
  <si>
    <t>Pedro Bazzan, pago por recolecciòn de basura en todo el frac de lunes a viernes 2da. Quincena</t>
  </si>
  <si>
    <t>Roberto Miranda, pago por barrer todo el frac de lunes a viernes de la 2da. Quincena/17</t>
  </si>
  <si>
    <t>Roberto Miranda, pago por quitar follaje en Romeral banqueta de entrada</t>
  </si>
  <si>
    <t>Fam. Gonzalez EZ_15_A pago transferencia bancari, es de febrero/17</t>
  </si>
  <si>
    <t xml:space="preserve">Fam. Sánchez Vega  CL_29 pago transferencia bancaria de ene/feb/mar/17 </t>
  </si>
  <si>
    <t>Fam. Fuentes UP_46 pago transferencia bancaria del mes de marzo/17</t>
  </si>
  <si>
    <t>Constantino Cabrera, pago por poda de pasto del 27 de marzo al 01 de abril/17</t>
  </si>
  <si>
    <t>Advanced Servicio CCTV y Cómputo, pago por arreglar pluma y sellar gabinete de limpieza de con</t>
  </si>
  <si>
    <t>Jorge Ibarra, compensación por conectar la luz del parque fin de semana</t>
  </si>
  <si>
    <t>Luis Hernández, pago por arreglar chapa de Landero Barrotes de entrada de automoviles</t>
  </si>
  <si>
    <t>Roberto Gamma, compensación en apoyo movimiento de cuadrilla de kiosco y luz parque</t>
  </si>
  <si>
    <t>Electropura, S. de R.L. de C.V. compra de 10 garrafones de agua para casetas de vigilancia</t>
  </si>
  <si>
    <t>Office Depot de México, S.A. de C.V., pago de enmicado de credenciales para servicio domestico</t>
  </si>
  <si>
    <t>Cuadrilla Delegación luinarias parque del fraccionamiento</t>
  </si>
  <si>
    <t>Cadena Comercial Oxxo, S.A. de C.V., compra de agua y café para mesa de cobranza</t>
  </si>
  <si>
    <t>Pedro Bazzan, pago por recolección de basura en fin de seana</t>
  </si>
  <si>
    <t>Pedro Bazzan, pago por recolección de pasto entre semana</t>
  </si>
  <si>
    <t>Distribuidora el Bollo Cafetales, S.A. de C.V. compra de velAS</t>
  </si>
  <si>
    <t>Distribuidora el Bollo Cafetales, S.A. de C.V. compra de pastel para tesoreria frestejo cumplea</t>
  </si>
  <si>
    <t>Juan Sánchez, compensación por cortar pasto entrada romeral entrada banqueta</t>
  </si>
  <si>
    <t>Gloria Mazzón Soto, pago en apoyo de cobranza domingo 02 de abril/17</t>
  </si>
  <si>
    <t>Sistemas de Computo, pago por captura de datos de credenciales para personal limpieza</t>
  </si>
  <si>
    <t>Telefefonos de México S.A.B. de C.V. pago del mes de marzo/17 casetas del fraccionamiento</t>
  </si>
  <si>
    <t>Entrega a Grisela Peralta cobranza domingo</t>
  </si>
  <si>
    <t>Entrega a Grisela Peralta cobranza de cuotas extraordinarias</t>
  </si>
  <si>
    <t>Advanced Servicio CCTV y Cómputo,  compra de material para circuito de camaras upacuaro</t>
  </si>
  <si>
    <t>Advanced Servicio CCTV y Cómputo, compra de material para circuito de camaras upacuaro</t>
  </si>
  <si>
    <t>Office Depot de México, S.A. de C.V., pago de cordon para gafetes credenciales personal de ser</t>
  </si>
  <si>
    <t>Nueva Walmart de México, S. de R.L. de C.V. compra de material de limpieza para casetas</t>
  </si>
  <si>
    <t>Patrulla 007, compensación a patrullaje en parque sin luz todo el fin de semana</t>
  </si>
  <si>
    <t>Olegario Vázquez, compensación por quitar todos los anuncios y letreros en todo el fraccionam</t>
  </si>
  <si>
    <t>Sabine Pérez, pago de comida para personal delegación fumigación de coladeras</t>
  </si>
  <si>
    <t>Advanced Servicio CCTV y Cómputo, compra de 1 respaldo de video zinampa</t>
  </si>
  <si>
    <t>Entrega a Grisela Peralta donación de vecino de Landero # 28</t>
  </si>
  <si>
    <t>Advanced Servicio CCTV y Cómputo  compra de mateeerial para circuito de Landero</t>
  </si>
  <si>
    <t>Camión de basura, pago en apoyo de llevarse escombros de ramas y troncos pesados del parq</t>
  </si>
  <si>
    <t>Guardìas y Custodìas Gama, pago a/c 1er quincena de abril/17</t>
  </si>
  <si>
    <t>Gloria Mazzón Soto, pago de honorarios de captura de datos y contabilidad de la 1er semana</t>
  </si>
  <si>
    <t>Israel Galan Quintin, compra de 30 llaves para puerta de acceso peatonal</t>
  </si>
  <si>
    <t>Pedro Bazzan, pago por recolección de pasto fin de semana</t>
  </si>
  <si>
    <t>Constantino Cabrera, pago por poda de pasto del 04  al 08 de abril/17</t>
  </si>
  <si>
    <t>Cesar Gama, compensación por comprar cable para arreglo de luz y guia de telefono</t>
  </si>
  <si>
    <t>Entrega a Grisela Peralta cobranza 2do domingo mes de abril/17</t>
  </si>
  <si>
    <t>Entrega a Grisela Peralta cobranza cuota extraordinaria cicuito upacuaro</t>
  </si>
  <si>
    <t>Cadena Comercial Oxxo, S.A. de C.V. compra café y agua para mesa de cobranzA</t>
  </si>
  <si>
    <t>Pedro Bazzan, pago por recolección de pasto en fin de semanda de martes, jueves y sabado</t>
  </si>
  <si>
    <t>Gloria Mazzón Soto, pago en apoyo de cobranza domingo 09 de abril/17</t>
  </si>
  <si>
    <t>Constantino Cabrera, pago por poda de pasto del parque</t>
  </si>
  <si>
    <t>Tienda compra de agua de mesa directiva visita contador Siegrist</t>
  </si>
  <si>
    <t>Patrulla 007, compensación a patrula que ayudo a vecino en asalto</t>
  </si>
  <si>
    <t>Contador Carlos Siegrist Hernández, pago de honorarios del mes de abril/17 Ch. #81</t>
  </si>
  <si>
    <t>SAT Servicio de Administración Tributaría, pago retención IVA colegio Carmel abril/17 Ch. # 80</t>
  </si>
  <si>
    <t>Roberto Miranda, pago por barrer todo el frac de lunes a viernes 1er quincena abril/17</t>
  </si>
  <si>
    <t>Camiòn de basura, pago por recolecciòn de escombros que quitaron de puerta EZ y EP</t>
  </si>
  <si>
    <t xml:space="preserve">Advanced Servicio CCTV y Còmputo, compra de 2 pares de balum de video pasivos Siscam </t>
  </si>
  <si>
    <t>Manuel Olivares, compra de thiner y 1 rodillo para pinta señalamientos entrada Zinampa</t>
  </si>
  <si>
    <t>Advanced Servicio CCTV y Còmputo, pago de respaldo de video plumas de zinampa por limpiado</t>
  </si>
  <si>
    <t>Ferre Elèctrica Reyesa, compra de material para arreglo de pluma en zinampa</t>
  </si>
  <si>
    <t>Advanced Servicio CCTV y Còmputo, Compra de 1 camara para calle de Cuchilla</t>
  </si>
  <si>
    <t>Advanced Servicio CCTV y Còmputo, pago por trabajo de tendido de camara Cuchilla</t>
  </si>
  <si>
    <t>Manuel Olivares,  compra de material para pintar entrada de zinampa y banquetas</t>
  </si>
  <si>
    <t>Gloria Mazzòn Soto, pago de honorarios por captura de datos del 10 al 14 de abril/17</t>
  </si>
  <si>
    <t>Constantino Cabrera, pago por poda de pasto parque del 11 al 15 de abril/17</t>
  </si>
  <si>
    <t>Pedro Bazzan, pago por recolecciòn basura de lunes a viernes 1er quincena abril/17</t>
  </si>
  <si>
    <t>Grisela Peralta Portuga, pago de la 1er quincena de abril/17</t>
  </si>
  <si>
    <t>Guardìas y Custodìas Gama, pago liq. 1 er. quincena de abril/17</t>
  </si>
  <si>
    <t>Cadena Comercial Oxxo, S.A. de C.V.  Compra de café y agua para mesa de cobranza y vigilancia</t>
  </si>
  <si>
    <t>Advanced Servicio CCTV y Còmputo, para compra de material camaras circuito Upacuaro</t>
  </si>
  <si>
    <t>Gloria Mazzòn Soto, pago en apoyo cobranza domingo 16 de abril/17</t>
  </si>
  <si>
    <t>Roberto Gama, compensaciòn en apoyo de pintar troncos y banquetas entrada zinampa</t>
  </si>
  <si>
    <t>Manuel Olivares, compensaciòn en apoyo de pintar troncos y banquetas entrada zinampa</t>
  </si>
  <si>
    <t>Entrega a Grisela Peralta cobranza del 3er domingo de abril/17</t>
  </si>
  <si>
    <t>Patrulla 007, compensación en apoyo en rondines a todo el fraccionamiento semana santa</t>
  </si>
  <si>
    <t>Centro de copiado Omega, pago de 450 juegos de 5 coopias c/u para informe del fraccionamien</t>
  </si>
  <si>
    <t>Distribuidora Bicicleta Benotto, S.A. de C.V. compra de camara para bicicleta del fraccionam</t>
  </si>
  <si>
    <t>Sabine Pérez, pago de comida para personal delegación luminarías del parque</t>
  </si>
  <si>
    <t>Asunción Dominguez, compensación en apoyo de estar al pendiente de cuadrilla de luminarías</t>
  </si>
  <si>
    <t>Olegario Vázquez, compensación en apoyo de corte de árbolitos de Romeral</t>
  </si>
  <si>
    <t>Advanced Servicio CCTV y Cómputo, pago por arreglar 10 camaras dañadas del fraccionamiento</t>
  </si>
  <si>
    <t>Advanced Servicio CCTV y Cómputo, compra de material para arreglo de 10 camaras dañadas</t>
  </si>
  <si>
    <t>Comercializadora Caspin, S.A. de C.V. compra de materiales para pinta señalizaciónes Romeral</t>
  </si>
  <si>
    <t>Ronet, compra de 1 pantalón comando para vigilancia unica vez apoyo de la mesa a vigilancia</t>
  </si>
  <si>
    <t>Guardìas y Custodìas Gama, pago a/c 2da  quincena de abril/17</t>
  </si>
  <si>
    <t>Advanced Servicio CCTV y Cómputo, compra de 1 camara analoga Dahoa, 2 pares de transpept</t>
  </si>
  <si>
    <t>Advanced Servicio CCTV y Cómputo, pago de honorarios por dar de baja a vecinos que no pagan</t>
  </si>
  <si>
    <t>Sabine Pérez, pago de comida para personal de camaras</t>
  </si>
  <si>
    <t>Sabine Pérez, pago de comida para persona de camaras</t>
  </si>
  <si>
    <t>Joel Padilla, compra de helados para personal de vigilancia exelente trabajo compensación</t>
  </si>
  <si>
    <t>Patrulla 007, compensación por acudir de inmediato con vecinos extorcionados</t>
  </si>
  <si>
    <t>Asunción Domínguez, compensación por recolección de escombros cuarto de Zinampa</t>
  </si>
  <si>
    <t>Gloria Mazzón Soto, honorarios por captura de datos del 17 al 21 de abril/17</t>
  </si>
  <si>
    <t>Advanced Servicio CCTV y Cómputo, compra de 1 camara HD 1 MG para parque interna</t>
  </si>
  <si>
    <t>Advanced Servicio CCTV y Cómputo, pago de mano de obra colocación camara parque</t>
  </si>
  <si>
    <t>Camión de basura, pago por llevarse escombros de cuarto de atrás de caseta Zinampa</t>
  </si>
  <si>
    <t>Pedro Bazzan, pago por recolección de pasto podado entre semana</t>
  </si>
  <si>
    <t>Cadena Comercial Oxxo, S.A. de C.V. compra de agua y regrescos para mesa de cobranza y vigil</t>
  </si>
  <si>
    <t>Constantino Cabrera, pago por poda de pasto del parque del 18 al 22 de abril/17</t>
  </si>
  <si>
    <t>Gloria Mazzón Soto, pago en apoyo a cobranza el 23 de abril/17</t>
  </si>
  <si>
    <t>Sistemas de Computo, pago por realizar credenciales del personal de servicio del fraccionamien</t>
  </si>
  <si>
    <t>Patrulla 007, pago en apoyo de patrullaje en semana santa y domingo de cobrnza</t>
  </si>
  <si>
    <t>Estacionamiento Cuemanco, pago estacionamiento compra de papelería</t>
  </si>
  <si>
    <t>Office Depot de México, S.A. de C.V. pago de enmicado de credenciales del fraccionamiento</t>
  </si>
  <si>
    <t>Servicio Robledo, S.A. de C.V. pago de gasolina para presidencia varios servicios al fraccionami</t>
  </si>
  <si>
    <t>Entrega a Grisela Peralta, cobranza del 4to domingo de abril/17</t>
  </si>
  <si>
    <t>Entrega a Grisela Peralta, cobranza cuota voluntaria circuito de camaras upacuaro</t>
  </si>
  <si>
    <t>Sergio Chavez, pago por arreglo de fuga de agua caseta Zinampa</t>
  </si>
  <si>
    <t>Centro de copiado Omega, compra de papelería para presidencia</t>
  </si>
  <si>
    <t>Roberto Miranda, pago por poda y corte de árbolito de atrás de caseta Zinampa y pasto RV</t>
  </si>
  <si>
    <t>Cadena Comercial Oxxo, compra de refrescos para vigilancia</t>
  </si>
  <si>
    <t>Entrega a Grisela Peralta cuota voluntaría para circuito de camaras de upacuaro</t>
  </si>
  <si>
    <t>Advenced Servicio CCTV y Cómputo, pago de 1 respaldo de video upacuaro</t>
  </si>
  <si>
    <t>Advanced Servicio CCTV y Cómputo, pago de mano de obra reparación pluma de Zinampa</t>
  </si>
  <si>
    <t>Pastelería Bodon, S.A. de C.V., compra de botanas para evento del día del niño en parque del frac</t>
  </si>
  <si>
    <t>Plomería Azul, pago trabajo en puerta de Landero y aceitar chapa de la misma</t>
  </si>
  <si>
    <t>Manuel Olivares, pago por asear todos los juegos del parque evento del día del niño</t>
  </si>
  <si>
    <t>Guardìas y Custodìas Gama, pago liq. 2da  quincena de abril/17 cheque #75</t>
  </si>
  <si>
    <t>Advanced Sericio CCTV y Còmputo, compra de material para circuito de camaras Upacuaro</t>
  </si>
  <si>
    <t>Asunciòn Dominguez, compensaciòn en realiza trabajo de limpieza juegos del parque</t>
  </si>
  <si>
    <t>Copyfaz, pago poster para invitaciòn al fraccionamiento evento en parque</t>
  </si>
  <si>
    <t>Copyfaz, compra de 2 paquetes de fichas bibiograficas para presidencia</t>
  </si>
  <si>
    <t>Cuadrilla Delegaciòn, compensaciòn en arreglo de luz en CL y EZ</t>
  </si>
  <si>
    <t xml:space="preserve">Guaradìas Gama, compra de huevos para desayuno </t>
  </si>
  <si>
    <t>Electropura, S. de R.L. de C.V., compra de 2 garrafones de agua para casetas</t>
  </si>
  <si>
    <t>Gloria Mazzòn, pago por caputra de datos del 24 al 28 de abril/17</t>
  </si>
  <si>
    <t>Camiòn de basura, compensaciòn en traer otro camiòn para llevarse toda la basura del fraccio</t>
  </si>
  <si>
    <t>Gamma, compra de helados para guardìas en turno por dìa de mucho calor</t>
  </si>
  <si>
    <t>Grisela Peralta, compra de botanas para junta de mesa directiva</t>
  </si>
  <si>
    <t>Nueva Walmart de Mèxico, S. de R.L. de C.V., compra desechables para evento dìa del niño fracc</t>
  </si>
  <si>
    <t>Nueva Walmart de Mèxico, S. de R.L. de C.V., compra botanas para niños evento parque dìa niño</t>
  </si>
  <si>
    <t>Estacionamiento Cuemanco, pago estacionamiento compra desechables</t>
  </si>
  <si>
    <t>Cadena Comercial Oxxo, S.A. de C.V., compra de hielo para evento dìa del niño</t>
  </si>
  <si>
    <t>Patrulla 007 compensaciòn en pratullaje SSP Dìa del Niño</t>
  </si>
  <si>
    <t>Constantino Cabrera, pago por poda del 23 al 29 de abril y sopletear toda la explanada para eve</t>
  </si>
  <si>
    <t>Gregorio Ticante, compensaciòn para realizar recorte y clareo de àrbol de zinampa</t>
  </si>
  <si>
    <t>Pedro Villegas, compensaciòn en prestar sillas para evento del dìa del niño</t>
  </si>
  <si>
    <t>Roberto Miranda, pago por barrer todo el frac lunes a viernes 2da. Quincena y trabajo urgente</t>
  </si>
  <si>
    <t>Pedro Bazzan, pago por recolecciòn de basura todo fraccionamiento lunes a viernes 2da quinc</t>
  </si>
  <si>
    <t>Pedro Bazzan, pago por recolecciòn basura fin de semana</t>
  </si>
  <si>
    <t>Cadena ComercIal Oxxo, S.A. de C.V., compra de café y refrescos para mesa de cobranza</t>
  </si>
  <si>
    <t>Cuadrilla Delegaciòn, compra de refrescos por trabajos de alumbrado en parque</t>
  </si>
  <si>
    <t>Entrega a Grisela Peralta cobranza 5to domingo de abril/17</t>
  </si>
  <si>
    <t>Entrega a Grisela Peralta cobranza 5to domingo circuirto de camaras Upacuaro</t>
  </si>
  <si>
    <t>Advanced Servicio CCTV y Còmputo, compra de materiales para circuito de camaras Upacuaro</t>
  </si>
  <si>
    <t>Cadena Comercial Oxxo, S.A. de C.V. compra de refrescos para vigilancia domingo cobranza</t>
  </si>
  <si>
    <t>Grisela Peralta, pago de la 2da. Quincena de abril/17</t>
  </si>
  <si>
    <t>Fam. Fuentes UP_46 pago transferencia bancaria del mes de abril/17</t>
  </si>
  <si>
    <t xml:space="preserve">Fam. Sánchez Vega  CL_29 pago transferencia bancaria de abril/17 </t>
  </si>
  <si>
    <t>Deposito cheque colegio Carmel pago de mantenimiento mes de abril/17</t>
  </si>
  <si>
    <t>Deposito cheque colegio Carmel pago de mantenimiento mes de marzo/17</t>
  </si>
  <si>
    <t>INGRESOS Y EGRESOS DEL MES DE ABRIL/17</t>
  </si>
  <si>
    <t>Saldo del mes de Marzo/17</t>
  </si>
  <si>
    <t>Saldo del mes de Abril/17</t>
  </si>
  <si>
    <t>Asunciòn Dominguez, compra de brocha y tiner en pintar entrada de Romeral</t>
  </si>
  <si>
    <t>Asunciòn Dominguez, compensaciòn por pintar entrada Romeral señalizaciones y banquetas</t>
  </si>
  <si>
    <t>Manuel Olivares, compensaciòn en quitar toda las propaganda fuera y dentro y fuera fracc</t>
  </si>
  <si>
    <t>Plomerìa Azùl, pago por arreglar lavabo de baño caseta Zinampa</t>
  </si>
  <si>
    <t>Electropura S. de R.L. de C.V. compra de 10 garrafones de agua para casetas del fraccionamiento</t>
  </si>
  <si>
    <t>Luis Hernàndez, pago por arreglo y mantenimiento de chapa de EZ y arreglo  puerta EP y revision</t>
  </si>
  <si>
    <t>Advanced Servicio CCTV y Còmputo, instalaciòn de microfrono en fuente de caja hidrobreak</t>
  </si>
  <si>
    <t>Advamced ServIcio CCTV y Còmputo, compra de microfronos en fuente caja hidrobreak</t>
  </si>
  <si>
    <t>Advanced Servicio CCTV y Còmputo, pago de 1 respaldo de video Estanzuela</t>
  </si>
  <si>
    <t>Servicio Robledo, S.A. de C.V., pago de gasolina presidencia varias diligencia del fraccionamient</t>
  </si>
  <si>
    <t>Telefonos de Mèxico, SAB de C.V. pago telefono mes de abril/17</t>
  </si>
  <si>
    <t>Office Depot de Mèxico, S.A. de C.V., compra de papelerìa para tesoreria</t>
  </si>
  <si>
    <t>Gloria Mazzòn Soto, pago por captura de datos del 01 al 05 de mayo/17</t>
  </si>
  <si>
    <t>Camiòn de Basura, pago por llevarse costales desechos de desasolve en el fraccionamientos</t>
  </si>
  <si>
    <t>Cadena Comercial Oxxo, S.A. de C.V. compra de refrescos para personal delegaciòn dragado</t>
  </si>
  <si>
    <t>Cuadrilla Delegaciòn, compensaciòn en dragado del fraccionamiento</t>
  </si>
  <si>
    <t>Sabine Perèz, pago por comida para personal delegaciòn de dragado</t>
  </si>
  <si>
    <t>Cuartel de Bomberos, compensaciòn por quitar palmeras fracturadas en Landero</t>
  </si>
  <si>
    <t>Advanced Servicio CCTV y Còmputo, cancelaciòn de WIF reuter Telmex</t>
  </si>
  <si>
    <t>Cadena Comercial Oxxo, S.A. de C.V. compra de refrescos para cuartel de Bomberros</t>
  </si>
  <si>
    <t>Constantino Cabrera, pago por poda de pasto del 01 al 06 de mayo/17</t>
  </si>
  <si>
    <t>Constantino Cabrera, compra de material para maquinaria de podadora del fraccionamiento</t>
  </si>
  <si>
    <t>Cuartel de Bomberos, compensaciòn por quitar pinos de Estanzuela</t>
  </si>
  <si>
    <t>Jony Pizza, compra de pizza para cuartel de Bomberos en compensaciòn de trabajos en fraccc</t>
  </si>
  <si>
    <t>Advanced Servicio CCTV y Còmputo, compra de fuente de energìa 1a. 2 v a 3 amp</t>
  </si>
  <si>
    <t>Cadena Comercial Oxxo, S.A. de C.V., compra de refrescos para personal de Bomberos</t>
  </si>
  <si>
    <t>Advanced Serviciio CCTV y Còmputo, pago mano de obra en monitor de caseta Zinampa</t>
  </si>
  <si>
    <t>Personal Gama, pago en apoyo en todos los trabajos que realizaron delegaciòn y cuerpo de bom</t>
  </si>
  <si>
    <t>Guardìas y Custodìas Gama, pago a/c de 1er quincena de mayo/17</t>
  </si>
  <si>
    <t>Pedro Bazzan, pago por recolecciòn de pasto podado martes, jueves y viernes de la semana</t>
  </si>
  <si>
    <t>Cadena Comercial Oxxo, S.A. de C.V. compra de café y frescos para mesa de cobranza domingo</t>
  </si>
  <si>
    <t>Gloria Mazzòn Soto, pago en apoyo a cobranza domingo 06 de mayo/17</t>
  </si>
  <si>
    <t>Entrega a Grisela Peralta cobranza del 1er domingo de mayo/17</t>
  </si>
  <si>
    <t>Camiòn de Basura, pago por llevarse restoñs de pino podados de la calle Estanzuela</t>
  </si>
  <si>
    <t>Advanced Servicio CCTV y Còmputo, compra de 4 memorias USB para respaldos</t>
  </si>
  <si>
    <t>Advanced Servicio CCTV y Còmputo, compra de silicòn y aplicador</t>
  </si>
  <si>
    <t>Cuartel de Bomberos, compensaciòn en  corte de palmeras y troncos el fraccionamiento</t>
  </si>
  <si>
    <t>Sabine Pèrez, pago de comida para cuadrilla delegaciòn por partir troncos, ramas y pameras</t>
  </si>
  <si>
    <t>Cadena Comercial Oxxo, S.A. de C.V. compra de refrescos cuadrilla delegaciòn parque y jardines</t>
  </si>
  <si>
    <t>Autopartes Daytona 2 Compra de 1 calavera Voyager, camiòn de bomberos rompio a camioneta</t>
  </si>
  <si>
    <t>Contador Siegrist, pago de impresiòn de facturas para I.V.A. Colegio Carmel</t>
  </si>
  <si>
    <t>Cuartel de Bomberos, cooperaciòn para comprar gasolina para motosierra del cuartel</t>
  </si>
  <si>
    <t>Sabine Pèrez, pago de comida para personal de Bomberos</t>
  </si>
  <si>
    <t>Servicio El Hueso, S.A. de C.V. compra de gasolina para motosierra del cuartel de Bomberos</t>
  </si>
  <si>
    <t>Camiòn de Basura, compensaciòn en barrer toda la calle de Romeral de hojarasca</t>
  </si>
  <si>
    <t>Grisela Peralta, compra de galletas para junta con el contador Siegrist</t>
  </si>
  <si>
    <t>SAT Servicio de Administración Tributaría, pago retención IVA colegio Carmel mayo/17 Ch. # 76</t>
  </si>
  <si>
    <t>Contador Carlos Siegrist Hernández, pago de honorarios del mes de mayo/17 Ch. #76</t>
  </si>
  <si>
    <t>Guardìas y Custodìas Gama, pago liq de 1er quincena de mayo/17</t>
  </si>
  <si>
    <t>Costco De Mèxico, S.A. de C.V., compra detalles para Mamas de la Mesa Directiva</t>
  </si>
  <si>
    <t>Administradora Auriaga, S.A. de C.V. pago de gasolina presedenta para varios diligencias fracc</t>
  </si>
  <si>
    <t>Asunciòn Dominguez, compensaciòn por poner piso firme en la entrada de Romeral</t>
  </si>
  <si>
    <t>Sanborns, compra detalles para obsequiar en desayulo que ofrece Delegaciòn a Mamas del frac</t>
  </si>
  <si>
    <t>Copyfaz Digital, compra de 10 folders para presidencia</t>
  </si>
  <si>
    <t>Advanced Servicio CCTV y Còmputo, pago por sellar ventana de caseta por filtraciòn de agua</t>
  </si>
  <si>
    <t>Gloria Mazzòn Soto, pago por captura de datos del 08 al 12 de mayo/17</t>
  </si>
  <si>
    <t>Advanced Servicio CCTV y Còmputo, compra de material para circuito de camaras Upacuaro</t>
  </si>
  <si>
    <t>Luis Hernàndez, pago por arreglo de chapa  y barrotes del fraccionamiento</t>
  </si>
  <si>
    <t>Advanced Servicio CCTV y Còmputo, pago de 1 respaldo de video con 3 tomas Cuchilla</t>
  </si>
  <si>
    <t>Constantino Cabrera, pago por poda de pasto del 09 al 13 de mayo/17</t>
  </si>
  <si>
    <t>Gloria Mazzòn Soto, pago en apoyo a cobranza domingo 14 de mayo/17</t>
  </si>
  <si>
    <t>Pedro Bazzan, pago por recolecciòn de basura en frac de lunes a viernes 1er quincena mayo/17</t>
  </si>
  <si>
    <t>Roberto Miranda, pago por barrer frac de lunes a viernes 1er quincena mayo/17</t>
  </si>
  <si>
    <t>Grisela Peralta, pago 1er quincena de mayo/17</t>
  </si>
  <si>
    <t>Cadena Comercial Oxxo, S.A. de C.V. compra de botanas junta mesa directiva con Gama</t>
  </si>
  <si>
    <t>Roberto Miranda, compensaciòn por barrer Landero basura concentrada por lluvias</t>
  </si>
  <si>
    <t>Entrega a Grisela Peralta cobranza del 2do domingo de mayo/17</t>
  </si>
  <si>
    <t>Entrega a Grisela Peralta circuito de camaras de upacuaro</t>
  </si>
  <si>
    <t>Advanced Servicio CCTV y Còmputo, compra de material para circuito de camaras Recoveco</t>
  </si>
  <si>
    <t>Electropura S. de R.L. de C.V. compra de 7 garrafones de agua para casetas del fraccionamiento</t>
  </si>
  <si>
    <t>Camiòn Basura, pago por recolecciòn pasto parque y escombros de Estopila</t>
  </si>
  <si>
    <t>Sabine Pèrez, pago almuerzos cuadrilla delegaciòn, desasolve Landero</t>
  </si>
  <si>
    <t>Electropura, S. de R.L. de C.V. compra de 12 garrafones de agua para castas del fraccionamiento</t>
  </si>
  <si>
    <t>Advanced ServIcio CCTV y Còmputo, compra de material para mantenimiento camaras entradas</t>
  </si>
  <si>
    <t>Advanced Servicio CCTV y Còmputo, compra de 2 camaras 4 en 1 carcasas policarbonato</t>
  </si>
  <si>
    <t>Centro de Copiado y Papelerìa Omega, pago de 1,100 copias para informe del fraccionamiento</t>
  </si>
  <si>
    <t>Grisela Peralta, pago a muchachos del fraccionamiento para entregar informe casa por casa</t>
  </si>
  <si>
    <t>Gloria Mazzòn Soto, pago por captura de datos del 15 al 19 de mayo/17</t>
  </si>
  <si>
    <t>Electropura, S. de R.L. de C.V. compra de 7 garrafones de agua para castas del fraccionamiento</t>
  </si>
  <si>
    <t>Constantino Cabrera, pago poda pasto parque fraccionamiento del 16 al 20 de mayo/17</t>
  </si>
  <si>
    <t>Personal Gama, compensaciòn en poda de pasto detràs caseta Zinampa y àrbolitos aledaños</t>
  </si>
  <si>
    <t>Patrulla 007, compensaciòn vigilar mesa de cobranza y rondines en fin de semana fraccionami</t>
  </si>
  <si>
    <t>Office Depot de Mèxico, S.A. de C.V., compra de toner y cartuchos impresiòn, tesorerìa y presiden</t>
  </si>
  <si>
    <t>Gloria Mazzòn Soto, pago en apoyo de cobranza domingo 21 de mayo/17</t>
  </si>
  <si>
    <t>Entrega a Grisela Peralta cobranza domingo 3er domingo de mayo/17</t>
  </si>
  <si>
    <t>Entrega a Grisela Peralta cobranza circuito de camaras de Upacuaro</t>
  </si>
  <si>
    <t>Nueva Walmart de Mèxico, S. de R.L. de C.V. compra de material de limpieza para casetas</t>
  </si>
  <si>
    <t xml:space="preserve">Advanced servicio CCTV y Còmputo, pago de mano de obra repraciòn de DVR </t>
  </si>
  <si>
    <t>Sabine Perèz, pago por almuerzos personal delegaciòn dragado de Upacuaro</t>
  </si>
  <si>
    <t>Advanced Servicio CCTV y Còmputo, compra de un destellador de led luces pluma</t>
  </si>
  <si>
    <t>Advanced Servicio CCTV y Còmputo, pago de 1 respaldo de video de placa que robaron en ZB</t>
  </si>
  <si>
    <t>Deposito cheque colegio Carmel pago de mantenimiento mes de mayo/17</t>
  </si>
  <si>
    <t>Asunciòn Dominguez, pago por trabajo de recolecciòn de troncos del parque y ramas del mismo</t>
  </si>
  <si>
    <t>Advanced Servicio CCTV y Còmputo, pago por instalaciòn de tarjeta para Non Break de 1,200 VCT</t>
  </si>
  <si>
    <t>Advanced Servicio CCTV y Còmputo, compra de 1 tarjeta de Non-Break de 1200 VCT</t>
  </si>
  <si>
    <t>Gloria Mazzòn Soto, pago por captura de datos del 22 al 26 de mayo-17</t>
  </si>
  <si>
    <t>Comisiòn Federal de Electricidad, compensaciòn por reconecciòn de cable  en Landero</t>
  </si>
  <si>
    <t>Asunciòn Dominguez, pago por acarrear todo lo recolectado en el parque y sopletear ejercitador</t>
  </si>
  <si>
    <t>Patrulla 007, compensaciòn por mover camiòn del fraccionamiento y rondines en el mismo</t>
  </si>
  <si>
    <t>Servicio El Nuevo Pedregal, S.A. de C.V., gasolina presidenta Grisela Peralta</t>
  </si>
  <si>
    <t>Constantino Cabrera, pago por poda de pasto del 23 al 27 de mayo/17 en parque fraccionamien</t>
  </si>
  <si>
    <t>Advanced Servicio CCTV y Còmputo, pago de mano de obra en Non-break</t>
  </si>
  <si>
    <t>Cadena Comercial Oxxo, S.A. de C.V., compra de café y refrescos para mesa de cobranza domingo</t>
  </si>
  <si>
    <t xml:space="preserve">Asunciòn Dominguez, pago por recolecciòn  de ramas por tromba en RV, EP,ZB  y limpiar juegos </t>
  </si>
  <si>
    <t>Asunciòn Dominguez, pago por recolecciòn de pasto en RV y limpieza de ejercitadores</t>
  </si>
  <si>
    <t>Servicio del hueso, S.A. de C.V., compra de gasolina y desayuno asunciòn, sopleteo de la explan</t>
  </si>
  <si>
    <t>Gloria Mazzòn Soto, pago en apoyo cobranza domingo 28 de mayo/17</t>
  </si>
  <si>
    <t>Electropura, S. de R.L. de C.V. compra de 11 garrafones de agua para casetas del fraccionamiento</t>
  </si>
  <si>
    <t>Personal Gama, pago por cortar pasto de tras de caseta Zinampa</t>
  </si>
  <si>
    <t>Pago de un video por robo de placa en calle de Zinampa</t>
  </si>
  <si>
    <t>Personal Gama, pago por corte de pasto entrada  Romeral</t>
  </si>
  <si>
    <t>Entrega a Grisela Peralta, cobranza del 4to domingo del mes de mayo</t>
  </si>
  <si>
    <t>Entrega a Grisela Peralta, cobranza cuota voluntaria circuito de Upacuaro</t>
  </si>
  <si>
    <t>Guardìas y Custodìa Gama, pago liq 2da quincena de mayo/17</t>
  </si>
  <si>
    <t>Advanced Servicio CCTV y Còmputo, compra de material para circuito de Upacuaro</t>
  </si>
  <si>
    <t>Pedro Bazzan, pago 2da. Quincena por recolecciòn de basura en toda la colonia entre semana</t>
  </si>
  <si>
    <t>Grisela Peralta, pago segunda quincena de mayo/17</t>
  </si>
  <si>
    <t>Roberto Miranda, pago 2da quincena por barrer todo el fracc de lunes a viernes mayo/17</t>
  </si>
  <si>
    <t>Fam. Fuentes UP_46 pago transferencia bancaria del mes de mayo/17</t>
  </si>
  <si>
    <t xml:space="preserve">Fam. Sánchez Vega  CL_29 pago transferencia bancaria de mayo/17 </t>
  </si>
  <si>
    <t>Comisiòn cheq. Exped.</t>
  </si>
  <si>
    <t>Personal Gama, compensaciòn en limpieza de postes de todo el fraccionamiento</t>
  </si>
  <si>
    <t>Cadena Comercial Oxxo, S.A. de C.V. junta mesa directiva robo en fraccionamiento</t>
  </si>
  <si>
    <t>Saldo del mes de Mayo/17</t>
  </si>
  <si>
    <t>Saldo del mes de junio/17</t>
  </si>
  <si>
    <t>Saldo del mes de julio/17</t>
  </si>
  <si>
    <t>Saldo del mes de agosto/17</t>
  </si>
  <si>
    <t>Saldo del mes de noviembre/17</t>
  </si>
  <si>
    <t>Saldo del mes de septiembre/17</t>
  </si>
  <si>
    <t>Saldo del mes de octubre/17</t>
  </si>
  <si>
    <t>JUNIO    2017</t>
  </si>
  <si>
    <t>JULIO    2017</t>
  </si>
  <si>
    <t>AGOSTO    2017</t>
  </si>
  <si>
    <t>SEPTIEMBRE    2017</t>
  </si>
  <si>
    <t>OCTUBRE    2017</t>
  </si>
  <si>
    <t>NOVIEMBRE    2017</t>
  </si>
  <si>
    <t>DICIEMBRE    2017</t>
  </si>
  <si>
    <t>Comisiòn Federal de Electricidad, compensaciòn en apoyo de reconecciòn de luz en Cuchilla</t>
  </si>
  <si>
    <t>Cuartel de Bomberos, compensaciòn en corte de troncos, dragado casas edif inundadas</t>
  </si>
  <si>
    <t>Cadena Comercial Oxxo, S.A. de C.V. compra de refrescos para personal de bomberos</t>
  </si>
  <si>
    <t>Personal Delegaciòn, compensaciòn en apoyo de caiòn bactor por desasolve y limpieza fracc.</t>
  </si>
  <si>
    <t>Cadena Comercial Oxxo, S.A. de C.V. compra de refrescos para personal delegaciòn</t>
  </si>
  <si>
    <t>Camiòn de basura, recolecciòn de troncos y ramas de tromba que sucedió el 30 de mayo/17</t>
  </si>
  <si>
    <t>Tienda, compra de refrescos para personal delegaciòn trabajos de barrer todo el fracc</t>
  </si>
  <si>
    <t>Sabine Pèrez, pago de comidas para cuadrilla delegaciòn por barrer ojarasca coladeras</t>
  </si>
  <si>
    <t>Grisela Peralta, compra de helados para personal de vigilancia por su buen desempeño</t>
  </si>
  <si>
    <t>Gloria Mazzòn, pago de honorarios por captura de datos del 29 may al 03 junio/17</t>
  </si>
  <si>
    <t>Roberto Miranda, pago en apoyo de barrer Zinampa hojas pegadas en piso despues de tromba</t>
  </si>
  <si>
    <t>Personal Gama, compensaciòn en sopleterar explanada y ejercitadores despues de tromba</t>
  </si>
  <si>
    <t>Constantino Cabrera, pago por poda de pasto del 30 al 03 junio/17 del fraccionamiento</t>
  </si>
  <si>
    <t>Cadena Comercial Oxxo, S.A. de C.V. compra de café y refrescos para mesa de cobranza domingo</t>
  </si>
  <si>
    <t>Gloria Mazzòn, pago en apoyo de cobranza domingo 04 de junio/17</t>
  </si>
  <si>
    <t>Electropura, S de R.L. de C.V. compra de 10 garrafones de agua para casetas del fraccionamiento</t>
  </si>
  <si>
    <t>Cuadrilla Delegaciòn, compensaciòn por arregalar luminarias Upacuaro y reflector Recoveco</t>
  </si>
  <si>
    <t xml:space="preserve">CFE, pago por reparaciòn transformador en cafetales, que explotò </t>
  </si>
  <si>
    <t>Entrega a Grisela Peralta cobranza primer domingo de junio/17</t>
  </si>
  <si>
    <t>Telefonos de Mèxico, SAB, de C.V. pago del mes de mayo/17</t>
  </si>
  <si>
    <t>SAT Servicio de Administración Tributaría, pago retención IVA colegio Carmel jun/17 Ch. # 77</t>
  </si>
  <si>
    <t>Contador Carlos Siegrist Hernández, pago de honorarios del mes de junio/17 Ch. #77</t>
  </si>
  <si>
    <t>Advanced Servicio CCTV y Còmputo, compra de material de limpieza de lente de camara</t>
  </si>
  <si>
    <t>Advanced Servicio CCTV y Còmputo, compra de botoneera para plumas entrada y salida</t>
  </si>
  <si>
    <t>Estacionamiento, Grisela Peralta, pago de estacionamiento junta con contador Siegrist</t>
  </si>
  <si>
    <t>Tienda, compra de café personal de mesa directiva visita al contador Siegrist</t>
  </si>
  <si>
    <t>Personal Gama, compensaciòn por encontrar a la persona que entrego credencial perdida</t>
  </si>
  <si>
    <t>Personal Gama, compra de vidrio y corte para ventanas de caseta Recoveco</t>
  </si>
  <si>
    <t>Gloria Mazzòn Soto, pago de honorarios por captura de datos del 05 al 09 de junio/17</t>
  </si>
  <si>
    <t>Gloria Mazzòn Soto, pago en apoyo de cobranza domingo 10 de junio/17</t>
  </si>
  <si>
    <t>Electropura S. de R.L. de C.V. compra de 10 garrafones para casetas</t>
  </si>
  <si>
    <t>Cadena Comercial Oxxo, S.A. de C.V. compra de café y refrescos para mesa de cobranza</t>
  </si>
  <si>
    <t>Constantino Cabrera, pago por poda de pasto del 06 al 09 de junio/17</t>
  </si>
  <si>
    <t>Taquerìa Carnitas Chela, compra de comida para personal delegaciòn de gama recolecciòn tron</t>
  </si>
  <si>
    <t>Grupo Gama, compra de helados por su buen desempeño</t>
  </si>
  <si>
    <t>Cuadrilla Delegaciòn, compensaciòn por llevarse troncos y ramas del parque</t>
  </si>
  <si>
    <t>Cadena Comercial Oxxo, S.A. de C.V. compra de refrescos para personal de mesa directiva</t>
  </si>
  <si>
    <t>Entrega a Grisela Peralta cobranza segundo domingo de junio/17</t>
  </si>
  <si>
    <t>Cadena Comercial Oxxo, S.A. de C.V. compra de refrescos para junta de mesa con vigilancia</t>
  </si>
  <si>
    <t>Advanced Servicio CCTV y Còmputo, pago de 1 respaldo de video recoveco</t>
  </si>
  <si>
    <t>Constantino Cabrera, compensaciòn en recorte de pasto</t>
  </si>
  <si>
    <t>Servicio Robledo, S.A. de C.V. pago gasolina para presidenta varias diligencia del fracccionami</t>
  </si>
  <si>
    <t>Office Depot de Mèxico, S.A. de C.V., compra de engrapadora para tesorerìa</t>
  </si>
  <si>
    <t>RC Operadora de Cafeterias S.A. de C.V. junta de mesa directiva visita a notarìa</t>
  </si>
  <si>
    <t>Fuentes Plaza A.C. pago de estacionamiento visita a notaria mesa directiva</t>
  </si>
  <si>
    <t>Roberto Miranda, compensaciòn por recolecciòn de pasto podado por la delegaciòn</t>
  </si>
  <si>
    <t>Constantino Cabrera, compra de material para para podadora del fraccionamiento</t>
  </si>
  <si>
    <t>Pedro Bazzan, pago por recolecciòn de basura en todo el fracc de lunes a viernes 1er quincena</t>
  </si>
  <si>
    <t>Roberto Miranda, pago por barrer todo el fracc de lunes a viernes de la 1er quincena de junio/17</t>
  </si>
  <si>
    <t>Guardìas y Custodìas Gama, pago a/c de 1er quincena de junio/17</t>
  </si>
  <si>
    <t>Guardìas y Custodìas Gama, pago liq de 1er quincena de junio/17 cheque # 78</t>
  </si>
  <si>
    <t>Grisela Peralta, pago de la 1er quincena de junio/17</t>
  </si>
  <si>
    <t>Gloria Mazzòn Soto, pago de honorarios por captura de datos del 12 al 16 de junio/17</t>
  </si>
  <si>
    <t>Constantino Cabrera, pago por poda de pasto del 13 al 17 de junio/17</t>
  </si>
  <si>
    <t>Gloria Mazzòn Soto, pago en apoyo de cobranza domingo 18 de junio/17</t>
  </si>
  <si>
    <t>Roberto Miranda, pago en apoyo de juntar todo el pasto podado porla delegaciòn</t>
  </si>
  <si>
    <t>Patrulla 007, compensaciòn en apoyo de rondines en todo el fraccionamiento</t>
  </si>
  <si>
    <t>Entrega a Grisela Peralta, cobranza del tercer domingo de junio/17</t>
  </si>
  <si>
    <t>Cadena Comercial Oxxo, S.A. de C.V. compra de refrescos para personal delegaciòn poda de pasto</t>
  </si>
  <si>
    <t>Ferreterìa y Tlapalerìa BYN, compra de 1 candado para escalera del fraccionamiento</t>
  </si>
  <si>
    <t>Advanced Servicio CCTV y Còmputo, compra de material para recondicionar 6 camaras en ZB</t>
  </si>
  <si>
    <t>Deposito cheque colegio Carmel pago de mantenimiento mes de junio/17</t>
  </si>
  <si>
    <t>Sra. Yolanda, compra de despensa para Caseta de Romeral</t>
  </si>
  <si>
    <t>Advanced Servicio CCTV y Còmputo, pago  de instalaciòn y tendido camaras Upacuaro</t>
  </si>
  <si>
    <t>Office Depot de México, S.A. de C.V., compra de papelería para presidencia</t>
  </si>
  <si>
    <t>Office Depot de Mèxico, S.A. de C.V., pago de enmicado de credenciales personal de servicio</t>
  </si>
  <si>
    <t>Personal Gama, compra de material y mano de obra corto en caseta Romeral</t>
  </si>
  <si>
    <t>Guardías y Custodías Gama, pago a/c de la 2da quincena de junio/17</t>
  </si>
  <si>
    <t>Cadena Comercial Oxxo, S.A. de C.V. compra de refrescos para personal que recogio pasto parque</t>
  </si>
  <si>
    <t>Gloria Mazzón Soto, pago de honorarios del 19 al 23 de junio/17</t>
  </si>
  <si>
    <t>Roberto Miranda, compensación por barrer todo el pasto y hacer montones para que se lo lleven</t>
  </si>
  <si>
    <t>Cadena Comercial Oxxo, S.A. de C.V., compra de café y refrescos para mesa de cobranza</t>
  </si>
  <si>
    <t>Fam. Fuentes UP_46 pago transferencia bancaria del mes de junio/17</t>
  </si>
  <si>
    <t xml:space="preserve">Fam. Sánchez Vega  CL_29 pago transferencia bancaria de junio/17 </t>
  </si>
  <si>
    <t>Entrega a Grisela Peralta cobranzaa 4to domingo junio/17</t>
  </si>
  <si>
    <t>Entrega a Grisela Peralta cobranza del 26 al 30 de junio/17</t>
  </si>
  <si>
    <t>Pedro Bazzan, pago por recolecciòn de pabusra 2da quincena de juni/17</t>
  </si>
  <si>
    <t>Roberto Miranda, pago por barrer todo el fracc de lunes a viernes de la 2da quincena de junio/17</t>
  </si>
  <si>
    <t>Advanced Servicio CCTV y Còmputo, pago por reparaciòn de pluma y camara del parque</t>
  </si>
  <si>
    <t>Advanced Servicio CCTV y Còmputo, compra de 3 eliminadores 2 para plumas y 1 para camara par</t>
  </si>
  <si>
    <t>Guardìas y Custodias Gama, pago a/c de 2da. Quincena de junio/17</t>
  </si>
  <si>
    <t>Gloria Mazzòn Soto, pago de honorarios por captura de datos del 26 al 30 de junio/17</t>
  </si>
  <si>
    <t>Grisela Peralta Portuga, pago de la 2da. Quincena de junio/17</t>
  </si>
  <si>
    <t>Constantino Cabrera, pago por poda de pasto del parque del 27 de junio al 01 de julio/17</t>
  </si>
  <si>
    <t>Pedro Bazzan, pago por recolecciòn de basura del fraccionamiento en domingo</t>
  </si>
  <si>
    <t>Cadena Comercial Oxxo, S.A. de C.V. compra de cafè y refrescos mesa de cobranza y vigilancia</t>
  </si>
  <si>
    <t>Gloria Mazzón Soto, pago en apoyo de cobranza domingo 02 de julio/17</t>
  </si>
  <si>
    <t>Manuel Olivares, compensación en ayuda a bomberos a las 3:00 AM en fraccionamieno</t>
  </si>
  <si>
    <t>Nueva Walmart de México, S de R.L. de C.V., compra de material de limpieza para casetas</t>
  </si>
  <si>
    <t>Entrega a Grisela Peralta, cobranza 1er domingo de julio/17</t>
  </si>
  <si>
    <t>Cadena Comercial Oxxo, S.A. de C.V., compra de refrescos para personal camión basura pasto</t>
  </si>
  <si>
    <t>Grisela Peralta Portugal, compra de helados para vigilancia buen desempeño en fraccionamiento</t>
  </si>
  <si>
    <t>Constantino Cabrera, compra de material para recorte de pasto del fraccionamiento</t>
  </si>
  <si>
    <t>Andrea Concepciòn Marquez Villasñor, pago de 1000 recibos de cobranza del fraccionamieno</t>
  </si>
  <si>
    <t>Cerrajerìa y Plomerìa Azul, pago de cambio de llave y manguera en caseta de Zinampa</t>
  </si>
  <si>
    <t>Gloria Mazzòn Soto, pago de honorarios por captura de datos del 03 al 07 de julio/17</t>
  </si>
  <si>
    <t>Constantino Cabrera, pago por poda de pasto de parque del 04 al 08 de julio/17</t>
  </si>
  <si>
    <t>Comercial City Fresko, S. de R.L. de C.V., compra de papel bond para presidencia y tesoreria</t>
  </si>
  <si>
    <t>Advanced Servicio CCTV y Còmputo, pago por reparaciòn de tendido de cable en calle CL y RV</t>
  </si>
  <si>
    <t>Advanced Servicio CCTV y Còmputo, Compra de 1 no-breck capacidad 2,400 vch</t>
  </si>
  <si>
    <t>Advanced Servicio CCTV y Còmputo, compra de material para monitor y colocaciòn de no-break</t>
  </si>
  <si>
    <t>Advanced Servicio CCTV y Còmputo, pago mano de obra de reparaciòn de no-break</t>
  </si>
  <si>
    <t>Advanced Servicio CCTV y Còmputo, pago total por terminar de colocar circuito camaras Upacua</t>
  </si>
  <si>
    <t>Felipe Torres, pago por trabajo de herrerìa en uerta de entra vehicular</t>
  </si>
  <si>
    <t>Cadena Comercial Oxxo, S.A. de C.V., compra de café y refrescos para mesa de cobranza y vigilanc</t>
  </si>
  <si>
    <t>Gloria Mazzòn, pago en apoyo de cobranza domingo 09 de julio/17</t>
  </si>
  <si>
    <t>Entrega a Grisela Peralta, cobranza 2do. Domingo de julio/17</t>
  </si>
  <si>
    <t>Office Depot de Mèxico, S.A. de C.V., compra de 1 cartucho para impresiòn tesoreria</t>
  </si>
  <si>
    <t>Patrulla 007, compensaciòn por rondines en la noche en todo el fraccionamiento</t>
  </si>
  <si>
    <t>Advanced Servicio CCTV y Còmputo, compra de 1 conector de 3 y pilas para control de pluma</t>
  </si>
  <si>
    <t>Advanced Servicio CCTV y Còmputo, compra de 1 No-Break para Cuchilla y Estopila</t>
  </si>
  <si>
    <t>Advanced Servicio CCTV y Còmputo, compra de eliminadores que se apagaron en chubasco</t>
  </si>
  <si>
    <t>Advanced Servicio CCTV y Còmputo, compra de 2 tranceptores para circuito de Cuchilla</t>
  </si>
  <si>
    <t>Telefonos de Mèxico, SAB de C.V. pago de telefono del mes de julio/17</t>
  </si>
  <si>
    <t>Plomeria y Cerrajerìa Azul, pago por trabajos de instalaciòn electrica y ateriales caseta Zinampa</t>
  </si>
  <si>
    <t>Abraham Morales Paz, compra de materiales y grasa para puertas de acceso peatonal</t>
  </si>
  <si>
    <t>Tienda, compra de refrescos cuadrilla de iluminaciòn</t>
  </si>
  <si>
    <t>Electropura, S de R.L. de C.V. compra de 2 garrafones adicionales para casetas</t>
  </si>
  <si>
    <t>Guardìas y Custodias Gama, pago a/c de 1er. Quincena de julio/17</t>
  </si>
  <si>
    <t>Guardìas y Custodias Gama, pago liq de 1er Quincena de julio/17</t>
  </si>
  <si>
    <t>Roberto Miranda, pago por barrer todo el frac, de lunes a viernes 1er quincena julio/17</t>
  </si>
  <si>
    <t>Constantino Cabrera, pago por poda de pasto del parque del 11 al 15 de julio/17</t>
  </si>
  <si>
    <t>Grisela Peralta Portugal, pago de la 1er quincena de julio/17</t>
  </si>
  <si>
    <t>Gloria Mazzón Soto, pago en apoyo a cobranza domingo 16 de julio/17</t>
  </si>
  <si>
    <t>Pedro Bazzan, pago por recolección de basura en frac de lunes a viernes 1er quincena julio/17</t>
  </si>
  <si>
    <t>Gloria Mazzón Soto, pago de honorarios del 10 al 14 de julio/17</t>
  </si>
  <si>
    <t>Entrega a Grisela Peralta, cobranza 3er. Domingo de julio/17</t>
  </si>
  <si>
    <t>Grisela Peralta, compra de refrescos para personal de CFE trabajo en Upacuaro falta de luz</t>
  </si>
  <si>
    <t>Sistemas de Computo, pago por elaboraciòn de credenciales personal de servicio del fracc</t>
  </si>
  <si>
    <t>Olegario Vàzquez, compensaciòn por poda de àrbol que tapa camra en Romeral</t>
  </si>
  <si>
    <t>Advanced Servicio CCTV y Còmputo, compra de 10 tarjetas porcard ID</t>
  </si>
  <si>
    <t>Advanced Servicio CCTV y Còmputo, compra de 1 camara HD para Landero</t>
  </si>
  <si>
    <t>Advanced Servicio CCTV y Còmputo, pago de mano de obra en tendido corto en Romeral-Landero</t>
  </si>
  <si>
    <t>Advanced Servicio CCTV y Còmputo, compra de Eliminador de RV 2 amp para Cuchilla</t>
  </si>
  <si>
    <t>Distribuidora el Bollo Cafetales, S.A. de C.V. compra de pastel para vigilancia</t>
  </si>
  <si>
    <t>Cadena Comercial Oxxo, S.A. de C.V. compra de platos, ccharas y vasos para vigilancia</t>
  </si>
  <si>
    <t>Guardìas y Custodìas Privadas Gama, pago a/c de la 2da. Quincena de julio/17</t>
  </si>
  <si>
    <t>Gloria Mazzòn Soto, pago de honorarios por captura del 17 al 21 de julio/17</t>
  </si>
  <si>
    <t>Constantino Cabrera, pago por poda de pasto del 18 al 22 de julio/17</t>
  </si>
  <si>
    <t>Entrega a Grisela Peralta, cobranza 4to Domingo de julio/17</t>
  </si>
  <si>
    <t>Entrega a Grisela Peralta, cobrnaza entre semana del 24 al 28 de julio/17</t>
  </si>
  <si>
    <t>Gloria Mazzòn Soto, pago en apoyo a cobranza domingo 23 de julio/17</t>
  </si>
  <si>
    <t>Copyfaz Digital, pago de copias para informes del fraccionamiento</t>
  </si>
  <si>
    <t>Cadena Comercial Oxxo, S.A. de C.V. compra de agua y refrescos junta con Notarìa mesa directiva</t>
  </si>
  <si>
    <t>Fuentes Plaza, A.C. pago de estacionamiento visita a Notaria cambio de mesa directiva</t>
  </si>
  <si>
    <t>Advanced Servicio CCTV y Còmputo, a/c de compra de bobina para camara de Cuchilla</t>
  </si>
  <si>
    <t>Guardìas y Custodìas Privadas Gama, pago a/c de la 2da. Quincena de julio/17 cheque # 90</t>
  </si>
  <si>
    <t>Guardìas y Custodìas Privada Gama, pago liq 2da. Quincena de junio/17 cheque # 84</t>
  </si>
  <si>
    <t>Gloria Mazzón, pago en apoyo de cobranza domingo 30 de julio/17</t>
  </si>
  <si>
    <t>Roberto Miranda, pago por barrer todo el frac, de lunes a viernes 2 da. quincena julio/17</t>
  </si>
  <si>
    <t>Gloria Mazzón Soto, pago de honorarios del 24 al 28 de julio/17</t>
  </si>
  <si>
    <t>Constantino Cabrera, pago por poda de pasto del 25 al 29 de julio/17</t>
  </si>
  <si>
    <t>Pedro Bazzan, pago por recolección de basura de lunes a viernes de la 2da quincena de julio/17</t>
  </si>
  <si>
    <t xml:space="preserve">Fam. Sánchez Vega  CL_29 pago transferencia bancaria de julio/17 </t>
  </si>
  <si>
    <t>Fam. Fuentes UP_46 pago transferencia bancaria del mes de julio/17</t>
  </si>
  <si>
    <t>Deposito cheque colegio Carmel pago de mantenimiento mes de julio/17</t>
  </si>
  <si>
    <t>Entrega a Grisela Peralta del 4to. Domingo de julio/17</t>
  </si>
  <si>
    <t>Fantasia Miguel, S.A. de C.V., compra de base de madera para credenciales de personal de limpiez</t>
  </si>
  <si>
    <t>Operadora Central de Estacionamiento SAPI de C.V. pago de estacionamiento compra base madera</t>
  </si>
  <si>
    <t>Tienda, compra de refrescos para personal de vigilancia</t>
  </si>
  <si>
    <t>Distribuidora El Bollo Cafetales, S.A. de C.V., compra de pastel para vigilancia</t>
  </si>
  <si>
    <t>Guardìas y Custodìas Privadas Gama, pago liq. de la 2da. Quincena de julio/17</t>
  </si>
  <si>
    <t>Cadena Comercial Oxxo, S.A. de C.V. compra de refrescos para vigilancia</t>
  </si>
  <si>
    <t>Advanced Servicio CCTV y Còmputo, pago p9or configuraciòn de 10 tarjetas procard dx</t>
  </si>
  <si>
    <t>Advanced Servicio CCTV y Còmputo, compra de 2 eliminadores de 12 volts camaras LD, ZB y RM</t>
  </si>
  <si>
    <t>Personal Gama, compensaciòn en apoyo de corte de pasto en banquetas de RM en casetas</t>
  </si>
  <si>
    <t>Grisela Peralta Portugal, pago de la 2da. Quincena de julio/17</t>
  </si>
  <si>
    <t>Advanced Servicio CCTV y Còmputo, compra de 10 portatarjetas para procard dx</t>
  </si>
  <si>
    <t>Advanced Servicio CCTV y Còmputo, mantenimiento a camaras UP y ambio de tranceptores</t>
  </si>
  <si>
    <t>Advanced Servicio CCTV y Còmputo pago de mano de obra en reparaciòn y colocaciòn de 2 conec</t>
  </si>
  <si>
    <t>Camiòn Basura, pago por llevarse costales de bajo de escaleras de resbaladillas del parque</t>
  </si>
  <si>
    <t>Grisela Peralta, compra de helados a personal de vigilancia por su buen desempeño en fracciona</t>
  </si>
  <si>
    <t>Copyfaz Digital, pago de enmicado de credenciales para personal de servicio del fraccionamiento</t>
  </si>
  <si>
    <t>Jovenes del fraccionamiento, compensaciòn en apoyo de doblar y entregar informe en todo el frac</t>
  </si>
  <si>
    <t>Centro de Copiado y Papelerìa, pago por 1,800 copias para informe del fraccionamiento</t>
  </si>
  <si>
    <t>Advanced Servicio CCTV y Còmputo compa de 1 arquete de 10 tenzores 18 c/u</t>
  </si>
  <si>
    <t>Advanced Servicio CCTV y Còmputo, compra de lente varifocal toshiba de camara profesional RM</t>
  </si>
  <si>
    <t>Patrulla 007, compensaciòn por patrullaje en fraccionamiento en especial por las noches</t>
  </si>
  <si>
    <t>Constantino Cabrera, compra de material para solador y poda del parque del fraccionamiento</t>
  </si>
  <si>
    <t>Istael Galan Quintin, compra de 15 duplicado de llaves acceso peatonal fracciionamiento ch #91</t>
  </si>
  <si>
    <t>Advanced Servicio CCTV y Còmputo compra de cable UTP y 11 tendidio de cable ch. #92</t>
  </si>
  <si>
    <t>Gloria Mazzòn Soto, pago de honorarios por captura de datos del 21 de julio al 04 de agosto/17</t>
  </si>
  <si>
    <t>Electropura, S de R.L. de C.V. compra de 3 garrafones de agua para casetas del fraccionamiento</t>
  </si>
  <si>
    <t>Personal Gama, compensaciòn de recolecciòn basuraa y quitar dodos los posters del fraccionam</t>
  </si>
  <si>
    <t xml:space="preserve">Fuentes Plaza, A.C. pago estacionamiento visista a notarìa </t>
  </si>
  <si>
    <t>Constantino Cabrera, pago por poda de pasto del 01 al 05 de agosto 17</t>
  </si>
  <si>
    <t>Pedro Bazzan, pago por recolecciòn de basura en fines de semana de todo el fraccionamiento</t>
  </si>
  <si>
    <t>Pedro Bazzan, pago por recolecciòn de pasto podado entre semanada</t>
  </si>
  <si>
    <t>Cadena Comercial Oxxo, S.A. de C.V. compra de café y refrescos para mesa de cobranza y vigilanc</t>
  </si>
  <si>
    <t>Nueva Walmart de Mèxico, S. de R.L. de C.V., compra de materiales de limpieza para casetas del fr</t>
  </si>
  <si>
    <t>Entrega a Grisela Peralta del 1er domingo de agosto/17</t>
  </si>
  <si>
    <t>Gloria Mazzòn Soto, pago en apoyo de cobranza domingo 06 de agosto/17</t>
  </si>
  <si>
    <t>Electropura, S. de R.L. de C.V., compra de 10 garrafones de auga para casetas del fraccionamiento</t>
  </si>
  <si>
    <t xml:space="preserve">Advanced Servicio CCTV y Còmputo, pago mano de obra en baja de sistema tarjetas </t>
  </si>
  <si>
    <t>Advanced Servicio CCTV y Còmputo, pago de mano de obra en sustituciòn de camara para LD</t>
  </si>
  <si>
    <t>Advanced Servicio CCTV y Còmputo, compra de camara en material policarbonato  para LD</t>
  </si>
  <si>
    <t>Advanced Servicio CCTV y Còmputo, compra de telefono fijo para caseta RM</t>
  </si>
  <si>
    <t>Advanced Servicio CCTV y Còmputo, compra telefono inalambrico para caseta</t>
  </si>
  <si>
    <t>Advanced Servicio CCTV y Còmputo, recupperaciòn de cuenta de outlook lapto de tesoreria</t>
  </si>
  <si>
    <t>Advanced Servicio CCTV y Còmputo, pago por arreglo de celular de presidencia</t>
  </si>
  <si>
    <t>Personal Gama, compensaciòn por quitar toda la propagandas de afuera del fraccionamiento</t>
  </si>
  <si>
    <t>Comercial City Fresko, S de R.L. de C.V. pago estacionamiento compra de pastel</t>
  </si>
  <si>
    <t>Comercial City Fresko, S. de R.L. DE c.v. compra  pastel  cuartel de bomberos aportaciòn del fracc</t>
  </si>
  <si>
    <t>Telefonos de Mexico SAB de C.V. pago del mes de julio/17</t>
  </si>
  <si>
    <t>Roberto Gama, compensaciòn por quitar propaganda por dentro del fraccionamiento</t>
  </si>
  <si>
    <t>Copyfaz Digital, pago de copias para presidencia</t>
  </si>
  <si>
    <t>Sistemas de Còmputo, pago por hacer credenciales de servicio de aseo del fraccionamiento</t>
  </si>
  <si>
    <t>Entrega a Grisela Peralta del 2do. Domingo de agosto/17</t>
  </si>
  <si>
    <t>Gloria Mazzòn Soto pago de honorarios por captura de datos del 07 al 11 de agosto/17</t>
  </si>
  <si>
    <t>Radec, compra de gasolina para presidencia varias diligencias del fraccionamiento</t>
  </si>
  <si>
    <t>Constantino Cabrera, pago por poda de pasto del 08 al 12 de agosto/17</t>
  </si>
  <si>
    <t>Office Depot de Mèxico, S.A. de C.V. compra de cartuchos para impresora tesoreria</t>
  </si>
  <si>
    <t>Office Depot de Mèxico, S.A. de C.V. compra de toner de impresora para presidencia</t>
  </si>
  <si>
    <t>Grisela Peralta, compra de refrescos para cuadrilla de luminarias delegaciòn arreglo parque</t>
  </si>
  <si>
    <t>Advanced Servicio CCTV y Còmputo, compra de materiales para colocaciòn camara Estopila</t>
  </si>
  <si>
    <t>Advanced Servicio CCTV y Còmputo, pago por mano de obra de camara en Estopila</t>
  </si>
  <si>
    <t>Gloria Mazzòn Soto, pago en apoyo de cobranza domingo 13 de agosto/17</t>
  </si>
  <si>
    <t>Electropura S. de R.L. de C.V. compra de 5 garrafones de agua para casetas del fraccionamiento</t>
  </si>
  <si>
    <t>Grisela Peralta, pago de la 1er quincena de agosto/17</t>
  </si>
  <si>
    <t>Roberto Miranda pago por barrer fracc de lunes a viernes 1er quincena de agosto/17</t>
  </si>
  <si>
    <t>Pedro Bazzan, pago por recolecciòn basura entre semana 1er quincena</t>
  </si>
  <si>
    <t>Olegario Gama, compensaciòn por recortar pasto de caseta Romeral banquetas</t>
  </si>
  <si>
    <t>Adcoapa, S.A. de C.V. pago estacionamiento para compra de papelerìa</t>
  </si>
  <si>
    <t>Asunciòn Dominguez, pago por barrer y recolecciòn de pasto parque 3 dias</t>
  </si>
  <si>
    <t>Gloria Mazzòn Soto, pago de honorarios por captura de datos del 13 al 18 de agosto/17</t>
  </si>
  <si>
    <t>Guardìas y Custodìas Privadas Gama, pago a/c. de la 1er. Quincena de agosto/17 (1)</t>
  </si>
  <si>
    <t>Guardìas y Custodìas Privadas Gama, pago a/c. de la 1er. Quincena de agosto/17 (2)</t>
  </si>
  <si>
    <t>Guardìas y Custodìas Privadas Gama, pago a/c. de la 1er. Quincena de agosto/17 (3)</t>
  </si>
  <si>
    <t>Guardìas y Custodìas Privadas Gama, pago liquidaciòn 1er quincena agosto/17 cheque #96 (4)</t>
  </si>
  <si>
    <t>Apolinar De La Cruz, compra de 1 paraguas para mesa de cobranza</t>
  </si>
  <si>
    <t>Entrega a Grisela Peralta cobranza entre la 2ª semana de agosto/17</t>
  </si>
  <si>
    <t>Ferre Elèctrica Reyesa, compra de 1 brocha para pintar barda del fraccionamiento</t>
  </si>
  <si>
    <t>Comercializadora Caspin, S.A. de C.V. compra de pintura para barda del fraccionamiento</t>
  </si>
  <si>
    <t>Constantino Cabrera, pago poda de pasto fraccionamiento del 15 al 19 de agosto/17</t>
  </si>
  <si>
    <t>Pedro Bazzan, pago por recolección de basura en fraccionamiento fin de semana</t>
  </si>
  <si>
    <t>Centro de Copiado y Papelelría Omega, pago por impresiones a color y papelería</t>
  </si>
  <si>
    <t>Centro de Copiado y Papelería Omega, pago de 400 copias para informe fraccionamieinto</t>
  </si>
  <si>
    <t>Entrega a Grisela Peralta cobranza 2° semana de agosto/17</t>
  </si>
  <si>
    <t xml:space="preserve">Estacionamiento Don Jose, pago estacionamiento visita Notaria </t>
  </si>
  <si>
    <t>Servicio Agua Brava, S.A. de C.V. pago de gasolina para presidencia varias diligencias fraccionami</t>
  </si>
  <si>
    <t>Electropura, S. de R.L. de C.V., compra de 14 garrafones de agua para casetas del fraccionamiento</t>
  </si>
  <si>
    <t>Advanced Servicio CCTV y Cómputo, Compra de materiales para pluma de Recoveco</t>
  </si>
  <si>
    <t>Estacionamiento visita a Bomberos mesa directiva</t>
  </si>
  <si>
    <t>Constantino Cabrera, pago poda de pasto fraccionamiento del 22 al 26 de agosto/17</t>
  </si>
  <si>
    <t>Guardías y Custodías Privadas Gama, S.A. de C.V. pago a/c 2° quincena agosto/17 (1)</t>
  </si>
  <si>
    <t>Guardìas y Custodìas Privadas Gama, S.A. de C.V. pago a/c 2ª quincena agosto/17 (2)</t>
  </si>
  <si>
    <t>Personal Gama, compensaciòn en apoyo de corte de arbolitos zona de Zinamapa</t>
  </si>
  <si>
    <t>Manuel Gama, compensaciòn en pintar barda y en quitar promociones de puertas fraccionamien</t>
  </si>
  <si>
    <t xml:space="preserve">Asunciòn Dominguez, compensaciòn en recolecciòn de pasto podado </t>
  </si>
  <si>
    <t>Gloria Mazzòn Soto pago de honorarios por captura de datos del 21 al 25 de agosto/17</t>
  </si>
  <si>
    <t>Deposito cheque colegio Carmel pago de mantenimiento mes de agosto/17</t>
  </si>
  <si>
    <t>Personal Gama, compensaciòn por arreglo parque y caseta Romeral, tirar costales de basura</t>
  </si>
  <si>
    <t>Personal Gama, compensaciòn por ayuda a recolecciòn de pasto del parque fraccionamiento</t>
  </si>
  <si>
    <t>Entrega a Grisela Peralta cobranza 3° semana de agosto/17 entre semana</t>
  </si>
  <si>
    <t>Pedro Bazzan , pago por recolecciòn de basura del fraccionamiento de lunes a viernes de la 2ª qn</t>
  </si>
  <si>
    <t>Grisela Peralta, compra de agua para mesa directiva, visita a notaria</t>
  </si>
  <si>
    <t>Centro de Copiado y Papelerìa Omega, pago de copias para informe al fraccionamiento</t>
  </si>
  <si>
    <t>Cadena Comercial Oxxo, S.A. de C.V. compra de garrafones de agua para caseta de Romeral</t>
  </si>
  <si>
    <t>Grisela Peralta, compra de agua para casetas por inventario en ellas</t>
  </si>
  <si>
    <t>Guardìas y Custodìas Privadas Gama, S.A. de C.V. pago a/c 2ª quincena agosto/17 (3)</t>
  </si>
  <si>
    <t>Entrega  Grisela Peralta cobranza del 29 al 31 de agosto/17 entre semana</t>
  </si>
  <si>
    <t>Entrega a Grisela Peralta cobranza del 3ª domingo de cobranza de agosto/17</t>
  </si>
  <si>
    <t>Roberto Miranda pago por barrer fracc de lunes a viernes 2da. quincena de agosto/17</t>
  </si>
  <si>
    <t>Grisela Peralta Portugal, pago de la 2da. Quincena de agosto/17</t>
  </si>
  <si>
    <t>Fam. Gonzalez EZ_15_A pago transferencia bancaria paga jul/ago/sep//17</t>
  </si>
  <si>
    <t>Fam. Fuentes UP_46 pago transferencia bancaria del mes de agosto/17</t>
  </si>
  <si>
    <t xml:space="preserve">Fam. Sánchez Vega  CL_29 pago transferencia bancaria de agosto/17 </t>
  </si>
  <si>
    <t>Asunción Dominguez, pago por barrer y recolección de pasto en mojado para el camión de basura</t>
  </si>
  <si>
    <t>Estacionamiento, para recoger cheque de asuguradora</t>
  </si>
  <si>
    <t>Gala Servicio, S.A. de C.V. pago de gasolina varias diligencias de la Mesa Directiva</t>
  </si>
  <si>
    <t>Cadena Comercial Oxxo, S.A. de C.V. compra de refrescos para junta de entrega de Mesa Directiva</t>
  </si>
  <si>
    <t>Entrega a Grisela Peralta, siniestro de 6 camaras cable roto por camión de basura</t>
  </si>
  <si>
    <t>Entrega a Grisela Peralta, sinientro de pluma de Zinampa</t>
  </si>
  <si>
    <t>Guardías y Custodías Privadas Gama, S.A. de C.V. pago liq. 2° quincena de agosto/17 ch. #97</t>
  </si>
  <si>
    <t>Advanced Servicio CCTV y Cómputo, pago de mano de obra en instalción de cableado aereo frac</t>
  </si>
  <si>
    <t xml:space="preserve">Advanced Servicio CCTV y Cómputo, compra de 1 bobina de cable UTP categoria 6 </t>
  </si>
  <si>
    <t>Proyectos Recperaciones e Inspecciones de Mexico, reparación de pluma de salida del fracc</t>
  </si>
  <si>
    <t>Asunción Dominguez, compensación en apoyo de mantenimiento puerta vehicular Landero</t>
  </si>
  <si>
    <t xml:space="preserve">Advanced Servicio CCTV y Cómputo, compra de lincencia windows 7 para nueva presidenta </t>
  </si>
  <si>
    <t>Advanced Servicio CCTV y Cómputo, pago de instación de software windows 7 para presidencia</t>
  </si>
  <si>
    <t>Gloria Mazzón Soto, pago de honorarios por captura de datos del 28 de agosto al 01 de sep/17</t>
  </si>
  <si>
    <t>Constantino Cabrera, pago poda pasto del parque del 29 de ago al 02 de sep/17</t>
  </si>
  <si>
    <t>Gloria Mazzón Soto, pago en apoyo de junta cambio de mesa directiva sabado 02 sep/17</t>
  </si>
  <si>
    <t>Entrega a Grisela Peralta cobranza del 01 de septiembre/17</t>
  </si>
  <si>
    <t>Entrega a Dolores Mijangos Peralta, cobranza del 1er domingo de septiembre/17</t>
  </si>
  <si>
    <t>Entrega a Dolores Mijangos Peralta, cobranza 1er domingo cheque 0229 HSBC</t>
  </si>
  <si>
    <t>Cadena Comercial Oxxo, S.A. de C.V. compra de café y refrescos para mesa de cobranza y vigilan</t>
  </si>
  <si>
    <t>Pedro Bazzan, pago por recolección de basura en fines de semana</t>
  </si>
  <si>
    <t>Electropura, S. de R.L. de C.V. compra de 8 garrafones de agua para casetas del fraccionamiento</t>
  </si>
  <si>
    <t>Copifaz Digital, pago de 1 enmicado de listo de pagos figos del mes para presidencia</t>
  </si>
  <si>
    <t>Radiomovil Dipsa, S.A. de C.V. compra de telefono para mesa directiva</t>
  </si>
  <si>
    <t>Radiomovil Dipsa, S.A. de C.V. compra de chip para telefono de mesa directiva</t>
  </si>
  <si>
    <t>Estacionamiento Cuemanco, compra de telefono y chip para presidencia</t>
  </si>
  <si>
    <t>Estacionamiento Cuemanco, compra de materiales para limpieza</t>
  </si>
  <si>
    <t>Estacionamiento, reunión de mesa directiva con comité vecinal</t>
  </si>
  <si>
    <t>Nueva Walmart de México, S. de R.L. de C.V. compra de Impresora y 2 tintas para tesoreria</t>
  </si>
  <si>
    <t>Office Depot de México, S. de R.L. de C.V. compra de papelería para Presidencia y Tesoreria</t>
  </si>
  <si>
    <t>Estacionamiento Cuemanco compra de impresora y papapelería</t>
  </si>
  <si>
    <t>Nueva Walmart de México, S. de R.L. de C.V. compra de agua para personal de mesa directiva</t>
  </si>
  <si>
    <t>Advanced Servicio CCTV y Cómputo, pago mano de obra en intalación de cableado aereo UP</t>
  </si>
  <si>
    <t>Guardías y Custodías Prívadas Gama, S.A. de C.V. pago a/c de la 1er quincena de septiembre/17</t>
  </si>
  <si>
    <t>Mercado Villa Coapa, compra de adornos para fraccionamiento fiestas patrías</t>
  </si>
  <si>
    <t>Gloria Mazzón Soto, pago de honorarios por captura de datos del 04 al 08 de septiembre/17</t>
  </si>
  <si>
    <t>El Globlo, pastelerìa tradicional, S.A. de C.V. junta de la nueva mesa directiva</t>
  </si>
  <si>
    <t>Pedro Bazzan, pago por recolecciòn de basura en fin de semana del fraccionamiento</t>
  </si>
  <si>
    <t>Centro de Copiado y Papelerìa Omega, pago de copias informe al fraccionamiento</t>
  </si>
  <si>
    <t>Patrulla 007, compensaciòn en rondines en el fraccionamiento entre semana</t>
  </si>
  <si>
    <t>Servicio el Hueso, S.A. de C.V., compra de gasolina para personal delegaciòn poda parque</t>
  </si>
  <si>
    <t>Distribuidora el Bollo Cafetales, S.A. de .CV. Compra de bolillo para tortas personal delegaciòn</t>
  </si>
  <si>
    <t xml:space="preserve">Cadena Comercial Oxxo, S.A. de C.V., compra de refrescos y vasos cuadrilla delegaciòn poda </t>
  </si>
  <si>
    <t>Carniceria Xotepinco, S.A. de C.V. compra de jamon y queso para tortas cuadrilla delegaciòn</t>
  </si>
  <si>
    <t>Entrega a Dolores Mijangos del 2ª domingo de cobranza</t>
  </si>
  <si>
    <t>Pizza Plaza, compra de pizza para personal de comisiòn federal de electricidad</t>
  </si>
  <si>
    <t>Telefonos de Mèxico, SAB De Mèxico, S.A. de C.V. pago del mes de agosto/17 fraccionamiento</t>
  </si>
  <si>
    <t>Cadena Comercial Oxxo, S.A. de C.V. compra de refrescos para cuadrilla delegaciòn poda pasto</t>
  </si>
  <si>
    <t>Gloria Mazzòn, compra de 1 cangujera para guardar documentos y dinero para presidenta</t>
  </si>
  <si>
    <t>Dolores Mijangos Peralta, compra de tacos de canasta para cuadrilla delegaciòn poda pasto</t>
  </si>
  <si>
    <t>Dolores Mijangos Peralta, compra de gorditas para vigilantes noche del 15 de septiembre</t>
  </si>
  <si>
    <t>Estacionamiento, pago estacionamiento junta mesa directiva y comité vecinal</t>
  </si>
  <si>
    <t>Tienda, compra de vasos de plastico y servilletas para vigilancia 15 de septiembre</t>
  </si>
  <si>
    <t>Servicio El Hueso, S.A. de C.V., pago de gasolina para presidenta varias diligencia del fracciona</t>
  </si>
  <si>
    <t>7 Eleven Mèxico, S.A. de C.V., compra de refrescos para vigilancia 15 de septiembre/17</t>
  </si>
  <si>
    <t xml:space="preserve">Pedro Bazzan, pago 1er quincena por recolecciòn de basura entre semana </t>
  </si>
  <si>
    <t xml:space="preserve">Roberto Miranda, pago 1er quincena por barrer todo el fraccionamiento entre semana </t>
  </si>
  <si>
    <t>Gloria Mazzòn Soto, pago de honorarios del 11 al 15 de septiembre/17</t>
  </si>
  <si>
    <t>Maria De Lourdes Osorio, pago por varios trabajos realizados en el fraccionamiento</t>
  </si>
  <si>
    <t>Guardìas y Custodìas Privada Gama, S.A. de C.V. pago liq. De la 1er quincena de septiembre/17</t>
  </si>
  <si>
    <t>Entrega a Dolores Mijangos Peralta, cobranza del 3ª domingo de sep/17 2 cheques de$1,200.00</t>
  </si>
  <si>
    <t>Cuadrilla Delegaciòn, compra de tacos de canasa por poda de pasto fraccionamiento</t>
  </si>
  <si>
    <t>Advanced Servicio CCTV y Còmputo, compra de material para reparacilòn de camaras y plumas</t>
  </si>
  <si>
    <t>Advanced Servicio CCTV Y Còmputo, pago de mano de obra de reparaciòn de pluma y ajuste</t>
  </si>
  <si>
    <t>Cadena Comercial Oxxo, S.A. de C.V., compra de tiempo aire para telefono tesorera</t>
  </si>
  <si>
    <t>Bicicletas Benotto, S.A. de C.V., compra de camara para bicicleta del fraccionamiento</t>
  </si>
  <si>
    <t>Advanced Servicio CCTV y Còmputo, pago de mano de obra en colocaciòn de luz pluma</t>
  </si>
  <si>
    <t>Gloria Mazzòn, pago de honorarios por captura de datos del 18 al 22 de septiembre</t>
  </si>
  <si>
    <t>Deposito cheque colegio Carmel pago de mantenimiento mes de septiembre/17</t>
  </si>
  <si>
    <t>Office Depot de México, S. de R.L. de C.V. compra de thoner para presidencia</t>
  </si>
  <si>
    <t>Nueva Walmart de Mèxico, S de R.L. de C.V. compra de tambo para guardar adornos del fracc</t>
  </si>
  <si>
    <t>Estacionamiento Cuemanco, pago estacionamiento compra de thoner y tambo</t>
  </si>
  <si>
    <t>Tienda Chedraui, S.A. de C.V. compra de insecticida para hormigas en camaras</t>
  </si>
  <si>
    <t>Papelerìa El Grillito, pago de 400 copias para informe de telefonos de emergencia fraccionami</t>
  </si>
  <si>
    <t>Dolores Mijangos Peralta, pago de la 1er quincena del mes de septiembre/17</t>
  </si>
  <si>
    <t>Entrega a Dolores Mijangos 4ª domingo sept cheque banamex # 0023 Alberto Salazar UP #</t>
  </si>
  <si>
    <t>Entrega a Dolores Mijangos, ultima semana de septiembre</t>
  </si>
  <si>
    <t>7 Eleven Mèxico, S.A. de C.V., compra de refrescos para personal delegaciòn poda pasto fracc</t>
  </si>
  <si>
    <t>Israel Galan Quintin, compra de 7 llaves para puertas peatonales del fraccionamiento</t>
  </si>
  <si>
    <t>Cuadrilla Delegaciòn, compra de comida por poda de pasto fraccionamiento</t>
  </si>
  <si>
    <t>Office Depot de Mèxico, S.A. de C.V. pago de enmicado presidencia</t>
  </si>
  <si>
    <t>Gloria Mazzòn, pago de honorarios por captura de datos del 25 al 29 de septiembre</t>
  </si>
  <si>
    <t xml:space="preserve">Estacionamiento Don Josè,  estacionamiento visita notario </t>
  </si>
  <si>
    <t>Guardìas y Custodìas Privadas Gama, S.A. de C.V. pago a/c de la 2da. Quincena de septiembre/17</t>
  </si>
  <si>
    <t>Asunciòn Dominguez, copra de camara para cibicleta de vigilancia del fraccionamiento</t>
  </si>
  <si>
    <t>Transferencia Bancaria Upacuaro #46 mes de septiembre</t>
  </si>
  <si>
    <t>Luis Hernàndez, pago por compostura de puerta de chapa Upacuaro</t>
  </si>
  <si>
    <t>Panerìas La Esperanza, S.A. de C.V. compra de pollos para personal delegaciòn poda pasto</t>
  </si>
  <si>
    <t>Tortillerìa, compra de tortillas para cuadrilla delegaciòn poda pasto</t>
  </si>
  <si>
    <t>Dolores Mijangos Peralta, pago de la 2ª quincena de septiembre</t>
  </si>
  <si>
    <t>Pedro Bazzan, pago de la 2ª quincena poor recoleccliòn de basura fraccionamiento entre seman</t>
  </si>
  <si>
    <t>Roberto Miranda, pago 2ª quincena por barrer todo el fracc entre semana de la 2ª quincena</t>
  </si>
  <si>
    <t>Roberto Miranda pago por trabajos extras en el fraccionamiento</t>
  </si>
  <si>
    <t>I.V.A. por comisiòn de estado de cuenta</t>
  </si>
  <si>
    <t>Comisiòn cheque expedido</t>
  </si>
  <si>
    <t>i.v.a. por comisiòn cheque expedido</t>
  </si>
  <si>
    <t>Comisiòn estado  de cuenta</t>
  </si>
  <si>
    <t>Comisiòn estado de cuenta</t>
  </si>
  <si>
    <t>Cadena Comercial Oxxo, S.A. de C.V., compra de café y refrescos para mes de cobranza y vigilan</t>
  </si>
  <si>
    <t>Cadena Comercial Oxxo, S.A. de C.V.,compra de café y refrescos para mesa de cobranza y vigilan</t>
  </si>
  <si>
    <t>Entrega a Dolores Mijangos, cobranza 1er domingo Octubre</t>
  </si>
  <si>
    <t>Guardìas y Custodìas Privadas Gama, S.A. de C.V. pago 1/3 liq. 2da. Quincena mes septiembre/17</t>
  </si>
  <si>
    <t>Estacionamiento, pago de estacionamiento Banco Banorte requerimiento de estado de cuenta</t>
  </si>
  <si>
    <t>Electropura, S. de R.L. de C.V. compra de 5 garrafones de agua</t>
  </si>
  <si>
    <t>7 Eleven Mèxico, S.A. de C.V. compra de refrescos para cuadrilla delegaciòn poda pasto fracc</t>
  </si>
  <si>
    <t>Cuadrilla Delegaciòn, compra de gorditas para personal poda pasto del fraccionamiento</t>
  </si>
  <si>
    <t>Presidencia, compra de gasolina para varias diligencias del fraccionamiento</t>
  </si>
  <si>
    <t>Cuadrilla Delegaciòn, compra de gasolina para maquinas de poda de pasto</t>
  </si>
  <si>
    <t>Premier Cesar`s S.A. de C.V. compra de pizzas para cuadrilla delegaciòn poda pasto fraccionami</t>
  </si>
  <si>
    <t>Israel Gallàn Quintìn compra de 15 llaves para puertas de acceso peatonal del fraccionamiento</t>
  </si>
  <si>
    <t>Sergio Solìs Martìnez, pago por reparaciòn chapa y ajuste de poste puerta Zinampa</t>
  </si>
  <si>
    <t>Gloria Mazzòn Soto, pago de honorarios por captura de datos del 02 al 06 de octubre/17</t>
  </si>
  <si>
    <t>Ingeniro de Camaras, pago por reproducciòn de video a ingeniro peticiòn de vecino CL_29</t>
  </si>
  <si>
    <t>Cuacrilla Delegaciòn, compra de carnitas personal poda pasto del fraccionamiento</t>
  </si>
  <si>
    <t>Patrulla 007, compensaciòn por rondines en el fraccionamiento de toda la semana</t>
  </si>
  <si>
    <t>Grupo Montparnasse, compra de café para mesa de cobranza</t>
  </si>
  <si>
    <t>Estacionamiento Cuemanco, pago de estacionamiento compra de material de limpieza</t>
  </si>
  <si>
    <t>Advanced Servicio CCTV y Còmputo, pago de reparaciòn de 2 amaras de zinampa</t>
  </si>
  <si>
    <t>Entrega a Dolores Mijangos, cobranza 2do domingo Octubre</t>
  </si>
  <si>
    <t>Telefonos de Mèxico SAB de C.V. pago del mes de septiembre/17</t>
  </si>
  <si>
    <t>Home Depot Mèxico, S. de R.L. de C.V.</t>
  </si>
  <si>
    <t>Electropura, S. de R.L. de C.V. compra de 4 garrafones de agua</t>
  </si>
  <si>
    <t>Deposito a cuenta del fraccionamiento del Landero_25 fam. Escamilla Ramìrez</t>
  </si>
  <si>
    <t>SAT Servicio de Administración Tributaría, pago retención IVA colegio Carmel oct/17 Ch. # 100</t>
  </si>
  <si>
    <t>Contador Carlos Siegrist Hernández, pago de honorarios del mes de oct/17 Ch. # 100</t>
  </si>
  <si>
    <t>SAT Servicio de Administración Tributaría, pago retención IVA colegio Carmel sep/17 Ch. # 98</t>
  </si>
  <si>
    <t>Contador Carlos Siegrist Hernández, pago de honorarios del mes de sep/17 Ch. # 98</t>
  </si>
  <si>
    <t>SAT Servicio de Administración Tributaría, pago retención IVA colegio Carmel ago/17 Ch. # 93</t>
  </si>
  <si>
    <t>Contador Carlos Siegrist Hernández, pago de honorarios del mes de ago/17 Ch. # 93</t>
  </si>
  <si>
    <t>SAT Servicio de Administración Tributaría, pago retención IVA colegio Carmel jul/17 Ch. # 86</t>
  </si>
  <si>
    <t>Contador Carlos Siegrist Hernández, pago de honorarios del mes de julio/17 Ch. #86</t>
  </si>
  <si>
    <t>Guardìas y Custodìas Privadas Gama, S.A. de C.V. pago 1/1 a/c. 1er. Quincena mes octubre/17</t>
  </si>
  <si>
    <t>Materiales y Tlapalerìa La Palma, compra de pilas para linterna caseta Zinampa</t>
  </si>
  <si>
    <t>Materiales y Tlapalerìa La Palma, compra de silicòn para mezclaroda caseta Romeral</t>
  </si>
  <si>
    <t>Gloria Mazzòn Soto, pago de honorarios por captura de datos del 09 al 13 de octubre/17</t>
  </si>
  <si>
    <t>Roberto Miranda, pago extra por barrer el fraccionamiento</t>
  </si>
  <si>
    <t>Herrero, pago por reparaciòn de chapa puerta Estanzauela y colocaciòn de mezcladora Romeral</t>
  </si>
  <si>
    <t>Floreria, compra de 3 arreglos para misa del fraccionamiento</t>
  </si>
  <si>
    <t>Ingeniro de Sistemas, pago por revisiòn de cableado de camaras del fraccionamiento</t>
  </si>
  <si>
    <t>Pedro Bazzan, pago por recolecciòn de basura primer quincena de octubre/17</t>
  </si>
  <si>
    <t>Roberto Miranda, pago por barrer de lunes a viernes 1er quincena de octubre/17</t>
  </si>
  <si>
    <t>Dolores Mijangos Peralta, pago de 1er quincena de Octubre/17</t>
  </si>
  <si>
    <t>Marìa De Lourdes Osorio, compensaciòn  por diferentes trabajos al fraccionamiento 1er quinc</t>
  </si>
  <si>
    <t>Guardìas y Custodìas Gama, S.A. de C.V. pago 1/2 liq 1er quincena de octubre/17</t>
  </si>
  <si>
    <t>Villafaña Pèrez Judith, compra de café para mesa de cobranza domingos</t>
  </si>
  <si>
    <t>Entrega a Dolores Mijangos, 3er domingo de cobranza del fraccionamiento</t>
  </si>
  <si>
    <t>El Globo Tradiciòn en Pastelerìas, S.A. de C.V. desayuno entre mesa directiva y comitel vecinal</t>
  </si>
  <si>
    <t>Pastelerìa Bodon, S.A. de C.V. compra de dulce para evento dìa de Muertos del fraccionamiento</t>
  </si>
  <si>
    <t>Telas Junco, S.A. compra de mantel para mesa del kiosco dìa de Muertos(ofrenda)</t>
  </si>
  <si>
    <t>Entrega a Dolores Mijangos Peralta, 4to domingo de cobranza</t>
  </si>
  <si>
    <t>Deposito cheque colegio Carmel pago de mantenimiento mes de octubre/17</t>
  </si>
  <si>
    <t>Guardìas y Custodìas Privadas Gama, S.A. de C.V. pago 1/2 liq. 2da. Quincena mes sep/17 ch. 99</t>
  </si>
  <si>
    <t xml:space="preserve">Deposito Estanzuela </t>
  </si>
  <si>
    <t>Plaza Premier, pago estacionamiento compra material para adornos del kiosco</t>
  </si>
  <si>
    <t>Zahuan del Parque, junta de mesa directiva con comité vecinal asuntos del fraccionamiento</t>
  </si>
  <si>
    <t>Gloria Mazzòn Soto, pago de honorarios por captura de datos del 16 al 20 de octubre</t>
  </si>
  <si>
    <t>Distribuidora Bicicletas Benotto, S.A. de C.V. pago de compostura de bicicletas del fraccionamiento</t>
  </si>
  <si>
    <t xml:space="preserve">Centro de Copiado y Papelerìa Omega, pago de copias para informes al fraccionamiento pagos </t>
  </si>
  <si>
    <t>Mercador Del Hueso, compra de adornos para dìa de muertos fraccionamiento</t>
  </si>
  <si>
    <t>Gloria Mazzòn Soto, pago en apoyo de cobranza del domingo 22 de octubre/17</t>
  </si>
  <si>
    <t>Entrega a Dolores Mijangos Peralta, cobranza del 23 al 27 che. Banamex $4400 y efectivo $ 6650</t>
  </si>
  <si>
    <t>Electropura, S. de R.L. de C.V. compra de 7 garrafones de agua para casetas</t>
  </si>
  <si>
    <t>Servicio el Hueso, S.A. de C.V. pago de gasolina para presidencia varias diligencias del fraccionamie</t>
  </si>
  <si>
    <t>Mercado de Villa Coapa, compra de adorno para caseta día de muertos</t>
  </si>
  <si>
    <t>Guardías y Custodías Privadas, S.A. de C.V. pago 1/1 a/c de la 2da quincena de octubre/17</t>
  </si>
  <si>
    <t>Mercado de Villa Coapa, compra de adornos para ofrenda kiosco del fraccionamiento</t>
  </si>
  <si>
    <t>Mercado de Cuemanco Xochimilco D.F., compra de flor de cempasúchil para ofrenda kiosco</t>
  </si>
  <si>
    <t>Mercado de Villa Coapa, compra de adornos para ofrenda kiosco día de muertos del fraccionamiento</t>
  </si>
  <si>
    <t>Gloria Mazzón Soto, pago de honorarios por captura de datos del día 23 al 27 de octubre/17</t>
  </si>
  <si>
    <t>Copyfaz Digital, pago de 210 copias para invitación visita al kiosco día de muertos kiosco</t>
  </si>
  <si>
    <t>Cadena Comercial Oxxo, S.A. de C.V. compra de refresco para personal delegación clareado de árbole</t>
  </si>
  <si>
    <t>Pollo Felíz, compra de pollos para personal delegación clareado de árboles del parque fraccionam</t>
  </si>
  <si>
    <t>Tianguis, compra de fruta para ofrenda del kiosco del fraccionamiento día de muertos</t>
  </si>
  <si>
    <t>Entrega a Coral Migangos Portugal cobranza del 5to domingo de octubre/17</t>
  </si>
  <si>
    <t>Papelería Colibrí Compra de papael crepe para forrar mesa de ofrenda del kiosco</t>
  </si>
  <si>
    <t>Repostería Estrellita, compra de 70 pan de muerto para repartir a niños día de muertos</t>
  </si>
  <si>
    <t>Guardías y Custodías Privadas, S.A. de C.V. pago 1/2 a/c de la 2da quincena de octubre/17</t>
  </si>
  <si>
    <t>Roberto Miranda, pago por barrer de lunes a viernes 2da quincena de octubre/17</t>
  </si>
  <si>
    <t>Roberto Miranda, pago por trabajos extras de barrer fraccionameinto</t>
  </si>
  <si>
    <t>Pedro Bazzan, pago por recolección de basura de lunes a viernes 2da. Quincena octubre/17</t>
  </si>
  <si>
    <t>Dolores Mijangos Peralta, pago de 2da. quincena de Octubre/17</t>
  </si>
  <si>
    <t>María de Lourdes Osorio, Compensación por varios trabajos realizados en el fraccionamiento</t>
  </si>
  <si>
    <t xml:space="preserve">Fam. Sánchez Vega  CL_29 pago transferencia bancaria de septiembre/17 </t>
  </si>
  <si>
    <t>Guardías y Custodías Privadas, S.A. de C.V.  Pago 3/3 liq. 2da. Quincena octubre/17 cheq 99</t>
  </si>
  <si>
    <t>Sra. Alejandra, pago por limpieza de kiosco para colocaciòn de la ofrenda fraccionamiento</t>
  </si>
  <si>
    <t>Electropura, S. de R.L. de C.V. compra de 3 garrafones de agua para casetas del fraccionamiento</t>
  </si>
  <si>
    <t>Cerrajerìa Nuevo Mèxico, pago por reparaciòn cerradura de puerta Estopila</t>
  </si>
  <si>
    <t>Gloria Mazzòn Soto, pago de honorarios de captura de datos del 30 de oct al 03 de nov/17</t>
  </si>
  <si>
    <t>Sistemas de Còmputo, pago por reproducciòn de video para vecino ZB_62</t>
  </si>
  <si>
    <t>Pedro Bazzan, pago por recolecciòn de basura en fin de semana en todo el fraccionaiento</t>
  </si>
  <si>
    <t>Entrega a Dolores Mijangos cobranza 1er domingo de noviembre/17</t>
  </si>
  <si>
    <t>Cadena Comercial Oxxo, S.A. de C.V. compra de tiempo aire para presidenta del fraccionamiento</t>
  </si>
  <si>
    <t>Sr. Antelmo, por poda de pasto del parque del fraccionamiento y gasolina para desbrozadora</t>
  </si>
  <si>
    <t>SAT Servicio de Administración Tributaría, pago retención IVA colegio Carmel nov/17 Ch. # 102</t>
  </si>
  <si>
    <t>Contador Carlos Siegrist Hernández, pago de honorarios del mes de nov/17 Ch. # 102</t>
  </si>
  <si>
    <t>Costco de Mèxico, S.A. de C.V., compra de refrescos para cuadrilla delegaciòn poda de àrboles</t>
  </si>
  <si>
    <t>Nueva Walmart de Mèxico, S. de R.L. de C.V. compra de cafè para vigilantes del fraccionamiento</t>
  </si>
  <si>
    <t>Lulkacorp S. de R.L. de C.V. compra de baterias alcalinas para control remoto de plumas ZB</t>
  </si>
  <si>
    <t>Patrulla 007, compensaciòn por rondines en fraccionamiento de toda la semana</t>
  </si>
  <si>
    <t xml:space="preserve">Sr. Antelmo, por poda de pasto del parque del fraccionamiento </t>
  </si>
  <si>
    <t>Nueva Walmart de Mèxico, S. de R.L. de C.V. compra de material de limpieza para casetas fracc</t>
  </si>
  <si>
    <t>Estacionamiento Cuemanco, pago de estacionamiento compra de materiales de limpieza</t>
  </si>
  <si>
    <t>Manuel Olivares, compensaciòn por retiro de pasto del parque del fraccionamiento</t>
  </si>
  <si>
    <t>Gloria Mazzòn Soto, pago de honorarios de captura de datos del 06 al 10 de noviembre/17</t>
  </si>
  <si>
    <t>Entrega a Dolores Mijangos cobranza 2do domingo de noviembre/17</t>
  </si>
  <si>
    <t>Materiales y Tlapalerìa La Palma, compra de plastiloka y par de guantes limpieza caseta RM</t>
  </si>
  <si>
    <t>Advanced Servicio CCTV y Còmputo,</t>
  </si>
  <si>
    <t>Pedro Bazzan, pago por recolecciòn de pasto del parque podado entre semana del fraccionami</t>
  </si>
  <si>
    <t>Copyfaz Digital, pago de 430 copias carta para informe al fraccionamiento</t>
  </si>
  <si>
    <t>Telefonos de Mèxico, SAB de C.V. pago de telefono de castas del fraccionamiento mes septiembre</t>
  </si>
  <si>
    <t xml:space="preserve">Sr. Antelmo, pago por poda de pasto del parque y gasolina para desbrozadora y cordon </t>
  </si>
  <si>
    <t>Manuel Olivares, compensaciòn por retira publicidad dentro y fuera del fraccionamiento</t>
  </si>
  <si>
    <t>Gloria Mazzòn Soto, pago de honorarios por captura de datos del 10 al 14 de noviembre/17</t>
  </si>
  <si>
    <t>Pedro Bazzan, pago por recolecciòn de basura en fracc de lunes a viernes 1er quincena nov/17</t>
  </si>
  <si>
    <t>Roberto Miranda, pago por barrer todo el fracc de lunes a viernes 1eer quincena noviembre/17</t>
  </si>
  <si>
    <t>Dolores Mijangos Peralta, pago primer quincena de noviembre/17</t>
  </si>
  <si>
    <t>Marìa De Lourdes Osorio, compensaciòn  por diferentes trabajos al fracc 1er quincena nov/17</t>
  </si>
  <si>
    <t>Roberto Miranda, pago por trabajos extras en el fracciionamiento</t>
  </si>
  <si>
    <t>Guardìas y Custodìas Privadas Gama, S.A. de C.V. pago 2/2 liq 1er quincena noviembre/17</t>
  </si>
  <si>
    <t xml:space="preserve">Guardías y Custodías Privadas Gama, S.A. de C.V.  Pago 1/2 a/c 1er quincena noviembre/17 </t>
  </si>
  <si>
    <t>Manuel Olivares, commpensaciòn por barrer pasto del parque del fraccionamiento</t>
  </si>
  <si>
    <t>Israel Galan Quintin, compra de 1 chapa nueva con arreglo en conjunto de todas cheque #94</t>
  </si>
  <si>
    <t>Lic. Guadalupe Guerrero Guerrero (Notarìa 160) pago protocolizaciòn cambio de mesa directiva</t>
  </si>
  <si>
    <t>La Casa de Rá, compra de café personal de mesa directiva protocolización notaria 160</t>
  </si>
  <si>
    <t>Estacionamiento San Jose, visita notaria 160 protocolización mesa directiva</t>
  </si>
  <si>
    <t>Israel Galán Quintín, compra de 20 llaves para puerta de acceso peatonal</t>
  </si>
  <si>
    <t>Fuentes Plaza, A.C. pago de estacionamiento recoger acta de protocolización mesa directiva</t>
  </si>
  <si>
    <t>Deposito cheque colegio Carmel pago de mantenimiento mes de noviembre/17</t>
  </si>
  <si>
    <t>Electropura, S. de R.L. de C.V. compra de 2 garrafones de agua para casetas del fraccionamiento</t>
  </si>
  <si>
    <t>Pedro Bazzan, pago por recolección de basura en fin de saman del fraccionamiento</t>
  </si>
  <si>
    <t xml:space="preserve">Pedro Bazzan, pago por recolección podado entre semana </t>
  </si>
  <si>
    <t>Villafaña Pérez Judith, compra de café para mesa de cobranza domingo</t>
  </si>
  <si>
    <t>Entrega a Dolores Mijangos 3er domingo de cobranza de noviebre/17</t>
  </si>
  <si>
    <t>Electropura, S. de R.L. de C.V. compra de 4 garrafones de agua para casetas del fraccionamiento</t>
  </si>
  <si>
    <t>Tiendas Credraui, S.A. de C.V., compra de bolsas para pasto podado del parque fraccionamien</t>
  </si>
  <si>
    <t>Distribuidora Bicicletas Benotto, S.A. de C.V. compra de camara para bicilceta fraccionamiento</t>
  </si>
  <si>
    <t>Manuel Olivares, compensación en apoyo de barrer pasto podado del parque fraccionamiento</t>
  </si>
  <si>
    <t>Guardìas y Custodìas Privadas Gama, S.A. de C.V. pago 2da  quincena noviembre/17</t>
  </si>
  <si>
    <t>Sr. Antelmo, pago por poda de pasto del parque del fraccionamiento</t>
  </si>
  <si>
    <t>Manuel Olivares, compensación en barrer pasto del parque del fraccionamiento</t>
  </si>
  <si>
    <t>Servicio del Hueso, S.A. de C.V. compra de gasolina para desgrozadora para poda del parque</t>
  </si>
  <si>
    <t>Servicio del Hueso, S.A. de C.V. compra de gasolina para presidenta varia diligencia fraccionam</t>
  </si>
  <si>
    <t>Gloria Mazzón Soto, pago de honorarios por captura de datos del 20 al 24 de noviembre/17</t>
  </si>
  <si>
    <t xml:space="preserve">Advanced Servicio CCTV y Cómputo, compra de arnes con sensores de subida y bajada pluma </t>
  </si>
  <si>
    <t xml:space="preserve">Advanced Servicio CCTV y Cómputo, pago por reparación de pluma de subida y bajada </t>
  </si>
  <si>
    <t>Entrega a Dolores Mijangos 4to domigo de noviembre/17</t>
  </si>
  <si>
    <t xml:space="preserve">Esteban Alvarez compostura de bicicleta,  2 rines, 1 juego de frenos y 2 pedales </t>
  </si>
  <si>
    <t>Papelería Colibrí, pago de copias de protocolicación</t>
  </si>
  <si>
    <t>Papelería Colibrí, compra de hojas oficio para sacar copias de protocolización</t>
  </si>
  <si>
    <t>Papelería Colibrí, compra de 1 folders para copias</t>
  </si>
  <si>
    <t>Roberto Miranda, pago por barrer todo el fracc de lunes a viernes 2da quincena noviembre/17</t>
  </si>
  <si>
    <t>Roberto Miranda, pago de trabajos extras en fraccionamiento de barrer horas extras</t>
  </si>
  <si>
    <t>Sr. Antelmo, pago por poda de pasto entre semana parque del fraccionamiento</t>
  </si>
  <si>
    <t>Pedro Bazzan, pago por recolección de basura de lunes a viernes 2da quincena noviembre/17</t>
  </si>
  <si>
    <t>Ma. De Lourdes Osorio, compensación por varios trabajos en fraccionamiento</t>
  </si>
  <si>
    <t>Entrega a Dolores Mijango, cobranza de la ultima semana de mes de noviembre/17</t>
  </si>
  <si>
    <t>Servicio del Hueso, S.A. de C.V. gasolina para transpostarse al SAT firma electronica presidencia</t>
  </si>
  <si>
    <t>Fam. Fuentes UP_46 pago transferencia bancaria del mes de octubre/17</t>
  </si>
  <si>
    <t>Fam. Fuentes UP_46 pago transferencia bancaria del mes de noviembre/17</t>
  </si>
  <si>
    <t>Comisión cheque expedido</t>
  </si>
  <si>
    <t>I.V.A. por comisión cheque expedido</t>
  </si>
  <si>
    <t>Comisión estado de cuenta</t>
  </si>
  <si>
    <t>I.V.A. por comisión de estado de cuenta</t>
  </si>
  <si>
    <t>Israel Galan Quintin, reparaciòn de chapa y combinaciòn puerta Recoveco</t>
  </si>
  <si>
    <t>Herrero, pago de compostura de puerta EP soldadora y colocaciòn de protecciones y CL.ajuste</t>
  </si>
  <si>
    <t>Dolores Mijango Perlata, pago 2da quincena de noviembre/17</t>
  </si>
  <si>
    <t>Office Depto de Mèxico, S.A. de C.V. compra de papaeleria para presidencia</t>
  </si>
  <si>
    <t>Estacionamiento Cuemanco pago de estacionamiento compra de papaeleria presidencia</t>
  </si>
  <si>
    <t>Olegacio Vàzquez, compensaciòn por checar trabajos de puestas del fraccionamiento</t>
  </si>
  <si>
    <t>Manuel Olivares, compensaciòn por barrer pasto podado por varios dias del jardinero</t>
  </si>
  <si>
    <t>Patrulla 007, Compesaciòn por rondines en fraccionamiento todos los dias del la semana</t>
  </si>
  <si>
    <t xml:space="preserve">Antelmo Chàvez. Pago por poda de pasto del parque fracionameinto </t>
  </si>
  <si>
    <t>Tienda, compra de bolsas para recolecciòn de pasto podado del fraccionamiento</t>
  </si>
  <si>
    <t>Gloria Mazzòn Soto, pago por captura de datos del 27 de noviembre al 01 de diciembre/17</t>
  </si>
  <si>
    <t>Mercado de Flores, compra de arreglos floralares altar virgen misa del fraccionamiento</t>
  </si>
  <si>
    <t>Home Dept Mèxico, S. de R.L. de C.V. compra de aceite e hilo para desbrozadora poda fracciona</t>
  </si>
  <si>
    <t>Cadena Comercial Oxxo, S.A. de C.V. compra de café para mesa de cobranza y vigilancia</t>
  </si>
  <si>
    <t>Pedro Bazzan, pago por recolecciòn de basura en fin de semana en fraccionamiento</t>
  </si>
  <si>
    <t>Esteban Alejo compra de refacciones para bicicleta del fraccionameinto</t>
  </si>
  <si>
    <t>Entrega a Dolores Mijangos Peralta del 1er domingo de diciembre/17</t>
  </si>
  <si>
    <t>Sistemas de Computo, pago de 3 videos requeridos por LD_99, EZ:37 Y UP_60</t>
  </si>
  <si>
    <t>Gloria Mazzòn Soto, pago en apoyo a cobranza del domingo 03 de diciembre/17</t>
  </si>
  <si>
    <t>Articulos de temporada, compra de arreglos para el fraccionamiento epoca navideña</t>
  </si>
  <si>
    <t>Mercado Villa Coapa, compra de piñatas para posada del fraccionamiento</t>
  </si>
  <si>
    <t xml:space="preserve">Mercado Villa Coapa, compra de adornos para fraccionamiento posada </t>
  </si>
  <si>
    <t>Distribuidora Bicibletas Benotto, S.A. de C.V. compra de refacciones para bicicleta del fracc</t>
  </si>
  <si>
    <t>Office Depto de Mèxico, S.A. de C.V. compra de toner para presidencia y tesoreria</t>
  </si>
  <si>
    <t>Servicio Toks, S.A. de C.V. desayuno mesa directiva y comité vecinal</t>
  </si>
  <si>
    <t>Papelerial Flash, pago de 450 copias tamaño carta informe al fraccionamiento</t>
  </si>
  <si>
    <t>Gloria Mazzòn Soto, pago de honorarios por captura de datos del 04 al 08 de diciembre/17</t>
  </si>
  <si>
    <t>Entrega a Dolores Mijangos Peralta del 2do domingo de diciembre/17</t>
  </si>
  <si>
    <t>Imagen Publiciaria, compra de 1000 recibos para cobranza</t>
  </si>
  <si>
    <t>Contador Carlos Siegrist Hernández, pago de honorarios del mes de dic/17 y anualida Ch. # 103</t>
  </si>
  <si>
    <t>Productos del campo, compra de conc¡dimentos para ponche, posada para el fraccionameito</t>
  </si>
  <si>
    <t>Servio del Hueso, S.A. de C.V. pago de gasolina para varias diligencia del fraccionamiento</t>
  </si>
  <si>
    <t>Mercado de Villa Coapa, compra de accesorios para posada del fraccionamiento</t>
  </si>
  <si>
    <t>Tiangui, compra de fruta para ponche posada del fraccionamiento</t>
  </si>
  <si>
    <t>Dulceria Carmelita, compra de dulces para piñatas posada del fraccionamiento</t>
  </si>
  <si>
    <t>Telefonos de Mèxicol, S.A.B. de C.V. pago telefono de noviembre/17</t>
  </si>
  <si>
    <t>Advanced Servicio CCTV y Còmputo, pago de honorarios cambio de tranceptores  2 camaras cl</t>
  </si>
  <si>
    <t>Advanced ServicIO CCTV y Còmputo, pago de hnoorarios por respaldo de USV eveto de 10 horas</t>
  </si>
  <si>
    <t>Servicio El Hueso, S.A. de C.V. compra de gasolina para desbrozadora poda de pasto fraccionam</t>
  </si>
  <si>
    <t>Mazjoss, compra de azucal para ponche posada del fraccionamiento</t>
  </si>
  <si>
    <t>Guardìas y Custodìas Privada Gama, S.A. de C.V. pago 1er quincena de diciembre/17</t>
  </si>
  <si>
    <t>Gloria Mazzòn Soto, pago de honorarios por captura del 11 al 5 de diciembre/17</t>
  </si>
  <si>
    <t>Roberto Miranda, pago por barer todo el fraccionamiento de lunes a viernes 1er quincena/</t>
  </si>
  <si>
    <t xml:space="preserve">Pedro Bazzan, pago por barrer todo el fraccionamiento de lunes a viernes 1er quincena </t>
  </si>
  <si>
    <t>Roberto Miranda pago adicional por trabajos estras en fraccionamiento</t>
  </si>
  <si>
    <t>Marìa de Lourdes Elena Osorio, pago 1er quincen de diciembre trabajos varios</t>
  </si>
  <si>
    <t>Dolores Mijango Perlata, pago 1er quincena de diciembre/17</t>
  </si>
  <si>
    <t>Guardìas y Custodìas Privadas Gama, S.A. de C.V. pago gratificaciòn del año 2017</t>
  </si>
  <si>
    <t>Mercado Villa Coapa, compra de articulos para posada del fraccionamieto</t>
  </si>
  <si>
    <t>Mercado Campesinos, compra de velas para posada del fraccionamiento</t>
  </si>
  <si>
    <t>Sabine Perèz, pago por hacer ponche para posada del fraccionamiento</t>
  </si>
  <si>
    <t>Entrega a Dolores Mijangos Peralta 3er domingo cobranza diciembr/17</t>
  </si>
  <si>
    <t>Electropura, S de R.L. de C.V. compra de 5 garrafones de agua para casetas del fraccionamiento</t>
  </si>
  <si>
    <t>Advanced Servico CCTV y Còmputo, venta de 30 tarjetas procard</t>
  </si>
  <si>
    <t>Comercial City Fresko, S. de R.L. de C.V. Compra de bolsas y plasticos para posada fraccionamiet</t>
  </si>
  <si>
    <t>Comercial City Fresko, S. de R.L. de C.V. pago de estacionamiento compras varias</t>
  </si>
  <si>
    <t>Advanced Servicio CCTV y Còmputo, pago de mano de obra comfiguraciòn de 30 tarjertas</t>
  </si>
  <si>
    <t>Mercado Villa Coapa, compra de canastas bolsas para presentes mesa directiva</t>
  </si>
  <si>
    <t>Grupo Montparnasse, compra de galletas para canastas navideñas para mesa directiva</t>
  </si>
  <si>
    <t>Operadora Vips S. de R.L. de C.V. desayudo mesa directiva asutno protocolizaciòn MD</t>
  </si>
  <si>
    <t>Mercado Villa Coapa, compra de dulces para canastas navideñas mesa directiva</t>
  </si>
  <si>
    <t>Gloria Mazzòn Soto, pago de honorarios por captura de datos del 18 al 22 de diciembre/17</t>
  </si>
  <si>
    <t>Pedrp Bazzan, pago por recolecciòn de basura entre semana de todo el fraccionamiento</t>
  </si>
  <si>
    <t>Dolores Mijangos Peralta, entrega de cobranza domingo 3er del mes de diciembre/17</t>
  </si>
  <si>
    <t>Pastaleria La Esperanza, S.A. de .C.V. compra de bolillo para cena navidena vibilancia</t>
  </si>
  <si>
    <t>Distribuidora El Bollo Cafetales S.A. de C.V. compra de pan para mesa de cobranza</t>
  </si>
  <si>
    <t>Distribuidora EL bollo Cafetales S.A. de C.V. compra de bolillo para cena navideña vigilancia</t>
  </si>
  <si>
    <t>Mercado Campesinos, compra de cena para personal de vigilancia noche navideña</t>
  </si>
  <si>
    <t xml:space="preserve">Roberto Miranda, gratificaciòn navideña por su buen desempeño en todo el año </t>
  </si>
  <si>
    <t>Gloria Mazzòn Soto, pago en apoyo de cobranza sabado 23 de diciebre/17</t>
  </si>
  <si>
    <t>Pedro Bazzan, pago gratificaciòn de fin de año por su buen desempeño</t>
  </si>
  <si>
    <t>Distribuidora El Bollo Cafetales, S.A. de C.V. compra de pazn para cena de navidad vigilancia</t>
  </si>
  <si>
    <t>Grupo  Motparnase, compra de pan para vigilancia cena de navidad vigilancia</t>
  </si>
  <si>
    <t>Cadena Comercial Oxxo, S.A. de C.V. compra de material de limpieza para caetas del fraccionam</t>
  </si>
  <si>
    <t>Nueva Walmart de Mèxico, S. de R.L. de C.V. compra de refrescos para cena de fin de año vigilan</t>
  </si>
  <si>
    <t>Estacionamiento de compra de refrescos</t>
  </si>
  <si>
    <t>Gloria Mazzòn Soto, pago de honorarios del 25 al 29  de diciembre/17</t>
  </si>
  <si>
    <t>Roberto Miranda pago 2da quincena por barrer todo el fraccionamiento de lunes a viernes</t>
  </si>
  <si>
    <t>Roberto Miranda pago por trabajos extras en fraccionaiento</t>
  </si>
  <si>
    <t>Pedro Bazzan, pago 2da. Quincena por recolecciòn de basuran de lunes a vienres</t>
  </si>
  <si>
    <t>Marìa de Lourdes Elena Osorio, pago 2da. quincen de diciembre trabajos varios</t>
  </si>
  <si>
    <t>Guardìas y Custodìas Privadas Gama, S.A. de C.V. pago 2da quincena de diciembre/17</t>
  </si>
  <si>
    <t>Dolores Mijangos Peralta, pago 2da. Quincena</t>
  </si>
  <si>
    <t>Entrega a Dolores Peralta, 5to domingo de diciembre/17 cobranza</t>
  </si>
  <si>
    <t>Panerìa La Esperanza, S.A. de C.V. compra de bolillo para cena de fin de año para vigilancia</t>
  </si>
  <si>
    <t>Panerìa La Esperanza, S.A. de C.V. compra de pastel para cene de fin de año vigilancia</t>
  </si>
  <si>
    <t>Mercado Campesinos compra de plasticos para cena de fin de año vigilancia</t>
  </si>
  <si>
    <t>Tranferencia Bancaria</t>
  </si>
  <si>
    <t>Tranferencia Bancaria fam. Fuentes pago mes de diciembre</t>
  </si>
  <si>
    <t>Deposito cheque colegio Carmel pago de mantenimiento mes de diciembre/17</t>
  </si>
  <si>
    <t>Transferencia anualidad fam. Rosseti 2018</t>
  </si>
  <si>
    <t>SAT Servicio de Administración Tributaría, pago retención IVA colegio Carmel dic/17 Ch. # 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</si>
</sst>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;[Red]\-&quot;$&quot;#,##0.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/>
    <xf numFmtId="4" fontId="0" fillId="0" borderId="0" xfId="0" applyNumberFormat="1"/>
    <xf numFmtId="0" fontId="1" fillId="0" borderId="2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/>
    </xf>
    <xf numFmtId="4" fontId="1" fillId="0" borderId="6" xfId="0" applyNumberFormat="1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4" fontId="0" fillId="0" borderId="9" xfId="0" applyNumberFormat="1" applyBorder="1" applyAlignment="1">
      <alignment horizontal="right"/>
    </xf>
    <xf numFmtId="0" fontId="0" fillId="0" borderId="10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4" fontId="0" fillId="0" borderId="10" xfId="0" applyNumberFormat="1" applyBorder="1" applyAlignment="1">
      <alignment horizontal="right"/>
    </xf>
    <xf numFmtId="4" fontId="0" fillId="0" borderId="10" xfId="0" applyNumberFormat="1" applyBorder="1"/>
    <xf numFmtId="0" fontId="0" fillId="0" borderId="10" xfId="0" applyBorder="1"/>
    <xf numFmtId="0" fontId="0" fillId="0" borderId="10" xfId="0" applyFill="1" applyBorder="1"/>
    <xf numFmtId="4" fontId="0" fillId="0" borderId="12" xfId="0" applyNumberFormat="1" applyBorder="1" applyAlignment="1">
      <alignment horizontal="right"/>
    </xf>
    <xf numFmtId="4" fontId="0" fillId="0" borderId="10" xfId="0" applyNumberFormat="1" applyFont="1" applyBorder="1" applyAlignment="1">
      <alignment horizontal="right"/>
    </xf>
    <xf numFmtId="4" fontId="0" fillId="0" borderId="11" xfId="0" applyNumberFormat="1" applyBorder="1" applyAlignment="1">
      <alignment horizontal="right"/>
    </xf>
    <xf numFmtId="14" fontId="0" fillId="0" borderId="10" xfId="0" applyNumberFormat="1" applyFont="1" applyBorder="1" applyAlignment="1">
      <alignment horizontal="center"/>
    </xf>
    <xf numFmtId="4" fontId="0" fillId="0" borderId="14" xfId="0" applyNumberFormat="1" applyBorder="1"/>
    <xf numFmtId="4" fontId="1" fillId="0" borderId="14" xfId="0" applyNumberFormat="1" applyFont="1" applyBorder="1"/>
    <xf numFmtId="0" fontId="0" fillId="0" borderId="10" xfId="0" applyFont="1" applyFill="1" applyBorder="1" applyAlignment="1">
      <alignment horizontal="left"/>
    </xf>
    <xf numFmtId="14" fontId="0" fillId="0" borderId="7" xfId="0" applyNumberFormat="1" applyFont="1" applyBorder="1" applyAlignment="1">
      <alignment horizontal="center"/>
    </xf>
    <xf numFmtId="14" fontId="0" fillId="0" borderId="11" xfId="0" applyNumberFormat="1" applyFont="1" applyBorder="1" applyAlignment="1">
      <alignment horizontal="center"/>
    </xf>
    <xf numFmtId="0" fontId="0" fillId="0" borderId="12" xfId="0" applyBorder="1"/>
    <xf numFmtId="14" fontId="0" fillId="0" borderId="10" xfId="0" applyNumberFormat="1" applyFont="1" applyFill="1" applyBorder="1" applyAlignment="1">
      <alignment horizontal="center"/>
    </xf>
    <xf numFmtId="4" fontId="1" fillId="0" borderId="10" xfId="0" applyNumberFormat="1" applyFont="1" applyBorder="1"/>
    <xf numFmtId="14" fontId="0" fillId="0" borderId="13" xfId="0" applyNumberFormat="1" applyFont="1" applyBorder="1" applyAlignment="1">
      <alignment horizontal="center"/>
    </xf>
    <xf numFmtId="14" fontId="1" fillId="0" borderId="0" xfId="0" applyNumberFormat="1" applyFont="1"/>
    <xf numFmtId="0" fontId="0" fillId="0" borderId="10" xfId="0" applyFont="1" applyBorder="1"/>
    <xf numFmtId="14" fontId="0" fillId="0" borderId="14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4" fontId="0" fillId="0" borderId="0" xfId="0" applyNumberFormat="1" applyBorder="1"/>
    <xf numFmtId="4" fontId="1" fillId="0" borderId="10" xfId="0" applyNumberFormat="1" applyFont="1" applyBorder="1" applyAlignment="1">
      <alignment horizontal="center"/>
    </xf>
    <xf numFmtId="15" fontId="0" fillId="0" borderId="15" xfId="0" applyNumberFormat="1" applyFill="1" applyBorder="1" applyAlignment="1">
      <alignment vertical="center"/>
    </xf>
    <xf numFmtId="15" fontId="0" fillId="0" borderId="10" xfId="0" applyNumberFormat="1" applyFill="1" applyBorder="1" applyAlignment="1">
      <alignment vertical="center"/>
    </xf>
    <xf numFmtId="15" fontId="0" fillId="0" borderId="11" xfId="0" applyNumberFormat="1" applyFill="1" applyBorder="1" applyAlignment="1">
      <alignment vertical="center"/>
    </xf>
    <xf numFmtId="14" fontId="0" fillId="0" borderId="16" xfId="0" applyNumberFormat="1" applyFill="1" applyBorder="1" applyAlignment="1">
      <alignment horizontal="center" vertical="center"/>
    </xf>
    <xf numFmtId="14" fontId="0" fillId="0" borderId="10" xfId="0" applyNumberFormat="1" applyFill="1" applyBorder="1" applyAlignment="1">
      <alignment horizontal="center" vertical="center"/>
    </xf>
    <xf numFmtId="14" fontId="0" fillId="0" borderId="17" xfId="0" applyNumberFormat="1" applyFill="1" applyBorder="1" applyAlignment="1">
      <alignment horizontal="center" vertical="center"/>
    </xf>
    <xf numFmtId="14" fontId="0" fillId="0" borderId="11" xfId="0" applyNumberFormat="1" applyFill="1" applyBorder="1" applyAlignment="1">
      <alignment horizontal="center" vertical="center"/>
    </xf>
    <xf numFmtId="4" fontId="0" fillId="0" borderId="10" xfId="0" applyNumberFormat="1" applyFont="1" applyBorder="1" applyAlignment="1">
      <alignment horizontal="center"/>
    </xf>
    <xf numFmtId="14" fontId="0" fillId="0" borderId="16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1" fillId="0" borderId="6" xfId="0" applyFont="1" applyFill="1" applyBorder="1" applyAlignment="1">
      <alignment horizontal="center"/>
    </xf>
    <xf numFmtId="0" fontId="1" fillId="0" borderId="18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4" fontId="0" fillId="0" borderId="7" xfId="0" applyNumberFormat="1" applyFont="1" applyBorder="1" applyAlignment="1">
      <alignment horizontal="center"/>
    </xf>
    <xf numFmtId="4" fontId="0" fillId="0" borderId="19" xfId="0" applyNumberFormat="1" applyBorder="1"/>
    <xf numFmtId="17" fontId="0" fillId="0" borderId="8" xfId="0" applyNumberFormat="1" applyFont="1" applyBorder="1" applyAlignment="1">
      <alignment horizontal="center"/>
    </xf>
    <xf numFmtId="17" fontId="0" fillId="0" borderId="10" xfId="0" applyNumberForma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Font="1" applyFill="1" applyBorder="1" applyAlignment="1">
      <alignment horizontal="center"/>
    </xf>
    <xf numFmtId="0" fontId="1" fillId="0" borderId="0" xfId="0" applyFont="1"/>
    <xf numFmtId="0" fontId="0" fillId="0" borderId="10" xfId="0" applyFill="1" applyBorder="1" applyAlignment="1">
      <alignment horizontal="center"/>
    </xf>
    <xf numFmtId="4" fontId="0" fillId="0" borderId="10" xfId="0" applyNumberFormat="1" applyFill="1" applyBorder="1" applyAlignment="1">
      <alignment horizontal="right"/>
    </xf>
    <xf numFmtId="4" fontId="4" fillId="0" borderId="10" xfId="0" applyNumberFormat="1" applyFont="1" applyBorder="1" applyAlignment="1">
      <alignment horizontal="right"/>
    </xf>
    <xf numFmtId="4" fontId="1" fillId="0" borderId="5" xfId="0" applyNumberFormat="1" applyFont="1" applyBorder="1" applyAlignment="1">
      <alignment horizontal="right"/>
    </xf>
    <xf numFmtId="4" fontId="0" fillId="0" borderId="13" xfId="0" applyNumberFormat="1" applyBorder="1" applyAlignment="1">
      <alignment horizontal="right"/>
    </xf>
    <xf numFmtId="4" fontId="1" fillId="0" borderId="14" xfId="0" applyNumberFormat="1" applyFont="1" applyBorder="1" applyAlignment="1">
      <alignment horizontal="right"/>
    </xf>
    <xf numFmtId="4" fontId="1" fillId="0" borderId="11" xfId="0" applyNumberFormat="1" applyFont="1" applyBorder="1" applyAlignment="1">
      <alignment horizontal="center"/>
    </xf>
    <xf numFmtId="4" fontId="0" fillId="0" borderId="20" xfId="0" applyNumberFormat="1" applyBorder="1" applyAlignment="1">
      <alignment horizontal="right"/>
    </xf>
    <xf numFmtId="0" fontId="1" fillId="0" borderId="21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4" fontId="0" fillId="0" borderId="11" xfId="0" applyNumberFormat="1" applyBorder="1"/>
    <xf numFmtId="0" fontId="1" fillId="0" borderId="1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3" xfId="0" applyFont="1" applyFill="1" applyBorder="1" applyAlignment="1">
      <alignment horizontal="center"/>
    </xf>
    <xf numFmtId="4" fontId="5" fillId="0" borderId="14" xfId="0" applyNumberFormat="1" applyFont="1" applyBorder="1" applyAlignment="1">
      <alignment horizontal="right"/>
    </xf>
    <xf numFmtId="0" fontId="3" fillId="0" borderId="0" xfId="0" applyFont="1" applyAlignment="1">
      <alignment horizontal="center"/>
    </xf>
    <xf numFmtId="4" fontId="1" fillId="0" borderId="11" xfId="0" applyNumberFormat="1" applyFont="1" applyBorder="1" applyAlignment="1">
      <alignment horizontal="right"/>
    </xf>
    <xf numFmtId="0" fontId="1" fillId="0" borderId="14" xfId="0" applyFont="1" applyBorder="1" applyAlignment="1">
      <alignment horizontal="center"/>
    </xf>
    <xf numFmtId="0" fontId="0" fillId="0" borderId="11" xfId="0" applyFont="1" applyBorder="1" applyAlignment="1">
      <alignment horizontal="left"/>
    </xf>
    <xf numFmtId="0" fontId="1" fillId="0" borderId="14" xfId="0" applyFont="1" applyBorder="1" applyAlignment="1">
      <alignment horizontal="right"/>
    </xf>
    <xf numFmtId="4" fontId="1" fillId="0" borderId="14" xfId="0" applyNumberFormat="1" applyFont="1" applyBorder="1" applyAlignment="1">
      <alignment horizontal="center"/>
    </xf>
    <xf numFmtId="4" fontId="1" fillId="0" borderId="18" xfId="0" applyNumberFormat="1" applyFont="1" applyBorder="1"/>
    <xf numFmtId="17" fontId="1" fillId="0" borderId="0" xfId="0" applyNumberFormat="1" applyFont="1" applyAlignment="1">
      <alignment horizontal="center"/>
    </xf>
    <xf numFmtId="4" fontId="6" fillId="0" borderId="14" xfId="0" applyNumberFormat="1" applyFont="1" applyBorder="1" applyAlignment="1">
      <alignment horizontal="right"/>
    </xf>
    <xf numFmtId="49" fontId="3" fillId="0" borderId="10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4" fontId="0" fillId="0" borderId="19" xfId="0" applyNumberFormat="1" applyBorder="1" applyAlignment="1">
      <alignment horizontal="right"/>
    </xf>
    <xf numFmtId="0" fontId="1" fillId="0" borderId="24" xfId="0" applyFont="1" applyFill="1" applyBorder="1" applyAlignment="1">
      <alignment horizontal="center"/>
    </xf>
    <xf numFmtId="4" fontId="7" fillId="0" borderId="10" xfId="0" applyNumberFormat="1" applyFont="1" applyBorder="1"/>
    <xf numFmtId="4" fontId="0" fillId="2" borderId="10" xfId="0" applyNumberFormat="1" applyFill="1" applyBorder="1"/>
    <xf numFmtId="0" fontId="1" fillId="0" borderId="25" xfId="0" applyFont="1" applyFill="1" applyBorder="1" applyAlignment="1">
      <alignment horizontal="center"/>
    </xf>
    <xf numFmtId="0" fontId="0" fillId="0" borderId="11" xfId="0" applyBorder="1"/>
    <xf numFmtId="0" fontId="0" fillId="0" borderId="0" xfId="0" applyFill="1" applyBorder="1" applyAlignment="1">
      <alignment horizontal="center"/>
    </xf>
    <xf numFmtId="0" fontId="0" fillId="3" borderId="0" xfId="0" applyFill="1"/>
    <xf numFmtId="0" fontId="0" fillId="2" borderId="14" xfId="0" applyFill="1" applyBorder="1"/>
    <xf numFmtId="0" fontId="1" fillId="0" borderId="0" xfId="0" applyFont="1" applyFill="1" applyBorder="1"/>
    <xf numFmtId="8" fontId="8" fillId="0" borderId="0" xfId="0" applyNumberFormat="1" applyFont="1" applyAlignment="1">
      <alignment horizontal="left"/>
    </xf>
    <xf numFmtId="0" fontId="9" fillId="0" borderId="0" xfId="0" applyFont="1"/>
    <xf numFmtId="0" fontId="1" fillId="0" borderId="26" xfId="0" applyFont="1" applyBorder="1" applyAlignment="1">
      <alignment horizontal="center"/>
    </xf>
    <xf numFmtId="17" fontId="1" fillId="0" borderId="23" xfId="0" applyNumberFormat="1" applyFont="1" applyBorder="1" applyAlignment="1">
      <alignment horizontal="center"/>
    </xf>
    <xf numFmtId="4" fontId="1" fillId="0" borderId="11" xfId="0" applyNumberFormat="1" applyFont="1" applyBorder="1"/>
    <xf numFmtId="4" fontId="0" fillId="0" borderId="14" xfId="0" applyNumberFormat="1" applyFont="1" applyBorder="1" applyAlignment="1">
      <alignment horizontal="right"/>
    </xf>
    <xf numFmtId="49" fontId="1" fillId="0" borderId="10" xfId="0" applyNumberFormat="1" applyFont="1" applyBorder="1" applyAlignment="1">
      <alignment horizontal="center"/>
    </xf>
    <xf numFmtId="0" fontId="0" fillId="0" borderId="21" xfId="0" applyFont="1" applyBorder="1" applyAlignment="1">
      <alignment horizontal="left"/>
    </xf>
    <xf numFmtId="4" fontId="0" fillId="3" borderId="10" xfId="0" applyNumberFormat="1" applyFont="1" applyFill="1" applyBorder="1" applyAlignment="1">
      <alignment horizontal="center"/>
    </xf>
    <xf numFmtId="15" fontId="0" fillId="0" borderId="16" xfId="0" applyNumberFormat="1" applyFill="1" applyBorder="1" applyAlignment="1">
      <alignment vertical="center"/>
    </xf>
    <xf numFmtId="14" fontId="0" fillId="0" borderId="0" xfId="0" applyNumberFormat="1"/>
    <xf numFmtId="4" fontId="0" fillId="0" borderId="10" xfId="0" applyNumberFormat="1" applyFont="1" applyBorder="1" applyAlignment="1"/>
    <xf numFmtId="4" fontId="0" fillId="0" borderId="10" xfId="0" applyNumberFormat="1" applyBorder="1" applyAlignment="1"/>
    <xf numFmtId="0" fontId="0" fillId="0" borderId="3" xfId="0" applyFill="1" applyBorder="1"/>
    <xf numFmtId="14" fontId="0" fillId="0" borderId="25" xfId="0" applyNumberFormat="1" applyFont="1" applyBorder="1" applyAlignment="1">
      <alignment horizontal="center"/>
    </xf>
    <xf numFmtId="0" fontId="1" fillId="0" borderId="24" xfId="0" applyFont="1" applyBorder="1" applyAlignment="1">
      <alignment horizontal="right"/>
    </xf>
    <xf numFmtId="4" fontId="1" fillId="0" borderId="18" xfId="0" applyNumberFormat="1" applyFont="1" applyBorder="1" applyAlignment="1">
      <alignment horizontal="right"/>
    </xf>
    <xf numFmtId="4" fontId="1" fillId="0" borderId="24" xfId="0" applyNumberFormat="1" applyFont="1" applyBorder="1" applyAlignment="1">
      <alignment horizontal="right"/>
    </xf>
    <xf numFmtId="4" fontId="5" fillId="0" borderId="18" xfId="0" applyNumberFormat="1" applyFont="1" applyBorder="1" applyAlignment="1">
      <alignment horizontal="right"/>
    </xf>
    <xf numFmtId="14" fontId="1" fillId="3" borderId="0" xfId="0" applyNumberFormat="1" applyFont="1" applyFill="1"/>
    <xf numFmtId="0" fontId="1" fillId="3" borderId="18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14" fontId="0" fillId="3" borderId="11" xfId="0" applyNumberFormat="1" applyFont="1" applyFill="1" applyBorder="1" applyAlignment="1">
      <alignment horizontal="center"/>
    </xf>
    <xf numFmtId="14" fontId="0" fillId="3" borderId="10" xfId="0" applyNumberFormat="1" applyFont="1" applyFill="1" applyBorder="1" applyAlignment="1">
      <alignment horizontal="center"/>
    </xf>
    <xf numFmtId="14" fontId="0" fillId="3" borderId="1" xfId="0" applyNumberFormat="1" applyFont="1" applyFill="1" applyBorder="1" applyAlignment="1">
      <alignment horizontal="center"/>
    </xf>
    <xf numFmtId="14" fontId="0" fillId="3" borderId="14" xfId="0" applyNumberFormat="1" applyFont="1" applyFill="1" applyBorder="1" applyAlignment="1">
      <alignment horizontal="center"/>
    </xf>
    <xf numFmtId="4" fontId="0" fillId="3" borderId="10" xfId="0" applyNumberFormat="1" applyFill="1" applyBorder="1" applyAlignment="1">
      <alignment horizontal="right"/>
    </xf>
    <xf numFmtId="0" fontId="0" fillId="3" borderId="10" xfId="0" applyFont="1" applyFill="1" applyBorder="1" applyAlignment="1">
      <alignment horizontal="left"/>
    </xf>
    <xf numFmtId="4" fontId="1" fillId="0" borderId="5" xfId="0" applyNumberFormat="1" applyFont="1" applyBorder="1" applyAlignment="1">
      <alignment horizontal="center"/>
    </xf>
    <xf numFmtId="4" fontId="5" fillId="0" borderId="14" xfId="0" applyNumberFormat="1" applyFont="1" applyBorder="1" applyAlignment="1">
      <alignment horizontal="center"/>
    </xf>
    <xf numFmtId="4" fontId="0" fillId="0" borderId="10" xfId="0" applyNumberFormat="1" applyBorder="1" applyAlignment="1">
      <alignment horizontal="center"/>
    </xf>
    <xf numFmtId="14" fontId="0" fillId="0" borderId="10" xfId="0" applyNumberFormat="1" applyBorder="1"/>
    <xf numFmtId="14" fontId="0" fillId="0" borderId="10" xfId="0" applyNumberFormat="1" applyFont="1" applyBorder="1" applyAlignment="1">
      <alignment horizontal="left"/>
    </xf>
    <xf numFmtId="0" fontId="0" fillId="2" borderId="10" xfId="0" applyFont="1" applyFill="1" applyBorder="1" applyAlignment="1">
      <alignment horizontal="left"/>
    </xf>
    <xf numFmtId="0" fontId="0" fillId="2" borderId="10" xfId="0" applyFill="1" applyBorder="1"/>
    <xf numFmtId="0" fontId="0" fillId="0" borderId="0" xfId="0" applyFill="1"/>
    <xf numFmtId="15" fontId="0" fillId="0" borderId="3" xfId="0" applyNumberFormat="1" applyFill="1" applyBorder="1" applyAlignment="1">
      <alignment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pageSetUpPr fitToPage="1"/>
  </sheetPr>
  <dimension ref="A1:J156"/>
  <sheetViews>
    <sheetView zoomScale="84" zoomScaleNormal="84" workbookViewId="0">
      <pane ySplit="3" topLeftCell="A137" activePane="bottomLeft" state="frozen"/>
      <selection pane="bottomLeft" activeCell="D137" sqref="D137"/>
    </sheetView>
  </sheetViews>
  <sheetFormatPr baseColWidth="10" defaultRowHeight="15" x14ac:dyDescent="0.25"/>
  <cols>
    <col min="1" max="1" width="11.7109375" customWidth="1"/>
    <col min="2" max="2" width="84.5703125" customWidth="1"/>
    <col min="3" max="3" width="11.85546875" customWidth="1"/>
    <col min="4" max="10" width="11.7109375" customWidth="1"/>
  </cols>
  <sheetData>
    <row r="1" spans="1:10" ht="15.75" thickBot="1" x14ac:dyDescent="0.3">
      <c r="A1" s="80"/>
      <c r="B1" s="100" t="s">
        <v>45</v>
      </c>
    </row>
    <row r="2" spans="1:10" x14ac:dyDescent="0.25">
      <c r="A2" s="69" t="s">
        <v>1</v>
      </c>
      <c r="B2" s="69" t="s">
        <v>2</v>
      </c>
      <c r="C2" s="69" t="s">
        <v>3</v>
      </c>
      <c r="D2" s="69" t="s">
        <v>3</v>
      </c>
      <c r="E2" s="69" t="s">
        <v>23</v>
      </c>
      <c r="F2" s="69" t="s">
        <v>24</v>
      </c>
      <c r="G2" s="48" t="s">
        <v>24</v>
      </c>
      <c r="H2" s="48" t="s">
        <v>23</v>
      </c>
      <c r="I2" s="69" t="s">
        <v>9</v>
      </c>
      <c r="J2" s="48" t="s">
        <v>8</v>
      </c>
    </row>
    <row r="3" spans="1:10" ht="15.75" thickBot="1" x14ac:dyDescent="0.3">
      <c r="A3" s="70"/>
      <c r="B3" s="70"/>
      <c r="C3" s="70" t="s">
        <v>5</v>
      </c>
      <c r="D3" s="70" t="s">
        <v>25</v>
      </c>
      <c r="E3" s="70" t="s">
        <v>3</v>
      </c>
      <c r="F3" s="70" t="s">
        <v>25</v>
      </c>
      <c r="G3" s="71" t="s">
        <v>5</v>
      </c>
      <c r="H3" s="71" t="s">
        <v>4</v>
      </c>
      <c r="I3" s="70"/>
      <c r="J3" s="71"/>
    </row>
    <row r="4" spans="1:10" x14ac:dyDescent="0.25">
      <c r="A4" s="23">
        <v>42735</v>
      </c>
      <c r="B4" s="66" t="s">
        <v>46</v>
      </c>
      <c r="C4" s="67"/>
      <c r="D4" s="64"/>
      <c r="E4" s="64"/>
      <c r="F4" s="64"/>
      <c r="G4" s="17"/>
      <c r="H4" s="65"/>
      <c r="I4" s="12">
        <v>11447.9</v>
      </c>
      <c r="J4" s="98">
        <v>21307.85</v>
      </c>
    </row>
    <row r="5" spans="1:10" x14ac:dyDescent="0.25">
      <c r="A5" s="23">
        <v>42736</v>
      </c>
      <c r="B5" s="101" t="s">
        <v>47</v>
      </c>
      <c r="C5" s="67"/>
      <c r="D5" s="64"/>
      <c r="E5" s="64"/>
      <c r="F5" s="64"/>
      <c r="G5" s="17">
        <v>74</v>
      </c>
      <c r="H5" s="65"/>
      <c r="I5" s="12">
        <f>+I4+D5-F5</f>
        <v>11447.9</v>
      </c>
      <c r="J5" s="12">
        <f>+J4+C5-G5</f>
        <v>21233.85</v>
      </c>
    </row>
    <row r="6" spans="1:10" x14ac:dyDescent="0.25">
      <c r="A6" s="23">
        <v>42736</v>
      </c>
      <c r="B6" s="9" t="s">
        <v>42</v>
      </c>
      <c r="C6" s="41"/>
      <c r="D6" s="11"/>
      <c r="E6" s="11"/>
      <c r="F6" s="11"/>
      <c r="G6" s="11">
        <v>120</v>
      </c>
      <c r="H6" s="15"/>
      <c r="I6" s="12">
        <f t="shared" ref="I6:I50" si="0">+I5+D6-F6</f>
        <v>11447.9</v>
      </c>
      <c r="J6" s="12">
        <f t="shared" ref="J6:J51" si="1">+J5+C6-G6</f>
        <v>21113.85</v>
      </c>
    </row>
    <row r="7" spans="1:10" x14ac:dyDescent="0.25">
      <c r="A7" s="18">
        <v>42736</v>
      </c>
      <c r="B7" s="13" t="s">
        <v>48</v>
      </c>
      <c r="C7" s="41"/>
      <c r="D7" s="11"/>
      <c r="E7" s="11"/>
      <c r="F7" s="11"/>
      <c r="G7" s="11">
        <v>80</v>
      </c>
      <c r="H7" s="15"/>
      <c r="I7" s="12">
        <f t="shared" si="0"/>
        <v>11447.9</v>
      </c>
      <c r="J7" s="12">
        <f t="shared" si="1"/>
        <v>21033.85</v>
      </c>
    </row>
    <row r="8" spans="1:10" x14ac:dyDescent="0.25">
      <c r="A8" s="18">
        <v>42737</v>
      </c>
      <c r="B8" s="14" t="s">
        <v>49</v>
      </c>
      <c r="C8" s="41">
        <v>14300</v>
      </c>
      <c r="D8" s="11"/>
      <c r="E8" s="11"/>
      <c r="F8" s="11"/>
      <c r="G8" s="11"/>
      <c r="H8" s="15"/>
      <c r="I8" s="12">
        <f t="shared" si="0"/>
        <v>11447.9</v>
      </c>
      <c r="J8" s="12">
        <f t="shared" si="1"/>
        <v>35333.85</v>
      </c>
    </row>
    <row r="9" spans="1:10" x14ac:dyDescent="0.25">
      <c r="A9" s="18">
        <v>42737</v>
      </c>
      <c r="B9" s="13" t="s">
        <v>51</v>
      </c>
      <c r="C9" s="41"/>
      <c r="D9" s="11"/>
      <c r="E9" s="11"/>
      <c r="F9" s="11"/>
      <c r="G9" s="11">
        <v>310</v>
      </c>
      <c r="H9" s="15"/>
      <c r="I9" s="12">
        <f t="shared" si="0"/>
        <v>11447.9</v>
      </c>
      <c r="J9" s="12">
        <f t="shared" si="1"/>
        <v>35023.85</v>
      </c>
    </row>
    <row r="10" spans="1:10" x14ac:dyDescent="0.25">
      <c r="A10" s="18">
        <v>42738</v>
      </c>
      <c r="B10" s="14" t="s">
        <v>52</v>
      </c>
      <c r="C10" s="41"/>
      <c r="D10" s="11"/>
      <c r="E10" s="11"/>
      <c r="F10" s="11"/>
      <c r="G10" s="11">
        <v>794</v>
      </c>
      <c r="H10" s="15"/>
      <c r="I10" s="12">
        <f t="shared" si="0"/>
        <v>11447.9</v>
      </c>
      <c r="J10" s="12">
        <f t="shared" si="1"/>
        <v>34229.85</v>
      </c>
    </row>
    <row r="11" spans="1:10" x14ac:dyDescent="0.25">
      <c r="A11" s="18">
        <v>42738</v>
      </c>
      <c r="B11" s="21" t="s">
        <v>53</v>
      </c>
      <c r="C11" s="41"/>
      <c r="D11" s="11"/>
      <c r="E11" s="11"/>
      <c r="F11" s="11"/>
      <c r="G11" s="11">
        <v>552</v>
      </c>
      <c r="H11" s="15"/>
      <c r="I11" s="12">
        <f t="shared" si="0"/>
        <v>11447.9</v>
      </c>
      <c r="J11" s="12">
        <f t="shared" si="1"/>
        <v>33677.85</v>
      </c>
    </row>
    <row r="12" spans="1:10" x14ac:dyDescent="0.25">
      <c r="A12" s="18">
        <v>42738</v>
      </c>
      <c r="B12" s="13" t="s">
        <v>54</v>
      </c>
      <c r="C12" s="41"/>
      <c r="D12" s="11"/>
      <c r="E12" s="11"/>
      <c r="F12" s="11"/>
      <c r="G12" s="11">
        <v>35</v>
      </c>
      <c r="H12" s="15"/>
      <c r="I12" s="12">
        <f t="shared" si="0"/>
        <v>11447.9</v>
      </c>
      <c r="J12" s="12">
        <f t="shared" si="1"/>
        <v>33642.85</v>
      </c>
    </row>
    <row r="13" spans="1:10" x14ac:dyDescent="0.25">
      <c r="A13" s="18">
        <v>42738</v>
      </c>
      <c r="B13" s="13" t="s">
        <v>55</v>
      </c>
      <c r="C13" s="41"/>
      <c r="D13" s="11"/>
      <c r="E13" s="11"/>
      <c r="F13" s="11"/>
      <c r="G13" s="11">
        <v>5</v>
      </c>
      <c r="H13" s="15"/>
      <c r="I13" s="12">
        <f t="shared" si="0"/>
        <v>11447.9</v>
      </c>
      <c r="J13" s="12">
        <f t="shared" si="1"/>
        <v>33637.85</v>
      </c>
    </row>
    <row r="14" spans="1:10" x14ac:dyDescent="0.25">
      <c r="A14" s="18">
        <v>42739</v>
      </c>
      <c r="B14" s="13" t="s">
        <v>56</v>
      </c>
      <c r="C14" s="41"/>
      <c r="D14" s="11"/>
      <c r="E14" s="11"/>
      <c r="F14" s="11"/>
      <c r="G14" s="11">
        <v>600</v>
      </c>
      <c r="H14" s="15"/>
      <c r="I14" s="12">
        <f t="shared" si="0"/>
        <v>11447.9</v>
      </c>
      <c r="J14" s="12">
        <f t="shared" si="1"/>
        <v>33037.85</v>
      </c>
    </row>
    <row r="15" spans="1:10" x14ac:dyDescent="0.25">
      <c r="A15" s="18">
        <v>42739</v>
      </c>
      <c r="B15" s="14" t="s">
        <v>57</v>
      </c>
      <c r="C15" s="41"/>
      <c r="D15" s="11"/>
      <c r="E15" s="11"/>
      <c r="F15" s="11"/>
      <c r="G15" s="11">
        <v>400</v>
      </c>
      <c r="H15" s="15"/>
      <c r="I15" s="12">
        <f t="shared" si="0"/>
        <v>11447.9</v>
      </c>
      <c r="J15" s="12">
        <f t="shared" si="1"/>
        <v>32637.85</v>
      </c>
    </row>
    <row r="16" spans="1:10" x14ac:dyDescent="0.25">
      <c r="A16" s="18">
        <v>42739</v>
      </c>
      <c r="B16" s="13" t="s">
        <v>58</v>
      </c>
      <c r="C16" s="41"/>
      <c r="D16" s="11"/>
      <c r="E16" s="11"/>
      <c r="F16" s="11"/>
      <c r="G16" s="11">
        <v>1250</v>
      </c>
      <c r="H16" s="15"/>
      <c r="I16" s="12">
        <f t="shared" si="0"/>
        <v>11447.9</v>
      </c>
      <c r="J16" s="12">
        <f t="shared" si="1"/>
        <v>31387.85</v>
      </c>
    </row>
    <row r="17" spans="1:10" x14ac:dyDescent="0.25">
      <c r="A17" s="18">
        <v>42740</v>
      </c>
      <c r="B17" s="13" t="s">
        <v>59</v>
      </c>
      <c r="C17" s="41"/>
      <c r="D17" s="11"/>
      <c r="E17" s="11"/>
      <c r="F17" s="11"/>
      <c r="G17" s="11">
        <v>446.9</v>
      </c>
      <c r="H17" s="15"/>
      <c r="I17" s="12">
        <f t="shared" si="0"/>
        <v>11447.9</v>
      </c>
      <c r="J17" s="12">
        <f t="shared" si="1"/>
        <v>30940.949999999997</v>
      </c>
    </row>
    <row r="18" spans="1:10" x14ac:dyDescent="0.25">
      <c r="A18" s="18">
        <v>42740</v>
      </c>
      <c r="B18" s="13" t="s">
        <v>60</v>
      </c>
      <c r="C18" s="41"/>
      <c r="D18" s="11"/>
      <c r="E18" s="11"/>
      <c r="F18" s="11"/>
      <c r="G18" s="11">
        <v>791</v>
      </c>
      <c r="H18" s="15"/>
      <c r="I18" s="12">
        <f t="shared" si="0"/>
        <v>11447.9</v>
      </c>
      <c r="J18" s="12">
        <f t="shared" si="1"/>
        <v>30149.949999999997</v>
      </c>
    </row>
    <row r="19" spans="1:10" x14ac:dyDescent="0.25">
      <c r="A19" s="18">
        <v>42740</v>
      </c>
      <c r="B19" s="13" t="s">
        <v>61</v>
      </c>
      <c r="C19" s="41"/>
      <c r="D19" s="11"/>
      <c r="E19" s="11"/>
      <c r="F19" s="11"/>
      <c r="G19" s="11">
        <v>40</v>
      </c>
      <c r="H19" s="15"/>
      <c r="I19" s="12">
        <f t="shared" si="0"/>
        <v>11447.9</v>
      </c>
      <c r="J19" s="12">
        <f t="shared" si="1"/>
        <v>30109.949999999997</v>
      </c>
    </row>
    <row r="20" spans="1:10" x14ac:dyDescent="0.25">
      <c r="A20" s="18">
        <v>42740</v>
      </c>
      <c r="B20" s="13" t="s">
        <v>62</v>
      </c>
      <c r="C20" s="41"/>
      <c r="D20" s="11"/>
      <c r="E20" s="11"/>
      <c r="F20" s="11"/>
      <c r="G20" s="11">
        <v>760</v>
      </c>
      <c r="H20" s="15"/>
      <c r="I20" s="12">
        <f t="shared" si="0"/>
        <v>11447.9</v>
      </c>
      <c r="J20" s="12">
        <f t="shared" si="1"/>
        <v>29349.949999999997</v>
      </c>
    </row>
    <row r="21" spans="1:10" x14ac:dyDescent="0.25">
      <c r="A21" s="18">
        <v>42740</v>
      </c>
      <c r="B21" s="13" t="s">
        <v>63</v>
      </c>
      <c r="C21" s="41"/>
      <c r="D21" s="11"/>
      <c r="E21" s="11"/>
      <c r="F21" s="11"/>
      <c r="G21" s="11">
        <v>350</v>
      </c>
      <c r="H21" s="15"/>
      <c r="I21" s="12">
        <f t="shared" si="0"/>
        <v>11447.9</v>
      </c>
      <c r="J21" s="12">
        <f t="shared" si="1"/>
        <v>28999.949999999997</v>
      </c>
    </row>
    <row r="22" spans="1:10" x14ac:dyDescent="0.25">
      <c r="A22" s="18">
        <v>42740</v>
      </c>
      <c r="B22" s="13" t="s">
        <v>64</v>
      </c>
      <c r="C22" s="41"/>
      <c r="D22" s="11"/>
      <c r="E22" s="11"/>
      <c r="F22" s="11"/>
      <c r="G22" s="11">
        <v>450</v>
      </c>
      <c r="H22" s="15"/>
      <c r="I22" s="12">
        <f t="shared" si="0"/>
        <v>11447.9</v>
      </c>
      <c r="J22" s="12">
        <f t="shared" si="1"/>
        <v>28549.949999999997</v>
      </c>
    </row>
    <row r="23" spans="1:10" x14ac:dyDescent="0.25">
      <c r="A23" s="18">
        <v>42740</v>
      </c>
      <c r="B23" s="13" t="s">
        <v>65</v>
      </c>
      <c r="C23" s="41"/>
      <c r="D23" s="11"/>
      <c r="E23" s="11"/>
      <c r="F23" s="11"/>
      <c r="G23" s="11">
        <v>850</v>
      </c>
      <c r="H23" s="15"/>
      <c r="I23" s="12">
        <f t="shared" si="0"/>
        <v>11447.9</v>
      </c>
      <c r="J23" s="12">
        <f t="shared" si="1"/>
        <v>27699.949999999997</v>
      </c>
    </row>
    <row r="24" spans="1:10" x14ac:dyDescent="0.25">
      <c r="A24" s="18">
        <v>42740</v>
      </c>
      <c r="B24" s="13" t="s">
        <v>66</v>
      </c>
      <c r="C24" s="41"/>
      <c r="D24" s="11"/>
      <c r="E24" s="11"/>
      <c r="F24" s="11"/>
      <c r="G24" s="11">
        <v>350</v>
      </c>
      <c r="H24" s="15"/>
      <c r="I24" s="12">
        <f t="shared" si="0"/>
        <v>11447.9</v>
      </c>
      <c r="J24" s="12">
        <f t="shared" si="1"/>
        <v>27349.949999999997</v>
      </c>
    </row>
    <row r="25" spans="1:10" x14ac:dyDescent="0.25">
      <c r="A25" s="38">
        <v>42741</v>
      </c>
      <c r="B25" s="13" t="s">
        <v>67</v>
      </c>
      <c r="C25" s="41"/>
      <c r="D25" s="11"/>
      <c r="E25" s="11"/>
      <c r="F25" s="11"/>
      <c r="G25" s="11">
        <v>200</v>
      </c>
      <c r="H25" s="15"/>
      <c r="I25" s="12">
        <f t="shared" si="0"/>
        <v>11447.9</v>
      </c>
      <c r="J25" s="12">
        <f t="shared" si="1"/>
        <v>27149.949999999997</v>
      </c>
    </row>
    <row r="26" spans="1:10" x14ac:dyDescent="0.25">
      <c r="A26" s="38">
        <v>42741</v>
      </c>
      <c r="B26" s="35" t="s">
        <v>68</v>
      </c>
      <c r="C26" s="41"/>
      <c r="D26" s="11"/>
      <c r="E26" s="11"/>
      <c r="F26" s="11"/>
      <c r="G26" s="11">
        <v>1000</v>
      </c>
      <c r="H26" s="15"/>
      <c r="I26" s="12">
        <f t="shared" si="0"/>
        <v>11447.9</v>
      </c>
      <c r="J26" s="12">
        <f t="shared" si="1"/>
        <v>26149.949999999997</v>
      </c>
    </row>
    <row r="27" spans="1:10" x14ac:dyDescent="0.25">
      <c r="A27" s="38">
        <v>42741</v>
      </c>
      <c r="B27" s="35" t="s">
        <v>69</v>
      </c>
      <c r="C27" s="41"/>
      <c r="D27" s="11"/>
      <c r="E27" s="11"/>
      <c r="F27" s="11"/>
      <c r="G27" s="11">
        <v>38</v>
      </c>
      <c r="H27" s="15"/>
      <c r="I27" s="12">
        <f t="shared" si="0"/>
        <v>11447.9</v>
      </c>
      <c r="J27" s="12">
        <f t="shared" si="1"/>
        <v>26111.949999999997</v>
      </c>
    </row>
    <row r="28" spans="1:10" x14ac:dyDescent="0.25">
      <c r="A28" s="38">
        <v>42742</v>
      </c>
      <c r="B28" s="35" t="s">
        <v>70</v>
      </c>
      <c r="C28" s="41"/>
      <c r="D28" s="11"/>
      <c r="E28" s="11"/>
      <c r="F28" s="11"/>
      <c r="G28" s="11">
        <v>500</v>
      </c>
      <c r="H28" s="15"/>
      <c r="I28" s="12">
        <f t="shared" si="0"/>
        <v>11447.9</v>
      </c>
      <c r="J28" s="12">
        <f t="shared" si="1"/>
        <v>25611.949999999997</v>
      </c>
    </row>
    <row r="29" spans="1:10" x14ac:dyDescent="0.25">
      <c r="A29" s="38">
        <v>42743</v>
      </c>
      <c r="B29" s="35" t="s">
        <v>47</v>
      </c>
      <c r="C29" s="41"/>
      <c r="D29" s="11"/>
      <c r="E29" s="11"/>
      <c r="F29" s="11"/>
      <c r="G29" s="11">
        <v>75</v>
      </c>
      <c r="H29" s="15"/>
      <c r="I29" s="12">
        <f t="shared" si="0"/>
        <v>11447.9</v>
      </c>
      <c r="J29" s="12">
        <f t="shared" si="1"/>
        <v>25536.949999999997</v>
      </c>
    </row>
    <row r="30" spans="1:10" x14ac:dyDescent="0.25">
      <c r="A30" s="38">
        <v>42743</v>
      </c>
      <c r="B30" s="35" t="s">
        <v>47</v>
      </c>
      <c r="C30" s="41"/>
      <c r="D30" s="11"/>
      <c r="E30" s="11"/>
      <c r="F30" s="11"/>
      <c r="G30" s="11">
        <v>44.5</v>
      </c>
      <c r="H30" s="15"/>
      <c r="I30" s="12">
        <f t="shared" si="0"/>
        <v>11447.9</v>
      </c>
      <c r="J30" s="12">
        <f t="shared" si="1"/>
        <v>25492.449999999997</v>
      </c>
    </row>
    <row r="31" spans="1:10" x14ac:dyDescent="0.25">
      <c r="A31" s="38">
        <v>42743</v>
      </c>
      <c r="B31" s="35" t="s">
        <v>71</v>
      </c>
      <c r="C31" s="41"/>
      <c r="D31" s="11"/>
      <c r="E31" s="11"/>
      <c r="F31" s="11"/>
      <c r="G31" s="11">
        <v>100</v>
      </c>
      <c r="H31" s="15"/>
      <c r="I31" s="12">
        <f t="shared" si="0"/>
        <v>11447.9</v>
      </c>
      <c r="J31" s="12">
        <f t="shared" si="1"/>
        <v>25392.449999999997</v>
      </c>
    </row>
    <row r="32" spans="1:10" x14ac:dyDescent="0.25">
      <c r="A32" s="38">
        <v>42743</v>
      </c>
      <c r="B32" s="36" t="s">
        <v>72</v>
      </c>
      <c r="C32" s="41"/>
      <c r="D32" s="11"/>
      <c r="E32" s="11"/>
      <c r="F32" s="11"/>
      <c r="G32" s="11">
        <v>120</v>
      </c>
      <c r="H32" s="15"/>
      <c r="I32" s="12">
        <f t="shared" si="0"/>
        <v>11447.9</v>
      </c>
      <c r="J32" s="12">
        <f t="shared" si="1"/>
        <v>25272.449999999997</v>
      </c>
    </row>
    <row r="33" spans="1:10" x14ac:dyDescent="0.25">
      <c r="A33" s="38">
        <v>42743</v>
      </c>
      <c r="B33" s="35" t="s">
        <v>42</v>
      </c>
      <c r="C33" s="41"/>
      <c r="D33" s="11"/>
      <c r="E33" s="11"/>
      <c r="F33" s="11"/>
      <c r="G33" s="11">
        <v>150</v>
      </c>
      <c r="H33" s="15"/>
      <c r="I33" s="12">
        <f t="shared" si="0"/>
        <v>11447.9</v>
      </c>
      <c r="J33" s="12">
        <f t="shared" si="1"/>
        <v>25122.449999999997</v>
      </c>
    </row>
    <row r="34" spans="1:10" x14ac:dyDescent="0.25">
      <c r="A34" s="39">
        <v>42744</v>
      </c>
      <c r="B34" s="35" t="s">
        <v>50</v>
      </c>
      <c r="C34" s="41">
        <v>55595</v>
      </c>
      <c r="D34" s="11"/>
      <c r="E34" s="11"/>
      <c r="F34" s="11"/>
      <c r="G34" s="11"/>
      <c r="H34" s="15"/>
      <c r="I34" s="12">
        <f t="shared" si="0"/>
        <v>11447.9</v>
      </c>
      <c r="J34" s="12">
        <f t="shared" si="1"/>
        <v>80717.45</v>
      </c>
    </row>
    <row r="35" spans="1:10" x14ac:dyDescent="0.25">
      <c r="A35" s="38">
        <v>42744</v>
      </c>
      <c r="B35" s="35" t="s">
        <v>51</v>
      </c>
      <c r="C35" s="41"/>
      <c r="D35" s="11"/>
      <c r="E35" s="11"/>
      <c r="F35" s="11"/>
      <c r="G35" s="11">
        <v>310</v>
      </c>
      <c r="H35" s="15"/>
      <c r="I35" s="12">
        <f t="shared" si="0"/>
        <v>11447.9</v>
      </c>
      <c r="J35" s="12">
        <f t="shared" si="1"/>
        <v>80407.45</v>
      </c>
    </row>
    <row r="36" spans="1:10" x14ac:dyDescent="0.25">
      <c r="A36" s="42">
        <v>42744</v>
      </c>
      <c r="B36" s="34" t="s">
        <v>73</v>
      </c>
      <c r="C36" s="41"/>
      <c r="D36" s="11"/>
      <c r="E36" s="11"/>
      <c r="F36" s="11"/>
      <c r="G36" s="11">
        <v>116</v>
      </c>
      <c r="H36" s="15"/>
      <c r="I36" s="12">
        <f t="shared" si="0"/>
        <v>11447.9</v>
      </c>
      <c r="J36" s="12">
        <f t="shared" si="1"/>
        <v>80291.45</v>
      </c>
    </row>
    <row r="37" spans="1:10" x14ac:dyDescent="0.25">
      <c r="A37" s="39">
        <v>42744</v>
      </c>
      <c r="B37" s="35" t="s">
        <v>74</v>
      </c>
      <c r="C37" s="41"/>
      <c r="D37" s="11"/>
      <c r="E37" s="11"/>
      <c r="F37" s="11"/>
      <c r="G37" s="11">
        <v>326.60000000000002</v>
      </c>
      <c r="H37" s="15"/>
      <c r="I37" s="12">
        <f t="shared" si="0"/>
        <v>11447.9</v>
      </c>
      <c r="J37" s="12">
        <f t="shared" si="1"/>
        <v>79964.849999999991</v>
      </c>
    </row>
    <row r="38" spans="1:10" x14ac:dyDescent="0.25">
      <c r="A38" s="38">
        <v>43049</v>
      </c>
      <c r="B38" s="35" t="s">
        <v>75</v>
      </c>
      <c r="C38" s="41"/>
      <c r="D38" s="11"/>
      <c r="E38" s="11"/>
      <c r="F38" s="11"/>
      <c r="G38" s="11">
        <v>200</v>
      </c>
      <c r="H38" s="15"/>
      <c r="I38" s="12">
        <f t="shared" si="0"/>
        <v>11447.9</v>
      </c>
      <c r="J38" s="12">
        <f t="shared" si="1"/>
        <v>79764.849999999991</v>
      </c>
    </row>
    <row r="39" spans="1:10" x14ac:dyDescent="0.25">
      <c r="A39" s="37">
        <v>42746</v>
      </c>
      <c r="B39" s="35" t="s">
        <v>76</v>
      </c>
      <c r="C39" s="41"/>
      <c r="D39" s="11"/>
      <c r="E39" s="11"/>
      <c r="F39" s="11"/>
      <c r="G39" s="11">
        <v>200</v>
      </c>
      <c r="H39" s="15"/>
      <c r="I39" s="12">
        <f t="shared" si="0"/>
        <v>11447.9</v>
      </c>
      <c r="J39" s="12">
        <f t="shared" si="1"/>
        <v>79564.849999999991</v>
      </c>
    </row>
    <row r="40" spans="1:10" x14ac:dyDescent="0.25">
      <c r="A40" s="39">
        <v>42746</v>
      </c>
      <c r="B40" s="35" t="s">
        <v>77</v>
      </c>
      <c r="C40" s="41"/>
      <c r="D40" s="11"/>
      <c r="E40" s="11"/>
      <c r="F40" s="11"/>
      <c r="G40" s="11">
        <v>350</v>
      </c>
      <c r="H40" s="15"/>
      <c r="I40" s="12">
        <f t="shared" si="0"/>
        <v>11447.9</v>
      </c>
      <c r="J40" s="12">
        <f t="shared" si="1"/>
        <v>79214.849999999991</v>
      </c>
    </row>
    <row r="41" spans="1:10" x14ac:dyDescent="0.25">
      <c r="A41" s="38">
        <v>42746</v>
      </c>
      <c r="B41" s="35" t="s">
        <v>78</v>
      </c>
      <c r="C41" s="41"/>
      <c r="D41" s="11"/>
      <c r="E41" s="11"/>
      <c r="F41" s="11"/>
      <c r="G41" s="11">
        <v>1685</v>
      </c>
      <c r="H41" s="15"/>
      <c r="I41" s="12">
        <f t="shared" si="0"/>
        <v>11447.9</v>
      </c>
      <c r="J41" s="12">
        <f t="shared" si="1"/>
        <v>77529.849999999991</v>
      </c>
    </row>
    <row r="42" spans="1:10" x14ac:dyDescent="0.25">
      <c r="A42" s="38">
        <v>42746</v>
      </c>
      <c r="B42" s="35" t="s">
        <v>79</v>
      </c>
      <c r="C42" s="41"/>
      <c r="D42" s="11"/>
      <c r="E42" s="11"/>
      <c r="F42" s="11"/>
      <c r="G42" s="11">
        <v>1250</v>
      </c>
      <c r="H42" s="15"/>
      <c r="I42" s="12">
        <f t="shared" si="0"/>
        <v>11447.9</v>
      </c>
      <c r="J42" s="12">
        <f t="shared" si="1"/>
        <v>76279.849999999991</v>
      </c>
    </row>
    <row r="43" spans="1:10" x14ac:dyDescent="0.25">
      <c r="A43" s="38">
        <v>42747</v>
      </c>
      <c r="B43" s="35" t="s">
        <v>80</v>
      </c>
      <c r="C43" s="41"/>
      <c r="D43" s="11"/>
      <c r="E43" s="11"/>
      <c r="F43" s="11"/>
      <c r="G43" s="11">
        <v>200</v>
      </c>
      <c r="H43" s="15"/>
      <c r="I43" s="12">
        <f t="shared" si="0"/>
        <v>11447.9</v>
      </c>
      <c r="J43" s="12">
        <f t="shared" si="1"/>
        <v>76079.849999999991</v>
      </c>
    </row>
    <row r="44" spans="1:10" x14ac:dyDescent="0.25">
      <c r="A44" s="38">
        <v>42747</v>
      </c>
      <c r="B44" s="9" t="s">
        <v>81</v>
      </c>
      <c r="C44" s="41"/>
      <c r="D44" s="11"/>
      <c r="E44" s="11"/>
      <c r="F44" s="11"/>
      <c r="G44" s="11">
        <v>250</v>
      </c>
      <c r="H44" s="15"/>
      <c r="I44" s="12">
        <f t="shared" si="0"/>
        <v>11447.9</v>
      </c>
      <c r="J44" s="12">
        <f t="shared" si="1"/>
        <v>75829.849999999991</v>
      </c>
    </row>
    <row r="45" spans="1:10" x14ac:dyDescent="0.25">
      <c r="A45" s="38">
        <v>42747</v>
      </c>
      <c r="B45" s="35" t="s">
        <v>84</v>
      </c>
      <c r="C45" s="41"/>
      <c r="D45" s="11"/>
      <c r="E45" s="11"/>
      <c r="F45" s="11"/>
      <c r="G45" s="11">
        <v>350</v>
      </c>
      <c r="H45" s="15"/>
      <c r="I45" s="12">
        <f t="shared" si="0"/>
        <v>11447.9</v>
      </c>
      <c r="J45" s="12">
        <f t="shared" si="1"/>
        <v>75479.849999999991</v>
      </c>
    </row>
    <row r="46" spans="1:10" x14ac:dyDescent="0.25">
      <c r="A46" s="40">
        <v>42747</v>
      </c>
      <c r="B46" s="35" t="s">
        <v>85</v>
      </c>
      <c r="C46" s="41"/>
      <c r="D46" s="41"/>
      <c r="E46" s="41"/>
      <c r="F46" s="41"/>
      <c r="G46" s="11">
        <v>540</v>
      </c>
      <c r="H46" s="15"/>
      <c r="I46" s="12">
        <f t="shared" si="0"/>
        <v>11447.9</v>
      </c>
      <c r="J46" s="12">
        <f t="shared" si="1"/>
        <v>74939.849999999991</v>
      </c>
    </row>
    <row r="47" spans="1:10" x14ac:dyDescent="0.25">
      <c r="A47" s="37">
        <v>42747</v>
      </c>
      <c r="B47" s="35" t="s">
        <v>86</v>
      </c>
      <c r="C47" s="41"/>
      <c r="D47" s="41"/>
      <c r="E47" s="41"/>
      <c r="F47" s="16"/>
      <c r="G47" s="11">
        <v>50.9</v>
      </c>
      <c r="H47" s="15"/>
      <c r="I47" s="12">
        <f t="shared" si="0"/>
        <v>11447.9</v>
      </c>
      <c r="J47" s="12">
        <f t="shared" si="1"/>
        <v>74888.95</v>
      </c>
    </row>
    <row r="48" spans="1:10" x14ac:dyDescent="0.25">
      <c r="A48" s="39">
        <v>42748</v>
      </c>
      <c r="B48" s="35" t="s">
        <v>87</v>
      </c>
      <c r="C48" s="41"/>
      <c r="D48" s="41"/>
      <c r="E48" s="41"/>
      <c r="F48" s="41"/>
      <c r="G48" s="11">
        <v>1000</v>
      </c>
      <c r="H48" s="15"/>
      <c r="I48" s="12">
        <f t="shared" si="0"/>
        <v>11447.9</v>
      </c>
      <c r="J48" s="12">
        <f t="shared" si="1"/>
        <v>73888.95</v>
      </c>
    </row>
    <row r="49" spans="1:10" x14ac:dyDescent="0.25">
      <c r="A49" s="18">
        <v>42748</v>
      </c>
      <c r="B49" s="13" t="s">
        <v>88</v>
      </c>
      <c r="C49" s="11"/>
      <c r="D49" s="11"/>
      <c r="E49" s="11"/>
      <c r="F49" s="11"/>
      <c r="G49" s="11">
        <v>90</v>
      </c>
      <c r="H49" s="15"/>
      <c r="I49" s="12">
        <f t="shared" si="0"/>
        <v>11447.9</v>
      </c>
      <c r="J49" s="12">
        <f t="shared" si="1"/>
        <v>73798.95</v>
      </c>
    </row>
    <row r="50" spans="1:10" x14ac:dyDescent="0.25">
      <c r="A50" s="18">
        <v>42748</v>
      </c>
      <c r="B50" s="13" t="s">
        <v>89</v>
      </c>
      <c r="C50" s="11"/>
      <c r="D50" s="11"/>
      <c r="E50" s="11"/>
      <c r="F50" s="11"/>
      <c r="G50" s="11">
        <v>500</v>
      </c>
      <c r="H50" s="15"/>
      <c r="I50" s="12">
        <f t="shared" si="0"/>
        <v>11447.9</v>
      </c>
      <c r="J50" s="12">
        <f t="shared" si="1"/>
        <v>73298.95</v>
      </c>
    </row>
    <row r="51" spans="1:10" ht="15.75" thickBot="1" x14ac:dyDescent="0.3">
      <c r="A51" s="38">
        <v>42748</v>
      </c>
      <c r="B51" s="36" t="s">
        <v>90</v>
      </c>
      <c r="C51" s="11"/>
      <c r="D51" s="11"/>
      <c r="E51" s="11"/>
      <c r="F51" s="11"/>
      <c r="G51" s="59">
        <v>500</v>
      </c>
      <c r="H51" s="15"/>
      <c r="I51" s="12">
        <f>+I50+D51-F51</f>
        <v>11447.9</v>
      </c>
      <c r="J51" s="12">
        <f t="shared" si="1"/>
        <v>72798.95</v>
      </c>
    </row>
    <row r="52" spans="1:10" ht="15.75" thickBot="1" x14ac:dyDescent="0.3">
      <c r="A52" s="5"/>
      <c r="B52" s="7" t="s">
        <v>0</v>
      </c>
      <c r="C52" s="63">
        <f>SUM(C4:C51)</f>
        <v>69895</v>
      </c>
      <c r="D52" s="61">
        <f>SUM(D4:D51)</f>
        <v>0</v>
      </c>
      <c r="E52" s="72">
        <f>SUM(C52:D52)</f>
        <v>69895</v>
      </c>
      <c r="F52" s="81">
        <f>SUM(F4:F51)</f>
        <v>0</v>
      </c>
      <c r="G52" s="63">
        <f>SUM(G4:G51)</f>
        <v>18403.900000000001</v>
      </c>
      <c r="H52" s="72">
        <f>SUM(F52:G52)</f>
        <v>18403.900000000001</v>
      </c>
      <c r="I52" s="20"/>
      <c r="J52" s="20"/>
    </row>
    <row r="53" spans="1:10" x14ac:dyDescent="0.25">
      <c r="A53" s="69" t="s">
        <v>1</v>
      </c>
      <c r="B53" s="69" t="s">
        <v>2</v>
      </c>
      <c r="C53" s="69" t="s">
        <v>3</v>
      </c>
      <c r="D53" s="69" t="s">
        <v>3</v>
      </c>
      <c r="E53" s="69" t="s">
        <v>23</v>
      </c>
      <c r="F53" s="69" t="s">
        <v>24</v>
      </c>
      <c r="G53" s="48" t="s">
        <v>24</v>
      </c>
      <c r="H53" s="48" t="s">
        <v>23</v>
      </c>
      <c r="I53" s="69" t="s">
        <v>9</v>
      </c>
      <c r="J53" s="48" t="s">
        <v>8</v>
      </c>
    </row>
    <row r="54" spans="1:10" ht="15.75" thickBot="1" x14ac:dyDescent="0.3">
      <c r="A54" s="70"/>
      <c r="B54" s="70"/>
      <c r="C54" s="70" t="s">
        <v>5</v>
      </c>
      <c r="D54" s="70" t="s">
        <v>25</v>
      </c>
      <c r="E54" s="70" t="s">
        <v>3</v>
      </c>
      <c r="F54" s="70" t="s">
        <v>25</v>
      </c>
      <c r="G54" s="71" t="s">
        <v>5</v>
      </c>
      <c r="H54" s="71" t="s">
        <v>4</v>
      </c>
      <c r="I54" s="70"/>
      <c r="J54" s="71"/>
    </row>
    <row r="55" spans="1:10" ht="15.75" thickBot="1" x14ac:dyDescent="0.3">
      <c r="A55" s="5"/>
      <c r="B55" s="7"/>
      <c r="C55" s="63">
        <v>69895</v>
      </c>
      <c r="D55" s="61">
        <v>0</v>
      </c>
      <c r="E55" s="72">
        <f>SUM(C55:D55)</f>
        <v>69895</v>
      </c>
      <c r="F55" s="81">
        <v>0</v>
      </c>
      <c r="G55" s="63">
        <v>18403.900000000001</v>
      </c>
      <c r="H55" s="72">
        <f>SUM(F55:G55)</f>
        <v>18403.900000000001</v>
      </c>
      <c r="I55" s="20">
        <v>11447.9</v>
      </c>
      <c r="J55" s="12">
        <v>72798.95</v>
      </c>
    </row>
    <row r="56" spans="1:10" x14ac:dyDescent="0.25">
      <c r="A56" s="38">
        <v>42750</v>
      </c>
      <c r="B56" s="35" t="s">
        <v>91</v>
      </c>
      <c r="C56" s="11"/>
      <c r="D56" s="11"/>
      <c r="E56" s="11"/>
      <c r="F56" s="11"/>
      <c r="G56" s="11">
        <v>350</v>
      </c>
      <c r="H56" s="15"/>
      <c r="I56" s="12">
        <f>+I55+D56-F56</f>
        <v>11447.9</v>
      </c>
      <c r="J56" s="12">
        <f>+J55+C56-G56</f>
        <v>72448.95</v>
      </c>
    </row>
    <row r="57" spans="1:10" x14ac:dyDescent="0.25">
      <c r="A57" s="38">
        <v>42750</v>
      </c>
      <c r="B57" s="35" t="s">
        <v>92</v>
      </c>
      <c r="C57" s="11"/>
      <c r="D57" s="11"/>
      <c r="E57" s="11"/>
      <c r="F57" s="11"/>
      <c r="G57" s="11">
        <v>450</v>
      </c>
      <c r="H57" s="15"/>
      <c r="I57" s="12">
        <f t="shared" ref="I57:I102" si="2">+I56+D57-F57</f>
        <v>11447.9</v>
      </c>
      <c r="J57" s="12">
        <f t="shared" ref="J57:J103" si="3">+J56+C57-G57</f>
        <v>71998.95</v>
      </c>
    </row>
    <row r="58" spans="1:10" x14ac:dyDescent="0.25">
      <c r="A58" s="38">
        <v>42750</v>
      </c>
      <c r="B58" s="35" t="s">
        <v>72</v>
      </c>
      <c r="C58" s="11"/>
      <c r="D58" s="11"/>
      <c r="E58" s="11"/>
      <c r="F58" s="11"/>
      <c r="G58" s="11">
        <v>150</v>
      </c>
      <c r="H58" s="15"/>
      <c r="I58" s="12">
        <f t="shared" si="2"/>
        <v>11447.9</v>
      </c>
      <c r="J58" s="12">
        <f t="shared" si="3"/>
        <v>71848.95</v>
      </c>
    </row>
    <row r="59" spans="1:10" x14ac:dyDescent="0.25">
      <c r="A59" s="38">
        <v>42750</v>
      </c>
      <c r="B59" s="36" t="s">
        <v>93</v>
      </c>
      <c r="C59" s="11"/>
      <c r="D59" s="11"/>
      <c r="E59" s="11"/>
      <c r="F59" s="11"/>
      <c r="G59" s="11">
        <v>500</v>
      </c>
      <c r="H59" s="15"/>
      <c r="I59" s="12">
        <f t="shared" si="2"/>
        <v>11447.9</v>
      </c>
      <c r="J59" s="12">
        <f t="shared" si="3"/>
        <v>71348.95</v>
      </c>
    </row>
    <row r="60" spans="1:10" x14ac:dyDescent="0.25">
      <c r="A60" s="38">
        <v>42750</v>
      </c>
      <c r="B60" s="36" t="s">
        <v>42</v>
      </c>
      <c r="C60" s="11"/>
      <c r="D60" s="11"/>
      <c r="E60" s="11"/>
      <c r="F60" s="11"/>
      <c r="G60" s="11">
        <v>120</v>
      </c>
      <c r="H60" s="15"/>
      <c r="I60" s="12">
        <f t="shared" si="2"/>
        <v>11447.9</v>
      </c>
      <c r="J60" s="12">
        <f t="shared" si="3"/>
        <v>71228.95</v>
      </c>
    </row>
    <row r="61" spans="1:10" x14ac:dyDescent="0.25">
      <c r="A61" s="38">
        <v>42750</v>
      </c>
      <c r="B61" s="36" t="s">
        <v>47</v>
      </c>
      <c r="C61" s="11"/>
      <c r="D61" s="11"/>
      <c r="E61" s="11"/>
      <c r="F61" s="11"/>
      <c r="G61" s="11">
        <v>115</v>
      </c>
      <c r="H61" s="15"/>
      <c r="I61" s="12">
        <f t="shared" si="2"/>
        <v>11447.9</v>
      </c>
      <c r="J61" s="12">
        <f t="shared" si="3"/>
        <v>71113.95</v>
      </c>
    </row>
    <row r="62" spans="1:10" x14ac:dyDescent="0.25">
      <c r="A62" s="38">
        <v>42750</v>
      </c>
      <c r="B62" s="36" t="s">
        <v>82</v>
      </c>
      <c r="C62" s="11"/>
      <c r="D62" s="11"/>
      <c r="E62" s="11"/>
      <c r="F62" s="11"/>
      <c r="G62" s="11">
        <v>30100</v>
      </c>
      <c r="H62" s="15"/>
      <c r="I62" s="12">
        <f t="shared" si="2"/>
        <v>11447.9</v>
      </c>
      <c r="J62" s="12">
        <f t="shared" si="3"/>
        <v>41013.949999999997</v>
      </c>
    </row>
    <row r="63" spans="1:10" x14ac:dyDescent="0.25">
      <c r="A63" s="38">
        <v>42750</v>
      </c>
      <c r="B63" s="36" t="s">
        <v>83</v>
      </c>
      <c r="C63" s="11"/>
      <c r="D63" s="11"/>
      <c r="E63" s="11"/>
      <c r="F63" s="11"/>
      <c r="G63" s="11">
        <v>4000</v>
      </c>
      <c r="H63" s="15"/>
      <c r="I63" s="12">
        <f t="shared" si="2"/>
        <v>11447.9</v>
      </c>
      <c r="J63" s="12">
        <f t="shared" si="3"/>
        <v>37013.949999999997</v>
      </c>
    </row>
    <row r="64" spans="1:10" x14ac:dyDescent="0.25">
      <c r="A64" s="38">
        <v>42751</v>
      </c>
      <c r="B64" s="36" t="s">
        <v>94</v>
      </c>
      <c r="C64" s="11"/>
      <c r="D64" s="11"/>
      <c r="E64" s="11"/>
      <c r="F64" s="11"/>
      <c r="G64" s="11">
        <v>429</v>
      </c>
      <c r="H64" s="15"/>
      <c r="I64" s="12">
        <f t="shared" si="2"/>
        <v>11447.9</v>
      </c>
      <c r="J64" s="12">
        <f t="shared" si="3"/>
        <v>36584.949999999997</v>
      </c>
    </row>
    <row r="65" spans="1:10" x14ac:dyDescent="0.25">
      <c r="A65" s="38">
        <v>42751</v>
      </c>
      <c r="B65" s="35" t="s">
        <v>95</v>
      </c>
      <c r="C65" s="11"/>
      <c r="D65" s="11"/>
      <c r="E65" s="11"/>
      <c r="F65" s="11"/>
      <c r="G65" s="11">
        <v>200</v>
      </c>
      <c r="H65" s="15"/>
      <c r="I65" s="12">
        <f t="shared" si="2"/>
        <v>11447.9</v>
      </c>
      <c r="J65" s="12">
        <f t="shared" si="3"/>
        <v>36384.949999999997</v>
      </c>
    </row>
    <row r="66" spans="1:10" x14ac:dyDescent="0.25">
      <c r="A66" s="38">
        <v>42751</v>
      </c>
      <c r="B66" s="35" t="s">
        <v>96</v>
      </c>
      <c r="C66" s="41"/>
      <c r="D66" s="11"/>
      <c r="E66" s="11"/>
      <c r="F66" s="11"/>
      <c r="G66" s="11">
        <v>458</v>
      </c>
      <c r="H66" s="15"/>
      <c r="I66" s="12">
        <f t="shared" si="2"/>
        <v>11447.9</v>
      </c>
      <c r="J66" s="12">
        <f t="shared" si="3"/>
        <v>35926.949999999997</v>
      </c>
    </row>
    <row r="67" spans="1:10" x14ac:dyDescent="0.25">
      <c r="A67" s="40">
        <v>42751</v>
      </c>
      <c r="B67" s="35" t="s">
        <v>97</v>
      </c>
      <c r="C67" s="41"/>
      <c r="D67" s="41"/>
      <c r="E67" s="41"/>
      <c r="F67" s="41"/>
      <c r="G67" s="11">
        <v>15</v>
      </c>
      <c r="H67" s="15"/>
      <c r="I67" s="12">
        <f t="shared" si="2"/>
        <v>11447.9</v>
      </c>
      <c r="J67" s="12">
        <f t="shared" si="3"/>
        <v>35911.949999999997</v>
      </c>
    </row>
    <row r="68" spans="1:10" x14ac:dyDescent="0.25">
      <c r="A68" s="18">
        <v>42751</v>
      </c>
      <c r="B68" s="34" t="s">
        <v>98</v>
      </c>
      <c r="C68" s="11"/>
      <c r="D68" s="11"/>
      <c r="E68" s="11"/>
      <c r="F68" s="11"/>
      <c r="G68" s="11">
        <v>350</v>
      </c>
      <c r="H68" s="15"/>
      <c r="I68" s="12">
        <f t="shared" si="2"/>
        <v>11447.9</v>
      </c>
      <c r="J68" s="12">
        <f t="shared" si="3"/>
        <v>35561.949999999997</v>
      </c>
    </row>
    <row r="69" spans="1:10" x14ac:dyDescent="0.25">
      <c r="A69" s="18">
        <v>42751</v>
      </c>
      <c r="B69" s="9" t="s">
        <v>51</v>
      </c>
      <c r="C69" s="11"/>
      <c r="D69" s="11"/>
      <c r="E69" s="11"/>
      <c r="F69" s="11"/>
      <c r="G69" s="11">
        <v>310</v>
      </c>
      <c r="H69" s="15"/>
      <c r="I69" s="12">
        <f t="shared" si="2"/>
        <v>11447.9</v>
      </c>
      <c r="J69" s="12">
        <f t="shared" si="3"/>
        <v>35251.949999999997</v>
      </c>
    </row>
    <row r="70" spans="1:10" x14ac:dyDescent="0.25">
      <c r="A70" s="39">
        <v>42751</v>
      </c>
      <c r="B70" s="36" t="s">
        <v>99</v>
      </c>
      <c r="C70" s="41">
        <v>43220</v>
      </c>
      <c r="D70" s="11"/>
      <c r="E70" s="11"/>
      <c r="F70" s="11"/>
      <c r="G70" s="11"/>
      <c r="H70" s="15"/>
      <c r="I70" s="12">
        <f t="shared" si="2"/>
        <v>11447.9</v>
      </c>
      <c r="J70" s="12">
        <f t="shared" si="3"/>
        <v>78471.95</v>
      </c>
    </row>
    <row r="71" spans="1:10" x14ac:dyDescent="0.25">
      <c r="A71" s="40">
        <v>42751</v>
      </c>
      <c r="B71" s="36" t="s">
        <v>100</v>
      </c>
      <c r="C71" s="41"/>
      <c r="D71" s="11"/>
      <c r="E71" s="11"/>
      <c r="F71" s="11"/>
      <c r="G71" s="11">
        <v>122.4</v>
      </c>
      <c r="H71" s="15"/>
      <c r="I71" s="12">
        <f t="shared" si="2"/>
        <v>11447.9</v>
      </c>
      <c r="J71" s="12">
        <f t="shared" si="3"/>
        <v>78349.55</v>
      </c>
    </row>
    <row r="72" spans="1:10" x14ac:dyDescent="0.25">
      <c r="A72" s="40">
        <v>42752</v>
      </c>
      <c r="B72" s="36" t="s">
        <v>101</v>
      </c>
      <c r="C72" s="41"/>
      <c r="D72" s="11"/>
      <c r="E72" s="11"/>
      <c r="F72" s="11"/>
      <c r="G72" s="11">
        <v>140</v>
      </c>
      <c r="H72" s="15"/>
      <c r="I72" s="12">
        <f t="shared" si="2"/>
        <v>11447.9</v>
      </c>
      <c r="J72" s="12">
        <f t="shared" si="3"/>
        <v>78209.55</v>
      </c>
    </row>
    <row r="73" spans="1:10" x14ac:dyDescent="0.25">
      <c r="A73" s="40">
        <v>42752</v>
      </c>
      <c r="B73" s="36" t="s">
        <v>102</v>
      </c>
      <c r="C73" s="41"/>
      <c r="D73" s="11"/>
      <c r="E73" s="11"/>
      <c r="F73" s="11"/>
      <c r="G73" s="11">
        <v>120</v>
      </c>
      <c r="H73" s="15"/>
      <c r="I73" s="12">
        <f t="shared" si="2"/>
        <v>11447.9</v>
      </c>
      <c r="J73" s="12">
        <f t="shared" si="3"/>
        <v>78089.55</v>
      </c>
    </row>
    <row r="74" spans="1:10" x14ac:dyDescent="0.25">
      <c r="A74" s="40">
        <v>42752</v>
      </c>
      <c r="B74" s="35" t="s">
        <v>103</v>
      </c>
      <c r="C74" s="41"/>
      <c r="D74" s="11"/>
      <c r="E74" s="11"/>
      <c r="F74" s="11">
        <v>1760</v>
      </c>
      <c r="G74" s="11"/>
      <c r="H74" s="15"/>
      <c r="I74" s="12">
        <f t="shared" si="2"/>
        <v>9687.9</v>
      </c>
      <c r="J74" s="12">
        <f t="shared" si="3"/>
        <v>78089.55</v>
      </c>
    </row>
    <row r="75" spans="1:10" x14ac:dyDescent="0.25">
      <c r="A75" s="43">
        <v>42752</v>
      </c>
      <c r="B75" s="103" t="s">
        <v>104</v>
      </c>
      <c r="C75" s="41"/>
      <c r="D75" s="11"/>
      <c r="E75" s="11"/>
      <c r="F75" s="11">
        <v>1224</v>
      </c>
      <c r="G75" s="11"/>
      <c r="H75" s="15"/>
      <c r="I75" s="12">
        <f t="shared" si="2"/>
        <v>8463.9</v>
      </c>
      <c r="J75" s="12">
        <f t="shared" si="3"/>
        <v>78089.55</v>
      </c>
    </row>
    <row r="76" spans="1:10" x14ac:dyDescent="0.25">
      <c r="A76" s="43">
        <v>42752</v>
      </c>
      <c r="B76" s="13" t="s">
        <v>105</v>
      </c>
      <c r="C76" s="41"/>
      <c r="D76" s="11"/>
      <c r="E76" s="11"/>
      <c r="F76" s="11">
        <v>3300</v>
      </c>
      <c r="G76" s="11"/>
      <c r="H76" s="15"/>
      <c r="I76" s="12">
        <f t="shared" si="2"/>
        <v>5163.8999999999996</v>
      </c>
      <c r="J76" s="12">
        <f t="shared" si="3"/>
        <v>78089.55</v>
      </c>
    </row>
    <row r="77" spans="1:10" x14ac:dyDescent="0.25">
      <c r="A77" s="43">
        <v>42752</v>
      </c>
      <c r="B77" s="13" t="s">
        <v>106</v>
      </c>
      <c r="C77" s="41"/>
      <c r="D77" s="11"/>
      <c r="E77" s="11"/>
      <c r="F77" s="11"/>
      <c r="G77" s="11">
        <v>326.60000000000002</v>
      </c>
      <c r="H77" s="15"/>
      <c r="I77" s="12">
        <f t="shared" si="2"/>
        <v>5163.8999999999996</v>
      </c>
      <c r="J77" s="12">
        <f t="shared" si="3"/>
        <v>77762.95</v>
      </c>
    </row>
    <row r="78" spans="1:10" x14ac:dyDescent="0.25">
      <c r="A78" s="44">
        <v>42753</v>
      </c>
      <c r="B78" s="9" t="s">
        <v>107</v>
      </c>
      <c r="C78" s="102"/>
      <c r="D78" s="11"/>
      <c r="E78" s="11"/>
      <c r="F78" s="11"/>
      <c r="G78" s="11">
        <v>40</v>
      </c>
      <c r="H78" s="15"/>
      <c r="I78" s="12">
        <f t="shared" si="2"/>
        <v>5163.8999999999996</v>
      </c>
      <c r="J78" s="12">
        <f t="shared" si="3"/>
        <v>77722.95</v>
      </c>
    </row>
    <row r="79" spans="1:10" x14ac:dyDescent="0.25">
      <c r="A79" s="44">
        <v>42753</v>
      </c>
      <c r="B79" s="13" t="s">
        <v>108</v>
      </c>
      <c r="C79" s="41"/>
      <c r="D79" s="11"/>
      <c r="E79" s="11"/>
      <c r="F79" s="11"/>
      <c r="G79" s="11">
        <v>65</v>
      </c>
      <c r="H79" s="15"/>
      <c r="I79" s="12">
        <f t="shared" si="2"/>
        <v>5163.8999999999996</v>
      </c>
      <c r="J79" s="12">
        <f t="shared" si="3"/>
        <v>77657.95</v>
      </c>
    </row>
    <row r="80" spans="1:10" x14ac:dyDescent="0.25">
      <c r="A80" s="44">
        <v>42753</v>
      </c>
      <c r="B80" s="13" t="s">
        <v>109</v>
      </c>
      <c r="C80" s="41"/>
      <c r="D80" s="11"/>
      <c r="E80" s="11"/>
      <c r="F80" s="11"/>
      <c r="G80" s="11">
        <v>933</v>
      </c>
      <c r="H80" s="15"/>
      <c r="I80" s="12">
        <f t="shared" si="2"/>
        <v>5163.8999999999996</v>
      </c>
      <c r="J80" s="12">
        <f t="shared" si="3"/>
        <v>76724.95</v>
      </c>
    </row>
    <row r="81" spans="1:10" x14ac:dyDescent="0.25">
      <c r="A81" s="44">
        <v>42753</v>
      </c>
      <c r="B81" s="13" t="s">
        <v>110</v>
      </c>
      <c r="C81" s="41"/>
      <c r="D81" s="11"/>
      <c r="E81" s="11"/>
      <c r="F81" s="11"/>
      <c r="G81" s="11">
        <v>350</v>
      </c>
      <c r="H81" s="15"/>
      <c r="I81" s="12">
        <f t="shared" si="2"/>
        <v>5163.8999999999996</v>
      </c>
      <c r="J81" s="12">
        <f t="shared" si="3"/>
        <v>76374.95</v>
      </c>
    </row>
    <row r="82" spans="1:10" x14ac:dyDescent="0.25">
      <c r="A82" s="44">
        <v>42753</v>
      </c>
      <c r="B82" s="13" t="s">
        <v>111</v>
      </c>
      <c r="C82" s="41"/>
      <c r="D82" s="11"/>
      <c r="E82" s="11"/>
      <c r="F82" s="11"/>
      <c r="G82" s="11">
        <v>170</v>
      </c>
      <c r="H82" s="15"/>
      <c r="I82" s="12">
        <f t="shared" si="2"/>
        <v>5163.8999999999996</v>
      </c>
      <c r="J82" s="12">
        <f t="shared" si="3"/>
        <v>76204.95</v>
      </c>
    </row>
    <row r="83" spans="1:10" x14ac:dyDescent="0.25">
      <c r="A83" s="44">
        <v>42753</v>
      </c>
      <c r="B83" s="13" t="s">
        <v>112</v>
      </c>
      <c r="C83" s="41"/>
      <c r="D83" s="41"/>
      <c r="E83" s="41"/>
      <c r="F83" s="16"/>
      <c r="G83" s="11">
        <v>250</v>
      </c>
      <c r="H83" s="15"/>
      <c r="I83" s="12">
        <f t="shared" si="2"/>
        <v>5163.8999999999996</v>
      </c>
      <c r="J83" s="12">
        <f t="shared" si="3"/>
        <v>75954.95</v>
      </c>
    </row>
    <row r="84" spans="1:10" x14ac:dyDescent="0.25">
      <c r="A84" s="44">
        <v>42753</v>
      </c>
      <c r="B84" s="13" t="s">
        <v>113</v>
      </c>
      <c r="C84" s="41"/>
      <c r="D84" s="41"/>
      <c r="E84" s="41"/>
      <c r="F84" s="16"/>
      <c r="G84" s="11">
        <v>4500</v>
      </c>
      <c r="H84" s="15"/>
      <c r="I84" s="12">
        <f t="shared" si="2"/>
        <v>5163.8999999999996</v>
      </c>
      <c r="J84" s="12">
        <f t="shared" si="3"/>
        <v>71454.95</v>
      </c>
    </row>
    <row r="85" spans="1:10" x14ac:dyDescent="0.25">
      <c r="A85" s="44">
        <v>42754</v>
      </c>
      <c r="B85" s="13" t="s">
        <v>114</v>
      </c>
      <c r="C85" s="41"/>
      <c r="D85" s="41"/>
      <c r="E85" s="41"/>
      <c r="F85" s="16"/>
      <c r="G85" s="11">
        <v>400</v>
      </c>
      <c r="H85" s="15"/>
      <c r="I85" s="12">
        <f t="shared" si="2"/>
        <v>5163.8999999999996</v>
      </c>
      <c r="J85" s="12">
        <f t="shared" si="3"/>
        <v>71054.95</v>
      </c>
    </row>
    <row r="86" spans="1:10" x14ac:dyDescent="0.25">
      <c r="A86" s="44">
        <v>42754</v>
      </c>
      <c r="B86" s="13" t="s">
        <v>115</v>
      </c>
      <c r="C86" s="41"/>
      <c r="D86" s="41"/>
      <c r="E86" s="41"/>
      <c r="F86" s="16"/>
      <c r="G86" s="11">
        <v>39</v>
      </c>
      <c r="H86" s="15"/>
      <c r="I86" s="12">
        <f t="shared" si="2"/>
        <v>5163.8999999999996</v>
      </c>
      <c r="J86" s="12">
        <f t="shared" si="3"/>
        <v>71015.95</v>
      </c>
    </row>
    <row r="87" spans="1:10" x14ac:dyDescent="0.25">
      <c r="A87" s="44">
        <v>42754</v>
      </c>
      <c r="B87" s="13" t="s">
        <v>116</v>
      </c>
      <c r="C87" s="41"/>
      <c r="D87" s="41"/>
      <c r="E87" s="41"/>
      <c r="F87" s="41"/>
      <c r="G87" s="11">
        <v>33</v>
      </c>
      <c r="H87" s="15"/>
      <c r="I87" s="12">
        <f t="shared" si="2"/>
        <v>5163.8999999999996</v>
      </c>
      <c r="J87" s="12">
        <f t="shared" si="3"/>
        <v>70982.95</v>
      </c>
    </row>
    <row r="88" spans="1:10" x14ac:dyDescent="0.25">
      <c r="A88" s="44">
        <v>42754</v>
      </c>
      <c r="B88" s="13" t="s">
        <v>116</v>
      </c>
      <c r="C88" s="41"/>
      <c r="D88" s="41"/>
      <c r="E88" s="41"/>
      <c r="F88" s="41"/>
      <c r="G88" s="11">
        <v>266</v>
      </c>
      <c r="H88" s="15"/>
      <c r="I88" s="12">
        <f t="shared" si="2"/>
        <v>5163.8999999999996</v>
      </c>
      <c r="J88" s="12">
        <f t="shared" si="3"/>
        <v>70716.95</v>
      </c>
    </row>
    <row r="89" spans="1:10" x14ac:dyDescent="0.25">
      <c r="A89" s="44">
        <v>42754</v>
      </c>
      <c r="B89" s="13" t="s">
        <v>118</v>
      </c>
      <c r="C89" s="41"/>
      <c r="D89" s="41"/>
      <c r="E89" s="41"/>
      <c r="F89" s="41"/>
      <c r="G89" s="11">
        <v>150</v>
      </c>
      <c r="H89" s="15"/>
      <c r="I89" s="12">
        <f t="shared" si="2"/>
        <v>5163.8999999999996</v>
      </c>
      <c r="J89" s="12">
        <f t="shared" si="3"/>
        <v>70566.95</v>
      </c>
    </row>
    <row r="90" spans="1:10" x14ac:dyDescent="0.25">
      <c r="A90" s="44">
        <v>42755</v>
      </c>
      <c r="B90" s="13" t="s">
        <v>117</v>
      </c>
      <c r="C90" s="41"/>
      <c r="D90" s="11"/>
      <c r="E90" s="11"/>
      <c r="F90" s="11"/>
      <c r="G90" s="11">
        <v>1000</v>
      </c>
      <c r="H90" s="15"/>
      <c r="I90" s="12">
        <f t="shared" si="2"/>
        <v>5163.8999999999996</v>
      </c>
      <c r="J90" s="12">
        <f t="shared" si="3"/>
        <v>69566.95</v>
      </c>
    </row>
    <row r="91" spans="1:10" x14ac:dyDescent="0.25">
      <c r="A91" s="44">
        <v>42755</v>
      </c>
      <c r="B91" s="13" t="s">
        <v>119</v>
      </c>
      <c r="C91" s="41"/>
      <c r="D91" s="11"/>
      <c r="E91" s="11"/>
      <c r="F91" s="11"/>
      <c r="G91" s="11">
        <v>1000</v>
      </c>
      <c r="H91" s="15"/>
      <c r="I91" s="12">
        <f t="shared" si="2"/>
        <v>5163.8999999999996</v>
      </c>
      <c r="J91" s="12">
        <f t="shared" si="3"/>
        <v>68566.95</v>
      </c>
    </row>
    <row r="92" spans="1:10" x14ac:dyDescent="0.25">
      <c r="A92" s="44">
        <v>42755</v>
      </c>
      <c r="B92" s="13" t="s">
        <v>120</v>
      </c>
      <c r="C92" s="41"/>
      <c r="D92" s="11"/>
      <c r="E92" s="11"/>
      <c r="F92" s="11"/>
      <c r="G92" s="11">
        <v>350</v>
      </c>
      <c r="H92" s="15"/>
      <c r="I92" s="12">
        <f t="shared" si="2"/>
        <v>5163.8999999999996</v>
      </c>
      <c r="J92" s="12">
        <f t="shared" si="3"/>
        <v>68216.95</v>
      </c>
    </row>
    <row r="93" spans="1:10" x14ac:dyDescent="0.25">
      <c r="A93" s="44">
        <v>42755</v>
      </c>
      <c r="B93" s="13" t="s">
        <v>121</v>
      </c>
      <c r="C93" s="41"/>
      <c r="D93" s="11"/>
      <c r="E93" s="11"/>
      <c r="F93" s="11"/>
      <c r="G93" s="11">
        <v>400</v>
      </c>
      <c r="H93" s="15"/>
      <c r="I93" s="12">
        <f t="shared" si="2"/>
        <v>5163.8999999999996</v>
      </c>
      <c r="J93" s="12">
        <f t="shared" si="3"/>
        <v>67816.95</v>
      </c>
    </row>
    <row r="94" spans="1:10" x14ac:dyDescent="0.25">
      <c r="A94" s="44">
        <v>42755</v>
      </c>
      <c r="B94" s="13" t="s">
        <v>122</v>
      </c>
      <c r="C94" s="41"/>
      <c r="D94" s="11"/>
      <c r="E94" s="11"/>
      <c r="F94" s="11"/>
      <c r="G94" s="11">
        <v>250</v>
      </c>
      <c r="H94" s="15"/>
      <c r="I94" s="12">
        <f t="shared" si="2"/>
        <v>5163.8999999999996</v>
      </c>
      <c r="J94" s="12">
        <f t="shared" si="3"/>
        <v>67566.95</v>
      </c>
    </row>
    <row r="95" spans="1:10" x14ac:dyDescent="0.25">
      <c r="A95" s="44">
        <v>42755</v>
      </c>
      <c r="B95" s="13" t="s">
        <v>123</v>
      </c>
      <c r="C95" s="41"/>
      <c r="D95" s="11"/>
      <c r="E95" s="11"/>
      <c r="F95" s="11"/>
      <c r="G95" s="11">
        <v>490</v>
      </c>
      <c r="H95" s="15"/>
      <c r="I95" s="12">
        <f t="shared" si="2"/>
        <v>5163.8999999999996</v>
      </c>
      <c r="J95" s="12">
        <f t="shared" si="3"/>
        <v>67076.95</v>
      </c>
    </row>
    <row r="96" spans="1:10" x14ac:dyDescent="0.25">
      <c r="A96" s="44">
        <v>42755</v>
      </c>
      <c r="B96" s="13" t="s">
        <v>124</v>
      </c>
      <c r="C96" s="41"/>
      <c r="D96" s="11">
        <v>12760</v>
      </c>
      <c r="E96" s="11"/>
      <c r="F96" s="11"/>
      <c r="G96" s="11"/>
      <c r="H96" s="15"/>
      <c r="I96" s="12">
        <f t="shared" si="2"/>
        <v>17923.900000000001</v>
      </c>
      <c r="J96" s="12">
        <f t="shared" si="3"/>
        <v>67076.95</v>
      </c>
    </row>
    <row r="97" spans="1:10" x14ac:dyDescent="0.25">
      <c r="A97" s="44">
        <v>42756</v>
      </c>
      <c r="B97" s="13" t="s">
        <v>125</v>
      </c>
      <c r="C97" s="41"/>
      <c r="D97" s="11"/>
      <c r="E97" s="11"/>
      <c r="F97" s="11"/>
      <c r="G97" s="11">
        <v>500</v>
      </c>
      <c r="H97" s="15"/>
      <c r="I97" s="12">
        <f t="shared" si="2"/>
        <v>17923.900000000001</v>
      </c>
      <c r="J97" s="12">
        <f t="shared" si="3"/>
        <v>66576.95</v>
      </c>
    </row>
    <row r="98" spans="1:10" x14ac:dyDescent="0.25">
      <c r="A98" s="44">
        <v>42756</v>
      </c>
      <c r="B98" s="13" t="s">
        <v>126</v>
      </c>
      <c r="C98" s="41"/>
      <c r="D98" s="11"/>
      <c r="E98" s="11"/>
      <c r="F98" s="11"/>
      <c r="G98" s="11">
        <v>149</v>
      </c>
      <c r="H98" s="15"/>
      <c r="I98" s="12">
        <f t="shared" si="2"/>
        <v>17923.900000000001</v>
      </c>
      <c r="J98" s="12">
        <f t="shared" si="3"/>
        <v>66427.95</v>
      </c>
    </row>
    <row r="99" spans="1:10" x14ac:dyDescent="0.25">
      <c r="A99" s="27">
        <v>42756</v>
      </c>
      <c r="B99" s="13" t="s">
        <v>127</v>
      </c>
      <c r="C99" s="41"/>
      <c r="D99" s="11"/>
      <c r="E99" s="11"/>
      <c r="F99" s="11"/>
      <c r="G99" s="11">
        <v>5</v>
      </c>
      <c r="H99" s="15"/>
      <c r="I99" s="12">
        <f t="shared" si="2"/>
        <v>17923.900000000001</v>
      </c>
      <c r="J99" s="12">
        <f t="shared" si="3"/>
        <v>66422.95</v>
      </c>
    </row>
    <row r="100" spans="1:10" x14ac:dyDescent="0.25">
      <c r="A100" s="27">
        <v>42756</v>
      </c>
      <c r="B100" s="13" t="s">
        <v>128</v>
      </c>
      <c r="C100" s="41"/>
      <c r="D100" s="11"/>
      <c r="E100" s="11"/>
      <c r="F100" s="11"/>
      <c r="G100" s="11">
        <v>116</v>
      </c>
      <c r="H100" s="15"/>
      <c r="I100" s="12">
        <f t="shared" si="2"/>
        <v>17923.900000000001</v>
      </c>
      <c r="J100" s="12">
        <f t="shared" si="3"/>
        <v>66306.95</v>
      </c>
    </row>
    <row r="101" spans="1:10" x14ac:dyDescent="0.25">
      <c r="A101" s="27">
        <v>42757</v>
      </c>
      <c r="B101" s="13" t="s">
        <v>129</v>
      </c>
      <c r="C101" s="41"/>
      <c r="D101" s="11"/>
      <c r="E101" s="11"/>
      <c r="F101" s="11"/>
      <c r="G101" s="11">
        <v>44</v>
      </c>
      <c r="H101" s="15"/>
      <c r="I101" s="12">
        <f t="shared" si="2"/>
        <v>17923.900000000001</v>
      </c>
      <c r="J101" s="12">
        <f t="shared" si="3"/>
        <v>66262.95</v>
      </c>
    </row>
    <row r="102" spans="1:10" x14ac:dyDescent="0.25">
      <c r="A102" s="27">
        <v>42757</v>
      </c>
      <c r="B102" s="13" t="s">
        <v>130</v>
      </c>
      <c r="C102" s="41"/>
      <c r="D102" s="11"/>
      <c r="E102" s="11"/>
      <c r="F102" s="11"/>
      <c r="G102" s="11">
        <v>120</v>
      </c>
      <c r="H102" s="15"/>
      <c r="I102" s="12">
        <f t="shared" si="2"/>
        <v>17923.900000000001</v>
      </c>
      <c r="J102" s="12">
        <f t="shared" si="3"/>
        <v>66142.95</v>
      </c>
    </row>
    <row r="103" spans="1:10" ht="15.75" thickBot="1" x14ac:dyDescent="0.3">
      <c r="A103" s="27">
        <v>42758</v>
      </c>
      <c r="B103" s="13" t="s">
        <v>131</v>
      </c>
      <c r="C103" s="41"/>
      <c r="D103" s="11"/>
      <c r="E103" s="11"/>
      <c r="F103" s="11"/>
      <c r="G103" s="11">
        <v>400</v>
      </c>
      <c r="H103" s="15"/>
      <c r="I103" s="12">
        <f>+I102+D103-F103</f>
        <v>17923.900000000001</v>
      </c>
      <c r="J103" s="12">
        <f t="shared" si="3"/>
        <v>65742.95</v>
      </c>
    </row>
    <row r="104" spans="1:10" ht="15.75" thickBot="1" x14ac:dyDescent="0.3">
      <c r="A104" s="5"/>
      <c r="B104" s="7" t="s">
        <v>0</v>
      </c>
      <c r="C104" s="63">
        <f>SUM(C55:C103)</f>
        <v>113115</v>
      </c>
      <c r="D104" s="61">
        <f>SUM(D55:D103)</f>
        <v>12760</v>
      </c>
      <c r="E104" s="72">
        <f>SUM(C104:D104)</f>
        <v>125875</v>
      </c>
      <c r="F104" s="81">
        <f>SUM(F55:F103)</f>
        <v>6284</v>
      </c>
      <c r="G104" s="99">
        <f>SUM(G55:G103)</f>
        <v>68679.899999999994</v>
      </c>
      <c r="H104" s="72">
        <f>SUM(F104:G104)</f>
        <v>74963.899999999994</v>
      </c>
      <c r="I104" s="20">
        <v>17923.900000000001</v>
      </c>
      <c r="J104" s="20">
        <v>65742.95</v>
      </c>
    </row>
    <row r="105" spans="1:10" x14ac:dyDescent="0.25">
      <c r="A105" s="69" t="s">
        <v>1</v>
      </c>
      <c r="B105" s="69" t="s">
        <v>2</v>
      </c>
      <c r="C105" s="69" t="s">
        <v>3</v>
      </c>
      <c r="D105" s="69" t="s">
        <v>3</v>
      </c>
      <c r="E105" s="69" t="s">
        <v>23</v>
      </c>
      <c r="F105" s="69" t="s">
        <v>24</v>
      </c>
      <c r="G105" s="48" t="s">
        <v>24</v>
      </c>
      <c r="H105" s="48" t="s">
        <v>23</v>
      </c>
      <c r="I105" s="69" t="s">
        <v>9</v>
      </c>
      <c r="J105" s="48" t="s">
        <v>8</v>
      </c>
    </row>
    <row r="106" spans="1:10" ht="15.75" thickBot="1" x14ac:dyDescent="0.3">
      <c r="A106" s="70"/>
      <c r="B106" s="70"/>
      <c r="C106" s="70" t="s">
        <v>5</v>
      </c>
      <c r="D106" s="70" t="s">
        <v>25</v>
      </c>
      <c r="E106" s="70" t="s">
        <v>3</v>
      </c>
      <c r="F106" s="70" t="s">
        <v>25</v>
      </c>
      <c r="G106" s="71" t="s">
        <v>5</v>
      </c>
      <c r="H106" s="71" t="s">
        <v>4</v>
      </c>
      <c r="I106" s="70"/>
      <c r="J106" s="71"/>
    </row>
    <row r="107" spans="1:10" ht="15.75" thickBot="1" x14ac:dyDescent="0.3">
      <c r="A107" s="5"/>
      <c r="B107" s="7" t="s">
        <v>0</v>
      </c>
      <c r="C107" s="63">
        <v>113115</v>
      </c>
      <c r="D107" s="61">
        <v>12760</v>
      </c>
      <c r="E107" s="72">
        <f>SUM(C107:D107)</f>
        <v>125875</v>
      </c>
      <c r="F107" s="81">
        <v>6284</v>
      </c>
      <c r="G107" s="63">
        <v>68679.899999999994</v>
      </c>
      <c r="H107" s="72">
        <f>SUM(F107:G107)</f>
        <v>74963.899999999994</v>
      </c>
      <c r="I107" s="19">
        <v>17923.900000000001</v>
      </c>
      <c r="J107" s="19">
        <v>65742.95</v>
      </c>
    </row>
    <row r="108" spans="1:10" x14ac:dyDescent="0.25">
      <c r="A108" s="27">
        <v>42758</v>
      </c>
      <c r="B108" s="13" t="s">
        <v>132</v>
      </c>
      <c r="C108" s="41"/>
      <c r="D108" s="11"/>
      <c r="E108" s="11"/>
      <c r="F108" s="11"/>
      <c r="G108" s="11">
        <v>189</v>
      </c>
      <c r="H108" s="15"/>
      <c r="I108" s="12">
        <f>+I107+D108-F108</f>
        <v>17923.900000000001</v>
      </c>
      <c r="J108" s="12">
        <f>+J107+C108-G108</f>
        <v>65553.95</v>
      </c>
    </row>
    <row r="109" spans="1:10" x14ac:dyDescent="0.25">
      <c r="A109" s="27">
        <v>42758</v>
      </c>
      <c r="B109" s="13" t="s">
        <v>51</v>
      </c>
      <c r="C109" s="41"/>
      <c r="D109" s="11"/>
      <c r="E109" s="11"/>
      <c r="F109" s="11"/>
      <c r="G109" s="11">
        <v>310</v>
      </c>
      <c r="H109" s="15"/>
      <c r="I109" s="12">
        <f t="shared" ref="I109:I147" si="4">+I108+D109-F109</f>
        <v>17923.900000000001</v>
      </c>
      <c r="J109" s="12">
        <f t="shared" ref="J109:J147" si="5">+J108+C109-G109</f>
        <v>65243.95</v>
      </c>
    </row>
    <row r="110" spans="1:10" x14ac:dyDescent="0.25">
      <c r="A110" s="27">
        <v>42759</v>
      </c>
      <c r="B110" s="9" t="s">
        <v>133</v>
      </c>
      <c r="C110" s="41"/>
      <c r="D110" s="11"/>
      <c r="E110" s="11"/>
      <c r="F110" s="11"/>
      <c r="G110" s="11">
        <v>1950</v>
      </c>
      <c r="H110" s="15"/>
      <c r="I110" s="12">
        <f t="shared" si="4"/>
        <v>17923.900000000001</v>
      </c>
      <c r="J110" s="12">
        <f t="shared" si="5"/>
        <v>63293.95</v>
      </c>
    </row>
    <row r="111" spans="1:10" x14ac:dyDescent="0.25">
      <c r="A111" s="27">
        <v>42759</v>
      </c>
      <c r="B111" s="13" t="s">
        <v>134</v>
      </c>
      <c r="C111" s="41">
        <v>43470</v>
      </c>
      <c r="D111" s="11"/>
      <c r="E111" s="11"/>
      <c r="F111" s="11"/>
      <c r="G111" s="11"/>
      <c r="H111" s="15"/>
      <c r="I111" s="12">
        <f t="shared" si="4"/>
        <v>17923.900000000001</v>
      </c>
      <c r="J111" s="12">
        <f t="shared" si="5"/>
        <v>106763.95</v>
      </c>
    </row>
    <row r="112" spans="1:10" x14ac:dyDescent="0.25">
      <c r="A112" s="27">
        <v>42759</v>
      </c>
      <c r="B112" s="13" t="s">
        <v>135</v>
      </c>
      <c r="C112" s="41"/>
      <c r="D112" s="11"/>
      <c r="E112" s="11"/>
      <c r="F112" s="11"/>
      <c r="G112" s="11">
        <v>82.5</v>
      </c>
      <c r="H112" s="15"/>
      <c r="I112" s="12">
        <f t="shared" si="4"/>
        <v>17923.900000000001</v>
      </c>
      <c r="J112" s="12">
        <f t="shared" si="5"/>
        <v>106681.45</v>
      </c>
    </row>
    <row r="113" spans="1:10" x14ac:dyDescent="0.25">
      <c r="A113" s="27">
        <v>42759</v>
      </c>
      <c r="B113" s="13" t="s">
        <v>136</v>
      </c>
      <c r="C113" s="41"/>
      <c r="D113" s="11"/>
      <c r="E113" s="11"/>
      <c r="F113" s="11"/>
      <c r="G113" s="11">
        <v>570</v>
      </c>
      <c r="H113" s="15"/>
      <c r="I113" s="12">
        <f t="shared" si="4"/>
        <v>17923.900000000001</v>
      </c>
      <c r="J113" s="12">
        <f t="shared" si="5"/>
        <v>106111.45</v>
      </c>
    </row>
    <row r="114" spans="1:10" x14ac:dyDescent="0.25">
      <c r="A114" s="27">
        <v>42759</v>
      </c>
      <c r="B114" s="13" t="s">
        <v>93</v>
      </c>
      <c r="C114" s="41"/>
      <c r="D114" s="11"/>
      <c r="E114" s="11"/>
      <c r="F114" s="11"/>
      <c r="G114" s="11">
        <v>1000</v>
      </c>
      <c r="H114" s="15"/>
      <c r="I114" s="12">
        <f t="shared" si="4"/>
        <v>17923.900000000001</v>
      </c>
      <c r="J114" s="12">
        <f t="shared" si="5"/>
        <v>105111.45</v>
      </c>
    </row>
    <row r="115" spans="1:10" x14ac:dyDescent="0.25">
      <c r="A115" s="27">
        <v>42759</v>
      </c>
      <c r="B115" s="13" t="s">
        <v>137</v>
      </c>
      <c r="C115" s="41"/>
      <c r="D115" s="11"/>
      <c r="E115" s="11"/>
      <c r="F115" s="11"/>
      <c r="G115" s="11">
        <v>350</v>
      </c>
      <c r="H115" s="15"/>
      <c r="I115" s="12">
        <f t="shared" si="4"/>
        <v>17923.900000000001</v>
      </c>
      <c r="J115" s="12">
        <f t="shared" si="5"/>
        <v>104761.45</v>
      </c>
    </row>
    <row r="116" spans="1:10" x14ac:dyDescent="0.25">
      <c r="A116" s="27">
        <v>42759</v>
      </c>
      <c r="B116" s="13" t="s">
        <v>138</v>
      </c>
      <c r="C116" s="41"/>
      <c r="D116" s="11"/>
      <c r="E116" s="11"/>
      <c r="F116" s="11"/>
      <c r="G116" s="11">
        <v>200</v>
      </c>
      <c r="H116" s="15"/>
      <c r="I116" s="12">
        <f t="shared" si="4"/>
        <v>17923.900000000001</v>
      </c>
      <c r="J116" s="12">
        <f t="shared" si="5"/>
        <v>104561.45</v>
      </c>
    </row>
    <row r="117" spans="1:10" x14ac:dyDescent="0.25">
      <c r="A117" s="27">
        <v>42760</v>
      </c>
      <c r="B117" s="13" t="s">
        <v>139</v>
      </c>
      <c r="C117" s="41"/>
      <c r="D117" s="11"/>
      <c r="E117" s="11"/>
      <c r="F117" s="11"/>
      <c r="G117" s="11">
        <v>150</v>
      </c>
      <c r="H117" s="15"/>
      <c r="I117" s="12">
        <f t="shared" si="4"/>
        <v>17923.900000000001</v>
      </c>
      <c r="J117" s="12">
        <f t="shared" si="5"/>
        <v>104411.45</v>
      </c>
    </row>
    <row r="118" spans="1:10" x14ac:dyDescent="0.25">
      <c r="A118" s="18">
        <v>42760</v>
      </c>
      <c r="B118" s="13" t="s">
        <v>140</v>
      </c>
      <c r="C118" s="41"/>
      <c r="D118" s="11"/>
      <c r="E118" s="11"/>
      <c r="F118" s="11"/>
      <c r="G118" s="11">
        <v>500</v>
      </c>
      <c r="H118" s="15"/>
      <c r="I118" s="12">
        <f t="shared" si="4"/>
        <v>17923.900000000001</v>
      </c>
      <c r="J118" s="12">
        <f t="shared" si="5"/>
        <v>103911.45</v>
      </c>
    </row>
    <row r="119" spans="1:10" x14ac:dyDescent="0.25">
      <c r="A119" s="18">
        <v>42760</v>
      </c>
      <c r="B119" s="13" t="s">
        <v>141</v>
      </c>
      <c r="C119" s="41"/>
      <c r="D119" s="11"/>
      <c r="E119" s="11"/>
      <c r="F119" s="11"/>
      <c r="G119" s="11">
        <v>180</v>
      </c>
      <c r="H119" s="15"/>
      <c r="I119" s="12">
        <f t="shared" si="4"/>
        <v>17923.900000000001</v>
      </c>
      <c r="J119" s="12">
        <f t="shared" si="5"/>
        <v>103731.45</v>
      </c>
    </row>
    <row r="120" spans="1:10" x14ac:dyDescent="0.25">
      <c r="A120" s="18">
        <v>42761</v>
      </c>
      <c r="B120" s="13" t="s">
        <v>142</v>
      </c>
      <c r="C120" s="41"/>
      <c r="D120" s="11"/>
      <c r="E120" s="11"/>
      <c r="F120" s="11"/>
      <c r="G120" s="11">
        <v>350</v>
      </c>
      <c r="H120" s="15"/>
      <c r="I120" s="12">
        <f t="shared" si="4"/>
        <v>17923.900000000001</v>
      </c>
      <c r="J120" s="12">
        <f t="shared" si="5"/>
        <v>103381.45</v>
      </c>
    </row>
    <row r="121" spans="1:10" x14ac:dyDescent="0.25">
      <c r="A121" s="18">
        <v>42761</v>
      </c>
      <c r="B121" s="13" t="s">
        <v>143</v>
      </c>
      <c r="C121" s="41"/>
      <c r="D121" s="11"/>
      <c r="E121" s="11"/>
      <c r="F121" s="11"/>
      <c r="G121" s="11">
        <v>283</v>
      </c>
      <c r="H121" s="15"/>
      <c r="I121" s="12">
        <f t="shared" si="4"/>
        <v>17923.900000000001</v>
      </c>
      <c r="J121" s="12">
        <f t="shared" si="5"/>
        <v>103098.45</v>
      </c>
    </row>
    <row r="122" spans="1:10" x14ac:dyDescent="0.25">
      <c r="A122" s="18">
        <v>42762</v>
      </c>
      <c r="B122" s="13" t="s">
        <v>144</v>
      </c>
      <c r="C122" s="41"/>
      <c r="D122" s="11"/>
      <c r="E122" s="11"/>
      <c r="F122" s="11"/>
      <c r="G122" s="11">
        <v>100</v>
      </c>
      <c r="H122" s="15"/>
      <c r="I122" s="12">
        <f t="shared" si="4"/>
        <v>17923.900000000001</v>
      </c>
      <c r="J122" s="12">
        <f t="shared" si="5"/>
        <v>102998.45</v>
      </c>
    </row>
    <row r="123" spans="1:10" x14ac:dyDescent="0.25">
      <c r="A123" s="18">
        <v>42762</v>
      </c>
      <c r="B123" s="13" t="s">
        <v>145</v>
      </c>
      <c r="C123" s="41"/>
      <c r="D123" s="11"/>
      <c r="E123" s="11"/>
      <c r="F123" s="11"/>
      <c r="G123" s="11">
        <v>500</v>
      </c>
      <c r="H123" s="15"/>
      <c r="I123" s="12">
        <f t="shared" si="4"/>
        <v>17923.900000000001</v>
      </c>
      <c r="J123" s="12">
        <f t="shared" si="5"/>
        <v>102498.45</v>
      </c>
    </row>
    <row r="124" spans="1:10" x14ac:dyDescent="0.25">
      <c r="A124" s="18">
        <v>42762</v>
      </c>
      <c r="B124" s="36" t="s">
        <v>147</v>
      </c>
      <c r="C124" s="41"/>
      <c r="D124" s="11"/>
      <c r="E124" s="11"/>
      <c r="F124" s="11"/>
      <c r="G124" s="11">
        <v>15500</v>
      </c>
      <c r="H124" s="15"/>
      <c r="I124" s="12">
        <f t="shared" si="4"/>
        <v>17923.900000000001</v>
      </c>
      <c r="J124" s="12">
        <f t="shared" si="5"/>
        <v>86998.45</v>
      </c>
    </row>
    <row r="125" spans="1:10" x14ac:dyDescent="0.25">
      <c r="A125" s="18">
        <v>42762</v>
      </c>
      <c r="B125" s="13" t="s">
        <v>146</v>
      </c>
      <c r="C125" s="41"/>
      <c r="D125" s="11"/>
      <c r="E125" s="11"/>
      <c r="F125" s="11"/>
      <c r="G125" s="11">
        <v>1000</v>
      </c>
      <c r="H125" s="15"/>
      <c r="I125" s="12">
        <f t="shared" si="4"/>
        <v>17923.900000000001</v>
      </c>
      <c r="J125" s="12">
        <f t="shared" si="5"/>
        <v>85998.45</v>
      </c>
    </row>
    <row r="126" spans="1:10" x14ac:dyDescent="0.25">
      <c r="A126" s="18">
        <v>42762</v>
      </c>
      <c r="B126" s="13" t="s">
        <v>150</v>
      </c>
      <c r="C126" s="41"/>
      <c r="D126" s="41"/>
      <c r="E126" s="41"/>
      <c r="F126" s="41"/>
      <c r="G126" s="11">
        <v>35</v>
      </c>
      <c r="H126" s="15"/>
      <c r="I126" s="12">
        <f t="shared" si="4"/>
        <v>17923.900000000001</v>
      </c>
      <c r="J126" s="12">
        <f t="shared" si="5"/>
        <v>85963.45</v>
      </c>
    </row>
    <row r="127" spans="1:10" x14ac:dyDescent="0.25">
      <c r="A127" s="18">
        <v>42763</v>
      </c>
      <c r="B127" s="13" t="s">
        <v>151</v>
      </c>
      <c r="C127" s="41"/>
      <c r="D127" s="41"/>
      <c r="E127" s="41"/>
      <c r="F127" s="16"/>
      <c r="G127" s="11">
        <v>500</v>
      </c>
      <c r="H127" s="15"/>
      <c r="I127" s="12">
        <f t="shared" si="4"/>
        <v>17923.900000000001</v>
      </c>
      <c r="J127" s="12">
        <f t="shared" si="5"/>
        <v>85463.45</v>
      </c>
    </row>
    <row r="128" spans="1:10" x14ac:dyDescent="0.25">
      <c r="A128" s="18">
        <v>42763</v>
      </c>
      <c r="B128" s="13" t="s">
        <v>152</v>
      </c>
      <c r="C128" s="41"/>
      <c r="D128" s="41"/>
      <c r="E128" s="41"/>
      <c r="F128" s="16"/>
      <c r="G128" s="11">
        <v>323.39999999999998</v>
      </c>
      <c r="H128" s="15"/>
      <c r="I128" s="12">
        <f t="shared" si="4"/>
        <v>17923.900000000001</v>
      </c>
      <c r="J128" s="12">
        <f t="shared" si="5"/>
        <v>85140.05</v>
      </c>
    </row>
    <row r="129" spans="1:10" x14ac:dyDescent="0.25">
      <c r="A129" s="18">
        <v>42764</v>
      </c>
      <c r="B129" s="13" t="s">
        <v>47</v>
      </c>
      <c r="C129" s="41"/>
      <c r="D129" s="41"/>
      <c r="E129" s="41"/>
      <c r="F129" s="16"/>
      <c r="G129" s="11">
        <v>134.5</v>
      </c>
      <c r="H129" s="15"/>
      <c r="I129" s="12">
        <f t="shared" si="4"/>
        <v>17923.900000000001</v>
      </c>
      <c r="J129" s="12">
        <f t="shared" si="5"/>
        <v>85005.55</v>
      </c>
    </row>
    <row r="130" spans="1:10" x14ac:dyDescent="0.25">
      <c r="A130" s="18">
        <v>42764</v>
      </c>
      <c r="B130" s="13" t="s">
        <v>153</v>
      </c>
      <c r="C130" s="41"/>
      <c r="D130" s="41"/>
      <c r="E130" s="41"/>
      <c r="F130" s="16"/>
      <c r="G130" s="11">
        <v>150</v>
      </c>
      <c r="H130" s="15"/>
      <c r="I130" s="12">
        <f t="shared" si="4"/>
        <v>17923.900000000001</v>
      </c>
      <c r="J130" s="12">
        <f t="shared" si="5"/>
        <v>84855.55</v>
      </c>
    </row>
    <row r="131" spans="1:10" x14ac:dyDescent="0.25">
      <c r="A131" s="18">
        <v>42764</v>
      </c>
      <c r="B131" s="13" t="s">
        <v>42</v>
      </c>
      <c r="C131" s="41"/>
      <c r="D131" s="41"/>
      <c r="E131" s="41"/>
      <c r="F131" s="16"/>
      <c r="G131" s="11">
        <v>120</v>
      </c>
      <c r="H131" s="15"/>
      <c r="I131" s="12">
        <f t="shared" si="4"/>
        <v>17923.900000000001</v>
      </c>
      <c r="J131" s="12">
        <f t="shared" si="5"/>
        <v>84735.55</v>
      </c>
    </row>
    <row r="132" spans="1:10" x14ac:dyDescent="0.25">
      <c r="A132" s="18">
        <v>42765</v>
      </c>
      <c r="B132" s="13" t="s">
        <v>154</v>
      </c>
      <c r="C132" s="41"/>
      <c r="D132" s="41"/>
      <c r="E132" s="41"/>
      <c r="F132" s="16"/>
      <c r="G132" s="11">
        <v>200</v>
      </c>
      <c r="H132" s="15"/>
      <c r="I132" s="12">
        <f t="shared" si="4"/>
        <v>17923.900000000001</v>
      </c>
      <c r="J132" s="12">
        <f t="shared" si="5"/>
        <v>84535.55</v>
      </c>
    </row>
    <row r="133" spans="1:10" x14ac:dyDescent="0.25">
      <c r="A133" s="18">
        <v>42765</v>
      </c>
      <c r="B133" s="13" t="s">
        <v>155</v>
      </c>
      <c r="C133" s="41"/>
      <c r="D133" s="41"/>
      <c r="E133" s="41"/>
      <c r="F133" s="16"/>
      <c r="G133" s="11">
        <v>400</v>
      </c>
      <c r="H133" s="15"/>
      <c r="I133" s="12">
        <f t="shared" si="4"/>
        <v>17923.900000000001</v>
      </c>
      <c r="J133" s="12">
        <f t="shared" si="5"/>
        <v>84135.55</v>
      </c>
    </row>
    <row r="134" spans="1:10" x14ac:dyDescent="0.25">
      <c r="A134" s="18">
        <v>42765</v>
      </c>
      <c r="B134" s="13" t="s">
        <v>156</v>
      </c>
      <c r="C134" s="41"/>
      <c r="D134" s="41"/>
      <c r="E134" s="41"/>
      <c r="F134" s="16"/>
      <c r="G134" s="11">
        <v>270</v>
      </c>
      <c r="H134" s="15"/>
      <c r="I134" s="12">
        <f t="shared" si="4"/>
        <v>17923.900000000001</v>
      </c>
      <c r="J134" s="12">
        <f t="shared" si="5"/>
        <v>83865.55</v>
      </c>
    </row>
    <row r="135" spans="1:10" x14ac:dyDescent="0.25">
      <c r="A135" s="18">
        <v>42765</v>
      </c>
      <c r="B135" s="13" t="s">
        <v>157</v>
      </c>
      <c r="C135" s="41"/>
      <c r="D135" s="41"/>
      <c r="E135" s="41"/>
      <c r="F135" s="16"/>
      <c r="G135" s="11">
        <v>500</v>
      </c>
      <c r="H135" s="15"/>
      <c r="I135" s="12">
        <f t="shared" si="4"/>
        <v>17923.900000000001</v>
      </c>
      <c r="J135" s="12">
        <f t="shared" si="5"/>
        <v>83365.55</v>
      </c>
    </row>
    <row r="136" spans="1:10" x14ac:dyDescent="0.25">
      <c r="A136" s="18">
        <v>42765</v>
      </c>
      <c r="B136" s="13" t="s">
        <v>158</v>
      </c>
      <c r="C136" s="41"/>
      <c r="D136" s="41"/>
      <c r="E136" s="41"/>
      <c r="F136" s="16"/>
      <c r="G136" s="11">
        <v>350</v>
      </c>
      <c r="H136" s="15"/>
      <c r="I136" s="12">
        <f t="shared" si="4"/>
        <v>17923.900000000001</v>
      </c>
      <c r="J136" s="12">
        <f t="shared" si="5"/>
        <v>83015.55</v>
      </c>
    </row>
    <row r="137" spans="1:10" x14ac:dyDescent="0.25">
      <c r="A137" s="18">
        <v>42765</v>
      </c>
      <c r="B137" s="13" t="s">
        <v>159</v>
      </c>
      <c r="C137" s="41"/>
      <c r="D137" s="41"/>
      <c r="E137" s="41"/>
      <c r="F137" s="16"/>
      <c r="G137" s="11">
        <v>450</v>
      </c>
      <c r="H137" s="15"/>
      <c r="I137" s="12">
        <f t="shared" si="4"/>
        <v>17923.900000000001</v>
      </c>
      <c r="J137" s="12">
        <f t="shared" si="5"/>
        <v>82565.55</v>
      </c>
    </row>
    <row r="138" spans="1:10" x14ac:dyDescent="0.25">
      <c r="A138" s="18">
        <v>42766</v>
      </c>
      <c r="B138" s="13" t="s">
        <v>166</v>
      </c>
      <c r="C138" s="41">
        <v>45750</v>
      </c>
      <c r="D138" s="41"/>
      <c r="E138" s="41"/>
      <c r="F138" s="16"/>
      <c r="G138" s="11"/>
      <c r="H138" s="15"/>
      <c r="I138" s="12">
        <f t="shared" si="4"/>
        <v>17923.900000000001</v>
      </c>
      <c r="J138" s="12">
        <f t="shared" si="5"/>
        <v>128315.55</v>
      </c>
    </row>
    <row r="139" spans="1:10" x14ac:dyDescent="0.25">
      <c r="A139" s="18">
        <v>42766</v>
      </c>
      <c r="B139" s="13" t="s">
        <v>160</v>
      </c>
      <c r="C139" s="41"/>
      <c r="D139" s="41"/>
      <c r="E139" s="41"/>
      <c r="F139" s="16"/>
      <c r="G139" s="11">
        <v>450</v>
      </c>
      <c r="H139" s="15"/>
      <c r="I139" s="12">
        <f t="shared" si="4"/>
        <v>17923.900000000001</v>
      </c>
      <c r="J139" s="12">
        <f t="shared" si="5"/>
        <v>127865.55</v>
      </c>
    </row>
    <row r="140" spans="1:10" x14ac:dyDescent="0.25">
      <c r="A140" s="18">
        <v>42766</v>
      </c>
      <c r="B140" s="13" t="s">
        <v>161</v>
      </c>
      <c r="C140" s="41"/>
      <c r="D140" s="41"/>
      <c r="E140" s="41"/>
      <c r="F140" s="41"/>
      <c r="G140" s="11">
        <v>300</v>
      </c>
      <c r="H140" s="15"/>
      <c r="I140" s="12">
        <f t="shared" si="4"/>
        <v>17923.900000000001</v>
      </c>
      <c r="J140" s="12">
        <f t="shared" si="5"/>
        <v>127565.55</v>
      </c>
    </row>
    <row r="141" spans="1:10" x14ac:dyDescent="0.25">
      <c r="A141" s="18">
        <v>42766</v>
      </c>
      <c r="B141" s="13" t="s">
        <v>162</v>
      </c>
      <c r="C141" s="41"/>
      <c r="D141" s="41"/>
      <c r="E141" s="41"/>
      <c r="F141" s="41"/>
      <c r="G141" s="11">
        <v>786</v>
      </c>
      <c r="H141" s="15"/>
      <c r="I141" s="12">
        <f t="shared" si="4"/>
        <v>17923.900000000001</v>
      </c>
      <c r="J141" s="12">
        <f t="shared" si="5"/>
        <v>126779.55</v>
      </c>
    </row>
    <row r="142" spans="1:10" x14ac:dyDescent="0.25">
      <c r="A142" s="18">
        <v>42766</v>
      </c>
      <c r="B142" s="13" t="s">
        <v>163</v>
      </c>
      <c r="C142" s="41"/>
      <c r="D142" s="41"/>
      <c r="E142" s="41"/>
      <c r="F142" s="41"/>
      <c r="G142" s="11">
        <v>192.76</v>
      </c>
      <c r="H142" s="15"/>
      <c r="I142" s="12">
        <f t="shared" si="4"/>
        <v>17923.900000000001</v>
      </c>
      <c r="J142" s="12">
        <f t="shared" si="5"/>
        <v>126586.79000000001</v>
      </c>
    </row>
    <row r="143" spans="1:10" x14ac:dyDescent="0.25">
      <c r="A143" s="18">
        <v>42766</v>
      </c>
      <c r="B143" s="13" t="s">
        <v>164</v>
      </c>
      <c r="C143" s="41"/>
      <c r="D143" s="41"/>
      <c r="E143" s="41"/>
      <c r="F143" s="16"/>
      <c r="G143" s="11">
        <v>20</v>
      </c>
      <c r="H143" s="15"/>
      <c r="I143" s="12">
        <f t="shared" si="4"/>
        <v>17923.900000000001</v>
      </c>
      <c r="J143" s="12">
        <f t="shared" si="5"/>
        <v>126566.79000000001</v>
      </c>
    </row>
    <row r="144" spans="1:10" x14ac:dyDescent="0.25">
      <c r="A144" s="18">
        <v>42766</v>
      </c>
      <c r="B144" s="13" t="s">
        <v>148</v>
      </c>
      <c r="C144" s="41"/>
      <c r="D144" s="41"/>
      <c r="E144" s="41"/>
      <c r="F144" s="16"/>
      <c r="G144" s="11">
        <v>14600</v>
      </c>
      <c r="H144" s="15"/>
      <c r="I144" s="12">
        <f t="shared" si="4"/>
        <v>17923.900000000001</v>
      </c>
      <c r="J144" s="12">
        <f t="shared" si="5"/>
        <v>111966.79000000001</v>
      </c>
    </row>
    <row r="145" spans="1:10" x14ac:dyDescent="0.25">
      <c r="A145" s="18">
        <v>42766</v>
      </c>
      <c r="B145" s="13" t="s">
        <v>149</v>
      </c>
      <c r="C145" s="41"/>
      <c r="D145" s="41"/>
      <c r="E145" s="41"/>
      <c r="F145" s="16"/>
      <c r="G145" s="11">
        <v>4000</v>
      </c>
      <c r="H145" s="15"/>
      <c r="I145" s="12">
        <f t="shared" si="4"/>
        <v>17923.900000000001</v>
      </c>
      <c r="J145" s="12">
        <f t="shared" si="5"/>
        <v>107966.79000000001</v>
      </c>
    </row>
    <row r="146" spans="1:10" x14ac:dyDescent="0.25">
      <c r="A146" s="18">
        <v>42766</v>
      </c>
      <c r="B146" s="13" t="s">
        <v>165</v>
      </c>
      <c r="C146" s="41">
        <v>2750</v>
      </c>
      <c r="D146" s="41"/>
      <c r="E146" s="41"/>
      <c r="F146" s="16"/>
      <c r="G146" s="11"/>
      <c r="H146" s="15"/>
      <c r="I146" s="12">
        <f t="shared" si="4"/>
        <v>17923.900000000001</v>
      </c>
      <c r="J146" s="12">
        <f t="shared" si="5"/>
        <v>110716.79000000001</v>
      </c>
    </row>
    <row r="147" spans="1:10" x14ac:dyDescent="0.25">
      <c r="A147" s="18">
        <v>42739</v>
      </c>
      <c r="B147" s="13" t="s">
        <v>167</v>
      </c>
      <c r="C147" s="41"/>
      <c r="D147" s="41">
        <v>300.45999999999998</v>
      </c>
      <c r="E147" s="41"/>
      <c r="F147" s="16"/>
      <c r="G147" s="11"/>
      <c r="H147" s="15"/>
      <c r="I147" s="12">
        <f t="shared" si="4"/>
        <v>18224.36</v>
      </c>
      <c r="J147" s="12">
        <f t="shared" si="5"/>
        <v>110716.79000000001</v>
      </c>
    </row>
    <row r="148" spans="1:10" x14ac:dyDescent="0.25">
      <c r="A148" s="18">
        <v>42744</v>
      </c>
      <c r="B148" s="13" t="s">
        <v>168</v>
      </c>
      <c r="C148" s="41"/>
      <c r="D148" s="41">
        <v>1200.29</v>
      </c>
      <c r="E148" s="41"/>
      <c r="F148" s="16"/>
      <c r="G148" s="11"/>
      <c r="H148" s="15"/>
      <c r="I148" s="12">
        <f>+I147+D148-F148</f>
        <v>19424.650000000001</v>
      </c>
      <c r="J148" s="12">
        <f>+J147+C148-G148</f>
        <v>110716.79000000001</v>
      </c>
    </row>
    <row r="149" spans="1:10" x14ac:dyDescent="0.25">
      <c r="A149" s="18">
        <v>42765</v>
      </c>
      <c r="B149" s="13" t="s">
        <v>169</v>
      </c>
      <c r="C149" s="41"/>
      <c r="D149" s="41">
        <v>400.15</v>
      </c>
      <c r="E149" s="41"/>
      <c r="F149" s="16"/>
      <c r="G149" s="11"/>
      <c r="H149" s="15"/>
      <c r="I149" s="12">
        <f>+I148+D149-F149</f>
        <v>19824.800000000003</v>
      </c>
      <c r="J149" s="12">
        <f>+J148+C149-G149</f>
        <v>110716.79000000001</v>
      </c>
    </row>
    <row r="150" spans="1:10" x14ac:dyDescent="0.25">
      <c r="A150" s="18">
        <v>42766</v>
      </c>
      <c r="B150" s="13" t="s">
        <v>170</v>
      </c>
      <c r="C150" s="41"/>
      <c r="D150" s="41"/>
      <c r="E150" s="41"/>
      <c r="F150" s="16">
        <v>42</v>
      </c>
      <c r="G150" s="11"/>
      <c r="H150" s="15"/>
      <c r="I150" s="12">
        <f>+I149+D150-F150</f>
        <v>19782.800000000003</v>
      </c>
      <c r="J150" s="12">
        <f>+J149+C150-G150</f>
        <v>110716.79000000001</v>
      </c>
    </row>
    <row r="151" spans="1:10" x14ac:dyDescent="0.25">
      <c r="A151" s="18">
        <v>42766</v>
      </c>
      <c r="B151" s="13" t="s">
        <v>171</v>
      </c>
      <c r="C151" s="41"/>
      <c r="D151" s="41"/>
      <c r="E151" s="41"/>
      <c r="F151" s="16">
        <v>6.72</v>
      </c>
      <c r="G151" s="11"/>
      <c r="H151" s="15"/>
      <c r="I151" s="12">
        <f>+I150+D151-F151</f>
        <v>19776.080000000002</v>
      </c>
      <c r="J151" s="12">
        <f>+J150+C151-G151</f>
        <v>110716.79000000001</v>
      </c>
    </row>
    <row r="152" spans="1:10" ht="15.75" thickBot="1" x14ac:dyDescent="0.3">
      <c r="A152" s="18"/>
      <c r="B152" s="13"/>
      <c r="C152" s="41"/>
      <c r="D152" s="41"/>
      <c r="E152" s="41"/>
      <c r="F152" s="16"/>
      <c r="G152" s="11"/>
      <c r="H152" s="15"/>
      <c r="I152" s="12">
        <f>+I151+D152-F152</f>
        <v>19776.080000000002</v>
      </c>
      <c r="J152" s="12">
        <f>+J151+C152-G152</f>
        <v>110716.79000000001</v>
      </c>
    </row>
    <row r="153" spans="1:10" ht="15.75" thickBot="1" x14ac:dyDescent="0.3">
      <c r="A153" s="5"/>
      <c r="B153" s="7" t="s">
        <v>0</v>
      </c>
      <c r="C153" s="63">
        <f>SUM(C107:C152)</f>
        <v>205085</v>
      </c>
      <c r="D153" s="61">
        <f>SUM(D107:D152)</f>
        <v>14660.9</v>
      </c>
      <c r="E153" s="72">
        <f>SUM(C153:D153)</f>
        <v>219745.9</v>
      </c>
      <c r="F153" s="81">
        <f>SUM(F107:F152)</f>
        <v>6332.72</v>
      </c>
      <c r="G153" s="63">
        <f>SUM(G107:G152)</f>
        <v>115676.05999999998</v>
      </c>
      <c r="H153" s="72">
        <f>SUM(F153:G153)</f>
        <v>122008.77999999998</v>
      </c>
      <c r="I153" s="19"/>
      <c r="J153" s="19"/>
    </row>
    <row r="154" spans="1:10" ht="15.75" thickBot="1" x14ac:dyDescent="0.3"/>
    <row r="155" spans="1:10" ht="15.75" thickBot="1" x14ac:dyDescent="0.3">
      <c r="H155" s="75" t="s">
        <v>9</v>
      </c>
      <c r="I155" s="75" t="s">
        <v>8</v>
      </c>
      <c r="J155" s="96" t="s">
        <v>0</v>
      </c>
    </row>
    <row r="156" spans="1:10" ht="15.75" thickBot="1" x14ac:dyDescent="0.3">
      <c r="H156" s="78">
        <v>19776.080000000002</v>
      </c>
      <c r="I156" s="78">
        <v>110716.79</v>
      </c>
      <c r="J156" s="20">
        <f>SUM(H156:I156)</f>
        <v>130492.87</v>
      </c>
    </row>
  </sheetData>
  <printOptions verticalCentered="1"/>
  <pageMargins left="0.70866141732283472" right="0.70866141732283472" top="0.59055118110236227" bottom="0.35433070866141736" header="0.31496062992125984" footer="0.31496062992125984"/>
  <pageSetup paperSize="9" scale="69" fitToHeight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61"/>
  <sheetViews>
    <sheetView topLeftCell="B1" zoomScale="90" zoomScaleNormal="90" workbookViewId="0">
      <pane ySplit="3" topLeftCell="A57" activePane="bottomLeft" state="frozen"/>
      <selection pane="bottomLeft" activeCell="C79" sqref="C79"/>
    </sheetView>
  </sheetViews>
  <sheetFormatPr baseColWidth="10" defaultRowHeight="15" x14ac:dyDescent="0.25"/>
  <cols>
    <col min="1" max="1" width="10.7109375" customWidth="1"/>
    <col min="2" max="2" width="11.7109375" customWidth="1"/>
    <col min="3" max="3" width="84.5703125" customWidth="1"/>
    <col min="4" max="11" width="11.7109375" customWidth="1"/>
  </cols>
  <sheetData>
    <row r="1" spans="2:11" ht="15.75" thickBot="1" x14ac:dyDescent="0.3">
      <c r="B1" s="80"/>
      <c r="C1" s="100" t="s">
        <v>174</v>
      </c>
    </row>
    <row r="2" spans="2:11" x14ac:dyDescent="0.25">
      <c r="B2" s="69" t="s">
        <v>1</v>
      </c>
      <c r="C2" s="69" t="s">
        <v>2</v>
      </c>
      <c r="D2" s="69" t="s">
        <v>3</v>
      </c>
      <c r="E2" s="69" t="s">
        <v>3</v>
      </c>
      <c r="F2" s="69" t="s">
        <v>23</v>
      </c>
      <c r="G2" s="69" t="s">
        <v>24</v>
      </c>
      <c r="H2" s="48" t="s">
        <v>24</v>
      </c>
      <c r="I2" s="48" t="s">
        <v>23</v>
      </c>
      <c r="J2" s="69" t="s">
        <v>9</v>
      </c>
      <c r="K2" s="48" t="s">
        <v>8</v>
      </c>
    </row>
    <row r="3" spans="2:11" ht="15.75" thickBot="1" x14ac:dyDescent="0.3">
      <c r="B3" s="70"/>
      <c r="C3" s="70"/>
      <c r="D3" s="70" t="s">
        <v>5</v>
      </c>
      <c r="E3" s="70" t="s">
        <v>25</v>
      </c>
      <c r="F3" s="70" t="s">
        <v>3</v>
      </c>
      <c r="G3" s="70" t="s">
        <v>25</v>
      </c>
      <c r="H3" s="71" t="s">
        <v>5</v>
      </c>
      <c r="I3" s="71" t="s">
        <v>4</v>
      </c>
      <c r="J3" s="70"/>
      <c r="K3" s="71"/>
    </row>
    <row r="4" spans="2:11" x14ac:dyDescent="0.25">
      <c r="B4" s="23">
        <v>43008</v>
      </c>
      <c r="C4" s="66" t="s">
        <v>175</v>
      </c>
      <c r="D4" s="67"/>
      <c r="E4" s="64"/>
      <c r="F4" s="64"/>
      <c r="G4" s="64"/>
      <c r="H4" s="17"/>
      <c r="I4" s="65"/>
      <c r="J4" s="12">
        <v>19776.080000000002</v>
      </c>
      <c r="K4" s="12">
        <v>110716.79</v>
      </c>
    </row>
    <row r="5" spans="2:11" x14ac:dyDescent="0.25">
      <c r="B5" s="23">
        <v>42767</v>
      </c>
      <c r="C5" s="101" t="s">
        <v>176</v>
      </c>
      <c r="D5" s="67"/>
      <c r="E5" s="64"/>
      <c r="F5" s="64"/>
      <c r="G5" s="64"/>
      <c r="H5" s="17">
        <v>46</v>
      </c>
      <c r="I5" s="65"/>
      <c r="J5" s="12">
        <f>+J4+E5-G5</f>
        <v>19776.080000000002</v>
      </c>
      <c r="K5" s="12">
        <f>+K4+D5-H5</f>
        <v>110670.79</v>
      </c>
    </row>
    <row r="6" spans="2:11" x14ac:dyDescent="0.25">
      <c r="B6" s="23">
        <v>42767</v>
      </c>
      <c r="C6" s="9" t="s">
        <v>177</v>
      </c>
      <c r="D6" s="41"/>
      <c r="E6" s="11"/>
      <c r="F6" s="11"/>
      <c r="G6" s="11"/>
      <c r="H6" s="11">
        <v>312</v>
      </c>
      <c r="I6" s="15"/>
      <c r="J6" s="12">
        <f t="shared" ref="J6:J32" si="0">+J5+E6-G6</f>
        <v>19776.080000000002</v>
      </c>
      <c r="K6" s="12">
        <f t="shared" ref="K6:K32" si="1">+K5+D6-H6</f>
        <v>110358.79</v>
      </c>
    </row>
    <row r="7" spans="2:11" x14ac:dyDescent="0.25">
      <c r="B7" s="18">
        <v>42767</v>
      </c>
      <c r="C7" s="13" t="s">
        <v>178</v>
      </c>
      <c r="D7" s="41"/>
      <c r="E7" s="11"/>
      <c r="F7" s="11"/>
      <c r="G7" s="11"/>
      <c r="H7" s="11">
        <v>408.25</v>
      </c>
      <c r="I7" s="15"/>
      <c r="J7" s="12">
        <f t="shared" si="0"/>
        <v>19776.080000000002</v>
      </c>
      <c r="K7" s="12">
        <f t="shared" si="1"/>
        <v>109950.54</v>
      </c>
    </row>
    <row r="8" spans="2:11" x14ac:dyDescent="0.25">
      <c r="B8" s="18">
        <v>42768</v>
      </c>
      <c r="C8" s="14" t="s">
        <v>179</v>
      </c>
      <c r="D8" s="41"/>
      <c r="E8" s="11"/>
      <c r="F8" s="11"/>
      <c r="G8" s="11"/>
      <c r="H8" s="11">
        <v>535</v>
      </c>
      <c r="I8" s="15"/>
      <c r="J8" s="12">
        <f t="shared" si="0"/>
        <v>19776.080000000002</v>
      </c>
      <c r="K8" s="12">
        <f t="shared" si="1"/>
        <v>109415.54</v>
      </c>
    </row>
    <row r="9" spans="2:11" x14ac:dyDescent="0.25">
      <c r="B9" s="18">
        <v>42768</v>
      </c>
      <c r="C9" s="13" t="s">
        <v>180</v>
      </c>
      <c r="D9" s="41"/>
      <c r="E9" s="11"/>
      <c r="F9" s="11"/>
      <c r="G9" s="11"/>
      <c r="H9" s="11">
        <v>500</v>
      </c>
      <c r="I9" s="15"/>
      <c r="J9" s="12">
        <f t="shared" si="0"/>
        <v>19776.080000000002</v>
      </c>
      <c r="K9" s="12">
        <f t="shared" si="1"/>
        <v>108915.54</v>
      </c>
    </row>
    <row r="10" spans="2:11" x14ac:dyDescent="0.25">
      <c r="B10" s="18">
        <v>42768</v>
      </c>
      <c r="C10" s="14" t="s">
        <v>181</v>
      </c>
      <c r="D10" s="41"/>
      <c r="E10" s="11"/>
      <c r="F10" s="11"/>
      <c r="G10" s="11"/>
      <c r="H10" s="11">
        <v>150</v>
      </c>
      <c r="I10" s="15"/>
      <c r="J10" s="12">
        <f t="shared" si="0"/>
        <v>19776.080000000002</v>
      </c>
      <c r="K10" s="12">
        <f t="shared" si="1"/>
        <v>108765.54</v>
      </c>
    </row>
    <row r="11" spans="2:11" x14ac:dyDescent="0.25">
      <c r="B11" s="18">
        <v>42768</v>
      </c>
      <c r="C11" s="21" t="s">
        <v>182</v>
      </c>
      <c r="D11" s="41"/>
      <c r="E11" s="11"/>
      <c r="F11" s="11"/>
      <c r="G11" s="11"/>
      <c r="H11" s="11">
        <v>250</v>
      </c>
      <c r="I11" s="15"/>
      <c r="J11" s="12">
        <f t="shared" si="0"/>
        <v>19776.080000000002</v>
      </c>
      <c r="K11" s="12">
        <f t="shared" si="1"/>
        <v>108515.54</v>
      </c>
    </row>
    <row r="12" spans="2:11" x14ac:dyDescent="0.25">
      <c r="B12" s="18">
        <v>42768</v>
      </c>
      <c r="C12" s="13" t="s">
        <v>183</v>
      </c>
      <c r="D12" s="41"/>
      <c r="E12" s="11"/>
      <c r="F12" s="11"/>
      <c r="G12" s="11"/>
      <c r="H12" s="11">
        <v>1575.12</v>
      </c>
      <c r="I12" s="15"/>
      <c r="J12" s="12">
        <f t="shared" si="0"/>
        <v>19776.080000000002</v>
      </c>
      <c r="K12" s="12">
        <f t="shared" si="1"/>
        <v>106940.42</v>
      </c>
    </row>
    <row r="13" spans="2:11" x14ac:dyDescent="0.25">
      <c r="B13" s="18">
        <v>42768</v>
      </c>
      <c r="C13" s="13" t="s">
        <v>184</v>
      </c>
      <c r="D13" s="41"/>
      <c r="E13" s="11"/>
      <c r="F13" s="11"/>
      <c r="G13" s="11"/>
      <c r="H13" s="11">
        <v>55.9</v>
      </c>
      <c r="I13" s="15"/>
      <c r="J13" s="12">
        <f t="shared" si="0"/>
        <v>19776.080000000002</v>
      </c>
      <c r="K13" s="12">
        <f t="shared" si="1"/>
        <v>106884.52</v>
      </c>
    </row>
    <row r="14" spans="2:11" x14ac:dyDescent="0.25">
      <c r="B14" s="18">
        <v>42768</v>
      </c>
      <c r="C14" s="13" t="s">
        <v>185</v>
      </c>
      <c r="D14" s="41"/>
      <c r="E14" s="11"/>
      <c r="F14" s="11"/>
      <c r="G14" s="11"/>
      <c r="H14" s="11">
        <v>300</v>
      </c>
      <c r="I14" s="15"/>
      <c r="J14" s="12">
        <f t="shared" si="0"/>
        <v>19776.080000000002</v>
      </c>
      <c r="K14" s="12">
        <f t="shared" si="1"/>
        <v>106584.52</v>
      </c>
    </row>
    <row r="15" spans="2:11" x14ac:dyDescent="0.25">
      <c r="B15" s="18">
        <v>42768</v>
      </c>
      <c r="C15" s="14" t="s">
        <v>186</v>
      </c>
      <c r="D15" s="41"/>
      <c r="E15" s="11"/>
      <c r="F15" s="11"/>
      <c r="G15" s="11"/>
      <c r="H15" s="11">
        <v>2999</v>
      </c>
      <c r="I15" s="15"/>
      <c r="J15" s="12">
        <f t="shared" si="0"/>
        <v>19776.080000000002</v>
      </c>
      <c r="K15" s="12">
        <f t="shared" si="1"/>
        <v>103585.52</v>
      </c>
    </row>
    <row r="16" spans="2:11" x14ac:dyDescent="0.25">
      <c r="B16" s="18">
        <v>42768</v>
      </c>
      <c r="C16" s="13" t="s">
        <v>187</v>
      </c>
      <c r="D16" s="41"/>
      <c r="E16" s="11"/>
      <c r="F16" s="11"/>
      <c r="G16" s="11"/>
      <c r="H16" s="11">
        <v>450</v>
      </c>
      <c r="I16" s="15"/>
      <c r="J16" s="12">
        <f t="shared" si="0"/>
        <v>19776.080000000002</v>
      </c>
      <c r="K16" s="12">
        <f t="shared" si="1"/>
        <v>103135.52</v>
      </c>
    </row>
    <row r="17" spans="2:11" x14ac:dyDescent="0.25">
      <c r="B17" s="18">
        <v>42768</v>
      </c>
      <c r="C17" s="13" t="s">
        <v>188</v>
      </c>
      <c r="D17" s="41"/>
      <c r="E17" s="11"/>
      <c r="F17" s="11"/>
      <c r="G17" s="11"/>
      <c r="H17" s="11">
        <v>1000</v>
      </c>
      <c r="I17" s="15"/>
      <c r="J17" s="12">
        <f t="shared" si="0"/>
        <v>19776.080000000002</v>
      </c>
      <c r="K17" s="12">
        <f t="shared" si="1"/>
        <v>102135.52</v>
      </c>
    </row>
    <row r="18" spans="2:11" x14ac:dyDescent="0.25">
      <c r="B18" s="18">
        <v>42768</v>
      </c>
      <c r="C18" s="13" t="s">
        <v>189</v>
      </c>
      <c r="D18" s="41"/>
      <c r="E18" s="11"/>
      <c r="F18" s="11"/>
      <c r="G18" s="11"/>
      <c r="H18" s="11">
        <v>6150</v>
      </c>
      <c r="I18" s="15"/>
      <c r="J18" s="12">
        <f t="shared" si="0"/>
        <v>19776.080000000002</v>
      </c>
      <c r="K18" s="12">
        <f t="shared" si="1"/>
        <v>95985.52</v>
      </c>
    </row>
    <row r="19" spans="2:11" x14ac:dyDescent="0.25">
      <c r="B19" s="18">
        <v>42768</v>
      </c>
      <c r="C19" s="13" t="s">
        <v>190</v>
      </c>
      <c r="D19" s="41"/>
      <c r="E19" s="11"/>
      <c r="F19" s="11"/>
      <c r="G19" s="11"/>
      <c r="H19" s="11">
        <v>180</v>
      </c>
      <c r="I19" s="15"/>
      <c r="J19" s="12">
        <f t="shared" si="0"/>
        <v>19776.080000000002</v>
      </c>
      <c r="K19" s="12">
        <f t="shared" si="1"/>
        <v>95805.52</v>
      </c>
    </row>
    <row r="20" spans="2:11" x14ac:dyDescent="0.25">
      <c r="B20" s="18">
        <v>42768</v>
      </c>
      <c r="C20" s="13" t="s">
        <v>191</v>
      </c>
      <c r="D20" s="41"/>
      <c r="E20" s="11"/>
      <c r="F20" s="11"/>
      <c r="G20" s="11"/>
      <c r="H20" s="11">
        <v>200</v>
      </c>
      <c r="I20" s="15"/>
      <c r="J20" s="12">
        <f t="shared" si="0"/>
        <v>19776.080000000002</v>
      </c>
      <c r="K20" s="12">
        <f t="shared" si="1"/>
        <v>95605.52</v>
      </c>
    </row>
    <row r="21" spans="2:11" x14ac:dyDescent="0.25">
      <c r="B21" s="18">
        <v>42769</v>
      </c>
      <c r="C21" s="13" t="s">
        <v>192</v>
      </c>
      <c r="D21" s="41"/>
      <c r="E21" s="11"/>
      <c r="F21" s="11"/>
      <c r="G21" s="11"/>
      <c r="H21" s="11">
        <v>1000</v>
      </c>
      <c r="I21" s="15"/>
      <c r="J21" s="12">
        <f t="shared" si="0"/>
        <v>19776.080000000002</v>
      </c>
      <c r="K21" s="12">
        <f t="shared" si="1"/>
        <v>94605.52</v>
      </c>
    </row>
    <row r="22" spans="2:11" x14ac:dyDescent="0.25">
      <c r="B22" s="18">
        <v>42769</v>
      </c>
      <c r="C22" s="13" t="s">
        <v>193</v>
      </c>
      <c r="D22" s="41"/>
      <c r="E22" s="11"/>
      <c r="F22" s="11"/>
      <c r="G22" s="11"/>
      <c r="H22" s="11">
        <v>300</v>
      </c>
      <c r="I22" s="15"/>
      <c r="J22" s="12">
        <f t="shared" si="0"/>
        <v>19776.080000000002</v>
      </c>
      <c r="K22" s="12">
        <f t="shared" si="1"/>
        <v>94305.52</v>
      </c>
    </row>
    <row r="23" spans="2:11" x14ac:dyDescent="0.25">
      <c r="B23" s="18">
        <v>42769</v>
      </c>
      <c r="C23" s="13" t="s">
        <v>194</v>
      </c>
      <c r="D23" s="41"/>
      <c r="E23" s="11"/>
      <c r="F23" s="11"/>
      <c r="G23" s="11"/>
      <c r="H23" s="11">
        <v>500</v>
      </c>
      <c r="I23" s="15"/>
      <c r="J23" s="12">
        <f t="shared" si="0"/>
        <v>19776.080000000002</v>
      </c>
      <c r="K23" s="12">
        <f t="shared" si="1"/>
        <v>93805.52</v>
      </c>
    </row>
    <row r="24" spans="2:11" x14ac:dyDescent="0.25">
      <c r="B24" s="18">
        <v>42770</v>
      </c>
      <c r="C24" s="13" t="s">
        <v>195</v>
      </c>
      <c r="D24" s="41"/>
      <c r="E24" s="11"/>
      <c r="F24" s="11"/>
      <c r="G24" s="11"/>
      <c r="H24" s="11">
        <v>500</v>
      </c>
      <c r="I24" s="15"/>
      <c r="J24" s="12">
        <f t="shared" si="0"/>
        <v>19776.080000000002</v>
      </c>
      <c r="K24" s="12">
        <f t="shared" si="1"/>
        <v>93305.52</v>
      </c>
    </row>
    <row r="25" spans="2:11" x14ac:dyDescent="0.25">
      <c r="B25" s="38">
        <v>42771</v>
      </c>
      <c r="C25" s="13" t="s">
        <v>196</v>
      </c>
      <c r="D25" s="41"/>
      <c r="E25" s="11"/>
      <c r="F25" s="11"/>
      <c r="G25" s="11"/>
      <c r="H25" s="11">
        <v>150</v>
      </c>
      <c r="I25" s="15"/>
      <c r="J25" s="12">
        <f t="shared" si="0"/>
        <v>19776.080000000002</v>
      </c>
      <c r="K25" s="12">
        <f t="shared" si="1"/>
        <v>93155.520000000004</v>
      </c>
    </row>
    <row r="26" spans="2:11" x14ac:dyDescent="0.25">
      <c r="B26" s="37">
        <v>42771</v>
      </c>
      <c r="C26" s="35" t="s">
        <v>210</v>
      </c>
      <c r="D26" s="41"/>
      <c r="E26" s="41"/>
      <c r="F26" s="41"/>
      <c r="G26" s="16"/>
      <c r="H26" s="11">
        <v>150</v>
      </c>
      <c r="I26" s="15"/>
      <c r="J26" s="12">
        <f t="shared" si="0"/>
        <v>19776.080000000002</v>
      </c>
      <c r="K26" s="12">
        <f t="shared" si="1"/>
        <v>93005.52</v>
      </c>
    </row>
    <row r="27" spans="2:11" x14ac:dyDescent="0.25">
      <c r="B27" s="39">
        <v>42771</v>
      </c>
      <c r="C27" s="35" t="s">
        <v>43</v>
      </c>
      <c r="D27" s="41"/>
      <c r="E27" s="41"/>
      <c r="F27" s="41"/>
      <c r="G27" s="41"/>
      <c r="H27" s="11">
        <v>120</v>
      </c>
      <c r="I27" s="15"/>
      <c r="J27" s="12">
        <f t="shared" si="0"/>
        <v>19776.080000000002</v>
      </c>
      <c r="K27" s="12">
        <f t="shared" si="1"/>
        <v>92885.52</v>
      </c>
    </row>
    <row r="28" spans="2:11" x14ac:dyDescent="0.25">
      <c r="B28" s="38">
        <v>42771</v>
      </c>
      <c r="C28" s="35" t="s">
        <v>197</v>
      </c>
      <c r="D28" s="41"/>
      <c r="E28" s="11"/>
      <c r="F28" s="11"/>
      <c r="G28" s="11"/>
      <c r="H28" s="11">
        <v>200</v>
      </c>
      <c r="I28" s="15"/>
      <c r="J28" s="12">
        <f t="shared" si="0"/>
        <v>19776.080000000002</v>
      </c>
      <c r="K28" s="12">
        <f t="shared" si="1"/>
        <v>92685.52</v>
      </c>
    </row>
    <row r="29" spans="2:11" x14ac:dyDescent="0.25">
      <c r="B29" s="38">
        <v>42772</v>
      </c>
      <c r="C29" s="35" t="s">
        <v>198</v>
      </c>
      <c r="D29" s="41"/>
      <c r="E29" s="11"/>
      <c r="F29" s="11"/>
      <c r="G29" s="11"/>
      <c r="H29" s="11">
        <v>310</v>
      </c>
      <c r="I29" s="15"/>
      <c r="J29" s="12">
        <f t="shared" si="0"/>
        <v>19776.080000000002</v>
      </c>
      <c r="K29" s="12">
        <f t="shared" si="1"/>
        <v>92375.52</v>
      </c>
    </row>
    <row r="30" spans="2:11" x14ac:dyDescent="0.25">
      <c r="B30" s="38">
        <v>42772</v>
      </c>
      <c r="C30" s="35" t="s">
        <v>199</v>
      </c>
      <c r="D30" s="41"/>
      <c r="E30" s="11"/>
      <c r="F30" s="11"/>
      <c r="G30" s="11"/>
      <c r="H30" s="11">
        <v>108</v>
      </c>
      <c r="I30" s="15"/>
      <c r="J30" s="12">
        <f t="shared" si="0"/>
        <v>19776.080000000002</v>
      </c>
      <c r="K30" s="12">
        <f t="shared" si="1"/>
        <v>92267.520000000004</v>
      </c>
    </row>
    <row r="31" spans="2:11" x14ac:dyDescent="0.25">
      <c r="B31" s="38">
        <v>42772</v>
      </c>
      <c r="C31" s="35" t="s">
        <v>200</v>
      </c>
      <c r="D31" s="41"/>
      <c r="E31" s="11"/>
      <c r="F31" s="11"/>
      <c r="G31" s="11"/>
      <c r="H31" s="11">
        <v>72</v>
      </c>
      <c r="I31" s="15"/>
      <c r="J31" s="12">
        <f t="shared" si="0"/>
        <v>19776.080000000002</v>
      </c>
      <c r="K31" s="12">
        <f t="shared" si="1"/>
        <v>92195.520000000004</v>
      </c>
    </row>
    <row r="32" spans="2:11" x14ac:dyDescent="0.25">
      <c r="B32" s="38">
        <v>42772</v>
      </c>
      <c r="C32" s="35" t="s">
        <v>201</v>
      </c>
      <c r="D32" s="41"/>
      <c r="E32" s="11"/>
      <c r="F32" s="11"/>
      <c r="G32" s="11"/>
      <c r="H32" s="11">
        <v>400</v>
      </c>
      <c r="I32" s="15"/>
      <c r="J32" s="12">
        <f t="shared" si="0"/>
        <v>19776.080000000002</v>
      </c>
      <c r="K32" s="12">
        <f t="shared" si="1"/>
        <v>91795.520000000004</v>
      </c>
    </row>
    <row r="33" spans="2:11" x14ac:dyDescent="0.25">
      <c r="B33" s="44">
        <v>42772</v>
      </c>
      <c r="C33" s="13" t="s">
        <v>234</v>
      </c>
      <c r="D33" s="41">
        <v>35425</v>
      </c>
      <c r="E33" s="11"/>
      <c r="F33" s="11"/>
      <c r="G33" s="11"/>
      <c r="H33" s="11"/>
      <c r="I33" s="15"/>
      <c r="J33" s="12">
        <f t="shared" ref="J33:J54" si="2">+J32+E33-G33</f>
        <v>19776.080000000002</v>
      </c>
      <c r="K33" s="12">
        <f t="shared" ref="K33:K54" si="3">+K32+D33-H33</f>
        <v>127220.52</v>
      </c>
    </row>
    <row r="34" spans="2:11" x14ac:dyDescent="0.25">
      <c r="B34" s="38">
        <v>42773</v>
      </c>
      <c r="C34" s="35" t="s">
        <v>89</v>
      </c>
      <c r="D34" s="41"/>
      <c r="E34" s="11"/>
      <c r="F34" s="11"/>
      <c r="G34" s="11"/>
      <c r="H34" s="11">
        <v>500</v>
      </c>
      <c r="I34" s="15"/>
      <c r="J34" s="12">
        <f t="shared" si="2"/>
        <v>19776.080000000002</v>
      </c>
      <c r="K34" s="12">
        <f t="shared" si="3"/>
        <v>126720.52</v>
      </c>
    </row>
    <row r="35" spans="2:11" x14ac:dyDescent="0.25">
      <c r="B35" s="38">
        <v>42773</v>
      </c>
      <c r="C35" s="36" t="s">
        <v>202</v>
      </c>
      <c r="D35" s="41"/>
      <c r="E35" s="11"/>
      <c r="F35" s="11"/>
      <c r="G35" s="11"/>
      <c r="H35" s="11">
        <v>250</v>
      </c>
      <c r="I35" s="15"/>
      <c r="J35" s="12">
        <f t="shared" si="2"/>
        <v>19776.080000000002</v>
      </c>
      <c r="K35" s="12">
        <f t="shared" si="3"/>
        <v>126470.52</v>
      </c>
    </row>
    <row r="36" spans="2:11" x14ac:dyDescent="0.25">
      <c r="B36" s="37">
        <v>42773</v>
      </c>
      <c r="C36" s="35" t="s">
        <v>203</v>
      </c>
      <c r="D36" s="41"/>
      <c r="E36" s="11"/>
      <c r="F36" s="11"/>
      <c r="G36" s="11"/>
      <c r="H36" s="11">
        <v>200</v>
      </c>
      <c r="I36" s="15"/>
      <c r="J36" s="12">
        <f t="shared" si="2"/>
        <v>19776.080000000002</v>
      </c>
      <c r="K36" s="12">
        <f t="shared" si="3"/>
        <v>126270.52</v>
      </c>
    </row>
    <row r="37" spans="2:11" x14ac:dyDescent="0.25">
      <c r="B37" s="39">
        <v>42773</v>
      </c>
      <c r="C37" s="35" t="s">
        <v>204</v>
      </c>
      <c r="D37" s="41"/>
      <c r="E37" s="11"/>
      <c r="F37" s="11"/>
      <c r="G37" s="11"/>
      <c r="H37" s="11">
        <v>15050</v>
      </c>
      <c r="I37" s="15"/>
      <c r="J37" s="12">
        <f t="shared" si="2"/>
        <v>19776.080000000002</v>
      </c>
      <c r="K37" s="12">
        <f t="shared" si="3"/>
        <v>111220.52</v>
      </c>
    </row>
    <row r="38" spans="2:11" x14ac:dyDescent="0.25">
      <c r="B38" s="38">
        <v>42773</v>
      </c>
      <c r="C38" s="35" t="s">
        <v>7</v>
      </c>
      <c r="D38" s="41"/>
      <c r="E38" s="11"/>
      <c r="F38" s="11"/>
      <c r="G38" s="11"/>
      <c r="H38" s="11">
        <v>110</v>
      </c>
      <c r="I38" s="15"/>
      <c r="J38" s="12">
        <f t="shared" si="2"/>
        <v>19776.080000000002</v>
      </c>
      <c r="K38" s="12">
        <f t="shared" si="3"/>
        <v>111110.52</v>
      </c>
    </row>
    <row r="39" spans="2:11" x14ac:dyDescent="0.25">
      <c r="B39" s="42">
        <v>42774</v>
      </c>
      <c r="C39" s="34" t="s">
        <v>205</v>
      </c>
      <c r="D39" s="41"/>
      <c r="E39" s="11"/>
      <c r="F39" s="11"/>
      <c r="G39" s="11"/>
      <c r="H39" s="11">
        <v>326.39999999999998</v>
      </c>
      <c r="I39" s="15"/>
      <c r="J39" s="12">
        <f t="shared" si="2"/>
        <v>19776.080000000002</v>
      </c>
      <c r="K39" s="12">
        <f t="shared" si="3"/>
        <v>110784.12000000001</v>
      </c>
    </row>
    <row r="40" spans="2:11" x14ac:dyDescent="0.25">
      <c r="B40" s="39">
        <v>42774</v>
      </c>
      <c r="C40" s="35" t="s">
        <v>206</v>
      </c>
      <c r="D40" s="41"/>
      <c r="E40" s="11"/>
      <c r="F40" s="11"/>
      <c r="G40" s="11"/>
      <c r="H40" s="11">
        <v>114</v>
      </c>
      <c r="I40" s="15"/>
      <c r="J40" s="12">
        <f t="shared" si="2"/>
        <v>19776.080000000002</v>
      </c>
      <c r="K40" s="12">
        <f t="shared" si="3"/>
        <v>110670.12000000001</v>
      </c>
    </row>
    <row r="41" spans="2:11" x14ac:dyDescent="0.25">
      <c r="B41" s="38">
        <v>42774</v>
      </c>
      <c r="C41" s="35" t="s">
        <v>207</v>
      </c>
      <c r="D41" s="41"/>
      <c r="E41" s="11"/>
      <c r="F41" s="11"/>
      <c r="G41" s="11"/>
      <c r="H41" s="11">
        <v>500</v>
      </c>
      <c r="I41" s="15"/>
      <c r="J41" s="12">
        <f t="shared" si="2"/>
        <v>19776.080000000002</v>
      </c>
      <c r="K41" s="12">
        <f t="shared" si="3"/>
        <v>110170.12000000001</v>
      </c>
    </row>
    <row r="42" spans="2:11" x14ac:dyDescent="0.25">
      <c r="B42" s="37">
        <v>42774</v>
      </c>
      <c r="C42" s="35" t="s">
        <v>208</v>
      </c>
      <c r="D42" s="41"/>
      <c r="E42" s="11"/>
      <c r="F42" s="11"/>
      <c r="G42" s="11"/>
      <c r="H42" s="11">
        <v>240</v>
      </c>
      <c r="I42" s="15"/>
      <c r="J42" s="12">
        <f t="shared" si="2"/>
        <v>19776.080000000002</v>
      </c>
      <c r="K42" s="12">
        <f t="shared" si="3"/>
        <v>109930.12000000001</v>
      </c>
    </row>
    <row r="43" spans="2:11" x14ac:dyDescent="0.25">
      <c r="B43" s="39">
        <v>42774</v>
      </c>
      <c r="C43" s="35" t="s">
        <v>209</v>
      </c>
      <c r="D43" s="41"/>
      <c r="E43" s="11"/>
      <c r="F43" s="11"/>
      <c r="G43" s="11"/>
      <c r="H43" s="11">
        <v>800</v>
      </c>
      <c r="I43" s="15"/>
      <c r="J43" s="12">
        <f t="shared" si="2"/>
        <v>19776.080000000002</v>
      </c>
      <c r="K43" s="12">
        <f t="shared" si="3"/>
        <v>109130.12000000001</v>
      </c>
    </row>
    <row r="44" spans="2:11" x14ac:dyDescent="0.25">
      <c r="B44" s="38">
        <v>42775</v>
      </c>
      <c r="C44" s="35" t="s">
        <v>211</v>
      </c>
      <c r="D44" s="41"/>
      <c r="E44" s="11"/>
      <c r="F44" s="11"/>
      <c r="G44" s="11"/>
      <c r="H44" s="11">
        <v>196</v>
      </c>
      <c r="I44" s="15"/>
      <c r="J44" s="12">
        <f t="shared" si="2"/>
        <v>19776.080000000002</v>
      </c>
      <c r="K44" s="12">
        <f t="shared" si="3"/>
        <v>108934.12000000001</v>
      </c>
    </row>
    <row r="45" spans="2:11" x14ac:dyDescent="0.25">
      <c r="B45" s="38">
        <v>42775</v>
      </c>
      <c r="C45" s="9" t="s">
        <v>212</v>
      </c>
      <c r="D45" s="41"/>
      <c r="E45" s="11"/>
      <c r="F45" s="11"/>
      <c r="G45" s="11"/>
      <c r="H45" s="11">
        <v>196</v>
      </c>
      <c r="I45" s="15"/>
      <c r="J45" s="12">
        <f t="shared" si="2"/>
        <v>19776.080000000002</v>
      </c>
      <c r="K45" s="12">
        <f t="shared" si="3"/>
        <v>108738.12000000001</v>
      </c>
    </row>
    <row r="46" spans="2:11" x14ac:dyDescent="0.25">
      <c r="B46" s="38">
        <v>42775</v>
      </c>
      <c r="C46" s="35" t="s">
        <v>214</v>
      </c>
      <c r="D46" s="41"/>
      <c r="E46" s="11"/>
      <c r="F46" s="11"/>
      <c r="G46" s="11"/>
      <c r="H46" s="11">
        <v>200</v>
      </c>
      <c r="I46" s="15"/>
      <c r="J46" s="12">
        <f t="shared" si="2"/>
        <v>19776.080000000002</v>
      </c>
      <c r="K46" s="12">
        <f t="shared" si="3"/>
        <v>108538.12000000001</v>
      </c>
    </row>
    <row r="47" spans="2:11" x14ac:dyDescent="0.25">
      <c r="B47" s="40">
        <v>42775</v>
      </c>
      <c r="C47" s="35" t="s">
        <v>215</v>
      </c>
      <c r="D47" s="41"/>
      <c r="E47" s="41"/>
      <c r="F47" s="41"/>
      <c r="G47" s="41"/>
      <c r="H47" s="11">
        <v>2200</v>
      </c>
      <c r="I47" s="15"/>
      <c r="J47" s="12">
        <f t="shared" si="2"/>
        <v>19776.080000000002</v>
      </c>
      <c r="K47" s="12">
        <f t="shared" si="3"/>
        <v>106338.12000000001</v>
      </c>
    </row>
    <row r="48" spans="2:11" x14ac:dyDescent="0.25">
      <c r="B48" s="40">
        <v>42776</v>
      </c>
      <c r="C48" s="35" t="s">
        <v>213</v>
      </c>
      <c r="D48" s="41"/>
      <c r="E48" s="41"/>
      <c r="F48" s="41"/>
      <c r="G48" s="16"/>
      <c r="H48" s="11">
        <v>1000</v>
      </c>
      <c r="I48" s="15"/>
      <c r="J48" s="12">
        <f t="shared" si="2"/>
        <v>19776.080000000002</v>
      </c>
      <c r="K48" s="12">
        <f t="shared" si="3"/>
        <v>105338.12000000001</v>
      </c>
    </row>
    <row r="49" spans="2:11" x14ac:dyDescent="0.25">
      <c r="B49" s="40">
        <v>42776</v>
      </c>
      <c r="C49" s="35" t="s">
        <v>216</v>
      </c>
      <c r="D49" s="41"/>
      <c r="E49" s="41"/>
      <c r="F49" s="41"/>
      <c r="G49" s="41"/>
      <c r="H49" s="11">
        <v>500</v>
      </c>
      <c r="I49" s="15"/>
      <c r="J49" s="12">
        <f t="shared" si="2"/>
        <v>19776.080000000002</v>
      </c>
      <c r="K49" s="12">
        <f t="shared" si="3"/>
        <v>104838.12000000001</v>
      </c>
    </row>
    <row r="50" spans="2:11" x14ac:dyDescent="0.25">
      <c r="B50" s="18">
        <v>42776</v>
      </c>
      <c r="C50" s="13" t="s">
        <v>217</v>
      </c>
      <c r="D50" s="11"/>
      <c r="E50" s="11"/>
      <c r="F50" s="11"/>
      <c r="G50" s="11"/>
      <c r="H50" s="11">
        <v>170</v>
      </c>
      <c r="I50" s="15"/>
      <c r="J50" s="12">
        <f t="shared" si="2"/>
        <v>19776.080000000002</v>
      </c>
      <c r="K50" s="12">
        <f t="shared" si="3"/>
        <v>104668.12000000001</v>
      </c>
    </row>
    <row r="51" spans="2:11" x14ac:dyDescent="0.25">
      <c r="B51" s="18">
        <v>42778</v>
      </c>
      <c r="C51" s="13" t="s">
        <v>196</v>
      </c>
      <c r="D51" s="11"/>
      <c r="E51" s="11"/>
      <c r="F51" s="11"/>
      <c r="G51" s="11"/>
      <c r="H51" s="11">
        <v>60</v>
      </c>
      <c r="I51" s="15"/>
      <c r="J51" s="12">
        <f t="shared" si="2"/>
        <v>19776.080000000002</v>
      </c>
      <c r="K51" s="12">
        <f t="shared" si="3"/>
        <v>104608.12000000001</v>
      </c>
    </row>
    <row r="52" spans="2:11" x14ac:dyDescent="0.25">
      <c r="B52" s="18">
        <v>42778</v>
      </c>
      <c r="C52" s="13" t="s">
        <v>218</v>
      </c>
      <c r="D52" s="11"/>
      <c r="E52" s="11"/>
      <c r="F52" s="11"/>
      <c r="G52" s="11"/>
      <c r="H52" s="11">
        <v>120</v>
      </c>
      <c r="I52" s="15"/>
      <c r="J52" s="12">
        <f t="shared" si="2"/>
        <v>19776.080000000002</v>
      </c>
      <c r="K52" s="12">
        <f t="shared" si="3"/>
        <v>104488.12000000001</v>
      </c>
    </row>
    <row r="53" spans="2:11" x14ac:dyDescent="0.25">
      <c r="B53" s="18">
        <v>42778</v>
      </c>
      <c r="C53" s="13" t="s">
        <v>210</v>
      </c>
      <c r="D53" s="11"/>
      <c r="E53" s="11"/>
      <c r="F53" s="11"/>
      <c r="G53" s="11"/>
      <c r="H53" s="11">
        <v>150</v>
      </c>
      <c r="I53" s="15"/>
      <c r="J53" s="12">
        <f t="shared" si="2"/>
        <v>19776.080000000002</v>
      </c>
      <c r="K53" s="12">
        <f t="shared" si="3"/>
        <v>104338.12000000001</v>
      </c>
    </row>
    <row r="54" spans="2:11" ht="15.75" thickBot="1" x14ac:dyDescent="0.3">
      <c r="B54" s="18">
        <v>42779</v>
      </c>
      <c r="C54" s="13" t="s">
        <v>219</v>
      </c>
      <c r="D54" s="11"/>
      <c r="E54" s="11"/>
      <c r="F54" s="11"/>
      <c r="G54" s="11"/>
      <c r="H54" s="11">
        <v>100.2</v>
      </c>
      <c r="I54" s="15"/>
      <c r="J54" s="12">
        <f t="shared" si="2"/>
        <v>19776.080000000002</v>
      </c>
      <c r="K54" s="12">
        <f t="shared" si="3"/>
        <v>104237.92000000001</v>
      </c>
    </row>
    <row r="55" spans="2:11" ht="15.75" thickBot="1" x14ac:dyDescent="0.3">
      <c r="B55" s="5"/>
      <c r="C55" s="7" t="s">
        <v>0</v>
      </c>
      <c r="D55" s="63">
        <f>SUM(D7:D54)</f>
        <v>35425</v>
      </c>
      <c r="E55" s="61">
        <f>SUM(E7:E54)</f>
        <v>0</v>
      </c>
      <c r="F55" s="72">
        <f>SUM(D55:E55)</f>
        <v>35425</v>
      </c>
      <c r="G55" s="81">
        <f>SUM(G7:G54)</f>
        <v>0</v>
      </c>
      <c r="H55" s="63">
        <f>SUM(H4:H54)</f>
        <v>41903.870000000003</v>
      </c>
      <c r="I55" s="72">
        <f>SUM(G55:H55)</f>
        <v>41903.870000000003</v>
      </c>
      <c r="J55" s="12"/>
      <c r="K55" s="12"/>
    </row>
    <row r="56" spans="2:11" x14ac:dyDescent="0.25">
      <c r="B56" s="69" t="s">
        <v>1</v>
      </c>
      <c r="C56" s="69" t="s">
        <v>2</v>
      </c>
      <c r="D56" s="69" t="s">
        <v>3</v>
      </c>
      <c r="E56" s="69" t="s">
        <v>3</v>
      </c>
      <c r="F56" s="69" t="s">
        <v>23</v>
      </c>
      <c r="G56" s="69" t="s">
        <v>24</v>
      </c>
      <c r="H56" s="48" t="s">
        <v>24</v>
      </c>
      <c r="I56" s="48" t="s">
        <v>23</v>
      </c>
      <c r="J56" s="69" t="s">
        <v>9</v>
      </c>
      <c r="K56" s="48" t="s">
        <v>8</v>
      </c>
    </row>
    <row r="57" spans="2:11" ht="15.75" thickBot="1" x14ac:dyDescent="0.3">
      <c r="B57" s="70"/>
      <c r="C57" s="70"/>
      <c r="D57" s="70" t="s">
        <v>5</v>
      </c>
      <c r="E57" s="70" t="s">
        <v>25</v>
      </c>
      <c r="F57" s="70" t="s">
        <v>3</v>
      </c>
      <c r="G57" s="70" t="s">
        <v>25</v>
      </c>
      <c r="H57" s="71" t="s">
        <v>5</v>
      </c>
      <c r="I57" s="71" t="s">
        <v>4</v>
      </c>
      <c r="J57" s="70"/>
      <c r="K57" s="71"/>
    </row>
    <row r="58" spans="2:11" ht="15.75" thickBot="1" x14ac:dyDescent="0.3">
      <c r="B58" s="5"/>
      <c r="C58" s="7"/>
      <c r="D58" s="63">
        <v>35425</v>
      </c>
      <c r="E58" s="61">
        <v>0</v>
      </c>
      <c r="F58" s="72">
        <f>SUM(D58:E58)</f>
        <v>35425</v>
      </c>
      <c r="G58" s="81">
        <v>0</v>
      </c>
      <c r="H58" s="63">
        <v>41903.870000000003</v>
      </c>
      <c r="I58" s="72">
        <f>SUM(G58:H58)</f>
        <v>41903.870000000003</v>
      </c>
      <c r="J58" s="12">
        <v>19776.080000000002</v>
      </c>
      <c r="K58" s="12">
        <v>104237.92</v>
      </c>
    </row>
    <row r="59" spans="2:11" x14ac:dyDescent="0.25">
      <c r="B59" s="40">
        <v>42779</v>
      </c>
      <c r="C59" s="36" t="s">
        <v>235</v>
      </c>
      <c r="D59" s="41"/>
      <c r="E59" s="11"/>
      <c r="F59" s="11"/>
      <c r="G59" s="11"/>
      <c r="H59" s="11">
        <v>300</v>
      </c>
      <c r="I59" s="15"/>
      <c r="J59" s="12">
        <f>+J58+E59-G59</f>
        <v>19776.080000000002</v>
      </c>
      <c r="K59" s="12">
        <f>+K58+D59-H59</f>
        <v>103937.92</v>
      </c>
    </row>
    <row r="60" spans="2:11" x14ac:dyDescent="0.25">
      <c r="B60" s="40">
        <v>42779</v>
      </c>
      <c r="C60" s="36" t="s">
        <v>229</v>
      </c>
      <c r="D60" s="41">
        <v>20260</v>
      </c>
      <c r="E60" s="11"/>
      <c r="F60" s="11"/>
      <c r="G60" s="11"/>
      <c r="H60" s="11"/>
      <c r="I60" s="15"/>
      <c r="J60" s="12">
        <f t="shared" ref="J60:J109" si="4">+J59+E60-G60</f>
        <v>19776.080000000002</v>
      </c>
      <c r="K60" s="12">
        <f t="shared" ref="K60:K109" si="5">+K59+D60-H60</f>
        <v>124197.92</v>
      </c>
    </row>
    <row r="61" spans="2:11" x14ac:dyDescent="0.25">
      <c r="B61" s="38">
        <v>42779</v>
      </c>
      <c r="C61" s="35" t="s">
        <v>220</v>
      </c>
      <c r="D61" s="11"/>
      <c r="E61" s="11"/>
      <c r="F61" s="11"/>
      <c r="G61" s="11"/>
      <c r="H61" s="11">
        <v>75</v>
      </c>
      <c r="I61" s="15"/>
      <c r="J61" s="12">
        <f t="shared" si="4"/>
        <v>19776.080000000002</v>
      </c>
      <c r="K61" s="12">
        <f t="shared" si="5"/>
        <v>124122.92</v>
      </c>
    </row>
    <row r="62" spans="2:11" x14ac:dyDescent="0.25">
      <c r="B62" s="38">
        <v>42779</v>
      </c>
      <c r="C62" s="35" t="s">
        <v>221</v>
      </c>
      <c r="D62" s="11"/>
      <c r="E62" s="11"/>
      <c r="F62" s="11"/>
      <c r="G62" s="11"/>
      <c r="H62" s="11">
        <v>310</v>
      </c>
      <c r="I62" s="15"/>
      <c r="J62" s="12">
        <f t="shared" si="4"/>
        <v>19776.080000000002</v>
      </c>
      <c r="K62" s="12">
        <f t="shared" si="5"/>
        <v>123812.92</v>
      </c>
    </row>
    <row r="63" spans="2:11" x14ac:dyDescent="0.25">
      <c r="B63" s="38">
        <v>42779</v>
      </c>
      <c r="C63" s="35" t="s">
        <v>222</v>
      </c>
      <c r="D63" s="11"/>
      <c r="E63" s="11"/>
      <c r="F63" s="11"/>
      <c r="G63" s="11"/>
      <c r="H63" s="11">
        <v>180</v>
      </c>
      <c r="I63" s="15"/>
      <c r="J63" s="12">
        <f t="shared" si="4"/>
        <v>19776.080000000002</v>
      </c>
      <c r="K63" s="12">
        <f t="shared" si="5"/>
        <v>123632.92</v>
      </c>
    </row>
    <row r="64" spans="2:11" x14ac:dyDescent="0.25">
      <c r="B64" s="38">
        <v>42779</v>
      </c>
      <c r="C64" s="36" t="s">
        <v>223</v>
      </c>
      <c r="D64" s="11"/>
      <c r="E64" s="11"/>
      <c r="F64" s="11"/>
      <c r="G64" s="11"/>
      <c r="H64" s="11">
        <v>450</v>
      </c>
      <c r="I64" s="15"/>
      <c r="J64" s="12">
        <f t="shared" si="4"/>
        <v>19776.080000000002</v>
      </c>
      <c r="K64" s="12">
        <f t="shared" si="5"/>
        <v>123182.92</v>
      </c>
    </row>
    <row r="65" spans="2:11" x14ac:dyDescent="0.25">
      <c r="B65" s="38">
        <v>42779</v>
      </c>
      <c r="C65" s="36" t="s">
        <v>224</v>
      </c>
      <c r="D65" s="11"/>
      <c r="E65" s="11"/>
      <c r="F65" s="11"/>
      <c r="G65" s="11"/>
      <c r="H65" s="11">
        <v>200</v>
      </c>
      <c r="I65" s="15"/>
      <c r="J65" s="12">
        <f t="shared" si="4"/>
        <v>19776.080000000002</v>
      </c>
      <c r="K65" s="12">
        <f t="shared" si="5"/>
        <v>122982.92</v>
      </c>
    </row>
    <row r="66" spans="2:11" x14ac:dyDescent="0.25">
      <c r="B66" s="38">
        <v>42780</v>
      </c>
      <c r="C66" s="36" t="s">
        <v>225</v>
      </c>
      <c r="D66" s="11"/>
      <c r="E66" s="11"/>
      <c r="F66" s="11"/>
      <c r="G66" s="11"/>
      <c r="H66" s="11">
        <v>1100</v>
      </c>
      <c r="I66" s="15"/>
      <c r="J66" s="12">
        <f t="shared" si="4"/>
        <v>19776.080000000002</v>
      </c>
      <c r="K66" s="12">
        <f t="shared" si="5"/>
        <v>121882.92</v>
      </c>
    </row>
    <row r="67" spans="2:11" x14ac:dyDescent="0.25">
      <c r="B67" s="38">
        <v>42780</v>
      </c>
      <c r="C67" s="36" t="s">
        <v>226</v>
      </c>
      <c r="D67" s="11"/>
      <c r="E67" s="11"/>
      <c r="F67" s="11"/>
      <c r="G67" s="11"/>
      <c r="H67" s="11">
        <v>158</v>
      </c>
      <c r="I67" s="15"/>
      <c r="J67" s="12">
        <f t="shared" si="4"/>
        <v>19776.080000000002</v>
      </c>
      <c r="K67" s="12">
        <f t="shared" si="5"/>
        <v>121724.92</v>
      </c>
    </row>
    <row r="68" spans="2:11" x14ac:dyDescent="0.25">
      <c r="B68" s="38">
        <v>42780</v>
      </c>
      <c r="C68" s="36" t="s">
        <v>227</v>
      </c>
      <c r="D68" s="11"/>
      <c r="E68" s="11"/>
      <c r="F68" s="11"/>
      <c r="G68" s="11"/>
      <c r="H68" s="11">
        <v>84</v>
      </c>
      <c r="I68" s="15"/>
      <c r="J68" s="12">
        <f t="shared" si="4"/>
        <v>19776.080000000002</v>
      </c>
      <c r="K68" s="12">
        <f t="shared" si="5"/>
        <v>121640.92</v>
      </c>
    </row>
    <row r="69" spans="2:11" x14ac:dyDescent="0.25">
      <c r="B69" s="38">
        <v>42781</v>
      </c>
      <c r="C69" s="36" t="s">
        <v>228</v>
      </c>
      <c r="D69" s="11"/>
      <c r="E69" s="11"/>
      <c r="F69" s="11"/>
      <c r="G69" s="11"/>
      <c r="H69" s="11">
        <v>58</v>
      </c>
      <c r="I69" s="15"/>
      <c r="J69" s="12">
        <f t="shared" si="4"/>
        <v>19776.080000000002</v>
      </c>
      <c r="K69" s="12">
        <f t="shared" si="5"/>
        <v>121582.92</v>
      </c>
    </row>
    <row r="70" spans="2:11" x14ac:dyDescent="0.25">
      <c r="B70" s="38">
        <v>42781</v>
      </c>
      <c r="C70" s="35" t="s">
        <v>300</v>
      </c>
      <c r="D70" s="11"/>
      <c r="E70" s="11"/>
      <c r="F70" s="11"/>
      <c r="G70" s="11"/>
      <c r="H70" s="11">
        <v>15050</v>
      </c>
      <c r="I70" s="15"/>
      <c r="J70" s="12">
        <f t="shared" si="4"/>
        <v>19776.080000000002</v>
      </c>
      <c r="K70" s="12">
        <f t="shared" si="5"/>
        <v>106532.92</v>
      </c>
    </row>
    <row r="71" spans="2:11" x14ac:dyDescent="0.25">
      <c r="B71" s="37">
        <v>42781</v>
      </c>
      <c r="C71" s="36" t="s">
        <v>230</v>
      </c>
      <c r="D71" s="11"/>
      <c r="E71" s="11"/>
      <c r="F71" s="11"/>
      <c r="G71" s="11"/>
      <c r="H71" s="11">
        <v>4000</v>
      </c>
      <c r="I71" s="15"/>
      <c r="J71" s="12">
        <f t="shared" si="4"/>
        <v>19776.080000000002</v>
      </c>
      <c r="K71" s="12">
        <f t="shared" si="5"/>
        <v>102532.92</v>
      </c>
    </row>
    <row r="72" spans="2:11" x14ac:dyDescent="0.25">
      <c r="B72" s="18">
        <v>42781</v>
      </c>
      <c r="C72" s="34" t="s">
        <v>231</v>
      </c>
      <c r="D72" s="11"/>
      <c r="E72" s="11"/>
      <c r="F72" s="11"/>
      <c r="G72" s="11"/>
      <c r="H72" s="11">
        <v>450</v>
      </c>
      <c r="I72" s="15"/>
      <c r="J72" s="12">
        <f t="shared" si="4"/>
        <v>19776.080000000002</v>
      </c>
      <c r="K72" s="12">
        <f t="shared" si="5"/>
        <v>102082.92</v>
      </c>
    </row>
    <row r="73" spans="2:11" x14ac:dyDescent="0.25">
      <c r="B73" s="18">
        <v>42781</v>
      </c>
      <c r="C73" s="9" t="s">
        <v>232</v>
      </c>
      <c r="D73" s="11"/>
      <c r="E73" s="11"/>
      <c r="F73" s="11"/>
      <c r="G73" s="11"/>
      <c r="H73" s="11">
        <v>350</v>
      </c>
      <c r="I73" s="15"/>
      <c r="J73" s="12">
        <f t="shared" si="4"/>
        <v>19776.080000000002</v>
      </c>
      <c r="K73" s="12">
        <f t="shared" si="5"/>
        <v>101732.92</v>
      </c>
    </row>
    <row r="74" spans="2:11" x14ac:dyDescent="0.25">
      <c r="B74" s="39">
        <v>42782</v>
      </c>
      <c r="C74" s="36" t="s">
        <v>233</v>
      </c>
      <c r="D74" s="41"/>
      <c r="E74" s="11"/>
      <c r="F74" s="11"/>
      <c r="G74" s="11"/>
      <c r="H74" s="11">
        <v>85</v>
      </c>
      <c r="I74" s="15"/>
      <c r="J74" s="12">
        <f t="shared" si="4"/>
        <v>19776.080000000002</v>
      </c>
      <c r="K74" s="12">
        <f t="shared" si="5"/>
        <v>101647.92</v>
      </c>
    </row>
    <row r="75" spans="2:11" x14ac:dyDescent="0.25">
      <c r="B75" s="40">
        <v>42782</v>
      </c>
      <c r="C75" s="36" t="s">
        <v>236</v>
      </c>
      <c r="D75" s="41"/>
      <c r="E75" s="11"/>
      <c r="F75" s="11"/>
      <c r="G75" s="11"/>
      <c r="H75" s="11">
        <v>100</v>
      </c>
      <c r="I75" s="15"/>
      <c r="J75" s="12">
        <f t="shared" si="4"/>
        <v>19776.080000000002</v>
      </c>
      <c r="K75" s="12">
        <f t="shared" si="5"/>
        <v>101547.92</v>
      </c>
    </row>
    <row r="76" spans="2:11" x14ac:dyDescent="0.25">
      <c r="B76" s="40">
        <v>42782</v>
      </c>
      <c r="C76" s="36" t="s">
        <v>237</v>
      </c>
      <c r="D76" s="41"/>
      <c r="E76" s="11"/>
      <c r="F76" s="11"/>
      <c r="G76" s="11"/>
      <c r="H76" s="11">
        <v>300</v>
      </c>
      <c r="I76" s="15"/>
      <c r="J76" s="12">
        <f t="shared" si="4"/>
        <v>19776.080000000002</v>
      </c>
      <c r="K76" s="12">
        <f t="shared" si="5"/>
        <v>101247.92</v>
      </c>
    </row>
    <row r="77" spans="2:11" x14ac:dyDescent="0.25">
      <c r="B77" s="40">
        <v>42782</v>
      </c>
      <c r="C77" s="36" t="s">
        <v>40</v>
      </c>
      <c r="D77" s="41"/>
      <c r="E77" s="11"/>
      <c r="F77" s="11"/>
      <c r="G77" s="11"/>
      <c r="H77" s="11">
        <v>350</v>
      </c>
      <c r="I77" s="15"/>
      <c r="J77" s="12">
        <f t="shared" si="4"/>
        <v>19776.080000000002</v>
      </c>
      <c r="K77" s="12">
        <f t="shared" si="5"/>
        <v>100897.92</v>
      </c>
    </row>
    <row r="78" spans="2:11" x14ac:dyDescent="0.25">
      <c r="B78" s="40">
        <v>42782</v>
      </c>
      <c r="C78" s="36" t="s">
        <v>238</v>
      </c>
      <c r="D78" s="41"/>
      <c r="E78" s="11"/>
      <c r="F78" s="11"/>
      <c r="G78" s="11"/>
      <c r="H78" s="11">
        <v>400</v>
      </c>
      <c r="I78" s="15"/>
      <c r="J78" s="12">
        <f t="shared" si="4"/>
        <v>19776.080000000002</v>
      </c>
      <c r="K78" s="12">
        <f t="shared" si="5"/>
        <v>100497.92</v>
      </c>
    </row>
    <row r="79" spans="2:11" x14ac:dyDescent="0.25">
      <c r="B79" s="43">
        <v>42783</v>
      </c>
      <c r="C79" s="13" t="s">
        <v>239</v>
      </c>
      <c r="D79" s="41"/>
      <c r="E79" s="11"/>
      <c r="F79" s="11"/>
      <c r="G79" s="11"/>
      <c r="H79" s="11">
        <v>300</v>
      </c>
      <c r="I79" s="15"/>
      <c r="J79" s="12">
        <f t="shared" si="4"/>
        <v>19776.080000000002</v>
      </c>
      <c r="K79" s="12">
        <f t="shared" si="5"/>
        <v>100197.92</v>
      </c>
    </row>
    <row r="80" spans="2:11" x14ac:dyDescent="0.25">
      <c r="B80" s="43">
        <v>42783</v>
      </c>
      <c r="C80" s="13" t="s">
        <v>240</v>
      </c>
      <c r="D80" s="41"/>
      <c r="E80" s="11"/>
      <c r="F80" s="11"/>
      <c r="G80" s="11"/>
      <c r="H80" s="11">
        <v>500</v>
      </c>
      <c r="I80" s="15"/>
      <c r="J80" s="12">
        <f t="shared" si="4"/>
        <v>19776.080000000002</v>
      </c>
      <c r="K80" s="12">
        <f t="shared" si="5"/>
        <v>99697.919999999998</v>
      </c>
    </row>
    <row r="81" spans="2:11" x14ac:dyDescent="0.25">
      <c r="B81" s="43">
        <v>42783</v>
      </c>
      <c r="C81" s="13" t="s">
        <v>241</v>
      </c>
      <c r="D81" s="41"/>
      <c r="E81" s="11"/>
      <c r="F81" s="11"/>
      <c r="G81" s="11"/>
      <c r="H81" s="11">
        <v>312.2</v>
      </c>
      <c r="I81" s="15"/>
      <c r="J81" s="12">
        <f t="shared" si="4"/>
        <v>19776.080000000002</v>
      </c>
      <c r="K81" s="12">
        <f t="shared" si="5"/>
        <v>99385.72</v>
      </c>
    </row>
    <row r="82" spans="2:11" x14ac:dyDescent="0.25">
      <c r="B82" s="44">
        <v>42783</v>
      </c>
      <c r="C82" s="9" t="s">
        <v>242</v>
      </c>
      <c r="D82" s="102"/>
      <c r="E82" s="11"/>
      <c r="F82" s="11"/>
      <c r="G82" s="11"/>
      <c r="H82" s="11">
        <v>1000</v>
      </c>
      <c r="I82" s="15"/>
      <c r="J82" s="12">
        <f t="shared" si="4"/>
        <v>19776.080000000002</v>
      </c>
      <c r="K82" s="12">
        <f t="shared" si="5"/>
        <v>98385.72</v>
      </c>
    </row>
    <row r="83" spans="2:11" x14ac:dyDescent="0.25">
      <c r="B83" s="44">
        <v>42783</v>
      </c>
      <c r="C83" s="13" t="s">
        <v>243</v>
      </c>
      <c r="D83" s="41"/>
      <c r="E83" s="11"/>
      <c r="F83" s="11"/>
      <c r="G83" s="11"/>
      <c r="H83" s="11">
        <v>500</v>
      </c>
      <c r="I83" s="15"/>
      <c r="J83" s="12">
        <f t="shared" si="4"/>
        <v>19776.080000000002</v>
      </c>
      <c r="K83" s="12">
        <f t="shared" si="5"/>
        <v>97885.72</v>
      </c>
    </row>
    <row r="84" spans="2:11" x14ac:dyDescent="0.25">
      <c r="B84" s="44">
        <v>42783</v>
      </c>
      <c r="C84" s="13" t="s">
        <v>244</v>
      </c>
      <c r="D84" s="41"/>
      <c r="E84" s="11"/>
      <c r="F84" s="11"/>
      <c r="G84" s="11"/>
      <c r="H84" s="11">
        <v>12373.72</v>
      </c>
      <c r="I84" s="15"/>
      <c r="J84" s="12">
        <f t="shared" si="4"/>
        <v>19776.080000000002</v>
      </c>
      <c r="K84" s="12">
        <f t="shared" si="5"/>
        <v>85512</v>
      </c>
    </row>
    <row r="85" spans="2:11" x14ac:dyDescent="0.25">
      <c r="B85" s="44">
        <v>42783</v>
      </c>
      <c r="C85" s="13" t="s">
        <v>245</v>
      </c>
      <c r="D85" s="41"/>
      <c r="E85" s="11"/>
      <c r="F85" s="11"/>
      <c r="G85" s="11"/>
      <c r="H85" s="11">
        <v>150</v>
      </c>
      <c r="I85" s="15"/>
      <c r="J85" s="12">
        <f t="shared" si="4"/>
        <v>19776.080000000002</v>
      </c>
      <c r="K85" s="12">
        <f t="shared" si="5"/>
        <v>85362</v>
      </c>
    </row>
    <row r="86" spans="2:11" x14ac:dyDescent="0.25">
      <c r="B86" s="44">
        <v>42784</v>
      </c>
      <c r="C86" s="13" t="s">
        <v>246</v>
      </c>
      <c r="D86" s="41"/>
      <c r="E86" s="11"/>
      <c r="F86" s="11"/>
      <c r="G86" s="11"/>
      <c r="H86" s="11">
        <v>130</v>
      </c>
      <c r="I86" s="15"/>
      <c r="J86" s="12">
        <f t="shared" si="4"/>
        <v>19776.080000000002</v>
      </c>
      <c r="K86" s="12">
        <f t="shared" si="5"/>
        <v>85232</v>
      </c>
    </row>
    <row r="87" spans="2:11" x14ac:dyDescent="0.25">
      <c r="B87" s="44">
        <v>42784</v>
      </c>
      <c r="C87" s="13" t="s">
        <v>247</v>
      </c>
      <c r="D87" s="41"/>
      <c r="E87" s="41"/>
      <c r="F87" s="41"/>
      <c r="G87" s="16"/>
      <c r="H87" s="11">
        <v>400</v>
      </c>
      <c r="I87" s="15"/>
      <c r="J87" s="12">
        <f t="shared" si="4"/>
        <v>19776.080000000002</v>
      </c>
      <c r="K87" s="12">
        <f t="shared" si="5"/>
        <v>84832</v>
      </c>
    </row>
    <row r="88" spans="2:11" x14ac:dyDescent="0.25">
      <c r="B88" s="44">
        <v>42784</v>
      </c>
      <c r="C88" s="13" t="s">
        <v>248</v>
      </c>
      <c r="D88" s="41"/>
      <c r="E88" s="41"/>
      <c r="F88" s="41"/>
      <c r="G88" s="16"/>
      <c r="H88" s="11">
        <v>700</v>
      </c>
      <c r="I88" s="15"/>
      <c r="J88" s="12">
        <f t="shared" si="4"/>
        <v>19776.080000000002</v>
      </c>
      <c r="K88" s="12">
        <f t="shared" si="5"/>
        <v>84132</v>
      </c>
    </row>
    <row r="89" spans="2:11" x14ac:dyDescent="0.25">
      <c r="B89" s="44">
        <v>42784</v>
      </c>
      <c r="C89" s="13" t="s">
        <v>248</v>
      </c>
      <c r="D89" s="41"/>
      <c r="E89" s="41"/>
      <c r="F89" s="41"/>
      <c r="G89" s="16"/>
      <c r="H89" s="11">
        <v>700</v>
      </c>
      <c r="I89" s="15"/>
      <c r="J89" s="12">
        <f t="shared" si="4"/>
        <v>19776.080000000002</v>
      </c>
      <c r="K89" s="12">
        <f t="shared" si="5"/>
        <v>83432</v>
      </c>
    </row>
    <row r="90" spans="2:11" x14ac:dyDescent="0.25">
      <c r="B90" s="44">
        <v>42784</v>
      </c>
      <c r="C90" s="13" t="s">
        <v>249</v>
      </c>
      <c r="D90" s="41"/>
      <c r="E90" s="41"/>
      <c r="F90" s="41"/>
      <c r="G90" s="16"/>
      <c r="H90" s="11">
        <v>300</v>
      </c>
      <c r="I90" s="15"/>
      <c r="J90" s="12">
        <f t="shared" si="4"/>
        <v>19776.080000000002</v>
      </c>
      <c r="K90" s="12">
        <f t="shared" si="5"/>
        <v>83132</v>
      </c>
    </row>
    <row r="91" spans="2:11" x14ac:dyDescent="0.25">
      <c r="B91" s="44">
        <v>42785</v>
      </c>
      <c r="C91" s="13" t="s">
        <v>250</v>
      </c>
      <c r="D91" s="41"/>
      <c r="E91" s="41"/>
      <c r="F91" s="41"/>
      <c r="G91" s="41"/>
      <c r="H91" s="11">
        <v>142</v>
      </c>
      <c r="I91" s="15"/>
      <c r="J91" s="12">
        <f t="shared" si="4"/>
        <v>19776.080000000002</v>
      </c>
      <c r="K91" s="12">
        <f t="shared" si="5"/>
        <v>82990</v>
      </c>
    </row>
    <row r="92" spans="2:11" x14ac:dyDescent="0.25">
      <c r="B92" s="44">
        <v>42786</v>
      </c>
      <c r="C92" s="13" t="s">
        <v>251</v>
      </c>
      <c r="D92" s="41"/>
      <c r="E92" s="41"/>
      <c r="F92" s="41"/>
      <c r="G92" s="41"/>
      <c r="H92" s="11">
        <v>150</v>
      </c>
      <c r="I92" s="15"/>
      <c r="J92" s="12">
        <f t="shared" si="4"/>
        <v>19776.080000000002</v>
      </c>
      <c r="K92" s="12">
        <f t="shared" si="5"/>
        <v>82840</v>
      </c>
    </row>
    <row r="93" spans="2:11" x14ac:dyDescent="0.25">
      <c r="B93" s="44">
        <v>42786</v>
      </c>
      <c r="C93" s="13" t="s">
        <v>43</v>
      </c>
      <c r="D93" s="41"/>
      <c r="E93" s="11"/>
      <c r="F93" s="11"/>
      <c r="G93" s="11"/>
      <c r="H93" s="11">
        <v>120</v>
      </c>
      <c r="I93" s="15"/>
      <c r="J93" s="12">
        <f t="shared" si="4"/>
        <v>19776.080000000002</v>
      </c>
      <c r="K93" s="12">
        <f t="shared" si="5"/>
        <v>82720</v>
      </c>
    </row>
    <row r="94" spans="2:11" x14ac:dyDescent="0.25">
      <c r="B94" s="44">
        <v>42786</v>
      </c>
      <c r="C94" s="13" t="s">
        <v>252</v>
      </c>
      <c r="D94" s="41"/>
      <c r="E94" s="11"/>
      <c r="F94" s="11"/>
      <c r="G94" s="11"/>
      <c r="H94" s="11">
        <v>40</v>
      </c>
      <c r="I94" s="15"/>
      <c r="J94" s="12">
        <f t="shared" si="4"/>
        <v>19776.080000000002</v>
      </c>
      <c r="K94" s="12">
        <f t="shared" si="5"/>
        <v>82680</v>
      </c>
    </row>
    <row r="95" spans="2:11" x14ac:dyDescent="0.25">
      <c r="B95" s="44">
        <v>42786</v>
      </c>
      <c r="C95" s="13" t="s">
        <v>198</v>
      </c>
      <c r="D95" s="41"/>
      <c r="E95" s="11"/>
      <c r="F95" s="11"/>
      <c r="G95" s="11"/>
      <c r="H95" s="11">
        <v>310</v>
      </c>
      <c r="I95" s="15"/>
      <c r="J95" s="12">
        <f t="shared" si="4"/>
        <v>19776.080000000002</v>
      </c>
      <c r="K95" s="12">
        <f t="shared" si="5"/>
        <v>82370</v>
      </c>
    </row>
    <row r="96" spans="2:11" x14ac:dyDescent="0.25">
      <c r="B96" s="44">
        <v>42786</v>
      </c>
      <c r="C96" s="13" t="s">
        <v>253</v>
      </c>
      <c r="D96" s="41"/>
      <c r="E96" s="11"/>
      <c r="F96" s="11"/>
      <c r="G96" s="11"/>
      <c r="H96" s="11">
        <v>417.5</v>
      </c>
      <c r="I96" s="15"/>
      <c r="J96" s="12">
        <f t="shared" si="4"/>
        <v>19776.080000000002</v>
      </c>
      <c r="K96" s="12">
        <f t="shared" si="5"/>
        <v>81952.5</v>
      </c>
    </row>
    <row r="97" spans="2:12" x14ac:dyDescent="0.25">
      <c r="B97" s="44">
        <v>42786</v>
      </c>
      <c r="C97" s="13" t="s">
        <v>254</v>
      </c>
      <c r="D97" s="41"/>
      <c r="E97" s="11"/>
      <c r="F97" s="11"/>
      <c r="G97" s="11"/>
      <c r="H97" s="11">
        <v>100</v>
      </c>
      <c r="I97" s="15"/>
      <c r="J97" s="12">
        <f t="shared" si="4"/>
        <v>19776.080000000002</v>
      </c>
      <c r="K97" s="12">
        <f t="shared" si="5"/>
        <v>81852.5</v>
      </c>
    </row>
    <row r="98" spans="2:12" x14ac:dyDescent="0.25">
      <c r="B98" s="44">
        <v>42786</v>
      </c>
      <c r="C98" s="13" t="s">
        <v>255</v>
      </c>
      <c r="D98" s="41"/>
      <c r="E98" s="11"/>
      <c r="F98" s="11"/>
      <c r="G98" s="11"/>
      <c r="H98" s="11">
        <v>60</v>
      </c>
      <c r="I98" s="15"/>
      <c r="J98" s="12">
        <f t="shared" si="4"/>
        <v>19776.080000000002</v>
      </c>
      <c r="K98" s="12">
        <f t="shared" si="5"/>
        <v>81792.5</v>
      </c>
    </row>
    <row r="99" spans="2:12" x14ac:dyDescent="0.25">
      <c r="B99" s="44">
        <v>42786</v>
      </c>
      <c r="C99" s="13" t="s">
        <v>256</v>
      </c>
      <c r="D99" s="41"/>
      <c r="E99" s="11"/>
      <c r="F99" s="11"/>
      <c r="G99" s="11"/>
      <c r="H99" s="11">
        <v>37.5</v>
      </c>
      <c r="I99" s="15"/>
      <c r="J99" s="12">
        <f t="shared" si="4"/>
        <v>19776.080000000002</v>
      </c>
      <c r="K99" s="12">
        <f t="shared" si="5"/>
        <v>81755</v>
      </c>
    </row>
    <row r="100" spans="2:12" x14ac:dyDescent="0.25">
      <c r="B100" s="44">
        <v>42786</v>
      </c>
      <c r="C100" s="13" t="s">
        <v>257</v>
      </c>
      <c r="D100" s="41"/>
      <c r="E100" s="11"/>
      <c r="F100" s="11"/>
      <c r="G100" s="11"/>
      <c r="H100" s="11">
        <v>50</v>
      </c>
      <c r="I100" s="15"/>
      <c r="J100" s="12">
        <f t="shared" si="4"/>
        <v>19776.080000000002</v>
      </c>
      <c r="K100" s="12">
        <f t="shared" si="5"/>
        <v>81705</v>
      </c>
    </row>
    <row r="101" spans="2:12" x14ac:dyDescent="0.25">
      <c r="B101" s="44">
        <v>42786</v>
      </c>
      <c r="C101" s="13" t="s">
        <v>258</v>
      </c>
      <c r="D101" s="41">
        <v>29725</v>
      </c>
      <c r="E101" s="11"/>
      <c r="F101" s="11"/>
      <c r="G101" s="11"/>
      <c r="H101" s="11"/>
      <c r="I101" s="15"/>
      <c r="J101" s="12">
        <f t="shared" si="4"/>
        <v>19776.080000000002</v>
      </c>
      <c r="K101" s="12">
        <f t="shared" si="5"/>
        <v>111430</v>
      </c>
    </row>
    <row r="102" spans="2:12" x14ac:dyDescent="0.25">
      <c r="B102" s="27">
        <v>42787</v>
      </c>
      <c r="C102" s="103" t="s">
        <v>259</v>
      </c>
      <c r="D102" s="41"/>
      <c r="E102" s="11"/>
      <c r="F102" s="11"/>
      <c r="G102" s="11">
        <v>1300</v>
      </c>
      <c r="H102" s="11"/>
      <c r="I102" s="15"/>
      <c r="J102" s="12">
        <f t="shared" si="4"/>
        <v>18476.080000000002</v>
      </c>
      <c r="K102" s="12">
        <f t="shared" si="5"/>
        <v>111430</v>
      </c>
    </row>
    <row r="103" spans="2:12" x14ac:dyDescent="0.25">
      <c r="B103" s="27">
        <v>42787</v>
      </c>
      <c r="C103" s="35" t="s">
        <v>260</v>
      </c>
      <c r="D103" s="41"/>
      <c r="E103" s="11"/>
      <c r="F103" s="11"/>
      <c r="G103" s="11">
        <v>1760</v>
      </c>
      <c r="H103" s="11"/>
      <c r="I103" s="15"/>
      <c r="J103" s="12">
        <f t="shared" si="4"/>
        <v>16716.080000000002</v>
      </c>
      <c r="K103" s="12">
        <f t="shared" si="5"/>
        <v>111430</v>
      </c>
    </row>
    <row r="104" spans="2:12" x14ac:dyDescent="0.25">
      <c r="B104" s="27">
        <v>42788</v>
      </c>
      <c r="C104" s="13" t="s">
        <v>261</v>
      </c>
      <c r="D104" s="41"/>
      <c r="E104" s="11"/>
      <c r="F104" s="11"/>
      <c r="G104" s="11"/>
      <c r="H104" s="11">
        <v>510</v>
      </c>
      <c r="I104" s="15"/>
      <c r="J104" s="12">
        <f t="shared" si="4"/>
        <v>16716.080000000002</v>
      </c>
      <c r="K104" s="12">
        <f t="shared" si="5"/>
        <v>110920</v>
      </c>
    </row>
    <row r="105" spans="2:12" x14ac:dyDescent="0.25">
      <c r="B105" s="27">
        <v>42788</v>
      </c>
      <c r="C105" s="13" t="s">
        <v>262</v>
      </c>
      <c r="D105" s="41"/>
      <c r="E105" s="11"/>
      <c r="F105" s="11"/>
      <c r="G105" s="11"/>
      <c r="H105" s="11">
        <v>25</v>
      </c>
      <c r="I105" s="15"/>
      <c r="J105" s="12">
        <f t="shared" si="4"/>
        <v>16716.080000000002</v>
      </c>
      <c r="K105" s="12">
        <f t="shared" si="5"/>
        <v>110895</v>
      </c>
    </row>
    <row r="106" spans="2:12" x14ac:dyDescent="0.25">
      <c r="B106" s="27">
        <v>42788</v>
      </c>
      <c r="C106" s="13" t="s">
        <v>263</v>
      </c>
      <c r="D106" s="41"/>
      <c r="E106" s="11"/>
      <c r="F106" s="11"/>
      <c r="G106" s="11"/>
      <c r="H106" s="11">
        <v>270</v>
      </c>
      <c r="I106" s="15"/>
      <c r="J106" s="12">
        <f t="shared" si="4"/>
        <v>16716.080000000002</v>
      </c>
      <c r="K106" s="12">
        <f t="shared" si="5"/>
        <v>110625</v>
      </c>
      <c r="L106" s="1"/>
    </row>
    <row r="107" spans="2:12" x14ac:dyDescent="0.25">
      <c r="B107" s="27">
        <v>42788</v>
      </c>
      <c r="C107" s="13" t="s">
        <v>264</v>
      </c>
      <c r="D107" s="41"/>
      <c r="E107" s="11"/>
      <c r="F107" s="11"/>
      <c r="G107" s="11"/>
      <c r="H107" s="11">
        <v>580</v>
      </c>
      <c r="I107" s="15"/>
      <c r="J107" s="12">
        <f t="shared" si="4"/>
        <v>16716.080000000002</v>
      </c>
      <c r="K107" s="12">
        <f t="shared" si="5"/>
        <v>110045</v>
      </c>
    </row>
    <row r="108" spans="2:12" x14ac:dyDescent="0.25">
      <c r="B108" s="27">
        <v>42788</v>
      </c>
      <c r="C108" s="13" t="s">
        <v>265</v>
      </c>
      <c r="D108" s="41"/>
      <c r="E108" s="11"/>
      <c r="F108" s="11"/>
      <c r="G108" s="11"/>
      <c r="H108" s="11">
        <v>850</v>
      </c>
      <c r="I108" s="15"/>
      <c r="J108" s="12">
        <f t="shared" si="4"/>
        <v>16716.080000000002</v>
      </c>
      <c r="K108" s="12">
        <f t="shared" si="5"/>
        <v>109195</v>
      </c>
    </row>
    <row r="109" spans="2:12" ht="15.75" thickBot="1" x14ac:dyDescent="0.3">
      <c r="B109" s="27">
        <v>42789</v>
      </c>
      <c r="C109" s="9" t="s">
        <v>266</v>
      </c>
      <c r="D109" s="41"/>
      <c r="E109" s="11"/>
      <c r="F109" s="11"/>
      <c r="G109" s="11"/>
      <c r="H109" s="11">
        <v>400</v>
      </c>
      <c r="I109" s="15"/>
      <c r="J109" s="12">
        <f t="shared" si="4"/>
        <v>16716.080000000002</v>
      </c>
      <c r="K109" s="12">
        <f t="shared" si="5"/>
        <v>108795</v>
      </c>
    </row>
    <row r="110" spans="2:12" ht="15.75" thickBot="1" x14ac:dyDescent="0.3">
      <c r="B110" s="5"/>
      <c r="C110" s="7" t="s">
        <v>0</v>
      </c>
      <c r="D110" s="63">
        <f>SUM(D56:D109)</f>
        <v>85410</v>
      </c>
      <c r="E110" s="61">
        <f>SUM(E56:E109)</f>
        <v>0</v>
      </c>
      <c r="F110" s="72">
        <f>SUM(D110:E110)</f>
        <v>85410</v>
      </c>
      <c r="G110" s="81">
        <f>SUM(G58:G109)</f>
        <v>3060</v>
      </c>
      <c r="H110" s="99">
        <f>SUM(H58:H109)</f>
        <v>87331.79</v>
      </c>
      <c r="I110" s="72">
        <f>SUM(G110:H110)</f>
        <v>90391.79</v>
      </c>
      <c r="J110" s="20"/>
      <c r="K110" s="20"/>
    </row>
    <row r="111" spans="2:12" x14ac:dyDescent="0.25">
      <c r="B111" s="69" t="s">
        <v>1</v>
      </c>
      <c r="C111" s="69" t="s">
        <v>2</v>
      </c>
      <c r="D111" s="69" t="s">
        <v>3</v>
      </c>
      <c r="E111" s="69" t="s">
        <v>3</v>
      </c>
      <c r="F111" s="69" t="s">
        <v>23</v>
      </c>
      <c r="G111" s="69" t="s">
        <v>24</v>
      </c>
      <c r="H111" s="48" t="s">
        <v>24</v>
      </c>
      <c r="I111" s="48" t="s">
        <v>23</v>
      </c>
      <c r="J111" s="69" t="s">
        <v>9</v>
      </c>
      <c r="K111" s="48" t="s">
        <v>8</v>
      </c>
    </row>
    <row r="112" spans="2:12" ht="15.75" thickBot="1" x14ac:dyDescent="0.3">
      <c r="B112" s="70"/>
      <c r="C112" s="70"/>
      <c r="D112" s="70" t="s">
        <v>5</v>
      </c>
      <c r="E112" s="70" t="s">
        <v>25</v>
      </c>
      <c r="F112" s="70" t="s">
        <v>3</v>
      </c>
      <c r="G112" s="70" t="s">
        <v>25</v>
      </c>
      <c r="H112" s="71" t="s">
        <v>5</v>
      </c>
      <c r="I112" s="71" t="s">
        <v>4</v>
      </c>
      <c r="J112" s="70"/>
      <c r="K112" s="71"/>
    </row>
    <row r="113" spans="1:11" ht="15.75" thickBot="1" x14ac:dyDescent="0.3">
      <c r="B113" s="5"/>
      <c r="C113" s="7" t="s">
        <v>0</v>
      </c>
      <c r="D113" s="63">
        <v>85410</v>
      </c>
      <c r="E113" s="61">
        <v>0</v>
      </c>
      <c r="F113" s="72">
        <f>SUM(D113:E113)</f>
        <v>85410</v>
      </c>
      <c r="G113" s="81">
        <v>3060</v>
      </c>
      <c r="H113" s="63">
        <v>87331.79</v>
      </c>
      <c r="I113" s="72">
        <f>SUM(G113:H113)</f>
        <v>90391.79</v>
      </c>
      <c r="J113" s="19">
        <v>16716.080000000002</v>
      </c>
      <c r="K113" s="19">
        <v>108795</v>
      </c>
    </row>
    <row r="114" spans="1:11" x14ac:dyDescent="0.25">
      <c r="B114" s="27">
        <v>42789</v>
      </c>
      <c r="C114" s="13" t="s">
        <v>267</v>
      </c>
      <c r="D114" s="41"/>
      <c r="E114" s="11"/>
      <c r="F114" s="11"/>
      <c r="G114" s="11"/>
      <c r="H114" s="11">
        <v>44</v>
      </c>
      <c r="I114" s="15"/>
      <c r="J114" s="12">
        <f>+J113+E114-G114</f>
        <v>16716.080000000002</v>
      </c>
      <c r="K114" s="12">
        <f>+K113+D114-H114</f>
        <v>108751</v>
      </c>
    </row>
    <row r="115" spans="1:11" x14ac:dyDescent="0.25">
      <c r="B115" s="27">
        <v>42789</v>
      </c>
      <c r="C115" s="13" t="s">
        <v>268</v>
      </c>
      <c r="D115" s="41"/>
      <c r="E115" s="11"/>
      <c r="F115" s="11"/>
      <c r="G115" s="11"/>
      <c r="H115" s="11">
        <v>560</v>
      </c>
      <c r="I115" s="15"/>
      <c r="J115" s="12">
        <f t="shared" ref="J115:J131" si="6">+J114+E115-G115</f>
        <v>16716.080000000002</v>
      </c>
      <c r="K115" s="12">
        <f t="shared" ref="K115:K131" si="7">+K114+D115-H115</f>
        <v>108191</v>
      </c>
    </row>
    <row r="116" spans="1:11" x14ac:dyDescent="0.25">
      <c r="B116" s="27">
        <v>42789</v>
      </c>
      <c r="C116" s="13" t="s">
        <v>269</v>
      </c>
      <c r="D116" s="41"/>
      <c r="E116" s="11"/>
      <c r="F116" s="11"/>
      <c r="G116" s="11"/>
      <c r="H116" s="11">
        <v>470</v>
      </c>
      <c r="I116" s="15"/>
      <c r="J116" s="12">
        <f t="shared" si="6"/>
        <v>16716.080000000002</v>
      </c>
      <c r="K116" s="12">
        <f t="shared" si="7"/>
        <v>107721</v>
      </c>
    </row>
    <row r="117" spans="1:11" x14ac:dyDescent="0.25">
      <c r="B117" s="27">
        <v>42789</v>
      </c>
      <c r="C117" s="13" t="s">
        <v>270</v>
      </c>
      <c r="D117" s="41"/>
      <c r="E117" s="11"/>
      <c r="F117" s="11"/>
      <c r="G117" s="11"/>
      <c r="H117" s="11">
        <v>76</v>
      </c>
      <c r="I117" s="15"/>
      <c r="J117" s="12">
        <f t="shared" si="6"/>
        <v>16716.080000000002</v>
      </c>
      <c r="K117" s="12">
        <f t="shared" si="7"/>
        <v>107645</v>
      </c>
    </row>
    <row r="118" spans="1:11" x14ac:dyDescent="0.25">
      <c r="B118" s="27">
        <v>42789</v>
      </c>
      <c r="C118" s="13" t="s">
        <v>271</v>
      </c>
      <c r="D118" s="41"/>
      <c r="E118" s="11"/>
      <c r="F118" s="11"/>
      <c r="G118" s="11"/>
      <c r="H118" s="11">
        <v>340</v>
      </c>
      <c r="I118" s="15"/>
      <c r="J118" s="12">
        <f t="shared" si="6"/>
        <v>16716.080000000002</v>
      </c>
      <c r="K118" s="12">
        <f t="shared" si="7"/>
        <v>107305</v>
      </c>
    </row>
    <row r="119" spans="1:11" x14ac:dyDescent="0.25">
      <c r="B119" s="27">
        <v>42789</v>
      </c>
      <c r="C119" s="13" t="s">
        <v>272</v>
      </c>
      <c r="D119" s="41"/>
      <c r="E119" s="11"/>
      <c r="F119" s="11"/>
      <c r="G119" s="11"/>
      <c r="H119" s="11">
        <v>310</v>
      </c>
      <c r="I119" s="15"/>
      <c r="J119" s="12">
        <f t="shared" si="6"/>
        <v>16716.080000000002</v>
      </c>
      <c r="K119" s="12">
        <f t="shared" si="7"/>
        <v>106995</v>
      </c>
    </row>
    <row r="120" spans="1:11" x14ac:dyDescent="0.25">
      <c r="B120" s="27">
        <v>42789</v>
      </c>
      <c r="C120" s="13" t="s">
        <v>273</v>
      </c>
      <c r="D120" s="41"/>
      <c r="E120" s="11"/>
      <c r="F120" s="11"/>
      <c r="G120" s="11"/>
      <c r="H120" s="11">
        <v>310</v>
      </c>
      <c r="I120" s="15"/>
      <c r="J120" s="12">
        <f t="shared" si="6"/>
        <v>16716.080000000002</v>
      </c>
      <c r="K120" s="12">
        <f t="shared" si="7"/>
        <v>106685</v>
      </c>
    </row>
    <row r="121" spans="1:11" x14ac:dyDescent="0.25">
      <c r="B121" s="18">
        <v>42789</v>
      </c>
      <c r="C121" s="13" t="s">
        <v>274</v>
      </c>
      <c r="D121" s="41"/>
      <c r="E121" s="11"/>
      <c r="F121" s="11"/>
      <c r="G121" s="11"/>
      <c r="H121" s="11">
        <v>350</v>
      </c>
      <c r="I121" s="15"/>
      <c r="J121" s="12">
        <f t="shared" si="6"/>
        <v>16716.080000000002</v>
      </c>
      <c r="K121" s="12">
        <f t="shared" si="7"/>
        <v>106335</v>
      </c>
    </row>
    <row r="122" spans="1:11" x14ac:dyDescent="0.25">
      <c r="B122" s="18">
        <v>42789</v>
      </c>
      <c r="C122" s="13" t="s">
        <v>275</v>
      </c>
      <c r="D122" s="41"/>
      <c r="E122" s="11"/>
      <c r="F122" s="11"/>
      <c r="G122" s="11"/>
      <c r="H122" s="11">
        <v>200</v>
      </c>
      <c r="I122" s="15"/>
      <c r="J122" s="12">
        <f t="shared" si="6"/>
        <v>16716.080000000002</v>
      </c>
      <c r="K122" s="12">
        <f t="shared" si="7"/>
        <v>106135</v>
      </c>
    </row>
    <row r="123" spans="1:11" x14ac:dyDescent="0.25">
      <c r="B123" s="18">
        <v>42789</v>
      </c>
      <c r="C123" s="13" t="s">
        <v>276</v>
      </c>
      <c r="D123" s="41"/>
      <c r="E123" s="11"/>
      <c r="F123" s="11"/>
      <c r="G123" s="11"/>
      <c r="H123" s="11">
        <v>326</v>
      </c>
      <c r="I123" s="15"/>
      <c r="J123" s="12">
        <f t="shared" si="6"/>
        <v>16716.080000000002</v>
      </c>
      <c r="K123" s="12">
        <f t="shared" si="7"/>
        <v>105809</v>
      </c>
    </row>
    <row r="124" spans="1:11" x14ac:dyDescent="0.25">
      <c r="B124" s="18">
        <v>42790</v>
      </c>
      <c r="C124" s="13" t="s">
        <v>277</v>
      </c>
      <c r="D124" s="41"/>
      <c r="E124" s="11"/>
      <c r="F124" s="11"/>
      <c r="G124" s="11"/>
      <c r="H124" s="11">
        <v>1200</v>
      </c>
      <c r="I124" s="15"/>
      <c r="J124" s="12">
        <f t="shared" si="6"/>
        <v>16716.080000000002</v>
      </c>
      <c r="K124" s="12">
        <f t="shared" si="7"/>
        <v>104609</v>
      </c>
    </row>
    <row r="125" spans="1:11" x14ac:dyDescent="0.25">
      <c r="A125" s="104"/>
      <c r="B125" s="18">
        <v>42790</v>
      </c>
      <c r="C125" s="13" t="s">
        <v>278</v>
      </c>
      <c r="D125" s="41"/>
      <c r="E125" s="11"/>
      <c r="F125" s="11"/>
      <c r="G125" s="11"/>
      <c r="H125" s="11">
        <v>200</v>
      </c>
      <c r="I125" s="15"/>
      <c r="J125" s="12">
        <f t="shared" si="6"/>
        <v>16716.080000000002</v>
      </c>
      <c r="K125" s="12">
        <f t="shared" si="7"/>
        <v>104409</v>
      </c>
    </row>
    <row r="126" spans="1:11" x14ac:dyDescent="0.25">
      <c r="B126" s="18">
        <v>42790</v>
      </c>
      <c r="C126" s="13" t="s">
        <v>279</v>
      </c>
      <c r="D126" s="41"/>
      <c r="E126" s="11"/>
      <c r="F126" s="11"/>
      <c r="G126" s="11"/>
      <c r="H126" s="11">
        <v>315</v>
      </c>
      <c r="I126" s="15"/>
      <c r="J126" s="12">
        <f t="shared" si="6"/>
        <v>16716.080000000002</v>
      </c>
      <c r="K126" s="12">
        <f t="shared" si="7"/>
        <v>104094</v>
      </c>
    </row>
    <row r="127" spans="1:11" x14ac:dyDescent="0.25">
      <c r="B127" s="18">
        <v>42790</v>
      </c>
      <c r="C127" s="13" t="s">
        <v>280</v>
      </c>
      <c r="D127" s="41"/>
      <c r="E127" s="11"/>
      <c r="F127" s="11"/>
      <c r="G127" s="11"/>
      <c r="H127" s="11">
        <v>985</v>
      </c>
      <c r="I127" s="15"/>
      <c r="J127" s="12">
        <f t="shared" si="6"/>
        <v>16716.080000000002</v>
      </c>
      <c r="K127" s="12">
        <f t="shared" si="7"/>
        <v>103109</v>
      </c>
    </row>
    <row r="128" spans="1:11" x14ac:dyDescent="0.25">
      <c r="B128" s="18">
        <v>42790</v>
      </c>
      <c r="C128" s="13" t="s">
        <v>281</v>
      </c>
      <c r="D128" s="41"/>
      <c r="E128" s="11"/>
      <c r="F128" s="11"/>
      <c r="G128" s="11"/>
      <c r="H128" s="11">
        <v>200</v>
      </c>
      <c r="I128" s="15"/>
      <c r="J128" s="12">
        <f t="shared" si="6"/>
        <v>16716.080000000002</v>
      </c>
      <c r="K128" s="12">
        <f t="shared" si="7"/>
        <v>102909</v>
      </c>
    </row>
    <row r="129" spans="2:11" x14ac:dyDescent="0.25">
      <c r="B129" s="18">
        <v>42790</v>
      </c>
      <c r="C129" s="13" t="s">
        <v>282</v>
      </c>
      <c r="D129" s="41"/>
      <c r="E129" s="41"/>
      <c r="F129" s="41"/>
      <c r="G129" s="41"/>
      <c r="H129" s="11">
        <v>190</v>
      </c>
      <c r="I129" s="15"/>
      <c r="J129" s="12">
        <f t="shared" si="6"/>
        <v>16716.080000000002</v>
      </c>
      <c r="K129" s="12">
        <f t="shared" si="7"/>
        <v>102719</v>
      </c>
    </row>
    <row r="130" spans="2:11" x14ac:dyDescent="0.25">
      <c r="B130" s="18">
        <v>42790</v>
      </c>
      <c r="C130" s="13" t="s">
        <v>283</v>
      </c>
      <c r="D130" s="41"/>
      <c r="E130" s="41"/>
      <c r="F130" s="41"/>
      <c r="G130" s="16"/>
      <c r="H130" s="11">
        <v>1000</v>
      </c>
      <c r="I130" s="15"/>
      <c r="J130" s="12">
        <f t="shared" si="6"/>
        <v>16716.080000000002</v>
      </c>
      <c r="K130" s="12">
        <f t="shared" si="7"/>
        <v>101719</v>
      </c>
    </row>
    <row r="131" spans="2:11" x14ac:dyDescent="0.25">
      <c r="B131" s="18">
        <v>42790</v>
      </c>
      <c r="C131" s="13" t="s">
        <v>39</v>
      </c>
      <c r="D131" s="41"/>
      <c r="E131" s="41"/>
      <c r="F131" s="41"/>
      <c r="G131" s="41"/>
      <c r="H131" s="11">
        <v>240</v>
      </c>
      <c r="I131" s="15"/>
      <c r="J131" s="12">
        <f t="shared" si="6"/>
        <v>16716.080000000002</v>
      </c>
      <c r="K131" s="12">
        <f t="shared" si="7"/>
        <v>101479</v>
      </c>
    </row>
    <row r="132" spans="2:11" x14ac:dyDescent="0.25">
      <c r="B132" s="18">
        <v>42790</v>
      </c>
      <c r="C132" s="13" t="s">
        <v>284</v>
      </c>
      <c r="D132" s="41"/>
      <c r="E132" s="41"/>
      <c r="F132" s="41"/>
      <c r="G132" s="41"/>
      <c r="H132" s="11">
        <v>120</v>
      </c>
      <c r="I132" s="15"/>
      <c r="J132" s="12">
        <f t="shared" ref="J132:J138" si="8">+J131+E132-G132</f>
        <v>16716.080000000002</v>
      </c>
      <c r="K132" s="12">
        <f t="shared" ref="K132:K139" si="9">+K131+D132-H132</f>
        <v>101359</v>
      </c>
    </row>
    <row r="133" spans="2:11" x14ac:dyDescent="0.25">
      <c r="B133" s="18">
        <v>42791</v>
      </c>
      <c r="C133" s="13" t="s">
        <v>285</v>
      </c>
      <c r="D133" s="41"/>
      <c r="E133" s="41"/>
      <c r="F133" s="41"/>
      <c r="G133" s="41"/>
      <c r="H133" s="11">
        <v>500</v>
      </c>
      <c r="I133" s="15"/>
      <c r="J133" s="12">
        <f t="shared" si="8"/>
        <v>16716.080000000002</v>
      </c>
      <c r="K133" s="12">
        <f t="shared" si="9"/>
        <v>100859</v>
      </c>
    </row>
    <row r="134" spans="2:11" x14ac:dyDescent="0.25">
      <c r="B134" s="18">
        <v>42791</v>
      </c>
      <c r="C134" s="13" t="s">
        <v>286</v>
      </c>
      <c r="D134" s="41"/>
      <c r="E134" s="41"/>
      <c r="F134" s="41"/>
      <c r="G134" s="41"/>
      <c r="H134" s="11">
        <v>200</v>
      </c>
      <c r="I134" s="15"/>
      <c r="J134" s="12">
        <f t="shared" si="8"/>
        <v>16716.080000000002</v>
      </c>
      <c r="K134" s="12">
        <f t="shared" si="9"/>
        <v>100659</v>
      </c>
    </row>
    <row r="135" spans="2:11" x14ac:dyDescent="0.25">
      <c r="B135" s="18">
        <v>42791</v>
      </c>
      <c r="C135" s="13" t="s">
        <v>287</v>
      </c>
      <c r="D135" s="41"/>
      <c r="E135" s="41"/>
      <c r="F135" s="41"/>
      <c r="G135" s="41"/>
      <c r="H135" s="11">
        <v>78</v>
      </c>
      <c r="I135" s="15"/>
      <c r="J135" s="12">
        <f t="shared" si="8"/>
        <v>16716.080000000002</v>
      </c>
      <c r="K135" s="12">
        <f t="shared" si="9"/>
        <v>100581</v>
      </c>
    </row>
    <row r="136" spans="2:11" x14ac:dyDescent="0.25">
      <c r="B136" s="18">
        <v>42792</v>
      </c>
      <c r="C136" s="13" t="s">
        <v>196</v>
      </c>
      <c r="D136" s="41"/>
      <c r="E136" s="41"/>
      <c r="F136" s="41"/>
      <c r="G136" s="41"/>
      <c r="H136" s="11">
        <v>164</v>
      </c>
      <c r="I136" s="15"/>
      <c r="J136" s="12">
        <f t="shared" si="8"/>
        <v>16716.080000000002</v>
      </c>
      <c r="K136" s="12">
        <f t="shared" si="9"/>
        <v>100417</v>
      </c>
    </row>
    <row r="137" spans="2:11" x14ac:dyDescent="0.25">
      <c r="B137" s="18">
        <v>42792</v>
      </c>
      <c r="C137" s="13" t="s">
        <v>288</v>
      </c>
      <c r="D137" s="41"/>
      <c r="E137" s="41"/>
      <c r="F137" s="41"/>
      <c r="G137" s="41"/>
      <c r="H137" s="11">
        <v>120</v>
      </c>
      <c r="I137" s="15"/>
      <c r="J137" s="12">
        <f t="shared" si="8"/>
        <v>16716.080000000002</v>
      </c>
      <c r="K137" s="12">
        <f t="shared" si="9"/>
        <v>100297</v>
      </c>
    </row>
    <row r="138" spans="2:11" x14ac:dyDescent="0.25">
      <c r="B138" s="18">
        <v>42792</v>
      </c>
      <c r="C138" s="13" t="s">
        <v>289</v>
      </c>
      <c r="D138" s="41"/>
      <c r="E138" s="41"/>
      <c r="F138" s="41"/>
      <c r="G138" s="41"/>
      <c r="H138" s="11">
        <v>150</v>
      </c>
      <c r="I138" s="15"/>
      <c r="J138" s="12">
        <f t="shared" si="8"/>
        <v>16716.080000000002</v>
      </c>
      <c r="K138" s="12">
        <f t="shared" si="9"/>
        <v>100147</v>
      </c>
    </row>
    <row r="139" spans="2:11" x14ac:dyDescent="0.25">
      <c r="B139" s="18">
        <v>42792</v>
      </c>
      <c r="C139" s="13" t="s">
        <v>290</v>
      </c>
      <c r="D139" s="41"/>
      <c r="E139" s="41"/>
      <c r="F139" s="41"/>
      <c r="G139" s="41"/>
      <c r="H139" s="11">
        <v>200</v>
      </c>
      <c r="I139" s="15"/>
      <c r="J139" s="12">
        <f>+J138+E139-G139</f>
        <v>16716.080000000002</v>
      </c>
      <c r="K139" s="12">
        <f t="shared" si="9"/>
        <v>99947</v>
      </c>
    </row>
    <row r="140" spans="2:11" x14ac:dyDescent="0.25">
      <c r="B140" s="27">
        <v>42793</v>
      </c>
      <c r="C140" s="13" t="s">
        <v>291</v>
      </c>
      <c r="D140" s="41"/>
      <c r="E140" s="11"/>
      <c r="F140" s="11"/>
      <c r="G140" s="11"/>
      <c r="H140" s="11">
        <v>310</v>
      </c>
      <c r="I140" s="15"/>
      <c r="J140" s="12">
        <f t="shared" ref="J140:J157" si="10">+J139+E140-G140</f>
        <v>16716.080000000002</v>
      </c>
      <c r="K140" s="12">
        <f t="shared" ref="K140:K157" si="11">+K139+D140-H140</f>
        <v>99637</v>
      </c>
    </row>
    <row r="141" spans="2:11" x14ac:dyDescent="0.25">
      <c r="B141" s="27">
        <v>42793</v>
      </c>
      <c r="C141" s="13" t="s">
        <v>292</v>
      </c>
      <c r="D141" s="41"/>
      <c r="E141" s="11"/>
      <c r="F141" s="11"/>
      <c r="G141" s="11"/>
      <c r="H141" s="11">
        <v>25</v>
      </c>
      <c r="I141" s="15"/>
      <c r="J141" s="12">
        <f t="shared" si="10"/>
        <v>16716.080000000002</v>
      </c>
      <c r="K141" s="12">
        <f t="shared" si="11"/>
        <v>99612</v>
      </c>
    </row>
    <row r="142" spans="2:11" x14ac:dyDescent="0.25">
      <c r="B142" s="27">
        <v>42793</v>
      </c>
      <c r="C142" s="13" t="s">
        <v>293</v>
      </c>
      <c r="D142" s="41">
        <v>21025</v>
      </c>
      <c r="E142" s="11"/>
      <c r="F142" s="11"/>
      <c r="G142" s="11"/>
      <c r="H142" s="11"/>
      <c r="I142" s="15"/>
      <c r="J142" s="12">
        <f t="shared" si="10"/>
        <v>16716.080000000002</v>
      </c>
      <c r="K142" s="12">
        <f t="shared" si="11"/>
        <v>120637</v>
      </c>
    </row>
    <row r="143" spans="2:11" x14ac:dyDescent="0.25">
      <c r="B143" s="27">
        <v>42793</v>
      </c>
      <c r="C143" s="13" t="s">
        <v>294</v>
      </c>
      <c r="D143" s="41">
        <v>3700</v>
      </c>
      <c r="E143" s="11"/>
      <c r="F143" s="11"/>
      <c r="G143" s="11"/>
      <c r="H143" s="11"/>
      <c r="I143" s="15"/>
      <c r="J143" s="12">
        <f t="shared" si="10"/>
        <v>16716.080000000002</v>
      </c>
      <c r="K143" s="12">
        <f t="shared" si="11"/>
        <v>124337</v>
      </c>
    </row>
    <row r="144" spans="2:11" x14ac:dyDescent="0.25">
      <c r="B144" s="27">
        <v>42794</v>
      </c>
      <c r="C144" s="13" t="s">
        <v>295</v>
      </c>
      <c r="D144" s="41">
        <v>200</v>
      </c>
      <c r="E144" s="11"/>
      <c r="F144" s="11"/>
      <c r="G144" s="11"/>
      <c r="H144" s="11"/>
      <c r="I144" s="15"/>
      <c r="J144" s="12">
        <f t="shared" si="10"/>
        <v>16716.080000000002</v>
      </c>
      <c r="K144" s="12">
        <f t="shared" si="11"/>
        <v>124537</v>
      </c>
    </row>
    <row r="145" spans="2:11" x14ac:dyDescent="0.25">
      <c r="B145" s="27">
        <v>42794</v>
      </c>
      <c r="C145" s="13" t="s">
        <v>296</v>
      </c>
      <c r="D145" s="41"/>
      <c r="E145" s="11"/>
      <c r="F145" s="11"/>
      <c r="G145" s="11"/>
      <c r="H145" s="11">
        <v>300</v>
      </c>
      <c r="I145" s="15"/>
      <c r="J145" s="12">
        <f t="shared" si="10"/>
        <v>16716.080000000002</v>
      </c>
      <c r="K145" s="12">
        <f t="shared" si="11"/>
        <v>124237</v>
      </c>
    </row>
    <row r="146" spans="2:11" x14ac:dyDescent="0.25">
      <c r="B146" s="27">
        <v>42794</v>
      </c>
      <c r="C146" s="13" t="s">
        <v>297</v>
      </c>
      <c r="D146" s="41"/>
      <c r="E146" s="11"/>
      <c r="F146" s="11"/>
      <c r="G146" s="11"/>
      <c r="H146" s="11">
        <v>450</v>
      </c>
      <c r="I146" s="15"/>
      <c r="J146" s="12">
        <f t="shared" si="10"/>
        <v>16716.080000000002</v>
      </c>
      <c r="K146" s="12">
        <f t="shared" si="11"/>
        <v>123787</v>
      </c>
    </row>
    <row r="147" spans="2:11" x14ac:dyDescent="0.25">
      <c r="B147" s="27">
        <v>42794</v>
      </c>
      <c r="C147" s="13" t="s">
        <v>298</v>
      </c>
      <c r="D147" s="41"/>
      <c r="E147" s="11"/>
      <c r="F147" s="11"/>
      <c r="G147" s="11"/>
      <c r="H147" s="11">
        <v>4000</v>
      </c>
      <c r="I147" s="15"/>
      <c r="J147" s="12">
        <f t="shared" si="10"/>
        <v>16716.080000000002</v>
      </c>
      <c r="K147" s="12">
        <f t="shared" si="11"/>
        <v>119787</v>
      </c>
    </row>
    <row r="148" spans="2:11" x14ac:dyDescent="0.25">
      <c r="B148" s="18">
        <v>42794</v>
      </c>
      <c r="C148" s="35" t="s">
        <v>299</v>
      </c>
      <c r="D148" s="41"/>
      <c r="E148" s="11"/>
      <c r="F148" s="11"/>
      <c r="G148" s="11"/>
      <c r="H148" s="11">
        <v>30100</v>
      </c>
      <c r="I148" s="15"/>
      <c r="J148" s="12">
        <f t="shared" si="10"/>
        <v>16716.080000000002</v>
      </c>
      <c r="K148" s="12">
        <f t="shared" si="11"/>
        <v>89687</v>
      </c>
    </row>
    <row r="149" spans="2:11" x14ac:dyDescent="0.25">
      <c r="B149" s="18">
        <v>42794</v>
      </c>
      <c r="C149" s="13" t="s">
        <v>301</v>
      </c>
      <c r="D149" s="41"/>
      <c r="E149" s="11"/>
      <c r="F149" s="11"/>
      <c r="G149" s="11"/>
      <c r="H149" s="11">
        <v>400</v>
      </c>
      <c r="I149" s="15"/>
      <c r="J149" s="12">
        <f t="shared" si="10"/>
        <v>16716.080000000002</v>
      </c>
      <c r="K149" s="12">
        <f t="shared" si="11"/>
        <v>89287</v>
      </c>
    </row>
    <row r="150" spans="2:11" x14ac:dyDescent="0.25">
      <c r="B150" s="18">
        <v>42794</v>
      </c>
      <c r="C150" s="13" t="s">
        <v>302</v>
      </c>
      <c r="D150" s="41"/>
      <c r="E150" s="11"/>
      <c r="F150" s="11"/>
      <c r="G150" s="11"/>
      <c r="H150" s="11">
        <v>1646.2</v>
      </c>
      <c r="I150" s="15"/>
      <c r="J150" s="12">
        <f t="shared" si="10"/>
        <v>16716.080000000002</v>
      </c>
      <c r="K150" s="12">
        <f t="shared" si="11"/>
        <v>87640.8</v>
      </c>
    </row>
    <row r="151" spans="2:11" x14ac:dyDescent="0.25">
      <c r="B151" s="18">
        <v>42794</v>
      </c>
      <c r="C151" s="13" t="s">
        <v>303</v>
      </c>
      <c r="D151" s="41"/>
      <c r="E151" s="11"/>
      <c r="F151" s="11"/>
      <c r="G151" s="11"/>
      <c r="H151" s="11">
        <v>3700</v>
      </c>
      <c r="I151" s="15"/>
      <c r="J151" s="12">
        <f t="shared" si="10"/>
        <v>16716.080000000002</v>
      </c>
      <c r="K151" s="12">
        <f t="shared" si="11"/>
        <v>83940.800000000003</v>
      </c>
    </row>
    <row r="152" spans="2:11" x14ac:dyDescent="0.25">
      <c r="B152" s="18">
        <v>42770</v>
      </c>
      <c r="C152" s="13" t="s">
        <v>304</v>
      </c>
      <c r="D152" s="41"/>
      <c r="E152" s="11">
        <v>300.45999999999998</v>
      </c>
      <c r="F152" s="11"/>
      <c r="G152" s="11"/>
      <c r="H152" s="11"/>
      <c r="I152" s="15"/>
      <c r="J152" s="12">
        <f t="shared" si="10"/>
        <v>17016.54</v>
      </c>
      <c r="K152" s="12">
        <f t="shared" si="11"/>
        <v>83940.800000000003</v>
      </c>
    </row>
    <row r="153" spans="2:11" x14ac:dyDescent="0.25">
      <c r="B153" s="18">
        <v>42775</v>
      </c>
      <c r="C153" s="13" t="s">
        <v>305</v>
      </c>
      <c r="D153" s="41"/>
      <c r="E153" s="11">
        <v>1200.29</v>
      </c>
      <c r="F153" s="11"/>
      <c r="G153" s="11"/>
      <c r="H153" s="11"/>
      <c r="I153" s="15"/>
      <c r="J153" s="12">
        <f t="shared" si="10"/>
        <v>18216.830000000002</v>
      </c>
      <c r="K153" s="12">
        <f t="shared" si="11"/>
        <v>83940.800000000003</v>
      </c>
    </row>
    <row r="154" spans="2:11" x14ac:dyDescent="0.25">
      <c r="B154" s="18">
        <v>42793</v>
      </c>
      <c r="C154" s="13" t="s">
        <v>306</v>
      </c>
      <c r="D154" s="41"/>
      <c r="E154" s="11">
        <v>12760</v>
      </c>
      <c r="F154" s="11"/>
      <c r="G154" s="11"/>
      <c r="H154" s="11"/>
      <c r="I154" s="15"/>
      <c r="J154" s="12">
        <f t="shared" si="10"/>
        <v>30976.83</v>
      </c>
      <c r="K154" s="12">
        <f t="shared" si="11"/>
        <v>83940.800000000003</v>
      </c>
    </row>
    <row r="155" spans="2:11" x14ac:dyDescent="0.25">
      <c r="B155" s="18">
        <v>42794</v>
      </c>
      <c r="C155" s="13" t="s">
        <v>170</v>
      </c>
      <c r="D155" s="41"/>
      <c r="E155" s="11"/>
      <c r="F155" s="11"/>
      <c r="G155" s="11">
        <v>28</v>
      </c>
      <c r="H155" s="11"/>
      <c r="I155" s="15"/>
      <c r="J155" s="12">
        <f t="shared" si="10"/>
        <v>30948.83</v>
      </c>
      <c r="K155" s="12">
        <f t="shared" si="11"/>
        <v>83940.800000000003</v>
      </c>
    </row>
    <row r="156" spans="2:11" x14ac:dyDescent="0.25">
      <c r="B156" s="18">
        <v>42794</v>
      </c>
      <c r="C156" s="13" t="s">
        <v>171</v>
      </c>
      <c r="D156" s="41"/>
      <c r="E156" s="41"/>
      <c r="F156" s="41"/>
      <c r="G156" s="16">
        <v>4.4800000000000004</v>
      </c>
      <c r="H156" s="11"/>
      <c r="I156" s="15"/>
      <c r="J156" s="12">
        <f t="shared" si="10"/>
        <v>30944.350000000002</v>
      </c>
      <c r="K156" s="12">
        <f t="shared" si="11"/>
        <v>83940.800000000003</v>
      </c>
    </row>
    <row r="157" spans="2:11" ht="15.75" thickBot="1" x14ac:dyDescent="0.3">
      <c r="B157" s="18"/>
      <c r="C157" s="13"/>
      <c r="D157" s="41"/>
      <c r="E157" s="41"/>
      <c r="F157" s="41"/>
      <c r="G157" s="16"/>
      <c r="H157" s="11"/>
      <c r="I157" s="15"/>
      <c r="J157" s="12">
        <f t="shared" si="10"/>
        <v>30944.350000000002</v>
      </c>
      <c r="K157" s="12">
        <f t="shared" si="11"/>
        <v>83940.800000000003</v>
      </c>
    </row>
    <row r="158" spans="2:11" ht="15.75" thickBot="1" x14ac:dyDescent="0.3">
      <c r="B158" s="5"/>
      <c r="C158" s="7" t="s">
        <v>0</v>
      </c>
      <c r="D158" s="63">
        <f>SUM(D113:D157)</f>
        <v>110335</v>
      </c>
      <c r="E158" s="61">
        <f>SUM(E113:E157)</f>
        <v>14260.75</v>
      </c>
      <c r="F158" s="72">
        <f>SUM(D158:E158)</f>
        <v>124595.75</v>
      </c>
      <c r="G158" s="81">
        <f>SUM(G113:G157)</f>
        <v>3092.48</v>
      </c>
      <c r="H158" s="63">
        <f>SUM(H113:H157)</f>
        <v>137110.99</v>
      </c>
      <c r="I158" s="72">
        <f>SUM(G158:H158)</f>
        <v>140203.47</v>
      </c>
      <c r="J158" s="19"/>
      <c r="K158" s="19"/>
    </row>
    <row r="159" spans="2:11" ht="15.75" thickBot="1" x14ac:dyDescent="0.3"/>
    <row r="160" spans="2:11" ht="15.75" thickBot="1" x14ac:dyDescent="0.3">
      <c r="I160" s="75" t="s">
        <v>9</v>
      </c>
      <c r="J160" s="75" t="s">
        <v>8</v>
      </c>
      <c r="K160" s="96" t="s">
        <v>0</v>
      </c>
    </row>
    <row r="161" spans="9:11" ht="15.75" thickBot="1" x14ac:dyDescent="0.3">
      <c r="I161" s="78">
        <v>30944.35</v>
      </c>
      <c r="J161" s="78">
        <v>83940.800000000003</v>
      </c>
      <c r="K161" s="20">
        <f>SUM(I161:J161)</f>
        <v>114885.15</v>
      </c>
    </row>
  </sheetData>
  <printOptions verticalCentered="1"/>
  <pageMargins left="0.70866141732283472" right="0" top="0.39370078740157483" bottom="0" header="0.31496062992125984" footer="0.31496062992125984"/>
  <pageSetup paperSize="9" scale="69" fitToHeight="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pageSetUpPr fitToPage="1"/>
  </sheetPr>
  <dimension ref="B1:N184"/>
  <sheetViews>
    <sheetView zoomScale="90" zoomScaleNormal="90" workbookViewId="0">
      <pane ySplit="4" topLeftCell="A167" activePane="bottomLeft" state="frozen"/>
      <selection activeCell="B1" sqref="B1"/>
      <selection pane="bottomLeft" activeCell="C177" sqref="C177"/>
    </sheetView>
  </sheetViews>
  <sheetFormatPr baseColWidth="10" defaultRowHeight="15" x14ac:dyDescent="0.25"/>
  <cols>
    <col min="1" max="1" width="10.7109375" customWidth="1"/>
    <col min="2" max="2" width="11.7109375" customWidth="1"/>
    <col min="3" max="3" width="85" customWidth="1"/>
    <col min="4" max="11" width="11.7109375" customWidth="1"/>
  </cols>
  <sheetData>
    <row r="1" spans="2:11" ht="15.75" x14ac:dyDescent="0.25">
      <c r="B1" s="28">
        <v>42825</v>
      </c>
      <c r="J1" s="73" t="s">
        <v>26</v>
      </c>
      <c r="K1" s="46"/>
    </row>
    <row r="2" spans="2:11" ht="15.75" thickBot="1" x14ac:dyDescent="0.3">
      <c r="B2" s="131" t="s">
        <v>172</v>
      </c>
      <c r="C2" s="131"/>
      <c r="D2" s="131"/>
      <c r="E2" s="131"/>
      <c r="F2" s="131"/>
      <c r="G2" s="131"/>
      <c r="H2" s="131"/>
      <c r="I2" s="131"/>
      <c r="J2" s="131"/>
      <c r="K2" s="131"/>
    </row>
    <row r="3" spans="2:11" x14ac:dyDescent="0.25">
      <c r="B3" s="69" t="s">
        <v>1</v>
      </c>
      <c r="C3" s="69" t="s">
        <v>2</v>
      </c>
      <c r="D3" s="69" t="s">
        <v>3</v>
      </c>
      <c r="E3" s="69" t="s">
        <v>3</v>
      </c>
      <c r="F3" s="69" t="s">
        <v>23</v>
      </c>
      <c r="G3" s="69" t="s">
        <v>24</v>
      </c>
      <c r="H3" s="48" t="s">
        <v>24</v>
      </c>
      <c r="I3" s="48" t="s">
        <v>23</v>
      </c>
      <c r="J3" s="69" t="s">
        <v>9</v>
      </c>
      <c r="K3" s="48" t="s">
        <v>8</v>
      </c>
    </row>
    <row r="4" spans="2:11" ht="15.75" thickBot="1" x14ac:dyDescent="0.3">
      <c r="B4" s="70"/>
      <c r="C4" s="70"/>
      <c r="D4" s="70" t="s">
        <v>5</v>
      </c>
      <c r="E4" s="70" t="s">
        <v>25</v>
      </c>
      <c r="F4" s="70" t="s">
        <v>3</v>
      </c>
      <c r="G4" s="70" t="s">
        <v>25</v>
      </c>
      <c r="H4" s="71" t="s">
        <v>5</v>
      </c>
      <c r="I4" s="71" t="s">
        <v>4</v>
      </c>
      <c r="J4" s="70"/>
      <c r="K4" s="71"/>
    </row>
    <row r="5" spans="2:11" x14ac:dyDescent="0.25">
      <c r="B5" s="23">
        <v>42794</v>
      </c>
      <c r="C5" s="66" t="s">
        <v>173</v>
      </c>
      <c r="D5" s="67"/>
      <c r="E5" s="64"/>
      <c r="F5" s="64"/>
      <c r="G5" s="64"/>
      <c r="H5" s="17"/>
      <c r="I5" s="65"/>
      <c r="J5" s="74">
        <v>30944.35</v>
      </c>
      <c r="K5" s="68">
        <v>83940.800000000003</v>
      </c>
    </row>
    <row r="6" spans="2:11" x14ac:dyDescent="0.25">
      <c r="B6" s="23">
        <v>42795</v>
      </c>
      <c r="C6" s="9" t="s">
        <v>337</v>
      </c>
      <c r="D6" s="10"/>
      <c r="E6" s="10"/>
      <c r="F6" s="10"/>
      <c r="G6" s="10"/>
      <c r="H6" s="11">
        <v>463</v>
      </c>
      <c r="I6" s="11"/>
      <c r="J6" s="12">
        <f>+J5+E6-G6</f>
        <v>30944.35</v>
      </c>
      <c r="K6" s="12">
        <f>+K5+D6-H6</f>
        <v>83477.8</v>
      </c>
    </row>
    <row r="7" spans="2:11" ht="15.75" x14ac:dyDescent="0.25">
      <c r="B7" s="18">
        <v>42795</v>
      </c>
      <c r="C7" s="9" t="s">
        <v>307</v>
      </c>
      <c r="D7" s="33"/>
      <c r="E7" s="33"/>
      <c r="F7" s="33"/>
      <c r="G7" s="33"/>
      <c r="H7" s="60">
        <v>35</v>
      </c>
      <c r="I7" s="60"/>
      <c r="J7" s="12">
        <f t="shared" ref="J7:J42" si="0">+J6+E7-G7</f>
        <v>30944.35</v>
      </c>
      <c r="K7" s="12">
        <f t="shared" ref="K7:K42" si="1">+K6+D7-H7</f>
        <v>83442.8</v>
      </c>
    </row>
    <row r="8" spans="2:11" x14ac:dyDescent="0.25">
      <c r="B8" s="18">
        <v>42795</v>
      </c>
      <c r="C8" s="13" t="s">
        <v>308</v>
      </c>
      <c r="D8" s="11"/>
      <c r="E8" s="11"/>
      <c r="F8" s="11"/>
      <c r="G8" s="11"/>
      <c r="H8" s="11">
        <v>15.5</v>
      </c>
      <c r="I8" s="11"/>
      <c r="J8" s="12">
        <f t="shared" si="0"/>
        <v>30944.35</v>
      </c>
      <c r="K8" s="12">
        <f t="shared" si="1"/>
        <v>83427.3</v>
      </c>
    </row>
    <row r="9" spans="2:11" x14ac:dyDescent="0.25">
      <c r="B9" s="18">
        <v>42795</v>
      </c>
      <c r="C9" s="13" t="s">
        <v>309</v>
      </c>
      <c r="D9" s="11"/>
      <c r="E9" s="11"/>
      <c r="F9" s="11"/>
      <c r="G9" s="11"/>
      <c r="H9" s="11">
        <v>320</v>
      </c>
      <c r="I9" s="11"/>
      <c r="J9" s="12">
        <f t="shared" si="0"/>
        <v>30944.35</v>
      </c>
      <c r="K9" s="12">
        <f t="shared" si="1"/>
        <v>83107.3</v>
      </c>
    </row>
    <row r="10" spans="2:11" x14ac:dyDescent="0.25">
      <c r="B10" s="18">
        <v>42796</v>
      </c>
      <c r="C10" s="24" t="s">
        <v>310</v>
      </c>
      <c r="D10" s="11"/>
      <c r="E10" s="11"/>
      <c r="F10" s="11"/>
      <c r="G10" s="11"/>
      <c r="H10" s="11">
        <v>300</v>
      </c>
      <c r="I10" s="15"/>
      <c r="J10" s="12">
        <f t="shared" si="0"/>
        <v>30944.35</v>
      </c>
      <c r="K10" s="12">
        <f t="shared" si="1"/>
        <v>82807.3</v>
      </c>
    </row>
    <row r="11" spans="2:11" x14ac:dyDescent="0.25">
      <c r="B11" s="18">
        <v>42796</v>
      </c>
      <c r="C11" s="24" t="s">
        <v>338</v>
      </c>
      <c r="D11" s="11"/>
      <c r="E11" s="11"/>
      <c r="F11" s="11"/>
      <c r="G11" s="15"/>
      <c r="H11" s="11">
        <v>250</v>
      </c>
      <c r="I11" s="11"/>
      <c r="J11" s="12">
        <f t="shared" si="0"/>
        <v>30944.35</v>
      </c>
      <c r="K11" s="12">
        <f t="shared" si="1"/>
        <v>82557.3</v>
      </c>
    </row>
    <row r="12" spans="2:11" x14ac:dyDescent="0.25">
      <c r="B12" s="18">
        <v>42796</v>
      </c>
      <c r="C12" s="13" t="s">
        <v>311</v>
      </c>
      <c r="D12" s="11"/>
      <c r="E12" s="11"/>
      <c r="F12" s="11"/>
      <c r="G12" s="11"/>
      <c r="H12" s="11">
        <v>300</v>
      </c>
      <c r="I12" s="11"/>
      <c r="J12" s="12">
        <f t="shared" si="0"/>
        <v>30944.35</v>
      </c>
      <c r="K12" s="12">
        <f t="shared" si="1"/>
        <v>82257.3</v>
      </c>
    </row>
    <row r="13" spans="2:11" x14ac:dyDescent="0.25">
      <c r="B13" s="18">
        <v>42796</v>
      </c>
      <c r="C13" s="13" t="s">
        <v>312</v>
      </c>
      <c r="D13" s="11"/>
      <c r="E13" s="11"/>
      <c r="F13" s="11"/>
      <c r="G13" s="11"/>
      <c r="H13" s="11">
        <v>320</v>
      </c>
      <c r="I13" s="11"/>
      <c r="J13" s="12">
        <f t="shared" si="0"/>
        <v>30944.35</v>
      </c>
      <c r="K13" s="12">
        <f t="shared" si="1"/>
        <v>81937.3</v>
      </c>
    </row>
    <row r="14" spans="2:11" x14ac:dyDescent="0.25">
      <c r="B14" s="18">
        <v>42796</v>
      </c>
      <c r="C14" s="24" t="s">
        <v>313</v>
      </c>
      <c r="D14" s="11"/>
      <c r="E14" s="11"/>
      <c r="F14" s="11"/>
      <c r="G14" s="11"/>
      <c r="H14" s="11">
        <v>407</v>
      </c>
      <c r="I14" s="15"/>
      <c r="J14" s="12">
        <f t="shared" si="0"/>
        <v>30944.35</v>
      </c>
      <c r="K14" s="12">
        <f t="shared" si="1"/>
        <v>81530.3</v>
      </c>
    </row>
    <row r="15" spans="2:11" x14ac:dyDescent="0.25">
      <c r="B15" s="18">
        <v>42796</v>
      </c>
      <c r="C15" s="14" t="s">
        <v>314</v>
      </c>
      <c r="D15" s="11"/>
      <c r="E15" s="11"/>
      <c r="F15" s="11"/>
      <c r="G15" s="11"/>
      <c r="H15" s="11">
        <v>524</v>
      </c>
      <c r="I15" s="11"/>
      <c r="J15" s="12">
        <f t="shared" si="0"/>
        <v>30944.35</v>
      </c>
      <c r="K15" s="12">
        <f t="shared" si="1"/>
        <v>81006.3</v>
      </c>
    </row>
    <row r="16" spans="2:11" x14ac:dyDescent="0.25">
      <c r="B16" s="18">
        <v>42797</v>
      </c>
      <c r="C16" s="13" t="s">
        <v>315</v>
      </c>
      <c r="D16" s="11"/>
      <c r="E16" s="11"/>
      <c r="F16" s="11"/>
      <c r="G16" s="11"/>
      <c r="H16" s="11">
        <v>250</v>
      </c>
      <c r="I16" s="11"/>
      <c r="J16" s="12">
        <f t="shared" si="0"/>
        <v>30944.35</v>
      </c>
      <c r="K16" s="12">
        <f t="shared" si="1"/>
        <v>80756.3</v>
      </c>
    </row>
    <row r="17" spans="2:11" x14ac:dyDescent="0.25">
      <c r="B17" s="18">
        <v>42798</v>
      </c>
      <c r="C17" s="13" t="s">
        <v>316</v>
      </c>
      <c r="D17" s="11"/>
      <c r="E17" s="11"/>
      <c r="F17" s="11"/>
      <c r="G17" s="11"/>
      <c r="H17" s="11">
        <v>1000</v>
      </c>
      <c r="I17" s="11"/>
      <c r="J17" s="12">
        <f t="shared" si="0"/>
        <v>30944.35</v>
      </c>
      <c r="K17" s="12">
        <f t="shared" si="1"/>
        <v>79756.3</v>
      </c>
    </row>
    <row r="18" spans="2:11" x14ac:dyDescent="0.25">
      <c r="B18" s="18">
        <v>42798</v>
      </c>
      <c r="C18" s="13" t="s">
        <v>317</v>
      </c>
      <c r="D18" s="11"/>
      <c r="E18" s="11"/>
      <c r="F18" s="11"/>
      <c r="G18" s="11"/>
      <c r="H18" s="11">
        <v>350</v>
      </c>
      <c r="I18" s="11"/>
      <c r="J18" s="12">
        <f t="shared" si="0"/>
        <v>30944.35</v>
      </c>
      <c r="K18" s="12">
        <f t="shared" si="1"/>
        <v>79406.3</v>
      </c>
    </row>
    <row r="19" spans="2:11" x14ac:dyDescent="0.25">
      <c r="B19" s="25">
        <v>42798</v>
      </c>
      <c r="C19" s="13" t="s">
        <v>318</v>
      </c>
      <c r="D19" s="11"/>
      <c r="E19" s="11"/>
      <c r="F19" s="11"/>
      <c r="G19" s="11"/>
      <c r="H19" s="11">
        <v>400</v>
      </c>
      <c r="I19" s="11"/>
      <c r="J19" s="12">
        <f t="shared" si="0"/>
        <v>30944.35</v>
      </c>
      <c r="K19" s="12">
        <f t="shared" si="1"/>
        <v>79006.3</v>
      </c>
    </row>
    <row r="20" spans="2:11" x14ac:dyDescent="0.25">
      <c r="B20" s="25">
        <v>42798</v>
      </c>
      <c r="C20" s="13" t="s">
        <v>319</v>
      </c>
      <c r="D20" s="11"/>
      <c r="E20" s="11"/>
      <c r="F20" s="11"/>
      <c r="G20" s="11"/>
      <c r="H20" s="11">
        <v>500</v>
      </c>
      <c r="I20" s="11"/>
      <c r="J20" s="12">
        <f t="shared" si="0"/>
        <v>30944.35</v>
      </c>
      <c r="K20" s="12">
        <f t="shared" si="1"/>
        <v>78506.3</v>
      </c>
    </row>
    <row r="21" spans="2:11" x14ac:dyDescent="0.25">
      <c r="B21" s="25">
        <v>42798</v>
      </c>
      <c r="C21" s="13" t="s">
        <v>321</v>
      </c>
      <c r="D21" s="11"/>
      <c r="E21" s="11"/>
      <c r="F21" s="11"/>
      <c r="G21" s="11"/>
      <c r="H21" s="11">
        <v>500</v>
      </c>
      <c r="I21" s="11"/>
      <c r="J21" s="12">
        <f t="shared" si="0"/>
        <v>30944.35</v>
      </c>
      <c r="K21" s="12">
        <f t="shared" si="1"/>
        <v>78006.3</v>
      </c>
    </row>
    <row r="22" spans="2:11" x14ac:dyDescent="0.25">
      <c r="B22" s="18">
        <v>42798</v>
      </c>
      <c r="C22" s="13" t="s">
        <v>318</v>
      </c>
      <c r="D22" s="11"/>
      <c r="E22" s="11"/>
      <c r="F22" s="11"/>
      <c r="G22" s="11"/>
      <c r="H22" s="11">
        <v>400</v>
      </c>
      <c r="I22" s="11"/>
      <c r="J22" s="12">
        <f t="shared" si="0"/>
        <v>30944.35</v>
      </c>
      <c r="K22" s="12">
        <f t="shared" si="1"/>
        <v>77606.3</v>
      </c>
    </row>
    <row r="23" spans="2:11" x14ac:dyDescent="0.25">
      <c r="B23" s="18">
        <v>42799</v>
      </c>
      <c r="C23" s="13" t="s">
        <v>320</v>
      </c>
      <c r="D23" s="11"/>
      <c r="E23" s="11"/>
      <c r="F23" s="11"/>
      <c r="G23" s="11"/>
      <c r="H23" s="11">
        <v>190.5</v>
      </c>
      <c r="I23" s="11"/>
      <c r="J23" s="12">
        <f t="shared" si="0"/>
        <v>30944.35</v>
      </c>
      <c r="K23" s="12">
        <f t="shared" si="1"/>
        <v>77415.8</v>
      </c>
    </row>
    <row r="24" spans="2:11" x14ac:dyDescent="0.25">
      <c r="B24" s="23">
        <v>42799</v>
      </c>
      <c r="C24" s="13" t="s">
        <v>322</v>
      </c>
      <c r="D24" s="17"/>
      <c r="E24" s="17"/>
      <c r="F24" s="17"/>
      <c r="G24" s="17"/>
      <c r="H24" s="17">
        <v>150</v>
      </c>
      <c r="I24" s="17"/>
      <c r="J24" s="12">
        <f t="shared" si="0"/>
        <v>30944.35</v>
      </c>
      <c r="K24" s="12">
        <f t="shared" si="1"/>
        <v>77265.8</v>
      </c>
    </row>
    <row r="25" spans="2:11" x14ac:dyDescent="0.25">
      <c r="B25" s="23">
        <v>42799</v>
      </c>
      <c r="C25" s="13" t="s">
        <v>323</v>
      </c>
      <c r="D25" s="17"/>
      <c r="E25" s="17"/>
      <c r="F25" s="17"/>
      <c r="G25" s="17"/>
      <c r="H25" s="17">
        <v>120</v>
      </c>
      <c r="I25" s="17"/>
      <c r="J25" s="12">
        <f t="shared" si="0"/>
        <v>30944.35</v>
      </c>
      <c r="K25" s="12">
        <f t="shared" si="1"/>
        <v>77145.8</v>
      </c>
    </row>
    <row r="26" spans="2:11" x14ac:dyDescent="0.25">
      <c r="B26" s="18">
        <v>42800</v>
      </c>
      <c r="C26" s="13" t="s">
        <v>324</v>
      </c>
      <c r="D26" s="11"/>
      <c r="E26" s="11"/>
      <c r="F26" s="11"/>
      <c r="G26" s="11"/>
      <c r="H26" s="11">
        <v>202</v>
      </c>
      <c r="I26" s="11"/>
      <c r="J26" s="12">
        <f t="shared" si="0"/>
        <v>30944.35</v>
      </c>
      <c r="K26" s="12">
        <f t="shared" si="1"/>
        <v>76943.8</v>
      </c>
    </row>
    <row r="27" spans="2:11" x14ac:dyDescent="0.25">
      <c r="B27" s="18">
        <v>42800</v>
      </c>
      <c r="C27" s="13" t="s">
        <v>325</v>
      </c>
      <c r="D27" s="11"/>
      <c r="E27" s="11"/>
      <c r="F27" s="11"/>
      <c r="G27" s="11"/>
      <c r="H27" s="11">
        <v>200</v>
      </c>
      <c r="I27" s="11"/>
      <c r="J27" s="12">
        <f t="shared" si="0"/>
        <v>30944.35</v>
      </c>
      <c r="K27" s="12">
        <f t="shared" si="1"/>
        <v>76743.8</v>
      </c>
    </row>
    <row r="28" spans="2:11" x14ac:dyDescent="0.25">
      <c r="B28" s="25">
        <v>42800</v>
      </c>
      <c r="C28" s="13" t="s">
        <v>326</v>
      </c>
      <c r="D28" s="11"/>
      <c r="E28" s="11"/>
      <c r="F28" s="11"/>
      <c r="G28" s="11"/>
      <c r="H28" s="11">
        <v>250</v>
      </c>
      <c r="I28" s="11"/>
      <c r="J28" s="12">
        <f t="shared" si="0"/>
        <v>30944.35</v>
      </c>
      <c r="K28" s="12">
        <f t="shared" si="1"/>
        <v>76493.8</v>
      </c>
    </row>
    <row r="29" spans="2:11" x14ac:dyDescent="0.25">
      <c r="B29" s="18">
        <v>42772</v>
      </c>
      <c r="C29" s="29" t="s">
        <v>327</v>
      </c>
      <c r="D29" s="11">
        <v>4800</v>
      </c>
      <c r="E29" s="11"/>
      <c r="F29" s="11"/>
      <c r="G29" s="11"/>
      <c r="H29" s="11"/>
      <c r="I29" s="11"/>
      <c r="J29" s="12">
        <f t="shared" si="0"/>
        <v>30944.35</v>
      </c>
      <c r="K29" s="12">
        <f t="shared" si="1"/>
        <v>81293.8</v>
      </c>
    </row>
    <row r="30" spans="2:11" x14ac:dyDescent="0.25">
      <c r="B30" s="18">
        <v>42772</v>
      </c>
      <c r="C30" s="13" t="s">
        <v>361</v>
      </c>
      <c r="D30" s="11">
        <v>35600</v>
      </c>
      <c r="E30" s="11"/>
      <c r="F30" s="11"/>
      <c r="G30" s="11"/>
      <c r="H30" s="11"/>
      <c r="I30" s="11"/>
      <c r="J30" s="12">
        <f t="shared" si="0"/>
        <v>30944.35</v>
      </c>
      <c r="K30" s="12">
        <f t="shared" si="1"/>
        <v>116893.8</v>
      </c>
    </row>
    <row r="31" spans="2:11" x14ac:dyDescent="0.25">
      <c r="B31" s="18">
        <v>42772</v>
      </c>
      <c r="C31" s="13" t="s">
        <v>328</v>
      </c>
      <c r="D31" s="11"/>
      <c r="E31" s="11"/>
      <c r="F31" s="11"/>
      <c r="G31" s="11"/>
      <c r="H31" s="11">
        <v>400</v>
      </c>
      <c r="I31" s="11"/>
      <c r="J31" s="12">
        <f t="shared" si="0"/>
        <v>30944.35</v>
      </c>
      <c r="K31" s="12">
        <f t="shared" si="1"/>
        <v>116493.8</v>
      </c>
    </row>
    <row r="32" spans="2:11" x14ac:dyDescent="0.25">
      <c r="B32" s="25">
        <v>42772</v>
      </c>
      <c r="C32" s="13" t="s">
        <v>329</v>
      </c>
      <c r="D32" s="11"/>
      <c r="E32" s="11"/>
      <c r="F32" s="11"/>
      <c r="G32" s="11"/>
      <c r="H32" s="11">
        <v>620</v>
      </c>
      <c r="I32" s="11"/>
      <c r="J32" s="12">
        <f t="shared" si="0"/>
        <v>30944.35</v>
      </c>
      <c r="K32" s="12">
        <f t="shared" si="1"/>
        <v>115873.8</v>
      </c>
    </row>
    <row r="33" spans="2:11" x14ac:dyDescent="0.25">
      <c r="B33" s="18">
        <v>42772</v>
      </c>
      <c r="C33" s="13" t="s">
        <v>330</v>
      </c>
      <c r="D33" s="11"/>
      <c r="E33" s="11"/>
      <c r="F33" s="11"/>
      <c r="G33" s="11"/>
      <c r="H33" s="11">
        <v>750</v>
      </c>
      <c r="I33" s="11"/>
      <c r="J33" s="12">
        <f t="shared" si="0"/>
        <v>30944.35</v>
      </c>
      <c r="K33" s="12">
        <f t="shared" si="1"/>
        <v>115123.8</v>
      </c>
    </row>
    <row r="34" spans="2:11" x14ac:dyDescent="0.25">
      <c r="B34" s="18">
        <v>42772</v>
      </c>
      <c r="C34" s="13" t="s">
        <v>331</v>
      </c>
      <c r="D34" s="11"/>
      <c r="E34" s="11"/>
      <c r="F34" s="11"/>
      <c r="G34" s="11"/>
      <c r="H34" s="11">
        <v>315</v>
      </c>
      <c r="I34" s="11"/>
      <c r="J34" s="12">
        <f t="shared" si="0"/>
        <v>30944.35</v>
      </c>
      <c r="K34" s="12">
        <f t="shared" si="1"/>
        <v>114808.8</v>
      </c>
    </row>
    <row r="35" spans="2:11" x14ac:dyDescent="0.25">
      <c r="B35" s="18">
        <v>42772</v>
      </c>
      <c r="C35" s="29" t="s">
        <v>38</v>
      </c>
      <c r="D35" s="11"/>
      <c r="E35" s="11"/>
      <c r="F35" s="11"/>
      <c r="G35" s="11"/>
      <c r="H35" s="11">
        <v>129.4</v>
      </c>
      <c r="I35" s="11"/>
      <c r="J35" s="12">
        <f t="shared" si="0"/>
        <v>30944.35</v>
      </c>
      <c r="K35" s="12">
        <f t="shared" si="1"/>
        <v>114679.40000000001</v>
      </c>
    </row>
    <row r="36" spans="2:11" x14ac:dyDescent="0.25">
      <c r="B36" s="18">
        <v>42800</v>
      </c>
      <c r="C36" s="35" t="s">
        <v>310</v>
      </c>
      <c r="D36" s="41"/>
      <c r="E36" s="41"/>
      <c r="F36" s="41"/>
      <c r="G36" s="41"/>
      <c r="H36" s="11">
        <v>4500</v>
      </c>
      <c r="I36" s="11"/>
      <c r="J36" s="12">
        <f t="shared" si="0"/>
        <v>30944.35</v>
      </c>
      <c r="K36" s="12">
        <f t="shared" si="1"/>
        <v>110179.40000000001</v>
      </c>
    </row>
    <row r="37" spans="2:11" x14ac:dyDescent="0.25">
      <c r="B37" s="18">
        <v>42800</v>
      </c>
      <c r="C37" s="34" t="s">
        <v>332</v>
      </c>
      <c r="D37" s="41"/>
      <c r="E37" s="41"/>
      <c r="F37" s="41"/>
      <c r="G37" s="41"/>
      <c r="H37" s="11">
        <v>210</v>
      </c>
      <c r="I37" s="11"/>
      <c r="J37" s="12">
        <f t="shared" si="0"/>
        <v>30944.35</v>
      </c>
      <c r="K37" s="12">
        <f t="shared" si="1"/>
        <v>109969.40000000001</v>
      </c>
    </row>
    <row r="38" spans="2:11" x14ac:dyDescent="0.25">
      <c r="B38" s="18">
        <v>42800</v>
      </c>
      <c r="C38" s="13" t="s">
        <v>333</v>
      </c>
      <c r="D38" s="11"/>
      <c r="E38" s="11"/>
      <c r="F38" s="11"/>
      <c r="G38" s="11"/>
      <c r="H38" s="11">
        <v>350</v>
      </c>
      <c r="I38" s="11"/>
      <c r="J38" s="12">
        <f t="shared" si="0"/>
        <v>30944.35</v>
      </c>
      <c r="K38" s="12">
        <f t="shared" si="1"/>
        <v>109619.40000000001</v>
      </c>
    </row>
    <row r="39" spans="2:11" x14ac:dyDescent="0.25">
      <c r="B39" s="18">
        <v>42800</v>
      </c>
      <c r="C39" s="13" t="s">
        <v>324</v>
      </c>
      <c r="D39" s="11"/>
      <c r="E39" s="11"/>
      <c r="F39" s="11"/>
      <c r="G39" s="11"/>
      <c r="H39" s="11">
        <v>84</v>
      </c>
      <c r="I39" s="11"/>
      <c r="J39" s="12">
        <f t="shared" si="0"/>
        <v>30944.35</v>
      </c>
      <c r="K39" s="12">
        <f t="shared" si="1"/>
        <v>109535.40000000001</v>
      </c>
    </row>
    <row r="40" spans="2:11" x14ac:dyDescent="0.25">
      <c r="B40" s="18">
        <v>42801</v>
      </c>
      <c r="C40" s="13" t="s">
        <v>334</v>
      </c>
      <c r="D40" s="11"/>
      <c r="E40" s="11"/>
      <c r="F40" s="11"/>
      <c r="G40" s="11"/>
      <c r="H40" s="11">
        <v>200</v>
      </c>
      <c r="I40" s="11"/>
      <c r="J40" s="12">
        <f t="shared" si="0"/>
        <v>30944.35</v>
      </c>
      <c r="K40" s="12">
        <f t="shared" si="1"/>
        <v>109335.40000000001</v>
      </c>
    </row>
    <row r="41" spans="2:11" x14ac:dyDescent="0.25">
      <c r="B41" s="18">
        <v>42801</v>
      </c>
      <c r="C41" s="9" t="s">
        <v>335</v>
      </c>
      <c r="D41" s="11"/>
      <c r="E41" s="11"/>
      <c r="F41" s="11"/>
      <c r="G41" s="11"/>
      <c r="H41" s="11">
        <v>380</v>
      </c>
      <c r="I41" s="11"/>
      <c r="J41" s="12">
        <f t="shared" si="0"/>
        <v>30944.35</v>
      </c>
      <c r="K41" s="12">
        <f t="shared" si="1"/>
        <v>108955.40000000001</v>
      </c>
    </row>
    <row r="42" spans="2:11" x14ac:dyDescent="0.25">
      <c r="B42" s="18">
        <v>42801</v>
      </c>
      <c r="C42" s="13" t="s">
        <v>336</v>
      </c>
      <c r="D42" s="11"/>
      <c r="E42" s="11"/>
      <c r="F42" s="11"/>
      <c r="G42" s="11"/>
      <c r="H42" s="11">
        <v>350</v>
      </c>
      <c r="I42" s="11"/>
      <c r="J42" s="12">
        <f t="shared" si="0"/>
        <v>30944.35</v>
      </c>
      <c r="K42" s="12">
        <f t="shared" si="1"/>
        <v>108605.40000000001</v>
      </c>
    </row>
    <row r="43" spans="2:11" x14ac:dyDescent="0.25">
      <c r="B43" s="18">
        <v>42801</v>
      </c>
      <c r="C43" s="35" t="s">
        <v>339</v>
      </c>
      <c r="D43" s="11"/>
      <c r="E43" s="11"/>
      <c r="F43" s="11"/>
      <c r="G43" s="11"/>
      <c r="H43" s="11">
        <v>15050</v>
      </c>
      <c r="I43" s="11"/>
      <c r="J43" s="12">
        <f>+J42+E43-G43</f>
        <v>30944.35</v>
      </c>
      <c r="K43" s="12">
        <f>+K42+D43-H43</f>
        <v>93555.400000000009</v>
      </c>
    </row>
    <row r="44" spans="2:11" x14ac:dyDescent="0.25">
      <c r="B44" s="18">
        <v>42802</v>
      </c>
      <c r="C44" s="13" t="s">
        <v>340</v>
      </c>
      <c r="D44" s="11"/>
      <c r="E44" s="11"/>
      <c r="F44" s="11"/>
      <c r="G44" s="11"/>
      <c r="H44" s="11">
        <v>400</v>
      </c>
      <c r="I44" s="11"/>
      <c r="J44" s="12">
        <f>+J43+E44-G44</f>
        <v>30944.35</v>
      </c>
      <c r="K44" s="12">
        <f>+K43+D44-H44</f>
        <v>93155.400000000009</v>
      </c>
    </row>
    <row r="45" spans="2:11" x14ac:dyDescent="0.25">
      <c r="B45" s="18">
        <v>42802</v>
      </c>
      <c r="C45" s="13" t="s">
        <v>341</v>
      </c>
      <c r="D45" s="11"/>
      <c r="E45" s="11"/>
      <c r="F45" s="11"/>
      <c r="G45" s="11"/>
      <c r="H45" s="11">
        <v>350</v>
      </c>
      <c r="I45" s="11"/>
      <c r="J45" s="12">
        <f>+J44+E45-G45</f>
        <v>30944.35</v>
      </c>
      <c r="K45" s="12">
        <f>+K44+D45-H45</f>
        <v>92805.400000000009</v>
      </c>
    </row>
    <row r="46" spans="2:11" x14ac:dyDescent="0.25">
      <c r="B46" s="18">
        <v>42802</v>
      </c>
      <c r="C46" s="13" t="s">
        <v>342</v>
      </c>
      <c r="D46" s="11"/>
      <c r="E46" s="11"/>
      <c r="F46" s="11"/>
      <c r="G46" s="11"/>
      <c r="H46" s="11">
        <v>450</v>
      </c>
      <c r="I46" s="11"/>
      <c r="J46" s="12">
        <f t="shared" ref="J46:J53" si="2">+J45+E46-G46</f>
        <v>30944.35</v>
      </c>
      <c r="K46" s="12">
        <f t="shared" ref="K46:K53" si="3">+K45+D46-H46</f>
        <v>92355.400000000009</v>
      </c>
    </row>
    <row r="47" spans="2:11" x14ac:dyDescent="0.25">
      <c r="B47" s="18">
        <v>42802</v>
      </c>
      <c r="C47" s="13" t="s">
        <v>343</v>
      </c>
      <c r="D47" s="11"/>
      <c r="E47" s="11"/>
      <c r="F47" s="11"/>
      <c r="G47" s="11"/>
      <c r="H47" s="11">
        <v>350</v>
      </c>
      <c r="I47" s="11"/>
      <c r="J47" s="12">
        <f t="shared" si="2"/>
        <v>30944.35</v>
      </c>
      <c r="K47" s="12">
        <f t="shared" si="3"/>
        <v>92005.400000000009</v>
      </c>
    </row>
    <row r="48" spans="2:11" x14ac:dyDescent="0.25">
      <c r="B48" s="18">
        <v>42802</v>
      </c>
      <c r="C48" s="13" t="s">
        <v>344</v>
      </c>
      <c r="D48" s="11"/>
      <c r="E48" s="11"/>
      <c r="F48" s="11"/>
      <c r="G48" s="11"/>
      <c r="H48" s="11">
        <v>350</v>
      </c>
      <c r="I48" s="11"/>
      <c r="J48" s="12">
        <f t="shared" si="2"/>
        <v>30944.35</v>
      </c>
      <c r="K48" s="12">
        <f t="shared" si="3"/>
        <v>91655.400000000009</v>
      </c>
    </row>
    <row r="49" spans="2:11" x14ac:dyDescent="0.25">
      <c r="B49" s="18">
        <v>42803</v>
      </c>
      <c r="C49" s="13" t="s">
        <v>345</v>
      </c>
      <c r="D49" s="11"/>
      <c r="E49" s="11"/>
      <c r="F49" s="11"/>
      <c r="G49" s="11"/>
      <c r="H49" s="11">
        <v>800</v>
      </c>
      <c r="I49" s="11"/>
      <c r="J49" s="12">
        <f t="shared" si="2"/>
        <v>30944.35</v>
      </c>
      <c r="K49" s="12">
        <f t="shared" si="3"/>
        <v>90855.400000000009</v>
      </c>
    </row>
    <row r="50" spans="2:11" x14ac:dyDescent="0.25">
      <c r="B50" s="18">
        <v>42803</v>
      </c>
      <c r="C50" s="13" t="s">
        <v>346</v>
      </c>
      <c r="D50" s="11"/>
      <c r="E50" s="11"/>
      <c r="F50" s="11"/>
      <c r="G50" s="11"/>
      <c r="H50" s="11">
        <v>786</v>
      </c>
      <c r="I50" s="11"/>
      <c r="J50" s="12">
        <f t="shared" si="2"/>
        <v>30944.35</v>
      </c>
      <c r="K50" s="12">
        <f t="shared" si="3"/>
        <v>90069.400000000009</v>
      </c>
    </row>
    <row r="51" spans="2:11" x14ac:dyDescent="0.25">
      <c r="B51" s="18">
        <v>42804</v>
      </c>
      <c r="C51" s="13" t="s">
        <v>331</v>
      </c>
      <c r="D51" s="11"/>
      <c r="E51" s="11"/>
      <c r="F51" s="11"/>
      <c r="G51" s="11"/>
      <c r="H51" s="11">
        <v>310</v>
      </c>
      <c r="I51" s="11"/>
      <c r="J51" s="12">
        <f t="shared" si="2"/>
        <v>30944.35</v>
      </c>
      <c r="K51" s="12">
        <f t="shared" si="3"/>
        <v>89759.400000000009</v>
      </c>
    </row>
    <row r="52" spans="2:11" x14ac:dyDescent="0.25">
      <c r="B52" s="18">
        <v>42804</v>
      </c>
      <c r="C52" s="13" t="s">
        <v>347</v>
      </c>
      <c r="D52" s="11"/>
      <c r="E52" s="11"/>
      <c r="F52" s="11"/>
      <c r="G52" s="11"/>
      <c r="H52" s="11">
        <v>339</v>
      </c>
      <c r="I52" s="11"/>
      <c r="J52" s="12">
        <f t="shared" si="2"/>
        <v>30944.35</v>
      </c>
      <c r="K52" s="12">
        <f t="shared" si="3"/>
        <v>89420.400000000009</v>
      </c>
    </row>
    <row r="53" spans="2:11" x14ac:dyDescent="0.25">
      <c r="B53" s="18">
        <v>42804</v>
      </c>
      <c r="C53" s="13" t="s">
        <v>348</v>
      </c>
      <c r="D53" s="11"/>
      <c r="E53" s="11"/>
      <c r="F53" s="11"/>
      <c r="G53" s="11"/>
      <c r="H53" s="11">
        <v>5</v>
      </c>
      <c r="I53" s="11"/>
      <c r="J53" s="12">
        <f t="shared" si="2"/>
        <v>30944.35</v>
      </c>
      <c r="K53" s="12">
        <f t="shared" si="3"/>
        <v>89415.400000000009</v>
      </c>
    </row>
    <row r="54" spans="2:11" ht="15.75" thickBot="1" x14ac:dyDescent="0.3">
      <c r="B54" s="18">
        <v>42804</v>
      </c>
      <c r="C54" s="13" t="s">
        <v>349</v>
      </c>
      <c r="D54" s="11"/>
      <c r="E54" s="11"/>
      <c r="F54" s="11"/>
      <c r="G54" s="11"/>
      <c r="H54" s="11">
        <v>3600</v>
      </c>
      <c r="I54" s="11"/>
      <c r="J54" s="12">
        <f>+J53+E54-G54</f>
        <v>30944.35</v>
      </c>
      <c r="K54" s="12">
        <f>+K53+D54-H54</f>
        <v>85815.400000000009</v>
      </c>
    </row>
    <row r="55" spans="2:11" ht="15.75" thickBot="1" x14ac:dyDescent="0.3">
      <c r="B55" s="5"/>
      <c r="C55" s="7" t="s">
        <v>0</v>
      </c>
      <c r="D55" s="63">
        <f>SUM(D5:D54)</f>
        <v>40400</v>
      </c>
      <c r="E55" s="61">
        <f>SUM(E5:E54)</f>
        <v>0</v>
      </c>
      <c r="F55" s="72">
        <f>SUM(D55:E55)</f>
        <v>40400</v>
      </c>
      <c r="G55" s="72">
        <f>SUM(G5:G54)</f>
        <v>0</v>
      </c>
      <c r="H55" s="63">
        <f>SUM(H5:H54)</f>
        <v>38525.4</v>
      </c>
      <c r="I55" s="72">
        <f>SUM(G55:H55)</f>
        <v>38525.4</v>
      </c>
      <c r="J55" s="20"/>
      <c r="K55" s="20"/>
    </row>
    <row r="56" spans="2:11" x14ac:dyDescent="0.25">
      <c r="B56" s="69" t="s">
        <v>1</v>
      </c>
      <c r="C56" s="69" t="s">
        <v>2</v>
      </c>
      <c r="D56" s="69" t="s">
        <v>3</v>
      </c>
      <c r="E56" s="69" t="s">
        <v>3</v>
      </c>
      <c r="F56" s="69" t="s">
        <v>23</v>
      </c>
      <c r="G56" s="69" t="s">
        <v>4</v>
      </c>
      <c r="H56" s="48" t="s">
        <v>24</v>
      </c>
      <c r="I56" s="48" t="s">
        <v>23</v>
      </c>
      <c r="J56" s="69" t="s">
        <v>9</v>
      </c>
      <c r="K56" s="48" t="s">
        <v>8</v>
      </c>
    </row>
    <row r="57" spans="2:11" ht="15.75" thickBot="1" x14ac:dyDescent="0.3">
      <c r="B57" s="70"/>
      <c r="C57" s="70"/>
      <c r="D57" s="70" t="s">
        <v>5</v>
      </c>
      <c r="E57" s="70" t="s">
        <v>25</v>
      </c>
      <c r="F57" s="70" t="s">
        <v>3</v>
      </c>
      <c r="G57" s="70" t="s">
        <v>25</v>
      </c>
      <c r="H57" s="71" t="s">
        <v>5</v>
      </c>
      <c r="I57" s="71" t="s">
        <v>4</v>
      </c>
      <c r="J57" s="70"/>
      <c r="K57" s="71"/>
    </row>
    <row r="58" spans="2:11" ht="15.75" thickBot="1" x14ac:dyDescent="0.3">
      <c r="B58" s="75"/>
      <c r="C58" s="7" t="s">
        <v>0</v>
      </c>
      <c r="D58" s="63">
        <v>40400</v>
      </c>
      <c r="E58" s="61">
        <v>0</v>
      </c>
      <c r="F58" s="72">
        <f>SUM(D58:E58)</f>
        <v>40400</v>
      </c>
      <c r="G58" s="72">
        <v>0</v>
      </c>
      <c r="H58" s="63">
        <v>38525.4</v>
      </c>
      <c r="I58" s="72">
        <f>SUM(G58:H58)</f>
        <v>38525.4</v>
      </c>
      <c r="J58" s="20">
        <v>30944.35</v>
      </c>
      <c r="K58" s="20">
        <v>85815.4</v>
      </c>
    </row>
    <row r="59" spans="2:11" x14ac:dyDescent="0.25">
      <c r="B59" s="18">
        <v>42804</v>
      </c>
      <c r="C59" s="13" t="s">
        <v>350</v>
      </c>
      <c r="D59" s="11"/>
      <c r="E59" s="11"/>
      <c r="F59" s="11"/>
      <c r="G59" s="11"/>
      <c r="H59" s="11">
        <v>1000</v>
      </c>
      <c r="I59" s="11"/>
      <c r="J59" s="12">
        <f>+J58+E59-G59</f>
        <v>30944.35</v>
      </c>
      <c r="K59" s="12">
        <f>+K54+D59-H59</f>
        <v>84815.400000000009</v>
      </c>
    </row>
    <row r="60" spans="2:11" x14ac:dyDescent="0.25">
      <c r="B60" s="18">
        <v>42805</v>
      </c>
      <c r="C60" s="13" t="s">
        <v>351</v>
      </c>
      <c r="D60" s="11"/>
      <c r="E60" s="11"/>
      <c r="F60" s="11"/>
      <c r="G60" s="11"/>
      <c r="H60" s="11">
        <v>500</v>
      </c>
      <c r="I60" s="11"/>
      <c r="J60" s="12">
        <f>+J59+E60-G60</f>
        <v>30944.35</v>
      </c>
      <c r="K60" s="12">
        <f>+K59+D60-H60</f>
        <v>84315.400000000009</v>
      </c>
    </row>
    <row r="61" spans="2:11" x14ac:dyDescent="0.25">
      <c r="B61" s="18">
        <v>42805</v>
      </c>
      <c r="C61" s="13" t="s">
        <v>352</v>
      </c>
      <c r="D61" s="11"/>
      <c r="E61" s="11"/>
      <c r="F61" s="11"/>
      <c r="G61" s="11"/>
      <c r="H61" s="11">
        <v>230</v>
      </c>
      <c r="I61" s="11"/>
      <c r="J61" s="12">
        <f t="shared" ref="J61:J107" si="4">+J60+E61-G61</f>
        <v>30944.35</v>
      </c>
      <c r="K61" s="12">
        <f t="shared" ref="K61:K107" si="5">+K60+D61-H61</f>
        <v>84085.400000000009</v>
      </c>
    </row>
    <row r="62" spans="2:11" x14ac:dyDescent="0.25">
      <c r="B62" s="18">
        <v>42806</v>
      </c>
      <c r="C62" s="13" t="s">
        <v>320</v>
      </c>
      <c r="D62" s="11"/>
      <c r="E62" s="11"/>
      <c r="F62" s="11"/>
      <c r="G62" s="11"/>
      <c r="H62" s="11">
        <v>133</v>
      </c>
      <c r="I62" s="11"/>
      <c r="J62" s="12">
        <f t="shared" si="4"/>
        <v>30944.35</v>
      </c>
      <c r="K62" s="12">
        <f t="shared" si="5"/>
        <v>83952.400000000009</v>
      </c>
    </row>
    <row r="63" spans="2:11" x14ac:dyDescent="0.25">
      <c r="B63" s="18">
        <v>42806</v>
      </c>
      <c r="C63" s="13" t="s">
        <v>323</v>
      </c>
      <c r="D63" s="11"/>
      <c r="E63" s="11"/>
      <c r="F63" s="11"/>
      <c r="G63" s="11"/>
      <c r="H63" s="11">
        <v>120</v>
      </c>
      <c r="I63" s="11"/>
      <c r="J63" s="12">
        <f t="shared" si="4"/>
        <v>30944.35</v>
      </c>
      <c r="K63" s="12">
        <f t="shared" si="5"/>
        <v>83832.400000000009</v>
      </c>
    </row>
    <row r="64" spans="2:11" x14ac:dyDescent="0.25">
      <c r="B64" s="18">
        <v>42806</v>
      </c>
      <c r="C64" s="13" t="s">
        <v>322</v>
      </c>
      <c r="D64" s="11"/>
      <c r="E64" s="11"/>
      <c r="F64" s="11"/>
      <c r="G64" s="11"/>
      <c r="H64" s="11">
        <v>150</v>
      </c>
      <c r="I64" s="11"/>
      <c r="J64" s="12">
        <f t="shared" si="4"/>
        <v>30944.35</v>
      </c>
      <c r="K64" s="12">
        <f t="shared" si="5"/>
        <v>83682.400000000009</v>
      </c>
    </row>
    <row r="65" spans="2:11" x14ac:dyDescent="0.25">
      <c r="B65" s="18">
        <v>42807</v>
      </c>
      <c r="C65" s="13" t="s">
        <v>353</v>
      </c>
      <c r="D65" s="11"/>
      <c r="E65" s="11"/>
      <c r="F65" s="11"/>
      <c r="G65" s="11"/>
      <c r="H65" s="11">
        <v>400</v>
      </c>
      <c r="I65" s="11"/>
      <c r="J65" s="12">
        <f t="shared" si="4"/>
        <v>30944.35</v>
      </c>
      <c r="K65" s="12">
        <f t="shared" si="5"/>
        <v>83282.400000000009</v>
      </c>
    </row>
    <row r="66" spans="2:11" x14ac:dyDescent="0.25">
      <c r="B66" s="18">
        <v>42807</v>
      </c>
      <c r="C66" s="35" t="s">
        <v>401</v>
      </c>
      <c r="D66" s="11"/>
      <c r="E66" s="11"/>
      <c r="F66" s="11"/>
      <c r="G66" s="11"/>
      <c r="H66" s="11">
        <v>15050</v>
      </c>
      <c r="I66" s="11"/>
      <c r="J66" s="12">
        <f t="shared" si="4"/>
        <v>30944.35</v>
      </c>
      <c r="K66" s="12">
        <f t="shared" si="5"/>
        <v>68232.400000000009</v>
      </c>
    </row>
    <row r="67" spans="2:11" x14ac:dyDescent="0.25">
      <c r="B67" s="18">
        <v>42807</v>
      </c>
      <c r="C67" s="13" t="s">
        <v>354</v>
      </c>
      <c r="D67" s="11"/>
      <c r="E67" s="11"/>
      <c r="F67" s="11"/>
      <c r="G67" s="11"/>
      <c r="H67" s="11">
        <v>210</v>
      </c>
      <c r="I67" s="11"/>
      <c r="J67" s="12">
        <f t="shared" si="4"/>
        <v>30944.35</v>
      </c>
      <c r="K67" s="12">
        <f t="shared" si="5"/>
        <v>68022.400000000009</v>
      </c>
    </row>
    <row r="68" spans="2:11" x14ac:dyDescent="0.25">
      <c r="B68" s="18">
        <v>42807</v>
      </c>
      <c r="C68" s="13" t="s">
        <v>355</v>
      </c>
      <c r="D68" s="11"/>
      <c r="E68" s="11"/>
      <c r="F68" s="11"/>
      <c r="G68" s="11"/>
      <c r="H68" s="11">
        <v>100</v>
      </c>
      <c r="I68" s="11"/>
      <c r="J68" s="12">
        <f t="shared" si="4"/>
        <v>30944.35</v>
      </c>
      <c r="K68" s="12">
        <f t="shared" si="5"/>
        <v>67922.400000000009</v>
      </c>
    </row>
    <row r="69" spans="2:11" x14ac:dyDescent="0.25">
      <c r="B69" s="18">
        <v>42807</v>
      </c>
      <c r="C69" s="13" t="s">
        <v>356</v>
      </c>
      <c r="D69" s="11"/>
      <c r="E69" s="11"/>
      <c r="F69" s="11"/>
      <c r="G69" s="11"/>
      <c r="H69" s="11">
        <v>700</v>
      </c>
      <c r="I69" s="11"/>
      <c r="J69" s="12">
        <f t="shared" si="4"/>
        <v>30944.35</v>
      </c>
      <c r="K69" s="12">
        <f t="shared" si="5"/>
        <v>67222.400000000009</v>
      </c>
    </row>
    <row r="70" spans="2:11" x14ac:dyDescent="0.25">
      <c r="B70" s="18">
        <v>42807</v>
      </c>
      <c r="C70" s="13" t="s">
        <v>357</v>
      </c>
      <c r="D70" s="11"/>
      <c r="E70" s="11"/>
      <c r="F70" s="11"/>
      <c r="G70" s="11"/>
      <c r="H70" s="11">
        <v>1600</v>
      </c>
      <c r="I70" s="11"/>
      <c r="J70" s="12">
        <f t="shared" si="4"/>
        <v>30944.35</v>
      </c>
      <c r="K70" s="12">
        <f t="shared" si="5"/>
        <v>65622.400000000009</v>
      </c>
    </row>
    <row r="71" spans="2:11" x14ac:dyDescent="0.25">
      <c r="B71" s="18">
        <v>42807</v>
      </c>
      <c r="C71" s="13" t="s">
        <v>358</v>
      </c>
      <c r="D71" s="11"/>
      <c r="E71" s="11"/>
      <c r="F71" s="11"/>
      <c r="G71" s="11"/>
      <c r="H71" s="11">
        <v>244.4</v>
      </c>
      <c r="I71" s="11"/>
      <c r="J71" s="12">
        <f t="shared" si="4"/>
        <v>30944.35</v>
      </c>
      <c r="K71" s="12">
        <f t="shared" si="5"/>
        <v>65378.000000000007</v>
      </c>
    </row>
    <row r="72" spans="2:11" x14ac:dyDescent="0.25">
      <c r="B72" s="18">
        <v>42807</v>
      </c>
      <c r="C72" s="13" t="s">
        <v>318</v>
      </c>
      <c r="D72" s="11"/>
      <c r="E72" s="11"/>
      <c r="F72" s="11"/>
      <c r="G72" s="11"/>
      <c r="H72" s="11">
        <v>400</v>
      </c>
      <c r="I72" s="11"/>
      <c r="J72" s="12">
        <f t="shared" si="4"/>
        <v>30944.35</v>
      </c>
      <c r="K72" s="12">
        <f t="shared" si="5"/>
        <v>64978.000000000007</v>
      </c>
    </row>
    <row r="73" spans="2:11" x14ac:dyDescent="0.25">
      <c r="B73" s="18">
        <v>42807</v>
      </c>
      <c r="C73" s="13" t="s">
        <v>368</v>
      </c>
      <c r="D73" s="11"/>
      <c r="E73" s="11"/>
      <c r="F73" s="11"/>
      <c r="G73" s="11"/>
      <c r="H73" s="11">
        <v>350</v>
      </c>
      <c r="I73" s="11"/>
      <c r="J73" s="12">
        <f t="shared" si="4"/>
        <v>30944.35</v>
      </c>
      <c r="K73" s="12">
        <f t="shared" si="5"/>
        <v>64628.000000000007</v>
      </c>
    </row>
    <row r="74" spans="2:11" x14ac:dyDescent="0.25">
      <c r="B74" s="18">
        <v>42807</v>
      </c>
      <c r="C74" s="13" t="s">
        <v>359</v>
      </c>
      <c r="D74" s="11">
        <v>11375</v>
      </c>
      <c r="E74" s="11"/>
      <c r="F74" s="11"/>
      <c r="G74" s="11"/>
      <c r="H74" s="11"/>
      <c r="I74" s="11"/>
      <c r="J74" s="12">
        <f t="shared" si="4"/>
        <v>30944.35</v>
      </c>
      <c r="K74" s="12">
        <f t="shared" si="5"/>
        <v>76003</v>
      </c>
    </row>
    <row r="75" spans="2:11" x14ac:dyDescent="0.25">
      <c r="B75" s="18">
        <v>42807</v>
      </c>
      <c r="C75" s="13" t="s">
        <v>360</v>
      </c>
      <c r="D75" s="11">
        <v>1600</v>
      </c>
      <c r="E75" s="11"/>
      <c r="F75" s="11"/>
      <c r="G75" s="11"/>
      <c r="H75" s="11"/>
      <c r="I75" s="11"/>
      <c r="J75" s="12">
        <f t="shared" si="4"/>
        <v>30944.35</v>
      </c>
      <c r="K75" s="12">
        <f t="shared" si="5"/>
        <v>77603</v>
      </c>
    </row>
    <row r="76" spans="2:11" x14ac:dyDescent="0.25">
      <c r="B76" s="18">
        <v>42809</v>
      </c>
      <c r="C76" s="13" t="s">
        <v>369</v>
      </c>
      <c r="D76" s="11"/>
      <c r="E76" s="11"/>
      <c r="F76" s="11"/>
      <c r="G76" s="11"/>
      <c r="H76" s="11">
        <v>450</v>
      </c>
      <c r="I76" s="11"/>
      <c r="J76" s="12">
        <f t="shared" si="4"/>
        <v>30944.35</v>
      </c>
      <c r="K76" s="12">
        <f t="shared" si="5"/>
        <v>77153</v>
      </c>
    </row>
    <row r="77" spans="2:11" x14ac:dyDescent="0.25">
      <c r="B77" s="18">
        <v>42809</v>
      </c>
      <c r="C77" s="13" t="s">
        <v>362</v>
      </c>
      <c r="D77" s="11"/>
      <c r="E77" s="11"/>
      <c r="F77" s="11"/>
      <c r="G77" s="11"/>
      <c r="H77" s="11">
        <v>89</v>
      </c>
      <c r="I77" s="11"/>
      <c r="J77" s="12">
        <f t="shared" si="4"/>
        <v>30944.35</v>
      </c>
      <c r="K77" s="12">
        <f t="shared" si="5"/>
        <v>77064</v>
      </c>
    </row>
    <row r="78" spans="2:11" x14ac:dyDescent="0.25">
      <c r="B78" s="18">
        <v>42781</v>
      </c>
      <c r="C78" s="13" t="s">
        <v>363</v>
      </c>
      <c r="D78" s="11"/>
      <c r="E78" s="11"/>
      <c r="F78" s="11"/>
      <c r="G78" s="11"/>
      <c r="H78" s="11">
        <v>830</v>
      </c>
      <c r="I78" s="11"/>
      <c r="J78" s="12">
        <f t="shared" si="4"/>
        <v>30944.35</v>
      </c>
      <c r="K78" s="12">
        <f t="shared" si="5"/>
        <v>76234</v>
      </c>
    </row>
    <row r="79" spans="2:11" x14ac:dyDescent="0.25">
      <c r="B79" s="18">
        <v>42781</v>
      </c>
      <c r="C79" s="13" t="s">
        <v>364</v>
      </c>
      <c r="D79" s="11"/>
      <c r="E79" s="11"/>
      <c r="F79" s="11"/>
      <c r="G79" s="15"/>
      <c r="H79" s="11">
        <v>350</v>
      </c>
      <c r="I79" s="15"/>
      <c r="J79" s="12">
        <f t="shared" si="4"/>
        <v>30944.35</v>
      </c>
      <c r="K79" s="12">
        <f t="shared" si="5"/>
        <v>75884</v>
      </c>
    </row>
    <row r="80" spans="2:11" x14ac:dyDescent="0.25">
      <c r="B80" s="18">
        <v>42809</v>
      </c>
      <c r="C80" s="13" t="s">
        <v>370</v>
      </c>
      <c r="D80" s="11"/>
      <c r="E80" s="11"/>
      <c r="F80" s="11"/>
      <c r="G80" s="15"/>
      <c r="H80" s="11">
        <v>4000</v>
      </c>
      <c r="I80" s="15"/>
      <c r="J80" s="12">
        <f t="shared" si="4"/>
        <v>30944.35</v>
      </c>
      <c r="K80" s="12">
        <f t="shared" si="5"/>
        <v>71884</v>
      </c>
    </row>
    <row r="81" spans="2:12" x14ac:dyDescent="0.25">
      <c r="B81" s="18">
        <v>42781</v>
      </c>
      <c r="C81" s="13" t="s">
        <v>365</v>
      </c>
      <c r="D81" s="11"/>
      <c r="E81" s="11"/>
      <c r="F81" s="11"/>
      <c r="G81" s="11"/>
      <c r="H81" s="11">
        <v>93</v>
      </c>
      <c r="I81" s="15"/>
      <c r="J81" s="12">
        <f t="shared" si="4"/>
        <v>30944.35</v>
      </c>
      <c r="K81" s="12">
        <f t="shared" si="5"/>
        <v>71791</v>
      </c>
    </row>
    <row r="82" spans="2:12" x14ac:dyDescent="0.25">
      <c r="B82" s="18">
        <v>42809</v>
      </c>
      <c r="C82" s="13" t="s">
        <v>366</v>
      </c>
      <c r="D82" s="11"/>
      <c r="E82" s="11"/>
      <c r="F82" s="11"/>
      <c r="G82" s="15"/>
      <c r="H82" s="11">
        <v>458.01</v>
      </c>
      <c r="I82" s="15"/>
      <c r="J82" s="12">
        <f t="shared" si="4"/>
        <v>30944.35</v>
      </c>
      <c r="K82" s="12">
        <f t="shared" si="5"/>
        <v>71332.990000000005</v>
      </c>
    </row>
    <row r="83" spans="2:12" x14ac:dyDescent="0.25">
      <c r="B83" s="18">
        <v>42809</v>
      </c>
      <c r="C83" s="13" t="s">
        <v>366</v>
      </c>
      <c r="D83" s="11"/>
      <c r="E83" s="11"/>
      <c r="F83" s="11"/>
      <c r="G83" s="15"/>
      <c r="H83" s="11">
        <v>618.01</v>
      </c>
      <c r="I83" s="15"/>
      <c r="J83" s="12">
        <f t="shared" si="4"/>
        <v>30944.35</v>
      </c>
      <c r="K83" s="12">
        <f t="shared" si="5"/>
        <v>70714.98000000001</v>
      </c>
    </row>
    <row r="84" spans="2:12" x14ac:dyDescent="0.25">
      <c r="B84" s="18">
        <v>42809</v>
      </c>
      <c r="C84" s="13" t="s">
        <v>367</v>
      </c>
      <c r="D84" s="11"/>
      <c r="E84" s="11"/>
      <c r="F84" s="11"/>
      <c r="G84" s="11">
        <v>4125</v>
      </c>
      <c r="H84" s="11"/>
      <c r="I84" s="15"/>
      <c r="J84" s="12">
        <f t="shared" si="4"/>
        <v>26819.35</v>
      </c>
      <c r="K84" s="12">
        <f t="shared" si="5"/>
        <v>70714.98000000001</v>
      </c>
    </row>
    <row r="85" spans="2:12" x14ac:dyDescent="0.25">
      <c r="B85" s="23">
        <v>42810</v>
      </c>
      <c r="C85" s="13" t="s">
        <v>371</v>
      </c>
      <c r="D85" s="11"/>
      <c r="E85" s="11"/>
      <c r="F85" s="17"/>
      <c r="G85" s="65"/>
      <c r="H85" s="11">
        <v>100</v>
      </c>
      <c r="I85" s="15"/>
      <c r="J85" s="12">
        <f t="shared" si="4"/>
        <v>26819.35</v>
      </c>
      <c r="K85" s="12">
        <f t="shared" si="5"/>
        <v>70614.98000000001</v>
      </c>
    </row>
    <row r="86" spans="2:12" x14ac:dyDescent="0.25">
      <c r="B86" s="18">
        <v>42810</v>
      </c>
      <c r="C86" s="13" t="s">
        <v>372</v>
      </c>
      <c r="D86" s="11"/>
      <c r="E86" s="11"/>
      <c r="F86" s="11"/>
      <c r="G86" s="15"/>
      <c r="H86" s="11">
        <v>200</v>
      </c>
      <c r="I86" s="15"/>
      <c r="J86" s="12">
        <f t="shared" si="4"/>
        <v>26819.35</v>
      </c>
      <c r="K86" s="12">
        <f t="shared" si="5"/>
        <v>70414.98000000001</v>
      </c>
    </row>
    <row r="87" spans="2:12" x14ac:dyDescent="0.25">
      <c r="B87" s="18">
        <v>42810</v>
      </c>
      <c r="C87" s="13" t="s">
        <v>373</v>
      </c>
      <c r="D87" s="11"/>
      <c r="E87" s="11"/>
      <c r="F87" s="11"/>
      <c r="G87" s="15"/>
      <c r="H87" s="11">
        <v>350</v>
      </c>
      <c r="I87" s="15"/>
      <c r="J87" s="12">
        <f t="shared" si="4"/>
        <v>26819.35</v>
      </c>
      <c r="K87" s="12">
        <f t="shared" si="5"/>
        <v>70064.98000000001</v>
      </c>
    </row>
    <row r="88" spans="2:12" x14ac:dyDescent="0.25">
      <c r="B88" s="18">
        <v>42810</v>
      </c>
      <c r="C88" s="13" t="s">
        <v>374</v>
      </c>
      <c r="D88" s="11"/>
      <c r="E88" s="11"/>
      <c r="F88" s="11"/>
      <c r="G88" s="15"/>
      <c r="H88" s="11">
        <v>48</v>
      </c>
      <c r="I88" s="15"/>
      <c r="J88" s="12">
        <f t="shared" si="4"/>
        <v>26819.35</v>
      </c>
      <c r="K88" s="12">
        <f t="shared" si="5"/>
        <v>70016.98000000001</v>
      </c>
    </row>
    <row r="89" spans="2:12" x14ac:dyDescent="0.25">
      <c r="B89" s="18">
        <v>42810</v>
      </c>
      <c r="C89" s="13" t="s">
        <v>375</v>
      </c>
      <c r="D89" s="11"/>
      <c r="E89" s="11"/>
      <c r="F89" s="11"/>
      <c r="G89" s="15"/>
      <c r="H89" s="11">
        <v>201</v>
      </c>
      <c r="I89" s="15"/>
      <c r="J89" s="12">
        <f t="shared" si="4"/>
        <v>26819.35</v>
      </c>
      <c r="K89" s="12">
        <f t="shared" si="5"/>
        <v>69815.98000000001</v>
      </c>
    </row>
    <row r="90" spans="2:12" x14ac:dyDescent="0.25">
      <c r="B90" s="18">
        <v>42810</v>
      </c>
      <c r="C90" s="13" t="s">
        <v>376</v>
      </c>
      <c r="D90" s="11"/>
      <c r="E90" s="11"/>
      <c r="F90" s="11"/>
      <c r="G90" s="15"/>
      <c r="H90" s="11">
        <v>80</v>
      </c>
      <c r="I90" s="15"/>
      <c r="J90" s="12">
        <f t="shared" si="4"/>
        <v>26819.35</v>
      </c>
      <c r="K90" s="12">
        <f t="shared" si="5"/>
        <v>69735.98000000001</v>
      </c>
    </row>
    <row r="91" spans="2:12" x14ac:dyDescent="0.25">
      <c r="B91" s="18">
        <v>42811</v>
      </c>
      <c r="C91" s="13" t="s">
        <v>377</v>
      </c>
      <c r="D91" s="11"/>
      <c r="E91" s="11"/>
      <c r="F91" s="11"/>
      <c r="G91" s="15"/>
      <c r="H91" s="11">
        <v>1000</v>
      </c>
      <c r="I91" s="15"/>
      <c r="J91" s="12">
        <f t="shared" si="4"/>
        <v>26819.35</v>
      </c>
      <c r="K91" s="12">
        <f t="shared" si="5"/>
        <v>68735.98000000001</v>
      </c>
    </row>
    <row r="92" spans="2:12" x14ac:dyDescent="0.25">
      <c r="B92" s="18">
        <v>42811</v>
      </c>
      <c r="C92" s="13" t="s">
        <v>378</v>
      </c>
      <c r="D92" s="11"/>
      <c r="E92" s="11"/>
      <c r="F92" s="11"/>
      <c r="G92" s="15"/>
      <c r="H92" s="11">
        <v>420</v>
      </c>
      <c r="I92" s="15"/>
      <c r="J92" s="12">
        <f t="shared" si="4"/>
        <v>26819.35</v>
      </c>
      <c r="K92" s="12">
        <f t="shared" si="5"/>
        <v>68315.98000000001</v>
      </c>
      <c r="L92" s="1"/>
    </row>
    <row r="93" spans="2:12" x14ac:dyDescent="0.25">
      <c r="B93" s="18">
        <v>42811</v>
      </c>
      <c r="C93" s="13" t="s">
        <v>379</v>
      </c>
      <c r="D93" s="41"/>
      <c r="E93" s="41"/>
      <c r="F93" s="41"/>
      <c r="G93" s="41"/>
      <c r="H93" s="11">
        <v>500</v>
      </c>
      <c r="I93" s="11"/>
      <c r="J93" s="12">
        <f t="shared" si="4"/>
        <v>26819.35</v>
      </c>
      <c r="K93" s="12">
        <f t="shared" si="5"/>
        <v>67815.98000000001</v>
      </c>
    </row>
    <row r="94" spans="2:12" x14ac:dyDescent="0.25">
      <c r="B94" s="18">
        <v>42813</v>
      </c>
      <c r="C94" s="13" t="s">
        <v>380</v>
      </c>
      <c r="D94" s="41"/>
      <c r="E94" s="41"/>
      <c r="F94" s="41"/>
      <c r="G94" s="41"/>
      <c r="H94" s="11">
        <v>122.5</v>
      </c>
      <c r="I94" s="11"/>
      <c r="J94" s="12">
        <f t="shared" si="4"/>
        <v>26819.35</v>
      </c>
      <c r="K94" s="12">
        <f t="shared" si="5"/>
        <v>67693.48000000001</v>
      </c>
    </row>
    <row r="95" spans="2:12" x14ac:dyDescent="0.25">
      <c r="B95" s="18">
        <v>42813</v>
      </c>
      <c r="C95" s="13" t="s">
        <v>381</v>
      </c>
      <c r="D95" s="41"/>
      <c r="E95" s="41"/>
      <c r="F95" s="41"/>
      <c r="G95" s="41"/>
      <c r="H95" s="11">
        <v>150</v>
      </c>
      <c r="I95" s="11"/>
      <c r="J95" s="12">
        <f t="shared" si="4"/>
        <v>26819.35</v>
      </c>
      <c r="K95" s="12">
        <f t="shared" si="5"/>
        <v>67543.48000000001</v>
      </c>
    </row>
    <row r="96" spans="2:12" x14ac:dyDescent="0.25">
      <c r="B96" s="18">
        <v>42813</v>
      </c>
      <c r="C96" s="13" t="s">
        <v>42</v>
      </c>
      <c r="D96" s="11"/>
      <c r="E96" s="11"/>
      <c r="F96" s="11"/>
      <c r="G96" s="15"/>
      <c r="H96" s="11">
        <v>120</v>
      </c>
      <c r="I96" s="15"/>
      <c r="J96" s="12">
        <f t="shared" si="4"/>
        <v>26819.35</v>
      </c>
      <c r="K96" s="12">
        <f t="shared" si="5"/>
        <v>67423.48000000001</v>
      </c>
    </row>
    <row r="97" spans="2:11" x14ac:dyDescent="0.25">
      <c r="B97" s="18">
        <v>42814</v>
      </c>
      <c r="C97" s="13" t="s">
        <v>382</v>
      </c>
      <c r="D97" s="11"/>
      <c r="E97" s="11"/>
      <c r="F97" s="11"/>
      <c r="G97" s="15"/>
      <c r="H97" s="11">
        <v>400</v>
      </c>
      <c r="I97" s="15"/>
      <c r="J97" s="12">
        <f t="shared" si="4"/>
        <v>26819.35</v>
      </c>
      <c r="K97" s="12">
        <f t="shared" si="5"/>
        <v>67023.48000000001</v>
      </c>
    </row>
    <row r="98" spans="2:11" x14ac:dyDescent="0.25">
      <c r="B98" s="18">
        <v>42814</v>
      </c>
      <c r="C98" s="13" t="s">
        <v>383</v>
      </c>
      <c r="D98" s="11"/>
      <c r="E98" s="11"/>
      <c r="F98" s="11"/>
      <c r="G98" s="15"/>
      <c r="H98" s="11">
        <v>400</v>
      </c>
      <c r="I98" s="15"/>
      <c r="J98" s="12">
        <f t="shared" si="4"/>
        <v>26819.35</v>
      </c>
      <c r="K98" s="12">
        <f t="shared" si="5"/>
        <v>66623.48000000001</v>
      </c>
    </row>
    <row r="99" spans="2:11" x14ac:dyDescent="0.25">
      <c r="B99" s="18">
        <v>42814</v>
      </c>
      <c r="C99" s="13" t="s">
        <v>384</v>
      </c>
      <c r="D99" s="11"/>
      <c r="E99" s="11"/>
      <c r="F99" s="11"/>
      <c r="G99" s="15"/>
      <c r="H99" s="11">
        <v>500</v>
      </c>
      <c r="I99" s="15"/>
      <c r="J99" s="12">
        <f t="shared" si="4"/>
        <v>26819.35</v>
      </c>
      <c r="K99" s="12">
        <f t="shared" si="5"/>
        <v>66123.48000000001</v>
      </c>
    </row>
    <row r="100" spans="2:11" x14ac:dyDescent="0.25">
      <c r="B100" s="18">
        <v>42815</v>
      </c>
      <c r="C100" s="13" t="s">
        <v>385</v>
      </c>
      <c r="D100" s="11">
        <v>4000</v>
      </c>
      <c r="E100" s="11"/>
      <c r="F100" s="11"/>
      <c r="G100" s="15"/>
      <c r="H100" s="11"/>
      <c r="I100" s="15"/>
      <c r="J100" s="12">
        <f t="shared" si="4"/>
        <v>26819.35</v>
      </c>
      <c r="K100" s="12">
        <f t="shared" si="5"/>
        <v>70123.48000000001</v>
      </c>
    </row>
    <row r="101" spans="2:11" x14ac:dyDescent="0.25">
      <c r="B101" s="18">
        <v>42815</v>
      </c>
      <c r="C101" s="13" t="s">
        <v>386</v>
      </c>
      <c r="D101" s="11"/>
      <c r="E101" s="11"/>
      <c r="F101" s="11"/>
      <c r="G101" s="15"/>
      <c r="H101" s="11">
        <v>4000</v>
      </c>
      <c r="I101" s="15"/>
      <c r="J101" s="12">
        <f t="shared" si="4"/>
        <v>26819.35</v>
      </c>
      <c r="K101" s="12">
        <f t="shared" si="5"/>
        <v>66123.48000000001</v>
      </c>
    </row>
    <row r="102" spans="2:11" x14ac:dyDescent="0.25">
      <c r="B102" s="18">
        <v>42815</v>
      </c>
      <c r="C102" s="13" t="s">
        <v>388</v>
      </c>
      <c r="D102" s="11">
        <v>17950</v>
      </c>
      <c r="E102" s="11"/>
      <c r="F102" s="11"/>
      <c r="G102" s="15"/>
      <c r="H102" s="11"/>
      <c r="I102" s="15"/>
      <c r="J102" s="12">
        <f t="shared" si="4"/>
        <v>26819.35</v>
      </c>
      <c r="K102" s="12">
        <f t="shared" si="5"/>
        <v>84073.48000000001</v>
      </c>
    </row>
    <row r="103" spans="2:11" x14ac:dyDescent="0.25">
      <c r="B103" s="18">
        <v>42815</v>
      </c>
      <c r="C103" s="13" t="s">
        <v>389</v>
      </c>
      <c r="D103" s="11">
        <v>1400</v>
      </c>
      <c r="E103" s="11"/>
      <c r="F103" s="11"/>
      <c r="G103" s="15"/>
      <c r="H103" s="11"/>
      <c r="I103" s="15"/>
      <c r="J103" s="12">
        <f t="shared" si="4"/>
        <v>26819.35</v>
      </c>
      <c r="K103" s="12">
        <f t="shared" si="5"/>
        <v>85473.48000000001</v>
      </c>
    </row>
    <row r="104" spans="2:11" x14ac:dyDescent="0.25">
      <c r="B104" s="18">
        <v>42815</v>
      </c>
      <c r="C104" s="13" t="s">
        <v>387</v>
      </c>
      <c r="D104" s="11"/>
      <c r="E104" s="11"/>
      <c r="F104" s="11"/>
      <c r="G104" s="15"/>
      <c r="H104" s="11">
        <v>200</v>
      </c>
      <c r="I104" s="15"/>
      <c r="J104" s="12">
        <f t="shared" si="4"/>
        <v>26819.35</v>
      </c>
      <c r="K104" s="12">
        <f t="shared" si="5"/>
        <v>85273.48000000001</v>
      </c>
    </row>
    <row r="105" spans="2:11" x14ac:dyDescent="0.25">
      <c r="B105" s="18">
        <v>42815</v>
      </c>
      <c r="C105" s="13" t="s">
        <v>390</v>
      </c>
      <c r="D105" s="11"/>
      <c r="E105" s="11"/>
      <c r="F105" s="11"/>
      <c r="G105" s="15"/>
      <c r="H105" s="11">
        <v>870</v>
      </c>
      <c r="I105" s="15"/>
      <c r="J105" s="12">
        <f t="shared" si="4"/>
        <v>26819.35</v>
      </c>
      <c r="K105" s="12">
        <f t="shared" si="5"/>
        <v>84403.48000000001</v>
      </c>
    </row>
    <row r="106" spans="2:11" x14ac:dyDescent="0.25">
      <c r="B106" s="18">
        <v>42815</v>
      </c>
      <c r="C106" s="13" t="s">
        <v>391</v>
      </c>
      <c r="D106" s="11"/>
      <c r="E106" s="11"/>
      <c r="F106" s="11"/>
      <c r="G106" s="15"/>
      <c r="H106" s="11">
        <v>1400</v>
      </c>
      <c r="I106" s="15"/>
      <c r="J106" s="12">
        <f t="shared" si="4"/>
        <v>26819.35</v>
      </c>
      <c r="K106" s="12">
        <f t="shared" si="5"/>
        <v>83003.48000000001</v>
      </c>
    </row>
    <row r="107" spans="2:11" x14ac:dyDescent="0.25">
      <c r="B107" s="18">
        <v>42815</v>
      </c>
      <c r="C107" s="13" t="s">
        <v>392</v>
      </c>
      <c r="D107" s="11"/>
      <c r="E107" s="11"/>
      <c r="F107" s="11"/>
      <c r="G107" s="15"/>
      <c r="H107" s="11">
        <v>210</v>
      </c>
      <c r="I107" s="15"/>
      <c r="J107" s="12">
        <f t="shared" si="4"/>
        <v>26819.35</v>
      </c>
      <c r="K107" s="12">
        <f t="shared" si="5"/>
        <v>82793.48000000001</v>
      </c>
    </row>
    <row r="108" spans="2:11" x14ac:dyDescent="0.25">
      <c r="B108" s="18">
        <v>42815</v>
      </c>
      <c r="C108" s="13" t="s">
        <v>393</v>
      </c>
      <c r="D108" s="11"/>
      <c r="E108" s="11"/>
      <c r="F108" s="11"/>
      <c r="G108" s="15"/>
      <c r="H108" s="11">
        <v>300</v>
      </c>
      <c r="I108" s="15"/>
      <c r="J108" s="12">
        <f>+J107+E108-G108</f>
        <v>26819.35</v>
      </c>
      <c r="K108" s="12">
        <f>+K107+D108-H108</f>
        <v>82493.48000000001</v>
      </c>
    </row>
    <row r="109" spans="2:11" ht="15.75" thickBot="1" x14ac:dyDescent="0.3">
      <c r="B109" s="18">
        <v>42815</v>
      </c>
      <c r="C109" s="13" t="s">
        <v>394</v>
      </c>
      <c r="D109" s="11"/>
      <c r="E109" s="11"/>
      <c r="F109" s="11"/>
      <c r="G109" s="15"/>
      <c r="H109" s="11">
        <v>350</v>
      </c>
      <c r="I109" s="15"/>
      <c r="J109" s="12">
        <f>+J108+E109-G109</f>
        <v>26819.35</v>
      </c>
      <c r="K109" s="12">
        <f>+K108+D109-H109</f>
        <v>82143.48000000001</v>
      </c>
    </row>
    <row r="110" spans="2:11" ht="15.75" thickBot="1" x14ac:dyDescent="0.3">
      <c r="B110" s="5"/>
      <c r="C110" s="7" t="s">
        <v>0</v>
      </c>
      <c r="D110" s="63">
        <f>SUM(D58:D109)</f>
        <v>76725</v>
      </c>
      <c r="E110" s="61">
        <f>SUM(E58:E109)</f>
        <v>0</v>
      </c>
      <c r="F110" s="72">
        <f>SUM(D110:E110)</f>
        <v>76725</v>
      </c>
      <c r="G110" s="72">
        <f>SUM(G58:G109)</f>
        <v>4125</v>
      </c>
      <c r="H110" s="63">
        <f>SUM(H58:H109)</f>
        <v>78522.319999999992</v>
      </c>
      <c r="I110" s="72">
        <f>SUM(G110:H110)</f>
        <v>82647.319999999992</v>
      </c>
      <c r="J110" s="20"/>
      <c r="K110" s="20"/>
    </row>
    <row r="111" spans="2:11" ht="15.75" thickBot="1" x14ac:dyDescent="0.3">
      <c r="B111" s="108"/>
      <c r="C111" s="109"/>
      <c r="D111" s="110"/>
      <c r="E111" s="111"/>
      <c r="F111" s="112"/>
      <c r="G111" s="112"/>
      <c r="H111" s="110"/>
      <c r="I111" s="112"/>
      <c r="J111" s="79"/>
      <c r="K111" s="79"/>
    </row>
    <row r="112" spans="2:11" x14ac:dyDescent="0.25">
      <c r="B112" s="69" t="s">
        <v>1</v>
      </c>
      <c r="C112" s="69" t="s">
        <v>2</v>
      </c>
      <c r="D112" s="69" t="s">
        <v>3</v>
      </c>
      <c r="E112" s="69" t="s">
        <v>3</v>
      </c>
      <c r="F112" s="69" t="s">
        <v>23</v>
      </c>
      <c r="G112" s="69" t="s">
        <v>4</v>
      </c>
      <c r="H112" s="48" t="s">
        <v>24</v>
      </c>
      <c r="I112" s="48" t="s">
        <v>23</v>
      </c>
      <c r="J112" s="69" t="s">
        <v>9</v>
      </c>
      <c r="K112" s="48" t="s">
        <v>8</v>
      </c>
    </row>
    <row r="113" spans="2:11" ht="15.75" thickBot="1" x14ac:dyDescent="0.3">
      <c r="B113" s="70"/>
      <c r="C113" s="70"/>
      <c r="D113" s="70" t="s">
        <v>5</v>
      </c>
      <c r="E113" s="70" t="s">
        <v>25</v>
      </c>
      <c r="F113" s="70" t="s">
        <v>3</v>
      </c>
      <c r="G113" s="70" t="s">
        <v>25</v>
      </c>
      <c r="H113" s="71" t="s">
        <v>5</v>
      </c>
      <c r="I113" s="71" t="s">
        <v>4</v>
      </c>
      <c r="J113" s="70"/>
      <c r="K113" s="71"/>
    </row>
    <row r="114" spans="2:11" ht="15.75" thickBot="1" x14ac:dyDescent="0.3">
      <c r="B114" s="75"/>
      <c r="C114" s="7" t="s">
        <v>0</v>
      </c>
      <c r="D114" s="63">
        <v>76725</v>
      </c>
      <c r="E114" s="61">
        <v>0</v>
      </c>
      <c r="F114" s="72">
        <f>SUM(D114:E114)</f>
        <v>76725</v>
      </c>
      <c r="G114" s="72">
        <v>4125</v>
      </c>
      <c r="H114" s="63">
        <v>78522.320000000007</v>
      </c>
      <c r="I114" s="72">
        <f>SUM(G114:H114)</f>
        <v>82647.320000000007</v>
      </c>
      <c r="J114" s="20">
        <v>26819.35</v>
      </c>
      <c r="K114" s="20">
        <v>82143.48</v>
      </c>
    </row>
    <row r="115" spans="2:11" x14ac:dyDescent="0.25">
      <c r="B115" s="18">
        <v>42815</v>
      </c>
      <c r="C115" s="13" t="s">
        <v>395</v>
      </c>
      <c r="D115" s="11"/>
      <c r="E115" s="11"/>
      <c r="F115" s="11"/>
      <c r="G115" s="15"/>
      <c r="H115" s="11">
        <v>400</v>
      </c>
      <c r="I115" s="15"/>
      <c r="J115" s="12">
        <f>+J114+E115-G115</f>
        <v>26819.35</v>
      </c>
      <c r="K115" s="12">
        <f>+K114+D115-H115</f>
        <v>81743.48</v>
      </c>
    </row>
    <row r="116" spans="2:11" x14ac:dyDescent="0.25">
      <c r="B116" s="18">
        <v>42816</v>
      </c>
      <c r="C116" s="13" t="s">
        <v>396</v>
      </c>
      <c r="D116" s="11"/>
      <c r="E116" s="11"/>
      <c r="F116" s="11"/>
      <c r="G116" s="15"/>
      <c r="H116" s="11">
        <v>500</v>
      </c>
      <c r="I116" s="15"/>
      <c r="J116" s="12">
        <f t="shared" ref="J116:J125" si="6">+J115+E116-G116</f>
        <v>26819.35</v>
      </c>
      <c r="K116" s="12">
        <f t="shared" ref="K116:K125" si="7">+K115+D116-H116</f>
        <v>81243.48</v>
      </c>
    </row>
    <row r="117" spans="2:11" x14ac:dyDescent="0.25">
      <c r="B117" s="18">
        <v>42816</v>
      </c>
      <c r="C117" s="13" t="s">
        <v>397</v>
      </c>
      <c r="D117" s="11"/>
      <c r="E117" s="11"/>
      <c r="F117" s="11"/>
      <c r="G117" s="15"/>
      <c r="H117" s="11">
        <v>406</v>
      </c>
      <c r="I117" s="15"/>
      <c r="J117" s="12">
        <f t="shared" si="6"/>
        <v>26819.35</v>
      </c>
      <c r="K117" s="12">
        <f t="shared" si="7"/>
        <v>80837.48</v>
      </c>
    </row>
    <row r="118" spans="2:11" x14ac:dyDescent="0.25">
      <c r="B118" s="18">
        <v>42816</v>
      </c>
      <c r="C118" s="13" t="s">
        <v>398</v>
      </c>
      <c r="D118" s="11"/>
      <c r="E118" s="11"/>
      <c r="F118" s="11"/>
      <c r="G118" s="15"/>
      <c r="H118" s="11">
        <v>54.5</v>
      </c>
      <c r="I118" s="15"/>
      <c r="J118" s="12">
        <f t="shared" si="6"/>
        <v>26819.35</v>
      </c>
      <c r="K118" s="12">
        <f t="shared" si="7"/>
        <v>80782.98</v>
      </c>
    </row>
    <row r="119" spans="2:11" x14ac:dyDescent="0.25">
      <c r="B119" s="18">
        <v>42816</v>
      </c>
      <c r="C119" s="13" t="s">
        <v>399</v>
      </c>
      <c r="D119" s="11"/>
      <c r="E119" s="11"/>
      <c r="F119" s="11"/>
      <c r="G119" s="15"/>
      <c r="H119" s="11">
        <v>139</v>
      </c>
      <c r="I119" s="15"/>
      <c r="J119" s="12">
        <f t="shared" si="6"/>
        <v>26819.35</v>
      </c>
      <c r="K119" s="12">
        <f t="shared" si="7"/>
        <v>80643.98</v>
      </c>
    </row>
    <row r="120" spans="2:11" x14ac:dyDescent="0.25">
      <c r="B120" s="18">
        <v>42816</v>
      </c>
      <c r="C120" s="13" t="s">
        <v>400</v>
      </c>
      <c r="D120" s="11"/>
      <c r="E120" s="11"/>
      <c r="F120" s="11"/>
      <c r="G120" s="15"/>
      <c r="H120" s="11">
        <v>300</v>
      </c>
      <c r="I120" s="15"/>
      <c r="J120" s="12">
        <f t="shared" si="6"/>
        <v>26819.35</v>
      </c>
      <c r="K120" s="12">
        <f t="shared" si="7"/>
        <v>80343.98</v>
      </c>
    </row>
    <row r="121" spans="2:11" x14ac:dyDescent="0.25">
      <c r="B121" s="18">
        <v>42816</v>
      </c>
      <c r="C121" s="35" t="s">
        <v>402</v>
      </c>
      <c r="D121" s="11"/>
      <c r="E121" s="11"/>
      <c r="F121" s="11"/>
      <c r="G121" s="15"/>
      <c r="H121" s="11">
        <v>14000</v>
      </c>
      <c r="I121" s="15"/>
      <c r="J121" s="12">
        <f t="shared" si="6"/>
        <v>26819.35</v>
      </c>
      <c r="K121" s="12">
        <f t="shared" si="7"/>
        <v>66343.98</v>
      </c>
    </row>
    <row r="122" spans="2:11" x14ac:dyDescent="0.25">
      <c r="B122" s="18">
        <v>42816</v>
      </c>
      <c r="C122" s="13" t="s">
        <v>403</v>
      </c>
      <c r="D122" s="11"/>
      <c r="E122" s="11"/>
      <c r="F122" s="11"/>
      <c r="G122" s="15"/>
      <c r="H122" s="11">
        <v>250</v>
      </c>
      <c r="I122" s="15"/>
      <c r="J122" s="12">
        <f t="shared" si="6"/>
        <v>26819.35</v>
      </c>
      <c r="K122" s="12">
        <f t="shared" si="7"/>
        <v>66093.98</v>
      </c>
    </row>
    <row r="123" spans="2:11" x14ac:dyDescent="0.25">
      <c r="B123" s="18">
        <v>42816</v>
      </c>
      <c r="C123" s="13" t="s">
        <v>404</v>
      </c>
      <c r="D123" s="11"/>
      <c r="E123" s="11"/>
      <c r="F123" s="11"/>
      <c r="G123" s="15"/>
      <c r="H123" s="11">
        <v>2000</v>
      </c>
      <c r="I123" s="15"/>
      <c r="J123" s="12">
        <f t="shared" si="6"/>
        <v>26819.35</v>
      </c>
      <c r="K123" s="12">
        <f t="shared" si="7"/>
        <v>64093.979999999996</v>
      </c>
    </row>
    <row r="124" spans="2:11" x14ac:dyDescent="0.25">
      <c r="B124" s="18">
        <v>42817</v>
      </c>
      <c r="C124" s="13" t="s">
        <v>405</v>
      </c>
      <c r="D124" s="11"/>
      <c r="E124" s="11"/>
      <c r="F124" s="11"/>
      <c r="G124" s="15"/>
      <c r="H124" s="11">
        <v>50</v>
      </c>
      <c r="I124" s="15"/>
      <c r="J124" s="12">
        <f t="shared" si="6"/>
        <v>26819.35</v>
      </c>
      <c r="K124" s="12">
        <f t="shared" si="7"/>
        <v>64043.979999999996</v>
      </c>
    </row>
    <row r="125" spans="2:11" x14ac:dyDescent="0.25">
      <c r="B125" s="18">
        <v>42817</v>
      </c>
      <c r="C125" s="13" t="s">
        <v>406</v>
      </c>
      <c r="D125" s="11"/>
      <c r="E125" s="11"/>
      <c r="F125" s="11"/>
      <c r="G125" s="15"/>
      <c r="H125" s="11">
        <v>92.5</v>
      </c>
      <c r="I125" s="15"/>
      <c r="J125" s="12">
        <f t="shared" si="6"/>
        <v>26819.35</v>
      </c>
      <c r="K125" s="12">
        <f t="shared" si="7"/>
        <v>63951.479999999996</v>
      </c>
    </row>
    <row r="126" spans="2:11" x14ac:dyDescent="0.25">
      <c r="B126" s="18">
        <v>42817</v>
      </c>
      <c r="C126" s="13" t="s">
        <v>44</v>
      </c>
      <c r="D126" s="11"/>
      <c r="E126" s="11"/>
      <c r="F126" s="11"/>
      <c r="G126" s="15"/>
      <c r="H126" s="11">
        <v>120</v>
      </c>
      <c r="I126" s="15"/>
      <c r="J126" s="12">
        <f t="shared" ref="J126:J162" si="8">+J125+E126-G126</f>
        <v>26819.35</v>
      </c>
      <c r="K126" s="12">
        <f t="shared" ref="K126:K162" si="9">+K125+D126-H126</f>
        <v>63831.479999999996</v>
      </c>
    </row>
    <row r="127" spans="2:11" x14ac:dyDescent="0.25">
      <c r="B127" s="18">
        <v>42817</v>
      </c>
      <c r="C127" s="35" t="s">
        <v>407</v>
      </c>
      <c r="D127" s="11"/>
      <c r="E127" s="11"/>
      <c r="F127" s="11"/>
      <c r="G127" s="15">
        <v>1760</v>
      </c>
      <c r="H127" s="11"/>
      <c r="I127" s="15"/>
      <c r="J127" s="12">
        <f t="shared" si="8"/>
        <v>25059.35</v>
      </c>
      <c r="K127" s="12">
        <f t="shared" si="9"/>
        <v>63831.479999999996</v>
      </c>
    </row>
    <row r="128" spans="2:11" x14ac:dyDescent="0.25">
      <c r="B128" s="18">
        <v>42817</v>
      </c>
      <c r="C128" s="103" t="s">
        <v>408</v>
      </c>
      <c r="D128" s="11"/>
      <c r="E128" s="11"/>
      <c r="F128" s="11"/>
      <c r="G128" s="15">
        <v>1300</v>
      </c>
      <c r="H128" s="11"/>
      <c r="I128" s="15"/>
      <c r="J128" s="12">
        <f t="shared" si="8"/>
        <v>23759.35</v>
      </c>
      <c r="K128" s="12">
        <f t="shared" si="9"/>
        <v>63831.479999999996</v>
      </c>
    </row>
    <row r="129" spans="2:14" x14ac:dyDescent="0.25">
      <c r="B129" s="18">
        <v>42818</v>
      </c>
      <c r="C129" s="13" t="s">
        <v>409</v>
      </c>
      <c r="D129" s="11"/>
      <c r="E129" s="11"/>
      <c r="F129" s="11"/>
      <c r="G129" s="15"/>
      <c r="H129" s="11">
        <v>1000</v>
      </c>
      <c r="I129" s="15"/>
      <c r="J129" s="12">
        <f t="shared" si="8"/>
        <v>23759.35</v>
      </c>
      <c r="K129" s="12">
        <f t="shared" si="9"/>
        <v>62831.479999999996</v>
      </c>
    </row>
    <row r="130" spans="2:14" x14ac:dyDescent="0.25">
      <c r="B130" s="18">
        <v>42818</v>
      </c>
      <c r="C130" s="13" t="s">
        <v>410</v>
      </c>
      <c r="D130" s="11"/>
      <c r="E130" s="11"/>
      <c r="F130" s="11"/>
      <c r="G130" s="15"/>
      <c r="H130" s="11">
        <v>280</v>
      </c>
      <c r="I130" s="15"/>
      <c r="J130" s="12">
        <f t="shared" si="8"/>
        <v>23759.35</v>
      </c>
      <c r="K130" s="12">
        <f t="shared" si="9"/>
        <v>62551.479999999996</v>
      </c>
    </row>
    <row r="131" spans="2:14" x14ac:dyDescent="0.25">
      <c r="B131" s="18">
        <v>42818</v>
      </c>
      <c r="C131" s="13" t="s">
        <v>411</v>
      </c>
      <c r="D131" s="11"/>
      <c r="E131" s="11"/>
      <c r="F131" s="11"/>
      <c r="G131" s="15"/>
      <c r="H131" s="11">
        <v>400</v>
      </c>
      <c r="I131" s="15"/>
      <c r="J131" s="12">
        <f t="shared" si="8"/>
        <v>23759.35</v>
      </c>
      <c r="K131" s="12">
        <f t="shared" si="9"/>
        <v>62151.479999999996</v>
      </c>
    </row>
    <row r="132" spans="2:14" x14ac:dyDescent="0.25">
      <c r="B132" s="18">
        <v>42818</v>
      </c>
      <c r="C132" s="13" t="s">
        <v>345</v>
      </c>
      <c r="D132" s="11"/>
      <c r="E132" s="11"/>
      <c r="F132" s="11"/>
      <c r="G132" s="15"/>
      <c r="H132" s="11">
        <v>100</v>
      </c>
      <c r="I132" s="15"/>
      <c r="J132" s="12">
        <f t="shared" si="8"/>
        <v>23759.35</v>
      </c>
      <c r="K132" s="12">
        <f t="shared" si="9"/>
        <v>62051.479999999996</v>
      </c>
    </row>
    <row r="133" spans="2:14" x14ac:dyDescent="0.25">
      <c r="B133" s="18">
        <v>42818</v>
      </c>
      <c r="C133" s="13" t="s">
        <v>291</v>
      </c>
      <c r="D133" s="11"/>
      <c r="E133" s="11"/>
      <c r="F133" s="11"/>
      <c r="G133" s="15"/>
      <c r="H133" s="11">
        <v>376</v>
      </c>
      <c r="I133" s="15"/>
      <c r="J133" s="12">
        <f t="shared" si="8"/>
        <v>23759.35</v>
      </c>
      <c r="K133" s="12">
        <f t="shared" si="9"/>
        <v>61675.479999999996</v>
      </c>
    </row>
    <row r="134" spans="2:14" x14ac:dyDescent="0.25">
      <c r="B134" s="18">
        <v>42819</v>
      </c>
      <c r="C134" s="13" t="s">
        <v>412</v>
      </c>
      <c r="D134" s="11"/>
      <c r="E134" s="11"/>
      <c r="F134" s="11"/>
      <c r="G134" s="15"/>
      <c r="H134" s="11">
        <v>1600</v>
      </c>
      <c r="I134" s="15"/>
      <c r="J134" s="12">
        <f t="shared" si="8"/>
        <v>23759.35</v>
      </c>
      <c r="K134" s="12">
        <f t="shared" si="9"/>
        <v>60075.479999999996</v>
      </c>
      <c r="M134">
        <v>2800</v>
      </c>
    </row>
    <row r="135" spans="2:14" x14ac:dyDescent="0.25">
      <c r="B135" s="18">
        <v>42819</v>
      </c>
      <c r="C135" s="13" t="s">
        <v>413</v>
      </c>
      <c r="D135" s="11"/>
      <c r="E135" s="11"/>
      <c r="F135" s="11"/>
      <c r="G135" s="15"/>
      <c r="H135" s="11">
        <v>500</v>
      </c>
      <c r="I135" s="15"/>
      <c r="J135" s="12">
        <f t="shared" si="8"/>
        <v>23759.35</v>
      </c>
      <c r="K135" s="12">
        <f t="shared" si="9"/>
        <v>59575.479999999996</v>
      </c>
      <c r="N135" s="1">
        <f>SUM(L134:M134)</f>
        <v>2800</v>
      </c>
    </row>
    <row r="136" spans="2:14" x14ac:dyDescent="0.25">
      <c r="B136" s="18">
        <v>42819</v>
      </c>
      <c r="C136" s="13" t="s">
        <v>414</v>
      </c>
      <c r="D136" s="11"/>
      <c r="E136" s="11"/>
      <c r="F136" s="11"/>
      <c r="G136" s="15"/>
      <c r="H136" s="11">
        <v>400</v>
      </c>
      <c r="I136" s="15"/>
      <c r="J136" s="12">
        <f t="shared" si="8"/>
        <v>23759.35</v>
      </c>
      <c r="K136" s="12">
        <f t="shared" si="9"/>
        <v>59175.479999999996</v>
      </c>
    </row>
    <row r="137" spans="2:14" x14ac:dyDescent="0.25">
      <c r="B137" s="18">
        <v>42819</v>
      </c>
      <c r="C137" s="13" t="s">
        <v>415</v>
      </c>
      <c r="D137" s="11"/>
      <c r="E137" s="11"/>
      <c r="F137" s="11"/>
      <c r="G137" s="15"/>
      <c r="H137" s="11">
        <v>250</v>
      </c>
      <c r="I137" s="15"/>
      <c r="J137" s="12">
        <f t="shared" si="8"/>
        <v>23759.35</v>
      </c>
      <c r="K137" s="12">
        <f t="shared" si="9"/>
        <v>58925.479999999996</v>
      </c>
    </row>
    <row r="138" spans="2:14" x14ac:dyDescent="0.25">
      <c r="B138" s="18">
        <v>42819</v>
      </c>
      <c r="C138" s="13" t="s">
        <v>416</v>
      </c>
      <c r="D138" s="11"/>
      <c r="E138" s="11"/>
      <c r="F138" s="11"/>
      <c r="G138" s="15"/>
      <c r="H138" s="11">
        <v>124</v>
      </c>
      <c r="I138" s="15"/>
      <c r="J138" s="12">
        <f t="shared" si="8"/>
        <v>23759.35</v>
      </c>
      <c r="K138" s="12">
        <f t="shared" si="9"/>
        <v>58801.479999999996</v>
      </c>
    </row>
    <row r="139" spans="2:14" x14ac:dyDescent="0.25">
      <c r="B139" s="18">
        <v>42820</v>
      </c>
      <c r="C139" s="13" t="s">
        <v>417</v>
      </c>
      <c r="D139" s="11"/>
      <c r="E139" s="11"/>
      <c r="F139" s="11"/>
      <c r="G139" s="15"/>
      <c r="H139" s="11">
        <v>66</v>
      </c>
      <c r="I139" s="15"/>
      <c r="J139" s="12">
        <f t="shared" si="8"/>
        <v>23759.35</v>
      </c>
      <c r="K139" s="12">
        <f t="shared" si="9"/>
        <v>58735.479999999996</v>
      </c>
    </row>
    <row r="140" spans="2:14" x14ac:dyDescent="0.25">
      <c r="B140" s="18">
        <v>42820</v>
      </c>
      <c r="C140" s="13" t="s">
        <v>418</v>
      </c>
      <c r="D140" s="11"/>
      <c r="E140" s="11"/>
      <c r="F140" s="11"/>
      <c r="G140" s="15"/>
      <c r="H140" s="11">
        <v>98.99</v>
      </c>
      <c r="I140" s="15"/>
      <c r="J140" s="12">
        <f t="shared" si="8"/>
        <v>23759.35</v>
      </c>
      <c r="K140" s="12">
        <f t="shared" si="9"/>
        <v>58636.49</v>
      </c>
    </row>
    <row r="141" spans="2:14" x14ac:dyDescent="0.25">
      <c r="B141" s="18">
        <v>42820</v>
      </c>
      <c r="C141" s="13" t="s">
        <v>419</v>
      </c>
      <c r="D141" s="11"/>
      <c r="E141" s="11"/>
      <c r="F141" s="11"/>
      <c r="G141" s="15"/>
      <c r="H141" s="11">
        <v>167</v>
      </c>
      <c r="I141" s="15"/>
      <c r="J141" s="12">
        <f t="shared" si="8"/>
        <v>23759.35</v>
      </c>
      <c r="K141" s="12">
        <f t="shared" si="9"/>
        <v>58469.49</v>
      </c>
    </row>
    <row r="142" spans="2:14" x14ac:dyDescent="0.25">
      <c r="B142" s="18">
        <v>42820</v>
      </c>
      <c r="C142" s="13" t="s">
        <v>323</v>
      </c>
      <c r="D142" s="11"/>
      <c r="E142" s="11"/>
      <c r="F142" s="11"/>
      <c r="G142" s="15"/>
      <c r="H142" s="11">
        <v>120</v>
      </c>
      <c r="I142" s="15"/>
      <c r="J142" s="12">
        <f t="shared" si="8"/>
        <v>23759.35</v>
      </c>
      <c r="K142" s="12">
        <f t="shared" si="9"/>
        <v>58349.49</v>
      </c>
    </row>
    <row r="143" spans="2:14" x14ac:dyDescent="0.25">
      <c r="B143" s="18">
        <v>42820</v>
      </c>
      <c r="C143" s="13" t="s">
        <v>420</v>
      </c>
      <c r="D143" s="11"/>
      <c r="E143" s="11"/>
      <c r="F143" s="11"/>
      <c r="G143" s="15"/>
      <c r="H143" s="11">
        <v>150</v>
      </c>
      <c r="I143" s="15"/>
      <c r="J143" s="12">
        <f t="shared" si="8"/>
        <v>23759.35</v>
      </c>
      <c r="K143" s="12">
        <f t="shared" si="9"/>
        <v>58199.49</v>
      </c>
    </row>
    <row r="144" spans="2:14" x14ac:dyDescent="0.25">
      <c r="B144" s="18">
        <v>42821</v>
      </c>
      <c r="C144" s="13" t="s">
        <v>421</v>
      </c>
      <c r="D144" s="11"/>
      <c r="E144" s="11"/>
      <c r="F144" s="11"/>
      <c r="G144" s="15"/>
      <c r="H144" s="11">
        <v>400</v>
      </c>
      <c r="I144" s="15"/>
      <c r="J144" s="12">
        <f t="shared" si="8"/>
        <v>23759.35</v>
      </c>
      <c r="K144" s="12">
        <f t="shared" si="9"/>
        <v>57799.49</v>
      </c>
    </row>
    <row r="145" spans="2:11" x14ac:dyDescent="0.25">
      <c r="B145" s="18">
        <v>42821</v>
      </c>
      <c r="C145" s="13" t="s">
        <v>422</v>
      </c>
      <c r="D145" s="11"/>
      <c r="E145" s="11"/>
      <c r="F145" s="11"/>
      <c r="G145" s="15"/>
      <c r="H145" s="11">
        <v>400</v>
      </c>
      <c r="I145" s="15"/>
      <c r="J145" s="12">
        <f t="shared" si="8"/>
        <v>23759.35</v>
      </c>
      <c r="K145" s="12">
        <f t="shared" si="9"/>
        <v>57399.49</v>
      </c>
    </row>
    <row r="146" spans="2:11" x14ac:dyDescent="0.25">
      <c r="B146" s="18">
        <v>42821</v>
      </c>
      <c r="C146" s="13" t="s">
        <v>423</v>
      </c>
      <c r="D146" s="11">
        <v>24650</v>
      </c>
      <c r="E146" s="11"/>
      <c r="F146" s="11"/>
      <c r="G146" s="15"/>
      <c r="H146" s="11"/>
      <c r="I146" s="15"/>
      <c r="J146" s="12">
        <f t="shared" si="8"/>
        <v>23759.35</v>
      </c>
      <c r="K146" s="12">
        <f t="shared" si="9"/>
        <v>82049.489999999991</v>
      </c>
    </row>
    <row r="147" spans="2:11" x14ac:dyDescent="0.25">
      <c r="B147" s="18">
        <v>42821</v>
      </c>
      <c r="C147" s="13" t="s">
        <v>424</v>
      </c>
      <c r="D147" s="11">
        <v>1300</v>
      </c>
      <c r="E147" s="11"/>
      <c r="F147" s="11"/>
      <c r="G147" s="15"/>
      <c r="H147" s="11"/>
      <c r="I147" s="15"/>
      <c r="J147" s="12">
        <f t="shared" si="8"/>
        <v>23759.35</v>
      </c>
      <c r="K147" s="12">
        <f t="shared" si="9"/>
        <v>83349.489999999991</v>
      </c>
    </row>
    <row r="148" spans="2:11" x14ac:dyDescent="0.25">
      <c r="B148" s="18">
        <v>42821</v>
      </c>
      <c r="C148" s="13" t="s">
        <v>426</v>
      </c>
      <c r="D148" s="11"/>
      <c r="E148" s="11"/>
      <c r="F148" s="11"/>
      <c r="G148" s="15"/>
      <c r="H148" s="11">
        <v>1300</v>
      </c>
      <c r="I148" s="15"/>
      <c r="J148" s="12">
        <f t="shared" si="8"/>
        <v>23759.35</v>
      </c>
      <c r="K148" s="12">
        <f t="shared" si="9"/>
        <v>82049.489999999991</v>
      </c>
    </row>
    <row r="149" spans="2:11" x14ac:dyDescent="0.25">
      <c r="B149" s="18">
        <v>42822</v>
      </c>
      <c r="C149" s="13" t="s">
        <v>425</v>
      </c>
      <c r="D149" s="11"/>
      <c r="E149" s="11"/>
      <c r="F149" s="11"/>
      <c r="G149" s="11"/>
      <c r="H149" s="11">
        <v>400</v>
      </c>
      <c r="I149" s="15"/>
      <c r="J149" s="12">
        <f t="shared" si="8"/>
        <v>23759.35</v>
      </c>
      <c r="K149" s="12">
        <f t="shared" si="9"/>
        <v>81649.489999999991</v>
      </c>
    </row>
    <row r="150" spans="2:11" x14ac:dyDescent="0.25">
      <c r="B150" s="18">
        <v>42822</v>
      </c>
      <c r="C150" s="13" t="s">
        <v>427</v>
      </c>
      <c r="D150" s="11">
        <v>800</v>
      </c>
      <c r="E150" s="11"/>
      <c r="F150" s="11"/>
      <c r="G150" s="11"/>
      <c r="H150" s="11"/>
      <c r="I150" s="15"/>
      <c r="J150" s="12">
        <f t="shared" si="8"/>
        <v>23759.35</v>
      </c>
      <c r="K150" s="12">
        <f t="shared" si="9"/>
        <v>82449.489999999991</v>
      </c>
    </row>
    <row r="151" spans="2:11" x14ac:dyDescent="0.25">
      <c r="B151" s="18">
        <v>42822</v>
      </c>
      <c r="C151" s="13" t="s">
        <v>357</v>
      </c>
      <c r="D151" s="11"/>
      <c r="E151" s="11"/>
      <c r="F151" s="11"/>
      <c r="G151" s="11"/>
      <c r="H151" s="11">
        <v>800</v>
      </c>
      <c r="I151" s="15"/>
      <c r="J151" s="12">
        <f t="shared" si="8"/>
        <v>23759.35</v>
      </c>
      <c r="K151" s="12">
        <f t="shared" si="9"/>
        <v>81649.489999999991</v>
      </c>
    </row>
    <row r="152" spans="2:11" x14ac:dyDescent="0.25">
      <c r="B152" s="18">
        <v>42822</v>
      </c>
      <c r="C152" s="13" t="s">
        <v>428</v>
      </c>
      <c r="D152" s="11"/>
      <c r="E152" s="11"/>
      <c r="F152" s="11"/>
      <c r="G152" s="11"/>
      <c r="H152" s="11">
        <v>150</v>
      </c>
      <c r="I152" s="15"/>
      <c r="J152" s="12">
        <f t="shared" si="8"/>
        <v>23759.35</v>
      </c>
      <c r="K152" s="12">
        <f t="shared" si="9"/>
        <v>81499.489999999991</v>
      </c>
    </row>
    <row r="153" spans="2:11" x14ac:dyDescent="0.25">
      <c r="B153" s="18">
        <v>42823</v>
      </c>
      <c r="C153" s="13" t="s">
        <v>429</v>
      </c>
      <c r="D153" s="11"/>
      <c r="E153" s="11"/>
      <c r="F153" s="11"/>
      <c r="G153" s="11"/>
      <c r="H153" s="11">
        <v>191.5</v>
      </c>
      <c r="I153" s="15"/>
      <c r="J153" s="12">
        <f t="shared" si="8"/>
        <v>23759.35</v>
      </c>
      <c r="K153" s="12">
        <f t="shared" si="9"/>
        <v>81307.989999999991</v>
      </c>
    </row>
    <row r="154" spans="2:11" x14ac:dyDescent="0.25">
      <c r="B154" s="18">
        <v>42823</v>
      </c>
      <c r="C154" s="13" t="s">
        <v>430</v>
      </c>
      <c r="D154" s="11">
        <v>100</v>
      </c>
      <c r="E154" s="11"/>
      <c r="F154" s="11"/>
      <c r="G154" s="11"/>
      <c r="H154" s="11"/>
      <c r="I154" s="15"/>
      <c r="J154" s="12">
        <f t="shared" si="8"/>
        <v>23759.35</v>
      </c>
      <c r="K154" s="12">
        <f t="shared" si="9"/>
        <v>81407.989999999991</v>
      </c>
    </row>
    <row r="155" spans="2:11" x14ac:dyDescent="0.25">
      <c r="B155" s="18">
        <v>42823</v>
      </c>
      <c r="C155" s="13" t="s">
        <v>426</v>
      </c>
      <c r="D155" s="11"/>
      <c r="E155" s="11"/>
      <c r="F155" s="11"/>
      <c r="G155" s="11"/>
      <c r="H155" s="11">
        <v>100</v>
      </c>
      <c r="I155" s="15"/>
      <c r="J155" s="12">
        <f t="shared" si="8"/>
        <v>23759.35</v>
      </c>
      <c r="K155" s="12">
        <f t="shared" si="9"/>
        <v>81307.989999999991</v>
      </c>
    </row>
    <row r="156" spans="2:11" x14ac:dyDescent="0.25">
      <c r="B156" s="18">
        <v>42823</v>
      </c>
      <c r="C156" s="13" t="s">
        <v>431</v>
      </c>
      <c r="D156" s="11"/>
      <c r="E156" s="11"/>
      <c r="F156" s="11"/>
      <c r="G156" s="11"/>
      <c r="H156" s="11">
        <v>1600</v>
      </c>
      <c r="I156" s="15"/>
      <c r="J156" s="12">
        <f t="shared" si="8"/>
        <v>23759.35</v>
      </c>
      <c r="K156" s="12">
        <f t="shared" si="9"/>
        <v>79707.989999999991</v>
      </c>
    </row>
    <row r="157" spans="2:11" x14ac:dyDescent="0.25">
      <c r="B157" s="18">
        <v>42823</v>
      </c>
      <c r="C157" s="13" t="s">
        <v>432</v>
      </c>
      <c r="D157" s="11"/>
      <c r="E157" s="11"/>
      <c r="F157" s="11"/>
      <c r="G157" s="11"/>
      <c r="H157" s="11">
        <v>600</v>
      </c>
      <c r="I157" s="15"/>
      <c r="J157" s="12">
        <f t="shared" si="8"/>
        <v>23759.35</v>
      </c>
      <c r="K157" s="12">
        <f t="shared" si="9"/>
        <v>79107.989999999991</v>
      </c>
    </row>
    <row r="158" spans="2:11" x14ac:dyDescent="0.25">
      <c r="B158" s="18">
        <v>42823</v>
      </c>
      <c r="C158" s="13" t="s">
        <v>433</v>
      </c>
      <c r="D158" s="11"/>
      <c r="E158" s="11"/>
      <c r="F158" s="11"/>
      <c r="G158" s="11"/>
      <c r="H158" s="11">
        <v>400</v>
      </c>
      <c r="I158" s="15"/>
      <c r="J158" s="12">
        <f t="shared" si="8"/>
        <v>23759.35</v>
      </c>
      <c r="K158" s="12">
        <f t="shared" si="9"/>
        <v>78707.989999999991</v>
      </c>
    </row>
    <row r="159" spans="2:11" x14ac:dyDescent="0.25">
      <c r="B159" s="18">
        <v>42824</v>
      </c>
      <c r="C159" s="13" t="s">
        <v>436</v>
      </c>
      <c r="D159" s="11">
        <v>1950</v>
      </c>
      <c r="E159" s="11"/>
      <c r="F159" s="11"/>
      <c r="G159" s="11"/>
      <c r="H159" s="11"/>
      <c r="I159" s="15"/>
      <c r="J159" s="12">
        <f t="shared" si="8"/>
        <v>23759.35</v>
      </c>
      <c r="K159" s="12">
        <f t="shared" si="9"/>
        <v>80657.989999999991</v>
      </c>
    </row>
    <row r="160" spans="2:11" x14ac:dyDescent="0.25">
      <c r="B160" s="18">
        <v>42824</v>
      </c>
      <c r="C160" s="13" t="s">
        <v>434</v>
      </c>
      <c r="D160" s="11"/>
      <c r="E160" s="11"/>
      <c r="F160" s="11"/>
      <c r="G160" s="11"/>
      <c r="H160" s="11">
        <v>250</v>
      </c>
      <c r="I160" s="15"/>
      <c r="J160" s="12">
        <f t="shared" si="8"/>
        <v>23759.35</v>
      </c>
      <c r="K160" s="12">
        <f t="shared" si="9"/>
        <v>80407.989999999991</v>
      </c>
    </row>
    <row r="161" spans="2:11" x14ac:dyDescent="0.25">
      <c r="B161" s="18">
        <v>42824</v>
      </c>
      <c r="C161" s="13" t="s">
        <v>435</v>
      </c>
      <c r="D161" s="11"/>
      <c r="E161" s="11"/>
      <c r="F161" s="11"/>
      <c r="G161" s="11"/>
      <c r="H161" s="11">
        <v>600</v>
      </c>
      <c r="I161" s="15"/>
      <c r="J161" s="12">
        <f t="shared" si="8"/>
        <v>23759.35</v>
      </c>
      <c r="K161" s="12">
        <f t="shared" si="9"/>
        <v>79807.989999999991</v>
      </c>
    </row>
    <row r="162" spans="2:11" x14ac:dyDescent="0.25">
      <c r="B162" s="18">
        <v>42824</v>
      </c>
      <c r="C162" s="13" t="s">
        <v>437</v>
      </c>
      <c r="D162" s="11">
        <v>300</v>
      </c>
      <c r="E162" s="11"/>
      <c r="F162" s="11"/>
      <c r="G162" s="11"/>
      <c r="H162" s="11"/>
      <c r="I162" s="15"/>
      <c r="J162" s="12">
        <f t="shared" si="8"/>
        <v>23759.35</v>
      </c>
      <c r="K162" s="12">
        <f t="shared" si="9"/>
        <v>80107.989999999991</v>
      </c>
    </row>
    <row r="163" spans="2:11" x14ac:dyDescent="0.25">
      <c r="B163" s="18">
        <v>42824</v>
      </c>
      <c r="C163" s="13" t="s">
        <v>357</v>
      </c>
      <c r="D163" s="11"/>
      <c r="E163" s="11"/>
      <c r="F163" s="11"/>
      <c r="G163" s="11"/>
      <c r="H163" s="11">
        <v>300</v>
      </c>
      <c r="I163" s="15"/>
      <c r="J163" s="12">
        <f>+J162+E163-G163</f>
        <v>23759.35</v>
      </c>
      <c r="K163" s="12">
        <f>+K162+D163-H163</f>
        <v>79807.989999999991</v>
      </c>
    </row>
    <row r="164" spans="2:11" ht="15.75" thickBot="1" x14ac:dyDescent="0.3">
      <c r="B164" s="18">
        <v>42825</v>
      </c>
      <c r="C164" s="13" t="s">
        <v>438</v>
      </c>
      <c r="D164" s="11"/>
      <c r="E164" s="11"/>
      <c r="F164" s="11"/>
      <c r="G164" s="11"/>
      <c r="H164" s="11">
        <v>1000</v>
      </c>
      <c r="I164" s="15"/>
      <c r="J164" s="12">
        <f>+J163+E164-G164</f>
        <v>23759.35</v>
      </c>
      <c r="K164" s="12">
        <f>+K163+D164-H164</f>
        <v>78807.989999999991</v>
      </c>
    </row>
    <row r="165" spans="2:11" ht="15.75" thickBot="1" x14ac:dyDescent="0.3">
      <c r="B165" s="5"/>
      <c r="C165" s="7" t="s">
        <v>0</v>
      </c>
      <c r="D165" s="63">
        <f>SUM(D114:D164)</f>
        <v>105825</v>
      </c>
      <c r="E165" s="61">
        <f>SUM(E114:E164)</f>
        <v>0</v>
      </c>
      <c r="F165" s="72">
        <f>SUM(D165:E165)</f>
        <v>105825</v>
      </c>
      <c r="G165" s="72">
        <f>SUM(G114:G164)</f>
        <v>7185</v>
      </c>
      <c r="H165" s="63">
        <f>SUM(H114:H164)</f>
        <v>110957.81000000001</v>
      </c>
      <c r="I165" s="72">
        <f>SUM(G165+H165)</f>
        <v>118142.81000000001</v>
      </c>
      <c r="J165" s="63"/>
      <c r="K165" s="20"/>
    </row>
    <row r="166" spans="2:11" ht="15.75" thickBot="1" x14ac:dyDescent="0.3">
      <c r="B166" s="108"/>
      <c r="C166" s="109"/>
      <c r="D166" s="110"/>
      <c r="E166" s="111"/>
      <c r="F166" s="112"/>
      <c r="G166" s="112"/>
      <c r="H166" s="110"/>
      <c r="I166" s="112"/>
      <c r="J166" s="110"/>
      <c r="K166" s="79"/>
    </row>
    <row r="167" spans="2:11" x14ac:dyDescent="0.25">
      <c r="B167" s="69" t="s">
        <v>1</v>
      </c>
      <c r="C167" s="69" t="s">
        <v>2</v>
      </c>
      <c r="D167" s="69" t="s">
        <v>3</v>
      </c>
      <c r="E167" s="69" t="s">
        <v>3</v>
      </c>
      <c r="F167" s="69" t="s">
        <v>23</v>
      </c>
      <c r="G167" s="69" t="s">
        <v>4</v>
      </c>
      <c r="H167" s="48" t="s">
        <v>24</v>
      </c>
      <c r="I167" s="48" t="s">
        <v>23</v>
      </c>
      <c r="J167" s="69" t="s">
        <v>9</v>
      </c>
      <c r="K167" s="48" t="s">
        <v>8</v>
      </c>
    </row>
    <row r="168" spans="2:11" ht="15.75" thickBot="1" x14ac:dyDescent="0.3">
      <c r="B168" s="70"/>
      <c r="C168" s="70"/>
      <c r="D168" s="70" t="s">
        <v>5</v>
      </c>
      <c r="E168" s="70" t="s">
        <v>25</v>
      </c>
      <c r="F168" s="70" t="s">
        <v>3</v>
      </c>
      <c r="G168" s="70" t="s">
        <v>25</v>
      </c>
      <c r="H168" s="71" t="s">
        <v>5</v>
      </c>
      <c r="I168" s="71" t="s">
        <v>4</v>
      </c>
      <c r="J168" s="70"/>
      <c r="K168" s="71"/>
    </row>
    <row r="169" spans="2:11" ht="15.75" thickBot="1" x14ac:dyDescent="0.3">
      <c r="B169" s="75"/>
      <c r="C169" s="7" t="s">
        <v>0</v>
      </c>
      <c r="D169" s="63">
        <v>105825</v>
      </c>
      <c r="E169" s="61">
        <v>0</v>
      </c>
      <c r="F169" s="72">
        <f>SUM(D169:E169)</f>
        <v>105825</v>
      </c>
      <c r="G169" s="72">
        <v>7185</v>
      </c>
      <c r="H169" s="63">
        <v>110957.81</v>
      </c>
      <c r="I169" s="72">
        <f>SUM(G169:H169)</f>
        <v>118142.81</v>
      </c>
      <c r="J169" s="20">
        <v>23759.35</v>
      </c>
      <c r="K169" s="20">
        <v>78807.990000000005</v>
      </c>
    </row>
    <row r="170" spans="2:11" x14ac:dyDescent="0.25">
      <c r="B170" s="18">
        <v>42825</v>
      </c>
      <c r="C170" s="13" t="s">
        <v>439</v>
      </c>
      <c r="D170" s="11"/>
      <c r="E170" s="11"/>
      <c r="F170" s="11"/>
      <c r="G170" s="11"/>
      <c r="H170" s="11">
        <v>4000</v>
      </c>
      <c r="I170" s="15"/>
      <c r="J170" s="12">
        <f>+J169+E170-G170</f>
        <v>23759.35</v>
      </c>
      <c r="K170" s="12">
        <f>+K169+D170-H170</f>
        <v>74807.990000000005</v>
      </c>
    </row>
    <row r="171" spans="2:11" x14ac:dyDescent="0.25">
      <c r="B171" s="18">
        <v>42825</v>
      </c>
      <c r="C171" s="35" t="s">
        <v>440</v>
      </c>
      <c r="D171" s="41"/>
      <c r="E171" s="41"/>
      <c r="F171" s="41"/>
      <c r="G171" s="41"/>
      <c r="H171" s="11">
        <v>16100</v>
      </c>
      <c r="I171" s="11"/>
      <c r="J171" s="12">
        <f t="shared" ref="J171:J180" si="10">+J170+E171-G171</f>
        <v>23759.35</v>
      </c>
      <c r="K171" s="12">
        <f t="shared" ref="K171:K180" si="11">+K170+D171-H171</f>
        <v>58707.990000000005</v>
      </c>
    </row>
    <row r="172" spans="2:11" x14ac:dyDescent="0.25">
      <c r="B172" s="18">
        <v>42825</v>
      </c>
      <c r="C172" s="13" t="s">
        <v>441</v>
      </c>
      <c r="D172" s="41"/>
      <c r="E172" s="41"/>
      <c r="F172" s="41"/>
      <c r="G172" s="16"/>
      <c r="H172" s="11">
        <v>300</v>
      </c>
      <c r="I172" s="11"/>
      <c r="J172" s="12">
        <f t="shared" si="10"/>
        <v>23759.35</v>
      </c>
      <c r="K172" s="12">
        <f t="shared" si="11"/>
        <v>58407.990000000005</v>
      </c>
    </row>
    <row r="173" spans="2:11" x14ac:dyDescent="0.25">
      <c r="B173" s="18">
        <v>42825</v>
      </c>
      <c r="C173" s="13" t="s">
        <v>442</v>
      </c>
      <c r="D173" s="41"/>
      <c r="E173" s="41"/>
      <c r="F173" s="41"/>
      <c r="G173" s="41"/>
      <c r="H173" s="11">
        <v>450</v>
      </c>
      <c r="I173" s="11"/>
      <c r="J173" s="12">
        <f t="shared" si="10"/>
        <v>23759.35</v>
      </c>
      <c r="K173" s="12">
        <f t="shared" si="11"/>
        <v>57957.990000000005</v>
      </c>
    </row>
    <row r="174" spans="2:11" x14ac:dyDescent="0.25">
      <c r="B174" s="18">
        <v>42825</v>
      </c>
      <c r="C174" s="13" t="s">
        <v>443</v>
      </c>
      <c r="D174" s="41"/>
      <c r="E174" s="41"/>
      <c r="F174" s="41"/>
      <c r="G174" s="41"/>
      <c r="H174" s="11">
        <v>200</v>
      </c>
      <c r="I174" s="15"/>
      <c r="J174" s="12">
        <f t="shared" si="10"/>
        <v>23759.35</v>
      </c>
      <c r="K174" s="12">
        <f>+K173+D174-H174</f>
        <v>57757.990000000005</v>
      </c>
    </row>
    <row r="175" spans="2:11" x14ac:dyDescent="0.25">
      <c r="B175" s="18">
        <v>42801</v>
      </c>
      <c r="C175" s="13" t="s">
        <v>446</v>
      </c>
      <c r="D175" s="41"/>
      <c r="E175" s="105">
        <v>300.45999999999998</v>
      </c>
      <c r="F175" s="41"/>
      <c r="G175" s="105"/>
      <c r="H175" s="11"/>
      <c r="I175" s="15"/>
      <c r="J175" s="12">
        <f t="shared" si="10"/>
        <v>24059.809999999998</v>
      </c>
      <c r="K175" s="12">
        <f>+K174+D175-H175</f>
        <v>57757.990000000005</v>
      </c>
    </row>
    <row r="176" spans="2:11" x14ac:dyDescent="0.25">
      <c r="B176" s="18">
        <v>42803</v>
      </c>
      <c r="C176" s="13" t="s">
        <v>445</v>
      </c>
      <c r="D176" s="41"/>
      <c r="E176" s="105">
        <v>1200.29</v>
      </c>
      <c r="F176" s="41"/>
      <c r="G176" s="105"/>
      <c r="H176" s="11"/>
      <c r="I176" s="15"/>
      <c r="J176" s="12">
        <f t="shared" si="10"/>
        <v>25260.1</v>
      </c>
      <c r="K176" s="12">
        <f t="shared" si="11"/>
        <v>57757.990000000005</v>
      </c>
    </row>
    <row r="177" spans="2:11" x14ac:dyDescent="0.25">
      <c r="B177" s="18">
        <v>42804</v>
      </c>
      <c r="C177" s="107" t="s">
        <v>444</v>
      </c>
      <c r="D177" s="11"/>
      <c r="E177" s="106">
        <v>200.15</v>
      </c>
      <c r="F177" s="11"/>
      <c r="G177" s="106"/>
      <c r="H177" s="11"/>
      <c r="I177" s="15"/>
      <c r="J177" s="12">
        <f t="shared" si="10"/>
        <v>25460.25</v>
      </c>
      <c r="K177" s="12">
        <f t="shared" si="11"/>
        <v>57757.990000000005</v>
      </c>
    </row>
    <row r="178" spans="2:11" x14ac:dyDescent="0.25">
      <c r="B178" s="18">
        <v>42817</v>
      </c>
      <c r="C178" s="13" t="s">
        <v>589</v>
      </c>
      <c r="D178" s="11"/>
      <c r="E178" s="106">
        <v>12760</v>
      </c>
      <c r="F178" s="11"/>
      <c r="G178" s="11"/>
      <c r="H178" s="11"/>
      <c r="I178" s="15"/>
      <c r="J178" s="12">
        <f t="shared" si="10"/>
        <v>38220.25</v>
      </c>
      <c r="K178" s="12">
        <f t="shared" si="11"/>
        <v>57757.990000000005</v>
      </c>
    </row>
    <row r="179" spans="2:11" x14ac:dyDescent="0.25">
      <c r="B179" s="18">
        <v>42825</v>
      </c>
      <c r="C179" s="13" t="s">
        <v>170</v>
      </c>
      <c r="D179" s="11"/>
      <c r="E179" s="11"/>
      <c r="F179" s="11"/>
      <c r="G179" s="62">
        <v>42</v>
      </c>
      <c r="H179" s="11"/>
      <c r="I179" s="15"/>
      <c r="J179" s="12">
        <f t="shared" si="10"/>
        <v>38178.25</v>
      </c>
      <c r="K179" s="12">
        <f t="shared" si="11"/>
        <v>57757.990000000005</v>
      </c>
    </row>
    <row r="180" spans="2:11" ht="15.75" thickBot="1" x14ac:dyDescent="0.3">
      <c r="B180" s="18">
        <v>42825</v>
      </c>
      <c r="C180" s="13" t="s">
        <v>171</v>
      </c>
      <c r="D180" s="11"/>
      <c r="E180" s="11"/>
      <c r="F180" s="11"/>
      <c r="G180" s="62">
        <v>6.72</v>
      </c>
      <c r="H180" s="11"/>
      <c r="I180" s="15"/>
      <c r="J180" s="12">
        <f t="shared" si="10"/>
        <v>38171.53</v>
      </c>
      <c r="K180" s="12">
        <f t="shared" si="11"/>
        <v>57757.990000000005</v>
      </c>
    </row>
    <row r="181" spans="2:11" ht="15.75" thickBot="1" x14ac:dyDescent="0.3">
      <c r="B181" s="5"/>
      <c r="C181" s="7" t="s">
        <v>0</v>
      </c>
      <c r="D181" s="63">
        <f>SUM(D169:D180)</f>
        <v>105825</v>
      </c>
      <c r="E181" s="61">
        <f>SUM(E169:E180)</f>
        <v>14460.9</v>
      </c>
      <c r="F181" s="72">
        <f>SUM(D181:E181)</f>
        <v>120285.9</v>
      </c>
      <c r="G181" s="72">
        <f>SUM(G169:G180)</f>
        <v>7233.72</v>
      </c>
      <c r="H181" s="63">
        <f>SUM(H169:H180)</f>
        <v>132007.81</v>
      </c>
      <c r="I181" s="72">
        <f>SUM(G181+H181)</f>
        <v>139241.53</v>
      </c>
      <c r="J181" s="63"/>
      <c r="K181" s="20"/>
    </row>
    <row r="182" spans="2:11" ht="15.75" thickBot="1" x14ac:dyDescent="0.3"/>
    <row r="183" spans="2:11" ht="15.75" thickBot="1" x14ac:dyDescent="0.3">
      <c r="I183" s="75" t="s">
        <v>9</v>
      </c>
      <c r="J183" s="75" t="s">
        <v>8</v>
      </c>
      <c r="K183" s="96" t="s">
        <v>0</v>
      </c>
    </row>
    <row r="184" spans="2:11" ht="15.75" thickBot="1" x14ac:dyDescent="0.3">
      <c r="I184" s="26">
        <v>38171.53</v>
      </c>
      <c r="J184" s="26">
        <v>57757.99</v>
      </c>
      <c r="K184" s="20">
        <f>SUM(I184:J184)</f>
        <v>95929.51999999999</v>
      </c>
    </row>
  </sheetData>
  <mergeCells count="1">
    <mergeCell ref="B2:K2"/>
  </mergeCells>
  <printOptions horizontalCentered="1"/>
  <pageMargins left="0" right="0" top="0" bottom="0" header="0.11811023622047245" footer="0.51181102362204722"/>
  <pageSetup paperSize="9" scale="72" fitToHeight="0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pageSetUpPr fitToPage="1"/>
  </sheetPr>
  <dimension ref="A1:N198"/>
  <sheetViews>
    <sheetView zoomScale="90" zoomScaleNormal="90" workbookViewId="0">
      <pane ySplit="5" topLeftCell="A182" activePane="bottomLeft" state="frozen"/>
      <selection activeCell="C41" sqref="C41"/>
      <selection pane="bottomLeft" activeCell="H202" sqref="H202"/>
    </sheetView>
  </sheetViews>
  <sheetFormatPr baseColWidth="10" defaultRowHeight="15" x14ac:dyDescent="0.25"/>
  <cols>
    <col min="1" max="1" width="10.7109375" customWidth="1"/>
    <col min="2" max="2" width="11.7109375" style="91" customWidth="1"/>
    <col min="3" max="3" width="85" customWidth="1"/>
    <col min="4" max="11" width="11.7109375" customWidth="1"/>
  </cols>
  <sheetData>
    <row r="1" spans="2:11" ht="15.75" x14ac:dyDescent="0.25">
      <c r="B1" s="113">
        <v>42855</v>
      </c>
      <c r="J1" s="73" t="s">
        <v>26</v>
      </c>
      <c r="K1" s="46"/>
    </row>
    <row r="2" spans="2:11" ht="15.75" thickBot="1" x14ac:dyDescent="0.3">
      <c r="B2" s="131" t="s">
        <v>590</v>
      </c>
      <c r="C2" s="131"/>
      <c r="D2" s="131"/>
      <c r="E2" s="131"/>
      <c r="F2" s="131"/>
      <c r="G2" s="131"/>
      <c r="H2" s="131"/>
      <c r="I2" s="131"/>
      <c r="J2" s="131"/>
      <c r="K2" s="131"/>
    </row>
    <row r="3" spans="2:11" x14ac:dyDescent="0.25">
      <c r="B3" s="114" t="s">
        <v>1</v>
      </c>
      <c r="C3" s="69" t="s">
        <v>2</v>
      </c>
      <c r="D3" s="69" t="s">
        <v>3</v>
      </c>
      <c r="E3" s="69" t="s">
        <v>3</v>
      </c>
      <c r="F3" s="69" t="s">
        <v>23</v>
      </c>
      <c r="G3" s="69" t="s">
        <v>24</v>
      </c>
      <c r="H3" s="48" t="s">
        <v>24</v>
      </c>
      <c r="I3" s="48" t="s">
        <v>23</v>
      </c>
      <c r="J3" s="69" t="s">
        <v>9</v>
      </c>
      <c r="K3" s="48" t="s">
        <v>8</v>
      </c>
    </row>
    <row r="4" spans="2:11" ht="15.75" thickBot="1" x14ac:dyDescent="0.3">
      <c r="B4" s="115"/>
      <c r="C4" s="70"/>
      <c r="D4" s="70" t="s">
        <v>5</v>
      </c>
      <c r="E4" s="70" t="s">
        <v>25</v>
      </c>
      <c r="F4" s="70" t="s">
        <v>3</v>
      </c>
      <c r="G4" s="70" t="s">
        <v>25</v>
      </c>
      <c r="H4" s="71" t="s">
        <v>5</v>
      </c>
      <c r="I4" s="71" t="s">
        <v>4</v>
      </c>
      <c r="J4" s="70"/>
      <c r="K4" s="71"/>
    </row>
    <row r="5" spans="2:11" x14ac:dyDescent="0.25">
      <c r="B5" s="116">
        <v>42824</v>
      </c>
      <c r="C5" s="66" t="s">
        <v>591</v>
      </c>
      <c r="D5" s="67"/>
      <c r="E5" s="64"/>
      <c r="F5" s="64"/>
      <c r="G5" s="64"/>
      <c r="H5" s="17"/>
      <c r="I5" s="65"/>
      <c r="J5" s="74">
        <v>38171.53</v>
      </c>
      <c r="K5" s="68">
        <v>57757.99</v>
      </c>
    </row>
    <row r="6" spans="2:11" x14ac:dyDescent="0.25">
      <c r="B6" s="116">
        <v>42826</v>
      </c>
      <c r="C6" s="9" t="s">
        <v>447</v>
      </c>
      <c r="D6" s="11"/>
      <c r="E6" s="11"/>
      <c r="F6" s="11"/>
      <c r="G6" s="11"/>
      <c r="H6" s="11">
        <v>500</v>
      </c>
      <c r="I6" s="15"/>
      <c r="J6" s="12">
        <f>+J5+E6-G6</f>
        <v>38171.53</v>
      </c>
      <c r="K6" s="12">
        <f>+K5+D6-H6</f>
        <v>57257.99</v>
      </c>
    </row>
    <row r="7" spans="2:11" x14ac:dyDescent="0.25">
      <c r="B7" s="116">
        <v>42826</v>
      </c>
      <c r="C7" s="13" t="s">
        <v>448</v>
      </c>
      <c r="D7" s="11"/>
      <c r="E7" s="11"/>
      <c r="F7" s="11"/>
      <c r="G7" s="11"/>
      <c r="H7" s="11">
        <v>400</v>
      </c>
      <c r="I7" s="15"/>
      <c r="J7" s="12">
        <f t="shared" ref="J7:J52" si="0">+J6+E7-G7</f>
        <v>38171.53</v>
      </c>
      <c r="K7" s="12">
        <f t="shared" ref="K7:K51" si="1">+K6+D7-H7</f>
        <v>56857.99</v>
      </c>
    </row>
    <row r="8" spans="2:11" x14ac:dyDescent="0.25">
      <c r="B8" s="117">
        <v>42826</v>
      </c>
      <c r="C8" s="9" t="s">
        <v>449</v>
      </c>
      <c r="D8" s="11"/>
      <c r="E8" s="11"/>
      <c r="F8" s="11"/>
      <c r="G8" s="11"/>
      <c r="H8" s="120">
        <v>600</v>
      </c>
      <c r="I8" s="15"/>
      <c r="J8" s="12">
        <f t="shared" si="0"/>
        <v>38171.53</v>
      </c>
      <c r="K8" s="12">
        <f t="shared" si="1"/>
        <v>56257.99</v>
      </c>
    </row>
    <row r="9" spans="2:11" x14ac:dyDescent="0.25">
      <c r="B9" s="117">
        <v>42826</v>
      </c>
      <c r="C9" s="9" t="s">
        <v>450</v>
      </c>
      <c r="D9" s="11"/>
      <c r="E9" s="11"/>
      <c r="F9" s="11"/>
      <c r="G9" s="11"/>
      <c r="H9" s="11">
        <v>750</v>
      </c>
      <c r="I9" s="15"/>
      <c r="J9" s="12">
        <f t="shared" si="0"/>
        <v>38171.53</v>
      </c>
      <c r="K9" s="12">
        <f t="shared" si="1"/>
        <v>55507.99</v>
      </c>
    </row>
    <row r="10" spans="2:11" x14ac:dyDescent="0.25">
      <c r="B10" s="117">
        <v>42826</v>
      </c>
      <c r="C10" s="9" t="s">
        <v>451</v>
      </c>
      <c r="D10" s="11"/>
      <c r="E10" s="11"/>
      <c r="F10" s="11"/>
      <c r="G10" s="11"/>
      <c r="H10" s="120">
        <v>100</v>
      </c>
      <c r="I10" s="15"/>
      <c r="J10" s="12">
        <f t="shared" si="0"/>
        <v>38171.53</v>
      </c>
      <c r="K10" s="12">
        <f t="shared" si="1"/>
        <v>55407.99</v>
      </c>
    </row>
    <row r="11" spans="2:11" x14ac:dyDescent="0.25">
      <c r="B11" s="117">
        <v>42826</v>
      </c>
      <c r="C11" s="9" t="s">
        <v>452</v>
      </c>
      <c r="D11" s="11"/>
      <c r="E11" s="11"/>
      <c r="F11" s="11"/>
      <c r="G11" s="11"/>
      <c r="H11" s="11">
        <v>310</v>
      </c>
      <c r="I11" s="15"/>
      <c r="J11" s="12">
        <f t="shared" si="0"/>
        <v>38171.53</v>
      </c>
      <c r="K11" s="12">
        <f t="shared" si="1"/>
        <v>55097.99</v>
      </c>
    </row>
    <row r="12" spans="2:11" x14ac:dyDescent="0.25">
      <c r="B12" s="117">
        <v>42826</v>
      </c>
      <c r="C12" s="9" t="s">
        <v>453</v>
      </c>
      <c r="D12" s="11"/>
      <c r="E12" s="11"/>
      <c r="F12" s="11"/>
      <c r="G12" s="11"/>
      <c r="H12" s="11">
        <v>34</v>
      </c>
      <c r="I12" s="15"/>
      <c r="J12" s="12">
        <f t="shared" si="0"/>
        <v>38171.53</v>
      </c>
      <c r="K12" s="12">
        <f t="shared" si="1"/>
        <v>55063.99</v>
      </c>
    </row>
    <row r="13" spans="2:11" x14ac:dyDescent="0.25">
      <c r="B13" s="117">
        <v>42826</v>
      </c>
      <c r="C13" s="9" t="s">
        <v>227</v>
      </c>
      <c r="D13" s="11"/>
      <c r="E13" s="11"/>
      <c r="F13" s="11"/>
      <c r="G13" s="11"/>
      <c r="H13" s="120">
        <v>22</v>
      </c>
      <c r="I13" s="15"/>
      <c r="J13" s="12">
        <f t="shared" si="0"/>
        <v>38171.53</v>
      </c>
      <c r="K13" s="12">
        <f t="shared" si="1"/>
        <v>55041.99</v>
      </c>
    </row>
    <row r="14" spans="2:11" x14ac:dyDescent="0.25">
      <c r="B14" s="117">
        <v>42826</v>
      </c>
      <c r="C14" s="9" t="s">
        <v>454</v>
      </c>
      <c r="D14" s="11"/>
      <c r="E14" s="11"/>
      <c r="F14" s="11"/>
      <c r="G14" s="11"/>
      <c r="H14" s="11">
        <v>1000</v>
      </c>
      <c r="I14" s="15"/>
      <c r="J14" s="12">
        <f t="shared" si="0"/>
        <v>38171.53</v>
      </c>
      <c r="K14" s="12">
        <f t="shared" si="1"/>
        <v>54041.99</v>
      </c>
    </row>
    <row r="15" spans="2:11" x14ac:dyDescent="0.25">
      <c r="B15" s="117">
        <v>42796</v>
      </c>
      <c r="C15" s="9" t="s">
        <v>455</v>
      </c>
      <c r="D15" s="11"/>
      <c r="E15" s="11"/>
      <c r="F15" s="11"/>
      <c r="G15" s="11"/>
      <c r="H15" s="120">
        <v>95.5</v>
      </c>
      <c r="I15" s="15"/>
      <c r="J15" s="12">
        <f t="shared" si="0"/>
        <v>38171.53</v>
      </c>
      <c r="K15" s="12">
        <f t="shared" si="1"/>
        <v>53946.49</v>
      </c>
    </row>
    <row r="16" spans="2:11" x14ac:dyDescent="0.25">
      <c r="B16" s="117">
        <v>42796</v>
      </c>
      <c r="C16" s="9" t="s">
        <v>456</v>
      </c>
      <c r="D16" s="11"/>
      <c r="E16" s="11"/>
      <c r="F16" s="11"/>
      <c r="G16" s="11"/>
      <c r="H16" s="11">
        <v>120</v>
      </c>
      <c r="I16" s="15"/>
      <c r="J16" s="12">
        <f t="shared" si="0"/>
        <v>38171.53</v>
      </c>
      <c r="K16" s="12">
        <f t="shared" si="1"/>
        <v>53826.49</v>
      </c>
    </row>
    <row r="17" spans="2:11" x14ac:dyDescent="0.25">
      <c r="B17" s="117">
        <v>42796</v>
      </c>
      <c r="C17" s="9" t="s">
        <v>457</v>
      </c>
      <c r="D17" s="11"/>
      <c r="E17" s="11"/>
      <c r="F17" s="11"/>
      <c r="G17" s="11"/>
      <c r="H17" s="11">
        <v>150</v>
      </c>
      <c r="I17" s="15"/>
      <c r="J17" s="12">
        <f t="shared" si="0"/>
        <v>38171.53</v>
      </c>
      <c r="K17" s="12">
        <f t="shared" si="1"/>
        <v>53676.49</v>
      </c>
    </row>
    <row r="18" spans="2:11" x14ac:dyDescent="0.25">
      <c r="B18" s="117">
        <v>42796</v>
      </c>
      <c r="C18" s="9" t="s">
        <v>459</v>
      </c>
      <c r="D18" s="11"/>
      <c r="E18" s="11"/>
      <c r="F18" s="11"/>
      <c r="G18" s="11"/>
      <c r="H18" s="11">
        <v>290</v>
      </c>
      <c r="I18" s="15"/>
      <c r="J18" s="12">
        <f t="shared" si="0"/>
        <v>38171.53</v>
      </c>
      <c r="K18" s="12">
        <f t="shared" si="1"/>
        <v>53386.49</v>
      </c>
    </row>
    <row r="19" spans="2:11" x14ac:dyDescent="0.25">
      <c r="B19" s="117">
        <v>42796</v>
      </c>
      <c r="C19" s="9" t="s">
        <v>458</v>
      </c>
      <c r="D19" s="11"/>
      <c r="E19" s="11"/>
      <c r="F19" s="11"/>
      <c r="G19" s="11"/>
      <c r="H19" s="11">
        <v>35</v>
      </c>
      <c r="I19" s="15"/>
      <c r="J19" s="12">
        <f t="shared" si="0"/>
        <v>38171.53</v>
      </c>
      <c r="K19" s="12">
        <f t="shared" si="1"/>
        <v>53351.49</v>
      </c>
    </row>
    <row r="20" spans="2:11" x14ac:dyDescent="0.25">
      <c r="B20" s="117">
        <v>42827</v>
      </c>
      <c r="C20" s="9" t="s">
        <v>460</v>
      </c>
      <c r="D20" s="11"/>
      <c r="E20" s="11"/>
      <c r="F20" s="11"/>
      <c r="G20" s="11"/>
      <c r="H20" s="11">
        <v>250</v>
      </c>
      <c r="I20" s="15"/>
      <c r="J20" s="12">
        <f t="shared" si="0"/>
        <v>38171.53</v>
      </c>
      <c r="K20" s="12">
        <f t="shared" si="1"/>
        <v>53101.49</v>
      </c>
    </row>
    <row r="21" spans="2:11" x14ac:dyDescent="0.25">
      <c r="B21" s="117">
        <v>42828</v>
      </c>
      <c r="C21" s="9" t="s">
        <v>461</v>
      </c>
      <c r="D21" s="11"/>
      <c r="E21" s="11"/>
      <c r="F21" s="11"/>
      <c r="G21" s="11"/>
      <c r="H21" s="11">
        <v>400</v>
      </c>
      <c r="I21" s="15"/>
      <c r="J21" s="12">
        <f t="shared" si="0"/>
        <v>38171.53</v>
      </c>
      <c r="K21" s="12">
        <f t="shared" si="1"/>
        <v>52701.49</v>
      </c>
    </row>
    <row r="22" spans="2:11" x14ac:dyDescent="0.25">
      <c r="B22" s="117">
        <v>42828</v>
      </c>
      <c r="C22" s="9" t="s">
        <v>462</v>
      </c>
      <c r="D22" s="11"/>
      <c r="E22" s="11"/>
      <c r="F22" s="11"/>
      <c r="G22" s="11"/>
      <c r="H22" s="120">
        <v>560</v>
      </c>
      <c r="I22" s="15"/>
      <c r="J22" s="12">
        <f t="shared" si="0"/>
        <v>38171.53</v>
      </c>
      <c r="K22" s="12">
        <f t="shared" si="1"/>
        <v>52141.49</v>
      </c>
    </row>
    <row r="23" spans="2:11" x14ac:dyDescent="0.25">
      <c r="B23" s="117">
        <v>42828</v>
      </c>
      <c r="C23" s="9" t="s">
        <v>463</v>
      </c>
      <c r="D23" s="11"/>
      <c r="E23" s="11"/>
      <c r="F23" s="11"/>
      <c r="G23" s="11"/>
      <c r="H23" s="120">
        <v>798</v>
      </c>
      <c r="I23" s="15"/>
      <c r="J23" s="12">
        <f t="shared" si="0"/>
        <v>38171.53</v>
      </c>
      <c r="K23" s="12">
        <f t="shared" si="1"/>
        <v>51343.49</v>
      </c>
    </row>
    <row r="24" spans="2:11" x14ac:dyDescent="0.25">
      <c r="B24" s="117">
        <v>42828</v>
      </c>
      <c r="C24" s="9" t="s">
        <v>464</v>
      </c>
      <c r="D24" s="11">
        <v>27700</v>
      </c>
      <c r="E24" s="11"/>
      <c r="F24" s="11"/>
      <c r="G24" s="11"/>
      <c r="H24" s="120"/>
      <c r="I24" s="15"/>
      <c r="J24" s="12">
        <f t="shared" si="0"/>
        <v>38171.53</v>
      </c>
      <c r="K24" s="12">
        <f t="shared" si="1"/>
        <v>79043.489999999991</v>
      </c>
    </row>
    <row r="25" spans="2:11" x14ac:dyDescent="0.25">
      <c r="B25" s="117">
        <v>42828</v>
      </c>
      <c r="C25" s="9" t="s">
        <v>465</v>
      </c>
      <c r="D25" s="11">
        <v>700</v>
      </c>
      <c r="E25" s="11"/>
      <c r="F25" s="11"/>
      <c r="G25" s="11"/>
      <c r="H25" s="11"/>
      <c r="I25" s="15"/>
      <c r="J25" s="12">
        <f t="shared" si="0"/>
        <v>38171.53</v>
      </c>
      <c r="K25" s="12">
        <f t="shared" si="1"/>
        <v>79743.489999999991</v>
      </c>
    </row>
    <row r="26" spans="2:11" x14ac:dyDescent="0.25">
      <c r="B26" s="117">
        <v>42828</v>
      </c>
      <c r="C26" s="9" t="s">
        <v>466</v>
      </c>
      <c r="D26" s="11"/>
      <c r="E26" s="11"/>
      <c r="F26" s="11"/>
      <c r="G26" s="11"/>
      <c r="H26" s="11">
        <v>700</v>
      </c>
      <c r="I26" s="15"/>
      <c r="J26" s="12">
        <f t="shared" si="0"/>
        <v>38171.53</v>
      </c>
      <c r="K26" s="12">
        <f t="shared" si="1"/>
        <v>79043.489999999991</v>
      </c>
    </row>
    <row r="27" spans="2:11" x14ac:dyDescent="0.25">
      <c r="B27" s="117">
        <v>42828</v>
      </c>
      <c r="C27" s="9" t="s">
        <v>465</v>
      </c>
      <c r="D27" s="11">
        <v>200</v>
      </c>
      <c r="E27" s="11"/>
      <c r="F27" s="11"/>
      <c r="G27" s="11"/>
      <c r="H27" s="11"/>
      <c r="I27" s="15"/>
      <c r="J27" s="12">
        <f t="shared" si="0"/>
        <v>38171.53</v>
      </c>
      <c r="K27" s="12">
        <f t="shared" si="1"/>
        <v>79243.489999999991</v>
      </c>
    </row>
    <row r="28" spans="2:11" x14ac:dyDescent="0.25">
      <c r="B28" s="117">
        <v>42828</v>
      </c>
      <c r="C28" s="9" t="s">
        <v>467</v>
      </c>
      <c r="D28" s="11"/>
      <c r="E28" s="11"/>
      <c r="F28" s="11"/>
      <c r="G28" s="11"/>
      <c r="H28" s="11">
        <v>200</v>
      </c>
      <c r="I28" s="15"/>
      <c r="J28" s="12">
        <f t="shared" si="0"/>
        <v>38171.53</v>
      </c>
      <c r="K28" s="12">
        <f t="shared" si="1"/>
        <v>79043.489999999991</v>
      </c>
    </row>
    <row r="29" spans="2:11" x14ac:dyDescent="0.25">
      <c r="B29" s="117">
        <v>42828</v>
      </c>
      <c r="C29" s="9" t="s">
        <v>468</v>
      </c>
      <c r="D29" s="11"/>
      <c r="E29" s="11"/>
      <c r="F29" s="11"/>
      <c r="G29" s="11"/>
      <c r="H29" s="11">
        <v>118</v>
      </c>
      <c r="I29" s="15"/>
      <c r="J29" s="12">
        <f t="shared" si="0"/>
        <v>38171.53</v>
      </c>
      <c r="K29" s="12">
        <f t="shared" si="1"/>
        <v>78925.489999999991</v>
      </c>
    </row>
    <row r="30" spans="2:11" x14ac:dyDescent="0.25">
      <c r="B30" s="117">
        <v>42828</v>
      </c>
      <c r="C30" s="9" t="s">
        <v>469</v>
      </c>
      <c r="D30" s="11"/>
      <c r="E30" s="11"/>
      <c r="F30" s="11"/>
      <c r="G30" s="11"/>
      <c r="H30" s="120">
        <v>274.3</v>
      </c>
      <c r="I30" s="15"/>
      <c r="J30" s="12">
        <f t="shared" si="0"/>
        <v>38171.53</v>
      </c>
      <c r="K30" s="12">
        <f t="shared" si="1"/>
        <v>78651.189999999988</v>
      </c>
    </row>
    <row r="31" spans="2:11" x14ac:dyDescent="0.25">
      <c r="B31" s="117">
        <v>42830</v>
      </c>
      <c r="C31" s="9" t="s">
        <v>470</v>
      </c>
      <c r="D31" s="11"/>
      <c r="E31" s="11"/>
      <c r="F31" s="11"/>
      <c r="G31" s="11"/>
      <c r="H31" s="11">
        <v>500</v>
      </c>
      <c r="I31" s="15"/>
      <c r="J31" s="12">
        <f t="shared" si="0"/>
        <v>38171.53</v>
      </c>
      <c r="K31" s="12">
        <f t="shared" si="1"/>
        <v>78151.189999999988</v>
      </c>
    </row>
    <row r="32" spans="2:11" x14ac:dyDescent="0.25">
      <c r="B32" s="117">
        <v>42830</v>
      </c>
      <c r="C32" s="9" t="s">
        <v>471</v>
      </c>
      <c r="D32" s="11"/>
      <c r="E32" s="11"/>
      <c r="F32" s="11"/>
      <c r="G32" s="11"/>
      <c r="H32" s="11">
        <v>250</v>
      </c>
      <c r="I32" s="15"/>
      <c r="J32" s="12">
        <f t="shared" si="0"/>
        <v>38171.53</v>
      </c>
      <c r="K32" s="12">
        <f t="shared" si="1"/>
        <v>77901.189999999988</v>
      </c>
    </row>
    <row r="33" spans="2:11" x14ac:dyDescent="0.25">
      <c r="B33" s="117">
        <v>42830</v>
      </c>
      <c r="C33" s="9" t="s">
        <v>472</v>
      </c>
      <c r="D33" s="11"/>
      <c r="E33" s="11"/>
      <c r="F33" s="11"/>
      <c r="G33" s="11"/>
      <c r="H33" s="11">
        <v>650</v>
      </c>
      <c r="I33" s="15"/>
      <c r="J33" s="12">
        <f t="shared" si="0"/>
        <v>38171.53</v>
      </c>
      <c r="K33" s="12">
        <f t="shared" si="1"/>
        <v>77251.189999999988</v>
      </c>
    </row>
    <row r="34" spans="2:11" x14ac:dyDescent="0.25">
      <c r="B34" s="117">
        <v>42830</v>
      </c>
      <c r="C34" s="9" t="s">
        <v>452</v>
      </c>
      <c r="D34" s="11"/>
      <c r="E34" s="11"/>
      <c r="F34" s="11"/>
      <c r="G34" s="11"/>
      <c r="H34" s="11">
        <v>310</v>
      </c>
      <c r="I34" s="15"/>
      <c r="J34" s="12">
        <f t="shared" si="0"/>
        <v>38171.53</v>
      </c>
      <c r="K34" s="12">
        <f t="shared" si="1"/>
        <v>76941.189999999988</v>
      </c>
    </row>
    <row r="35" spans="2:11" x14ac:dyDescent="0.25">
      <c r="B35" s="117">
        <v>42830</v>
      </c>
      <c r="C35" s="9" t="s">
        <v>473</v>
      </c>
      <c r="D35" s="11"/>
      <c r="E35" s="11"/>
      <c r="F35" s="11"/>
      <c r="G35" s="11"/>
      <c r="H35" s="11">
        <v>400</v>
      </c>
      <c r="I35" s="15"/>
      <c r="J35" s="12">
        <f t="shared" si="0"/>
        <v>38171.53</v>
      </c>
      <c r="K35" s="12">
        <f t="shared" si="1"/>
        <v>76541.189999999988</v>
      </c>
    </row>
    <row r="36" spans="2:11" x14ac:dyDescent="0.25">
      <c r="B36" s="117">
        <v>42830</v>
      </c>
      <c r="C36" s="9" t="s">
        <v>465</v>
      </c>
      <c r="D36" s="11">
        <v>900</v>
      </c>
      <c r="E36" s="11"/>
      <c r="F36" s="11"/>
      <c r="G36" s="11"/>
      <c r="H36" s="11"/>
      <c r="I36" s="15"/>
      <c r="J36" s="12">
        <f t="shared" si="0"/>
        <v>38171.53</v>
      </c>
      <c r="K36" s="12">
        <f t="shared" si="1"/>
        <v>77441.189999999988</v>
      </c>
    </row>
    <row r="37" spans="2:11" x14ac:dyDescent="0.25">
      <c r="B37" s="117">
        <v>42830</v>
      </c>
      <c r="C37" s="9" t="s">
        <v>467</v>
      </c>
      <c r="D37" s="11"/>
      <c r="E37" s="11"/>
      <c r="F37" s="11"/>
      <c r="G37" s="11"/>
      <c r="H37" s="11">
        <v>900</v>
      </c>
      <c r="I37" s="15"/>
      <c r="J37" s="12">
        <f t="shared" si="0"/>
        <v>38171.53</v>
      </c>
      <c r="K37" s="12">
        <f t="shared" si="1"/>
        <v>76541.189999999988</v>
      </c>
    </row>
    <row r="38" spans="2:11" x14ac:dyDescent="0.25">
      <c r="B38" s="117">
        <v>42830</v>
      </c>
      <c r="C38" s="9" t="s">
        <v>474</v>
      </c>
      <c r="D38" s="11">
        <v>4004</v>
      </c>
      <c r="E38" s="11"/>
      <c r="F38" s="11"/>
      <c r="G38" s="11"/>
      <c r="H38" s="120"/>
      <c r="I38" s="15"/>
      <c r="J38" s="12">
        <f t="shared" si="0"/>
        <v>38171.53</v>
      </c>
      <c r="K38" s="12">
        <f t="shared" si="1"/>
        <v>80545.189999999988</v>
      </c>
    </row>
    <row r="39" spans="2:11" x14ac:dyDescent="0.25">
      <c r="B39" s="117">
        <v>42830</v>
      </c>
      <c r="C39" s="9" t="s">
        <v>475</v>
      </c>
      <c r="D39" s="11"/>
      <c r="E39" s="11"/>
      <c r="F39" s="11"/>
      <c r="G39" s="11"/>
      <c r="H39" s="11">
        <v>4004</v>
      </c>
      <c r="I39" s="15"/>
      <c r="J39" s="12">
        <f t="shared" si="0"/>
        <v>38171.53</v>
      </c>
      <c r="K39" s="12">
        <f t="shared" si="1"/>
        <v>76541.189999999988</v>
      </c>
    </row>
    <row r="40" spans="2:11" x14ac:dyDescent="0.25">
      <c r="B40" s="117">
        <v>42832</v>
      </c>
      <c r="C40" s="9" t="s">
        <v>476</v>
      </c>
      <c r="D40" s="11"/>
      <c r="E40" s="11"/>
      <c r="F40" s="11"/>
      <c r="G40" s="11"/>
      <c r="H40" s="11">
        <v>350</v>
      </c>
      <c r="I40" s="15"/>
      <c r="J40" s="12">
        <f t="shared" si="0"/>
        <v>38171.53</v>
      </c>
      <c r="K40" s="12">
        <f t="shared" si="1"/>
        <v>76191.189999999988</v>
      </c>
    </row>
    <row r="41" spans="2:11" x14ac:dyDescent="0.25">
      <c r="B41" s="117">
        <v>42832</v>
      </c>
      <c r="C41" s="35" t="s">
        <v>477</v>
      </c>
      <c r="D41" s="11"/>
      <c r="E41" s="11"/>
      <c r="F41" s="11"/>
      <c r="G41" s="11"/>
      <c r="H41" s="120">
        <v>15050</v>
      </c>
      <c r="I41" s="15"/>
      <c r="J41" s="12">
        <f t="shared" si="0"/>
        <v>38171.53</v>
      </c>
      <c r="K41" s="12">
        <f t="shared" si="1"/>
        <v>61141.189999999988</v>
      </c>
    </row>
    <row r="42" spans="2:11" x14ac:dyDescent="0.25">
      <c r="B42" s="117">
        <v>42832</v>
      </c>
      <c r="C42" s="9" t="s">
        <v>478</v>
      </c>
      <c r="D42" s="11"/>
      <c r="E42" s="11"/>
      <c r="F42" s="11"/>
      <c r="G42" s="11"/>
      <c r="H42" s="120">
        <v>1000</v>
      </c>
      <c r="I42" s="15"/>
      <c r="J42" s="12">
        <f t="shared" si="0"/>
        <v>38171.53</v>
      </c>
      <c r="K42" s="12">
        <f t="shared" si="1"/>
        <v>60141.189999999988</v>
      </c>
    </row>
    <row r="43" spans="2:11" x14ac:dyDescent="0.25">
      <c r="B43" s="117">
        <v>42832</v>
      </c>
      <c r="C43" s="9" t="s">
        <v>479</v>
      </c>
      <c r="D43" s="11"/>
      <c r="E43" s="11"/>
      <c r="F43" s="11"/>
      <c r="G43" s="11">
        <v>3300</v>
      </c>
      <c r="H43" s="120"/>
      <c r="I43" s="15"/>
      <c r="J43" s="12">
        <f t="shared" si="0"/>
        <v>34871.53</v>
      </c>
      <c r="K43" s="12">
        <f t="shared" si="1"/>
        <v>60141.189999999988</v>
      </c>
    </row>
    <row r="44" spans="2:11" x14ac:dyDescent="0.25">
      <c r="B44" s="117">
        <v>42833</v>
      </c>
      <c r="C44" s="9" t="s">
        <v>480</v>
      </c>
      <c r="D44" s="11"/>
      <c r="E44" s="11"/>
      <c r="F44" s="11"/>
      <c r="G44" s="11"/>
      <c r="H44" s="120">
        <v>150</v>
      </c>
      <c r="I44" s="15"/>
      <c r="J44" s="12">
        <f t="shared" si="0"/>
        <v>34871.53</v>
      </c>
      <c r="K44" s="12">
        <f t="shared" si="1"/>
        <v>59991.189999999988</v>
      </c>
    </row>
    <row r="45" spans="2:11" x14ac:dyDescent="0.25">
      <c r="B45" s="117">
        <v>42833</v>
      </c>
      <c r="C45" s="9" t="s">
        <v>481</v>
      </c>
      <c r="D45" s="11"/>
      <c r="E45" s="11"/>
      <c r="F45" s="11"/>
      <c r="G45" s="11"/>
      <c r="H45" s="120">
        <v>500</v>
      </c>
      <c r="I45" s="15"/>
      <c r="J45" s="12">
        <f t="shared" si="0"/>
        <v>34871.53</v>
      </c>
      <c r="K45" s="12">
        <f t="shared" si="1"/>
        <v>59491.189999999988</v>
      </c>
    </row>
    <row r="46" spans="2:11" x14ac:dyDescent="0.25">
      <c r="B46" s="117">
        <v>42833</v>
      </c>
      <c r="C46" s="9" t="s">
        <v>486</v>
      </c>
      <c r="D46" s="11"/>
      <c r="E46" s="11"/>
      <c r="F46" s="11"/>
      <c r="G46" s="11"/>
      <c r="H46" s="120">
        <v>150</v>
      </c>
      <c r="I46" s="15"/>
      <c r="J46" s="12">
        <f t="shared" si="0"/>
        <v>34871.53</v>
      </c>
      <c r="K46" s="12">
        <f t="shared" si="1"/>
        <v>59341.189999999988</v>
      </c>
    </row>
    <row r="47" spans="2:11" x14ac:dyDescent="0.25">
      <c r="B47" s="117">
        <v>42834</v>
      </c>
      <c r="C47" s="9" t="s">
        <v>456</v>
      </c>
      <c r="D47" s="11"/>
      <c r="E47" s="11"/>
      <c r="F47" s="11"/>
      <c r="G47" s="11"/>
      <c r="H47" s="120">
        <v>120</v>
      </c>
      <c r="I47" s="15"/>
      <c r="J47" s="12">
        <f t="shared" si="0"/>
        <v>34871.53</v>
      </c>
      <c r="K47" s="12">
        <f t="shared" si="1"/>
        <v>59221.189999999988</v>
      </c>
    </row>
    <row r="48" spans="2:11" x14ac:dyDescent="0.25">
      <c r="B48" s="117">
        <v>42834</v>
      </c>
      <c r="C48" s="9" t="s">
        <v>483</v>
      </c>
      <c r="D48" s="11">
        <v>19175</v>
      </c>
      <c r="E48" s="11"/>
      <c r="F48" s="11"/>
      <c r="G48" s="11"/>
      <c r="H48" s="120"/>
      <c r="I48" s="15"/>
      <c r="J48" s="12">
        <f t="shared" si="0"/>
        <v>34871.53</v>
      </c>
      <c r="K48" s="12">
        <f t="shared" si="1"/>
        <v>78396.189999999988</v>
      </c>
    </row>
    <row r="49" spans="2:11" x14ac:dyDescent="0.25">
      <c r="B49" s="117">
        <v>42834</v>
      </c>
      <c r="C49" s="9" t="s">
        <v>484</v>
      </c>
      <c r="D49" s="11">
        <v>800</v>
      </c>
      <c r="E49" s="11"/>
      <c r="F49" s="11"/>
      <c r="G49" s="11"/>
      <c r="H49" s="120"/>
      <c r="I49" s="15"/>
      <c r="J49" s="12">
        <f t="shared" si="0"/>
        <v>34871.53</v>
      </c>
      <c r="K49" s="12">
        <f t="shared" si="1"/>
        <v>79196.189999999988</v>
      </c>
    </row>
    <row r="50" spans="2:11" x14ac:dyDescent="0.25">
      <c r="B50" s="117">
        <v>42834</v>
      </c>
      <c r="C50" s="9" t="s">
        <v>485</v>
      </c>
      <c r="D50" s="11"/>
      <c r="E50" s="11"/>
      <c r="F50" s="11"/>
      <c r="G50" s="11"/>
      <c r="H50" s="120">
        <v>184.5</v>
      </c>
      <c r="I50" s="15"/>
      <c r="J50" s="12">
        <f t="shared" si="0"/>
        <v>34871.53</v>
      </c>
      <c r="K50" s="12">
        <f t="shared" si="1"/>
        <v>79011.689999999988</v>
      </c>
    </row>
    <row r="51" spans="2:11" x14ac:dyDescent="0.25">
      <c r="B51" s="117">
        <v>42835</v>
      </c>
      <c r="C51" s="9" t="s">
        <v>477</v>
      </c>
      <c r="D51" s="11"/>
      <c r="E51" s="11"/>
      <c r="F51" s="11"/>
      <c r="G51" s="11"/>
      <c r="H51" s="120">
        <v>500</v>
      </c>
      <c r="I51" s="15"/>
      <c r="J51" s="12">
        <f t="shared" si="0"/>
        <v>34871.53</v>
      </c>
      <c r="K51" s="12">
        <f t="shared" si="1"/>
        <v>78511.689999999988</v>
      </c>
    </row>
    <row r="52" spans="2:11" x14ac:dyDescent="0.25">
      <c r="B52" s="117">
        <v>42835</v>
      </c>
      <c r="C52" s="9" t="s">
        <v>482</v>
      </c>
      <c r="D52" s="11"/>
      <c r="E52" s="11"/>
      <c r="F52" s="11"/>
      <c r="G52" s="11"/>
      <c r="H52" s="11">
        <v>150</v>
      </c>
      <c r="I52" s="15"/>
      <c r="J52" s="12">
        <f t="shared" si="0"/>
        <v>34871.53</v>
      </c>
      <c r="K52" s="12">
        <f>+K51+D52-H52</f>
        <v>78361.689999999988</v>
      </c>
    </row>
    <row r="53" spans="2:11" x14ac:dyDescent="0.25">
      <c r="B53" s="117">
        <v>42835</v>
      </c>
      <c r="C53" s="9" t="s">
        <v>452</v>
      </c>
      <c r="D53" s="11"/>
      <c r="E53" s="11"/>
      <c r="F53" s="11"/>
      <c r="G53" s="11"/>
      <c r="H53" s="11">
        <v>320</v>
      </c>
      <c r="I53" s="15"/>
      <c r="J53" s="12">
        <f>+J52+E53-G53</f>
        <v>34871.53</v>
      </c>
      <c r="K53" s="12">
        <f>+K52+D53-H53</f>
        <v>78041.689999999988</v>
      </c>
    </row>
    <row r="54" spans="2:11" ht="15.75" thickBot="1" x14ac:dyDescent="0.3">
      <c r="B54" s="116">
        <v>42835</v>
      </c>
      <c r="C54" s="76" t="s">
        <v>487</v>
      </c>
      <c r="D54" s="17"/>
      <c r="E54" s="17"/>
      <c r="F54" s="17"/>
      <c r="G54" s="17"/>
      <c r="H54" s="17">
        <v>400</v>
      </c>
      <c r="I54" s="65"/>
      <c r="J54" s="12" t="e">
        <f>+J53+J59E54-G54</f>
        <v>#NAME?</v>
      </c>
      <c r="K54" s="12">
        <f>+K53+D54-H54</f>
        <v>77641.689999999988</v>
      </c>
    </row>
    <row r="55" spans="2:11" ht="15.75" thickBot="1" x14ac:dyDescent="0.3">
      <c r="B55" s="118"/>
      <c r="C55" s="7" t="s">
        <v>0</v>
      </c>
      <c r="D55" s="78">
        <f>SUM(D5:D54)</f>
        <v>53479</v>
      </c>
      <c r="E55" s="61">
        <f>SUM(E5:E54)</f>
        <v>0</v>
      </c>
      <c r="F55" s="72">
        <f>SUM(D55:E55)</f>
        <v>53479</v>
      </c>
      <c r="G55" s="72">
        <f>SUM(G5:G54)</f>
        <v>3300</v>
      </c>
      <c r="H55" s="63">
        <f>SUM(H5:H54)</f>
        <v>33595.300000000003</v>
      </c>
      <c r="I55" s="72">
        <f>SUM(G55:H55)</f>
        <v>36895.300000000003</v>
      </c>
      <c r="J55" s="20"/>
      <c r="K55" s="20"/>
    </row>
    <row r="56" spans="2:11" x14ac:dyDescent="0.25">
      <c r="B56" s="114" t="s">
        <v>1</v>
      </c>
      <c r="C56" s="69" t="s">
        <v>2</v>
      </c>
      <c r="D56" s="69" t="s">
        <v>3</v>
      </c>
      <c r="E56" s="69" t="s">
        <v>3</v>
      </c>
      <c r="F56" s="69" t="s">
        <v>23</v>
      </c>
      <c r="G56" s="69" t="s">
        <v>24</v>
      </c>
      <c r="H56" s="48" t="s">
        <v>24</v>
      </c>
      <c r="I56" s="48" t="s">
        <v>23</v>
      </c>
      <c r="J56" s="69" t="s">
        <v>9</v>
      </c>
      <c r="K56" s="48" t="s">
        <v>8</v>
      </c>
    </row>
    <row r="57" spans="2:11" ht="15.75" thickBot="1" x14ac:dyDescent="0.3">
      <c r="B57" s="115"/>
      <c r="C57" s="70"/>
      <c r="D57" s="70" t="s">
        <v>5</v>
      </c>
      <c r="E57" s="70" t="s">
        <v>25</v>
      </c>
      <c r="F57" s="70" t="s">
        <v>3</v>
      </c>
      <c r="G57" s="70" t="s">
        <v>25</v>
      </c>
      <c r="H57" s="71" t="s">
        <v>5</v>
      </c>
      <c r="I57" s="71" t="s">
        <v>4</v>
      </c>
      <c r="J57" s="70"/>
      <c r="K57" s="71"/>
    </row>
    <row r="58" spans="2:11" ht="15.75" thickBot="1" x14ac:dyDescent="0.3">
      <c r="B58" s="119"/>
      <c r="C58" s="77" t="s">
        <v>0</v>
      </c>
      <c r="D58" s="78">
        <v>53479</v>
      </c>
      <c r="E58" s="78">
        <v>0</v>
      </c>
      <c r="F58" s="78">
        <f>SUM(D58:E58)</f>
        <v>53479</v>
      </c>
      <c r="G58" s="78">
        <v>3300</v>
      </c>
      <c r="H58" s="63">
        <v>33595.300000000003</v>
      </c>
      <c r="I58" s="63">
        <f>SUM(G58:H58)</f>
        <v>36895.300000000003</v>
      </c>
      <c r="J58" s="63">
        <v>34871.53</v>
      </c>
      <c r="K58" s="20">
        <v>77641.69</v>
      </c>
    </row>
    <row r="59" spans="2:11" x14ac:dyDescent="0.25">
      <c r="B59" s="117">
        <v>42835</v>
      </c>
      <c r="C59" s="9" t="s">
        <v>467</v>
      </c>
      <c r="D59" s="11"/>
      <c r="E59" s="11"/>
      <c r="F59" s="11"/>
      <c r="G59" s="11"/>
      <c r="H59" s="11">
        <v>800</v>
      </c>
      <c r="I59" s="15"/>
      <c r="J59" s="12">
        <f>+J58+E59-G59</f>
        <v>34871.53</v>
      </c>
      <c r="K59" s="12">
        <f>+K58+D59-H59</f>
        <v>76841.69</v>
      </c>
    </row>
    <row r="60" spans="2:11" x14ac:dyDescent="0.25">
      <c r="B60" s="117">
        <v>42835</v>
      </c>
      <c r="C60" s="9" t="s">
        <v>488</v>
      </c>
      <c r="D60" s="11"/>
      <c r="E60" s="11"/>
      <c r="F60" s="11"/>
      <c r="G60" s="11"/>
      <c r="H60" s="11">
        <v>500</v>
      </c>
      <c r="I60" s="15"/>
      <c r="J60" s="12">
        <f t="shared" ref="J60:J103" si="2">+J59+E60-G60</f>
        <v>34871.53</v>
      </c>
      <c r="K60" s="12">
        <f t="shared" ref="K60:K103" si="3">+K59+D60-H60</f>
        <v>76341.69</v>
      </c>
    </row>
    <row r="61" spans="2:11" x14ac:dyDescent="0.25">
      <c r="B61" s="117">
        <v>42836</v>
      </c>
      <c r="C61" s="9" t="s">
        <v>44</v>
      </c>
      <c r="D61" s="11"/>
      <c r="E61" s="11"/>
      <c r="F61" s="11"/>
      <c r="G61" s="11"/>
      <c r="H61" s="11">
        <v>100</v>
      </c>
      <c r="I61" s="15"/>
      <c r="J61" s="12">
        <f t="shared" si="2"/>
        <v>34871.53</v>
      </c>
      <c r="K61" s="12">
        <f t="shared" si="3"/>
        <v>76241.69</v>
      </c>
    </row>
    <row r="62" spans="2:11" x14ac:dyDescent="0.25">
      <c r="B62" s="117">
        <v>42836</v>
      </c>
      <c r="C62" s="13" t="s">
        <v>489</v>
      </c>
      <c r="D62" s="41"/>
      <c r="E62" s="41"/>
      <c r="F62" s="41"/>
      <c r="G62" s="41"/>
      <c r="H62" s="11">
        <v>57</v>
      </c>
      <c r="I62" s="15"/>
      <c r="J62" s="12">
        <f t="shared" si="2"/>
        <v>34871.53</v>
      </c>
      <c r="K62" s="12">
        <f t="shared" si="3"/>
        <v>76184.69</v>
      </c>
    </row>
    <row r="63" spans="2:11" x14ac:dyDescent="0.25">
      <c r="B63" s="117">
        <v>42836</v>
      </c>
      <c r="C63" s="13" t="s">
        <v>490</v>
      </c>
      <c r="D63" s="41"/>
      <c r="E63" s="41"/>
      <c r="F63" s="41"/>
      <c r="G63" s="16"/>
      <c r="H63" s="11">
        <v>700</v>
      </c>
      <c r="I63" s="15"/>
      <c r="J63" s="12">
        <f t="shared" si="2"/>
        <v>34871.53</v>
      </c>
      <c r="K63" s="12">
        <f t="shared" si="3"/>
        <v>75484.69</v>
      </c>
    </row>
    <row r="64" spans="2:11" x14ac:dyDescent="0.25">
      <c r="B64" s="117">
        <v>42836</v>
      </c>
      <c r="C64" s="13" t="s">
        <v>492</v>
      </c>
      <c r="D64" s="41"/>
      <c r="E64" s="41"/>
      <c r="F64" s="41"/>
      <c r="G64" s="105">
        <v>1760</v>
      </c>
      <c r="H64" s="11"/>
      <c r="I64" s="15"/>
      <c r="J64" s="12">
        <f t="shared" si="2"/>
        <v>33111.53</v>
      </c>
      <c r="K64" s="12">
        <f t="shared" si="3"/>
        <v>75484.69</v>
      </c>
    </row>
    <row r="65" spans="2:11" x14ac:dyDescent="0.25">
      <c r="B65" s="117">
        <v>42836</v>
      </c>
      <c r="C65" s="9" t="s">
        <v>491</v>
      </c>
      <c r="D65" s="11"/>
      <c r="E65" s="11"/>
      <c r="F65" s="11"/>
      <c r="G65" s="11">
        <v>1300</v>
      </c>
      <c r="H65" s="120"/>
      <c r="I65" s="15"/>
      <c r="J65" s="12">
        <f t="shared" si="2"/>
        <v>31811.53</v>
      </c>
      <c r="K65" s="12">
        <f t="shared" si="3"/>
        <v>75484.69</v>
      </c>
    </row>
    <row r="66" spans="2:11" x14ac:dyDescent="0.25">
      <c r="B66" s="117">
        <v>42837</v>
      </c>
      <c r="C66" s="9" t="s">
        <v>494</v>
      </c>
      <c r="D66" s="11"/>
      <c r="E66" s="11"/>
      <c r="F66" s="11"/>
      <c r="G66" s="11"/>
      <c r="H66" s="11">
        <v>350</v>
      </c>
      <c r="I66" s="15"/>
      <c r="J66" s="12">
        <f t="shared" si="2"/>
        <v>31811.53</v>
      </c>
      <c r="K66" s="12">
        <f t="shared" si="3"/>
        <v>75134.69</v>
      </c>
    </row>
    <row r="67" spans="2:11" x14ac:dyDescent="0.25">
      <c r="B67" s="117">
        <v>42837</v>
      </c>
      <c r="C67" s="9" t="s">
        <v>495</v>
      </c>
      <c r="D67" s="11"/>
      <c r="E67" s="11"/>
      <c r="F67" s="11"/>
      <c r="G67" s="11"/>
      <c r="H67" s="11">
        <v>500</v>
      </c>
      <c r="I67" s="15"/>
      <c r="J67" s="12">
        <f t="shared" si="2"/>
        <v>31811.53</v>
      </c>
      <c r="K67" s="12">
        <f t="shared" si="3"/>
        <v>74634.69</v>
      </c>
    </row>
    <row r="68" spans="2:11" x14ac:dyDescent="0.25">
      <c r="B68" s="117">
        <v>42837</v>
      </c>
      <c r="C68" s="9" t="s">
        <v>496</v>
      </c>
      <c r="D68" s="11"/>
      <c r="E68" s="11"/>
      <c r="F68" s="11"/>
      <c r="G68" s="11"/>
      <c r="H68" s="120">
        <v>200</v>
      </c>
      <c r="I68" s="15"/>
      <c r="J68" s="12">
        <f t="shared" si="2"/>
        <v>31811.53</v>
      </c>
      <c r="K68" s="12">
        <f t="shared" si="3"/>
        <v>74434.69</v>
      </c>
    </row>
    <row r="69" spans="2:11" x14ac:dyDescent="0.25">
      <c r="B69" s="117">
        <v>42837</v>
      </c>
      <c r="C69" s="9" t="s">
        <v>497</v>
      </c>
      <c r="D69" s="11"/>
      <c r="E69" s="11"/>
      <c r="F69" s="11"/>
      <c r="G69" s="11"/>
      <c r="H69" s="11">
        <v>400</v>
      </c>
      <c r="I69" s="15"/>
      <c r="J69" s="12">
        <f t="shared" si="2"/>
        <v>31811.53</v>
      </c>
      <c r="K69" s="12">
        <f t="shared" si="3"/>
        <v>74034.69</v>
      </c>
    </row>
    <row r="70" spans="2:11" x14ac:dyDescent="0.25">
      <c r="B70" s="117">
        <v>42837</v>
      </c>
      <c r="C70" s="9" t="s">
        <v>498</v>
      </c>
      <c r="D70" s="11"/>
      <c r="E70" s="11"/>
      <c r="F70" s="11"/>
      <c r="G70" s="11"/>
      <c r="H70" s="11">
        <v>26.5</v>
      </c>
      <c r="I70" s="15"/>
      <c r="J70" s="12">
        <f t="shared" si="2"/>
        <v>31811.53</v>
      </c>
      <c r="K70" s="12">
        <f t="shared" si="3"/>
        <v>74008.19</v>
      </c>
    </row>
    <row r="71" spans="2:11" x14ac:dyDescent="0.25">
      <c r="B71" s="117">
        <v>42837</v>
      </c>
      <c r="C71" s="9" t="s">
        <v>499</v>
      </c>
      <c r="D71" s="11"/>
      <c r="E71" s="11"/>
      <c r="F71" s="11"/>
      <c r="G71" s="11"/>
      <c r="H71" s="11">
        <v>1200</v>
      </c>
      <c r="I71" s="15"/>
      <c r="J71" s="12">
        <f t="shared" si="2"/>
        <v>31811.53</v>
      </c>
      <c r="K71" s="12">
        <f t="shared" si="3"/>
        <v>72808.19</v>
      </c>
    </row>
    <row r="72" spans="2:11" x14ac:dyDescent="0.25">
      <c r="B72" s="117">
        <v>42837</v>
      </c>
      <c r="C72" s="9" t="s">
        <v>500</v>
      </c>
      <c r="D72" s="11"/>
      <c r="E72" s="11"/>
      <c r="F72" s="11"/>
      <c r="G72" s="11"/>
      <c r="H72" s="11">
        <v>600</v>
      </c>
      <c r="I72" s="15"/>
      <c r="J72" s="12">
        <f t="shared" si="2"/>
        <v>31811.53</v>
      </c>
      <c r="K72" s="12">
        <f t="shared" si="3"/>
        <v>72208.19</v>
      </c>
    </row>
    <row r="73" spans="2:11" x14ac:dyDescent="0.25">
      <c r="B73" s="117">
        <v>42837</v>
      </c>
      <c r="C73" s="9" t="s">
        <v>501</v>
      </c>
      <c r="D73" s="11"/>
      <c r="E73" s="11"/>
      <c r="F73" s="11"/>
      <c r="G73" s="11"/>
      <c r="H73" s="11">
        <v>306</v>
      </c>
      <c r="I73" s="15"/>
      <c r="J73" s="12">
        <f t="shared" si="2"/>
        <v>31811.53</v>
      </c>
      <c r="K73" s="12">
        <f t="shared" si="3"/>
        <v>71902.19</v>
      </c>
    </row>
    <row r="74" spans="2:11" x14ac:dyDescent="0.25">
      <c r="B74" s="117">
        <v>42839</v>
      </c>
      <c r="C74" s="9" t="s">
        <v>502</v>
      </c>
      <c r="D74" s="11"/>
      <c r="E74" s="11"/>
      <c r="F74" s="11"/>
      <c r="G74" s="11"/>
      <c r="H74" s="11">
        <v>1000</v>
      </c>
      <c r="I74" s="15"/>
      <c r="J74" s="12">
        <f t="shared" si="2"/>
        <v>31811.53</v>
      </c>
      <c r="K74" s="12">
        <f t="shared" si="3"/>
        <v>70902.19</v>
      </c>
    </row>
    <row r="75" spans="2:11" x14ac:dyDescent="0.25">
      <c r="B75" s="117">
        <v>42840</v>
      </c>
      <c r="C75" s="35" t="s">
        <v>503</v>
      </c>
      <c r="D75" s="41"/>
      <c r="E75" s="41"/>
      <c r="F75" s="41"/>
      <c r="G75" s="16"/>
      <c r="H75" s="11">
        <v>500</v>
      </c>
      <c r="I75" s="15"/>
      <c r="J75" s="12">
        <f t="shared" si="2"/>
        <v>31811.53</v>
      </c>
      <c r="K75" s="12">
        <f t="shared" si="3"/>
        <v>70402.19</v>
      </c>
    </row>
    <row r="76" spans="2:11" x14ac:dyDescent="0.25">
      <c r="B76" s="117">
        <v>42840</v>
      </c>
      <c r="C76" s="34" t="s">
        <v>504</v>
      </c>
      <c r="D76" s="41"/>
      <c r="E76" s="41"/>
      <c r="F76" s="41"/>
      <c r="G76" s="16"/>
      <c r="H76" s="11">
        <v>350</v>
      </c>
      <c r="I76" s="15"/>
      <c r="J76" s="12">
        <f t="shared" si="2"/>
        <v>31811.53</v>
      </c>
      <c r="K76" s="12">
        <f t="shared" si="3"/>
        <v>70052.19</v>
      </c>
    </row>
    <row r="77" spans="2:11" x14ac:dyDescent="0.25">
      <c r="B77" s="117">
        <v>42840</v>
      </c>
      <c r="C77" s="29" t="s">
        <v>493</v>
      </c>
      <c r="D77" s="11"/>
      <c r="E77" s="11"/>
      <c r="F77" s="11"/>
      <c r="G77" s="11"/>
      <c r="H77" s="11">
        <v>450</v>
      </c>
      <c r="I77" s="15"/>
      <c r="J77" s="12">
        <f t="shared" si="2"/>
        <v>31811.53</v>
      </c>
      <c r="K77" s="12">
        <f t="shared" si="3"/>
        <v>69602.19</v>
      </c>
    </row>
    <row r="78" spans="2:11" x14ac:dyDescent="0.25">
      <c r="B78" s="117">
        <v>42840</v>
      </c>
      <c r="C78" s="9" t="s">
        <v>505</v>
      </c>
      <c r="D78" s="11"/>
      <c r="E78" s="11"/>
      <c r="F78" s="11"/>
      <c r="G78" s="11"/>
      <c r="H78" s="11">
        <v>4000</v>
      </c>
      <c r="I78" s="15"/>
      <c r="J78" s="12">
        <f t="shared" si="2"/>
        <v>31811.53</v>
      </c>
      <c r="K78" s="12">
        <f t="shared" si="3"/>
        <v>65602.19</v>
      </c>
    </row>
    <row r="79" spans="2:11" x14ac:dyDescent="0.25">
      <c r="B79" s="117">
        <v>42840</v>
      </c>
      <c r="C79" s="35" t="s">
        <v>506</v>
      </c>
      <c r="D79" s="11"/>
      <c r="E79" s="11"/>
      <c r="F79" s="11"/>
      <c r="G79" s="11"/>
      <c r="H79" s="11">
        <v>14550</v>
      </c>
      <c r="I79" s="15"/>
      <c r="J79" s="12">
        <f t="shared" si="2"/>
        <v>31811.53</v>
      </c>
      <c r="K79" s="12">
        <f t="shared" si="3"/>
        <v>51052.19</v>
      </c>
    </row>
    <row r="80" spans="2:11" x14ac:dyDescent="0.25">
      <c r="B80" s="117">
        <v>42841</v>
      </c>
      <c r="C80" s="9" t="s">
        <v>507</v>
      </c>
      <c r="D80" s="11"/>
      <c r="E80" s="11"/>
      <c r="F80" s="11"/>
      <c r="G80" s="11"/>
      <c r="H80" s="11">
        <v>145</v>
      </c>
      <c r="I80" s="15"/>
      <c r="J80" s="12">
        <f t="shared" si="2"/>
        <v>31811.53</v>
      </c>
      <c r="K80" s="12">
        <f t="shared" si="3"/>
        <v>50907.19</v>
      </c>
    </row>
    <row r="81" spans="2:12" x14ac:dyDescent="0.25">
      <c r="B81" s="117">
        <v>42841</v>
      </c>
      <c r="C81" s="9" t="s">
        <v>41</v>
      </c>
      <c r="D81" s="11"/>
      <c r="E81" s="11"/>
      <c r="F81" s="11"/>
      <c r="G81" s="11"/>
      <c r="H81" s="11">
        <v>120</v>
      </c>
      <c r="I81" s="15"/>
      <c r="J81" s="12">
        <f t="shared" si="2"/>
        <v>31811.53</v>
      </c>
      <c r="K81" s="12">
        <f t="shared" si="3"/>
        <v>50787.19</v>
      </c>
    </row>
    <row r="82" spans="2:12" x14ac:dyDescent="0.25">
      <c r="B82" s="117">
        <v>42841</v>
      </c>
      <c r="C82" s="9" t="s">
        <v>512</v>
      </c>
      <c r="D82" s="124">
        <v>9550</v>
      </c>
      <c r="E82" s="11"/>
      <c r="F82" s="11"/>
      <c r="G82" s="11"/>
      <c r="H82" s="11"/>
      <c r="I82" s="15"/>
      <c r="J82" s="12">
        <f t="shared" si="2"/>
        <v>31811.53</v>
      </c>
      <c r="K82" s="12">
        <f t="shared" si="3"/>
        <v>60337.19</v>
      </c>
    </row>
    <row r="83" spans="2:12" x14ac:dyDescent="0.25">
      <c r="B83" s="117">
        <v>42841</v>
      </c>
      <c r="C83" s="9" t="s">
        <v>484</v>
      </c>
      <c r="D83" s="124">
        <v>200</v>
      </c>
      <c r="E83" s="11"/>
      <c r="F83" s="11"/>
      <c r="G83" s="11"/>
      <c r="H83" s="11"/>
      <c r="I83" s="15"/>
      <c r="J83" s="12">
        <f t="shared" si="2"/>
        <v>31811.53</v>
      </c>
      <c r="K83" s="12">
        <f t="shared" si="3"/>
        <v>60537.19</v>
      </c>
    </row>
    <row r="84" spans="2:12" x14ac:dyDescent="0.25">
      <c r="B84" s="117">
        <v>42841</v>
      </c>
      <c r="C84" s="9" t="s">
        <v>508</v>
      </c>
      <c r="D84" s="11"/>
      <c r="E84" s="11"/>
      <c r="F84" s="11"/>
      <c r="G84" s="11"/>
      <c r="H84" s="11">
        <v>200</v>
      </c>
      <c r="I84" s="15"/>
      <c r="J84" s="12">
        <f t="shared" si="2"/>
        <v>31811.53</v>
      </c>
      <c r="K84" s="12">
        <f t="shared" si="3"/>
        <v>60337.19</v>
      </c>
    </row>
    <row r="85" spans="2:12" x14ac:dyDescent="0.25">
      <c r="B85" s="117">
        <v>42841</v>
      </c>
      <c r="C85" s="9" t="s">
        <v>420</v>
      </c>
      <c r="D85" s="11"/>
      <c r="E85" s="11"/>
      <c r="F85" s="11"/>
      <c r="G85" s="11"/>
      <c r="H85" s="11">
        <v>150</v>
      </c>
      <c r="I85" s="15"/>
      <c r="J85" s="12">
        <f t="shared" si="2"/>
        <v>31811.53</v>
      </c>
      <c r="K85" s="12">
        <f t="shared" si="3"/>
        <v>60187.19</v>
      </c>
    </row>
    <row r="86" spans="2:12" x14ac:dyDescent="0.25">
      <c r="B86" s="117">
        <v>42842</v>
      </c>
      <c r="C86" s="9" t="s">
        <v>509</v>
      </c>
      <c r="D86" s="11"/>
      <c r="E86" s="11"/>
      <c r="F86" s="11"/>
      <c r="G86" s="11"/>
      <c r="H86" s="11">
        <v>400</v>
      </c>
      <c r="I86" s="15"/>
      <c r="J86" s="12">
        <f t="shared" si="2"/>
        <v>31811.53</v>
      </c>
      <c r="K86" s="12">
        <f t="shared" si="3"/>
        <v>59787.19</v>
      </c>
    </row>
    <row r="87" spans="2:12" x14ac:dyDescent="0.25">
      <c r="B87" s="117">
        <v>42842</v>
      </c>
      <c r="C87" s="9" t="s">
        <v>510</v>
      </c>
      <c r="D87" s="11"/>
      <c r="E87" s="11"/>
      <c r="F87" s="11"/>
      <c r="G87" s="11"/>
      <c r="H87" s="11">
        <v>250</v>
      </c>
      <c r="I87" s="15"/>
      <c r="J87" s="12">
        <f t="shared" si="2"/>
        <v>31811.53</v>
      </c>
      <c r="K87" s="12">
        <f t="shared" si="3"/>
        <v>59537.19</v>
      </c>
    </row>
    <row r="88" spans="2:12" x14ac:dyDescent="0.25">
      <c r="B88" s="117">
        <v>42842</v>
      </c>
      <c r="C88" s="9" t="s">
        <v>511</v>
      </c>
      <c r="D88" s="11"/>
      <c r="E88" s="11"/>
      <c r="F88" s="11"/>
      <c r="G88" s="11"/>
      <c r="H88" s="11">
        <v>500</v>
      </c>
      <c r="I88" s="15"/>
      <c r="J88" s="12">
        <f t="shared" si="2"/>
        <v>31811.53</v>
      </c>
      <c r="K88" s="12">
        <f t="shared" si="3"/>
        <v>59037.19</v>
      </c>
    </row>
    <row r="89" spans="2:12" x14ac:dyDescent="0.25">
      <c r="B89" s="117">
        <v>42842</v>
      </c>
      <c r="C89" s="9" t="s">
        <v>513</v>
      </c>
      <c r="D89" s="11"/>
      <c r="E89" s="11"/>
      <c r="F89" s="11"/>
      <c r="G89" s="11"/>
      <c r="H89" s="11">
        <v>300</v>
      </c>
      <c r="I89" s="15"/>
      <c r="J89" s="12">
        <f t="shared" si="2"/>
        <v>31811.53</v>
      </c>
      <c r="K89" s="12">
        <f t="shared" si="3"/>
        <v>58737.19</v>
      </c>
      <c r="L89" s="1">
        <f>SUM(H2:H41)</f>
        <v>30120.799999999999</v>
      </c>
    </row>
    <row r="90" spans="2:12" x14ac:dyDescent="0.25">
      <c r="B90" s="117">
        <v>42842</v>
      </c>
      <c r="C90" s="9" t="s">
        <v>452</v>
      </c>
      <c r="D90" s="11"/>
      <c r="E90" s="11"/>
      <c r="F90" s="11"/>
      <c r="G90" s="11"/>
      <c r="H90" s="11">
        <v>310</v>
      </c>
      <c r="I90" s="15"/>
      <c r="J90" s="12">
        <f t="shared" si="2"/>
        <v>31811.53</v>
      </c>
      <c r="K90" s="12">
        <f t="shared" si="3"/>
        <v>58427.19</v>
      </c>
    </row>
    <row r="91" spans="2:12" x14ac:dyDescent="0.25">
      <c r="B91" s="117">
        <v>42842</v>
      </c>
      <c r="C91" s="9" t="s">
        <v>514</v>
      </c>
      <c r="D91" s="11"/>
      <c r="E91" s="11"/>
      <c r="F91" s="11"/>
      <c r="G91" s="11"/>
      <c r="H91" s="11">
        <v>900</v>
      </c>
      <c r="I91" s="15"/>
      <c r="J91" s="12">
        <f t="shared" si="2"/>
        <v>31811.53</v>
      </c>
      <c r="K91" s="12">
        <f t="shared" si="3"/>
        <v>57527.19</v>
      </c>
    </row>
    <row r="92" spans="2:12" x14ac:dyDescent="0.25">
      <c r="B92" s="117">
        <v>42842</v>
      </c>
      <c r="C92" s="9" t="s">
        <v>515</v>
      </c>
      <c r="D92" s="11"/>
      <c r="E92" s="11"/>
      <c r="F92" s="11"/>
      <c r="G92" s="11"/>
      <c r="H92" s="11">
        <v>50</v>
      </c>
      <c r="I92" s="15"/>
      <c r="J92" s="12">
        <f t="shared" si="2"/>
        <v>31811.53</v>
      </c>
      <c r="K92" s="12">
        <f t="shared" si="3"/>
        <v>57477.19</v>
      </c>
    </row>
    <row r="93" spans="2:12" x14ac:dyDescent="0.25">
      <c r="B93" s="117">
        <v>42843</v>
      </c>
      <c r="C93" s="9" t="s">
        <v>516</v>
      </c>
      <c r="D93" s="11"/>
      <c r="E93" s="11"/>
      <c r="F93" s="11"/>
      <c r="G93" s="11"/>
      <c r="H93" s="11">
        <v>230</v>
      </c>
      <c r="I93" s="15"/>
      <c r="J93" s="12">
        <f t="shared" si="2"/>
        <v>31811.53</v>
      </c>
      <c r="K93" s="12">
        <f t="shared" si="3"/>
        <v>57247.19</v>
      </c>
    </row>
    <row r="94" spans="2:12" x14ac:dyDescent="0.25">
      <c r="B94" s="117">
        <v>42843</v>
      </c>
      <c r="C94" s="9" t="s">
        <v>517</v>
      </c>
      <c r="D94" s="11"/>
      <c r="E94" s="11"/>
      <c r="F94" s="11"/>
      <c r="G94" s="11"/>
      <c r="H94" s="11">
        <v>350</v>
      </c>
      <c r="I94" s="15"/>
      <c r="J94" s="12">
        <f t="shared" si="2"/>
        <v>31811.53</v>
      </c>
      <c r="K94" s="12">
        <f t="shared" si="3"/>
        <v>56897.19</v>
      </c>
    </row>
    <row r="95" spans="2:12" x14ac:dyDescent="0.25">
      <c r="B95" s="117">
        <v>42843</v>
      </c>
      <c r="C95" s="9" t="s">
        <v>518</v>
      </c>
      <c r="D95" s="11"/>
      <c r="E95" s="11"/>
      <c r="F95" s="11"/>
      <c r="G95" s="11"/>
      <c r="H95" s="11">
        <v>150</v>
      </c>
      <c r="I95" s="15"/>
      <c r="J95" s="12">
        <f t="shared" si="2"/>
        <v>31811.53</v>
      </c>
      <c r="K95" s="12">
        <f t="shared" si="3"/>
        <v>56747.19</v>
      </c>
    </row>
    <row r="96" spans="2:12" x14ac:dyDescent="0.25">
      <c r="B96" s="117">
        <v>42843</v>
      </c>
      <c r="C96" s="9" t="s">
        <v>519</v>
      </c>
      <c r="D96" s="11"/>
      <c r="E96" s="11"/>
      <c r="F96" s="11"/>
      <c r="G96" s="11"/>
      <c r="H96" s="11">
        <v>2350</v>
      </c>
      <c r="I96" s="15"/>
      <c r="J96" s="12">
        <f t="shared" si="2"/>
        <v>31811.53</v>
      </c>
      <c r="K96" s="12">
        <f t="shared" si="3"/>
        <v>54397.19</v>
      </c>
    </row>
    <row r="97" spans="2:11" x14ac:dyDescent="0.25">
      <c r="B97" s="117">
        <v>42843</v>
      </c>
      <c r="C97" s="9" t="s">
        <v>520</v>
      </c>
      <c r="D97" s="11"/>
      <c r="E97" s="11"/>
      <c r="F97" s="11"/>
      <c r="G97" s="11"/>
      <c r="H97" s="11">
        <v>2565</v>
      </c>
      <c r="I97" s="15"/>
      <c r="J97" s="12">
        <f t="shared" si="2"/>
        <v>31811.53</v>
      </c>
      <c r="K97" s="12">
        <f t="shared" si="3"/>
        <v>51832.19</v>
      </c>
    </row>
    <row r="98" spans="2:11" x14ac:dyDescent="0.25">
      <c r="B98" s="117">
        <v>42843</v>
      </c>
      <c r="C98" s="9" t="s">
        <v>521</v>
      </c>
      <c r="D98" s="11"/>
      <c r="E98" s="11"/>
      <c r="F98" s="11"/>
      <c r="G98" s="11"/>
      <c r="H98" s="11">
        <v>141</v>
      </c>
      <c r="I98" s="15"/>
      <c r="J98" s="12">
        <f t="shared" si="2"/>
        <v>31811.53</v>
      </c>
      <c r="K98" s="12">
        <f t="shared" si="3"/>
        <v>51691.19</v>
      </c>
    </row>
    <row r="99" spans="2:11" x14ac:dyDescent="0.25">
      <c r="B99" s="117">
        <v>42844</v>
      </c>
      <c r="C99" s="9" t="s">
        <v>522</v>
      </c>
      <c r="D99" s="11"/>
      <c r="E99" s="11"/>
      <c r="F99" s="11"/>
      <c r="G99" s="11"/>
      <c r="H99" s="11">
        <v>349</v>
      </c>
      <c r="I99" s="15"/>
      <c r="J99" s="12">
        <f t="shared" si="2"/>
        <v>31811.53</v>
      </c>
      <c r="K99" s="12">
        <f t="shared" si="3"/>
        <v>51342.19</v>
      </c>
    </row>
    <row r="100" spans="2:11" x14ac:dyDescent="0.25">
      <c r="B100" s="117">
        <v>42844</v>
      </c>
      <c r="C100" s="35" t="s">
        <v>523</v>
      </c>
      <c r="D100" s="11"/>
      <c r="E100" s="11"/>
      <c r="F100" s="11"/>
      <c r="G100" s="11"/>
      <c r="H100" s="11">
        <v>10000</v>
      </c>
      <c r="I100" s="15"/>
      <c r="J100" s="12">
        <f t="shared" si="2"/>
        <v>31811.53</v>
      </c>
      <c r="K100" s="12">
        <f t="shared" si="3"/>
        <v>41342.19</v>
      </c>
    </row>
    <row r="101" spans="2:11" x14ac:dyDescent="0.25">
      <c r="B101" s="117">
        <v>42846</v>
      </c>
      <c r="C101" s="9" t="s">
        <v>524</v>
      </c>
      <c r="D101" s="11"/>
      <c r="E101" s="11"/>
      <c r="F101" s="11"/>
      <c r="G101" s="11"/>
      <c r="H101" s="11">
        <v>1320</v>
      </c>
      <c r="I101" s="15"/>
      <c r="J101" s="12">
        <f t="shared" si="2"/>
        <v>31811.53</v>
      </c>
      <c r="K101" s="12">
        <f t="shared" si="3"/>
        <v>40022.19</v>
      </c>
    </row>
    <row r="102" spans="2:11" x14ac:dyDescent="0.25">
      <c r="B102" s="117">
        <v>42846</v>
      </c>
      <c r="C102" s="9" t="s">
        <v>525</v>
      </c>
      <c r="D102" s="11"/>
      <c r="E102" s="11"/>
      <c r="F102" s="11"/>
      <c r="G102" s="11"/>
      <c r="H102" s="11">
        <v>320</v>
      </c>
      <c r="I102" s="15"/>
      <c r="J102" s="12">
        <f t="shared" si="2"/>
        <v>31811.53</v>
      </c>
      <c r="K102" s="12">
        <f t="shared" si="3"/>
        <v>39702.19</v>
      </c>
    </row>
    <row r="103" spans="2:11" x14ac:dyDescent="0.25">
      <c r="B103" s="117">
        <v>42846</v>
      </c>
      <c r="C103" s="9" t="s">
        <v>526</v>
      </c>
      <c r="D103" s="11"/>
      <c r="E103" s="11"/>
      <c r="F103" s="11"/>
      <c r="G103" s="11"/>
      <c r="H103" s="11">
        <v>250</v>
      </c>
      <c r="I103" s="15"/>
      <c r="J103" s="12">
        <f t="shared" si="2"/>
        <v>31811.53</v>
      </c>
      <c r="K103" s="12">
        <f t="shared" si="3"/>
        <v>39452.19</v>
      </c>
    </row>
    <row r="104" spans="2:11" x14ac:dyDescent="0.25">
      <c r="B104" s="117">
        <v>42846</v>
      </c>
      <c r="C104" s="9" t="s">
        <v>527</v>
      </c>
      <c r="D104" s="11"/>
      <c r="E104" s="11"/>
      <c r="F104" s="11"/>
      <c r="G104" s="11"/>
      <c r="H104" s="11">
        <v>150</v>
      </c>
      <c r="I104" s="15"/>
      <c r="J104" s="12">
        <f t="shared" ref="J104:J109" si="4">+J103+E104-G104</f>
        <v>31811.53</v>
      </c>
      <c r="K104" s="12">
        <f t="shared" ref="K104:K109" si="5">+K103+D104-H104</f>
        <v>39302.19</v>
      </c>
    </row>
    <row r="105" spans="2:11" x14ac:dyDescent="0.25">
      <c r="B105" s="117">
        <v>42846</v>
      </c>
      <c r="C105" s="9" t="s">
        <v>528</v>
      </c>
      <c r="D105" s="11"/>
      <c r="E105" s="11"/>
      <c r="F105" s="11"/>
      <c r="G105" s="11"/>
      <c r="H105" s="11">
        <v>180</v>
      </c>
      <c r="I105" s="15"/>
      <c r="J105" s="12">
        <f t="shared" si="4"/>
        <v>31811.53</v>
      </c>
      <c r="K105" s="12">
        <f t="shared" si="5"/>
        <v>39122.19</v>
      </c>
    </row>
    <row r="106" spans="2:11" x14ac:dyDescent="0.25">
      <c r="B106" s="117">
        <v>42846</v>
      </c>
      <c r="C106" s="9" t="s">
        <v>529</v>
      </c>
      <c r="D106" s="11"/>
      <c r="E106" s="11"/>
      <c r="F106" s="11"/>
      <c r="G106" s="11"/>
      <c r="H106" s="11">
        <v>500</v>
      </c>
      <c r="I106" s="15"/>
      <c r="J106" s="12">
        <f t="shared" si="4"/>
        <v>31811.53</v>
      </c>
      <c r="K106" s="12">
        <f t="shared" si="5"/>
        <v>38622.19</v>
      </c>
    </row>
    <row r="107" spans="2:11" x14ac:dyDescent="0.25">
      <c r="B107" s="117">
        <v>42846</v>
      </c>
      <c r="C107" s="9" t="s">
        <v>530</v>
      </c>
      <c r="D107" s="11"/>
      <c r="E107" s="11"/>
      <c r="F107" s="11"/>
      <c r="G107" s="11"/>
      <c r="H107" s="11">
        <v>350</v>
      </c>
      <c r="I107" s="15"/>
      <c r="J107" s="12">
        <f t="shared" si="4"/>
        <v>31811.53</v>
      </c>
      <c r="K107" s="12">
        <f t="shared" si="5"/>
        <v>38272.19</v>
      </c>
    </row>
    <row r="108" spans="2:11" x14ac:dyDescent="0.25">
      <c r="B108" s="116">
        <v>42846</v>
      </c>
      <c r="C108" s="76" t="s">
        <v>531</v>
      </c>
      <c r="D108" s="11"/>
      <c r="E108" s="11"/>
      <c r="F108" s="11"/>
      <c r="G108" s="11"/>
      <c r="H108" s="11">
        <v>1000</v>
      </c>
      <c r="I108" s="15"/>
      <c r="J108" s="12">
        <f t="shared" si="4"/>
        <v>31811.53</v>
      </c>
      <c r="K108" s="12">
        <f t="shared" si="5"/>
        <v>37272.19</v>
      </c>
    </row>
    <row r="109" spans="2:11" ht="15.75" thickBot="1" x14ac:dyDescent="0.3">
      <c r="B109" s="117">
        <v>42846</v>
      </c>
      <c r="C109" s="9" t="s">
        <v>532</v>
      </c>
      <c r="D109" s="11"/>
      <c r="E109" s="11"/>
      <c r="F109" s="11"/>
      <c r="G109" s="11"/>
      <c r="H109" s="11">
        <v>1460</v>
      </c>
      <c r="I109" s="15"/>
      <c r="J109" s="12">
        <f t="shared" si="4"/>
        <v>31811.53</v>
      </c>
      <c r="K109" s="12">
        <f t="shared" si="5"/>
        <v>35812.19</v>
      </c>
    </row>
    <row r="110" spans="2:11" ht="15.75" thickBot="1" x14ac:dyDescent="0.3">
      <c r="B110" s="118"/>
      <c r="C110" s="7" t="s">
        <v>0</v>
      </c>
      <c r="D110" s="78">
        <f>SUM(D58:D109)</f>
        <v>63229</v>
      </c>
      <c r="E110" s="122">
        <f>SUM(E58:E109)</f>
        <v>0</v>
      </c>
      <c r="F110" s="123">
        <f>SUM(D110:E110)</f>
        <v>63229</v>
      </c>
      <c r="G110" s="123">
        <f>SUM(G58:G109)</f>
        <v>6360</v>
      </c>
      <c r="H110" s="63">
        <f>SUM(H58:H109)</f>
        <v>85174.8</v>
      </c>
      <c r="I110" s="72">
        <f>SUM(G110:H110)</f>
        <v>91534.8</v>
      </c>
      <c r="J110" s="20"/>
      <c r="K110" s="20"/>
    </row>
    <row r="111" spans="2:11" x14ac:dyDescent="0.25">
      <c r="B111" s="114" t="s">
        <v>1</v>
      </c>
      <c r="C111" s="69" t="s">
        <v>2</v>
      </c>
      <c r="D111" s="69" t="s">
        <v>3</v>
      </c>
      <c r="E111" s="69" t="s">
        <v>3</v>
      </c>
      <c r="F111" s="69" t="s">
        <v>23</v>
      </c>
      <c r="G111" s="69" t="s">
        <v>24</v>
      </c>
      <c r="H111" s="48" t="s">
        <v>24</v>
      </c>
      <c r="I111" s="48" t="s">
        <v>23</v>
      </c>
      <c r="J111" s="69" t="s">
        <v>9</v>
      </c>
      <c r="K111" s="48" t="s">
        <v>8</v>
      </c>
    </row>
    <row r="112" spans="2:11" ht="15.75" thickBot="1" x14ac:dyDescent="0.3">
      <c r="B112" s="115"/>
      <c r="C112" s="70"/>
      <c r="D112" s="70" t="s">
        <v>5</v>
      </c>
      <c r="E112" s="70" t="s">
        <v>25</v>
      </c>
      <c r="F112" s="70" t="s">
        <v>3</v>
      </c>
      <c r="G112" s="70" t="s">
        <v>25</v>
      </c>
      <c r="H112" s="71" t="s">
        <v>5</v>
      </c>
      <c r="I112" s="71" t="s">
        <v>4</v>
      </c>
      <c r="J112" s="70"/>
      <c r="K112" s="71"/>
    </row>
    <row r="113" spans="2:11" ht="15.75" thickBot="1" x14ac:dyDescent="0.3">
      <c r="B113" s="119"/>
      <c r="C113" s="77" t="s">
        <v>0</v>
      </c>
      <c r="D113" s="78">
        <v>63229</v>
      </c>
      <c r="E113" s="78">
        <v>0</v>
      </c>
      <c r="F113" s="78">
        <f>SUM(D113:E113)</f>
        <v>63229</v>
      </c>
      <c r="G113" s="78">
        <v>6360</v>
      </c>
      <c r="H113" s="63">
        <v>85174.8</v>
      </c>
      <c r="I113" s="63">
        <f>SUM(G113:H113)</f>
        <v>91534.8</v>
      </c>
      <c r="J113" s="63">
        <v>31811.53</v>
      </c>
      <c r="K113" s="20">
        <v>35812.19</v>
      </c>
    </row>
    <row r="114" spans="2:11" x14ac:dyDescent="0.25">
      <c r="B114" s="117">
        <v>42846</v>
      </c>
      <c r="C114" s="9" t="s">
        <v>533</v>
      </c>
      <c r="D114" s="11"/>
      <c r="E114" s="11"/>
      <c r="F114" s="11"/>
      <c r="G114" s="11"/>
      <c r="H114" s="11">
        <v>400</v>
      </c>
      <c r="I114" s="15"/>
      <c r="J114" s="12">
        <f>+J113+E114-G114</f>
        <v>31811.53</v>
      </c>
      <c r="K114" s="12">
        <f>+K113+D114-H114</f>
        <v>35412.19</v>
      </c>
    </row>
    <row r="115" spans="2:11" x14ac:dyDescent="0.25">
      <c r="B115" s="117">
        <v>42847</v>
      </c>
      <c r="C115" s="9" t="s">
        <v>534</v>
      </c>
      <c r="D115" s="11"/>
      <c r="E115" s="11"/>
      <c r="F115" s="11"/>
      <c r="G115" s="11"/>
      <c r="H115" s="11">
        <v>350</v>
      </c>
      <c r="I115" s="15"/>
      <c r="J115" s="12">
        <f t="shared" ref="J115:J155" si="6">+J114+E115-G115</f>
        <v>31811.53</v>
      </c>
      <c r="K115" s="12">
        <f t="shared" ref="K115:K155" si="7">+K114+D115-H115</f>
        <v>35062.19</v>
      </c>
    </row>
    <row r="116" spans="2:11" x14ac:dyDescent="0.25">
      <c r="B116" s="117">
        <v>42847</v>
      </c>
      <c r="C116" s="13" t="s">
        <v>43</v>
      </c>
      <c r="D116" s="11"/>
      <c r="E116" s="11"/>
      <c r="F116" s="11"/>
      <c r="G116" s="11"/>
      <c r="H116" s="11">
        <v>150</v>
      </c>
      <c r="I116" s="15"/>
      <c r="J116" s="12">
        <f t="shared" si="6"/>
        <v>31811.53</v>
      </c>
      <c r="K116" s="12">
        <f t="shared" si="7"/>
        <v>34912.19</v>
      </c>
    </row>
    <row r="117" spans="2:11" x14ac:dyDescent="0.25">
      <c r="B117" s="117">
        <v>42847</v>
      </c>
      <c r="C117" s="13" t="s">
        <v>535</v>
      </c>
      <c r="D117" s="11"/>
      <c r="E117" s="11"/>
      <c r="F117" s="11"/>
      <c r="G117" s="11"/>
      <c r="H117" s="11">
        <v>120</v>
      </c>
      <c r="I117" s="15"/>
      <c r="J117" s="12">
        <f t="shared" si="6"/>
        <v>31811.53</v>
      </c>
      <c r="K117" s="12">
        <f t="shared" si="7"/>
        <v>34792.19</v>
      </c>
    </row>
    <row r="118" spans="2:11" x14ac:dyDescent="0.25">
      <c r="B118" s="117">
        <v>42848</v>
      </c>
      <c r="C118" s="13" t="s">
        <v>536</v>
      </c>
      <c r="D118" s="11"/>
      <c r="E118" s="11"/>
      <c r="F118" s="11"/>
      <c r="G118" s="11"/>
      <c r="H118" s="11">
        <v>177.9</v>
      </c>
      <c r="I118" s="15"/>
      <c r="J118" s="12">
        <f t="shared" si="6"/>
        <v>31811.53</v>
      </c>
      <c r="K118" s="12">
        <f t="shared" si="7"/>
        <v>34614.29</v>
      </c>
    </row>
    <row r="119" spans="2:11" x14ac:dyDescent="0.25">
      <c r="B119" s="117">
        <v>42848</v>
      </c>
      <c r="C119" s="9" t="s">
        <v>537</v>
      </c>
      <c r="D119" s="11"/>
      <c r="E119" s="11"/>
      <c r="F119" s="11"/>
      <c r="G119" s="11"/>
      <c r="H119" s="11">
        <v>500</v>
      </c>
      <c r="I119" s="15"/>
      <c r="J119" s="12">
        <f t="shared" si="6"/>
        <v>31811.53</v>
      </c>
      <c r="K119" s="12">
        <f t="shared" si="7"/>
        <v>34114.29</v>
      </c>
    </row>
    <row r="120" spans="2:11" x14ac:dyDescent="0.25">
      <c r="B120" s="117">
        <v>42848</v>
      </c>
      <c r="C120" s="9" t="s">
        <v>538</v>
      </c>
      <c r="D120" s="11"/>
      <c r="E120" s="11"/>
      <c r="F120" s="11"/>
      <c r="G120" s="11"/>
      <c r="H120" s="11">
        <v>400</v>
      </c>
      <c r="I120" s="15"/>
      <c r="J120" s="12">
        <f t="shared" si="6"/>
        <v>31811.53</v>
      </c>
      <c r="K120" s="12">
        <f t="shared" si="7"/>
        <v>33714.29</v>
      </c>
    </row>
    <row r="121" spans="2:11" x14ac:dyDescent="0.25">
      <c r="B121" s="117">
        <v>42848</v>
      </c>
      <c r="C121" s="9" t="s">
        <v>539</v>
      </c>
      <c r="D121" s="11"/>
      <c r="E121" s="11"/>
      <c r="F121" s="11"/>
      <c r="G121" s="11"/>
      <c r="H121" s="11">
        <v>520</v>
      </c>
      <c r="I121" s="15"/>
      <c r="J121" s="12">
        <f t="shared" si="6"/>
        <v>31811.53</v>
      </c>
      <c r="K121" s="12">
        <f t="shared" si="7"/>
        <v>33194.29</v>
      </c>
    </row>
    <row r="122" spans="2:11" x14ac:dyDescent="0.25">
      <c r="B122" s="117">
        <v>42848</v>
      </c>
      <c r="C122" s="121" t="s">
        <v>540</v>
      </c>
      <c r="D122" s="11"/>
      <c r="E122" s="11"/>
      <c r="F122" s="11"/>
      <c r="G122" s="11"/>
      <c r="H122" s="11">
        <v>400</v>
      </c>
      <c r="I122" s="15"/>
      <c r="J122" s="12">
        <f t="shared" si="6"/>
        <v>31811.53</v>
      </c>
      <c r="K122" s="12">
        <f t="shared" si="7"/>
        <v>32794.29</v>
      </c>
    </row>
    <row r="123" spans="2:11" x14ac:dyDescent="0.25">
      <c r="B123" s="117">
        <v>42848</v>
      </c>
      <c r="C123" s="9" t="s">
        <v>541</v>
      </c>
      <c r="D123" s="11"/>
      <c r="E123" s="11"/>
      <c r="F123" s="11"/>
      <c r="G123" s="11"/>
      <c r="H123" s="11">
        <v>5</v>
      </c>
      <c r="I123" s="15"/>
      <c r="J123" s="12">
        <f t="shared" si="6"/>
        <v>31811.53</v>
      </c>
      <c r="K123" s="12">
        <f t="shared" si="7"/>
        <v>32789.29</v>
      </c>
    </row>
    <row r="124" spans="2:11" x14ac:dyDescent="0.25">
      <c r="B124" s="117">
        <v>42848</v>
      </c>
      <c r="C124" s="9" t="s">
        <v>542</v>
      </c>
      <c r="D124" s="11"/>
      <c r="E124" s="11"/>
      <c r="F124" s="11"/>
      <c r="G124" s="11"/>
      <c r="H124" s="11">
        <v>84</v>
      </c>
      <c r="I124" s="15"/>
      <c r="J124" s="12">
        <f t="shared" si="6"/>
        <v>31811.53</v>
      </c>
      <c r="K124" s="12">
        <f t="shared" si="7"/>
        <v>32705.29</v>
      </c>
    </row>
    <row r="125" spans="2:11" x14ac:dyDescent="0.25">
      <c r="B125" s="117">
        <v>42848</v>
      </c>
      <c r="C125" s="29" t="s">
        <v>543</v>
      </c>
      <c r="D125" s="11"/>
      <c r="E125" s="11"/>
      <c r="F125" s="11"/>
      <c r="G125" s="11"/>
      <c r="H125" s="11">
        <v>401.5</v>
      </c>
      <c r="I125" s="15"/>
      <c r="J125" s="12">
        <f t="shared" si="6"/>
        <v>31811.53</v>
      </c>
      <c r="K125" s="12">
        <f t="shared" si="7"/>
        <v>32303.79</v>
      </c>
    </row>
    <row r="126" spans="2:11" x14ac:dyDescent="0.25">
      <c r="B126" s="117">
        <v>42848</v>
      </c>
      <c r="C126" s="9" t="s">
        <v>544</v>
      </c>
      <c r="D126" s="124">
        <v>13350</v>
      </c>
      <c r="E126" s="11"/>
      <c r="F126" s="11"/>
      <c r="G126" s="11"/>
      <c r="H126" s="11"/>
      <c r="I126" s="15"/>
      <c r="J126" s="12">
        <f t="shared" si="6"/>
        <v>31811.53</v>
      </c>
      <c r="K126" s="12">
        <f t="shared" si="7"/>
        <v>45653.79</v>
      </c>
    </row>
    <row r="127" spans="2:11" x14ac:dyDescent="0.25">
      <c r="B127" s="117">
        <v>42848</v>
      </c>
      <c r="C127" s="9" t="s">
        <v>545</v>
      </c>
      <c r="D127" s="124">
        <v>800</v>
      </c>
      <c r="E127" s="11"/>
      <c r="F127" s="11"/>
      <c r="G127" s="11"/>
      <c r="H127" s="11"/>
      <c r="I127" s="15"/>
      <c r="J127" s="12">
        <f t="shared" si="6"/>
        <v>31811.53</v>
      </c>
      <c r="K127" s="12">
        <f t="shared" si="7"/>
        <v>46453.79</v>
      </c>
    </row>
    <row r="128" spans="2:11" x14ac:dyDescent="0.25">
      <c r="B128" s="117">
        <v>42848</v>
      </c>
      <c r="C128" s="9" t="s">
        <v>467</v>
      </c>
      <c r="D128" s="11"/>
      <c r="E128" s="11"/>
      <c r="F128" s="11"/>
      <c r="G128" s="11"/>
      <c r="H128" s="11">
        <v>800</v>
      </c>
      <c r="I128" s="15"/>
      <c r="J128" s="12">
        <f t="shared" si="6"/>
        <v>31811.53</v>
      </c>
      <c r="K128" s="12">
        <f t="shared" si="7"/>
        <v>45653.79</v>
      </c>
    </row>
    <row r="129" spans="2:11" x14ac:dyDescent="0.25">
      <c r="B129" s="117">
        <v>42848</v>
      </c>
      <c r="C129" s="35" t="s">
        <v>546</v>
      </c>
      <c r="D129" s="11"/>
      <c r="E129" s="11"/>
      <c r="F129" s="11"/>
      <c r="G129" s="11"/>
      <c r="H129" s="11">
        <v>320</v>
      </c>
      <c r="I129" s="15"/>
      <c r="J129" s="12">
        <f t="shared" si="6"/>
        <v>31811.53</v>
      </c>
      <c r="K129" s="12">
        <f t="shared" si="7"/>
        <v>45333.79</v>
      </c>
    </row>
    <row r="130" spans="2:11" x14ac:dyDescent="0.25">
      <c r="B130" s="117">
        <v>42849</v>
      </c>
      <c r="C130" s="34" t="s">
        <v>547</v>
      </c>
      <c r="D130" s="11"/>
      <c r="E130" s="11"/>
      <c r="F130" s="11"/>
      <c r="G130" s="11"/>
      <c r="H130" s="11">
        <v>203</v>
      </c>
      <c r="I130" s="15"/>
      <c r="J130" s="12">
        <f t="shared" si="6"/>
        <v>31811.53</v>
      </c>
      <c r="K130" s="12">
        <f t="shared" si="7"/>
        <v>45130.79</v>
      </c>
    </row>
    <row r="131" spans="2:11" x14ac:dyDescent="0.25">
      <c r="B131" s="117">
        <v>42849</v>
      </c>
      <c r="C131" s="29" t="s">
        <v>547</v>
      </c>
      <c r="D131" s="11"/>
      <c r="E131" s="11"/>
      <c r="F131" s="11"/>
      <c r="G131" s="11"/>
      <c r="H131" s="11">
        <v>35</v>
      </c>
      <c r="I131" s="15"/>
      <c r="J131" s="12">
        <f t="shared" si="6"/>
        <v>31811.53</v>
      </c>
      <c r="K131" s="12">
        <f t="shared" si="7"/>
        <v>45095.79</v>
      </c>
    </row>
    <row r="132" spans="2:11" x14ac:dyDescent="0.25">
      <c r="B132" s="117">
        <v>42849</v>
      </c>
      <c r="C132" s="9" t="s">
        <v>548</v>
      </c>
      <c r="D132" s="11"/>
      <c r="E132" s="11"/>
      <c r="F132" s="11"/>
      <c r="G132" s="11"/>
      <c r="H132" s="11">
        <v>200</v>
      </c>
      <c r="I132" s="15"/>
      <c r="J132" s="12">
        <f t="shared" si="6"/>
        <v>31811.53</v>
      </c>
      <c r="K132" s="12">
        <f t="shared" si="7"/>
        <v>44895.79</v>
      </c>
    </row>
    <row r="133" spans="2:11" x14ac:dyDescent="0.25">
      <c r="B133" s="117">
        <v>42849</v>
      </c>
      <c r="C133" s="9" t="s">
        <v>452</v>
      </c>
      <c r="D133" s="11"/>
      <c r="E133" s="11"/>
      <c r="F133" s="11"/>
      <c r="G133" s="11"/>
      <c r="H133" s="11">
        <v>340</v>
      </c>
      <c r="I133" s="15"/>
      <c r="J133" s="12">
        <f t="shared" si="6"/>
        <v>31811.53</v>
      </c>
      <c r="K133" s="12">
        <f t="shared" si="7"/>
        <v>44555.79</v>
      </c>
    </row>
    <row r="134" spans="2:11" x14ac:dyDescent="0.25">
      <c r="B134" s="117">
        <v>42850</v>
      </c>
      <c r="C134" s="13" t="s">
        <v>549</v>
      </c>
      <c r="D134" s="41"/>
      <c r="E134" s="41"/>
      <c r="F134" s="41"/>
      <c r="G134" s="41"/>
      <c r="H134" s="11">
        <v>48</v>
      </c>
      <c r="I134" s="15"/>
      <c r="J134" s="12">
        <f t="shared" si="6"/>
        <v>31811.53</v>
      </c>
      <c r="K134" s="12">
        <f t="shared" si="7"/>
        <v>44507.79</v>
      </c>
    </row>
    <row r="135" spans="2:11" x14ac:dyDescent="0.25">
      <c r="B135" s="117">
        <v>42850</v>
      </c>
      <c r="C135" s="13" t="s">
        <v>473</v>
      </c>
      <c r="D135" s="41"/>
      <c r="E135" s="41"/>
      <c r="F135" s="41"/>
      <c r="G135" s="16"/>
      <c r="H135" s="11">
        <v>350</v>
      </c>
      <c r="I135" s="15"/>
      <c r="J135" s="12">
        <f t="shared" si="6"/>
        <v>31811.53</v>
      </c>
      <c r="K135" s="12">
        <f t="shared" si="7"/>
        <v>44157.79</v>
      </c>
    </row>
    <row r="136" spans="2:11" x14ac:dyDescent="0.25">
      <c r="B136" s="117">
        <v>42850</v>
      </c>
      <c r="C136" s="13" t="s">
        <v>550</v>
      </c>
      <c r="D136" s="41">
        <v>100</v>
      </c>
      <c r="E136" s="41"/>
      <c r="F136" s="41"/>
      <c r="G136" s="16"/>
      <c r="H136" s="11"/>
      <c r="I136" s="15"/>
      <c r="J136" s="12">
        <f t="shared" si="6"/>
        <v>31811.53</v>
      </c>
      <c r="K136" s="12">
        <f t="shared" si="7"/>
        <v>44257.79</v>
      </c>
    </row>
    <row r="137" spans="2:11" x14ac:dyDescent="0.25">
      <c r="B137" s="117">
        <v>42850</v>
      </c>
      <c r="C137" s="13" t="s">
        <v>467</v>
      </c>
      <c r="D137" s="41"/>
      <c r="E137" s="41"/>
      <c r="F137" s="41"/>
      <c r="G137" s="16"/>
      <c r="H137" s="11">
        <v>100</v>
      </c>
      <c r="I137" s="15"/>
      <c r="J137" s="12">
        <f t="shared" si="6"/>
        <v>31811.53</v>
      </c>
      <c r="K137" s="12">
        <f t="shared" si="7"/>
        <v>44157.79</v>
      </c>
    </row>
    <row r="138" spans="2:11" x14ac:dyDescent="0.25">
      <c r="B138" s="117">
        <v>42850</v>
      </c>
      <c r="C138" s="13" t="s">
        <v>551</v>
      </c>
      <c r="D138" s="41"/>
      <c r="E138" s="41"/>
      <c r="F138" s="41"/>
      <c r="G138" s="16"/>
      <c r="H138" s="11">
        <v>350</v>
      </c>
      <c r="I138" s="15"/>
      <c r="J138" s="12">
        <f t="shared" si="6"/>
        <v>31811.53</v>
      </c>
      <c r="K138" s="12">
        <f t="shared" si="7"/>
        <v>43807.79</v>
      </c>
    </row>
    <row r="139" spans="2:11" x14ac:dyDescent="0.25">
      <c r="B139" s="117">
        <v>42850</v>
      </c>
      <c r="C139" s="13" t="s">
        <v>552</v>
      </c>
      <c r="D139" s="41"/>
      <c r="E139" s="41"/>
      <c r="F139" s="41"/>
      <c r="G139" s="16"/>
      <c r="H139" s="11">
        <v>350</v>
      </c>
      <c r="I139" s="15"/>
      <c r="J139" s="12">
        <f t="shared" si="6"/>
        <v>31811.53</v>
      </c>
      <c r="K139" s="12">
        <f t="shared" si="7"/>
        <v>43457.79</v>
      </c>
    </row>
    <row r="140" spans="2:11" x14ac:dyDescent="0.25">
      <c r="B140" s="117">
        <v>42850</v>
      </c>
      <c r="C140" s="13" t="s">
        <v>553</v>
      </c>
      <c r="D140" s="41"/>
      <c r="E140" s="41"/>
      <c r="F140" s="41"/>
      <c r="G140" s="16"/>
      <c r="H140" s="11">
        <v>350</v>
      </c>
      <c r="I140" s="15"/>
      <c r="J140" s="12">
        <f t="shared" si="6"/>
        <v>31811.53</v>
      </c>
      <c r="K140" s="12">
        <f t="shared" si="7"/>
        <v>43107.79</v>
      </c>
    </row>
    <row r="141" spans="2:11" x14ac:dyDescent="0.25">
      <c r="B141" s="117">
        <v>42850</v>
      </c>
      <c r="C141" s="13" t="s">
        <v>553</v>
      </c>
      <c r="D141" s="41"/>
      <c r="E141" s="41"/>
      <c r="F141" s="41"/>
      <c r="G141" s="16"/>
      <c r="H141" s="11">
        <v>354.5</v>
      </c>
      <c r="I141" s="15"/>
      <c r="J141" s="12">
        <f t="shared" si="6"/>
        <v>31811.53</v>
      </c>
      <c r="K141" s="12">
        <f t="shared" si="7"/>
        <v>42753.29</v>
      </c>
    </row>
    <row r="142" spans="2:11" x14ac:dyDescent="0.25">
      <c r="B142" s="117">
        <v>42850</v>
      </c>
      <c r="C142" s="13" t="s">
        <v>553</v>
      </c>
      <c r="D142" s="41"/>
      <c r="E142" s="41"/>
      <c r="F142" s="41"/>
      <c r="G142" s="16"/>
      <c r="H142" s="11">
        <v>477</v>
      </c>
      <c r="I142" s="15"/>
      <c r="J142" s="12">
        <f t="shared" si="6"/>
        <v>31811.53</v>
      </c>
      <c r="K142" s="12">
        <f t="shared" si="7"/>
        <v>42276.29</v>
      </c>
    </row>
    <row r="143" spans="2:11" x14ac:dyDescent="0.25">
      <c r="B143" s="117">
        <v>42851</v>
      </c>
      <c r="C143" s="13" t="s">
        <v>554</v>
      </c>
      <c r="D143" s="41"/>
      <c r="E143" s="41"/>
      <c r="F143" s="41"/>
      <c r="G143" s="16"/>
      <c r="H143" s="11">
        <v>430</v>
      </c>
      <c r="I143" s="15"/>
      <c r="J143" s="12">
        <f t="shared" si="6"/>
        <v>31811.53</v>
      </c>
      <c r="K143" s="12">
        <f t="shared" si="7"/>
        <v>41846.29</v>
      </c>
    </row>
    <row r="144" spans="2:11" x14ac:dyDescent="0.25">
      <c r="B144" s="117">
        <v>42851</v>
      </c>
      <c r="C144" s="13" t="s">
        <v>469</v>
      </c>
      <c r="D144" s="41"/>
      <c r="E144" s="41"/>
      <c r="F144" s="41"/>
      <c r="G144" s="16"/>
      <c r="H144" s="11">
        <v>338.1</v>
      </c>
      <c r="I144" s="15"/>
      <c r="J144" s="12">
        <f t="shared" si="6"/>
        <v>31811.53</v>
      </c>
      <c r="K144" s="12">
        <f t="shared" si="7"/>
        <v>41508.19</v>
      </c>
    </row>
    <row r="145" spans="2:11" x14ac:dyDescent="0.25">
      <c r="B145" s="117">
        <v>42851</v>
      </c>
      <c r="C145" s="13" t="s">
        <v>555</v>
      </c>
      <c r="D145" s="41"/>
      <c r="E145" s="41"/>
      <c r="F145" s="41"/>
      <c r="G145" s="16"/>
      <c r="H145" s="11">
        <v>500</v>
      </c>
      <c r="I145" s="15"/>
      <c r="J145" s="12">
        <f t="shared" si="6"/>
        <v>31811.53</v>
      </c>
      <c r="K145" s="12">
        <f t="shared" si="7"/>
        <v>41008.19</v>
      </c>
    </row>
    <row r="146" spans="2:11" x14ac:dyDescent="0.25">
      <c r="B146" s="117">
        <v>42851</v>
      </c>
      <c r="C146" s="13" t="s">
        <v>452</v>
      </c>
      <c r="D146" s="41"/>
      <c r="E146" s="41"/>
      <c r="F146" s="41"/>
      <c r="G146" s="16"/>
      <c r="H146" s="11">
        <v>310</v>
      </c>
      <c r="I146" s="15"/>
      <c r="J146" s="12">
        <f t="shared" si="6"/>
        <v>31811.53</v>
      </c>
      <c r="K146" s="12">
        <f t="shared" si="7"/>
        <v>40698.19</v>
      </c>
    </row>
    <row r="147" spans="2:11" x14ac:dyDescent="0.25">
      <c r="B147" s="117">
        <v>42851</v>
      </c>
      <c r="C147" s="35" t="s">
        <v>523</v>
      </c>
      <c r="D147" s="41"/>
      <c r="E147" s="41"/>
      <c r="F147" s="41"/>
      <c r="G147" s="16"/>
      <c r="H147" s="11">
        <v>10100</v>
      </c>
      <c r="I147" s="15"/>
      <c r="J147" s="12">
        <f t="shared" si="6"/>
        <v>31811.53</v>
      </c>
      <c r="K147" s="12">
        <f t="shared" si="7"/>
        <v>30598.190000000002</v>
      </c>
    </row>
    <row r="148" spans="2:11" x14ac:dyDescent="0.25">
      <c r="B148" s="117">
        <v>42851</v>
      </c>
      <c r="C148" s="35" t="s">
        <v>556</v>
      </c>
      <c r="D148" s="41"/>
      <c r="E148" s="41"/>
      <c r="F148" s="41"/>
      <c r="G148" s="16">
        <v>10000</v>
      </c>
      <c r="H148" s="11"/>
      <c r="I148" s="15"/>
      <c r="J148" s="12">
        <f t="shared" si="6"/>
        <v>21811.53</v>
      </c>
      <c r="K148" s="12">
        <f t="shared" si="7"/>
        <v>30598.190000000002</v>
      </c>
    </row>
    <row r="149" spans="2:11" x14ac:dyDescent="0.25">
      <c r="B149" s="117">
        <v>42851</v>
      </c>
      <c r="C149" s="13" t="s">
        <v>550</v>
      </c>
      <c r="D149" s="41">
        <v>100</v>
      </c>
      <c r="E149" s="41"/>
      <c r="F149" s="41"/>
      <c r="G149" s="16"/>
      <c r="H149" s="11"/>
      <c r="I149" s="15"/>
      <c r="J149" s="12">
        <f t="shared" si="6"/>
        <v>21811.53</v>
      </c>
      <c r="K149" s="12">
        <f t="shared" si="7"/>
        <v>30698.190000000002</v>
      </c>
    </row>
    <row r="150" spans="2:11" x14ac:dyDescent="0.25">
      <c r="B150" s="117">
        <v>42851</v>
      </c>
      <c r="C150" s="13" t="s">
        <v>557</v>
      </c>
      <c r="D150" s="41"/>
      <c r="E150" s="41"/>
      <c r="F150" s="41"/>
      <c r="G150" s="16"/>
      <c r="H150" s="11">
        <v>100</v>
      </c>
      <c r="I150" s="15"/>
      <c r="J150" s="12">
        <f t="shared" si="6"/>
        <v>21811.53</v>
      </c>
      <c r="K150" s="12">
        <f t="shared" si="7"/>
        <v>30598.190000000002</v>
      </c>
    </row>
    <row r="151" spans="2:11" x14ac:dyDescent="0.25">
      <c r="B151" s="117">
        <v>42852</v>
      </c>
      <c r="C151" s="13" t="s">
        <v>558</v>
      </c>
      <c r="D151" s="41"/>
      <c r="E151" s="41"/>
      <c r="F151" s="41"/>
      <c r="G151" s="16"/>
      <c r="H151" s="11">
        <v>400</v>
      </c>
      <c r="I151" s="15"/>
      <c r="J151" s="12">
        <f t="shared" si="6"/>
        <v>21811.53</v>
      </c>
      <c r="K151" s="12">
        <f t="shared" si="7"/>
        <v>30198.190000000002</v>
      </c>
    </row>
    <row r="152" spans="2:11" x14ac:dyDescent="0.25">
      <c r="B152" s="117">
        <v>42852</v>
      </c>
      <c r="C152" s="13" t="s">
        <v>559</v>
      </c>
      <c r="D152" s="41"/>
      <c r="E152" s="41"/>
      <c r="F152" s="41"/>
      <c r="G152" s="16"/>
      <c r="H152" s="11">
        <v>350</v>
      </c>
      <c r="I152" s="15"/>
      <c r="J152" s="12">
        <f t="shared" si="6"/>
        <v>21811.53</v>
      </c>
      <c r="K152" s="12">
        <f t="shared" si="7"/>
        <v>29848.190000000002</v>
      </c>
    </row>
    <row r="153" spans="2:11" x14ac:dyDescent="0.25">
      <c r="B153" s="117">
        <v>42852</v>
      </c>
      <c r="C153" s="13" t="s">
        <v>560</v>
      </c>
      <c r="D153" s="41"/>
      <c r="E153" s="41"/>
      <c r="F153" s="41"/>
      <c r="G153" s="16"/>
      <c r="H153" s="11">
        <v>20</v>
      </c>
      <c r="I153" s="15"/>
      <c r="J153" s="12">
        <f t="shared" si="6"/>
        <v>21811.53</v>
      </c>
      <c r="K153" s="12">
        <f t="shared" si="7"/>
        <v>29828.190000000002</v>
      </c>
    </row>
    <row r="154" spans="2:11" x14ac:dyDescent="0.25">
      <c r="B154" s="117">
        <v>42852</v>
      </c>
      <c r="C154" s="13" t="s">
        <v>561</v>
      </c>
      <c r="D154" s="41"/>
      <c r="E154" s="41"/>
      <c r="F154" s="41"/>
      <c r="G154" s="16"/>
      <c r="H154" s="11">
        <v>450</v>
      </c>
      <c r="I154" s="15"/>
      <c r="J154" s="12">
        <f t="shared" si="6"/>
        <v>21811.53</v>
      </c>
      <c r="K154" s="12">
        <f t="shared" si="7"/>
        <v>29378.190000000002</v>
      </c>
    </row>
    <row r="155" spans="2:11" x14ac:dyDescent="0.25">
      <c r="B155" s="117">
        <v>42853</v>
      </c>
      <c r="C155" s="13" t="s">
        <v>562</v>
      </c>
      <c r="D155" s="41"/>
      <c r="E155" s="41"/>
      <c r="F155" s="41"/>
      <c r="G155" s="16"/>
      <c r="H155" s="11">
        <v>200</v>
      </c>
      <c r="I155" s="15"/>
      <c r="J155" s="12">
        <f t="shared" si="6"/>
        <v>21811.53</v>
      </c>
      <c r="K155" s="12">
        <f t="shared" si="7"/>
        <v>29178.190000000002</v>
      </c>
    </row>
    <row r="156" spans="2:11" x14ac:dyDescent="0.25">
      <c r="B156" s="117">
        <v>42853</v>
      </c>
      <c r="C156" s="13" t="s">
        <v>563</v>
      </c>
      <c r="D156" s="41"/>
      <c r="E156" s="41"/>
      <c r="F156" s="41"/>
      <c r="G156" s="16"/>
      <c r="H156" s="11">
        <v>70</v>
      </c>
      <c r="I156" s="15"/>
      <c r="J156" s="12">
        <f t="shared" ref="J156:J164" si="8">+J155+E156-G156</f>
        <v>21811.53</v>
      </c>
      <c r="K156" s="12">
        <f t="shared" ref="K156:K164" si="9">+K155+D156-H156</f>
        <v>29108.190000000002</v>
      </c>
    </row>
    <row r="157" spans="2:11" x14ac:dyDescent="0.25">
      <c r="B157" s="117">
        <v>42853</v>
      </c>
      <c r="C157" s="13" t="s">
        <v>564</v>
      </c>
      <c r="D157" s="41"/>
      <c r="E157" s="41"/>
      <c r="F157" s="41"/>
      <c r="G157" s="16"/>
      <c r="H157" s="11">
        <v>1000</v>
      </c>
      <c r="I157" s="15"/>
      <c r="J157" s="12">
        <f t="shared" si="8"/>
        <v>21811.53</v>
      </c>
      <c r="K157" s="12">
        <f t="shared" si="9"/>
        <v>28108.190000000002</v>
      </c>
    </row>
    <row r="158" spans="2:11" x14ac:dyDescent="0.25">
      <c r="B158" s="117">
        <v>42853</v>
      </c>
      <c r="C158" s="13" t="s">
        <v>565</v>
      </c>
      <c r="D158" s="41"/>
      <c r="E158" s="41"/>
      <c r="F158" s="41"/>
      <c r="G158" s="16"/>
      <c r="H158" s="11">
        <v>350</v>
      </c>
      <c r="I158" s="15"/>
      <c r="J158" s="12">
        <f t="shared" si="8"/>
        <v>21811.53</v>
      </c>
      <c r="K158" s="12">
        <f t="shared" si="9"/>
        <v>27758.190000000002</v>
      </c>
    </row>
    <row r="159" spans="2:11" x14ac:dyDescent="0.25">
      <c r="B159" s="117">
        <v>42853</v>
      </c>
      <c r="C159" s="13" t="s">
        <v>566</v>
      </c>
      <c r="D159" s="41"/>
      <c r="E159" s="41"/>
      <c r="F159" s="41"/>
      <c r="G159" s="16"/>
      <c r="H159" s="11">
        <v>135</v>
      </c>
      <c r="I159" s="15"/>
      <c r="J159" s="12">
        <f t="shared" si="8"/>
        <v>21811.53</v>
      </c>
      <c r="K159" s="12">
        <f t="shared" si="9"/>
        <v>27623.190000000002</v>
      </c>
    </row>
    <row r="160" spans="2:11" x14ac:dyDescent="0.25">
      <c r="B160" s="117">
        <v>42853</v>
      </c>
      <c r="C160" s="13" t="s">
        <v>567</v>
      </c>
      <c r="D160" s="41"/>
      <c r="E160" s="41"/>
      <c r="F160" s="41"/>
      <c r="G160" s="16"/>
      <c r="H160" s="11">
        <v>70</v>
      </c>
      <c r="I160" s="15"/>
      <c r="J160" s="12">
        <f t="shared" si="8"/>
        <v>21811.53</v>
      </c>
      <c r="K160" s="12">
        <f t="shared" si="9"/>
        <v>27553.190000000002</v>
      </c>
    </row>
    <row r="161" spans="1:11" x14ac:dyDescent="0.25">
      <c r="B161" s="117">
        <v>42853</v>
      </c>
      <c r="C161" s="13" t="s">
        <v>568</v>
      </c>
      <c r="D161" s="41"/>
      <c r="E161" s="41"/>
      <c r="F161" s="41"/>
      <c r="G161" s="16"/>
      <c r="H161" s="11">
        <v>268.3</v>
      </c>
      <c r="I161" s="15"/>
      <c r="J161" s="12">
        <f t="shared" si="8"/>
        <v>21811.53</v>
      </c>
      <c r="K161" s="12">
        <f t="shared" si="9"/>
        <v>27284.890000000003</v>
      </c>
    </row>
    <row r="162" spans="1:11" x14ac:dyDescent="0.25">
      <c r="B162" s="117">
        <v>42853</v>
      </c>
      <c r="C162" s="13" t="s">
        <v>569</v>
      </c>
      <c r="D162" s="41"/>
      <c r="E162" s="41"/>
      <c r="F162" s="41"/>
      <c r="G162" s="16"/>
      <c r="H162" s="11">
        <v>87.3</v>
      </c>
      <c r="I162" s="15"/>
      <c r="J162" s="12">
        <f t="shared" si="8"/>
        <v>21811.53</v>
      </c>
      <c r="K162" s="12">
        <f t="shared" si="9"/>
        <v>27197.590000000004</v>
      </c>
    </row>
    <row r="163" spans="1:11" x14ac:dyDescent="0.25">
      <c r="B163" s="117">
        <v>42853</v>
      </c>
      <c r="C163" s="13" t="s">
        <v>570</v>
      </c>
      <c r="D163" s="41"/>
      <c r="E163" s="41"/>
      <c r="F163" s="41"/>
      <c r="G163" s="16"/>
      <c r="H163" s="11">
        <v>5</v>
      </c>
      <c r="I163" s="15"/>
      <c r="J163" s="12">
        <f t="shared" si="8"/>
        <v>21811.53</v>
      </c>
      <c r="K163" s="12">
        <f t="shared" si="9"/>
        <v>27192.590000000004</v>
      </c>
    </row>
    <row r="164" spans="1:11" ht="15.75" thickBot="1" x14ac:dyDescent="0.3">
      <c r="B164" s="117">
        <v>42854</v>
      </c>
      <c r="C164" s="13" t="s">
        <v>573</v>
      </c>
      <c r="D164" s="41"/>
      <c r="E164" s="41"/>
      <c r="F164" s="41"/>
      <c r="G164" s="16"/>
      <c r="H164" s="11">
        <v>700</v>
      </c>
      <c r="I164" s="15"/>
      <c r="J164" s="11">
        <f t="shared" si="8"/>
        <v>21811.53</v>
      </c>
      <c r="K164" s="11">
        <f t="shared" si="9"/>
        <v>26492.590000000004</v>
      </c>
    </row>
    <row r="165" spans="1:11" ht="15.75" thickBot="1" x14ac:dyDescent="0.3">
      <c r="B165" s="118"/>
      <c r="C165" s="7" t="s">
        <v>0</v>
      </c>
      <c r="D165" s="78">
        <f>SUM(D113:D164)</f>
        <v>77579</v>
      </c>
      <c r="E165" s="122">
        <f>SUM(E113:E164)</f>
        <v>0</v>
      </c>
      <c r="F165" s="123">
        <f>SUM(D165:E165)</f>
        <v>77579</v>
      </c>
      <c r="G165" s="123">
        <f>SUM(G113:G164)</f>
        <v>16360</v>
      </c>
      <c r="H165" s="63">
        <f>SUM(H113:H164)</f>
        <v>108844.40000000001</v>
      </c>
      <c r="I165" s="72">
        <f>SUM(G165:H165)</f>
        <v>125204.40000000001</v>
      </c>
      <c r="J165" s="20"/>
      <c r="K165" s="20"/>
    </row>
    <row r="166" spans="1:11" x14ac:dyDescent="0.25">
      <c r="B166" s="114" t="s">
        <v>1</v>
      </c>
      <c r="C166" s="69" t="s">
        <v>2</v>
      </c>
      <c r="D166" s="69" t="s">
        <v>3</v>
      </c>
      <c r="E166" s="69" t="s">
        <v>3</v>
      </c>
      <c r="F166" s="69" t="s">
        <v>23</v>
      </c>
      <c r="G166" s="69" t="s">
        <v>24</v>
      </c>
      <c r="H166" s="48" t="s">
        <v>24</v>
      </c>
      <c r="I166" s="48" t="s">
        <v>23</v>
      </c>
      <c r="J166" s="69" t="s">
        <v>9</v>
      </c>
      <c r="K166" s="48" t="s">
        <v>8</v>
      </c>
    </row>
    <row r="167" spans="1:11" ht="15.75" thickBot="1" x14ac:dyDescent="0.3">
      <c r="B167" s="115"/>
      <c r="C167" s="70"/>
      <c r="D167" s="70" t="s">
        <v>5</v>
      </c>
      <c r="E167" s="70" t="s">
        <v>25</v>
      </c>
      <c r="F167" s="70" t="s">
        <v>3</v>
      </c>
      <c r="G167" s="70" t="s">
        <v>25</v>
      </c>
      <c r="H167" s="71" t="s">
        <v>5</v>
      </c>
      <c r="I167" s="71" t="s">
        <v>4</v>
      </c>
      <c r="J167" s="70"/>
      <c r="K167" s="71"/>
    </row>
    <row r="168" spans="1:11" ht="15.75" thickBot="1" x14ac:dyDescent="0.3">
      <c r="B168" s="119"/>
      <c r="C168" s="77" t="s">
        <v>0</v>
      </c>
      <c r="D168" s="78">
        <v>77579</v>
      </c>
      <c r="E168" s="78">
        <v>0</v>
      </c>
      <c r="F168" s="78">
        <f>SUM(D168:E168)</f>
        <v>77579</v>
      </c>
      <c r="G168" s="78">
        <v>16360</v>
      </c>
      <c r="H168" s="63">
        <v>108844.4</v>
      </c>
      <c r="I168" s="63">
        <f>SUM(G168:H168)</f>
        <v>125204.4</v>
      </c>
      <c r="J168" s="63">
        <v>21811.53</v>
      </c>
      <c r="K168" s="20">
        <v>26492.59</v>
      </c>
    </row>
    <row r="169" spans="1:11" x14ac:dyDescent="0.25">
      <c r="B169" s="117">
        <v>42854</v>
      </c>
      <c r="C169" s="13" t="s">
        <v>571</v>
      </c>
      <c r="D169" s="41"/>
      <c r="E169" s="41"/>
      <c r="F169" s="41"/>
      <c r="G169" s="16"/>
      <c r="H169" s="11">
        <v>46</v>
      </c>
      <c r="I169" s="15"/>
      <c r="J169" s="11">
        <f>+J168+E169-G169</f>
        <v>21811.53</v>
      </c>
      <c r="K169" s="11">
        <f>+K168+D169-H169</f>
        <v>26446.59</v>
      </c>
    </row>
    <row r="170" spans="1:11" x14ac:dyDescent="0.25">
      <c r="B170" s="117">
        <v>42854</v>
      </c>
      <c r="C170" s="13" t="s">
        <v>572</v>
      </c>
      <c r="D170" s="41"/>
      <c r="E170" s="41"/>
      <c r="F170" s="41"/>
      <c r="G170" s="16"/>
      <c r="H170" s="11">
        <v>300</v>
      </c>
      <c r="I170" s="15"/>
      <c r="J170" s="11">
        <f t="shared" ref="J170:J189" si="10">+J169+E170-G170</f>
        <v>21811.53</v>
      </c>
      <c r="K170" s="11">
        <f t="shared" ref="K170:K189" si="11">+K169+D170-H170</f>
        <v>26146.59</v>
      </c>
    </row>
    <row r="171" spans="1:11" x14ac:dyDescent="0.25">
      <c r="B171" s="117">
        <v>42854</v>
      </c>
      <c r="C171" s="13" t="s">
        <v>558</v>
      </c>
      <c r="D171" s="41"/>
      <c r="E171" s="41"/>
      <c r="F171" s="41"/>
      <c r="G171" s="16"/>
      <c r="H171" s="11">
        <v>500</v>
      </c>
      <c r="I171" s="15"/>
      <c r="J171" s="11">
        <f t="shared" si="10"/>
        <v>21811.53</v>
      </c>
      <c r="K171" s="11">
        <f t="shared" si="11"/>
        <v>25646.59</v>
      </c>
    </row>
    <row r="172" spans="1:11" x14ac:dyDescent="0.25">
      <c r="B172" s="117">
        <v>42854</v>
      </c>
      <c r="C172" s="13" t="s">
        <v>574</v>
      </c>
      <c r="D172" s="41"/>
      <c r="E172" s="41"/>
      <c r="F172" s="41"/>
      <c r="G172" s="16"/>
      <c r="H172" s="11">
        <v>250</v>
      </c>
      <c r="I172" s="15"/>
      <c r="J172" s="11">
        <f t="shared" si="10"/>
        <v>21811.53</v>
      </c>
      <c r="K172" s="11">
        <f t="shared" si="11"/>
        <v>25396.59</v>
      </c>
    </row>
    <row r="173" spans="1:11" x14ac:dyDescent="0.25">
      <c r="A173" s="104"/>
      <c r="B173" s="117">
        <v>42854</v>
      </c>
      <c r="C173" s="13" t="s">
        <v>575</v>
      </c>
      <c r="D173" s="41"/>
      <c r="E173" s="41"/>
      <c r="F173" s="41"/>
      <c r="G173" s="16"/>
      <c r="H173" s="11">
        <v>200</v>
      </c>
      <c r="I173" s="15"/>
      <c r="J173" s="11">
        <f t="shared" si="10"/>
        <v>21811.53</v>
      </c>
      <c r="K173" s="11">
        <f t="shared" si="11"/>
        <v>25196.59</v>
      </c>
    </row>
    <row r="174" spans="1:11" x14ac:dyDescent="0.25">
      <c r="B174" s="117">
        <v>42855</v>
      </c>
      <c r="C174" s="13" t="s">
        <v>576</v>
      </c>
      <c r="D174" s="41"/>
      <c r="E174" s="41"/>
      <c r="F174" s="41"/>
      <c r="G174" s="16"/>
      <c r="H174" s="11">
        <v>600</v>
      </c>
      <c r="I174" s="15"/>
      <c r="J174" s="11">
        <f t="shared" si="10"/>
        <v>21811.53</v>
      </c>
      <c r="K174" s="11">
        <f t="shared" si="11"/>
        <v>24596.59</v>
      </c>
    </row>
    <row r="175" spans="1:11" x14ac:dyDescent="0.25">
      <c r="B175" s="117">
        <v>42855</v>
      </c>
      <c r="C175" s="13" t="s">
        <v>577</v>
      </c>
      <c r="D175" s="41"/>
      <c r="E175" s="41"/>
      <c r="F175" s="41"/>
      <c r="G175" s="16"/>
      <c r="H175" s="11">
        <v>300</v>
      </c>
      <c r="I175" s="15"/>
      <c r="J175" s="11">
        <f t="shared" si="10"/>
        <v>21811.53</v>
      </c>
      <c r="K175" s="11">
        <f t="shared" si="11"/>
        <v>24296.59</v>
      </c>
    </row>
    <row r="176" spans="1:11" x14ac:dyDescent="0.25">
      <c r="B176" s="117">
        <v>42855</v>
      </c>
      <c r="C176" s="13" t="s">
        <v>578</v>
      </c>
      <c r="D176" s="41"/>
      <c r="E176" s="41"/>
      <c r="F176" s="41"/>
      <c r="G176" s="16"/>
      <c r="H176" s="11">
        <v>120</v>
      </c>
      <c r="I176" s="15"/>
      <c r="J176" s="11">
        <f t="shared" si="10"/>
        <v>21811.53</v>
      </c>
      <c r="K176" s="11">
        <f t="shared" si="11"/>
        <v>24176.59</v>
      </c>
    </row>
    <row r="177" spans="2:11" x14ac:dyDescent="0.25">
      <c r="B177" s="117">
        <v>42855</v>
      </c>
      <c r="C177" s="13" t="s">
        <v>420</v>
      </c>
      <c r="D177" s="41"/>
      <c r="E177" s="41"/>
      <c r="F177" s="41"/>
      <c r="G177" s="16"/>
      <c r="H177" s="11">
        <v>150</v>
      </c>
      <c r="I177" s="15"/>
      <c r="J177" s="11">
        <f t="shared" si="10"/>
        <v>21811.53</v>
      </c>
      <c r="K177" s="11">
        <f t="shared" si="11"/>
        <v>24026.59</v>
      </c>
    </row>
    <row r="178" spans="2:11" x14ac:dyDescent="0.25">
      <c r="B178" s="117">
        <v>42855</v>
      </c>
      <c r="C178" s="13" t="s">
        <v>579</v>
      </c>
      <c r="D178" s="41"/>
      <c r="E178" s="41"/>
      <c r="F178" s="41"/>
      <c r="G178" s="16"/>
      <c r="H178" s="11">
        <v>111</v>
      </c>
      <c r="I178" s="15"/>
      <c r="J178" s="11">
        <f t="shared" si="10"/>
        <v>21811.53</v>
      </c>
      <c r="K178" s="11">
        <f t="shared" si="11"/>
        <v>23915.59</v>
      </c>
    </row>
    <row r="179" spans="2:11" x14ac:dyDescent="0.25">
      <c r="B179" s="117">
        <v>42855</v>
      </c>
      <c r="C179" s="13" t="s">
        <v>580</v>
      </c>
      <c r="D179" s="41"/>
      <c r="E179" s="41"/>
      <c r="F179" s="41"/>
      <c r="G179" s="16"/>
      <c r="H179" s="11">
        <v>300</v>
      </c>
      <c r="I179" s="15"/>
      <c r="J179" s="11">
        <f t="shared" si="10"/>
        <v>21811.53</v>
      </c>
      <c r="K179" s="11">
        <f t="shared" si="11"/>
        <v>23615.59</v>
      </c>
    </row>
    <row r="180" spans="2:11" x14ac:dyDescent="0.25">
      <c r="B180" s="117">
        <v>42855</v>
      </c>
      <c r="C180" s="13" t="s">
        <v>581</v>
      </c>
      <c r="D180" s="41">
        <v>24150</v>
      </c>
      <c r="E180" s="41"/>
      <c r="F180" s="41"/>
      <c r="G180" s="16"/>
      <c r="H180" s="11"/>
      <c r="I180" s="15"/>
      <c r="J180" s="11">
        <f t="shared" si="10"/>
        <v>21811.53</v>
      </c>
      <c r="K180" s="11">
        <f t="shared" si="11"/>
        <v>47765.59</v>
      </c>
    </row>
    <row r="181" spans="2:11" x14ac:dyDescent="0.25">
      <c r="B181" s="117">
        <v>42855</v>
      </c>
      <c r="C181" s="13" t="s">
        <v>582</v>
      </c>
      <c r="D181" s="41">
        <v>400</v>
      </c>
      <c r="E181" s="41"/>
      <c r="F181" s="41"/>
      <c r="G181" s="16"/>
      <c r="H181" s="11"/>
      <c r="I181" s="15"/>
      <c r="J181" s="11">
        <f t="shared" si="10"/>
        <v>21811.53</v>
      </c>
      <c r="K181" s="11">
        <f t="shared" si="11"/>
        <v>48165.59</v>
      </c>
    </row>
    <row r="182" spans="2:11" x14ac:dyDescent="0.25">
      <c r="B182" s="117">
        <v>42855</v>
      </c>
      <c r="C182" s="13" t="s">
        <v>583</v>
      </c>
      <c r="D182" s="41"/>
      <c r="E182" s="41"/>
      <c r="F182" s="41"/>
      <c r="G182" s="16"/>
      <c r="H182" s="11">
        <v>400</v>
      </c>
      <c r="I182" s="15"/>
      <c r="J182" s="11">
        <f t="shared" si="10"/>
        <v>21811.53</v>
      </c>
      <c r="K182" s="11">
        <f t="shared" si="11"/>
        <v>47765.59</v>
      </c>
    </row>
    <row r="183" spans="2:11" x14ac:dyDescent="0.25">
      <c r="B183" s="117">
        <v>42855</v>
      </c>
      <c r="C183" s="13" t="s">
        <v>584</v>
      </c>
      <c r="D183" s="41"/>
      <c r="E183" s="41"/>
      <c r="F183" s="41"/>
      <c r="G183" s="16"/>
      <c r="H183" s="11">
        <v>91.5</v>
      </c>
      <c r="I183" s="15"/>
      <c r="J183" s="11">
        <f t="shared" si="10"/>
        <v>21811.53</v>
      </c>
      <c r="K183" s="11">
        <f t="shared" si="11"/>
        <v>47674.09</v>
      </c>
    </row>
    <row r="184" spans="2:11" x14ac:dyDescent="0.25">
      <c r="B184" s="117">
        <v>42855</v>
      </c>
      <c r="C184" s="13" t="s">
        <v>585</v>
      </c>
      <c r="D184" s="41"/>
      <c r="E184" s="41"/>
      <c r="F184" s="41"/>
      <c r="G184" s="16"/>
      <c r="H184" s="11">
        <v>4000</v>
      </c>
      <c r="I184" s="15"/>
      <c r="J184" s="11">
        <f t="shared" si="10"/>
        <v>21811.53</v>
      </c>
      <c r="K184" s="11">
        <f t="shared" si="11"/>
        <v>43674.09</v>
      </c>
    </row>
    <row r="185" spans="2:11" x14ac:dyDescent="0.25">
      <c r="B185" s="117">
        <v>42832</v>
      </c>
      <c r="C185" s="13" t="s">
        <v>586</v>
      </c>
      <c r="D185" s="41"/>
      <c r="E185" s="41">
        <v>300.45999999999998</v>
      </c>
      <c r="F185" s="41"/>
      <c r="G185" s="16"/>
      <c r="H185" s="11"/>
      <c r="I185" s="15"/>
      <c r="J185" s="11">
        <f t="shared" si="10"/>
        <v>22111.989999999998</v>
      </c>
      <c r="K185" s="11">
        <f t="shared" si="11"/>
        <v>43674.09</v>
      </c>
    </row>
    <row r="186" spans="2:11" x14ac:dyDescent="0.25">
      <c r="B186" s="117">
        <v>42832</v>
      </c>
      <c r="C186" s="13" t="s">
        <v>587</v>
      </c>
      <c r="D186" s="41"/>
      <c r="E186" s="41">
        <v>400.29</v>
      </c>
      <c r="F186" s="41"/>
      <c r="G186" s="16"/>
      <c r="H186" s="11"/>
      <c r="I186" s="15"/>
      <c r="J186" s="11">
        <f t="shared" si="10"/>
        <v>22512.28</v>
      </c>
      <c r="K186" s="11">
        <f t="shared" si="11"/>
        <v>43674.09</v>
      </c>
    </row>
    <row r="187" spans="2:11" x14ac:dyDescent="0.25">
      <c r="B187" s="117">
        <v>42849</v>
      </c>
      <c r="C187" s="13" t="s">
        <v>588</v>
      </c>
      <c r="D187" s="41"/>
      <c r="E187" s="41">
        <v>12760</v>
      </c>
      <c r="F187" s="41"/>
      <c r="G187" s="16"/>
      <c r="H187" s="11"/>
      <c r="I187" s="15"/>
      <c r="J187" s="11">
        <f t="shared" si="10"/>
        <v>35272.28</v>
      </c>
      <c r="K187" s="11">
        <f t="shared" si="11"/>
        <v>43674.09</v>
      </c>
    </row>
    <row r="188" spans="2:11" x14ac:dyDescent="0.25">
      <c r="B188" s="117">
        <v>42853</v>
      </c>
      <c r="C188" s="13" t="s">
        <v>170</v>
      </c>
      <c r="D188" s="41"/>
      <c r="E188" s="41"/>
      <c r="F188" s="41"/>
      <c r="G188" s="16">
        <v>56</v>
      </c>
      <c r="H188" s="11"/>
      <c r="I188" s="15"/>
      <c r="J188" s="11">
        <f t="shared" si="10"/>
        <v>35216.28</v>
      </c>
      <c r="K188" s="11">
        <f t="shared" si="11"/>
        <v>43674.09</v>
      </c>
    </row>
    <row r="189" spans="2:11" ht="15.75" thickBot="1" x14ac:dyDescent="0.3">
      <c r="B189" s="117">
        <v>42853</v>
      </c>
      <c r="C189" s="13" t="s">
        <v>171</v>
      </c>
      <c r="D189" s="41"/>
      <c r="E189" s="41"/>
      <c r="F189" s="41"/>
      <c r="G189" s="16">
        <v>8.9600000000000009</v>
      </c>
      <c r="H189" s="11"/>
      <c r="I189" s="15"/>
      <c r="J189" s="11">
        <f t="shared" si="10"/>
        <v>35207.32</v>
      </c>
      <c r="K189" s="11">
        <f t="shared" si="11"/>
        <v>43674.09</v>
      </c>
    </row>
    <row r="190" spans="2:11" ht="15.75" thickBot="1" x14ac:dyDescent="0.3">
      <c r="B190" s="118"/>
      <c r="C190" s="7" t="s">
        <v>0</v>
      </c>
      <c r="D190" s="63">
        <f>SUM(D168:D189)</f>
        <v>102129</v>
      </c>
      <c r="E190" s="61">
        <f>SUM(E113:E189)</f>
        <v>13460.75</v>
      </c>
      <c r="F190" s="72">
        <f>SUM(D190:E190)</f>
        <v>115589.75</v>
      </c>
      <c r="G190" s="72">
        <f>SUM(G168:G189)</f>
        <v>16424.96</v>
      </c>
      <c r="H190" s="63">
        <f>SUM(H168:H189)</f>
        <v>116212.9</v>
      </c>
      <c r="I190" s="72">
        <f>SUM(G190:H190)</f>
        <v>132637.85999999999</v>
      </c>
      <c r="J190" s="20"/>
      <c r="K190" s="20"/>
    </row>
    <row r="191" spans="2:11" ht="15.75" thickBot="1" x14ac:dyDescent="0.3">
      <c r="D191" s="1"/>
      <c r="E191" s="1"/>
      <c r="F191" s="1"/>
      <c r="G191" s="1"/>
      <c r="J191" s="1"/>
    </row>
    <row r="192" spans="2:11" ht="15.75" thickBot="1" x14ac:dyDescent="0.3">
      <c r="I192" s="75" t="s">
        <v>9</v>
      </c>
      <c r="J192" s="75" t="s">
        <v>8</v>
      </c>
      <c r="K192" s="96" t="s">
        <v>0</v>
      </c>
    </row>
    <row r="193" spans="9:14" ht="15.75" thickBot="1" x14ac:dyDescent="0.3">
      <c r="I193" s="26">
        <v>35207.32</v>
      </c>
      <c r="J193" s="26">
        <v>43674.09</v>
      </c>
      <c r="K193" s="20">
        <f>SUM(I193:J193)</f>
        <v>78881.41</v>
      </c>
    </row>
    <row r="198" spans="9:14" x14ac:dyDescent="0.25">
      <c r="N198" s="1"/>
    </row>
  </sheetData>
  <mergeCells count="1">
    <mergeCell ref="B2:K2"/>
  </mergeCells>
  <printOptions horizontalCentered="1"/>
  <pageMargins left="0" right="0" top="0" bottom="0" header="0.11811023622047245" footer="0.51181102362204722"/>
  <pageSetup paperSize="9" scale="72" fitToHeight="0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>
    <pageSetUpPr fitToPage="1"/>
  </sheetPr>
  <dimension ref="B1:N215"/>
  <sheetViews>
    <sheetView topLeftCell="A3" zoomScale="90" zoomScaleNormal="90" workbookViewId="0">
      <pane ySplit="2" topLeftCell="A142" activePane="bottomLeft" state="frozen"/>
      <selection activeCell="A3" sqref="A3"/>
      <selection pane="bottomLeft" activeCell="C153" sqref="C153:G156"/>
    </sheetView>
  </sheetViews>
  <sheetFormatPr baseColWidth="10" defaultRowHeight="15" x14ac:dyDescent="0.25"/>
  <cols>
    <col min="1" max="1" width="10.7109375" customWidth="1"/>
    <col min="2" max="2" width="11.7109375" customWidth="1"/>
    <col min="3" max="3" width="85.140625" customWidth="1"/>
    <col min="4" max="11" width="10.7109375" customWidth="1"/>
  </cols>
  <sheetData>
    <row r="1" spans="2:11" ht="15.75" x14ac:dyDescent="0.25">
      <c r="B1" s="28">
        <v>42520</v>
      </c>
      <c r="J1" s="73"/>
      <c r="K1" s="46"/>
    </row>
    <row r="2" spans="2:11" ht="15.75" thickBot="1" x14ac:dyDescent="0.3">
      <c r="B2" s="131" t="s">
        <v>6</v>
      </c>
      <c r="C2" s="131"/>
      <c r="D2" s="131"/>
      <c r="E2" s="131"/>
      <c r="F2" s="131"/>
      <c r="G2" s="131"/>
      <c r="H2" s="131"/>
      <c r="I2" s="131"/>
      <c r="J2" s="131"/>
      <c r="K2" s="131"/>
    </row>
    <row r="3" spans="2:11" x14ac:dyDescent="0.25">
      <c r="B3" s="69" t="s">
        <v>1</v>
      </c>
      <c r="C3" s="69" t="s">
        <v>2</v>
      </c>
      <c r="D3" s="69" t="s">
        <v>3</v>
      </c>
      <c r="E3" s="69" t="s">
        <v>3</v>
      </c>
      <c r="F3" s="69" t="s">
        <v>23</v>
      </c>
      <c r="G3" s="69" t="s">
        <v>24</v>
      </c>
      <c r="H3" s="48" t="s">
        <v>24</v>
      </c>
      <c r="I3" s="48" t="s">
        <v>23</v>
      </c>
      <c r="J3" s="69" t="s">
        <v>9</v>
      </c>
      <c r="K3" s="48" t="s">
        <v>8</v>
      </c>
    </row>
    <row r="4" spans="2:11" ht="15.75" thickBot="1" x14ac:dyDescent="0.3">
      <c r="B4" s="70"/>
      <c r="C4" s="70"/>
      <c r="D4" s="70" t="s">
        <v>5</v>
      </c>
      <c r="E4" s="70" t="s">
        <v>25</v>
      </c>
      <c r="F4" s="70" t="s">
        <v>3</v>
      </c>
      <c r="G4" s="70" t="s">
        <v>25</v>
      </c>
      <c r="H4" s="71" t="s">
        <v>5</v>
      </c>
      <c r="I4" s="71" t="s">
        <v>4</v>
      </c>
      <c r="J4" s="70"/>
      <c r="K4" s="71"/>
    </row>
    <row r="5" spans="2:11" x14ac:dyDescent="0.25">
      <c r="B5" s="23">
        <v>42855</v>
      </c>
      <c r="C5" s="66" t="s">
        <v>592</v>
      </c>
      <c r="D5" s="67"/>
      <c r="E5" s="64"/>
      <c r="F5" s="64"/>
      <c r="G5" s="64"/>
      <c r="H5" s="17"/>
      <c r="I5" s="65"/>
      <c r="J5" s="74">
        <v>35207.32</v>
      </c>
      <c r="K5" s="68">
        <v>43674.09</v>
      </c>
    </row>
    <row r="6" spans="2:11" x14ac:dyDescent="0.25">
      <c r="B6" s="23">
        <v>42856</v>
      </c>
      <c r="C6" s="9" t="s">
        <v>593</v>
      </c>
      <c r="D6" s="11"/>
      <c r="E6" s="11"/>
      <c r="F6" s="11"/>
      <c r="G6" s="11"/>
      <c r="H6" s="11">
        <v>100</v>
      </c>
      <c r="I6" s="15"/>
      <c r="J6" s="12">
        <f>+J5+E6-G6</f>
        <v>35207.32</v>
      </c>
      <c r="K6" s="12">
        <f>+K5+D6-H6</f>
        <v>43574.09</v>
      </c>
    </row>
    <row r="7" spans="2:11" x14ac:dyDescent="0.25">
      <c r="B7" s="23">
        <v>42856</v>
      </c>
      <c r="C7" s="13" t="s">
        <v>594</v>
      </c>
      <c r="D7" s="11"/>
      <c r="E7" s="11"/>
      <c r="F7" s="11"/>
      <c r="G7" s="11"/>
      <c r="H7" s="11">
        <v>500</v>
      </c>
      <c r="I7" s="15"/>
      <c r="J7" s="12">
        <f t="shared" ref="J7:J44" si="0">+J6+E7-G7</f>
        <v>35207.32</v>
      </c>
      <c r="K7" s="12">
        <f t="shared" ref="K7:K44" si="1">+K6+D7-H7</f>
        <v>43074.09</v>
      </c>
    </row>
    <row r="8" spans="2:11" x14ac:dyDescent="0.25">
      <c r="B8" s="18">
        <v>42856</v>
      </c>
      <c r="C8" s="9" t="s">
        <v>595</v>
      </c>
      <c r="D8" s="11"/>
      <c r="E8" s="11"/>
      <c r="F8" s="11"/>
      <c r="G8" s="11"/>
      <c r="H8" s="59">
        <v>300</v>
      </c>
      <c r="I8" s="15"/>
      <c r="J8" s="12">
        <f t="shared" si="0"/>
        <v>35207.32</v>
      </c>
      <c r="K8" s="12">
        <f t="shared" si="1"/>
        <v>42774.09</v>
      </c>
    </row>
    <row r="9" spans="2:11" x14ac:dyDescent="0.25">
      <c r="B9" s="18">
        <v>42857</v>
      </c>
      <c r="C9" s="13" t="s">
        <v>596</v>
      </c>
      <c r="D9" s="11"/>
      <c r="E9" s="11"/>
      <c r="F9" s="11"/>
      <c r="G9" s="11"/>
      <c r="H9" s="11">
        <v>438</v>
      </c>
      <c r="I9" s="15"/>
      <c r="J9" s="12">
        <f t="shared" si="0"/>
        <v>35207.32</v>
      </c>
      <c r="K9" s="12">
        <f t="shared" si="1"/>
        <v>42336.09</v>
      </c>
    </row>
    <row r="10" spans="2:11" x14ac:dyDescent="0.25">
      <c r="B10" s="18">
        <v>42858</v>
      </c>
      <c r="C10" s="9" t="s">
        <v>597</v>
      </c>
      <c r="D10" s="11"/>
      <c r="E10" s="11"/>
      <c r="F10" s="11"/>
      <c r="G10" s="11"/>
      <c r="H10" s="59">
        <v>310</v>
      </c>
      <c r="I10" s="15"/>
      <c r="J10" s="12">
        <f t="shared" si="0"/>
        <v>35207.32</v>
      </c>
      <c r="K10" s="12">
        <f t="shared" si="1"/>
        <v>42026.09</v>
      </c>
    </row>
    <row r="11" spans="2:11" x14ac:dyDescent="0.25">
      <c r="B11" s="18">
        <v>42858</v>
      </c>
      <c r="C11" s="9" t="s">
        <v>598</v>
      </c>
      <c r="D11" s="11"/>
      <c r="E11" s="11"/>
      <c r="F11" s="11"/>
      <c r="G11" s="11"/>
      <c r="H11" s="11">
        <v>600</v>
      </c>
      <c r="I11" s="15"/>
      <c r="J11" s="12">
        <f t="shared" si="0"/>
        <v>35207.32</v>
      </c>
      <c r="K11" s="12">
        <f t="shared" si="1"/>
        <v>41426.089999999997</v>
      </c>
    </row>
    <row r="12" spans="2:11" x14ac:dyDescent="0.25">
      <c r="B12" s="18">
        <v>42858</v>
      </c>
      <c r="C12" s="9" t="s">
        <v>600</v>
      </c>
      <c r="D12" s="11"/>
      <c r="E12" s="11"/>
      <c r="F12" s="11"/>
      <c r="G12" s="11"/>
      <c r="H12" s="11">
        <v>450</v>
      </c>
      <c r="I12" s="15"/>
      <c r="J12" s="12">
        <f t="shared" si="0"/>
        <v>35207.32</v>
      </c>
      <c r="K12" s="12">
        <f t="shared" si="1"/>
        <v>40976.089999999997</v>
      </c>
    </row>
    <row r="13" spans="2:11" x14ac:dyDescent="0.25">
      <c r="B13" s="18">
        <v>42858</v>
      </c>
      <c r="C13" s="9" t="s">
        <v>599</v>
      </c>
      <c r="D13" s="11"/>
      <c r="E13" s="11"/>
      <c r="F13" s="11"/>
      <c r="G13" s="11"/>
      <c r="H13" s="59">
        <v>400</v>
      </c>
      <c r="I13" s="15"/>
      <c r="J13" s="12">
        <f t="shared" si="0"/>
        <v>35207.32</v>
      </c>
      <c r="K13" s="12">
        <f t="shared" si="1"/>
        <v>40576.089999999997</v>
      </c>
    </row>
    <row r="14" spans="2:11" x14ac:dyDescent="0.25">
      <c r="B14" s="18">
        <v>42858</v>
      </c>
      <c r="C14" s="9" t="s">
        <v>601</v>
      </c>
      <c r="D14" s="11"/>
      <c r="E14" s="11"/>
      <c r="F14" s="11"/>
      <c r="G14" s="11"/>
      <c r="H14" s="11">
        <v>350</v>
      </c>
      <c r="I14" s="15"/>
      <c r="J14" s="12">
        <f t="shared" si="0"/>
        <v>35207.32</v>
      </c>
      <c r="K14" s="12">
        <f t="shared" si="1"/>
        <v>40226.089999999997</v>
      </c>
    </row>
    <row r="15" spans="2:11" x14ac:dyDescent="0.25">
      <c r="B15" s="18">
        <v>42859</v>
      </c>
      <c r="C15" s="9" t="s">
        <v>602</v>
      </c>
      <c r="D15" s="11"/>
      <c r="E15" s="11"/>
      <c r="F15" s="11"/>
      <c r="G15" s="11"/>
      <c r="H15" s="59">
        <v>398.5</v>
      </c>
      <c r="I15" s="15"/>
      <c r="J15" s="12">
        <f t="shared" si="0"/>
        <v>35207.32</v>
      </c>
      <c r="K15" s="12">
        <f t="shared" si="1"/>
        <v>39827.589999999997</v>
      </c>
    </row>
    <row r="16" spans="2:11" x14ac:dyDescent="0.25">
      <c r="B16" s="18">
        <v>42859</v>
      </c>
      <c r="C16" s="9" t="s">
        <v>603</v>
      </c>
      <c r="D16" s="11"/>
      <c r="E16" s="11"/>
      <c r="F16" s="11"/>
      <c r="G16" s="11"/>
      <c r="H16" s="11">
        <v>783</v>
      </c>
      <c r="I16" s="15"/>
      <c r="J16" s="12">
        <f t="shared" si="0"/>
        <v>35207.32</v>
      </c>
      <c r="K16" s="12">
        <f t="shared" si="1"/>
        <v>39044.589999999997</v>
      </c>
    </row>
    <row r="17" spans="2:11" x14ac:dyDescent="0.25">
      <c r="B17" s="18">
        <v>42859</v>
      </c>
      <c r="C17" s="9" t="s">
        <v>604</v>
      </c>
      <c r="D17" s="11"/>
      <c r="E17" s="11"/>
      <c r="F17" s="11"/>
      <c r="G17" s="11"/>
      <c r="H17" s="11">
        <v>205.4</v>
      </c>
      <c r="I17" s="15"/>
      <c r="J17" s="12">
        <f t="shared" si="0"/>
        <v>35207.32</v>
      </c>
      <c r="K17" s="12">
        <f t="shared" si="1"/>
        <v>38839.189999999995</v>
      </c>
    </row>
    <row r="18" spans="2:11" x14ac:dyDescent="0.25">
      <c r="B18" s="18">
        <v>42860</v>
      </c>
      <c r="C18" s="9" t="s">
        <v>714</v>
      </c>
      <c r="D18" s="11"/>
      <c r="E18" s="11"/>
      <c r="F18" s="11"/>
      <c r="G18" s="11"/>
      <c r="H18" s="11">
        <v>200</v>
      </c>
      <c r="I18" s="15"/>
      <c r="J18" s="12">
        <f t="shared" si="0"/>
        <v>35207.32</v>
      </c>
      <c r="K18" s="12">
        <f t="shared" si="1"/>
        <v>38639.189999999995</v>
      </c>
    </row>
    <row r="19" spans="2:11" x14ac:dyDescent="0.25">
      <c r="B19" s="18">
        <v>42860</v>
      </c>
      <c r="C19" s="9" t="s">
        <v>605</v>
      </c>
      <c r="D19" s="11"/>
      <c r="E19" s="11"/>
      <c r="F19" s="11"/>
      <c r="G19" s="11"/>
      <c r="H19" s="11">
        <v>1000</v>
      </c>
      <c r="I19" s="15"/>
      <c r="J19" s="12">
        <f t="shared" si="0"/>
        <v>35207.32</v>
      </c>
      <c r="K19" s="12">
        <f t="shared" si="1"/>
        <v>37639.189999999995</v>
      </c>
    </row>
    <row r="20" spans="2:11" x14ac:dyDescent="0.25">
      <c r="B20" s="18">
        <v>42860</v>
      </c>
      <c r="C20" s="9" t="s">
        <v>597</v>
      </c>
      <c r="D20" s="11"/>
      <c r="E20" s="11"/>
      <c r="F20" s="11"/>
      <c r="G20" s="11"/>
      <c r="H20" s="11">
        <v>310</v>
      </c>
      <c r="I20" s="15"/>
      <c r="J20" s="12">
        <f t="shared" si="0"/>
        <v>35207.32</v>
      </c>
      <c r="K20" s="12">
        <f t="shared" si="1"/>
        <v>37329.189999999995</v>
      </c>
    </row>
    <row r="21" spans="2:11" x14ac:dyDescent="0.25">
      <c r="B21" s="18">
        <v>42860</v>
      </c>
      <c r="C21" s="9" t="s">
        <v>606</v>
      </c>
      <c r="D21" s="11"/>
      <c r="E21" s="11"/>
      <c r="F21" s="11"/>
      <c r="G21" s="11"/>
      <c r="H21" s="11">
        <v>230</v>
      </c>
      <c r="I21" s="15"/>
      <c r="J21" s="12">
        <f t="shared" si="0"/>
        <v>35207.32</v>
      </c>
      <c r="K21" s="12">
        <f t="shared" si="1"/>
        <v>37099.189999999995</v>
      </c>
    </row>
    <row r="22" spans="2:11" x14ac:dyDescent="0.25">
      <c r="B22" s="18">
        <v>42860</v>
      </c>
      <c r="C22" s="9" t="s">
        <v>607</v>
      </c>
      <c r="D22" s="11"/>
      <c r="E22" s="11"/>
      <c r="F22" s="11"/>
      <c r="G22" s="11"/>
      <c r="H22" s="59">
        <v>87</v>
      </c>
      <c r="I22" s="15"/>
      <c r="J22" s="12">
        <f t="shared" si="0"/>
        <v>35207.32</v>
      </c>
      <c r="K22" s="12">
        <f t="shared" si="1"/>
        <v>37012.189999999995</v>
      </c>
    </row>
    <row r="23" spans="2:11" x14ac:dyDescent="0.25">
      <c r="B23" s="18">
        <v>42860</v>
      </c>
      <c r="C23" s="9" t="s">
        <v>608</v>
      </c>
      <c r="D23" s="11"/>
      <c r="E23" s="11"/>
      <c r="F23" s="11"/>
      <c r="G23" s="11"/>
      <c r="H23" s="59">
        <v>1400</v>
      </c>
      <c r="I23" s="15"/>
      <c r="J23" s="12">
        <f t="shared" si="0"/>
        <v>35207.32</v>
      </c>
      <c r="K23" s="12">
        <f t="shared" si="1"/>
        <v>35612.189999999995</v>
      </c>
    </row>
    <row r="24" spans="2:11" x14ac:dyDescent="0.25">
      <c r="B24" s="18">
        <v>42860</v>
      </c>
      <c r="C24" s="9" t="s">
        <v>609</v>
      </c>
      <c r="D24" s="11"/>
      <c r="E24" s="11"/>
      <c r="F24" s="11"/>
      <c r="G24" s="11"/>
      <c r="H24" s="11">
        <v>660</v>
      </c>
      <c r="I24" s="15"/>
      <c r="J24" s="12">
        <f t="shared" si="0"/>
        <v>35207.32</v>
      </c>
      <c r="K24" s="12">
        <f t="shared" si="1"/>
        <v>34952.189999999995</v>
      </c>
    </row>
    <row r="25" spans="2:11" x14ac:dyDescent="0.25">
      <c r="B25" s="18">
        <v>42861</v>
      </c>
      <c r="C25" s="9" t="s">
        <v>613</v>
      </c>
      <c r="D25" s="11"/>
      <c r="E25" s="11"/>
      <c r="F25" s="11"/>
      <c r="G25" s="11"/>
      <c r="H25" s="11">
        <v>500</v>
      </c>
      <c r="I25" s="15"/>
      <c r="J25" s="12">
        <f t="shared" si="0"/>
        <v>35207.32</v>
      </c>
      <c r="K25" s="12">
        <f t="shared" si="1"/>
        <v>34452.189999999995</v>
      </c>
    </row>
    <row r="26" spans="2:11" x14ac:dyDescent="0.25">
      <c r="B26" s="18">
        <v>42861</v>
      </c>
      <c r="C26" s="9" t="s">
        <v>614</v>
      </c>
      <c r="D26" s="11"/>
      <c r="E26" s="11"/>
      <c r="F26" s="11"/>
      <c r="G26" s="11"/>
      <c r="H26" s="11">
        <v>500</v>
      </c>
      <c r="I26" s="15"/>
      <c r="J26" s="12">
        <f t="shared" si="0"/>
        <v>35207.32</v>
      </c>
      <c r="K26" s="12">
        <f t="shared" si="1"/>
        <v>33952.189999999995</v>
      </c>
    </row>
    <row r="27" spans="2:11" x14ac:dyDescent="0.25">
      <c r="B27" s="18">
        <v>42861</v>
      </c>
      <c r="C27" s="9" t="s">
        <v>612</v>
      </c>
      <c r="D27" s="11"/>
      <c r="E27" s="11"/>
      <c r="F27" s="11"/>
      <c r="G27" s="11"/>
      <c r="H27" s="11">
        <v>163.9</v>
      </c>
      <c r="I27" s="15"/>
      <c r="J27" s="12">
        <f t="shared" si="0"/>
        <v>35207.32</v>
      </c>
      <c r="K27" s="12">
        <f t="shared" si="1"/>
        <v>33788.289999999994</v>
      </c>
    </row>
    <row r="28" spans="2:11" x14ac:dyDescent="0.25">
      <c r="B28" s="18">
        <v>42861</v>
      </c>
      <c r="C28" s="9" t="s">
        <v>610</v>
      </c>
      <c r="D28" s="11"/>
      <c r="E28" s="11"/>
      <c r="F28" s="11"/>
      <c r="G28" s="11"/>
      <c r="H28" s="11">
        <v>1500</v>
      </c>
      <c r="I28" s="15"/>
      <c r="J28" s="12">
        <f t="shared" si="0"/>
        <v>35207.32</v>
      </c>
      <c r="K28" s="12">
        <f t="shared" si="1"/>
        <v>32288.289999999994</v>
      </c>
    </row>
    <row r="29" spans="2:11" x14ac:dyDescent="0.25">
      <c r="B29" s="18">
        <v>42861</v>
      </c>
      <c r="C29" s="9" t="s">
        <v>611</v>
      </c>
      <c r="D29" s="11"/>
      <c r="E29" s="11"/>
      <c r="F29" s="11"/>
      <c r="G29" s="11"/>
      <c r="H29" s="11">
        <v>350</v>
      </c>
      <c r="I29" s="15"/>
      <c r="J29" s="12">
        <f t="shared" si="0"/>
        <v>35207.32</v>
      </c>
      <c r="K29" s="12">
        <f t="shared" si="1"/>
        <v>31938.289999999994</v>
      </c>
    </row>
    <row r="30" spans="2:11" x14ac:dyDescent="0.25">
      <c r="B30" s="18">
        <v>42861</v>
      </c>
      <c r="C30" s="9" t="s">
        <v>615</v>
      </c>
      <c r="D30" s="11"/>
      <c r="E30" s="11"/>
      <c r="F30" s="11"/>
      <c r="G30" s="11"/>
      <c r="H30" s="59">
        <v>2000</v>
      </c>
      <c r="I30" s="15"/>
      <c r="J30" s="12">
        <f t="shared" si="0"/>
        <v>35207.32</v>
      </c>
      <c r="K30" s="12">
        <f t="shared" si="1"/>
        <v>29938.289999999994</v>
      </c>
    </row>
    <row r="31" spans="2:11" x14ac:dyDescent="0.25">
      <c r="B31" s="18">
        <v>42861</v>
      </c>
      <c r="C31" s="9" t="s">
        <v>601</v>
      </c>
      <c r="D31" s="11"/>
      <c r="E31" s="11"/>
      <c r="F31" s="11"/>
      <c r="G31" s="11"/>
      <c r="H31" s="11">
        <v>200</v>
      </c>
      <c r="I31" s="15"/>
      <c r="J31" s="12">
        <f t="shared" si="0"/>
        <v>35207.32</v>
      </c>
      <c r="K31" s="12">
        <f t="shared" si="1"/>
        <v>29738.289999999994</v>
      </c>
    </row>
    <row r="32" spans="2:11" x14ac:dyDescent="0.25">
      <c r="B32" s="18">
        <v>42861</v>
      </c>
      <c r="C32" s="9" t="s">
        <v>616</v>
      </c>
      <c r="D32" s="11"/>
      <c r="E32" s="11"/>
      <c r="F32" s="11"/>
      <c r="G32" s="11"/>
      <c r="H32" s="11">
        <v>900</v>
      </c>
      <c r="I32" s="15"/>
      <c r="J32" s="12">
        <f t="shared" si="0"/>
        <v>35207.32</v>
      </c>
      <c r="K32" s="12">
        <f t="shared" si="1"/>
        <v>28838.289999999994</v>
      </c>
    </row>
    <row r="33" spans="2:11" x14ac:dyDescent="0.25">
      <c r="B33" s="18">
        <v>42861</v>
      </c>
      <c r="C33" s="9" t="s">
        <v>617</v>
      </c>
      <c r="D33" s="11"/>
      <c r="E33" s="11"/>
      <c r="F33" s="11"/>
      <c r="G33" s="11"/>
      <c r="H33" s="11">
        <v>450</v>
      </c>
      <c r="I33" s="15"/>
      <c r="J33" s="12">
        <f t="shared" si="0"/>
        <v>35207.32</v>
      </c>
      <c r="K33" s="12">
        <f t="shared" si="1"/>
        <v>28388.289999999994</v>
      </c>
    </row>
    <row r="34" spans="2:11" x14ac:dyDescent="0.25">
      <c r="B34" s="18">
        <v>42861</v>
      </c>
      <c r="C34" s="9" t="s">
        <v>618</v>
      </c>
      <c r="D34" s="11"/>
      <c r="E34" s="11"/>
      <c r="F34" s="11"/>
      <c r="G34" s="11"/>
      <c r="H34" s="11">
        <v>89.5</v>
      </c>
      <c r="I34" s="15"/>
      <c r="J34" s="12">
        <f t="shared" si="0"/>
        <v>35207.32</v>
      </c>
      <c r="K34" s="12">
        <f t="shared" si="1"/>
        <v>28298.789999999994</v>
      </c>
    </row>
    <row r="35" spans="2:11" x14ac:dyDescent="0.25">
      <c r="B35" s="18">
        <v>42861</v>
      </c>
      <c r="C35" s="9" t="s">
        <v>618</v>
      </c>
      <c r="D35" s="11"/>
      <c r="E35" s="11"/>
      <c r="F35" s="11"/>
      <c r="G35" s="11"/>
      <c r="H35" s="11">
        <v>59.5</v>
      </c>
      <c r="I35" s="15"/>
      <c r="J35" s="12">
        <f t="shared" si="0"/>
        <v>35207.32</v>
      </c>
      <c r="K35" s="12">
        <f t="shared" si="1"/>
        <v>28239.289999999994</v>
      </c>
    </row>
    <row r="36" spans="2:11" x14ac:dyDescent="0.25">
      <c r="B36" s="18">
        <v>42861</v>
      </c>
      <c r="C36" s="9" t="s">
        <v>619</v>
      </c>
      <c r="D36" s="11"/>
      <c r="E36" s="11"/>
      <c r="F36" s="11"/>
      <c r="G36" s="11"/>
      <c r="H36" s="11">
        <v>500</v>
      </c>
      <c r="I36" s="15"/>
      <c r="J36" s="12">
        <f t="shared" si="0"/>
        <v>35207.32</v>
      </c>
      <c r="K36" s="12">
        <f t="shared" si="1"/>
        <v>27739.289999999994</v>
      </c>
    </row>
    <row r="37" spans="2:11" x14ac:dyDescent="0.25">
      <c r="B37" s="18">
        <v>42861</v>
      </c>
      <c r="C37" s="9" t="s">
        <v>620</v>
      </c>
      <c r="D37" s="11"/>
      <c r="E37" s="11"/>
      <c r="F37" s="11"/>
      <c r="G37" s="11"/>
      <c r="H37" s="11">
        <v>270</v>
      </c>
      <c r="I37" s="15"/>
      <c r="J37" s="12">
        <f t="shared" si="0"/>
        <v>35207.32</v>
      </c>
      <c r="K37" s="12">
        <f t="shared" si="1"/>
        <v>27469.289999999994</v>
      </c>
    </row>
    <row r="38" spans="2:11" x14ac:dyDescent="0.25">
      <c r="B38" s="18">
        <v>42861</v>
      </c>
      <c r="C38" s="35" t="s">
        <v>621</v>
      </c>
      <c r="D38" s="11"/>
      <c r="E38" s="11"/>
      <c r="F38" s="11"/>
      <c r="G38" s="11"/>
      <c r="H38" s="11">
        <v>15050</v>
      </c>
      <c r="I38" s="15"/>
      <c r="J38" s="12">
        <f t="shared" si="0"/>
        <v>35207.32</v>
      </c>
      <c r="K38" s="12">
        <f t="shared" si="1"/>
        <v>12419.289999999994</v>
      </c>
    </row>
    <row r="39" spans="2:11" x14ac:dyDescent="0.25">
      <c r="B39" s="18">
        <v>42861</v>
      </c>
      <c r="C39" s="9" t="s">
        <v>622</v>
      </c>
      <c r="D39" s="11"/>
      <c r="E39" s="11"/>
      <c r="F39" s="11"/>
      <c r="G39" s="11"/>
      <c r="H39" s="11">
        <v>150</v>
      </c>
      <c r="I39" s="15"/>
      <c r="J39" s="12">
        <f t="shared" si="0"/>
        <v>35207.32</v>
      </c>
      <c r="K39" s="12">
        <f t="shared" si="1"/>
        <v>12269.289999999994</v>
      </c>
    </row>
    <row r="40" spans="2:11" x14ac:dyDescent="0.25">
      <c r="B40" s="18">
        <v>42861</v>
      </c>
      <c r="C40" s="9" t="s">
        <v>42</v>
      </c>
      <c r="D40" s="11"/>
      <c r="E40" s="11"/>
      <c r="F40" s="11"/>
      <c r="G40" s="11"/>
      <c r="H40" s="59">
        <v>120</v>
      </c>
      <c r="I40" s="15"/>
      <c r="J40" s="12">
        <f t="shared" si="0"/>
        <v>35207.32</v>
      </c>
      <c r="K40" s="12">
        <f t="shared" si="1"/>
        <v>12149.289999999994</v>
      </c>
    </row>
    <row r="41" spans="2:11" x14ac:dyDescent="0.25">
      <c r="B41" s="18">
        <v>42862</v>
      </c>
      <c r="C41" s="9" t="s">
        <v>623</v>
      </c>
      <c r="D41" s="11"/>
      <c r="E41" s="11"/>
      <c r="F41" s="11"/>
      <c r="G41" s="11"/>
      <c r="H41" s="59">
        <v>94</v>
      </c>
      <c r="I41" s="15"/>
      <c r="J41" s="12">
        <f t="shared" si="0"/>
        <v>35207.32</v>
      </c>
      <c r="K41" s="12">
        <f t="shared" si="1"/>
        <v>12055.289999999994</v>
      </c>
    </row>
    <row r="42" spans="2:11" x14ac:dyDescent="0.25">
      <c r="B42" s="18">
        <v>42862</v>
      </c>
      <c r="C42" s="9" t="s">
        <v>624</v>
      </c>
      <c r="D42" s="11"/>
      <c r="E42" s="11"/>
      <c r="F42" s="11"/>
      <c r="G42" s="11"/>
      <c r="H42" s="59">
        <v>400</v>
      </c>
      <c r="I42" s="15"/>
      <c r="J42" s="12">
        <f t="shared" si="0"/>
        <v>35207.32</v>
      </c>
      <c r="K42" s="12">
        <f t="shared" si="1"/>
        <v>11655.289999999994</v>
      </c>
    </row>
    <row r="43" spans="2:11" x14ac:dyDescent="0.25">
      <c r="B43" s="18">
        <v>42862</v>
      </c>
      <c r="C43" s="9" t="s">
        <v>625</v>
      </c>
      <c r="D43" s="11">
        <v>20375</v>
      </c>
      <c r="E43" s="11"/>
      <c r="F43" s="11"/>
      <c r="G43" s="11"/>
      <c r="H43" s="59"/>
      <c r="I43" s="15"/>
      <c r="J43" s="12">
        <f t="shared" si="0"/>
        <v>35207.32</v>
      </c>
      <c r="K43" s="12">
        <f t="shared" si="1"/>
        <v>32030.289999999994</v>
      </c>
    </row>
    <row r="44" spans="2:11" x14ac:dyDescent="0.25">
      <c r="B44" s="18">
        <v>42863</v>
      </c>
      <c r="C44" s="9" t="s">
        <v>597</v>
      </c>
      <c r="D44" s="11"/>
      <c r="E44" s="11"/>
      <c r="F44" s="11"/>
      <c r="G44" s="11"/>
      <c r="H44" s="59">
        <v>310</v>
      </c>
      <c r="I44" s="15"/>
      <c r="J44" s="12">
        <f t="shared" si="0"/>
        <v>35207.32</v>
      </c>
      <c r="K44" s="12">
        <f t="shared" si="1"/>
        <v>31720.289999999994</v>
      </c>
    </row>
    <row r="45" spans="2:11" x14ac:dyDescent="0.25">
      <c r="B45" s="18">
        <v>42863</v>
      </c>
      <c r="C45" s="9" t="s">
        <v>618</v>
      </c>
      <c r="D45" s="11"/>
      <c r="E45" s="11"/>
      <c r="F45" s="11"/>
      <c r="G45" s="11"/>
      <c r="H45" s="59">
        <v>104</v>
      </c>
      <c r="I45" s="15"/>
      <c r="J45" s="12">
        <f t="shared" ref="J45:J51" si="2">+J44+E45-G45</f>
        <v>35207.32</v>
      </c>
      <c r="K45" s="12">
        <f t="shared" ref="K45:K51" si="3">+K44+D45-H45</f>
        <v>31616.289999999994</v>
      </c>
    </row>
    <row r="46" spans="2:11" x14ac:dyDescent="0.25">
      <c r="B46" s="18">
        <v>42863</v>
      </c>
      <c r="C46" s="9" t="s">
        <v>626</v>
      </c>
      <c r="D46" s="11"/>
      <c r="E46" s="11"/>
      <c r="F46" s="11"/>
      <c r="G46" s="11"/>
      <c r="H46" s="59">
        <v>300</v>
      </c>
      <c r="I46" s="15"/>
      <c r="J46" s="12">
        <f t="shared" si="2"/>
        <v>35207.32</v>
      </c>
      <c r="K46" s="12">
        <f t="shared" si="3"/>
        <v>31316.289999999994</v>
      </c>
    </row>
    <row r="47" spans="2:11" x14ac:dyDescent="0.25">
      <c r="B47" s="18">
        <v>42863</v>
      </c>
      <c r="C47" s="13" t="s">
        <v>628</v>
      </c>
      <c r="D47" s="11"/>
      <c r="E47" s="11"/>
      <c r="F47" s="11"/>
      <c r="G47" s="11"/>
      <c r="H47" s="11">
        <v>300</v>
      </c>
      <c r="I47" s="15"/>
      <c r="J47" s="12">
        <f t="shared" si="2"/>
        <v>35207.32</v>
      </c>
      <c r="K47" s="12">
        <f t="shared" si="3"/>
        <v>31016.289999999994</v>
      </c>
    </row>
    <row r="48" spans="2:11" x14ac:dyDescent="0.25">
      <c r="B48" s="18">
        <v>42863</v>
      </c>
      <c r="C48" s="13" t="s">
        <v>627</v>
      </c>
      <c r="D48" s="11"/>
      <c r="E48" s="11"/>
      <c r="F48" s="11"/>
      <c r="G48" s="11"/>
      <c r="H48" s="11">
        <v>220</v>
      </c>
      <c r="I48" s="15"/>
      <c r="J48" s="12">
        <f t="shared" si="2"/>
        <v>35207.32</v>
      </c>
      <c r="K48" s="12">
        <f t="shared" si="3"/>
        <v>30796.289999999994</v>
      </c>
    </row>
    <row r="49" spans="2:11" x14ac:dyDescent="0.25">
      <c r="B49" s="18">
        <v>42863</v>
      </c>
      <c r="C49" s="13" t="s">
        <v>629</v>
      </c>
      <c r="D49" s="11"/>
      <c r="E49" s="11"/>
      <c r="F49" s="11"/>
      <c r="G49" s="11"/>
      <c r="H49" s="11">
        <v>500</v>
      </c>
      <c r="I49" s="15"/>
      <c r="J49" s="12">
        <f t="shared" si="2"/>
        <v>35207.32</v>
      </c>
      <c r="K49" s="12">
        <f t="shared" si="3"/>
        <v>30296.289999999994</v>
      </c>
    </row>
    <row r="50" spans="2:11" x14ac:dyDescent="0.25">
      <c r="B50" s="18">
        <v>42863</v>
      </c>
      <c r="C50" s="9" t="s">
        <v>630</v>
      </c>
      <c r="D50" s="11"/>
      <c r="E50" s="11"/>
      <c r="F50" s="11"/>
      <c r="G50" s="11"/>
      <c r="H50" s="11">
        <v>540</v>
      </c>
      <c r="I50" s="15"/>
      <c r="J50" s="12">
        <f t="shared" si="2"/>
        <v>35207.32</v>
      </c>
      <c r="K50" s="12">
        <f t="shared" si="3"/>
        <v>29756.289999999994</v>
      </c>
    </row>
    <row r="51" spans="2:11" x14ac:dyDescent="0.25">
      <c r="B51" s="18">
        <v>42864</v>
      </c>
      <c r="C51" s="9" t="s">
        <v>612</v>
      </c>
      <c r="D51" s="11"/>
      <c r="E51" s="11"/>
      <c r="F51" s="11"/>
      <c r="G51" s="11"/>
      <c r="H51" s="11">
        <v>62</v>
      </c>
      <c r="I51" s="15"/>
      <c r="J51" s="12">
        <f t="shared" si="2"/>
        <v>35207.32</v>
      </c>
      <c r="K51" s="12">
        <f t="shared" si="3"/>
        <v>29694.289999999994</v>
      </c>
    </row>
    <row r="52" spans="2:11" x14ac:dyDescent="0.25">
      <c r="B52" s="18">
        <v>42864</v>
      </c>
      <c r="C52" s="13" t="s">
        <v>631</v>
      </c>
      <c r="D52" s="11"/>
      <c r="E52" s="11"/>
      <c r="F52" s="11"/>
      <c r="G52" s="11"/>
      <c r="H52" s="11">
        <v>140.5</v>
      </c>
      <c r="I52" s="15"/>
      <c r="J52" s="12">
        <f t="shared" ref="J52:J57" si="4">+J51+E52-G52</f>
        <v>35207.32</v>
      </c>
      <c r="K52" s="12">
        <f t="shared" ref="K52:K58" si="5">+K51+D52-H52</f>
        <v>29553.789999999994</v>
      </c>
    </row>
    <row r="53" spans="2:11" x14ac:dyDescent="0.25">
      <c r="B53" s="18">
        <v>42864</v>
      </c>
      <c r="C53" s="35" t="s">
        <v>632</v>
      </c>
      <c r="D53" s="11"/>
      <c r="E53" s="11"/>
      <c r="F53" s="11"/>
      <c r="G53" s="11"/>
      <c r="H53" s="11">
        <v>650</v>
      </c>
      <c r="I53" s="15"/>
      <c r="J53" s="12">
        <f t="shared" si="4"/>
        <v>35207.32</v>
      </c>
      <c r="K53" s="12">
        <f t="shared" si="5"/>
        <v>28903.789999999994</v>
      </c>
    </row>
    <row r="54" spans="2:11" x14ac:dyDescent="0.25">
      <c r="B54" s="18">
        <v>42864</v>
      </c>
      <c r="C54" s="34" t="s">
        <v>633</v>
      </c>
      <c r="D54" s="11"/>
      <c r="E54" s="11"/>
      <c r="F54" s="11"/>
      <c r="G54" s="11"/>
      <c r="H54" s="11">
        <v>400</v>
      </c>
      <c r="I54" s="15"/>
      <c r="J54" s="12">
        <f t="shared" si="4"/>
        <v>35207.32</v>
      </c>
      <c r="K54" s="12">
        <f t="shared" si="5"/>
        <v>28503.789999999994</v>
      </c>
    </row>
    <row r="55" spans="2:11" x14ac:dyDescent="0.25">
      <c r="B55" s="18">
        <v>42864</v>
      </c>
      <c r="C55" s="9" t="s">
        <v>634</v>
      </c>
      <c r="D55" s="11"/>
      <c r="E55" s="11"/>
      <c r="F55" s="11"/>
      <c r="G55" s="11"/>
      <c r="H55" s="11">
        <v>600</v>
      </c>
      <c r="I55" s="15"/>
      <c r="J55" s="12">
        <f t="shared" si="4"/>
        <v>35207.32</v>
      </c>
      <c r="K55" s="12">
        <f t="shared" si="5"/>
        <v>27903.789999999994</v>
      </c>
    </row>
    <row r="56" spans="2:11" x14ac:dyDescent="0.25">
      <c r="B56" s="18">
        <v>42864</v>
      </c>
      <c r="C56" s="9" t="s">
        <v>635</v>
      </c>
      <c r="D56" s="11"/>
      <c r="E56" s="11"/>
      <c r="F56" s="11"/>
      <c r="G56" s="11"/>
      <c r="H56" s="11">
        <v>145</v>
      </c>
      <c r="I56" s="15"/>
      <c r="J56" s="12">
        <f t="shared" si="4"/>
        <v>35207.32</v>
      </c>
      <c r="K56" s="12">
        <f t="shared" si="5"/>
        <v>27758.789999999994</v>
      </c>
    </row>
    <row r="57" spans="2:11" x14ac:dyDescent="0.25">
      <c r="B57" s="18">
        <v>42864</v>
      </c>
      <c r="C57" s="9" t="s">
        <v>636</v>
      </c>
      <c r="D57" s="11"/>
      <c r="E57" s="11"/>
      <c r="F57" s="11"/>
      <c r="G57" s="11"/>
      <c r="H57" s="11">
        <v>80.400000000000006</v>
      </c>
      <c r="I57" s="15"/>
      <c r="J57" s="12">
        <f t="shared" si="4"/>
        <v>35207.32</v>
      </c>
      <c r="K57" s="12">
        <f t="shared" si="5"/>
        <v>27678.389999999992</v>
      </c>
    </row>
    <row r="58" spans="2:11" ht="15.75" thickBot="1" x14ac:dyDescent="0.3">
      <c r="B58" s="18">
        <v>42864</v>
      </c>
      <c r="C58" s="9" t="s">
        <v>637</v>
      </c>
      <c r="D58" s="11"/>
      <c r="E58" s="11"/>
      <c r="F58" s="11"/>
      <c r="G58" s="11"/>
      <c r="H58" s="11">
        <v>200</v>
      </c>
      <c r="I58" s="15"/>
      <c r="J58" s="12">
        <f>+J57+E58-G58</f>
        <v>35207.32</v>
      </c>
      <c r="K58" s="12">
        <f t="shared" si="5"/>
        <v>27478.389999999992</v>
      </c>
    </row>
    <row r="59" spans="2:11" ht="15.75" thickBot="1" x14ac:dyDescent="0.3">
      <c r="B59" s="5"/>
      <c r="C59" s="7" t="s">
        <v>0</v>
      </c>
      <c r="D59" s="63">
        <f>SUM(D5:D58)</f>
        <v>20375</v>
      </c>
      <c r="E59" s="61">
        <f>SUM(E5:E58)</f>
        <v>0</v>
      </c>
      <c r="F59" s="72">
        <f>SUM(D59:E59)</f>
        <v>20375</v>
      </c>
      <c r="G59" s="72">
        <f>SUM(G5:G58)</f>
        <v>0</v>
      </c>
      <c r="H59" s="63">
        <f>SUM(H5:H58)</f>
        <v>36570.700000000004</v>
      </c>
      <c r="I59" s="72">
        <f>SUM(G59:H59)</f>
        <v>36570.700000000004</v>
      </c>
      <c r="J59" s="20"/>
      <c r="K59" s="20"/>
    </row>
    <row r="60" spans="2:11" x14ac:dyDescent="0.25">
      <c r="B60" s="69" t="s">
        <v>1</v>
      </c>
      <c r="C60" s="69" t="s">
        <v>2</v>
      </c>
      <c r="D60" s="69" t="s">
        <v>3</v>
      </c>
      <c r="E60" s="69" t="s">
        <v>3</v>
      </c>
      <c r="F60" s="69" t="s">
        <v>23</v>
      </c>
      <c r="G60" s="69" t="s">
        <v>24</v>
      </c>
      <c r="H60" s="48" t="s">
        <v>24</v>
      </c>
      <c r="I60" s="48" t="s">
        <v>23</v>
      </c>
      <c r="J60" s="69" t="s">
        <v>9</v>
      </c>
      <c r="K60" s="48" t="s">
        <v>8</v>
      </c>
    </row>
    <row r="61" spans="2:11" ht="15.75" thickBot="1" x14ac:dyDescent="0.3">
      <c r="B61" s="70"/>
      <c r="C61" s="70"/>
      <c r="D61" s="70" t="s">
        <v>5</v>
      </c>
      <c r="E61" s="70" t="s">
        <v>25</v>
      </c>
      <c r="F61" s="70" t="s">
        <v>3</v>
      </c>
      <c r="G61" s="70" t="s">
        <v>25</v>
      </c>
      <c r="H61" s="71" t="s">
        <v>5</v>
      </c>
      <c r="I61" s="71" t="s">
        <v>4</v>
      </c>
      <c r="J61" s="70"/>
      <c r="K61" s="71"/>
    </row>
    <row r="62" spans="2:11" ht="15.75" thickBot="1" x14ac:dyDescent="0.3">
      <c r="B62" s="5"/>
      <c r="C62" s="7" t="s">
        <v>0</v>
      </c>
      <c r="D62" s="63">
        <v>20375</v>
      </c>
      <c r="E62" s="61">
        <f>SUM(E17:E61)</f>
        <v>0</v>
      </c>
      <c r="F62" s="72">
        <f>SUM(D62:E62)</f>
        <v>20375</v>
      </c>
      <c r="G62" s="72">
        <f>SUM(G17:G61)</f>
        <v>0</v>
      </c>
      <c r="H62" s="63">
        <v>36570.699999999997</v>
      </c>
      <c r="I62" s="72">
        <f>SUM(H62)</f>
        <v>36570.699999999997</v>
      </c>
      <c r="J62" s="20">
        <v>35207.32</v>
      </c>
      <c r="K62" s="20">
        <v>27478.39</v>
      </c>
    </row>
    <row r="63" spans="2:11" x14ac:dyDescent="0.25">
      <c r="B63" s="18">
        <v>42864</v>
      </c>
      <c r="C63" s="9" t="s">
        <v>638</v>
      </c>
      <c r="D63" s="11"/>
      <c r="E63" s="11"/>
      <c r="F63" s="11"/>
      <c r="G63" s="11"/>
      <c r="H63" s="11">
        <v>70</v>
      </c>
      <c r="I63" s="15"/>
      <c r="J63" s="12">
        <f>+J62+E63-G63</f>
        <v>35207.32</v>
      </c>
      <c r="K63" s="12">
        <f t="shared" ref="K63" si="6">+K62+D63-H63</f>
        <v>27408.39</v>
      </c>
    </row>
    <row r="64" spans="2:11" x14ac:dyDescent="0.25">
      <c r="B64" s="18">
        <v>42864</v>
      </c>
      <c r="C64" s="13" t="s">
        <v>639</v>
      </c>
      <c r="D64" s="41"/>
      <c r="E64" s="41"/>
      <c r="F64" s="41"/>
      <c r="G64" s="105">
        <v>1760</v>
      </c>
      <c r="H64" s="11"/>
      <c r="I64" s="15"/>
      <c r="J64" s="12">
        <f t="shared" ref="J64:J68" si="7">+J63+E64-G64</f>
        <v>33447.32</v>
      </c>
      <c r="K64" s="12">
        <f t="shared" ref="K64:K68" si="8">+K63+D64-H64</f>
        <v>27408.39</v>
      </c>
    </row>
    <row r="65" spans="2:11" x14ac:dyDescent="0.25">
      <c r="B65" s="18">
        <v>42864</v>
      </c>
      <c r="C65" s="9" t="s">
        <v>640</v>
      </c>
      <c r="D65" s="11"/>
      <c r="E65" s="11"/>
      <c r="F65" s="11"/>
      <c r="G65" s="11">
        <v>1300</v>
      </c>
      <c r="H65" s="11"/>
      <c r="I65" s="15"/>
      <c r="J65" s="12">
        <f t="shared" si="7"/>
        <v>32147.32</v>
      </c>
      <c r="K65" s="12">
        <f t="shared" si="8"/>
        <v>27408.39</v>
      </c>
    </row>
    <row r="66" spans="2:11" x14ac:dyDescent="0.25">
      <c r="B66" s="18">
        <v>42865</v>
      </c>
      <c r="C66" s="9" t="s">
        <v>641</v>
      </c>
      <c r="D66" s="11"/>
      <c r="E66" s="11"/>
      <c r="F66" s="11"/>
      <c r="G66" s="11"/>
      <c r="H66" s="11">
        <v>15050</v>
      </c>
      <c r="I66" s="15"/>
      <c r="J66" s="12">
        <f t="shared" si="7"/>
        <v>32147.32</v>
      </c>
      <c r="K66" s="12">
        <f t="shared" si="8"/>
        <v>12358.39</v>
      </c>
    </row>
    <row r="67" spans="2:11" x14ac:dyDescent="0.25">
      <c r="B67" s="18">
        <v>42865</v>
      </c>
      <c r="C67" s="9" t="s">
        <v>642</v>
      </c>
      <c r="D67" s="11"/>
      <c r="E67" s="11"/>
      <c r="F67" s="11"/>
      <c r="G67" s="11"/>
      <c r="H67" s="11">
        <v>1288.8</v>
      </c>
      <c r="I67" s="15"/>
      <c r="J67" s="12">
        <f t="shared" si="7"/>
        <v>32147.32</v>
      </c>
      <c r="K67" s="12">
        <f t="shared" si="8"/>
        <v>11069.59</v>
      </c>
    </row>
    <row r="68" spans="2:11" x14ac:dyDescent="0.25">
      <c r="B68" s="18">
        <v>42866</v>
      </c>
      <c r="C68" s="9" t="s">
        <v>643</v>
      </c>
      <c r="D68" s="11"/>
      <c r="E68" s="11"/>
      <c r="F68" s="11"/>
      <c r="G68" s="11"/>
      <c r="H68" s="11">
        <v>401.5</v>
      </c>
      <c r="I68" s="15"/>
      <c r="J68" s="12">
        <f t="shared" si="7"/>
        <v>32147.32</v>
      </c>
      <c r="K68" s="12">
        <f t="shared" si="8"/>
        <v>10668.09</v>
      </c>
    </row>
    <row r="69" spans="2:11" x14ac:dyDescent="0.25">
      <c r="B69" s="18">
        <v>42866</v>
      </c>
      <c r="C69" s="9" t="s">
        <v>644</v>
      </c>
      <c r="D69" s="11"/>
      <c r="E69" s="11"/>
      <c r="F69" s="11"/>
      <c r="G69" s="11"/>
      <c r="H69" s="11">
        <v>250</v>
      </c>
      <c r="I69" s="15"/>
      <c r="J69" s="12">
        <f t="shared" ref="J69:J77" si="9">+J68+E69-G69</f>
        <v>32147.32</v>
      </c>
      <c r="K69" s="12">
        <f t="shared" ref="K69:K77" si="10">+K68+D69-H69</f>
        <v>10418.09</v>
      </c>
    </row>
    <row r="70" spans="2:11" x14ac:dyDescent="0.25">
      <c r="B70" s="18">
        <v>42866</v>
      </c>
      <c r="C70" s="9" t="s">
        <v>645</v>
      </c>
      <c r="D70" s="11"/>
      <c r="E70" s="11"/>
      <c r="F70" s="11"/>
      <c r="G70" s="11"/>
      <c r="H70" s="11">
        <v>627</v>
      </c>
      <c r="I70" s="15"/>
      <c r="J70" s="12">
        <f t="shared" si="9"/>
        <v>32147.32</v>
      </c>
      <c r="K70" s="12">
        <f t="shared" si="10"/>
        <v>9791.09</v>
      </c>
    </row>
    <row r="71" spans="2:11" x14ac:dyDescent="0.25">
      <c r="B71" s="18">
        <v>42866</v>
      </c>
      <c r="C71" s="9" t="s">
        <v>646</v>
      </c>
      <c r="D71" s="11"/>
      <c r="E71" s="11"/>
      <c r="F71" s="11"/>
      <c r="G71" s="11"/>
      <c r="H71" s="11">
        <v>30</v>
      </c>
      <c r="I71" s="15"/>
      <c r="J71" s="12">
        <f t="shared" si="9"/>
        <v>32147.32</v>
      </c>
      <c r="K71" s="12">
        <f t="shared" si="10"/>
        <v>9761.09</v>
      </c>
    </row>
    <row r="72" spans="2:11" x14ac:dyDescent="0.25">
      <c r="B72" s="18">
        <v>42867</v>
      </c>
      <c r="C72" s="9" t="s">
        <v>597</v>
      </c>
      <c r="D72" s="11"/>
      <c r="E72" s="11"/>
      <c r="F72" s="11"/>
      <c r="G72" s="11"/>
      <c r="H72" s="11">
        <v>310</v>
      </c>
      <c r="I72" s="15"/>
      <c r="J72" s="12">
        <f t="shared" si="9"/>
        <v>32147.32</v>
      </c>
      <c r="K72" s="12">
        <f t="shared" si="10"/>
        <v>9451.09</v>
      </c>
    </row>
    <row r="73" spans="2:11" x14ac:dyDescent="0.25">
      <c r="B73" s="18">
        <v>42867</v>
      </c>
      <c r="C73" s="9" t="s">
        <v>647</v>
      </c>
      <c r="D73" s="11"/>
      <c r="E73" s="11"/>
      <c r="F73" s="11"/>
      <c r="G73" s="11"/>
      <c r="H73" s="11">
        <v>400</v>
      </c>
      <c r="I73" s="15"/>
      <c r="J73" s="12">
        <f t="shared" si="9"/>
        <v>32147.32</v>
      </c>
      <c r="K73" s="12">
        <f t="shared" si="10"/>
        <v>9051.09</v>
      </c>
    </row>
    <row r="74" spans="2:11" x14ac:dyDescent="0.25">
      <c r="B74" s="18">
        <v>42867</v>
      </c>
      <c r="C74" s="9" t="s">
        <v>648</v>
      </c>
      <c r="D74" s="11"/>
      <c r="E74" s="11"/>
      <c r="F74" s="11"/>
      <c r="G74" s="11"/>
      <c r="H74" s="11">
        <v>1000</v>
      </c>
      <c r="I74" s="15"/>
      <c r="J74" s="12">
        <f t="shared" si="9"/>
        <v>32147.32</v>
      </c>
      <c r="K74" s="12">
        <f t="shared" si="10"/>
        <v>8051.09</v>
      </c>
    </row>
    <row r="75" spans="2:11" x14ac:dyDescent="0.25">
      <c r="B75" s="18">
        <v>42867</v>
      </c>
      <c r="C75" s="9" t="s">
        <v>661</v>
      </c>
      <c r="D75" s="11"/>
      <c r="E75" s="11"/>
      <c r="F75" s="11"/>
      <c r="G75" s="11"/>
      <c r="H75" s="11">
        <v>100</v>
      </c>
      <c r="I75" s="15"/>
      <c r="J75" s="12">
        <f t="shared" si="9"/>
        <v>32147.32</v>
      </c>
      <c r="K75" s="12">
        <f>+K74+D75-H75</f>
        <v>7951.09</v>
      </c>
    </row>
    <row r="76" spans="2:11" x14ac:dyDescent="0.25">
      <c r="B76" s="18">
        <v>42869</v>
      </c>
      <c r="C76" s="9" t="s">
        <v>42</v>
      </c>
      <c r="D76" s="11"/>
      <c r="E76" s="11"/>
      <c r="F76" s="11"/>
      <c r="G76" s="11"/>
      <c r="H76" s="11">
        <v>120</v>
      </c>
      <c r="I76" s="15"/>
      <c r="J76" s="12">
        <f t="shared" si="9"/>
        <v>32147.32</v>
      </c>
      <c r="K76" s="12">
        <f>+K75+D76-H76</f>
        <v>7831.09</v>
      </c>
    </row>
    <row r="77" spans="2:11" x14ac:dyDescent="0.25">
      <c r="B77" s="18">
        <v>42869</v>
      </c>
      <c r="C77" s="9" t="s">
        <v>622</v>
      </c>
      <c r="D77" s="11"/>
      <c r="E77" s="11"/>
      <c r="F77" s="11"/>
      <c r="G77" s="11"/>
      <c r="H77" s="11">
        <v>150</v>
      </c>
      <c r="I77" s="15"/>
      <c r="J77" s="12">
        <f t="shared" si="9"/>
        <v>32147.32</v>
      </c>
      <c r="K77" s="12">
        <f t="shared" si="10"/>
        <v>7681.09</v>
      </c>
    </row>
    <row r="78" spans="2:11" x14ac:dyDescent="0.25">
      <c r="B78" s="18">
        <v>42869</v>
      </c>
      <c r="C78" s="9" t="s">
        <v>715</v>
      </c>
      <c r="D78" s="11"/>
      <c r="E78" s="11"/>
      <c r="F78" s="11"/>
      <c r="G78" s="11"/>
      <c r="H78" s="11">
        <v>69.5</v>
      </c>
      <c r="I78" s="15"/>
      <c r="J78" s="12">
        <f t="shared" ref="J78:J115" si="11">+J77+E78-G78</f>
        <v>32147.32</v>
      </c>
      <c r="K78" s="12">
        <f t="shared" ref="K78:K115" si="12">+K77+D78-H78</f>
        <v>7611.59</v>
      </c>
    </row>
    <row r="79" spans="2:11" x14ac:dyDescent="0.25">
      <c r="B79" s="18">
        <v>42869</v>
      </c>
      <c r="C79" s="9" t="s">
        <v>623</v>
      </c>
      <c r="D79" s="11"/>
      <c r="E79" s="11"/>
      <c r="F79" s="11"/>
      <c r="G79" s="11"/>
      <c r="H79" s="11">
        <v>170</v>
      </c>
      <c r="I79" s="15"/>
      <c r="J79" s="12">
        <f t="shared" si="11"/>
        <v>32147.32</v>
      </c>
      <c r="K79" s="12">
        <f t="shared" si="12"/>
        <v>7441.59</v>
      </c>
    </row>
    <row r="80" spans="2:11" x14ac:dyDescent="0.25">
      <c r="B80" s="18">
        <v>42869</v>
      </c>
      <c r="C80" s="9" t="s">
        <v>650</v>
      </c>
      <c r="D80" s="11"/>
      <c r="E80" s="11"/>
      <c r="F80" s="11"/>
      <c r="G80" s="11"/>
      <c r="H80" s="11">
        <v>850</v>
      </c>
      <c r="I80" s="15"/>
      <c r="J80" s="12">
        <f t="shared" si="11"/>
        <v>32147.32</v>
      </c>
      <c r="K80" s="12">
        <f t="shared" si="12"/>
        <v>6591.59</v>
      </c>
    </row>
    <row r="81" spans="2:12" x14ac:dyDescent="0.25">
      <c r="B81" s="18">
        <v>42869</v>
      </c>
      <c r="C81" s="9" t="s">
        <v>651</v>
      </c>
      <c r="D81" s="11"/>
      <c r="E81" s="11"/>
      <c r="F81" s="11"/>
      <c r="G81" s="11"/>
      <c r="H81" s="11">
        <v>1050</v>
      </c>
      <c r="I81" s="15"/>
      <c r="J81" s="12">
        <f t="shared" si="11"/>
        <v>32147.32</v>
      </c>
      <c r="K81" s="12">
        <f t="shared" si="12"/>
        <v>5541.59</v>
      </c>
    </row>
    <row r="82" spans="2:12" x14ac:dyDescent="0.25">
      <c r="B82" s="18">
        <v>42869</v>
      </c>
      <c r="C82" s="9" t="s">
        <v>652</v>
      </c>
      <c r="D82" s="11"/>
      <c r="E82" s="11"/>
      <c r="F82" s="11"/>
      <c r="G82" s="11"/>
      <c r="H82" s="11">
        <v>500</v>
      </c>
      <c r="I82" s="15"/>
      <c r="J82" s="12">
        <f t="shared" si="11"/>
        <v>32147.32</v>
      </c>
      <c r="K82" s="12">
        <f t="shared" si="12"/>
        <v>5041.59</v>
      </c>
    </row>
    <row r="83" spans="2:12" x14ac:dyDescent="0.25">
      <c r="B83" s="18">
        <v>42870</v>
      </c>
      <c r="C83" s="9" t="s">
        <v>653</v>
      </c>
      <c r="D83" s="11"/>
      <c r="E83" s="11"/>
      <c r="F83" s="11"/>
      <c r="G83" s="11"/>
      <c r="H83" s="11">
        <v>400</v>
      </c>
      <c r="I83" s="15"/>
      <c r="J83" s="12">
        <f t="shared" si="11"/>
        <v>32147.32</v>
      </c>
      <c r="K83" s="12">
        <f t="shared" si="12"/>
        <v>4641.59</v>
      </c>
    </row>
    <row r="84" spans="2:12" x14ac:dyDescent="0.25">
      <c r="B84" s="18">
        <v>42870</v>
      </c>
      <c r="C84" s="9" t="s">
        <v>654</v>
      </c>
      <c r="D84" s="11"/>
      <c r="E84" s="11"/>
      <c r="F84" s="11"/>
      <c r="G84" s="11"/>
      <c r="H84" s="11">
        <v>350</v>
      </c>
      <c r="I84" s="15"/>
      <c r="J84" s="12">
        <f t="shared" si="11"/>
        <v>32147.32</v>
      </c>
      <c r="K84" s="12">
        <f t="shared" si="12"/>
        <v>4291.59</v>
      </c>
    </row>
    <row r="85" spans="2:12" x14ac:dyDescent="0.25">
      <c r="B85" s="18">
        <v>42870</v>
      </c>
      <c r="C85" s="9" t="s">
        <v>655</v>
      </c>
      <c r="D85" s="11"/>
      <c r="E85" s="11"/>
      <c r="F85" s="11"/>
      <c r="G85" s="11"/>
      <c r="H85" s="11">
        <v>450</v>
      </c>
      <c r="I85" s="15"/>
      <c r="J85" s="12">
        <f t="shared" si="11"/>
        <v>32147.32</v>
      </c>
      <c r="K85" s="12">
        <f t="shared" si="12"/>
        <v>3841.59</v>
      </c>
    </row>
    <row r="86" spans="2:12" x14ac:dyDescent="0.25">
      <c r="B86" s="18">
        <v>42870</v>
      </c>
      <c r="C86" s="9" t="s">
        <v>656</v>
      </c>
      <c r="D86" s="11"/>
      <c r="E86" s="11"/>
      <c r="F86" s="11"/>
      <c r="G86" s="11"/>
      <c r="H86" s="11">
        <v>4000</v>
      </c>
      <c r="I86" s="15"/>
      <c r="J86" s="12">
        <f t="shared" si="11"/>
        <v>32147.32</v>
      </c>
      <c r="K86" s="12">
        <f t="shared" si="12"/>
        <v>-158.40999999999985</v>
      </c>
    </row>
    <row r="87" spans="2:12" x14ac:dyDescent="0.25">
      <c r="B87" s="18">
        <v>42870</v>
      </c>
      <c r="C87" s="9" t="s">
        <v>657</v>
      </c>
      <c r="D87" s="11"/>
      <c r="E87" s="11"/>
      <c r="F87" s="11"/>
      <c r="G87" s="11"/>
      <c r="H87" s="11">
        <v>188</v>
      </c>
      <c r="I87" s="15"/>
      <c r="J87" s="12">
        <f t="shared" si="11"/>
        <v>32147.32</v>
      </c>
      <c r="K87" s="12">
        <f t="shared" si="12"/>
        <v>-346.40999999999985</v>
      </c>
    </row>
    <row r="88" spans="2:12" x14ac:dyDescent="0.25">
      <c r="B88" s="18">
        <v>42870</v>
      </c>
      <c r="C88" s="9" t="s">
        <v>659</v>
      </c>
      <c r="D88" s="11">
        <v>26600</v>
      </c>
      <c r="E88" s="11"/>
      <c r="F88" s="11"/>
      <c r="G88" s="11"/>
      <c r="H88" s="11"/>
      <c r="I88" s="15"/>
      <c r="J88" s="12">
        <f t="shared" si="11"/>
        <v>32147.32</v>
      </c>
      <c r="K88" s="12">
        <f t="shared" si="12"/>
        <v>26253.59</v>
      </c>
    </row>
    <row r="89" spans="2:12" x14ac:dyDescent="0.25">
      <c r="B89" s="18">
        <v>42870</v>
      </c>
      <c r="C89" s="9" t="s">
        <v>660</v>
      </c>
      <c r="D89" s="11">
        <v>100</v>
      </c>
      <c r="E89" s="11"/>
      <c r="F89" s="11"/>
      <c r="G89" s="11"/>
      <c r="H89" s="11"/>
      <c r="I89" s="15"/>
      <c r="J89" s="12">
        <f t="shared" si="11"/>
        <v>32147.32</v>
      </c>
      <c r="K89" s="12">
        <f t="shared" si="12"/>
        <v>26353.59</v>
      </c>
    </row>
    <row r="90" spans="2:12" x14ac:dyDescent="0.25">
      <c r="B90" s="18">
        <v>42870</v>
      </c>
      <c r="C90" s="9" t="s">
        <v>658</v>
      </c>
      <c r="D90" s="11"/>
      <c r="E90" s="11"/>
      <c r="F90" s="11"/>
      <c r="G90" s="11"/>
      <c r="H90" s="11">
        <v>50</v>
      </c>
      <c r="I90" s="15"/>
      <c r="J90" s="12">
        <f t="shared" si="11"/>
        <v>32147.32</v>
      </c>
      <c r="K90" s="12">
        <f t="shared" si="12"/>
        <v>26303.59</v>
      </c>
      <c r="L90" s="1"/>
    </row>
    <row r="91" spans="2:12" x14ac:dyDescent="0.25">
      <c r="B91" s="18">
        <v>42870</v>
      </c>
      <c r="C91" s="9" t="s">
        <v>649</v>
      </c>
      <c r="D91" s="11"/>
      <c r="E91" s="11"/>
      <c r="F91" s="11"/>
      <c r="G91" s="11"/>
      <c r="H91" s="11">
        <v>100</v>
      </c>
      <c r="I91" s="15"/>
      <c r="J91" s="12">
        <f t="shared" si="11"/>
        <v>32147.32</v>
      </c>
      <c r="K91" s="12">
        <f t="shared" si="12"/>
        <v>26203.59</v>
      </c>
    </row>
    <row r="92" spans="2:12" x14ac:dyDescent="0.25">
      <c r="B92" s="18">
        <v>42872</v>
      </c>
      <c r="C92" s="9" t="s">
        <v>662</v>
      </c>
      <c r="D92" s="11"/>
      <c r="E92" s="11"/>
      <c r="F92" s="11"/>
      <c r="G92" s="11"/>
      <c r="H92" s="11">
        <v>219</v>
      </c>
      <c r="I92" s="15"/>
      <c r="J92" s="12">
        <f t="shared" si="11"/>
        <v>32147.32</v>
      </c>
      <c r="K92" s="12">
        <f t="shared" si="12"/>
        <v>25984.59</v>
      </c>
    </row>
    <row r="93" spans="2:12" x14ac:dyDescent="0.25">
      <c r="B93" s="18">
        <v>42873</v>
      </c>
      <c r="C93" s="9" t="s">
        <v>663</v>
      </c>
      <c r="D93" s="11"/>
      <c r="E93" s="11"/>
      <c r="F93" s="11"/>
      <c r="G93" s="11"/>
      <c r="H93" s="11">
        <v>350</v>
      </c>
      <c r="I93" s="15"/>
      <c r="J93" s="12">
        <f t="shared" si="11"/>
        <v>32147.32</v>
      </c>
      <c r="K93" s="12">
        <f t="shared" si="12"/>
        <v>25634.59</v>
      </c>
    </row>
    <row r="94" spans="2:12" x14ac:dyDescent="0.25">
      <c r="B94" s="18">
        <v>42874</v>
      </c>
      <c r="C94" s="9" t="s">
        <v>664</v>
      </c>
      <c r="D94" s="11"/>
      <c r="E94" s="11"/>
      <c r="F94" s="11"/>
      <c r="G94" s="11"/>
      <c r="H94" s="11">
        <v>340</v>
      </c>
      <c r="I94" s="15"/>
      <c r="J94" s="12">
        <f t="shared" si="11"/>
        <v>32147.32</v>
      </c>
      <c r="K94" s="12">
        <f t="shared" si="12"/>
        <v>25294.59</v>
      </c>
    </row>
    <row r="95" spans="2:12" x14ac:dyDescent="0.25">
      <c r="B95" s="18">
        <v>42874</v>
      </c>
      <c r="C95" s="9" t="s">
        <v>665</v>
      </c>
      <c r="D95" s="11"/>
      <c r="E95" s="11"/>
      <c r="F95" s="11"/>
      <c r="G95" s="11"/>
      <c r="H95" s="11">
        <v>385</v>
      </c>
      <c r="I95" s="15"/>
      <c r="J95" s="12">
        <f t="shared" si="11"/>
        <v>32147.32</v>
      </c>
      <c r="K95" s="12">
        <f t="shared" si="12"/>
        <v>24909.59</v>
      </c>
    </row>
    <row r="96" spans="2:12" x14ac:dyDescent="0.25">
      <c r="B96" s="18">
        <v>42874</v>
      </c>
      <c r="C96" s="9" t="s">
        <v>666</v>
      </c>
      <c r="D96" s="11"/>
      <c r="E96" s="11"/>
      <c r="F96" s="11"/>
      <c r="G96" s="11"/>
      <c r="H96" s="11">
        <v>1200</v>
      </c>
      <c r="I96" s="15"/>
      <c r="J96" s="12">
        <f t="shared" si="11"/>
        <v>32147.32</v>
      </c>
      <c r="K96" s="12">
        <f t="shared" si="12"/>
        <v>23709.59</v>
      </c>
    </row>
    <row r="97" spans="2:11" x14ac:dyDescent="0.25">
      <c r="B97" s="18">
        <v>42874</v>
      </c>
      <c r="C97" s="9" t="s">
        <v>667</v>
      </c>
      <c r="D97" s="11"/>
      <c r="E97" s="11"/>
      <c r="F97" s="11"/>
      <c r="G97" s="11"/>
      <c r="H97" s="11">
        <v>1400</v>
      </c>
      <c r="I97" s="15"/>
      <c r="J97" s="12">
        <f t="shared" si="11"/>
        <v>32147.32</v>
      </c>
      <c r="K97" s="12">
        <f t="shared" si="12"/>
        <v>22309.59</v>
      </c>
    </row>
    <row r="98" spans="2:11" x14ac:dyDescent="0.25">
      <c r="B98" s="18">
        <v>42874</v>
      </c>
      <c r="C98" s="9" t="s">
        <v>668</v>
      </c>
      <c r="D98" s="11"/>
      <c r="E98" s="11"/>
      <c r="F98" s="11"/>
      <c r="G98" s="11"/>
      <c r="H98" s="11">
        <v>440</v>
      </c>
      <c r="I98" s="15"/>
      <c r="J98" s="12">
        <f t="shared" si="11"/>
        <v>32147.32</v>
      </c>
      <c r="K98" s="12">
        <f t="shared" si="12"/>
        <v>21869.59</v>
      </c>
    </row>
    <row r="99" spans="2:11" x14ac:dyDescent="0.25">
      <c r="B99" s="18">
        <v>42874</v>
      </c>
      <c r="C99" s="9" t="s">
        <v>669</v>
      </c>
      <c r="D99" s="11"/>
      <c r="E99" s="11"/>
      <c r="F99" s="11"/>
      <c r="G99" s="11"/>
      <c r="H99" s="11">
        <v>350</v>
      </c>
      <c r="I99" s="15"/>
      <c r="J99" s="12">
        <f t="shared" si="11"/>
        <v>32147.32</v>
      </c>
      <c r="K99" s="12">
        <f t="shared" si="12"/>
        <v>21519.59</v>
      </c>
    </row>
    <row r="100" spans="2:11" x14ac:dyDescent="0.25">
      <c r="B100" s="18">
        <v>42874</v>
      </c>
      <c r="C100" s="9" t="s">
        <v>602</v>
      </c>
      <c r="D100" s="11"/>
      <c r="E100" s="11"/>
      <c r="F100" s="11"/>
      <c r="G100" s="11"/>
      <c r="H100" s="11">
        <v>398</v>
      </c>
      <c r="I100" s="15"/>
      <c r="J100" s="12">
        <f t="shared" si="11"/>
        <v>32147.32</v>
      </c>
      <c r="K100" s="12">
        <f t="shared" si="12"/>
        <v>21121.59</v>
      </c>
    </row>
    <row r="101" spans="2:11" x14ac:dyDescent="0.25">
      <c r="B101" s="18">
        <v>42874</v>
      </c>
      <c r="C101" s="9" t="s">
        <v>670</v>
      </c>
      <c r="D101" s="11"/>
      <c r="E101" s="11"/>
      <c r="F101" s="11"/>
      <c r="G101" s="11"/>
      <c r="H101" s="11">
        <v>1000</v>
      </c>
      <c r="I101" s="15"/>
      <c r="J101" s="12">
        <f t="shared" si="11"/>
        <v>32147.32</v>
      </c>
      <c r="K101" s="12">
        <f t="shared" si="12"/>
        <v>20121.59</v>
      </c>
    </row>
    <row r="102" spans="2:11" x14ac:dyDescent="0.25">
      <c r="B102" s="18">
        <v>42875</v>
      </c>
      <c r="C102" s="9" t="s">
        <v>671</v>
      </c>
      <c r="D102" s="11"/>
      <c r="E102" s="11"/>
      <c r="F102" s="11"/>
      <c r="G102" s="11"/>
      <c r="H102" s="11">
        <v>220</v>
      </c>
      <c r="I102" s="15"/>
      <c r="J102" s="12">
        <f t="shared" si="11"/>
        <v>32147.32</v>
      </c>
      <c r="K102" s="12">
        <f t="shared" si="12"/>
        <v>19901.59</v>
      </c>
    </row>
    <row r="103" spans="2:11" x14ac:dyDescent="0.25">
      <c r="B103" s="18">
        <v>42875</v>
      </c>
      <c r="C103" s="9" t="s">
        <v>672</v>
      </c>
      <c r="D103" s="11"/>
      <c r="E103" s="11"/>
      <c r="F103" s="11"/>
      <c r="G103" s="11"/>
      <c r="H103" s="11">
        <v>500</v>
      </c>
      <c r="I103" s="15"/>
      <c r="J103" s="12">
        <f t="shared" si="11"/>
        <v>32147.32</v>
      </c>
      <c r="K103" s="12">
        <f t="shared" si="12"/>
        <v>19401.59</v>
      </c>
    </row>
    <row r="104" spans="2:11" x14ac:dyDescent="0.25">
      <c r="B104" s="18">
        <v>42875</v>
      </c>
      <c r="C104" s="9" t="s">
        <v>673</v>
      </c>
      <c r="D104" s="11"/>
      <c r="E104" s="11"/>
      <c r="F104" s="11"/>
      <c r="G104" s="11"/>
      <c r="H104" s="11">
        <v>350</v>
      </c>
      <c r="I104" s="15"/>
      <c r="J104" s="12">
        <f t="shared" si="11"/>
        <v>32147.32</v>
      </c>
      <c r="K104" s="12">
        <f t="shared" si="12"/>
        <v>19051.59</v>
      </c>
    </row>
    <row r="105" spans="2:11" x14ac:dyDescent="0.25">
      <c r="B105" s="18">
        <v>42876</v>
      </c>
      <c r="C105" s="9" t="s">
        <v>674</v>
      </c>
      <c r="D105" s="11"/>
      <c r="E105" s="11"/>
      <c r="F105" s="11"/>
      <c r="G105" s="11"/>
      <c r="H105" s="11">
        <v>500</v>
      </c>
      <c r="I105" s="15"/>
      <c r="J105" s="12">
        <f t="shared" si="11"/>
        <v>32147.32</v>
      </c>
      <c r="K105" s="12">
        <f t="shared" si="12"/>
        <v>18551.59</v>
      </c>
    </row>
    <row r="106" spans="2:11" x14ac:dyDescent="0.25">
      <c r="B106" s="18">
        <v>42876</v>
      </c>
      <c r="C106" s="9" t="s">
        <v>675</v>
      </c>
      <c r="D106" s="11"/>
      <c r="E106" s="11"/>
      <c r="F106" s="11"/>
      <c r="G106" s="11"/>
      <c r="H106" s="11">
        <v>1393</v>
      </c>
      <c r="I106" s="15"/>
      <c r="J106" s="12">
        <f t="shared" si="11"/>
        <v>32147.32</v>
      </c>
      <c r="K106" s="12">
        <f t="shared" si="12"/>
        <v>17158.59</v>
      </c>
    </row>
    <row r="107" spans="2:11" x14ac:dyDescent="0.25">
      <c r="B107" s="18">
        <v>42876</v>
      </c>
      <c r="C107" s="9" t="s">
        <v>42</v>
      </c>
      <c r="D107" s="11"/>
      <c r="E107" s="11"/>
      <c r="F107" s="11"/>
      <c r="G107" s="11"/>
      <c r="H107" s="11">
        <v>120</v>
      </c>
      <c r="I107" s="15"/>
      <c r="J107" s="12">
        <f t="shared" si="11"/>
        <v>32147.32</v>
      </c>
      <c r="K107" s="12">
        <f t="shared" si="12"/>
        <v>17038.59</v>
      </c>
    </row>
    <row r="108" spans="2:11" x14ac:dyDescent="0.25">
      <c r="B108" s="18">
        <v>42876</v>
      </c>
      <c r="C108" s="9" t="s">
        <v>622</v>
      </c>
      <c r="D108" s="11"/>
      <c r="E108" s="11"/>
      <c r="F108" s="11"/>
      <c r="G108" s="11"/>
      <c r="H108" s="11">
        <v>150</v>
      </c>
      <c r="I108" s="15"/>
      <c r="J108" s="12">
        <f t="shared" si="11"/>
        <v>32147.32</v>
      </c>
      <c r="K108" s="12">
        <f t="shared" si="12"/>
        <v>16888.59</v>
      </c>
    </row>
    <row r="109" spans="2:11" x14ac:dyDescent="0.25">
      <c r="B109" s="18">
        <v>42876</v>
      </c>
      <c r="C109" s="9" t="s">
        <v>623</v>
      </c>
      <c r="D109" s="11"/>
      <c r="E109" s="11"/>
      <c r="F109" s="11"/>
      <c r="G109" s="11"/>
      <c r="H109" s="11">
        <v>210</v>
      </c>
      <c r="I109" s="15"/>
      <c r="J109" s="12">
        <f t="shared" si="11"/>
        <v>32147.32</v>
      </c>
      <c r="K109" s="12">
        <f t="shared" si="12"/>
        <v>16678.59</v>
      </c>
    </row>
    <row r="110" spans="2:11" x14ac:dyDescent="0.25">
      <c r="B110" s="18">
        <v>42877</v>
      </c>
      <c r="C110" s="9" t="s">
        <v>676</v>
      </c>
      <c r="D110" s="11"/>
      <c r="E110" s="11"/>
      <c r="F110" s="11"/>
      <c r="G110" s="11"/>
      <c r="H110" s="11">
        <v>400</v>
      </c>
      <c r="I110" s="15"/>
      <c r="J110" s="12">
        <f t="shared" si="11"/>
        <v>32147.32</v>
      </c>
      <c r="K110" s="12">
        <f t="shared" si="12"/>
        <v>16278.59</v>
      </c>
    </row>
    <row r="111" spans="2:11" x14ac:dyDescent="0.25">
      <c r="B111" s="18">
        <v>42877</v>
      </c>
      <c r="C111" s="13" t="s">
        <v>677</v>
      </c>
      <c r="D111" s="41">
        <v>19600</v>
      </c>
      <c r="E111" s="41"/>
      <c r="F111" s="41"/>
      <c r="G111" s="41"/>
      <c r="H111" s="11"/>
      <c r="I111" s="15"/>
      <c r="J111" s="12">
        <f t="shared" si="11"/>
        <v>32147.32</v>
      </c>
      <c r="K111" s="12">
        <f t="shared" si="12"/>
        <v>35878.589999999997</v>
      </c>
    </row>
    <row r="112" spans="2:11" x14ac:dyDescent="0.25">
      <c r="B112" s="18">
        <v>42877</v>
      </c>
      <c r="C112" s="13" t="s">
        <v>678</v>
      </c>
      <c r="D112" s="41">
        <v>300</v>
      </c>
      <c r="E112" s="41"/>
      <c r="F112" s="41"/>
      <c r="G112" s="16"/>
      <c r="H112" s="11"/>
      <c r="I112" s="15"/>
      <c r="J112" s="12">
        <f t="shared" si="11"/>
        <v>32147.32</v>
      </c>
      <c r="K112" s="12">
        <f t="shared" si="12"/>
        <v>36178.589999999997</v>
      </c>
    </row>
    <row r="113" spans="2:11" x14ac:dyDescent="0.25">
      <c r="B113" s="18">
        <v>42877</v>
      </c>
      <c r="C113" s="13" t="s">
        <v>649</v>
      </c>
      <c r="D113" s="41"/>
      <c r="E113" s="41"/>
      <c r="F113" s="41"/>
      <c r="G113" s="41"/>
      <c r="H113" s="11">
        <v>300</v>
      </c>
      <c r="I113" s="15"/>
      <c r="J113" s="12">
        <f t="shared" si="11"/>
        <v>32147.32</v>
      </c>
      <c r="K113" s="12">
        <f t="shared" si="12"/>
        <v>35878.589999999997</v>
      </c>
    </row>
    <row r="114" spans="2:11" x14ac:dyDescent="0.25">
      <c r="B114" s="18">
        <v>42878</v>
      </c>
      <c r="C114" s="13" t="s">
        <v>679</v>
      </c>
      <c r="D114" s="41"/>
      <c r="E114" s="41"/>
      <c r="F114" s="41"/>
      <c r="G114" s="41"/>
      <c r="H114" s="11">
        <v>329</v>
      </c>
      <c r="I114" s="15"/>
      <c r="J114" s="12">
        <f t="shared" si="11"/>
        <v>32147.32</v>
      </c>
      <c r="K114" s="12">
        <f t="shared" si="12"/>
        <v>35549.589999999997</v>
      </c>
    </row>
    <row r="115" spans="2:11" ht="15.75" thickBot="1" x14ac:dyDescent="0.3">
      <c r="B115" s="18">
        <v>42879</v>
      </c>
      <c r="C115" s="13" t="s">
        <v>680</v>
      </c>
      <c r="D115" s="41"/>
      <c r="E115" s="41"/>
      <c r="F115" s="41"/>
      <c r="G115" s="41"/>
      <c r="H115" s="11">
        <v>250</v>
      </c>
      <c r="I115" s="15"/>
      <c r="J115" s="12">
        <f t="shared" si="11"/>
        <v>32147.32</v>
      </c>
      <c r="K115" s="12">
        <f t="shared" si="12"/>
        <v>35299.589999999997</v>
      </c>
    </row>
    <row r="116" spans="2:11" ht="15.75" thickBot="1" x14ac:dyDescent="0.3">
      <c r="B116" s="5"/>
      <c r="C116" s="7" t="s">
        <v>0</v>
      </c>
      <c r="D116" s="63">
        <f>SUM(D62:D115)</f>
        <v>66975</v>
      </c>
      <c r="E116" s="61">
        <f>SUM(E62:E115)</f>
        <v>0</v>
      </c>
      <c r="F116" s="72">
        <f>SUM(D116:E116)</f>
        <v>66975</v>
      </c>
      <c r="G116" s="72">
        <f>SUM(G62:G115)</f>
        <v>3060</v>
      </c>
      <c r="H116" s="63">
        <f>SUM(H62:H115)</f>
        <v>75349.5</v>
      </c>
      <c r="I116" s="72">
        <f>SUM(G116:H116)</f>
        <v>78409.5</v>
      </c>
      <c r="J116" s="20"/>
      <c r="K116" s="20"/>
    </row>
    <row r="117" spans="2:11" x14ac:dyDescent="0.25">
      <c r="B117" s="69" t="s">
        <v>1</v>
      </c>
      <c r="C117" s="69" t="s">
        <v>2</v>
      </c>
      <c r="D117" s="69" t="s">
        <v>3</v>
      </c>
      <c r="E117" s="69" t="s">
        <v>3</v>
      </c>
      <c r="F117" s="69" t="s">
        <v>23</v>
      </c>
      <c r="G117" s="69" t="s">
        <v>24</v>
      </c>
      <c r="H117" s="48" t="s">
        <v>24</v>
      </c>
      <c r="I117" s="48" t="s">
        <v>23</v>
      </c>
      <c r="J117" s="69" t="s">
        <v>9</v>
      </c>
      <c r="K117" s="48" t="s">
        <v>8</v>
      </c>
    </row>
    <row r="118" spans="2:11" ht="15.75" thickBot="1" x14ac:dyDescent="0.3">
      <c r="B118" s="70"/>
      <c r="C118" s="70"/>
      <c r="D118" s="70" t="s">
        <v>5</v>
      </c>
      <c r="E118" s="70" t="s">
        <v>25</v>
      </c>
      <c r="F118" s="70" t="s">
        <v>3</v>
      </c>
      <c r="G118" s="70" t="s">
        <v>25</v>
      </c>
      <c r="H118" s="71" t="s">
        <v>5</v>
      </c>
      <c r="I118" s="71" t="s">
        <v>4</v>
      </c>
      <c r="J118" s="70"/>
      <c r="K118" s="71"/>
    </row>
    <row r="119" spans="2:11" ht="15.75" thickBot="1" x14ac:dyDescent="0.3">
      <c r="B119" s="5"/>
      <c r="C119" s="7" t="s">
        <v>0</v>
      </c>
      <c r="D119" s="63">
        <v>66975</v>
      </c>
      <c r="E119" s="61">
        <v>0</v>
      </c>
      <c r="F119" s="72">
        <f>SUM(D119:E119)</f>
        <v>66975</v>
      </c>
      <c r="G119" s="72">
        <v>3060</v>
      </c>
      <c r="H119" s="63">
        <v>75349.5</v>
      </c>
      <c r="I119" s="72">
        <f>SUM(G119:H119)</f>
        <v>78409.5</v>
      </c>
      <c r="J119" s="20">
        <v>32147.32</v>
      </c>
      <c r="K119" s="20">
        <v>35299.589999999997</v>
      </c>
    </row>
    <row r="120" spans="2:11" x14ac:dyDescent="0.25">
      <c r="B120" s="18">
        <v>42879</v>
      </c>
      <c r="C120" s="9" t="s">
        <v>681</v>
      </c>
      <c r="D120" s="11"/>
      <c r="E120" s="11"/>
      <c r="F120" s="11"/>
      <c r="G120" s="11"/>
      <c r="H120" s="11">
        <v>400</v>
      </c>
      <c r="I120" s="15"/>
      <c r="J120" s="12">
        <f>+J119+E120-G120</f>
        <v>32147.32</v>
      </c>
      <c r="K120" s="12">
        <f>+K119+D120-H120</f>
        <v>34899.589999999997</v>
      </c>
    </row>
    <row r="121" spans="2:11" x14ac:dyDescent="0.25">
      <c r="B121" s="18">
        <v>42879</v>
      </c>
      <c r="C121" s="9" t="s">
        <v>682</v>
      </c>
      <c r="D121" s="11"/>
      <c r="E121" s="11"/>
      <c r="F121" s="11"/>
      <c r="G121" s="11"/>
      <c r="H121" s="11">
        <v>250</v>
      </c>
      <c r="I121" s="15"/>
      <c r="J121" s="12">
        <f>+J120+E121-G121</f>
        <v>32147.32</v>
      </c>
      <c r="K121" s="12">
        <f>+K120+D121-H121</f>
        <v>34649.589999999997</v>
      </c>
    </row>
    <row r="122" spans="2:11" x14ac:dyDescent="0.25">
      <c r="B122" s="18">
        <v>42879</v>
      </c>
      <c r="C122" s="9" t="s">
        <v>683</v>
      </c>
      <c r="D122" s="11"/>
      <c r="E122" s="11"/>
      <c r="F122" s="11"/>
      <c r="G122" s="11"/>
      <c r="H122" s="11">
        <v>350</v>
      </c>
      <c r="I122" s="15"/>
      <c r="J122" s="12">
        <f>+J121+E122-G122</f>
        <v>32147.32</v>
      </c>
      <c r="K122" s="12">
        <f>+K121+D122-H122</f>
        <v>34299.589999999997</v>
      </c>
    </row>
    <row r="123" spans="2:11" x14ac:dyDescent="0.25">
      <c r="B123" s="18">
        <v>42879</v>
      </c>
      <c r="C123" s="13" t="s">
        <v>684</v>
      </c>
      <c r="D123" s="11"/>
      <c r="E123" s="11">
        <v>12760</v>
      </c>
      <c r="F123" s="11"/>
      <c r="G123" s="11"/>
      <c r="H123" s="11"/>
      <c r="I123" s="15"/>
      <c r="J123" s="12">
        <f t="shared" ref="J123:J132" si="13">+J122+E123-G123</f>
        <v>44907.32</v>
      </c>
      <c r="K123" s="12">
        <f t="shared" ref="K123:K132" si="14">+K122+D123-H123</f>
        <v>34299.589999999997</v>
      </c>
    </row>
    <row r="124" spans="2:11" x14ac:dyDescent="0.25">
      <c r="B124" s="18">
        <v>42879</v>
      </c>
      <c r="C124" s="9" t="s">
        <v>621</v>
      </c>
      <c r="D124" s="11"/>
      <c r="E124" s="11"/>
      <c r="F124" s="11"/>
      <c r="G124" s="11"/>
      <c r="H124" s="11">
        <v>15050</v>
      </c>
      <c r="I124" s="15"/>
      <c r="J124" s="12">
        <f t="shared" si="13"/>
        <v>44907.32</v>
      </c>
      <c r="K124" s="12">
        <f t="shared" si="14"/>
        <v>19249.589999999997</v>
      </c>
    </row>
    <row r="125" spans="2:11" x14ac:dyDescent="0.25">
      <c r="B125" s="18">
        <v>42880</v>
      </c>
      <c r="C125" s="9" t="s">
        <v>685</v>
      </c>
      <c r="D125" s="11"/>
      <c r="E125" s="11"/>
      <c r="F125" s="11"/>
      <c r="G125" s="11"/>
      <c r="H125" s="11">
        <v>400</v>
      </c>
      <c r="I125" s="15"/>
      <c r="J125" s="12">
        <f t="shared" si="13"/>
        <v>44907.32</v>
      </c>
      <c r="K125" s="12">
        <f t="shared" si="14"/>
        <v>18849.589999999997</v>
      </c>
    </row>
    <row r="126" spans="2:11" x14ac:dyDescent="0.25">
      <c r="B126" s="18">
        <v>42880</v>
      </c>
      <c r="C126" s="9" t="s">
        <v>687</v>
      </c>
      <c r="D126" s="11"/>
      <c r="E126" s="11"/>
      <c r="F126" s="11"/>
      <c r="G126" s="11"/>
      <c r="H126" s="11">
        <v>300</v>
      </c>
      <c r="I126" s="15"/>
      <c r="J126" s="12">
        <f t="shared" si="13"/>
        <v>44907.32</v>
      </c>
      <c r="K126" s="12">
        <f t="shared" si="14"/>
        <v>18549.589999999997</v>
      </c>
    </row>
    <row r="127" spans="2:11" x14ac:dyDescent="0.25">
      <c r="B127" s="18">
        <v>42880</v>
      </c>
      <c r="C127" s="9" t="s">
        <v>686</v>
      </c>
      <c r="D127" s="11"/>
      <c r="E127" s="11"/>
      <c r="F127" s="11"/>
      <c r="G127" s="11"/>
      <c r="H127" s="11">
        <v>300</v>
      </c>
      <c r="I127" s="15"/>
      <c r="J127" s="12">
        <f t="shared" si="13"/>
        <v>44907.32</v>
      </c>
      <c r="K127" s="12">
        <f t="shared" si="14"/>
        <v>18249.589999999997</v>
      </c>
    </row>
    <row r="128" spans="2:11" x14ac:dyDescent="0.25">
      <c r="B128" s="18">
        <v>42881</v>
      </c>
      <c r="C128" s="9" t="s">
        <v>688</v>
      </c>
      <c r="D128" s="11"/>
      <c r="E128" s="11"/>
      <c r="F128" s="11"/>
      <c r="G128" s="11"/>
      <c r="H128" s="11">
        <v>1000</v>
      </c>
      <c r="I128" s="15"/>
      <c r="J128" s="12">
        <f t="shared" si="13"/>
        <v>44907.32</v>
      </c>
      <c r="K128" s="12">
        <f t="shared" si="14"/>
        <v>17249.589999999997</v>
      </c>
    </row>
    <row r="129" spans="2:11" x14ac:dyDescent="0.25">
      <c r="B129" s="18">
        <v>42881</v>
      </c>
      <c r="C129" s="9" t="s">
        <v>689</v>
      </c>
      <c r="D129" s="11"/>
      <c r="E129" s="11"/>
      <c r="F129" s="11"/>
      <c r="G129" s="11"/>
      <c r="H129" s="11">
        <v>350</v>
      </c>
      <c r="I129" s="15"/>
      <c r="J129" s="12">
        <f t="shared" si="13"/>
        <v>44907.32</v>
      </c>
      <c r="K129" s="12">
        <f t="shared" si="14"/>
        <v>16899.589999999997</v>
      </c>
    </row>
    <row r="130" spans="2:11" x14ac:dyDescent="0.25">
      <c r="B130" s="18">
        <v>42881</v>
      </c>
      <c r="C130" s="13" t="s">
        <v>690</v>
      </c>
      <c r="D130" s="41"/>
      <c r="E130" s="41"/>
      <c r="F130" s="41"/>
      <c r="G130" s="41"/>
      <c r="H130" s="11">
        <v>450</v>
      </c>
      <c r="I130" s="15"/>
      <c r="J130" s="12">
        <f t="shared" si="13"/>
        <v>44907.32</v>
      </c>
      <c r="K130" s="12">
        <f t="shared" si="14"/>
        <v>16449.589999999997</v>
      </c>
    </row>
    <row r="131" spans="2:11" x14ac:dyDescent="0.25">
      <c r="B131" s="18">
        <v>42881</v>
      </c>
      <c r="C131" s="13" t="s">
        <v>691</v>
      </c>
      <c r="D131" s="41"/>
      <c r="E131" s="41"/>
      <c r="F131" s="41"/>
      <c r="G131" s="16"/>
      <c r="H131" s="11">
        <v>400</v>
      </c>
      <c r="I131" s="15"/>
      <c r="J131" s="12">
        <f t="shared" si="13"/>
        <v>44907.32</v>
      </c>
      <c r="K131" s="12">
        <f t="shared" si="14"/>
        <v>16049.589999999997</v>
      </c>
    </row>
    <row r="132" spans="2:11" x14ac:dyDescent="0.25">
      <c r="B132" s="18">
        <v>42881</v>
      </c>
      <c r="C132" s="13" t="s">
        <v>692</v>
      </c>
      <c r="D132" s="41"/>
      <c r="E132" s="41"/>
      <c r="F132" s="41"/>
      <c r="G132" s="41"/>
      <c r="H132" s="11">
        <v>402.5</v>
      </c>
      <c r="I132" s="15"/>
      <c r="J132" s="12">
        <f t="shared" si="13"/>
        <v>44907.32</v>
      </c>
      <c r="K132" s="12">
        <f t="shared" si="14"/>
        <v>15647.089999999997</v>
      </c>
    </row>
    <row r="133" spans="2:11" x14ac:dyDescent="0.25">
      <c r="B133" s="18">
        <v>42882</v>
      </c>
      <c r="C133" s="13" t="s">
        <v>693</v>
      </c>
      <c r="D133" s="41"/>
      <c r="E133" s="41"/>
      <c r="F133" s="41"/>
      <c r="G133" s="41"/>
      <c r="H133" s="11">
        <v>500</v>
      </c>
      <c r="I133" s="15"/>
      <c r="J133" s="12">
        <f t="shared" ref="J133:J147" si="15">+J132+E133-G133</f>
        <v>44907.32</v>
      </c>
      <c r="K133" s="12">
        <f t="shared" ref="K133:K147" si="16">+K132+D133-H133</f>
        <v>15147.089999999997</v>
      </c>
    </row>
    <row r="134" spans="2:11" x14ac:dyDescent="0.25">
      <c r="B134" s="18">
        <v>42882</v>
      </c>
      <c r="C134" s="13" t="s">
        <v>694</v>
      </c>
      <c r="D134" s="41"/>
      <c r="E134" s="41"/>
      <c r="F134" s="41"/>
      <c r="G134" s="41"/>
      <c r="H134" s="11">
        <v>200</v>
      </c>
      <c r="I134" s="15"/>
      <c r="J134" s="12">
        <f t="shared" si="15"/>
        <v>44907.32</v>
      </c>
      <c r="K134" s="12">
        <f t="shared" si="16"/>
        <v>14947.089999999997</v>
      </c>
    </row>
    <row r="135" spans="2:11" x14ac:dyDescent="0.25">
      <c r="B135" s="18">
        <v>42883</v>
      </c>
      <c r="C135" s="13" t="s">
        <v>695</v>
      </c>
      <c r="D135" s="41"/>
      <c r="E135" s="41"/>
      <c r="F135" s="41"/>
      <c r="G135" s="41"/>
      <c r="H135" s="11">
        <v>124.5</v>
      </c>
      <c r="I135" s="15"/>
      <c r="J135" s="12">
        <f t="shared" si="15"/>
        <v>44907.32</v>
      </c>
      <c r="K135" s="12">
        <f t="shared" si="16"/>
        <v>14822.589999999997</v>
      </c>
    </row>
    <row r="136" spans="2:11" x14ac:dyDescent="0.25">
      <c r="B136" s="18">
        <v>42883</v>
      </c>
      <c r="C136" s="125" t="s">
        <v>696</v>
      </c>
      <c r="D136" s="41"/>
      <c r="E136" s="41"/>
      <c r="F136" s="41"/>
      <c r="G136" s="41"/>
      <c r="H136" s="11">
        <v>300</v>
      </c>
      <c r="I136" s="15"/>
      <c r="J136" s="12">
        <f t="shared" si="15"/>
        <v>44907.32</v>
      </c>
      <c r="K136" s="12">
        <f t="shared" si="16"/>
        <v>14522.589999999997</v>
      </c>
    </row>
    <row r="137" spans="2:11" x14ac:dyDescent="0.25">
      <c r="B137" s="18">
        <v>42883</v>
      </c>
      <c r="C137" s="13" t="s">
        <v>622</v>
      </c>
      <c r="D137" s="41"/>
      <c r="E137" s="41"/>
      <c r="F137" s="41"/>
      <c r="G137" s="41"/>
      <c r="H137" s="11">
        <v>150</v>
      </c>
      <c r="I137" s="15"/>
      <c r="J137" s="12">
        <f t="shared" si="15"/>
        <v>44907.32</v>
      </c>
      <c r="K137" s="12">
        <f t="shared" si="16"/>
        <v>14372.589999999997</v>
      </c>
    </row>
    <row r="138" spans="2:11" x14ac:dyDescent="0.25">
      <c r="B138" s="18">
        <v>42883</v>
      </c>
      <c r="C138" s="13" t="s">
        <v>697</v>
      </c>
      <c r="D138" s="41"/>
      <c r="E138" s="41"/>
      <c r="F138" s="41"/>
      <c r="G138" s="41"/>
      <c r="H138" s="11">
        <v>200</v>
      </c>
      <c r="I138" s="15"/>
      <c r="J138" s="12">
        <f t="shared" si="15"/>
        <v>44907.32</v>
      </c>
      <c r="K138" s="12">
        <f t="shared" si="16"/>
        <v>14172.589999999997</v>
      </c>
    </row>
    <row r="139" spans="2:11" x14ac:dyDescent="0.25">
      <c r="B139" s="18">
        <v>42883</v>
      </c>
      <c r="C139" s="13" t="s">
        <v>42</v>
      </c>
      <c r="D139" s="41"/>
      <c r="E139" s="41"/>
      <c r="F139" s="41"/>
      <c r="G139" s="41"/>
      <c r="H139" s="11">
        <v>120</v>
      </c>
      <c r="I139" s="15"/>
      <c r="J139" s="12">
        <f t="shared" si="15"/>
        <v>44907.32</v>
      </c>
      <c r="K139" s="12">
        <f t="shared" si="16"/>
        <v>14052.589999999997</v>
      </c>
    </row>
    <row r="140" spans="2:11" x14ac:dyDescent="0.25">
      <c r="B140" s="18">
        <v>42883</v>
      </c>
      <c r="C140" s="13" t="s">
        <v>698</v>
      </c>
      <c r="D140" s="41"/>
      <c r="E140" s="41"/>
      <c r="F140" s="41"/>
      <c r="G140" s="41"/>
      <c r="H140" s="11">
        <v>110.11</v>
      </c>
      <c r="I140" s="15"/>
      <c r="J140" s="12">
        <f t="shared" si="15"/>
        <v>44907.32</v>
      </c>
      <c r="K140" s="12">
        <f t="shared" si="16"/>
        <v>13942.479999999996</v>
      </c>
    </row>
    <row r="141" spans="2:11" x14ac:dyDescent="0.25">
      <c r="B141" s="18">
        <v>42884</v>
      </c>
      <c r="C141" s="13" t="s">
        <v>699</v>
      </c>
      <c r="D141" s="41"/>
      <c r="E141" s="41"/>
      <c r="F141" s="41"/>
      <c r="G141" s="41"/>
      <c r="H141" s="11">
        <v>400</v>
      </c>
      <c r="I141" s="15"/>
      <c r="J141" s="12">
        <f t="shared" si="15"/>
        <v>44907.32</v>
      </c>
      <c r="K141" s="12">
        <f t="shared" si="16"/>
        <v>13542.479999999996</v>
      </c>
    </row>
    <row r="142" spans="2:11" x14ac:dyDescent="0.25">
      <c r="B142" s="18">
        <v>42884</v>
      </c>
      <c r="C142" s="13" t="s">
        <v>700</v>
      </c>
      <c r="D142" s="41"/>
      <c r="E142" s="41"/>
      <c r="F142" s="41"/>
      <c r="G142" s="41"/>
      <c r="H142" s="11">
        <v>374</v>
      </c>
      <c r="I142" s="15"/>
      <c r="J142" s="12">
        <f t="shared" si="15"/>
        <v>44907.32</v>
      </c>
      <c r="K142" s="12">
        <f t="shared" si="16"/>
        <v>13168.479999999996</v>
      </c>
    </row>
    <row r="143" spans="2:11" x14ac:dyDescent="0.25">
      <c r="B143" s="18">
        <v>42884</v>
      </c>
      <c r="C143" s="13" t="s">
        <v>701</v>
      </c>
      <c r="D143" s="41"/>
      <c r="E143" s="41"/>
      <c r="F143" s="41"/>
      <c r="G143" s="41"/>
      <c r="H143" s="11">
        <v>370</v>
      </c>
      <c r="I143" s="15"/>
      <c r="J143" s="12">
        <f t="shared" si="15"/>
        <v>44907.32</v>
      </c>
      <c r="K143" s="12">
        <f t="shared" si="16"/>
        <v>12798.479999999996</v>
      </c>
    </row>
    <row r="144" spans="2:11" x14ac:dyDescent="0.25">
      <c r="B144" s="18">
        <v>42884</v>
      </c>
      <c r="C144" s="13" t="s">
        <v>702</v>
      </c>
      <c r="D144" s="41">
        <v>350</v>
      </c>
      <c r="E144" s="41"/>
      <c r="F144" s="41"/>
      <c r="G144" s="41"/>
      <c r="H144" s="11"/>
      <c r="I144" s="15"/>
      <c r="J144" s="12">
        <f t="shared" si="15"/>
        <v>44907.32</v>
      </c>
      <c r="K144" s="12">
        <f t="shared" si="16"/>
        <v>13148.479999999996</v>
      </c>
    </row>
    <row r="145" spans="2:14" x14ac:dyDescent="0.25">
      <c r="B145" s="18">
        <v>42884</v>
      </c>
      <c r="C145" s="13" t="s">
        <v>703</v>
      </c>
      <c r="D145" s="41"/>
      <c r="E145" s="41"/>
      <c r="F145" s="41"/>
      <c r="G145" s="41"/>
      <c r="H145" s="11">
        <v>100</v>
      </c>
      <c r="I145" s="15"/>
      <c r="J145" s="12">
        <f t="shared" si="15"/>
        <v>44907.32</v>
      </c>
      <c r="K145" s="12">
        <f t="shared" si="16"/>
        <v>13048.479999999996</v>
      </c>
    </row>
    <row r="146" spans="2:14" x14ac:dyDescent="0.25">
      <c r="B146" s="18">
        <v>42884</v>
      </c>
      <c r="C146" s="13" t="s">
        <v>704</v>
      </c>
      <c r="D146" s="41">
        <v>15200</v>
      </c>
      <c r="E146" s="41"/>
      <c r="F146" s="41"/>
      <c r="G146" s="41"/>
      <c r="H146" s="11"/>
      <c r="I146" s="15"/>
      <c r="J146" s="12">
        <f t="shared" si="15"/>
        <v>44907.32</v>
      </c>
      <c r="K146" s="12">
        <f t="shared" si="16"/>
        <v>28248.479999999996</v>
      </c>
    </row>
    <row r="147" spans="2:14" x14ac:dyDescent="0.25">
      <c r="B147" s="18">
        <v>42884</v>
      </c>
      <c r="C147" s="9" t="s">
        <v>705</v>
      </c>
      <c r="D147" s="124">
        <v>300</v>
      </c>
      <c r="E147" s="11"/>
      <c r="F147" s="11"/>
      <c r="G147" s="11"/>
      <c r="H147" s="11"/>
      <c r="I147" s="15"/>
      <c r="J147" s="12">
        <f t="shared" si="15"/>
        <v>44907.32</v>
      </c>
      <c r="K147" s="12">
        <f t="shared" si="16"/>
        <v>28548.479999999996</v>
      </c>
    </row>
    <row r="148" spans="2:14" x14ac:dyDescent="0.25">
      <c r="B148" s="18">
        <v>42886</v>
      </c>
      <c r="C148" s="9" t="s">
        <v>706</v>
      </c>
      <c r="D148" s="11"/>
      <c r="E148" s="11"/>
      <c r="F148" s="11"/>
      <c r="G148" s="11"/>
      <c r="H148" s="11">
        <v>15050</v>
      </c>
      <c r="I148" s="15"/>
      <c r="J148" s="12">
        <f t="shared" ref="J148:J155" si="17">+J147+E148-G148</f>
        <v>44907.32</v>
      </c>
      <c r="K148" s="12">
        <f t="shared" ref="K148:K155" si="18">+K147+D148-H148</f>
        <v>13498.479999999996</v>
      </c>
    </row>
    <row r="149" spans="2:14" x14ac:dyDescent="0.25">
      <c r="B149" s="18">
        <v>42886</v>
      </c>
      <c r="C149" s="9" t="s">
        <v>707</v>
      </c>
      <c r="D149" s="11"/>
      <c r="E149" s="11"/>
      <c r="F149" s="11"/>
      <c r="G149" s="11"/>
      <c r="H149" s="11">
        <v>300</v>
      </c>
      <c r="I149" s="15"/>
      <c r="J149" s="12">
        <f t="shared" si="17"/>
        <v>44907.32</v>
      </c>
      <c r="K149" s="12">
        <f t="shared" si="18"/>
        <v>13198.479999999996</v>
      </c>
    </row>
    <row r="150" spans="2:14" x14ac:dyDescent="0.25">
      <c r="B150" s="18">
        <v>42886</v>
      </c>
      <c r="C150" s="9" t="s">
        <v>708</v>
      </c>
      <c r="D150" s="11"/>
      <c r="E150" s="11"/>
      <c r="F150" s="11"/>
      <c r="G150" s="11"/>
      <c r="H150" s="11">
        <v>300</v>
      </c>
      <c r="I150" s="15"/>
      <c r="J150" s="12">
        <f t="shared" si="17"/>
        <v>44907.32</v>
      </c>
      <c r="K150" s="12">
        <f t="shared" si="18"/>
        <v>12898.479999999996</v>
      </c>
    </row>
    <row r="151" spans="2:14" x14ac:dyDescent="0.25">
      <c r="B151" s="18">
        <v>42886</v>
      </c>
      <c r="C151" s="9" t="s">
        <v>709</v>
      </c>
      <c r="D151" s="11"/>
      <c r="E151" s="11"/>
      <c r="F151" s="11"/>
      <c r="G151" s="11"/>
      <c r="H151" s="11">
        <v>4000</v>
      </c>
      <c r="I151" s="15"/>
      <c r="J151" s="12">
        <f t="shared" si="17"/>
        <v>44907.32</v>
      </c>
      <c r="K151" s="12">
        <f t="shared" si="18"/>
        <v>8898.4799999999959</v>
      </c>
    </row>
    <row r="152" spans="2:14" x14ac:dyDescent="0.25">
      <c r="B152" s="18">
        <v>42886</v>
      </c>
      <c r="C152" s="9" t="s">
        <v>710</v>
      </c>
      <c r="D152" s="11"/>
      <c r="E152" s="11"/>
      <c r="F152" s="11"/>
      <c r="G152" s="11"/>
      <c r="H152" s="11">
        <v>450</v>
      </c>
      <c r="I152" s="15"/>
      <c r="J152" s="12">
        <f t="shared" si="17"/>
        <v>44907.32</v>
      </c>
      <c r="K152" s="12">
        <f t="shared" si="18"/>
        <v>8448.4799999999959</v>
      </c>
    </row>
    <row r="153" spans="2:14" x14ac:dyDescent="0.25">
      <c r="B153" s="18">
        <v>42860</v>
      </c>
      <c r="C153" s="13" t="s">
        <v>711</v>
      </c>
      <c r="D153" s="41"/>
      <c r="E153" s="41">
        <v>300.45999999999998</v>
      </c>
      <c r="F153" s="11"/>
      <c r="G153" s="11"/>
      <c r="H153" s="11"/>
      <c r="I153" s="15"/>
      <c r="J153" s="12">
        <f t="shared" si="17"/>
        <v>45207.78</v>
      </c>
      <c r="K153" s="12">
        <f t="shared" si="18"/>
        <v>8448.4799999999959</v>
      </c>
    </row>
    <row r="154" spans="2:14" x14ac:dyDescent="0.25">
      <c r="B154" s="18">
        <v>42864</v>
      </c>
      <c r="C154" s="13" t="s">
        <v>712</v>
      </c>
      <c r="D154" s="41"/>
      <c r="E154" s="41">
        <v>400.29</v>
      </c>
      <c r="F154" s="11"/>
      <c r="G154" s="11"/>
      <c r="H154" s="11"/>
      <c r="I154" s="15"/>
      <c r="J154" s="12">
        <f t="shared" si="17"/>
        <v>45608.07</v>
      </c>
      <c r="K154" s="12">
        <f t="shared" si="18"/>
        <v>8448.4799999999959</v>
      </c>
    </row>
    <row r="155" spans="2:14" x14ac:dyDescent="0.25">
      <c r="B155" s="18">
        <v>42886</v>
      </c>
      <c r="C155" s="13" t="s">
        <v>713</v>
      </c>
      <c r="D155" s="41"/>
      <c r="E155" s="41"/>
      <c r="F155" s="11"/>
      <c r="G155" s="11">
        <v>14</v>
      </c>
      <c r="H155" s="11"/>
      <c r="I155" s="15"/>
      <c r="J155" s="12">
        <f t="shared" si="17"/>
        <v>45594.07</v>
      </c>
      <c r="K155" s="12">
        <f t="shared" si="18"/>
        <v>8448.4799999999959</v>
      </c>
    </row>
    <row r="156" spans="2:14" x14ac:dyDescent="0.25">
      <c r="B156" s="18">
        <v>42886</v>
      </c>
      <c r="C156" s="13" t="s">
        <v>171</v>
      </c>
      <c r="D156" s="41"/>
      <c r="E156" s="41"/>
      <c r="F156" s="11"/>
      <c r="G156" s="11">
        <v>2.2400000000000002</v>
      </c>
      <c r="H156" s="11"/>
      <c r="I156" s="15"/>
      <c r="J156" s="12">
        <f t="shared" ref="J156:J158" si="19">+J155+E156-G156</f>
        <v>45591.83</v>
      </c>
      <c r="K156" s="12">
        <f t="shared" ref="K156:K158" si="20">+K155+D156-H156</f>
        <v>8448.4799999999959</v>
      </c>
    </row>
    <row r="157" spans="2:14" x14ac:dyDescent="0.25">
      <c r="B157" s="18"/>
      <c r="C157" s="13"/>
      <c r="D157" s="41"/>
      <c r="E157" s="41"/>
      <c r="F157" s="11"/>
      <c r="G157" s="11"/>
      <c r="H157" s="11"/>
      <c r="I157" s="15"/>
      <c r="J157" s="12">
        <f t="shared" si="19"/>
        <v>45591.83</v>
      </c>
      <c r="K157" s="12">
        <f t="shared" si="20"/>
        <v>8448.4799999999959</v>
      </c>
    </row>
    <row r="158" spans="2:14" ht="15.75" thickBot="1" x14ac:dyDescent="0.3">
      <c r="B158" s="18"/>
      <c r="C158" s="9"/>
      <c r="D158" s="11"/>
      <c r="E158" s="11"/>
      <c r="F158" s="11"/>
      <c r="G158" s="11"/>
      <c r="H158" s="59"/>
      <c r="I158" s="15"/>
      <c r="J158" s="12">
        <f t="shared" si="19"/>
        <v>45591.83</v>
      </c>
      <c r="K158" s="12">
        <f t="shared" si="20"/>
        <v>8448.4799999999959</v>
      </c>
    </row>
    <row r="159" spans="2:14" ht="15.75" thickBot="1" x14ac:dyDescent="0.3">
      <c r="B159" s="5"/>
      <c r="C159" s="7" t="s">
        <v>0</v>
      </c>
      <c r="D159" s="63">
        <f>SUM(D119:D158)</f>
        <v>82825</v>
      </c>
      <c r="E159" s="61">
        <f>SUM(E119:E158)</f>
        <v>13460.75</v>
      </c>
      <c r="F159" s="72">
        <f>SUM(D159:E159)</f>
        <v>96285.75</v>
      </c>
      <c r="G159" s="72">
        <f>SUM(G119:G158)</f>
        <v>3076.24</v>
      </c>
      <c r="H159" s="63">
        <f>SUM(H119:H158)</f>
        <v>118050.61</v>
      </c>
      <c r="I159" s="72">
        <f>SUM(G159:H159)</f>
        <v>121126.85</v>
      </c>
      <c r="J159" s="20"/>
      <c r="K159" s="20"/>
      <c r="N159" s="1"/>
    </row>
    <row r="160" spans="2:14" ht="15.75" thickBot="1" x14ac:dyDescent="0.3">
      <c r="D160" s="1"/>
      <c r="E160" s="1"/>
      <c r="F160" s="1"/>
      <c r="G160" s="1"/>
      <c r="J160" s="1"/>
    </row>
    <row r="161" spans="4:11" ht="15.75" thickBot="1" x14ac:dyDescent="0.3">
      <c r="D161" s="1"/>
      <c r="E161" s="1"/>
      <c r="F161" s="1"/>
      <c r="G161" s="1"/>
      <c r="I161" s="75" t="s">
        <v>9</v>
      </c>
      <c r="J161" s="75" t="s">
        <v>8</v>
      </c>
      <c r="K161" s="96" t="s">
        <v>0</v>
      </c>
    </row>
    <row r="162" spans="4:11" ht="15.75" thickBot="1" x14ac:dyDescent="0.3">
      <c r="D162" s="1"/>
      <c r="E162" s="1"/>
      <c r="F162" s="1"/>
      <c r="G162" s="1"/>
      <c r="I162" s="26">
        <v>45591.83</v>
      </c>
      <c r="J162" s="26">
        <v>8448.48</v>
      </c>
      <c r="K162" s="20">
        <f>SUM(I162:J162)</f>
        <v>54040.31</v>
      </c>
    </row>
    <row r="163" spans="4:11" x14ac:dyDescent="0.25">
      <c r="D163" s="1"/>
      <c r="E163" s="1"/>
      <c r="F163" s="1"/>
      <c r="G163" s="1"/>
      <c r="J163" s="1"/>
    </row>
    <row r="164" spans="4:11" x14ac:dyDescent="0.25">
      <c r="D164" s="1"/>
      <c r="E164" s="1"/>
      <c r="F164" s="1"/>
      <c r="G164" s="1"/>
      <c r="J164" s="1"/>
    </row>
    <row r="165" spans="4:11" x14ac:dyDescent="0.25">
      <c r="D165" s="1"/>
      <c r="E165" s="1"/>
      <c r="F165" s="1"/>
      <c r="G165" s="1"/>
      <c r="J165" s="1"/>
    </row>
    <row r="166" spans="4:11" x14ac:dyDescent="0.25">
      <c r="D166" s="1"/>
      <c r="E166" s="1"/>
      <c r="F166" s="1"/>
      <c r="G166" s="1"/>
      <c r="J166" s="1"/>
    </row>
    <row r="167" spans="4:11" x14ac:dyDescent="0.25">
      <c r="D167" s="1"/>
      <c r="E167" s="1"/>
      <c r="F167" s="1"/>
      <c r="G167" s="1"/>
      <c r="J167" s="1"/>
    </row>
    <row r="168" spans="4:11" x14ac:dyDescent="0.25">
      <c r="D168" s="1"/>
      <c r="E168" s="1"/>
      <c r="F168" s="1"/>
      <c r="G168" s="1"/>
      <c r="J168" s="1"/>
    </row>
    <row r="169" spans="4:11" x14ac:dyDescent="0.25">
      <c r="D169" s="1"/>
      <c r="E169" s="1"/>
      <c r="F169" s="1"/>
      <c r="G169" s="1"/>
      <c r="J169" s="1"/>
    </row>
    <row r="170" spans="4:11" x14ac:dyDescent="0.25">
      <c r="D170" s="1"/>
      <c r="E170" s="1"/>
      <c r="F170" s="1"/>
      <c r="G170" s="1"/>
      <c r="J170" s="1"/>
    </row>
    <row r="171" spans="4:11" x14ac:dyDescent="0.25">
      <c r="D171" s="1"/>
      <c r="E171" s="1"/>
      <c r="F171" s="1"/>
      <c r="G171" s="1"/>
      <c r="J171" s="1"/>
    </row>
    <row r="172" spans="4:11" x14ac:dyDescent="0.25">
      <c r="D172" s="1"/>
      <c r="E172" s="1"/>
      <c r="F172" s="1"/>
      <c r="G172" s="1"/>
      <c r="J172" s="1"/>
    </row>
    <row r="173" spans="4:11" x14ac:dyDescent="0.25">
      <c r="D173" s="1"/>
      <c r="E173" s="1"/>
      <c r="F173" s="1"/>
      <c r="G173" s="1"/>
      <c r="J173" s="1"/>
    </row>
    <row r="174" spans="4:11" x14ac:dyDescent="0.25">
      <c r="D174" s="1"/>
      <c r="E174" s="1"/>
      <c r="F174" s="1"/>
      <c r="G174" s="1"/>
      <c r="J174" s="1"/>
    </row>
    <row r="175" spans="4:11" x14ac:dyDescent="0.25">
      <c r="D175" s="1"/>
      <c r="E175" s="1"/>
      <c r="F175" s="1"/>
      <c r="G175" s="1"/>
      <c r="J175" s="1"/>
    </row>
    <row r="176" spans="4:11" x14ac:dyDescent="0.25">
      <c r="D176" s="1"/>
      <c r="E176" s="1"/>
      <c r="F176" s="1"/>
      <c r="G176" s="1"/>
      <c r="J176" s="1"/>
    </row>
    <row r="177" spans="4:10" x14ac:dyDescent="0.25">
      <c r="D177" s="1"/>
      <c r="E177" s="1"/>
      <c r="F177" s="1"/>
      <c r="G177" s="1"/>
      <c r="J177" s="1"/>
    </row>
    <row r="178" spans="4:10" x14ac:dyDescent="0.25">
      <c r="D178" s="1"/>
      <c r="E178" s="1"/>
      <c r="F178" s="1"/>
      <c r="G178" s="1"/>
      <c r="J178" s="1"/>
    </row>
    <row r="179" spans="4:10" x14ac:dyDescent="0.25">
      <c r="D179" s="1"/>
      <c r="E179" s="1"/>
      <c r="F179" s="1"/>
      <c r="G179" s="1"/>
      <c r="J179" s="1"/>
    </row>
    <row r="180" spans="4:10" x14ac:dyDescent="0.25">
      <c r="D180" s="1"/>
      <c r="E180" s="1"/>
      <c r="F180" s="1"/>
      <c r="G180" s="1"/>
      <c r="J180" s="1"/>
    </row>
    <row r="181" spans="4:10" x14ac:dyDescent="0.25">
      <c r="D181" s="1"/>
      <c r="E181" s="1"/>
      <c r="F181" s="1"/>
      <c r="G181" s="1"/>
      <c r="J181" s="1"/>
    </row>
    <row r="182" spans="4:10" x14ac:dyDescent="0.25">
      <c r="D182" s="1"/>
      <c r="E182" s="1"/>
      <c r="F182" s="1"/>
      <c r="G182" s="1"/>
      <c r="J182" s="1"/>
    </row>
    <row r="183" spans="4:10" x14ac:dyDescent="0.25">
      <c r="D183" s="1"/>
      <c r="E183" s="1"/>
      <c r="F183" s="1"/>
      <c r="G183" s="1"/>
      <c r="J183" s="1"/>
    </row>
    <row r="184" spans="4:10" x14ac:dyDescent="0.25">
      <c r="D184" s="1"/>
      <c r="E184" s="1"/>
      <c r="F184" s="1"/>
      <c r="G184" s="1"/>
      <c r="J184" s="1"/>
    </row>
    <row r="185" spans="4:10" x14ac:dyDescent="0.25">
      <c r="D185" s="1"/>
      <c r="E185" s="1"/>
      <c r="F185" s="1"/>
      <c r="G185" s="1"/>
      <c r="J185" s="1"/>
    </row>
    <row r="186" spans="4:10" x14ac:dyDescent="0.25">
      <c r="D186" s="1"/>
      <c r="E186" s="1"/>
      <c r="F186" s="1"/>
      <c r="G186" s="1"/>
      <c r="J186" s="1"/>
    </row>
    <row r="187" spans="4:10" x14ac:dyDescent="0.25">
      <c r="D187" s="1"/>
      <c r="E187" s="1"/>
      <c r="F187" s="1"/>
      <c r="G187" s="1"/>
      <c r="J187" s="1"/>
    </row>
    <row r="188" spans="4:10" x14ac:dyDescent="0.25">
      <c r="D188" s="1"/>
      <c r="E188" s="1"/>
      <c r="F188" s="1"/>
      <c r="G188" s="1"/>
      <c r="J188" s="1"/>
    </row>
    <row r="189" spans="4:10" x14ac:dyDescent="0.25">
      <c r="D189" s="1"/>
      <c r="E189" s="1"/>
      <c r="F189" s="1"/>
      <c r="G189" s="1"/>
      <c r="J189" s="1"/>
    </row>
    <row r="190" spans="4:10" x14ac:dyDescent="0.25">
      <c r="D190" s="1"/>
      <c r="E190" s="1"/>
      <c r="F190" s="1"/>
      <c r="G190" s="1"/>
      <c r="J190" s="1"/>
    </row>
    <row r="191" spans="4:10" x14ac:dyDescent="0.25">
      <c r="D191" s="1"/>
      <c r="E191" s="1"/>
      <c r="F191" s="1"/>
      <c r="G191" s="1"/>
      <c r="J191" s="1"/>
    </row>
    <row r="192" spans="4:10" x14ac:dyDescent="0.25">
      <c r="D192" s="1"/>
      <c r="E192" s="1"/>
      <c r="F192" s="1"/>
      <c r="G192" s="1"/>
      <c r="J192" s="1"/>
    </row>
    <row r="193" spans="4:10" x14ac:dyDescent="0.25">
      <c r="D193" s="1"/>
      <c r="E193" s="1"/>
      <c r="F193" s="1"/>
      <c r="G193" s="1"/>
      <c r="J193" s="1"/>
    </row>
    <row r="194" spans="4:10" x14ac:dyDescent="0.25">
      <c r="D194" s="1"/>
      <c r="E194" s="1"/>
      <c r="F194" s="1"/>
      <c r="G194" s="1"/>
      <c r="J194" s="1"/>
    </row>
    <row r="195" spans="4:10" x14ac:dyDescent="0.25">
      <c r="D195" s="1"/>
      <c r="E195" s="1"/>
      <c r="F195" s="1"/>
      <c r="G195" s="1"/>
      <c r="J195" s="1"/>
    </row>
    <row r="196" spans="4:10" x14ac:dyDescent="0.25">
      <c r="D196" s="1"/>
      <c r="E196" s="1"/>
      <c r="F196" s="1"/>
      <c r="G196" s="1"/>
      <c r="J196" s="1"/>
    </row>
    <row r="197" spans="4:10" x14ac:dyDescent="0.25">
      <c r="D197" s="1"/>
      <c r="E197" s="1"/>
      <c r="F197" s="1"/>
      <c r="G197" s="1"/>
      <c r="J197" s="1"/>
    </row>
    <row r="198" spans="4:10" x14ac:dyDescent="0.25">
      <c r="D198" s="1"/>
      <c r="E198" s="1"/>
      <c r="F198" s="1"/>
      <c r="G198" s="1"/>
      <c r="J198" s="1"/>
    </row>
    <row r="199" spans="4:10" x14ac:dyDescent="0.25">
      <c r="D199" s="1"/>
      <c r="E199" s="1"/>
      <c r="F199" s="1"/>
      <c r="G199" s="1"/>
      <c r="J199" s="1"/>
    </row>
    <row r="200" spans="4:10" x14ac:dyDescent="0.25">
      <c r="D200" s="1"/>
      <c r="E200" s="1"/>
      <c r="F200" s="1"/>
      <c r="G200" s="1"/>
      <c r="J200" s="1"/>
    </row>
    <row r="201" spans="4:10" x14ac:dyDescent="0.25">
      <c r="D201" s="1"/>
      <c r="E201" s="1"/>
      <c r="F201" s="1"/>
      <c r="G201" s="1"/>
      <c r="J201" s="1"/>
    </row>
    <row r="202" spans="4:10" x14ac:dyDescent="0.25">
      <c r="D202" s="1"/>
      <c r="E202" s="1"/>
      <c r="F202" s="1"/>
      <c r="G202" s="1"/>
      <c r="J202" s="1"/>
    </row>
    <row r="203" spans="4:10" x14ac:dyDescent="0.25">
      <c r="D203" s="1"/>
      <c r="E203" s="1"/>
      <c r="F203" s="1"/>
      <c r="G203" s="1"/>
      <c r="J203" s="1"/>
    </row>
    <row r="204" spans="4:10" x14ac:dyDescent="0.25">
      <c r="D204" s="1"/>
      <c r="E204" s="1"/>
      <c r="F204" s="1"/>
      <c r="G204" s="1"/>
      <c r="J204" s="1"/>
    </row>
    <row r="205" spans="4:10" x14ac:dyDescent="0.25">
      <c r="D205" s="1"/>
      <c r="E205" s="1"/>
      <c r="F205" s="1"/>
      <c r="G205" s="1"/>
      <c r="J205" s="1"/>
    </row>
    <row r="206" spans="4:10" x14ac:dyDescent="0.25">
      <c r="D206" s="1"/>
      <c r="E206" s="1"/>
      <c r="F206" s="1"/>
      <c r="G206" s="1"/>
      <c r="J206" s="1"/>
    </row>
    <row r="207" spans="4:10" x14ac:dyDescent="0.25">
      <c r="D207" s="1"/>
      <c r="E207" s="1"/>
      <c r="F207" s="1"/>
      <c r="G207" s="1"/>
      <c r="J207" s="1"/>
    </row>
    <row r="208" spans="4:10" x14ac:dyDescent="0.25">
      <c r="D208" s="1"/>
      <c r="E208" s="1"/>
      <c r="F208" s="1"/>
      <c r="G208" s="1"/>
      <c r="J208" s="1"/>
    </row>
    <row r="209" spans="4:10" x14ac:dyDescent="0.25">
      <c r="D209" s="1"/>
      <c r="E209" s="1"/>
      <c r="F209" s="1"/>
      <c r="G209" s="1"/>
      <c r="J209" s="1"/>
    </row>
    <row r="210" spans="4:10" x14ac:dyDescent="0.25">
      <c r="D210" s="1"/>
      <c r="E210" s="1"/>
      <c r="F210" s="1"/>
      <c r="G210" s="1"/>
      <c r="J210" s="1"/>
    </row>
    <row r="211" spans="4:10" x14ac:dyDescent="0.25">
      <c r="D211" s="1"/>
      <c r="E211" s="1"/>
      <c r="F211" s="1"/>
      <c r="G211" s="1"/>
      <c r="J211" s="1"/>
    </row>
    <row r="212" spans="4:10" x14ac:dyDescent="0.25">
      <c r="D212" s="1"/>
      <c r="E212" s="1"/>
      <c r="F212" s="1"/>
      <c r="G212" s="1"/>
      <c r="J212" s="1"/>
    </row>
    <row r="213" spans="4:10" x14ac:dyDescent="0.25">
      <c r="D213" s="1"/>
      <c r="E213" s="1"/>
      <c r="F213" s="1"/>
      <c r="G213" s="1"/>
      <c r="J213" s="1"/>
    </row>
    <row r="214" spans="4:10" x14ac:dyDescent="0.25">
      <c r="D214" s="1"/>
      <c r="E214" s="1"/>
      <c r="F214" s="1"/>
      <c r="G214" s="1"/>
      <c r="J214" s="1"/>
    </row>
    <row r="215" spans="4:10" x14ac:dyDescent="0.25">
      <c r="D215" s="1"/>
      <c r="E215" s="1"/>
      <c r="F215" s="1"/>
      <c r="G215" s="1"/>
      <c r="J215" s="1"/>
    </row>
  </sheetData>
  <mergeCells count="1">
    <mergeCell ref="B2:K2"/>
  </mergeCells>
  <printOptions horizontalCentered="1"/>
  <pageMargins left="0.59055118110236227" right="0.43307086614173229" top="0" bottom="0" header="0.31496062992125984" footer="0.31496062992125984"/>
  <pageSetup paperSize="9" scale="70" fitToHeight="0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>
    <pageSetUpPr fitToPage="1"/>
  </sheetPr>
  <dimension ref="B1:K116"/>
  <sheetViews>
    <sheetView zoomScale="90" zoomScaleNormal="90" workbookViewId="0">
      <pane ySplit="3" topLeftCell="A101" activePane="bottomLeft" state="frozen"/>
      <selection pane="bottomLeft" activeCell="C123" sqref="C123"/>
    </sheetView>
  </sheetViews>
  <sheetFormatPr baseColWidth="10" defaultRowHeight="15" x14ac:dyDescent="0.25"/>
  <cols>
    <col min="1" max="1" width="10.85546875" customWidth="1"/>
    <col min="2" max="2" width="11.7109375" customWidth="1"/>
    <col min="3" max="3" width="86" customWidth="1"/>
    <col min="4" max="5" width="10.85546875" customWidth="1"/>
    <col min="6" max="6" width="10.7109375" customWidth="1"/>
    <col min="7" max="7" width="10.85546875" customWidth="1"/>
    <col min="8" max="10" width="10.7109375" customWidth="1"/>
    <col min="11" max="11" width="10.85546875" customWidth="1"/>
  </cols>
  <sheetData>
    <row r="1" spans="2:11" ht="16.5" thickBot="1" x14ac:dyDescent="0.3">
      <c r="B1" s="80"/>
      <c r="C1" s="82" t="s">
        <v>723</v>
      </c>
    </row>
    <row r="2" spans="2:11" x14ac:dyDescent="0.25">
      <c r="B2" s="69" t="s">
        <v>1</v>
      </c>
      <c r="C2" s="69" t="s">
        <v>2</v>
      </c>
      <c r="D2" s="69" t="s">
        <v>3</v>
      </c>
      <c r="E2" s="69" t="s">
        <v>3</v>
      </c>
      <c r="F2" s="69" t="s">
        <v>23</v>
      </c>
      <c r="G2" s="69" t="s">
        <v>24</v>
      </c>
      <c r="H2" s="48" t="s">
        <v>24</v>
      </c>
      <c r="I2" s="48" t="s">
        <v>23</v>
      </c>
      <c r="J2" s="69" t="s">
        <v>9</v>
      </c>
      <c r="K2" s="48" t="s">
        <v>8</v>
      </c>
    </row>
    <row r="3" spans="2:11" ht="15.75" thickBot="1" x14ac:dyDescent="0.3">
      <c r="B3" s="70"/>
      <c r="C3" s="97"/>
      <c r="D3" s="70" t="s">
        <v>5</v>
      </c>
      <c r="E3" s="70" t="s">
        <v>25</v>
      </c>
      <c r="F3" s="70" t="s">
        <v>3</v>
      </c>
      <c r="G3" s="70" t="s">
        <v>25</v>
      </c>
      <c r="H3" s="71" t="s">
        <v>5</v>
      </c>
      <c r="I3" s="71" t="s">
        <v>4</v>
      </c>
      <c r="J3" s="70"/>
      <c r="K3" s="71"/>
    </row>
    <row r="4" spans="2:11" x14ac:dyDescent="0.25">
      <c r="B4" s="23">
        <v>42886</v>
      </c>
      <c r="C4" s="66" t="s">
        <v>716</v>
      </c>
      <c r="D4" s="67"/>
      <c r="E4" s="64"/>
      <c r="F4" s="64"/>
      <c r="G4" s="64"/>
      <c r="H4" s="17"/>
      <c r="I4" s="65"/>
      <c r="J4" s="74">
        <v>45591.83</v>
      </c>
      <c r="K4" s="68">
        <v>8448.48</v>
      </c>
    </row>
    <row r="5" spans="2:11" x14ac:dyDescent="0.25">
      <c r="B5" s="23">
        <v>42887</v>
      </c>
      <c r="C5" s="9" t="s">
        <v>730</v>
      </c>
      <c r="D5" s="11"/>
      <c r="E5" s="11"/>
      <c r="F5" s="11"/>
      <c r="G5" s="11"/>
      <c r="H5" s="11">
        <v>500</v>
      </c>
      <c r="I5" s="15"/>
      <c r="J5" s="12">
        <f>+J4+E5-G5</f>
        <v>45591.83</v>
      </c>
      <c r="K5" s="12">
        <f>+K4+D5-H5</f>
        <v>7948.48</v>
      </c>
    </row>
    <row r="6" spans="2:11" x14ac:dyDescent="0.25">
      <c r="B6" s="23">
        <v>42887</v>
      </c>
      <c r="C6" s="13" t="s">
        <v>731</v>
      </c>
      <c r="D6" s="11"/>
      <c r="E6" s="11"/>
      <c r="F6" s="11"/>
      <c r="G6" s="11"/>
      <c r="H6" s="11">
        <v>1500</v>
      </c>
      <c r="I6" s="15"/>
      <c r="J6" s="12">
        <f t="shared" ref="J6:J35" si="0">+J5+E6-G6</f>
        <v>45591.83</v>
      </c>
      <c r="K6" s="12">
        <f t="shared" ref="K6:K35" si="1">+K5+D6-H6</f>
        <v>6448.48</v>
      </c>
    </row>
    <row r="7" spans="2:11" x14ac:dyDescent="0.25">
      <c r="B7" s="18">
        <v>42887</v>
      </c>
      <c r="C7" s="9" t="s">
        <v>732</v>
      </c>
      <c r="D7" s="11"/>
      <c r="E7" s="11"/>
      <c r="F7" s="11"/>
      <c r="G7" s="11"/>
      <c r="H7" s="59">
        <v>121</v>
      </c>
      <c r="I7" s="15"/>
      <c r="J7" s="12">
        <f t="shared" si="0"/>
        <v>45591.83</v>
      </c>
      <c r="K7" s="12">
        <f t="shared" si="1"/>
        <v>6327.48</v>
      </c>
    </row>
    <row r="8" spans="2:11" x14ac:dyDescent="0.25">
      <c r="B8" s="18">
        <v>42887</v>
      </c>
      <c r="C8" s="13" t="s">
        <v>733</v>
      </c>
      <c r="D8" s="11"/>
      <c r="E8" s="11"/>
      <c r="F8" s="11"/>
      <c r="G8" s="11"/>
      <c r="H8" s="11">
        <v>500</v>
      </c>
      <c r="I8" s="15"/>
      <c r="J8" s="12">
        <f t="shared" si="0"/>
        <v>45591.83</v>
      </c>
      <c r="K8" s="12">
        <f t="shared" si="1"/>
        <v>5827.48</v>
      </c>
    </row>
    <row r="9" spans="2:11" x14ac:dyDescent="0.25">
      <c r="B9" s="18">
        <v>42887</v>
      </c>
      <c r="C9" s="9" t="s">
        <v>734</v>
      </c>
      <c r="D9" s="11"/>
      <c r="E9" s="11"/>
      <c r="F9" s="11"/>
      <c r="G9" s="11"/>
      <c r="H9" s="59">
        <v>79</v>
      </c>
      <c r="I9" s="15"/>
      <c r="J9" s="12">
        <f t="shared" si="0"/>
        <v>45591.83</v>
      </c>
      <c r="K9" s="12">
        <f t="shared" si="1"/>
        <v>5748.48</v>
      </c>
    </row>
    <row r="10" spans="2:11" x14ac:dyDescent="0.25">
      <c r="B10" s="18">
        <v>42887</v>
      </c>
      <c r="C10" s="9" t="s">
        <v>735</v>
      </c>
      <c r="D10" s="11"/>
      <c r="E10" s="11"/>
      <c r="F10" s="11"/>
      <c r="G10" s="11"/>
      <c r="H10" s="11">
        <v>350</v>
      </c>
      <c r="I10" s="15"/>
      <c r="J10" s="12">
        <f t="shared" si="0"/>
        <v>45591.83</v>
      </c>
      <c r="K10" s="12">
        <f t="shared" si="1"/>
        <v>5398.48</v>
      </c>
    </row>
    <row r="11" spans="2:11" x14ac:dyDescent="0.25">
      <c r="B11" s="18">
        <v>42887</v>
      </c>
      <c r="C11" s="9" t="s">
        <v>736</v>
      </c>
      <c r="D11" s="11"/>
      <c r="E11" s="11"/>
      <c r="F11" s="11"/>
      <c r="G11" s="11"/>
      <c r="H11" s="11">
        <v>157</v>
      </c>
      <c r="I11" s="15"/>
      <c r="J11" s="12">
        <f t="shared" si="0"/>
        <v>45591.83</v>
      </c>
      <c r="K11" s="12">
        <f t="shared" si="1"/>
        <v>5241.4799999999996</v>
      </c>
    </row>
    <row r="12" spans="2:11" x14ac:dyDescent="0.25">
      <c r="B12" s="18">
        <v>42887</v>
      </c>
      <c r="C12" s="9" t="s">
        <v>737</v>
      </c>
      <c r="D12" s="11"/>
      <c r="E12" s="11"/>
      <c r="F12" s="11"/>
      <c r="G12" s="11"/>
      <c r="H12" s="59">
        <v>400</v>
      </c>
      <c r="I12" s="15"/>
      <c r="J12" s="12">
        <f t="shared" si="0"/>
        <v>45591.83</v>
      </c>
      <c r="K12" s="12">
        <f t="shared" si="1"/>
        <v>4841.4799999999996</v>
      </c>
    </row>
    <row r="13" spans="2:11" x14ac:dyDescent="0.25">
      <c r="B13" s="18">
        <v>42887</v>
      </c>
      <c r="C13" s="9" t="s">
        <v>734</v>
      </c>
      <c r="D13" s="11"/>
      <c r="E13" s="11"/>
      <c r="F13" s="11"/>
      <c r="G13" s="11"/>
      <c r="H13" s="11">
        <v>111</v>
      </c>
      <c r="I13" s="15"/>
      <c r="J13" s="12">
        <f t="shared" si="0"/>
        <v>45591.83</v>
      </c>
      <c r="K13" s="12">
        <f t="shared" si="1"/>
        <v>4730.4799999999996</v>
      </c>
    </row>
    <row r="14" spans="2:11" x14ac:dyDescent="0.25">
      <c r="B14" s="18">
        <v>42887</v>
      </c>
      <c r="C14" s="9" t="s">
        <v>649</v>
      </c>
      <c r="D14" s="11"/>
      <c r="E14" s="11"/>
      <c r="F14" s="11"/>
      <c r="G14" s="11"/>
      <c r="H14" s="59">
        <v>2100</v>
      </c>
      <c r="I14" s="15"/>
      <c r="J14" s="12">
        <f t="shared" si="0"/>
        <v>45591.83</v>
      </c>
      <c r="K14" s="12">
        <f t="shared" si="1"/>
        <v>2630.4799999999996</v>
      </c>
    </row>
    <row r="15" spans="2:11" x14ac:dyDescent="0.25">
      <c r="B15" s="18">
        <v>42888</v>
      </c>
      <c r="C15" s="9" t="s">
        <v>738</v>
      </c>
      <c r="D15" s="11"/>
      <c r="E15" s="11"/>
      <c r="F15" s="11"/>
      <c r="G15" s="11"/>
      <c r="H15" s="11">
        <v>130</v>
      </c>
      <c r="I15" s="15"/>
      <c r="J15" s="12">
        <f t="shared" si="0"/>
        <v>45591.83</v>
      </c>
      <c r="K15" s="12">
        <f t="shared" si="1"/>
        <v>2500.4799999999996</v>
      </c>
    </row>
    <row r="16" spans="2:11" x14ac:dyDescent="0.25">
      <c r="B16" s="18">
        <v>42888</v>
      </c>
      <c r="C16" s="9" t="s">
        <v>739</v>
      </c>
      <c r="D16" s="11"/>
      <c r="E16" s="11"/>
      <c r="F16" s="11"/>
      <c r="G16" s="11"/>
      <c r="H16" s="11">
        <v>1000</v>
      </c>
      <c r="I16" s="15"/>
      <c r="J16" s="12">
        <f t="shared" si="0"/>
        <v>45591.83</v>
      </c>
      <c r="K16" s="12">
        <f t="shared" si="1"/>
        <v>1500.4799999999996</v>
      </c>
    </row>
    <row r="17" spans="2:11" x14ac:dyDescent="0.25">
      <c r="B17" s="18">
        <v>42888</v>
      </c>
      <c r="C17" s="9" t="s">
        <v>740</v>
      </c>
      <c r="D17" s="11"/>
      <c r="E17" s="11"/>
      <c r="F17" s="11"/>
      <c r="G17" s="11"/>
      <c r="H17" s="11">
        <v>200</v>
      </c>
      <c r="I17" s="15"/>
      <c r="J17" s="12">
        <f t="shared" si="0"/>
        <v>45591.83</v>
      </c>
      <c r="K17" s="12">
        <f t="shared" si="1"/>
        <v>1300.4799999999996</v>
      </c>
    </row>
    <row r="18" spans="2:11" x14ac:dyDescent="0.25">
      <c r="B18" s="18">
        <v>42889</v>
      </c>
      <c r="C18" s="9" t="s">
        <v>741</v>
      </c>
      <c r="D18" s="11"/>
      <c r="E18" s="11"/>
      <c r="F18" s="11"/>
      <c r="G18" s="11"/>
      <c r="H18" s="11">
        <v>250</v>
      </c>
      <c r="I18" s="15"/>
      <c r="J18" s="12">
        <f t="shared" si="0"/>
        <v>45591.83</v>
      </c>
      <c r="K18" s="12">
        <f t="shared" si="1"/>
        <v>1050.4799999999996</v>
      </c>
    </row>
    <row r="19" spans="2:11" x14ac:dyDescent="0.25">
      <c r="B19" s="18">
        <v>42889</v>
      </c>
      <c r="C19" s="9" t="s">
        <v>742</v>
      </c>
      <c r="D19" s="11"/>
      <c r="E19" s="11"/>
      <c r="F19" s="11"/>
      <c r="G19" s="11"/>
      <c r="H19" s="11">
        <v>500</v>
      </c>
      <c r="I19" s="15"/>
      <c r="J19" s="12">
        <f t="shared" si="0"/>
        <v>45591.83</v>
      </c>
      <c r="K19" s="12">
        <f t="shared" si="1"/>
        <v>550.47999999999956</v>
      </c>
    </row>
    <row r="20" spans="2:11" x14ac:dyDescent="0.25">
      <c r="B20" s="18">
        <v>42890</v>
      </c>
      <c r="C20" s="9" t="s">
        <v>743</v>
      </c>
      <c r="D20" s="11"/>
      <c r="E20" s="11"/>
      <c r="F20" s="11"/>
      <c r="G20" s="11"/>
      <c r="H20" s="11">
        <v>88.5</v>
      </c>
      <c r="I20" s="15"/>
      <c r="J20" s="12">
        <f t="shared" si="0"/>
        <v>45591.83</v>
      </c>
      <c r="K20" s="12">
        <f t="shared" si="1"/>
        <v>461.97999999999956</v>
      </c>
    </row>
    <row r="21" spans="2:11" x14ac:dyDescent="0.25">
      <c r="B21" s="18">
        <v>42890</v>
      </c>
      <c r="C21" s="9" t="s">
        <v>420</v>
      </c>
      <c r="D21" s="11"/>
      <c r="E21" s="11"/>
      <c r="F21" s="11"/>
      <c r="G21" s="11"/>
      <c r="H21" s="59">
        <v>150</v>
      </c>
      <c r="I21" s="15"/>
      <c r="J21" s="12">
        <f t="shared" si="0"/>
        <v>45591.83</v>
      </c>
      <c r="K21" s="12">
        <f t="shared" si="1"/>
        <v>311.97999999999956</v>
      </c>
    </row>
    <row r="22" spans="2:11" x14ac:dyDescent="0.25">
      <c r="B22" s="18">
        <v>42890</v>
      </c>
      <c r="C22" s="9" t="s">
        <v>42</v>
      </c>
      <c r="D22" s="11"/>
      <c r="E22" s="11"/>
      <c r="F22" s="11"/>
      <c r="G22" s="11"/>
      <c r="H22" s="59">
        <v>120</v>
      </c>
      <c r="I22" s="15"/>
      <c r="J22" s="12">
        <f t="shared" si="0"/>
        <v>45591.83</v>
      </c>
      <c r="K22" s="12">
        <f t="shared" si="1"/>
        <v>191.97999999999956</v>
      </c>
    </row>
    <row r="23" spans="2:11" x14ac:dyDescent="0.25">
      <c r="B23" s="18">
        <v>42891</v>
      </c>
      <c r="C23" s="9" t="s">
        <v>744</v>
      </c>
      <c r="D23" s="11"/>
      <c r="E23" s="11"/>
      <c r="F23" s="11"/>
      <c r="G23" s="11"/>
      <c r="H23" s="11">
        <v>400</v>
      </c>
      <c r="I23" s="15"/>
      <c r="J23" s="12">
        <f t="shared" si="0"/>
        <v>45591.83</v>
      </c>
      <c r="K23" s="12">
        <f t="shared" si="1"/>
        <v>-208.02000000000044</v>
      </c>
    </row>
    <row r="24" spans="2:11" x14ac:dyDescent="0.25">
      <c r="B24" s="18">
        <v>42891</v>
      </c>
      <c r="C24" s="9" t="s">
        <v>745</v>
      </c>
      <c r="D24" s="11"/>
      <c r="E24" s="11"/>
      <c r="F24" s="11"/>
      <c r="G24" s="11"/>
      <c r="H24" s="11">
        <v>310</v>
      </c>
      <c r="I24" s="15"/>
      <c r="J24" s="12">
        <f t="shared" si="0"/>
        <v>45591.83</v>
      </c>
      <c r="K24" s="12">
        <f t="shared" si="1"/>
        <v>-518.02000000000044</v>
      </c>
    </row>
    <row r="25" spans="2:11" x14ac:dyDescent="0.25">
      <c r="B25" s="18">
        <v>42891</v>
      </c>
      <c r="C25" s="9" t="s">
        <v>746</v>
      </c>
      <c r="D25" s="11"/>
      <c r="E25" s="11"/>
      <c r="F25" s="11"/>
      <c r="G25" s="11"/>
      <c r="H25" s="11">
        <v>300</v>
      </c>
      <c r="I25" s="15"/>
      <c r="J25" s="12">
        <f t="shared" si="0"/>
        <v>45591.83</v>
      </c>
      <c r="K25" s="12">
        <f t="shared" si="1"/>
        <v>-818.02000000000044</v>
      </c>
    </row>
    <row r="26" spans="2:11" x14ac:dyDescent="0.25">
      <c r="B26" s="18">
        <v>42891</v>
      </c>
      <c r="C26" s="9" t="s">
        <v>747</v>
      </c>
      <c r="D26" s="11"/>
      <c r="E26" s="11"/>
      <c r="F26" s="11"/>
      <c r="G26" s="11"/>
      <c r="H26" s="11">
        <v>100</v>
      </c>
      <c r="I26" s="15"/>
      <c r="J26" s="12">
        <f t="shared" si="0"/>
        <v>45591.83</v>
      </c>
      <c r="K26" s="12">
        <f t="shared" si="1"/>
        <v>-918.02000000000044</v>
      </c>
    </row>
    <row r="27" spans="2:11" x14ac:dyDescent="0.25">
      <c r="B27" s="18">
        <v>42891</v>
      </c>
      <c r="C27" s="9" t="s">
        <v>748</v>
      </c>
      <c r="D27" s="11">
        <v>24675</v>
      </c>
      <c r="E27" s="11"/>
      <c r="F27" s="11"/>
      <c r="G27" s="11"/>
      <c r="H27" s="11"/>
      <c r="I27" s="15"/>
      <c r="J27" s="12">
        <f t="shared" si="0"/>
        <v>45591.83</v>
      </c>
      <c r="K27" s="12">
        <f t="shared" si="1"/>
        <v>23756.98</v>
      </c>
    </row>
    <row r="28" spans="2:11" x14ac:dyDescent="0.25">
      <c r="B28" s="18">
        <v>42892</v>
      </c>
      <c r="C28" s="9" t="s">
        <v>749</v>
      </c>
      <c r="D28" s="11"/>
      <c r="E28" s="11"/>
      <c r="F28" s="11"/>
      <c r="G28" s="11"/>
      <c r="H28" s="11">
        <v>803</v>
      </c>
      <c r="I28" s="15"/>
      <c r="J28" s="12">
        <f t="shared" si="0"/>
        <v>45591.83</v>
      </c>
      <c r="K28" s="12">
        <f t="shared" si="1"/>
        <v>22953.98</v>
      </c>
    </row>
    <row r="29" spans="2:11" x14ac:dyDescent="0.25">
      <c r="B29" s="18">
        <v>42893</v>
      </c>
      <c r="C29" s="13" t="s">
        <v>750</v>
      </c>
      <c r="D29" s="41"/>
      <c r="E29" s="41"/>
      <c r="F29" s="41"/>
      <c r="G29" s="105">
        <v>1760</v>
      </c>
      <c r="H29" s="11"/>
      <c r="I29" s="15"/>
      <c r="J29" s="12">
        <f t="shared" si="0"/>
        <v>43831.83</v>
      </c>
      <c r="K29" s="12">
        <f t="shared" si="1"/>
        <v>22953.98</v>
      </c>
    </row>
    <row r="30" spans="2:11" x14ac:dyDescent="0.25">
      <c r="B30" s="18">
        <v>42893</v>
      </c>
      <c r="C30" s="9" t="s">
        <v>751</v>
      </c>
      <c r="D30" s="11"/>
      <c r="E30" s="11"/>
      <c r="F30" s="11"/>
      <c r="G30" s="11">
        <v>1300</v>
      </c>
      <c r="H30" s="59"/>
      <c r="I30" s="15"/>
      <c r="J30" s="12">
        <f t="shared" si="0"/>
        <v>42531.83</v>
      </c>
      <c r="K30" s="12">
        <f t="shared" si="1"/>
        <v>22953.98</v>
      </c>
    </row>
    <row r="31" spans="2:11" x14ac:dyDescent="0.25">
      <c r="B31" s="18">
        <v>42893</v>
      </c>
      <c r="C31" s="9" t="s">
        <v>752</v>
      </c>
      <c r="D31" s="11"/>
      <c r="E31" s="11"/>
      <c r="F31" s="11"/>
      <c r="G31" s="11"/>
      <c r="H31" s="11">
        <v>250</v>
      </c>
      <c r="I31" s="15"/>
      <c r="J31" s="12">
        <f t="shared" si="0"/>
        <v>42531.83</v>
      </c>
      <c r="K31" s="12">
        <f t="shared" si="1"/>
        <v>22703.98</v>
      </c>
    </row>
    <row r="32" spans="2:11" x14ac:dyDescent="0.25">
      <c r="B32" s="18">
        <v>42893</v>
      </c>
      <c r="C32" s="9" t="s">
        <v>753</v>
      </c>
      <c r="D32" s="11"/>
      <c r="E32" s="11"/>
      <c r="F32" s="11"/>
      <c r="G32" s="11"/>
      <c r="H32" s="11">
        <v>280</v>
      </c>
      <c r="I32" s="15"/>
      <c r="J32" s="12">
        <f t="shared" si="0"/>
        <v>42531.83</v>
      </c>
      <c r="K32" s="12">
        <f t="shared" si="1"/>
        <v>22423.98</v>
      </c>
    </row>
    <row r="33" spans="2:11" x14ac:dyDescent="0.25">
      <c r="B33" s="18">
        <v>42893</v>
      </c>
      <c r="C33" s="9" t="s">
        <v>754</v>
      </c>
      <c r="D33" s="11"/>
      <c r="E33" s="11"/>
      <c r="F33" s="11"/>
      <c r="G33" s="11"/>
      <c r="H33" s="11">
        <v>100</v>
      </c>
      <c r="I33" s="15"/>
      <c r="J33" s="12">
        <f t="shared" si="0"/>
        <v>42531.83</v>
      </c>
      <c r="K33" s="12">
        <f t="shared" si="1"/>
        <v>22323.98</v>
      </c>
    </row>
    <row r="34" spans="2:11" x14ac:dyDescent="0.25">
      <c r="B34" s="18">
        <v>42893</v>
      </c>
      <c r="C34" s="9" t="s">
        <v>755</v>
      </c>
      <c r="D34" s="11"/>
      <c r="E34" s="11"/>
      <c r="F34" s="11"/>
      <c r="G34" s="11"/>
      <c r="H34" s="11">
        <v>46</v>
      </c>
      <c r="I34" s="15"/>
      <c r="J34" s="12">
        <f t="shared" si="0"/>
        <v>42531.83</v>
      </c>
      <c r="K34" s="12">
        <f t="shared" si="1"/>
        <v>22277.98</v>
      </c>
    </row>
    <row r="35" spans="2:11" x14ac:dyDescent="0.25">
      <c r="B35" s="18">
        <v>42895</v>
      </c>
      <c r="C35" s="9" t="s">
        <v>756</v>
      </c>
      <c r="D35" s="11"/>
      <c r="E35" s="11"/>
      <c r="F35" s="11"/>
      <c r="G35" s="11"/>
      <c r="H35" s="11">
        <v>100</v>
      </c>
      <c r="I35" s="15"/>
      <c r="J35" s="12">
        <f t="shared" si="0"/>
        <v>42531.83</v>
      </c>
      <c r="K35" s="12">
        <f t="shared" si="1"/>
        <v>22177.98</v>
      </c>
    </row>
    <row r="36" spans="2:11" x14ac:dyDescent="0.25">
      <c r="B36" s="18">
        <v>42895</v>
      </c>
      <c r="C36" s="9" t="s">
        <v>763</v>
      </c>
      <c r="D36" s="11"/>
      <c r="E36" s="11"/>
      <c r="F36" s="11"/>
      <c r="G36" s="11"/>
      <c r="H36" s="11">
        <v>406</v>
      </c>
      <c r="I36" s="15"/>
      <c r="J36" s="12">
        <f t="shared" ref="J36:J37" si="2">+J35+E36-G36</f>
        <v>42531.83</v>
      </c>
      <c r="K36" s="12">
        <f t="shared" ref="K36:K37" si="3">+K35+D36-H36</f>
        <v>21771.98</v>
      </c>
    </row>
    <row r="37" spans="2:11" x14ac:dyDescent="0.25">
      <c r="B37" s="18">
        <v>42895</v>
      </c>
      <c r="C37" s="9" t="s">
        <v>757</v>
      </c>
      <c r="D37" s="11"/>
      <c r="E37" s="11"/>
      <c r="F37" s="11"/>
      <c r="G37" s="11"/>
      <c r="H37" s="11">
        <v>400</v>
      </c>
      <c r="I37" s="15"/>
      <c r="J37" s="12">
        <f t="shared" si="2"/>
        <v>42531.83</v>
      </c>
      <c r="K37" s="12">
        <f t="shared" si="3"/>
        <v>21371.98</v>
      </c>
    </row>
    <row r="38" spans="2:11" x14ac:dyDescent="0.25">
      <c r="B38" s="18">
        <v>42895</v>
      </c>
      <c r="C38" s="9" t="s">
        <v>734</v>
      </c>
      <c r="D38" s="11"/>
      <c r="E38" s="11"/>
      <c r="F38" s="11"/>
      <c r="G38" s="11"/>
      <c r="H38" s="11">
        <v>110</v>
      </c>
      <c r="I38" s="15"/>
      <c r="J38" s="12">
        <f t="shared" ref="J38:J40" si="4">+J37+E38-G38</f>
        <v>42531.83</v>
      </c>
      <c r="K38" s="12">
        <f t="shared" ref="K38:K40" si="5">+K37+D38-H38</f>
        <v>21261.98</v>
      </c>
    </row>
    <row r="39" spans="2:11" x14ac:dyDescent="0.25">
      <c r="B39" s="18">
        <v>42895</v>
      </c>
      <c r="C39" s="9" t="s">
        <v>764</v>
      </c>
      <c r="D39" s="11"/>
      <c r="E39" s="11"/>
      <c r="F39" s="11"/>
      <c r="G39" s="11"/>
      <c r="H39" s="11">
        <v>148</v>
      </c>
      <c r="I39" s="15"/>
      <c r="J39" s="12">
        <f t="shared" si="4"/>
        <v>42531.83</v>
      </c>
      <c r="K39" s="12">
        <f t="shared" si="5"/>
        <v>21113.98</v>
      </c>
    </row>
    <row r="40" spans="2:11" x14ac:dyDescent="0.25">
      <c r="B40" s="18">
        <v>42895</v>
      </c>
      <c r="C40" s="9" t="s">
        <v>758</v>
      </c>
      <c r="D40" s="11"/>
      <c r="E40" s="11"/>
      <c r="F40" s="11"/>
      <c r="G40" s="11"/>
      <c r="H40" s="11">
        <v>1000</v>
      </c>
      <c r="I40" s="15"/>
      <c r="J40" s="12">
        <f t="shared" si="4"/>
        <v>42531.83</v>
      </c>
      <c r="K40" s="12">
        <f t="shared" si="5"/>
        <v>20113.98</v>
      </c>
    </row>
    <row r="41" spans="2:11" x14ac:dyDescent="0.25">
      <c r="B41" s="18">
        <v>42895</v>
      </c>
      <c r="C41" s="9" t="s">
        <v>765</v>
      </c>
      <c r="D41" s="11"/>
      <c r="E41" s="11"/>
      <c r="F41" s="11"/>
      <c r="G41" s="11"/>
      <c r="H41" s="11">
        <v>390</v>
      </c>
      <c r="I41" s="15"/>
      <c r="J41" s="12">
        <f t="shared" ref="J41:J52" si="6">+J40+E41-G41</f>
        <v>42531.83</v>
      </c>
      <c r="K41" s="12">
        <f t="shared" ref="K41:K52" si="7">+K40+D41-H41</f>
        <v>19723.98</v>
      </c>
    </row>
    <row r="42" spans="2:11" x14ac:dyDescent="0.25">
      <c r="B42" s="18">
        <v>42896</v>
      </c>
      <c r="C42" s="9" t="s">
        <v>762</v>
      </c>
      <c r="D42" s="11"/>
      <c r="E42" s="11"/>
      <c r="F42" s="11"/>
      <c r="G42" s="11"/>
      <c r="H42" s="11">
        <v>500</v>
      </c>
      <c r="I42" s="15"/>
      <c r="J42" s="12">
        <f t="shared" si="6"/>
        <v>42531.83</v>
      </c>
      <c r="K42" s="12">
        <f t="shared" si="7"/>
        <v>19223.98</v>
      </c>
    </row>
    <row r="43" spans="2:11" x14ac:dyDescent="0.25">
      <c r="B43" s="18">
        <v>42896</v>
      </c>
      <c r="C43" s="9" t="s">
        <v>761</v>
      </c>
      <c r="D43" s="11"/>
      <c r="E43" s="11"/>
      <c r="F43" s="11"/>
      <c r="G43" s="11"/>
      <c r="H43" s="11">
        <v>161.5</v>
      </c>
      <c r="I43" s="15"/>
      <c r="J43" s="12">
        <f t="shared" si="6"/>
        <v>42531.83</v>
      </c>
      <c r="K43" s="12">
        <f t="shared" si="7"/>
        <v>19062.48</v>
      </c>
    </row>
    <row r="44" spans="2:11" x14ac:dyDescent="0.25">
      <c r="B44" s="18">
        <v>42896</v>
      </c>
      <c r="C44" s="9" t="s">
        <v>420</v>
      </c>
      <c r="D44" s="11"/>
      <c r="E44" s="11"/>
      <c r="F44" s="11"/>
      <c r="G44" s="11"/>
      <c r="H44" s="59">
        <v>150</v>
      </c>
      <c r="I44" s="15"/>
      <c r="J44" s="12">
        <f t="shared" si="6"/>
        <v>42531.83</v>
      </c>
      <c r="K44" s="12">
        <f t="shared" si="7"/>
        <v>18912.48</v>
      </c>
    </row>
    <row r="45" spans="2:11" x14ac:dyDescent="0.25">
      <c r="B45" s="18">
        <v>42896</v>
      </c>
      <c r="C45" s="9" t="s">
        <v>42</v>
      </c>
      <c r="D45" s="11"/>
      <c r="E45" s="11"/>
      <c r="F45" s="11"/>
      <c r="G45" s="11"/>
      <c r="H45" s="59">
        <v>120</v>
      </c>
      <c r="I45" s="15"/>
      <c r="J45" s="12">
        <f t="shared" si="6"/>
        <v>42531.83</v>
      </c>
      <c r="K45" s="12">
        <f t="shared" si="7"/>
        <v>18792.48</v>
      </c>
    </row>
    <row r="46" spans="2:11" x14ac:dyDescent="0.25">
      <c r="B46" s="18">
        <v>42897</v>
      </c>
      <c r="C46" s="9" t="s">
        <v>759</v>
      </c>
      <c r="D46" s="11"/>
      <c r="E46" s="11"/>
      <c r="F46" s="11"/>
      <c r="G46" s="11"/>
      <c r="H46" s="59">
        <v>400</v>
      </c>
      <c r="I46" s="15"/>
      <c r="J46" s="12">
        <f t="shared" si="6"/>
        <v>42531.83</v>
      </c>
      <c r="K46" s="12">
        <f t="shared" si="7"/>
        <v>18392.48</v>
      </c>
    </row>
    <row r="47" spans="2:11" x14ac:dyDescent="0.25">
      <c r="B47" s="18">
        <v>42898</v>
      </c>
      <c r="C47" s="9" t="s">
        <v>767</v>
      </c>
      <c r="D47" s="11">
        <v>16150</v>
      </c>
      <c r="E47" s="11"/>
      <c r="F47" s="11"/>
      <c r="G47" s="11"/>
      <c r="H47" s="59"/>
      <c r="I47" s="15"/>
      <c r="J47" s="12">
        <f t="shared" si="6"/>
        <v>42531.83</v>
      </c>
      <c r="K47" s="12">
        <f t="shared" si="7"/>
        <v>34542.479999999996</v>
      </c>
    </row>
    <row r="48" spans="2:11" x14ac:dyDescent="0.25">
      <c r="B48" s="18">
        <v>42898</v>
      </c>
      <c r="C48" s="9" t="s">
        <v>766</v>
      </c>
      <c r="D48" s="11"/>
      <c r="E48" s="11"/>
      <c r="F48" s="11"/>
      <c r="G48" s="11"/>
      <c r="H48" s="59">
        <v>61.5</v>
      </c>
      <c r="I48" s="15"/>
      <c r="J48" s="12">
        <f t="shared" si="6"/>
        <v>42531.83</v>
      </c>
      <c r="K48" s="12">
        <f t="shared" si="7"/>
        <v>34480.979999999996</v>
      </c>
    </row>
    <row r="49" spans="2:11" x14ac:dyDescent="0.25">
      <c r="B49" s="18">
        <v>42898</v>
      </c>
      <c r="C49" s="9" t="s">
        <v>760</v>
      </c>
      <c r="D49" s="11"/>
      <c r="E49" s="11"/>
      <c r="F49" s="11"/>
      <c r="G49" s="11"/>
      <c r="H49" s="59">
        <v>310</v>
      </c>
      <c r="I49" s="15"/>
      <c r="J49" s="12">
        <f t="shared" si="6"/>
        <v>42531.83</v>
      </c>
      <c r="K49" s="12">
        <f t="shared" si="7"/>
        <v>34170.979999999996</v>
      </c>
    </row>
    <row r="50" spans="2:11" x14ac:dyDescent="0.25">
      <c r="B50" s="18">
        <v>42898</v>
      </c>
      <c r="C50" s="9" t="s">
        <v>768</v>
      </c>
      <c r="D50" s="11"/>
      <c r="E50" s="11"/>
      <c r="F50" s="11"/>
      <c r="G50" s="11"/>
      <c r="H50" s="59">
        <v>200</v>
      </c>
      <c r="I50" s="15"/>
      <c r="J50" s="12">
        <f t="shared" si="6"/>
        <v>42531.83</v>
      </c>
      <c r="K50" s="12">
        <f t="shared" si="7"/>
        <v>33970.979999999996</v>
      </c>
    </row>
    <row r="51" spans="2:11" x14ac:dyDescent="0.25">
      <c r="B51" s="18">
        <v>42899</v>
      </c>
      <c r="C51" s="9" t="s">
        <v>769</v>
      </c>
      <c r="D51" s="11"/>
      <c r="E51" s="11"/>
      <c r="F51" s="11"/>
      <c r="G51" s="11"/>
      <c r="H51" s="59">
        <v>700</v>
      </c>
      <c r="I51" s="15"/>
      <c r="J51" s="12">
        <f t="shared" si="6"/>
        <v>42531.83</v>
      </c>
      <c r="K51" s="12">
        <f t="shared" si="7"/>
        <v>33270.979999999996</v>
      </c>
    </row>
    <row r="52" spans="2:11" ht="15.75" thickBot="1" x14ac:dyDescent="0.3">
      <c r="B52" s="18">
        <v>42899</v>
      </c>
      <c r="C52" s="9" t="s">
        <v>770</v>
      </c>
      <c r="D52" s="11"/>
      <c r="E52" s="11"/>
      <c r="F52" s="11"/>
      <c r="G52" s="11"/>
      <c r="H52" s="59">
        <v>200</v>
      </c>
      <c r="I52" s="15"/>
      <c r="J52" s="12">
        <f t="shared" si="6"/>
        <v>42531.83</v>
      </c>
      <c r="K52" s="12">
        <f t="shared" si="7"/>
        <v>33070.979999999996</v>
      </c>
    </row>
    <row r="53" spans="2:11" ht="15.75" thickBot="1" x14ac:dyDescent="0.3">
      <c r="B53" s="5"/>
      <c r="C53" s="7" t="s">
        <v>0</v>
      </c>
      <c r="D53" s="63">
        <f>SUM(D4:D52)</f>
        <v>40825</v>
      </c>
      <c r="E53" s="61">
        <f>SUM(E4:E52)</f>
        <v>0</v>
      </c>
      <c r="F53" s="72">
        <f>SUM(D53:E53)</f>
        <v>40825</v>
      </c>
      <c r="G53" s="81">
        <f>SUM(G4:G52)</f>
        <v>3060</v>
      </c>
      <c r="H53" s="63">
        <f>SUM(H4:H52)</f>
        <v>16202.5</v>
      </c>
      <c r="I53" s="72">
        <f>SUM(G53:H53)</f>
        <v>19262.5</v>
      </c>
      <c r="J53" s="20"/>
      <c r="K53" s="20"/>
    </row>
    <row r="54" spans="2:11" x14ac:dyDescent="0.25">
      <c r="B54" s="69" t="s">
        <v>1</v>
      </c>
      <c r="C54" s="69" t="s">
        <v>2</v>
      </c>
      <c r="D54" s="69" t="s">
        <v>3</v>
      </c>
      <c r="E54" s="69" t="s">
        <v>3</v>
      </c>
      <c r="F54" s="69" t="s">
        <v>23</v>
      </c>
      <c r="G54" s="69" t="s">
        <v>24</v>
      </c>
      <c r="H54" s="48" t="s">
        <v>24</v>
      </c>
      <c r="I54" s="48" t="s">
        <v>23</v>
      </c>
      <c r="J54" s="69" t="s">
        <v>9</v>
      </c>
      <c r="K54" s="48" t="s">
        <v>8</v>
      </c>
    </row>
    <row r="55" spans="2:11" ht="15.75" thickBot="1" x14ac:dyDescent="0.3">
      <c r="B55" s="70"/>
      <c r="C55" s="70"/>
      <c r="D55" s="70" t="s">
        <v>5</v>
      </c>
      <c r="E55" s="70" t="s">
        <v>25</v>
      </c>
      <c r="F55" s="70" t="s">
        <v>3</v>
      </c>
      <c r="G55" s="70" t="s">
        <v>25</v>
      </c>
      <c r="H55" s="71" t="s">
        <v>5</v>
      </c>
      <c r="I55" s="71" t="s">
        <v>4</v>
      </c>
      <c r="J55" s="70"/>
      <c r="K55" s="71"/>
    </row>
    <row r="56" spans="2:11" ht="15.75" thickBot="1" x14ac:dyDescent="0.3">
      <c r="B56" s="5"/>
      <c r="C56" s="7" t="s">
        <v>0</v>
      </c>
      <c r="D56" s="63">
        <v>40825</v>
      </c>
      <c r="E56" s="61"/>
      <c r="F56" s="72">
        <f>SUM(D56:E56)</f>
        <v>40825</v>
      </c>
      <c r="G56" s="81">
        <v>3060</v>
      </c>
      <c r="H56" s="63">
        <v>16202.5</v>
      </c>
      <c r="I56" s="72">
        <f>SUM(G56:H56)</f>
        <v>19262.5</v>
      </c>
      <c r="J56" s="79">
        <v>42531.83</v>
      </c>
      <c r="K56" s="20">
        <v>33070.980000000003</v>
      </c>
    </row>
    <row r="57" spans="2:11" x14ac:dyDescent="0.25">
      <c r="B57" s="18">
        <v>42899</v>
      </c>
      <c r="C57" s="9" t="s">
        <v>771</v>
      </c>
      <c r="D57" s="11"/>
      <c r="E57" s="11"/>
      <c r="F57" s="11"/>
      <c r="G57" s="11"/>
      <c r="H57" s="59">
        <v>400</v>
      </c>
      <c r="I57" s="15"/>
      <c r="J57" s="12">
        <f t="shared" ref="J57" si="8">+J56+E57-G57</f>
        <v>42531.83</v>
      </c>
      <c r="K57" s="12">
        <f>+K56+D57-H57</f>
        <v>32670.980000000003</v>
      </c>
    </row>
    <row r="58" spans="2:11" x14ac:dyDescent="0.25">
      <c r="B58" s="18">
        <v>42899</v>
      </c>
      <c r="C58" s="9" t="s">
        <v>772</v>
      </c>
      <c r="D58" s="11"/>
      <c r="E58" s="11"/>
      <c r="F58" s="11"/>
      <c r="G58" s="11"/>
      <c r="H58" s="59">
        <v>149</v>
      </c>
      <c r="I58" s="15"/>
      <c r="J58" s="12">
        <f t="shared" ref="J58:J112" si="9">+J57+E58-G58</f>
        <v>42531.83</v>
      </c>
      <c r="K58" s="12">
        <f t="shared" ref="K58:K112" si="10">+K57+D58-H58</f>
        <v>32521.980000000003</v>
      </c>
    </row>
    <row r="59" spans="2:11" x14ac:dyDescent="0.25">
      <c r="B59" s="18">
        <v>42900</v>
      </c>
      <c r="C59" s="13" t="s">
        <v>773</v>
      </c>
      <c r="D59" s="11"/>
      <c r="E59" s="11"/>
      <c r="F59" s="11"/>
      <c r="G59" s="11"/>
      <c r="H59" s="11">
        <v>379</v>
      </c>
      <c r="I59" s="15"/>
      <c r="J59" s="12">
        <f t="shared" si="9"/>
        <v>42531.83</v>
      </c>
      <c r="K59" s="12">
        <f t="shared" si="10"/>
        <v>32142.980000000003</v>
      </c>
    </row>
    <row r="60" spans="2:11" x14ac:dyDescent="0.25">
      <c r="B60" s="18">
        <v>42900</v>
      </c>
      <c r="C60" s="13" t="s">
        <v>774</v>
      </c>
      <c r="D60" s="11"/>
      <c r="E60" s="11"/>
      <c r="F60" s="11"/>
      <c r="G60" s="11"/>
      <c r="H60" s="11">
        <v>77</v>
      </c>
      <c r="I60" s="15"/>
      <c r="J60" s="12">
        <f t="shared" si="9"/>
        <v>42531.83</v>
      </c>
      <c r="K60" s="12">
        <f t="shared" si="10"/>
        <v>32065.980000000003</v>
      </c>
    </row>
    <row r="61" spans="2:11" x14ac:dyDescent="0.25">
      <c r="B61" s="18">
        <v>42900</v>
      </c>
      <c r="C61" s="13" t="s">
        <v>775</v>
      </c>
      <c r="D61" s="11"/>
      <c r="E61" s="11"/>
      <c r="F61" s="11"/>
      <c r="G61" s="11"/>
      <c r="H61" s="11">
        <v>100</v>
      </c>
      <c r="I61" s="15"/>
      <c r="J61" s="12">
        <f t="shared" si="9"/>
        <v>42531.83</v>
      </c>
      <c r="K61" s="12">
        <f t="shared" si="10"/>
        <v>31965.980000000003</v>
      </c>
    </row>
    <row r="62" spans="2:11" x14ac:dyDescent="0.25">
      <c r="B62" s="18">
        <v>42900</v>
      </c>
      <c r="C62" s="9" t="s">
        <v>776</v>
      </c>
      <c r="D62" s="11"/>
      <c r="E62" s="11"/>
      <c r="F62" s="11"/>
      <c r="G62" s="11"/>
      <c r="H62" s="11">
        <v>500</v>
      </c>
      <c r="I62" s="15"/>
      <c r="J62" s="12">
        <f t="shared" si="9"/>
        <v>42531.83</v>
      </c>
      <c r="K62" s="12">
        <f t="shared" si="10"/>
        <v>31465.980000000003</v>
      </c>
    </row>
    <row r="63" spans="2:11" x14ac:dyDescent="0.25">
      <c r="B63" s="18">
        <v>42901</v>
      </c>
      <c r="C63" s="9" t="s">
        <v>777</v>
      </c>
      <c r="D63" s="11"/>
      <c r="E63" s="11"/>
      <c r="F63" s="11"/>
      <c r="G63" s="11"/>
      <c r="H63" s="11">
        <v>350</v>
      </c>
      <c r="I63" s="15"/>
      <c r="J63" s="12">
        <f t="shared" si="9"/>
        <v>42531.83</v>
      </c>
      <c r="K63" s="12">
        <f t="shared" si="10"/>
        <v>31115.980000000003</v>
      </c>
    </row>
    <row r="64" spans="2:11" x14ac:dyDescent="0.25">
      <c r="B64" s="18">
        <v>42901</v>
      </c>
      <c r="C64" s="13" t="s">
        <v>778</v>
      </c>
      <c r="D64" s="11"/>
      <c r="E64" s="11"/>
      <c r="F64" s="11"/>
      <c r="G64" s="11"/>
      <c r="H64" s="11">
        <v>450</v>
      </c>
      <c r="I64" s="15"/>
      <c r="J64" s="12">
        <f t="shared" si="9"/>
        <v>42531.83</v>
      </c>
      <c r="K64" s="12">
        <f t="shared" si="10"/>
        <v>30665.980000000003</v>
      </c>
    </row>
    <row r="65" spans="2:11" x14ac:dyDescent="0.25">
      <c r="B65" s="18">
        <v>42901</v>
      </c>
      <c r="C65" s="9" t="s">
        <v>779</v>
      </c>
      <c r="D65" s="11"/>
      <c r="E65" s="11"/>
      <c r="F65" s="11"/>
      <c r="G65" s="11"/>
      <c r="H65" s="11">
        <v>20100</v>
      </c>
      <c r="I65" s="15"/>
      <c r="J65" s="12">
        <f t="shared" si="9"/>
        <v>42531.83</v>
      </c>
      <c r="K65" s="12">
        <f t="shared" si="10"/>
        <v>10565.980000000003</v>
      </c>
    </row>
    <row r="66" spans="2:11" x14ac:dyDescent="0.25">
      <c r="B66" s="18">
        <v>42901</v>
      </c>
      <c r="C66" s="9" t="s">
        <v>780</v>
      </c>
      <c r="D66" s="11"/>
      <c r="E66" s="11"/>
      <c r="F66" s="11"/>
      <c r="G66" s="11">
        <v>10000</v>
      </c>
      <c r="H66" s="11"/>
      <c r="I66" s="15"/>
      <c r="J66" s="12">
        <f t="shared" si="9"/>
        <v>32531.83</v>
      </c>
      <c r="K66" s="12">
        <f t="shared" si="10"/>
        <v>10565.980000000003</v>
      </c>
    </row>
    <row r="67" spans="2:11" x14ac:dyDescent="0.25">
      <c r="B67" s="18">
        <v>42901</v>
      </c>
      <c r="C67" s="34" t="s">
        <v>781</v>
      </c>
      <c r="D67" s="11"/>
      <c r="E67" s="11"/>
      <c r="F67" s="11"/>
      <c r="G67" s="11"/>
      <c r="H67" s="11">
        <v>4000</v>
      </c>
      <c r="I67" s="15"/>
      <c r="J67" s="12">
        <f t="shared" si="9"/>
        <v>32531.83</v>
      </c>
      <c r="K67" s="12">
        <f t="shared" si="10"/>
        <v>6565.9800000000032</v>
      </c>
    </row>
    <row r="68" spans="2:11" x14ac:dyDescent="0.25">
      <c r="B68" s="18">
        <v>42902</v>
      </c>
      <c r="C68" s="9" t="s">
        <v>782</v>
      </c>
      <c r="D68" s="11"/>
      <c r="E68" s="11"/>
      <c r="F68" s="11"/>
      <c r="G68" s="11"/>
      <c r="H68" s="11">
        <v>1000</v>
      </c>
      <c r="I68" s="15"/>
      <c r="J68" s="12">
        <f t="shared" si="9"/>
        <v>32531.83</v>
      </c>
      <c r="K68" s="12">
        <f t="shared" si="10"/>
        <v>5565.9800000000032</v>
      </c>
    </row>
    <row r="69" spans="2:11" x14ac:dyDescent="0.25">
      <c r="B69" s="18">
        <v>42903</v>
      </c>
      <c r="C69" s="9" t="s">
        <v>783</v>
      </c>
      <c r="D69" s="11"/>
      <c r="E69" s="11"/>
      <c r="F69" s="11"/>
      <c r="G69" s="11"/>
      <c r="H69" s="11">
        <v>500</v>
      </c>
      <c r="I69" s="15"/>
      <c r="J69" s="12">
        <f t="shared" si="9"/>
        <v>32531.83</v>
      </c>
      <c r="K69" s="12">
        <f t="shared" si="10"/>
        <v>5065.9800000000032</v>
      </c>
    </row>
    <row r="70" spans="2:11" x14ac:dyDescent="0.25">
      <c r="B70" s="18">
        <v>42905</v>
      </c>
      <c r="C70" s="9" t="s">
        <v>745</v>
      </c>
      <c r="D70" s="11"/>
      <c r="E70" s="11"/>
      <c r="F70" s="11"/>
      <c r="G70" s="11"/>
      <c r="H70" s="11">
        <v>310</v>
      </c>
      <c r="I70" s="15"/>
      <c r="J70" s="12">
        <f t="shared" si="9"/>
        <v>32531.83</v>
      </c>
      <c r="K70" s="12">
        <f t="shared" si="10"/>
        <v>4755.9800000000032</v>
      </c>
    </row>
    <row r="71" spans="2:11" x14ac:dyDescent="0.25">
      <c r="B71" s="18">
        <v>42905</v>
      </c>
      <c r="C71" s="9" t="s">
        <v>784</v>
      </c>
      <c r="D71" s="11"/>
      <c r="E71" s="11"/>
      <c r="F71" s="11"/>
      <c r="G71" s="11"/>
      <c r="H71" s="11">
        <v>400</v>
      </c>
      <c r="I71" s="15"/>
      <c r="J71" s="12">
        <f t="shared" si="9"/>
        <v>32531.83</v>
      </c>
      <c r="K71" s="12">
        <f t="shared" si="10"/>
        <v>4355.9800000000032</v>
      </c>
    </row>
    <row r="72" spans="2:11" x14ac:dyDescent="0.25">
      <c r="B72" s="18">
        <v>42905</v>
      </c>
      <c r="C72" s="9" t="s">
        <v>761</v>
      </c>
      <c r="D72" s="11"/>
      <c r="E72" s="11"/>
      <c r="F72" s="11"/>
      <c r="G72" s="11"/>
      <c r="H72" s="11">
        <v>133.5</v>
      </c>
      <c r="I72" s="15"/>
      <c r="J72" s="12">
        <f t="shared" si="9"/>
        <v>32531.83</v>
      </c>
      <c r="K72" s="12">
        <f t="shared" si="10"/>
        <v>4222.4800000000032</v>
      </c>
    </row>
    <row r="73" spans="2:11" x14ac:dyDescent="0.25">
      <c r="B73" s="18">
        <v>42905</v>
      </c>
      <c r="C73" s="35" t="s">
        <v>42</v>
      </c>
      <c r="D73" s="11"/>
      <c r="E73" s="11"/>
      <c r="F73" s="11"/>
      <c r="G73" s="11"/>
      <c r="H73" s="11">
        <v>120</v>
      </c>
      <c r="I73" s="15"/>
      <c r="J73" s="12">
        <f t="shared" si="9"/>
        <v>32531.83</v>
      </c>
      <c r="K73" s="12">
        <f t="shared" si="10"/>
        <v>4102.4800000000032</v>
      </c>
    </row>
    <row r="74" spans="2:11" x14ac:dyDescent="0.25">
      <c r="B74" s="18">
        <v>42905</v>
      </c>
      <c r="C74" s="34" t="s">
        <v>785</v>
      </c>
      <c r="D74" s="11"/>
      <c r="E74" s="11"/>
      <c r="F74" s="11"/>
      <c r="G74" s="11"/>
      <c r="H74" s="11">
        <v>200</v>
      </c>
      <c r="I74" s="15"/>
      <c r="J74" s="12">
        <f t="shared" si="9"/>
        <v>32531.83</v>
      </c>
      <c r="K74" s="12">
        <f t="shared" si="10"/>
        <v>3902.4800000000032</v>
      </c>
    </row>
    <row r="75" spans="2:11" x14ac:dyDescent="0.25">
      <c r="B75" s="18">
        <v>42905</v>
      </c>
      <c r="C75" s="9" t="s">
        <v>786</v>
      </c>
      <c r="D75" s="11"/>
      <c r="E75" s="11"/>
      <c r="F75" s="11"/>
      <c r="G75" s="11"/>
      <c r="H75" s="11">
        <v>400</v>
      </c>
      <c r="I75" s="15"/>
      <c r="J75" s="12">
        <f t="shared" si="9"/>
        <v>32531.83</v>
      </c>
      <c r="K75" s="12">
        <f t="shared" si="10"/>
        <v>3502.4800000000032</v>
      </c>
    </row>
    <row r="76" spans="2:11" x14ac:dyDescent="0.25">
      <c r="B76" s="18">
        <v>42905</v>
      </c>
      <c r="C76" s="9" t="s">
        <v>787</v>
      </c>
      <c r="D76" s="11">
        <v>16850</v>
      </c>
      <c r="E76" s="11"/>
      <c r="F76" s="11"/>
      <c r="G76" s="11"/>
      <c r="H76" s="11"/>
      <c r="I76" s="15"/>
      <c r="J76" s="12">
        <f t="shared" si="9"/>
        <v>32531.83</v>
      </c>
      <c r="K76" s="12">
        <f t="shared" si="10"/>
        <v>20352.480000000003</v>
      </c>
    </row>
    <row r="77" spans="2:11" x14ac:dyDescent="0.25">
      <c r="B77" s="18">
        <v>42905</v>
      </c>
      <c r="C77" s="9" t="s">
        <v>788</v>
      </c>
      <c r="D77" s="11"/>
      <c r="E77" s="11"/>
      <c r="F77" s="11"/>
      <c r="G77" s="11"/>
      <c r="H77" s="11">
        <v>240.5</v>
      </c>
      <c r="I77" s="15"/>
      <c r="J77" s="12">
        <f t="shared" si="9"/>
        <v>32531.83</v>
      </c>
      <c r="K77" s="12">
        <f t="shared" si="10"/>
        <v>20111.980000000003</v>
      </c>
    </row>
    <row r="78" spans="2:11" x14ac:dyDescent="0.25">
      <c r="B78" s="18">
        <v>42906</v>
      </c>
      <c r="C78" s="126" t="s">
        <v>788</v>
      </c>
      <c r="D78" s="11"/>
      <c r="E78" s="11"/>
      <c r="F78" s="11"/>
      <c r="G78" s="11"/>
      <c r="H78" s="11">
        <v>170</v>
      </c>
      <c r="I78" s="15"/>
      <c r="J78" s="12">
        <f t="shared" si="9"/>
        <v>32531.83</v>
      </c>
      <c r="K78" s="12">
        <f t="shared" si="10"/>
        <v>19941.980000000003</v>
      </c>
    </row>
    <row r="79" spans="2:11" x14ac:dyDescent="0.25">
      <c r="B79" s="18">
        <v>42906</v>
      </c>
      <c r="C79" s="9" t="s">
        <v>789</v>
      </c>
      <c r="D79" s="11"/>
      <c r="E79" s="11"/>
      <c r="F79" s="11"/>
      <c r="G79" s="11"/>
      <c r="H79" s="11">
        <v>65</v>
      </c>
      <c r="I79" s="15"/>
      <c r="J79" s="12">
        <f t="shared" si="9"/>
        <v>32531.83</v>
      </c>
      <c r="K79" s="12">
        <f t="shared" si="10"/>
        <v>19876.980000000003</v>
      </c>
    </row>
    <row r="80" spans="2:11" x14ac:dyDescent="0.25">
      <c r="B80" s="18">
        <v>42814</v>
      </c>
      <c r="C80" s="13" t="s">
        <v>790</v>
      </c>
      <c r="D80" s="41"/>
      <c r="E80" s="41"/>
      <c r="F80" s="41"/>
      <c r="G80" s="41"/>
      <c r="H80" s="11">
        <v>900</v>
      </c>
      <c r="I80" s="15"/>
      <c r="J80" s="12">
        <f t="shared" si="9"/>
        <v>32531.83</v>
      </c>
      <c r="K80" s="12">
        <f t="shared" si="10"/>
        <v>18976.980000000003</v>
      </c>
    </row>
    <row r="81" spans="2:11" x14ac:dyDescent="0.25">
      <c r="B81" s="18">
        <v>42906</v>
      </c>
      <c r="C81" s="13" t="s">
        <v>791</v>
      </c>
      <c r="D81" s="41"/>
      <c r="E81" s="41">
        <v>12760</v>
      </c>
      <c r="F81" s="41"/>
      <c r="G81" s="16"/>
      <c r="H81" s="11"/>
      <c r="I81" s="15"/>
      <c r="J81" s="12">
        <f t="shared" si="9"/>
        <v>45291.83</v>
      </c>
      <c r="K81" s="12">
        <f t="shared" si="10"/>
        <v>18976.980000000003</v>
      </c>
    </row>
    <row r="82" spans="2:11" x14ac:dyDescent="0.25">
      <c r="B82" s="18">
        <v>42907</v>
      </c>
      <c r="C82" s="13" t="s">
        <v>745</v>
      </c>
      <c r="D82" s="41"/>
      <c r="E82" s="41"/>
      <c r="F82" s="41"/>
      <c r="G82" s="41"/>
      <c r="H82" s="11">
        <v>310</v>
      </c>
      <c r="I82" s="15"/>
      <c r="J82" s="12">
        <f t="shared" si="9"/>
        <v>45291.83</v>
      </c>
      <c r="K82" s="12">
        <f t="shared" si="10"/>
        <v>18666.980000000003</v>
      </c>
    </row>
    <row r="83" spans="2:11" x14ac:dyDescent="0.25">
      <c r="B83" s="18">
        <v>42907</v>
      </c>
      <c r="C83" s="9" t="s">
        <v>745</v>
      </c>
      <c r="D83" s="11"/>
      <c r="E83" s="11"/>
      <c r="F83" s="11"/>
      <c r="G83" s="11"/>
      <c r="H83" s="11">
        <v>310</v>
      </c>
      <c r="I83" s="15"/>
      <c r="J83" s="12">
        <f t="shared" si="9"/>
        <v>45291.83</v>
      </c>
      <c r="K83" s="12">
        <f t="shared" si="10"/>
        <v>18356.980000000003</v>
      </c>
    </row>
    <row r="84" spans="2:11" x14ac:dyDescent="0.25">
      <c r="B84" s="18">
        <v>42907</v>
      </c>
      <c r="C84" s="9" t="s">
        <v>792</v>
      </c>
      <c r="D84" s="11"/>
      <c r="E84" s="11"/>
      <c r="F84" s="11"/>
      <c r="G84" s="11"/>
      <c r="H84" s="11">
        <v>103</v>
      </c>
      <c r="I84" s="15"/>
      <c r="J84" s="12">
        <f t="shared" si="9"/>
        <v>45291.83</v>
      </c>
      <c r="K84" s="12">
        <f t="shared" si="10"/>
        <v>18253.980000000003</v>
      </c>
    </row>
    <row r="85" spans="2:11" x14ac:dyDescent="0.25">
      <c r="B85" s="18">
        <v>42907</v>
      </c>
      <c r="C85" s="9" t="s">
        <v>793</v>
      </c>
      <c r="D85" s="11"/>
      <c r="E85" s="11"/>
      <c r="F85" s="11"/>
      <c r="G85" s="11">
        <v>3000</v>
      </c>
      <c r="H85" s="11"/>
      <c r="I85" s="15"/>
      <c r="J85" s="12">
        <f t="shared" si="9"/>
        <v>42291.83</v>
      </c>
      <c r="K85" s="12">
        <f t="shared" si="10"/>
        <v>18253.980000000003</v>
      </c>
    </row>
    <row r="86" spans="2:11" x14ac:dyDescent="0.25">
      <c r="B86" s="18">
        <v>42908</v>
      </c>
      <c r="C86" s="9" t="s">
        <v>795</v>
      </c>
      <c r="D86" s="11"/>
      <c r="E86" s="11"/>
      <c r="F86" s="11"/>
      <c r="G86" s="11"/>
      <c r="H86" s="11">
        <v>30</v>
      </c>
      <c r="I86" s="15"/>
      <c r="J86" s="12">
        <f t="shared" si="9"/>
        <v>42291.83</v>
      </c>
      <c r="K86" s="12">
        <f t="shared" si="10"/>
        <v>18223.980000000003</v>
      </c>
    </row>
    <row r="87" spans="2:11" x14ac:dyDescent="0.25">
      <c r="B87" s="18">
        <v>42908</v>
      </c>
      <c r="C87" s="9" t="s">
        <v>794</v>
      </c>
      <c r="D87" s="11"/>
      <c r="E87" s="11"/>
      <c r="F87" s="11"/>
      <c r="G87" s="11"/>
      <c r="H87" s="11">
        <v>84.9</v>
      </c>
      <c r="I87" s="15"/>
      <c r="J87" s="12">
        <f t="shared" si="9"/>
        <v>42291.83</v>
      </c>
      <c r="K87" s="12">
        <f t="shared" si="10"/>
        <v>18139.080000000002</v>
      </c>
    </row>
    <row r="88" spans="2:11" x14ac:dyDescent="0.25">
      <c r="B88" s="18">
        <v>42908</v>
      </c>
      <c r="C88" s="9" t="s">
        <v>796</v>
      </c>
      <c r="D88" s="11"/>
      <c r="E88" s="11"/>
      <c r="F88" s="11"/>
      <c r="G88" s="11"/>
      <c r="H88" s="11">
        <v>300</v>
      </c>
      <c r="I88" s="15"/>
      <c r="J88" s="12">
        <f t="shared" si="9"/>
        <v>42291.83</v>
      </c>
      <c r="K88" s="12">
        <f t="shared" si="10"/>
        <v>17839.080000000002</v>
      </c>
    </row>
    <row r="89" spans="2:11" x14ac:dyDescent="0.25">
      <c r="B89" s="18">
        <v>42908</v>
      </c>
      <c r="C89" s="9" t="s">
        <v>794</v>
      </c>
      <c r="D89" s="11"/>
      <c r="E89" s="11"/>
      <c r="F89" s="11"/>
      <c r="G89" s="11"/>
      <c r="H89" s="11">
        <v>179</v>
      </c>
      <c r="I89" s="15"/>
      <c r="J89" s="12">
        <f t="shared" si="9"/>
        <v>42291.83</v>
      </c>
      <c r="K89" s="12">
        <f t="shared" si="10"/>
        <v>17660.080000000002</v>
      </c>
    </row>
    <row r="90" spans="2:11" x14ac:dyDescent="0.25">
      <c r="B90" s="18">
        <v>42909</v>
      </c>
      <c r="C90" s="9" t="s">
        <v>797</v>
      </c>
      <c r="D90" s="11"/>
      <c r="E90" s="11"/>
      <c r="F90" s="11"/>
      <c r="G90" s="11"/>
      <c r="H90" s="11">
        <v>1000</v>
      </c>
      <c r="I90" s="15"/>
      <c r="J90" s="12">
        <f t="shared" si="9"/>
        <v>42291.83</v>
      </c>
      <c r="K90" s="12">
        <f t="shared" si="10"/>
        <v>16660.080000000002</v>
      </c>
    </row>
    <row r="91" spans="2:11" x14ac:dyDescent="0.25">
      <c r="B91" s="18">
        <v>42909</v>
      </c>
      <c r="C91" s="9" t="s">
        <v>738</v>
      </c>
      <c r="D91" s="11"/>
      <c r="E91" s="11"/>
      <c r="F91" s="11"/>
      <c r="G91" s="11"/>
      <c r="H91" s="11">
        <v>162</v>
      </c>
      <c r="I91" s="15"/>
      <c r="J91" s="12">
        <f t="shared" si="9"/>
        <v>42291.83</v>
      </c>
      <c r="K91" s="12">
        <f t="shared" si="10"/>
        <v>16498.080000000002</v>
      </c>
    </row>
    <row r="92" spans="2:11" x14ac:dyDescent="0.25">
      <c r="B92" s="18">
        <v>42909</v>
      </c>
      <c r="C92" s="9" t="s">
        <v>798</v>
      </c>
      <c r="D92" s="11"/>
      <c r="E92" s="11"/>
      <c r="F92" s="11"/>
      <c r="G92" s="11"/>
      <c r="H92" s="11">
        <v>47.5</v>
      </c>
      <c r="I92" s="15"/>
      <c r="J92" s="12">
        <f t="shared" si="9"/>
        <v>42291.83</v>
      </c>
      <c r="K92" s="12">
        <f t="shared" si="10"/>
        <v>16450.580000000002</v>
      </c>
    </row>
    <row r="93" spans="2:11" x14ac:dyDescent="0.25">
      <c r="B93" s="18">
        <v>42909</v>
      </c>
      <c r="C93" s="9" t="s">
        <v>799</v>
      </c>
      <c r="D93" s="11"/>
      <c r="E93" s="11"/>
      <c r="F93" s="11"/>
      <c r="G93" s="11"/>
      <c r="H93" s="11">
        <v>1000</v>
      </c>
      <c r="I93" s="15"/>
      <c r="J93" s="12">
        <f t="shared" si="9"/>
        <v>42291.83</v>
      </c>
      <c r="K93" s="12">
        <f t="shared" si="10"/>
        <v>15450.580000000002</v>
      </c>
    </row>
    <row r="94" spans="2:11" x14ac:dyDescent="0.25">
      <c r="B94" s="18">
        <v>42909</v>
      </c>
      <c r="C94" s="9" t="s">
        <v>800</v>
      </c>
      <c r="D94" s="11"/>
      <c r="E94" s="11"/>
      <c r="F94" s="11"/>
      <c r="G94" s="11"/>
      <c r="H94" s="11">
        <v>250</v>
      </c>
      <c r="I94" s="15"/>
      <c r="J94" s="12">
        <f t="shared" si="9"/>
        <v>42291.83</v>
      </c>
      <c r="K94" s="12">
        <f t="shared" si="10"/>
        <v>15200.580000000002</v>
      </c>
    </row>
    <row r="95" spans="2:11" x14ac:dyDescent="0.25">
      <c r="B95" s="18">
        <v>42909</v>
      </c>
      <c r="C95" s="9" t="s">
        <v>798</v>
      </c>
      <c r="D95" s="11"/>
      <c r="E95" s="11"/>
      <c r="F95" s="11"/>
      <c r="G95" s="11"/>
      <c r="H95" s="11">
        <v>150</v>
      </c>
      <c r="I95" s="15"/>
      <c r="J95" s="12">
        <f t="shared" si="9"/>
        <v>42291.83</v>
      </c>
      <c r="K95" s="12">
        <f t="shared" si="10"/>
        <v>15050.580000000002</v>
      </c>
    </row>
    <row r="96" spans="2:11" x14ac:dyDescent="0.25">
      <c r="B96" s="18">
        <v>42911</v>
      </c>
      <c r="C96" s="9" t="s">
        <v>801</v>
      </c>
      <c r="D96" s="11"/>
      <c r="E96" s="11"/>
      <c r="F96" s="11"/>
      <c r="G96" s="11"/>
      <c r="H96" s="11">
        <v>123</v>
      </c>
      <c r="I96" s="15"/>
      <c r="J96" s="12">
        <f t="shared" si="9"/>
        <v>42291.83</v>
      </c>
      <c r="K96" s="12">
        <f t="shared" si="10"/>
        <v>14927.580000000002</v>
      </c>
    </row>
    <row r="97" spans="2:11" x14ac:dyDescent="0.25">
      <c r="B97" s="18">
        <v>42911</v>
      </c>
      <c r="C97" s="9" t="s">
        <v>43</v>
      </c>
      <c r="D97" s="11"/>
      <c r="E97" s="11"/>
      <c r="F97" s="11"/>
      <c r="G97" s="11"/>
      <c r="H97" s="11">
        <v>120</v>
      </c>
      <c r="I97" s="15"/>
      <c r="J97" s="12">
        <f t="shared" si="9"/>
        <v>42291.83</v>
      </c>
      <c r="K97" s="12">
        <f t="shared" si="10"/>
        <v>14807.580000000002</v>
      </c>
    </row>
    <row r="98" spans="2:11" x14ac:dyDescent="0.25">
      <c r="B98" s="18">
        <v>42912</v>
      </c>
      <c r="C98" s="9" t="s">
        <v>797</v>
      </c>
      <c r="D98" s="11">
        <v>15650</v>
      </c>
      <c r="E98" s="11"/>
      <c r="F98" s="11"/>
      <c r="G98" s="11"/>
      <c r="H98" s="11">
        <v>14050</v>
      </c>
      <c r="I98" s="15"/>
      <c r="J98" s="12">
        <f t="shared" si="9"/>
        <v>42291.83</v>
      </c>
      <c r="K98" s="12">
        <f t="shared" si="10"/>
        <v>16407.580000000002</v>
      </c>
    </row>
    <row r="99" spans="2:11" x14ac:dyDescent="0.25">
      <c r="B99" s="18">
        <v>42912</v>
      </c>
      <c r="C99" s="9" t="s">
        <v>804</v>
      </c>
      <c r="D99" s="11"/>
      <c r="E99" s="11"/>
      <c r="F99" s="11"/>
      <c r="G99" s="11"/>
      <c r="H99" s="11"/>
      <c r="I99" s="15"/>
      <c r="J99" s="12">
        <f t="shared" si="9"/>
        <v>42291.83</v>
      </c>
      <c r="K99" s="12">
        <f t="shared" si="10"/>
        <v>16407.580000000002</v>
      </c>
    </row>
    <row r="100" spans="2:11" x14ac:dyDescent="0.25">
      <c r="B100" s="18">
        <v>42914</v>
      </c>
      <c r="C100" s="9" t="s">
        <v>786</v>
      </c>
      <c r="D100" s="11"/>
      <c r="E100" s="11"/>
      <c r="F100" s="11"/>
      <c r="G100" s="11"/>
      <c r="H100" s="11">
        <v>300</v>
      </c>
      <c r="I100" s="15"/>
      <c r="J100" s="12">
        <f t="shared" si="9"/>
        <v>42291.83</v>
      </c>
      <c r="K100" s="12">
        <f t="shared" si="10"/>
        <v>16107.580000000002</v>
      </c>
    </row>
    <row r="101" spans="2:11" x14ac:dyDescent="0.25">
      <c r="B101" s="18">
        <v>42915</v>
      </c>
      <c r="C101" s="9" t="s">
        <v>805</v>
      </c>
      <c r="D101" s="11">
        <v>1500</v>
      </c>
      <c r="E101" s="11"/>
      <c r="F101" s="11"/>
      <c r="G101" s="11"/>
      <c r="H101" s="11"/>
      <c r="I101" s="15"/>
      <c r="J101" s="12">
        <f t="shared" si="9"/>
        <v>42291.83</v>
      </c>
      <c r="K101" s="12">
        <f t="shared" si="10"/>
        <v>17607.580000000002</v>
      </c>
    </row>
    <row r="102" spans="2:11" x14ac:dyDescent="0.25">
      <c r="B102" s="18">
        <v>42916</v>
      </c>
      <c r="C102" s="9" t="s">
        <v>806</v>
      </c>
      <c r="D102" s="11"/>
      <c r="E102" s="11"/>
      <c r="F102" s="11"/>
      <c r="G102" s="11"/>
      <c r="H102" s="11">
        <v>300</v>
      </c>
      <c r="I102" s="15"/>
      <c r="J102" s="12">
        <f t="shared" si="9"/>
        <v>42291.83</v>
      </c>
      <c r="K102" s="12">
        <f t="shared" si="10"/>
        <v>17307.580000000002</v>
      </c>
    </row>
    <row r="103" spans="2:11" x14ac:dyDescent="0.25">
      <c r="B103" s="18">
        <v>42916</v>
      </c>
      <c r="C103" s="9" t="s">
        <v>807</v>
      </c>
      <c r="D103" s="11"/>
      <c r="E103" s="11"/>
      <c r="F103" s="11"/>
      <c r="G103" s="11"/>
      <c r="H103" s="11">
        <v>450</v>
      </c>
      <c r="I103" s="15"/>
      <c r="J103" s="12">
        <f t="shared" si="9"/>
        <v>42291.83</v>
      </c>
      <c r="K103" s="12">
        <f t="shared" si="10"/>
        <v>16857.580000000002</v>
      </c>
    </row>
    <row r="104" spans="2:11" x14ac:dyDescent="0.25">
      <c r="B104" s="18">
        <v>42892</v>
      </c>
      <c r="C104" s="13" t="s">
        <v>802</v>
      </c>
      <c r="D104" s="41"/>
      <c r="E104" s="41">
        <v>300.45999999999998</v>
      </c>
      <c r="F104" s="11"/>
      <c r="G104" s="11"/>
      <c r="H104" s="11"/>
      <c r="I104" s="15"/>
      <c r="J104" s="12">
        <f t="shared" si="9"/>
        <v>42592.29</v>
      </c>
      <c r="K104" s="12">
        <f t="shared" si="10"/>
        <v>16857.580000000002</v>
      </c>
    </row>
    <row r="105" spans="2:11" ht="15.75" thickBot="1" x14ac:dyDescent="0.3">
      <c r="B105" s="18">
        <v>42895</v>
      </c>
      <c r="C105" s="13" t="s">
        <v>803</v>
      </c>
      <c r="D105" s="41"/>
      <c r="E105" s="41">
        <v>400.29</v>
      </c>
      <c r="F105" s="11"/>
      <c r="G105" s="11"/>
      <c r="H105" s="11"/>
      <c r="I105" s="15"/>
      <c r="J105" s="12">
        <f t="shared" si="9"/>
        <v>42992.58</v>
      </c>
      <c r="K105" s="12">
        <f t="shared" si="10"/>
        <v>16857.580000000002</v>
      </c>
    </row>
    <row r="106" spans="2:11" ht="15.75" thickBot="1" x14ac:dyDescent="0.3">
      <c r="B106" s="5"/>
      <c r="C106" s="7" t="s">
        <v>0</v>
      </c>
      <c r="D106" s="63">
        <f>SUM(D56:D105)</f>
        <v>74825</v>
      </c>
      <c r="E106" s="61">
        <f>SUM(E56:E105)</f>
        <v>13460.75</v>
      </c>
      <c r="F106" s="72">
        <f>SUM(D106:E106)</f>
        <v>88285.75</v>
      </c>
      <c r="G106" s="81">
        <f>SUM(G56:G105)</f>
        <v>16060</v>
      </c>
      <c r="H106" s="63">
        <f>SUM(H56:H105)</f>
        <v>66415.899999999994</v>
      </c>
      <c r="I106" s="72">
        <f>SUM(G106:H106)</f>
        <v>82475.899999999994</v>
      </c>
      <c r="J106" s="20"/>
      <c r="K106" s="20"/>
    </row>
    <row r="107" spans="2:11" x14ac:dyDescent="0.25">
      <c r="B107" s="69" t="s">
        <v>1</v>
      </c>
      <c r="C107" s="69" t="s">
        <v>2</v>
      </c>
      <c r="D107" s="69" t="s">
        <v>3</v>
      </c>
      <c r="E107" s="69" t="s">
        <v>3</v>
      </c>
      <c r="F107" s="69" t="s">
        <v>23</v>
      </c>
      <c r="G107" s="69" t="s">
        <v>24</v>
      </c>
      <c r="H107" s="48" t="s">
        <v>24</v>
      </c>
      <c r="I107" s="48" t="s">
        <v>23</v>
      </c>
      <c r="J107" s="69" t="s">
        <v>9</v>
      </c>
      <c r="K107" s="48" t="s">
        <v>8</v>
      </c>
    </row>
    <row r="108" spans="2:11" ht="15.75" thickBot="1" x14ac:dyDescent="0.3">
      <c r="B108" s="70"/>
      <c r="C108" s="97"/>
      <c r="D108" s="70" t="s">
        <v>5</v>
      </c>
      <c r="E108" s="70" t="s">
        <v>25</v>
      </c>
      <c r="F108" s="70" t="s">
        <v>3</v>
      </c>
      <c r="G108" s="70" t="s">
        <v>25</v>
      </c>
      <c r="H108" s="71" t="s">
        <v>5</v>
      </c>
      <c r="I108" s="71" t="s">
        <v>4</v>
      </c>
      <c r="J108" s="70"/>
      <c r="K108" s="71"/>
    </row>
    <row r="109" spans="2:11" ht="15.75" thickBot="1" x14ac:dyDescent="0.3">
      <c r="B109" s="5"/>
      <c r="C109" s="7" t="s">
        <v>0</v>
      </c>
      <c r="D109" s="63">
        <v>74825</v>
      </c>
      <c r="E109" s="61">
        <v>13460.75</v>
      </c>
      <c r="F109" s="72">
        <f>SUM(D109:E109)</f>
        <v>88285.75</v>
      </c>
      <c r="G109" s="81">
        <v>16060</v>
      </c>
      <c r="H109" s="63">
        <v>66415.899999999994</v>
      </c>
      <c r="I109" s="72">
        <f>SUM(G109:H109)</f>
        <v>82475.899999999994</v>
      </c>
      <c r="J109" s="20">
        <v>42992.58</v>
      </c>
      <c r="K109" s="20">
        <v>16857.580000000002</v>
      </c>
    </row>
    <row r="110" spans="2:11" x14ac:dyDescent="0.25">
      <c r="B110" s="18">
        <v>42916</v>
      </c>
      <c r="C110" s="13" t="s">
        <v>713</v>
      </c>
      <c r="D110" s="41"/>
      <c r="E110" s="41"/>
      <c r="F110" s="11"/>
      <c r="G110" s="11">
        <v>42</v>
      </c>
      <c r="H110" s="11"/>
      <c r="I110" s="15"/>
      <c r="J110" s="12">
        <f>+J105+E110-G110</f>
        <v>42950.58</v>
      </c>
      <c r="K110" s="12">
        <f>+K105+D110-H110</f>
        <v>16857.580000000002</v>
      </c>
    </row>
    <row r="111" spans="2:11" x14ac:dyDescent="0.25">
      <c r="B111" s="18">
        <v>42916</v>
      </c>
      <c r="C111" s="13" t="s">
        <v>171</v>
      </c>
      <c r="D111" s="41"/>
      <c r="E111" s="41"/>
      <c r="F111" s="11"/>
      <c r="G111" s="11">
        <v>6.72</v>
      </c>
      <c r="H111" s="11"/>
      <c r="I111" s="15"/>
      <c r="J111" s="12">
        <f>+J110+E111-G111</f>
        <v>42943.86</v>
      </c>
      <c r="K111" s="12">
        <f>+K110+D111-H111</f>
        <v>16857.580000000002</v>
      </c>
    </row>
    <row r="112" spans="2:11" ht="15.75" thickBot="1" x14ac:dyDescent="0.3">
      <c r="B112" s="18"/>
      <c r="C112" s="9"/>
      <c r="D112" s="11"/>
      <c r="E112" s="11"/>
      <c r="F112" s="11"/>
      <c r="G112" s="11"/>
      <c r="H112" s="11"/>
      <c r="I112" s="15"/>
      <c r="J112" s="12">
        <f t="shared" si="9"/>
        <v>42943.86</v>
      </c>
      <c r="K112" s="12">
        <f t="shared" si="10"/>
        <v>16857.580000000002</v>
      </c>
    </row>
    <row r="113" spans="2:11" ht="15.75" thickBot="1" x14ac:dyDescent="0.3">
      <c r="B113" s="5"/>
      <c r="C113" s="7" t="s">
        <v>0</v>
      </c>
      <c r="D113" s="63">
        <f>SUM(D109:D112)</f>
        <v>74825</v>
      </c>
      <c r="E113" s="61">
        <f>SUM(E109:E112)</f>
        <v>13460.75</v>
      </c>
      <c r="F113" s="72">
        <f>SUM(D113:E113)</f>
        <v>88285.75</v>
      </c>
      <c r="G113" s="81">
        <f>SUM(G109:G112)</f>
        <v>16108.72</v>
      </c>
      <c r="H113" s="63">
        <f>SUM(H109:H112)</f>
        <v>66415.899999999994</v>
      </c>
      <c r="I113" s="72">
        <f>SUM(G113:H113)</f>
        <v>82524.62</v>
      </c>
      <c r="J113" s="20"/>
      <c r="K113" s="20"/>
    </row>
    <row r="114" spans="2:11" ht="15.75" thickBot="1" x14ac:dyDescent="0.3"/>
    <row r="115" spans="2:11" ht="15.75" thickBot="1" x14ac:dyDescent="0.3">
      <c r="I115" s="75" t="s">
        <v>9</v>
      </c>
      <c r="J115" s="75" t="s">
        <v>8</v>
      </c>
      <c r="K115" s="96" t="s">
        <v>0</v>
      </c>
    </row>
    <row r="116" spans="2:11" ht="15.75" thickBot="1" x14ac:dyDescent="0.3">
      <c r="I116" s="26">
        <v>42943.86</v>
      </c>
      <c r="J116" s="26">
        <v>16857.580000000002</v>
      </c>
      <c r="K116" s="20">
        <f>SUM(I116:J116)</f>
        <v>59801.440000000002</v>
      </c>
    </row>
  </sheetData>
  <printOptions verticalCentered="1"/>
  <pageMargins left="0" right="0" top="0" bottom="5.9055118110236222" header="0.31496062992125984" footer="0.31496062992125984"/>
  <pageSetup paperSize="9" scale="75" fitToHeight="0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>
    <pageSetUpPr fitToPage="1"/>
  </sheetPr>
  <dimension ref="B1:K124"/>
  <sheetViews>
    <sheetView zoomScale="90" zoomScaleNormal="90" workbookViewId="0">
      <pane ySplit="3" topLeftCell="A41" activePane="bottomLeft" state="frozen"/>
      <selection pane="bottomLeft" activeCell="C51" sqref="C51"/>
    </sheetView>
  </sheetViews>
  <sheetFormatPr baseColWidth="10" defaultRowHeight="15" x14ac:dyDescent="0.25"/>
  <cols>
    <col min="1" max="1" width="10.7109375" customWidth="1"/>
    <col min="2" max="2" width="11.7109375" customWidth="1"/>
    <col min="3" max="3" width="86" customWidth="1"/>
    <col min="4" max="6" width="11.42578125" customWidth="1"/>
    <col min="8" max="10" width="11.42578125" customWidth="1"/>
    <col min="11" max="11" width="11.7109375" customWidth="1"/>
  </cols>
  <sheetData>
    <row r="1" spans="2:11" ht="16.5" thickBot="1" x14ac:dyDescent="0.3">
      <c r="B1" s="80"/>
      <c r="C1" s="82" t="s">
        <v>724</v>
      </c>
    </row>
    <row r="2" spans="2:11" x14ac:dyDescent="0.25">
      <c r="B2" s="69" t="s">
        <v>1</v>
      </c>
      <c r="C2" s="69" t="s">
        <v>2</v>
      </c>
      <c r="D2" s="69" t="s">
        <v>3</v>
      </c>
      <c r="E2" s="69" t="s">
        <v>3</v>
      </c>
      <c r="F2" s="69" t="s">
        <v>23</v>
      </c>
      <c r="G2" s="69" t="s">
        <v>24</v>
      </c>
      <c r="H2" s="48" t="s">
        <v>24</v>
      </c>
      <c r="I2" s="48" t="s">
        <v>23</v>
      </c>
      <c r="J2" s="69" t="s">
        <v>9</v>
      </c>
      <c r="K2" s="48" t="s">
        <v>8</v>
      </c>
    </row>
    <row r="3" spans="2:11" ht="15.75" thickBot="1" x14ac:dyDescent="0.3">
      <c r="B3" s="70"/>
      <c r="C3" s="70"/>
      <c r="D3" s="70" t="s">
        <v>5</v>
      </c>
      <c r="E3" s="70" t="s">
        <v>25</v>
      </c>
      <c r="F3" s="70" t="s">
        <v>3</v>
      </c>
      <c r="G3" s="70" t="s">
        <v>25</v>
      </c>
      <c r="H3" s="71" t="s">
        <v>5</v>
      </c>
      <c r="I3" s="71" t="s">
        <v>4</v>
      </c>
      <c r="J3" s="70"/>
      <c r="K3" s="71"/>
    </row>
    <row r="4" spans="2:11" x14ac:dyDescent="0.25">
      <c r="B4" s="23">
        <v>42916</v>
      </c>
      <c r="C4" s="66" t="s">
        <v>717</v>
      </c>
      <c r="D4" s="67"/>
      <c r="E4" s="64"/>
      <c r="F4" s="64"/>
      <c r="G4" s="64"/>
      <c r="H4" s="17"/>
      <c r="I4" s="65"/>
      <c r="J4" s="74">
        <v>42943.86</v>
      </c>
      <c r="K4" s="68">
        <v>16857.580000000002</v>
      </c>
    </row>
    <row r="5" spans="2:11" x14ac:dyDescent="0.25">
      <c r="B5" s="23">
        <v>42917</v>
      </c>
      <c r="C5" s="9" t="s">
        <v>808</v>
      </c>
      <c r="D5" s="11"/>
      <c r="E5" s="11"/>
      <c r="F5" s="11"/>
      <c r="G5" s="11"/>
      <c r="H5" s="11">
        <v>1200</v>
      </c>
      <c r="I5" s="15"/>
      <c r="J5" s="12">
        <f>+J4+E5-G5</f>
        <v>42943.86</v>
      </c>
      <c r="K5" s="12">
        <f>+K4+D5-H5</f>
        <v>15657.580000000002</v>
      </c>
    </row>
    <row r="6" spans="2:11" x14ac:dyDescent="0.25">
      <c r="B6" s="23">
        <v>42917</v>
      </c>
      <c r="C6" s="13" t="s">
        <v>809</v>
      </c>
      <c r="D6" s="11"/>
      <c r="E6" s="11"/>
      <c r="F6" s="11"/>
      <c r="G6" s="11"/>
      <c r="H6" s="11">
        <v>600</v>
      </c>
      <c r="I6" s="15"/>
      <c r="J6" s="12">
        <f>+J5+E6-G6</f>
        <v>42943.86</v>
      </c>
      <c r="K6" s="12">
        <f t="shared" ref="K6:K22" si="0">+K5+D6-H6</f>
        <v>15057.580000000002</v>
      </c>
    </row>
    <row r="7" spans="2:11" x14ac:dyDescent="0.25">
      <c r="B7" s="18">
        <v>42917</v>
      </c>
      <c r="C7" s="9" t="s">
        <v>810</v>
      </c>
      <c r="D7" s="11"/>
      <c r="E7" s="11"/>
      <c r="F7" s="11"/>
      <c r="G7" s="11"/>
      <c r="H7" s="59">
        <v>5000</v>
      </c>
      <c r="I7" s="15"/>
      <c r="J7" s="12">
        <f t="shared" ref="J7:J25" si="1">+J6+E7-G7</f>
        <v>42943.86</v>
      </c>
      <c r="K7" s="12">
        <f t="shared" si="0"/>
        <v>10057.580000000002</v>
      </c>
    </row>
    <row r="8" spans="2:11" x14ac:dyDescent="0.25">
      <c r="B8" s="18">
        <v>42917</v>
      </c>
      <c r="C8" s="13" t="s">
        <v>811</v>
      </c>
      <c r="D8" s="11"/>
      <c r="E8" s="11"/>
      <c r="F8" s="11"/>
      <c r="G8" s="11"/>
      <c r="H8" s="11">
        <v>1000</v>
      </c>
      <c r="I8" s="15"/>
      <c r="J8" s="12">
        <f t="shared" si="1"/>
        <v>42943.86</v>
      </c>
      <c r="K8" s="12">
        <f t="shared" si="0"/>
        <v>9057.5800000000017</v>
      </c>
    </row>
    <row r="9" spans="2:11" x14ac:dyDescent="0.25">
      <c r="B9" s="18">
        <v>42917</v>
      </c>
      <c r="C9" s="9" t="s">
        <v>812</v>
      </c>
      <c r="D9" s="11"/>
      <c r="E9" s="11"/>
      <c r="F9" s="11"/>
      <c r="G9" s="11"/>
      <c r="H9" s="59">
        <v>4000</v>
      </c>
      <c r="I9" s="15"/>
      <c r="J9" s="12">
        <f t="shared" si="1"/>
        <v>42943.86</v>
      </c>
      <c r="K9" s="12">
        <f t="shared" si="0"/>
        <v>5057.5800000000017</v>
      </c>
    </row>
    <row r="10" spans="2:11" x14ac:dyDescent="0.25">
      <c r="B10" s="18">
        <v>42917</v>
      </c>
      <c r="C10" s="9" t="s">
        <v>813</v>
      </c>
      <c r="D10" s="11"/>
      <c r="E10" s="11"/>
      <c r="F10" s="11"/>
      <c r="G10" s="11"/>
      <c r="H10" s="11">
        <v>500</v>
      </c>
      <c r="I10" s="15"/>
      <c r="J10" s="12">
        <f t="shared" si="1"/>
        <v>42943.86</v>
      </c>
      <c r="K10" s="12">
        <f t="shared" si="0"/>
        <v>4557.5800000000017</v>
      </c>
    </row>
    <row r="11" spans="2:11" x14ac:dyDescent="0.25">
      <c r="B11" s="18">
        <v>42918</v>
      </c>
      <c r="C11" s="9" t="s">
        <v>817</v>
      </c>
      <c r="D11" s="11"/>
      <c r="E11" s="11"/>
      <c r="F11" s="11"/>
      <c r="G11" s="11"/>
      <c r="H11" s="11">
        <v>500</v>
      </c>
      <c r="I11" s="15"/>
      <c r="J11" s="12">
        <f t="shared" si="1"/>
        <v>42943.86</v>
      </c>
      <c r="K11" s="12">
        <f t="shared" si="0"/>
        <v>4057.5800000000017</v>
      </c>
    </row>
    <row r="12" spans="2:11" x14ac:dyDescent="0.25">
      <c r="B12" s="18">
        <v>42918</v>
      </c>
      <c r="C12" s="9" t="s">
        <v>816</v>
      </c>
      <c r="D12" s="11"/>
      <c r="E12" s="11"/>
      <c r="F12" s="11"/>
      <c r="G12" s="11"/>
      <c r="H12" s="59">
        <v>400</v>
      </c>
      <c r="I12" s="15"/>
      <c r="J12" s="12">
        <f t="shared" si="1"/>
        <v>42943.86</v>
      </c>
      <c r="K12" s="12">
        <f t="shared" si="0"/>
        <v>3657.5800000000017</v>
      </c>
    </row>
    <row r="13" spans="2:11" x14ac:dyDescent="0.25">
      <c r="B13" s="18">
        <v>42918</v>
      </c>
      <c r="C13" s="9" t="s">
        <v>814</v>
      </c>
      <c r="D13" s="11"/>
      <c r="E13" s="11"/>
      <c r="F13" s="11"/>
      <c r="G13" s="11"/>
      <c r="H13" s="11">
        <v>120</v>
      </c>
      <c r="I13" s="15"/>
      <c r="J13" s="12">
        <f t="shared" si="1"/>
        <v>42943.86</v>
      </c>
      <c r="K13" s="12">
        <f t="shared" si="0"/>
        <v>3537.5800000000017</v>
      </c>
    </row>
    <row r="14" spans="2:11" x14ac:dyDescent="0.25">
      <c r="B14" s="18">
        <v>42918</v>
      </c>
      <c r="C14" s="9" t="s">
        <v>815</v>
      </c>
      <c r="D14" s="11"/>
      <c r="E14" s="11"/>
      <c r="F14" s="11"/>
      <c r="G14" s="11"/>
      <c r="H14" s="59">
        <v>138</v>
      </c>
      <c r="I14" s="15"/>
      <c r="J14" s="12">
        <f t="shared" si="1"/>
        <v>42943.86</v>
      </c>
      <c r="K14" s="12">
        <f t="shared" si="0"/>
        <v>3399.5800000000017</v>
      </c>
    </row>
    <row r="15" spans="2:11" x14ac:dyDescent="0.25">
      <c r="B15" s="18">
        <v>42918</v>
      </c>
      <c r="C15" s="9" t="s">
        <v>818</v>
      </c>
      <c r="D15" s="11"/>
      <c r="E15" s="11"/>
      <c r="F15" s="11"/>
      <c r="G15" s="11"/>
      <c r="H15" s="11">
        <v>270</v>
      </c>
      <c r="I15" s="15"/>
      <c r="J15" s="12">
        <f t="shared" si="1"/>
        <v>42943.86</v>
      </c>
      <c r="K15" s="12">
        <f t="shared" si="0"/>
        <v>3129.5800000000017</v>
      </c>
    </row>
    <row r="16" spans="2:11" x14ac:dyDescent="0.25">
      <c r="B16" s="18">
        <v>42918</v>
      </c>
      <c r="C16" s="9" t="s">
        <v>819</v>
      </c>
      <c r="D16" s="11">
        <v>23025</v>
      </c>
      <c r="E16" s="11"/>
      <c r="F16" s="11"/>
      <c r="G16" s="11"/>
      <c r="H16" s="11"/>
      <c r="I16" s="15"/>
      <c r="J16" s="12">
        <f t="shared" si="1"/>
        <v>42943.86</v>
      </c>
      <c r="K16" s="12">
        <f t="shared" si="0"/>
        <v>26154.58</v>
      </c>
    </row>
    <row r="17" spans="2:11" x14ac:dyDescent="0.25">
      <c r="B17" s="18">
        <v>42918</v>
      </c>
      <c r="C17" s="13" t="s">
        <v>745</v>
      </c>
      <c r="D17" s="11"/>
      <c r="E17" s="11"/>
      <c r="F17" s="11"/>
      <c r="G17" s="11"/>
      <c r="H17" s="11">
        <v>310</v>
      </c>
      <c r="I17" s="15"/>
      <c r="J17" s="12">
        <f t="shared" si="1"/>
        <v>42943.86</v>
      </c>
      <c r="K17" s="12">
        <f t="shared" si="0"/>
        <v>25844.58</v>
      </c>
    </row>
    <row r="18" spans="2:11" x14ac:dyDescent="0.25">
      <c r="B18" s="18">
        <v>42919</v>
      </c>
      <c r="C18" s="9" t="s">
        <v>745</v>
      </c>
      <c r="D18" s="11"/>
      <c r="E18" s="11"/>
      <c r="F18" s="11"/>
      <c r="G18" s="11"/>
      <c r="H18" s="11">
        <v>310</v>
      </c>
      <c r="I18" s="15"/>
      <c r="J18" s="12">
        <f t="shared" si="1"/>
        <v>42943.86</v>
      </c>
      <c r="K18" s="12">
        <f t="shared" si="0"/>
        <v>25534.58</v>
      </c>
    </row>
    <row r="19" spans="2:11" x14ac:dyDescent="0.25">
      <c r="B19" s="18">
        <v>42919</v>
      </c>
      <c r="C19" s="9" t="s">
        <v>820</v>
      </c>
      <c r="D19" s="11"/>
      <c r="E19" s="11"/>
      <c r="F19" s="11"/>
      <c r="G19" s="11"/>
      <c r="H19" s="11">
        <v>130</v>
      </c>
      <c r="I19" s="15"/>
      <c r="J19" s="12">
        <f t="shared" si="1"/>
        <v>42943.86</v>
      </c>
      <c r="K19" s="12">
        <f t="shared" si="0"/>
        <v>25404.58</v>
      </c>
    </row>
    <row r="20" spans="2:11" x14ac:dyDescent="0.25">
      <c r="B20" s="18">
        <v>42919</v>
      </c>
      <c r="C20" s="9" t="s">
        <v>821</v>
      </c>
      <c r="D20" s="11"/>
      <c r="E20" s="11"/>
      <c r="F20" s="11"/>
      <c r="G20" s="11"/>
      <c r="H20" s="11">
        <v>108</v>
      </c>
      <c r="I20" s="15"/>
      <c r="J20" s="12">
        <f t="shared" si="1"/>
        <v>42943.86</v>
      </c>
      <c r="K20" s="12">
        <f t="shared" si="0"/>
        <v>25296.58</v>
      </c>
    </row>
    <row r="21" spans="2:11" x14ac:dyDescent="0.25">
      <c r="B21" s="18">
        <v>42919</v>
      </c>
      <c r="C21" s="9" t="s">
        <v>877</v>
      </c>
      <c r="D21" s="11"/>
      <c r="E21" s="11"/>
      <c r="F21" s="11"/>
      <c r="G21" s="11">
        <v>10050</v>
      </c>
      <c r="H21" s="59"/>
      <c r="I21" s="15"/>
      <c r="J21" s="12">
        <f t="shared" si="1"/>
        <v>32893.86</v>
      </c>
      <c r="K21" s="12">
        <f t="shared" si="0"/>
        <v>25296.58</v>
      </c>
    </row>
    <row r="22" spans="2:11" x14ac:dyDescent="0.25">
      <c r="B22" s="18">
        <v>42859</v>
      </c>
      <c r="C22" s="9" t="s">
        <v>817</v>
      </c>
      <c r="D22" s="11"/>
      <c r="E22" s="11"/>
      <c r="F22" s="11"/>
      <c r="G22" s="11"/>
      <c r="H22" s="59">
        <v>500</v>
      </c>
      <c r="I22" s="15"/>
      <c r="J22" s="12">
        <f t="shared" si="1"/>
        <v>32893.86</v>
      </c>
      <c r="K22" s="12">
        <f t="shared" si="0"/>
        <v>24796.58</v>
      </c>
    </row>
    <row r="23" spans="2:11" x14ac:dyDescent="0.25">
      <c r="B23" s="18">
        <v>42921</v>
      </c>
      <c r="C23" s="9" t="s">
        <v>822</v>
      </c>
      <c r="D23" s="11"/>
      <c r="E23" s="11"/>
      <c r="F23" s="11"/>
      <c r="G23" s="11"/>
      <c r="H23" s="11">
        <v>500</v>
      </c>
      <c r="I23" s="15"/>
      <c r="J23" s="12">
        <f t="shared" si="1"/>
        <v>32893.86</v>
      </c>
      <c r="K23" s="12">
        <f>+K22+D23-H23</f>
        <v>24296.58</v>
      </c>
    </row>
    <row r="24" spans="2:11" x14ac:dyDescent="0.25">
      <c r="B24" s="18">
        <v>42921</v>
      </c>
      <c r="C24" s="9" t="s">
        <v>823</v>
      </c>
      <c r="D24" s="11"/>
      <c r="E24" s="11"/>
      <c r="F24" s="11"/>
      <c r="G24" s="11">
        <v>900</v>
      </c>
      <c r="H24" s="11"/>
      <c r="I24" s="15"/>
      <c r="J24" s="12">
        <f t="shared" si="1"/>
        <v>31993.86</v>
      </c>
      <c r="K24" s="12">
        <f>+K23+D24-H24</f>
        <v>24296.58</v>
      </c>
    </row>
    <row r="25" spans="2:11" x14ac:dyDescent="0.25">
      <c r="B25" s="18">
        <v>42922</v>
      </c>
      <c r="C25" s="9" t="s">
        <v>824</v>
      </c>
      <c r="D25" s="11"/>
      <c r="E25" s="11"/>
      <c r="F25" s="11"/>
      <c r="G25" s="11"/>
      <c r="H25" s="11">
        <v>600</v>
      </c>
      <c r="I25" s="15"/>
      <c r="J25" s="12">
        <f t="shared" si="1"/>
        <v>31993.86</v>
      </c>
      <c r="K25" s="12">
        <f>+K24+D25-H25</f>
        <v>23696.58</v>
      </c>
    </row>
    <row r="26" spans="2:11" x14ac:dyDescent="0.25">
      <c r="B26" s="18">
        <v>42923</v>
      </c>
      <c r="C26" s="9" t="s">
        <v>825</v>
      </c>
      <c r="D26" s="11"/>
      <c r="E26" s="11"/>
      <c r="F26" s="11"/>
      <c r="G26" s="11"/>
      <c r="H26" s="11">
        <v>1000</v>
      </c>
      <c r="I26" s="15"/>
      <c r="J26" s="12">
        <f t="shared" ref="J26:J45" si="2">+J25+E26-G26</f>
        <v>31993.86</v>
      </c>
      <c r="K26" s="12">
        <f t="shared" ref="K26:K45" si="3">+K25+D26-H26</f>
        <v>22696.58</v>
      </c>
    </row>
    <row r="27" spans="2:11" x14ac:dyDescent="0.25">
      <c r="B27" s="18">
        <v>42923</v>
      </c>
      <c r="C27" s="9" t="s">
        <v>827</v>
      </c>
      <c r="D27" s="11"/>
      <c r="E27" s="11"/>
      <c r="F27" s="11"/>
      <c r="G27" s="11"/>
      <c r="H27" s="11">
        <v>200.8</v>
      </c>
      <c r="I27" s="15"/>
      <c r="J27" s="12">
        <f t="shared" si="2"/>
        <v>31993.86</v>
      </c>
      <c r="K27" s="12">
        <f t="shared" si="3"/>
        <v>22495.780000000002</v>
      </c>
    </row>
    <row r="28" spans="2:11" x14ac:dyDescent="0.25">
      <c r="B28" s="18">
        <v>42923</v>
      </c>
      <c r="C28" s="9" t="s">
        <v>738</v>
      </c>
      <c r="D28" s="11"/>
      <c r="E28" s="11"/>
      <c r="F28" s="11"/>
      <c r="G28" s="11"/>
      <c r="H28" s="11">
        <v>162</v>
      </c>
      <c r="I28" s="15"/>
      <c r="J28" s="12">
        <f t="shared" si="2"/>
        <v>31993.86</v>
      </c>
      <c r="K28" s="12">
        <f t="shared" si="3"/>
        <v>22333.780000000002</v>
      </c>
    </row>
    <row r="29" spans="2:11" x14ac:dyDescent="0.25">
      <c r="B29" s="18">
        <v>42923</v>
      </c>
      <c r="C29" s="9" t="s">
        <v>828</v>
      </c>
      <c r="D29" s="11"/>
      <c r="E29" s="11"/>
      <c r="F29" s="11"/>
      <c r="G29" s="11"/>
      <c r="H29" s="11">
        <v>800</v>
      </c>
      <c r="I29" s="15"/>
      <c r="J29" s="12">
        <f t="shared" si="2"/>
        <v>31993.86</v>
      </c>
      <c r="K29" s="12">
        <f t="shared" si="3"/>
        <v>21533.780000000002</v>
      </c>
    </row>
    <row r="30" spans="2:11" x14ac:dyDescent="0.25">
      <c r="B30" s="18">
        <v>42923</v>
      </c>
      <c r="C30" s="9" t="s">
        <v>829</v>
      </c>
      <c r="D30" s="11"/>
      <c r="E30" s="11"/>
      <c r="F30" s="11"/>
      <c r="G30" s="11">
        <v>2350</v>
      </c>
      <c r="H30" s="11"/>
      <c r="I30" s="15"/>
      <c r="J30" s="12">
        <f t="shared" si="2"/>
        <v>29643.86</v>
      </c>
      <c r="K30" s="12">
        <f t="shared" si="3"/>
        <v>21533.780000000002</v>
      </c>
    </row>
    <row r="31" spans="2:11" x14ac:dyDescent="0.25">
      <c r="B31" s="18">
        <v>42923</v>
      </c>
      <c r="C31" s="9" t="s">
        <v>830</v>
      </c>
      <c r="D31" s="11"/>
      <c r="E31" s="11"/>
      <c r="F31" s="11"/>
      <c r="G31" s="11"/>
      <c r="H31" s="11">
        <v>500</v>
      </c>
      <c r="I31" s="15"/>
      <c r="J31" s="12">
        <f t="shared" si="2"/>
        <v>29643.86</v>
      </c>
      <c r="K31" s="12">
        <f t="shared" si="3"/>
        <v>21033.780000000002</v>
      </c>
    </row>
    <row r="32" spans="2:11" x14ac:dyDescent="0.25">
      <c r="B32" s="18">
        <v>42923</v>
      </c>
      <c r="C32" s="9" t="s">
        <v>831</v>
      </c>
      <c r="D32" s="11"/>
      <c r="E32" s="11"/>
      <c r="F32" s="11"/>
      <c r="G32" s="11"/>
      <c r="H32" s="59">
        <v>400</v>
      </c>
      <c r="I32" s="15"/>
      <c r="J32" s="12">
        <f t="shared" si="2"/>
        <v>29643.86</v>
      </c>
      <c r="K32" s="12">
        <f t="shared" si="3"/>
        <v>20633.780000000002</v>
      </c>
    </row>
    <row r="33" spans="2:11" x14ac:dyDescent="0.25">
      <c r="B33" s="18">
        <v>42923</v>
      </c>
      <c r="C33" s="9" t="s">
        <v>826</v>
      </c>
      <c r="D33" s="11"/>
      <c r="E33" s="11"/>
      <c r="F33" s="11"/>
      <c r="G33" s="11"/>
      <c r="H33" s="11">
        <v>500</v>
      </c>
      <c r="I33" s="15"/>
      <c r="J33" s="12">
        <f t="shared" si="2"/>
        <v>29643.86</v>
      </c>
      <c r="K33" s="12">
        <f t="shared" si="3"/>
        <v>20133.780000000002</v>
      </c>
    </row>
    <row r="34" spans="2:11" x14ac:dyDescent="0.25">
      <c r="B34" s="18">
        <v>42924</v>
      </c>
      <c r="C34" s="9" t="s">
        <v>832</v>
      </c>
      <c r="D34" s="11"/>
      <c r="E34" s="11"/>
      <c r="F34" s="11"/>
      <c r="G34" s="11"/>
      <c r="H34" s="11">
        <v>1600</v>
      </c>
      <c r="I34" s="15"/>
      <c r="J34" s="12">
        <f t="shared" si="2"/>
        <v>29643.86</v>
      </c>
      <c r="K34" s="12">
        <f t="shared" si="3"/>
        <v>18533.780000000002</v>
      </c>
    </row>
    <row r="35" spans="2:11" x14ac:dyDescent="0.25">
      <c r="B35" s="18">
        <v>42924</v>
      </c>
      <c r="C35" s="9" t="s">
        <v>833</v>
      </c>
      <c r="D35" s="11"/>
      <c r="E35" s="11"/>
      <c r="F35" s="11"/>
      <c r="G35" s="11"/>
      <c r="H35" s="11">
        <v>100</v>
      </c>
      <c r="I35" s="15"/>
      <c r="J35" s="12">
        <f t="shared" si="2"/>
        <v>29643.86</v>
      </c>
      <c r="K35" s="12">
        <f t="shared" si="3"/>
        <v>18433.780000000002</v>
      </c>
    </row>
    <row r="36" spans="2:11" x14ac:dyDescent="0.25">
      <c r="B36" s="18">
        <v>42925</v>
      </c>
      <c r="C36" s="9" t="s">
        <v>834</v>
      </c>
      <c r="D36" s="11"/>
      <c r="E36" s="11"/>
      <c r="F36" s="11"/>
      <c r="G36" s="11"/>
      <c r="H36" s="11">
        <v>155</v>
      </c>
      <c r="I36" s="15"/>
      <c r="J36" s="12">
        <f t="shared" si="2"/>
        <v>29643.86</v>
      </c>
      <c r="K36" s="12">
        <f t="shared" si="3"/>
        <v>18278.780000000002</v>
      </c>
    </row>
    <row r="37" spans="2:11" x14ac:dyDescent="0.25">
      <c r="B37" s="18">
        <v>42925</v>
      </c>
      <c r="C37" s="9" t="s">
        <v>814</v>
      </c>
      <c r="D37" s="11"/>
      <c r="E37" s="11"/>
      <c r="F37" s="11"/>
      <c r="G37" s="11"/>
      <c r="H37" s="11">
        <v>120</v>
      </c>
      <c r="I37" s="15"/>
      <c r="J37" s="12">
        <f t="shared" si="2"/>
        <v>29643.86</v>
      </c>
      <c r="K37" s="12">
        <f t="shared" si="3"/>
        <v>18158.780000000002</v>
      </c>
    </row>
    <row r="38" spans="2:11" x14ac:dyDescent="0.25">
      <c r="B38" s="18">
        <v>42925</v>
      </c>
      <c r="C38" s="9" t="s">
        <v>420</v>
      </c>
      <c r="D38" s="11"/>
      <c r="E38" s="11"/>
      <c r="F38" s="11"/>
      <c r="G38" s="11"/>
      <c r="H38" s="11">
        <v>150</v>
      </c>
      <c r="I38" s="15"/>
      <c r="J38" s="12">
        <f t="shared" si="2"/>
        <v>29643.86</v>
      </c>
      <c r="K38" s="12">
        <f t="shared" si="3"/>
        <v>18008.780000000002</v>
      </c>
    </row>
    <row r="39" spans="2:11" x14ac:dyDescent="0.25">
      <c r="B39" s="18">
        <v>42926</v>
      </c>
      <c r="C39" s="9" t="s">
        <v>835</v>
      </c>
      <c r="D39" s="11"/>
      <c r="E39" s="11"/>
      <c r="F39" s="11"/>
      <c r="G39" s="11"/>
      <c r="H39" s="11">
        <v>400</v>
      </c>
      <c r="I39" s="15"/>
      <c r="J39" s="12">
        <f t="shared" si="2"/>
        <v>29643.86</v>
      </c>
      <c r="K39" s="12">
        <f t="shared" si="3"/>
        <v>17608.780000000002</v>
      </c>
    </row>
    <row r="40" spans="2:11" x14ac:dyDescent="0.25">
      <c r="B40" s="18">
        <v>42926</v>
      </c>
      <c r="C40" s="9" t="s">
        <v>836</v>
      </c>
      <c r="D40" s="11">
        <v>23100</v>
      </c>
      <c r="E40" s="11"/>
      <c r="F40" s="11"/>
      <c r="G40" s="11"/>
      <c r="H40" s="11"/>
      <c r="I40" s="15"/>
      <c r="J40" s="12">
        <f t="shared" si="2"/>
        <v>29643.86</v>
      </c>
      <c r="K40" s="12">
        <f t="shared" si="3"/>
        <v>40708.78</v>
      </c>
    </row>
    <row r="41" spans="2:11" x14ac:dyDescent="0.25">
      <c r="B41" s="18">
        <v>42926</v>
      </c>
      <c r="C41" s="9" t="s">
        <v>837</v>
      </c>
      <c r="D41" s="11"/>
      <c r="E41" s="11"/>
      <c r="F41" s="11"/>
      <c r="G41" s="11"/>
      <c r="H41" s="11">
        <v>249</v>
      </c>
      <c r="I41" s="15"/>
      <c r="J41" s="12">
        <f t="shared" si="2"/>
        <v>29643.86</v>
      </c>
      <c r="K41" s="12">
        <f t="shared" si="3"/>
        <v>40459.78</v>
      </c>
    </row>
    <row r="42" spans="2:11" x14ac:dyDescent="0.25">
      <c r="B42" s="18">
        <v>42926</v>
      </c>
      <c r="C42" s="9" t="s">
        <v>840</v>
      </c>
      <c r="D42" s="11"/>
      <c r="E42" s="11"/>
      <c r="F42" s="11"/>
      <c r="G42" s="11"/>
      <c r="H42" s="59">
        <v>1290</v>
      </c>
      <c r="I42" s="15"/>
      <c r="J42" s="12">
        <f t="shared" si="2"/>
        <v>29643.86</v>
      </c>
      <c r="K42" s="12">
        <f t="shared" si="3"/>
        <v>39169.78</v>
      </c>
    </row>
    <row r="43" spans="2:11" x14ac:dyDescent="0.25">
      <c r="B43" s="18">
        <v>42926</v>
      </c>
      <c r="C43" s="9" t="s">
        <v>838</v>
      </c>
      <c r="D43" s="11"/>
      <c r="E43" s="11"/>
      <c r="F43" s="11"/>
      <c r="G43" s="11"/>
      <c r="H43" s="59">
        <v>400</v>
      </c>
      <c r="I43" s="15"/>
      <c r="J43" s="12">
        <f t="shared" si="2"/>
        <v>29643.86</v>
      </c>
      <c r="K43" s="12">
        <f t="shared" si="3"/>
        <v>38769.78</v>
      </c>
    </row>
    <row r="44" spans="2:11" x14ac:dyDescent="0.25">
      <c r="B44" s="18">
        <v>42926</v>
      </c>
      <c r="C44" s="9" t="s">
        <v>839</v>
      </c>
      <c r="D44" s="11"/>
      <c r="E44" s="11"/>
      <c r="F44" s="11"/>
      <c r="G44" s="105"/>
      <c r="H44" s="59">
        <v>150</v>
      </c>
      <c r="I44" s="15"/>
      <c r="J44" s="12">
        <f t="shared" si="2"/>
        <v>29643.86</v>
      </c>
      <c r="K44" s="12">
        <f t="shared" si="3"/>
        <v>38619.78</v>
      </c>
    </row>
    <row r="45" spans="2:11" x14ac:dyDescent="0.25">
      <c r="B45" s="18">
        <v>42926</v>
      </c>
      <c r="C45" s="9" t="s">
        <v>841</v>
      </c>
      <c r="D45" s="11"/>
      <c r="E45" s="11"/>
      <c r="F45" s="11"/>
      <c r="G45" s="11"/>
      <c r="H45" s="59">
        <v>360</v>
      </c>
      <c r="I45" s="15"/>
      <c r="J45" s="12">
        <f t="shared" si="2"/>
        <v>29643.86</v>
      </c>
      <c r="K45" s="12">
        <f t="shared" si="3"/>
        <v>38259.78</v>
      </c>
    </row>
    <row r="46" spans="2:11" x14ac:dyDescent="0.25">
      <c r="B46" s="18">
        <v>42926</v>
      </c>
      <c r="C46" s="9" t="s">
        <v>842</v>
      </c>
      <c r="D46" s="11"/>
      <c r="E46" s="11"/>
      <c r="F46" s="11"/>
      <c r="G46" s="11"/>
      <c r="H46" s="59">
        <v>300</v>
      </c>
      <c r="I46" s="15"/>
      <c r="J46" s="12">
        <f t="shared" ref="J46:J53" si="4">+J45+E46-G46</f>
        <v>29643.86</v>
      </c>
      <c r="K46" s="12">
        <f t="shared" ref="K46:K53" si="5">+K45+D46-H46</f>
        <v>37959.78</v>
      </c>
    </row>
    <row r="47" spans="2:11" x14ac:dyDescent="0.25">
      <c r="B47" s="18">
        <v>42927</v>
      </c>
      <c r="C47" s="9" t="s">
        <v>843</v>
      </c>
      <c r="D47" s="11"/>
      <c r="E47" s="11"/>
      <c r="F47" s="11"/>
      <c r="G47" s="11"/>
      <c r="H47" s="59">
        <v>913</v>
      </c>
      <c r="I47" s="15"/>
      <c r="J47" s="12">
        <f t="shared" si="4"/>
        <v>29643.86</v>
      </c>
      <c r="K47" s="12">
        <f t="shared" si="5"/>
        <v>37046.78</v>
      </c>
    </row>
    <row r="48" spans="2:11" x14ac:dyDescent="0.25">
      <c r="B48" s="18">
        <v>42927</v>
      </c>
      <c r="C48" s="9" t="s">
        <v>844</v>
      </c>
      <c r="D48" s="11"/>
      <c r="E48" s="11"/>
      <c r="F48" s="11"/>
      <c r="G48" s="11"/>
      <c r="H48" s="59">
        <v>1770</v>
      </c>
      <c r="I48" s="15"/>
      <c r="J48" s="12">
        <f t="shared" si="4"/>
        <v>29643.86</v>
      </c>
      <c r="K48" s="12">
        <f t="shared" si="5"/>
        <v>35276.78</v>
      </c>
    </row>
    <row r="49" spans="2:11" x14ac:dyDescent="0.25">
      <c r="B49" s="18">
        <v>42927</v>
      </c>
      <c r="C49" s="13" t="s">
        <v>1126</v>
      </c>
      <c r="D49" s="11"/>
      <c r="E49" s="11"/>
      <c r="F49" s="11"/>
      <c r="G49" s="11">
        <v>1760</v>
      </c>
      <c r="H49" s="59"/>
      <c r="I49" s="15"/>
      <c r="J49" s="12">
        <f t="shared" si="4"/>
        <v>27883.86</v>
      </c>
      <c r="K49" s="12">
        <f t="shared" si="5"/>
        <v>35276.78</v>
      </c>
    </row>
    <row r="50" spans="2:11" x14ac:dyDescent="0.25">
      <c r="B50" s="18">
        <v>42927</v>
      </c>
      <c r="C50" s="9" t="s">
        <v>1127</v>
      </c>
      <c r="D50" s="11"/>
      <c r="E50" s="11"/>
      <c r="F50" s="11"/>
      <c r="G50" s="11">
        <v>1300</v>
      </c>
      <c r="H50" s="59"/>
      <c r="I50" s="15"/>
      <c r="J50" s="12">
        <f t="shared" si="4"/>
        <v>26583.86</v>
      </c>
      <c r="K50" s="12">
        <f t="shared" si="5"/>
        <v>35276.78</v>
      </c>
    </row>
    <row r="51" spans="2:11" x14ac:dyDescent="0.25">
      <c r="B51" s="18">
        <v>42928</v>
      </c>
      <c r="C51" s="9" t="s">
        <v>845</v>
      </c>
      <c r="D51" s="11"/>
      <c r="E51" s="11"/>
      <c r="F51" s="11"/>
      <c r="G51" s="11"/>
      <c r="H51" s="59">
        <v>100</v>
      </c>
      <c r="I51" s="15"/>
      <c r="J51" s="12">
        <f t="shared" si="4"/>
        <v>26583.86</v>
      </c>
      <c r="K51" s="12">
        <f t="shared" si="5"/>
        <v>35176.78</v>
      </c>
    </row>
    <row r="52" spans="2:11" x14ac:dyDescent="0.25">
      <c r="B52" s="18">
        <v>42929</v>
      </c>
      <c r="C52" s="9" t="s">
        <v>846</v>
      </c>
      <c r="D52" s="11"/>
      <c r="E52" s="11"/>
      <c r="F52" s="11"/>
      <c r="G52" s="11"/>
      <c r="H52" s="59">
        <v>200</v>
      </c>
      <c r="I52" s="15"/>
      <c r="J52" s="12">
        <f t="shared" si="4"/>
        <v>26583.86</v>
      </c>
      <c r="K52" s="12">
        <f t="shared" si="5"/>
        <v>34976.78</v>
      </c>
    </row>
    <row r="53" spans="2:11" ht="15.75" thickBot="1" x14ac:dyDescent="0.3">
      <c r="B53" s="18">
        <v>42929</v>
      </c>
      <c r="C53" s="13" t="s">
        <v>847</v>
      </c>
      <c r="D53" s="41"/>
      <c r="E53" s="41"/>
      <c r="F53" s="41"/>
      <c r="G53" s="41"/>
      <c r="H53" s="11">
        <v>120</v>
      </c>
      <c r="I53" s="15"/>
      <c r="J53" s="12">
        <f t="shared" si="4"/>
        <v>26583.86</v>
      </c>
      <c r="K53" s="12">
        <f t="shared" si="5"/>
        <v>34856.78</v>
      </c>
    </row>
    <row r="54" spans="2:11" ht="15.75" thickBot="1" x14ac:dyDescent="0.3">
      <c r="B54" s="5"/>
      <c r="C54" s="7" t="s">
        <v>0</v>
      </c>
      <c r="D54" s="63">
        <f>SUM(D4:D53)</f>
        <v>46125</v>
      </c>
      <c r="E54" s="61">
        <f>SUM(E4:E53)</f>
        <v>0</v>
      </c>
      <c r="F54" s="72">
        <f>SUM(D54:E54)</f>
        <v>46125</v>
      </c>
      <c r="G54" s="81">
        <f>SUM(G4:G53)</f>
        <v>16360</v>
      </c>
      <c r="H54" s="63">
        <f>SUM(H4:H53)</f>
        <v>28125.8</v>
      </c>
      <c r="I54" s="72">
        <f>SUM(G54:H54)</f>
        <v>44485.8</v>
      </c>
      <c r="J54" s="20"/>
      <c r="K54" s="20"/>
    </row>
    <row r="55" spans="2:11" x14ac:dyDescent="0.25">
      <c r="B55" s="69" t="s">
        <v>1</v>
      </c>
      <c r="C55" s="69" t="s">
        <v>2</v>
      </c>
      <c r="D55" s="69" t="s">
        <v>3</v>
      </c>
      <c r="E55" s="69" t="s">
        <v>3</v>
      </c>
      <c r="F55" s="69" t="s">
        <v>23</v>
      </c>
      <c r="G55" s="69" t="s">
        <v>24</v>
      </c>
      <c r="H55" s="48" t="s">
        <v>24</v>
      </c>
      <c r="I55" s="48" t="s">
        <v>23</v>
      </c>
      <c r="J55" s="69" t="s">
        <v>9</v>
      </c>
      <c r="K55" s="48" t="s">
        <v>8</v>
      </c>
    </row>
    <row r="56" spans="2:11" ht="15.75" thickBot="1" x14ac:dyDescent="0.3">
      <c r="B56" s="70"/>
      <c r="C56" s="70"/>
      <c r="D56" s="70" t="s">
        <v>5</v>
      </c>
      <c r="E56" s="70" t="s">
        <v>25</v>
      </c>
      <c r="F56" s="70" t="s">
        <v>3</v>
      </c>
      <c r="G56" s="70" t="s">
        <v>25</v>
      </c>
      <c r="H56" s="71" t="s">
        <v>5</v>
      </c>
      <c r="I56" s="71" t="s">
        <v>4</v>
      </c>
      <c r="J56" s="70"/>
      <c r="K56" s="71"/>
    </row>
    <row r="57" spans="2:11" ht="15.75" thickBot="1" x14ac:dyDescent="0.3">
      <c r="B57" s="5"/>
      <c r="C57" s="7" t="s">
        <v>0</v>
      </c>
      <c r="D57" s="63">
        <v>46125</v>
      </c>
      <c r="E57" s="61">
        <v>0</v>
      </c>
      <c r="F57" s="72">
        <f>SUM(D57:E57)</f>
        <v>46125</v>
      </c>
      <c r="G57" s="81">
        <v>16360</v>
      </c>
      <c r="H57" s="63">
        <v>28125.8</v>
      </c>
      <c r="I57" s="72">
        <f>SUM(G57:H57)</f>
        <v>44485.8</v>
      </c>
      <c r="J57" s="20">
        <v>26583.86</v>
      </c>
      <c r="K57" s="12">
        <v>34856.78</v>
      </c>
    </row>
    <row r="58" spans="2:11" x14ac:dyDescent="0.25">
      <c r="B58" s="18">
        <v>42929</v>
      </c>
      <c r="C58" s="13" t="s">
        <v>848</v>
      </c>
      <c r="D58" s="41"/>
      <c r="E58" s="41"/>
      <c r="F58" s="41"/>
      <c r="G58" s="16">
        <v>5000</v>
      </c>
      <c r="H58" s="11"/>
      <c r="I58" s="15"/>
      <c r="J58" s="12">
        <f>+J57+E58-G58</f>
        <v>21583.86</v>
      </c>
      <c r="K58" s="12">
        <f>+K57+D58-H58</f>
        <v>34856.78</v>
      </c>
    </row>
    <row r="59" spans="2:11" x14ac:dyDescent="0.25">
      <c r="B59" s="18">
        <v>42929</v>
      </c>
      <c r="C59" s="13" t="s">
        <v>849</v>
      </c>
      <c r="D59" s="41"/>
      <c r="E59" s="41"/>
      <c r="F59" s="41"/>
      <c r="G59" s="41"/>
      <c r="H59" s="11">
        <v>25100</v>
      </c>
      <c r="I59" s="15"/>
      <c r="J59" s="12">
        <f t="shared" ref="J59:J99" si="6">+J58+E59-G59</f>
        <v>21583.86</v>
      </c>
      <c r="K59" s="12">
        <f t="shared" ref="K59:K99" si="7">+K58+D59-H59</f>
        <v>9756.7799999999988</v>
      </c>
    </row>
    <row r="60" spans="2:11" x14ac:dyDescent="0.25">
      <c r="B60" s="18">
        <v>42929</v>
      </c>
      <c r="C60" s="13"/>
      <c r="D60" s="11"/>
      <c r="E60" s="11"/>
      <c r="F60" s="11"/>
      <c r="G60" s="11"/>
      <c r="H60" s="11">
        <v>500</v>
      </c>
      <c r="I60" s="15"/>
      <c r="J60" s="12">
        <f t="shared" si="6"/>
        <v>21583.86</v>
      </c>
      <c r="K60" s="12">
        <f t="shared" si="7"/>
        <v>9256.7799999999988</v>
      </c>
    </row>
    <row r="61" spans="2:11" x14ac:dyDescent="0.25">
      <c r="B61" s="18">
        <v>42930</v>
      </c>
      <c r="C61" s="13" t="s">
        <v>855</v>
      </c>
      <c r="D61" s="11"/>
      <c r="E61" s="11"/>
      <c r="F61" s="11"/>
      <c r="G61" s="11"/>
      <c r="H61" s="11">
        <v>1000</v>
      </c>
      <c r="I61" s="15"/>
      <c r="J61" s="12">
        <f t="shared" si="6"/>
        <v>21583.86</v>
      </c>
      <c r="K61" s="12">
        <f t="shared" si="7"/>
        <v>8256.7799999999988</v>
      </c>
    </row>
    <row r="62" spans="2:11" x14ac:dyDescent="0.25">
      <c r="B62" s="18">
        <v>42931</v>
      </c>
      <c r="C62" s="13" t="s">
        <v>854</v>
      </c>
      <c r="D62" s="11"/>
      <c r="E62" s="11"/>
      <c r="F62" s="11"/>
      <c r="G62" s="11"/>
      <c r="H62" s="11">
        <v>350</v>
      </c>
      <c r="I62" s="15"/>
      <c r="J62" s="12">
        <f t="shared" si="6"/>
        <v>21583.86</v>
      </c>
      <c r="K62" s="12">
        <f t="shared" si="7"/>
        <v>7906.7799999999988</v>
      </c>
    </row>
    <row r="63" spans="2:11" x14ac:dyDescent="0.25">
      <c r="B63" s="18">
        <v>42931</v>
      </c>
      <c r="C63" s="9" t="s">
        <v>850</v>
      </c>
      <c r="D63" s="11"/>
      <c r="E63" s="11"/>
      <c r="F63" s="11"/>
      <c r="G63" s="11"/>
      <c r="H63" s="11">
        <v>450</v>
      </c>
      <c r="I63" s="15"/>
      <c r="J63" s="12">
        <f t="shared" si="6"/>
        <v>21583.86</v>
      </c>
      <c r="K63" s="12">
        <f t="shared" si="7"/>
        <v>7456.7799999999988</v>
      </c>
    </row>
    <row r="64" spans="2:11" x14ac:dyDescent="0.25">
      <c r="B64" s="18">
        <v>42931</v>
      </c>
      <c r="C64" s="9" t="s">
        <v>851</v>
      </c>
      <c r="D64" s="11"/>
      <c r="E64" s="11"/>
      <c r="F64" s="11"/>
      <c r="G64" s="11"/>
      <c r="H64" s="11">
        <v>500</v>
      </c>
      <c r="I64" s="15"/>
      <c r="J64" s="12">
        <f t="shared" si="6"/>
        <v>21583.86</v>
      </c>
      <c r="K64" s="12">
        <f t="shared" si="7"/>
        <v>6956.7799999999988</v>
      </c>
    </row>
    <row r="65" spans="2:11" x14ac:dyDescent="0.25">
      <c r="B65" s="18">
        <v>42931</v>
      </c>
      <c r="C65" s="9" t="s">
        <v>852</v>
      </c>
      <c r="D65" s="11"/>
      <c r="E65" s="11"/>
      <c r="F65" s="11"/>
      <c r="G65" s="11"/>
      <c r="H65" s="59">
        <v>4000</v>
      </c>
      <c r="I65" s="15"/>
      <c r="J65" s="12">
        <f t="shared" si="6"/>
        <v>21583.86</v>
      </c>
      <c r="K65" s="12">
        <f t="shared" si="7"/>
        <v>2956.7799999999988</v>
      </c>
    </row>
    <row r="66" spans="2:11" x14ac:dyDescent="0.25">
      <c r="B66" s="18">
        <v>42932</v>
      </c>
      <c r="C66" s="13" t="s">
        <v>853</v>
      </c>
      <c r="D66" s="41"/>
      <c r="E66" s="41"/>
      <c r="F66" s="41"/>
      <c r="G66" s="41"/>
      <c r="H66" s="11">
        <v>400</v>
      </c>
      <c r="I66" s="15"/>
      <c r="J66" s="12">
        <f t="shared" si="6"/>
        <v>21583.86</v>
      </c>
      <c r="K66" s="12">
        <f t="shared" si="7"/>
        <v>2556.7799999999988</v>
      </c>
    </row>
    <row r="67" spans="2:11" x14ac:dyDescent="0.25">
      <c r="B67" s="18">
        <v>42932</v>
      </c>
      <c r="C67" s="13" t="s">
        <v>815</v>
      </c>
      <c r="D67" s="41"/>
      <c r="E67" s="41"/>
      <c r="F67" s="41"/>
      <c r="G67" s="16"/>
      <c r="H67" s="11">
        <v>165.4</v>
      </c>
      <c r="I67" s="15"/>
      <c r="J67" s="12">
        <f t="shared" si="6"/>
        <v>21583.86</v>
      </c>
      <c r="K67" s="12">
        <f t="shared" si="7"/>
        <v>2391.3799999999987</v>
      </c>
    </row>
    <row r="68" spans="2:11" x14ac:dyDescent="0.25">
      <c r="B68" s="18">
        <v>42932</v>
      </c>
      <c r="C68" s="13" t="s">
        <v>420</v>
      </c>
      <c r="D68" s="41"/>
      <c r="E68" s="41"/>
      <c r="F68" s="41"/>
      <c r="G68" s="41"/>
      <c r="H68" s="11">
        <v>150</v>
      </c>
      <c r="I68" s="15"/>
      <c r="J68" s="12">
        <f t="shared" si="6"/>
        <v>21583.86</v>
      </c>
      <c r="K68" s="12">
        <f t="shared" si="7"/>
        <v>2241.3799999999987</v>
      </c>
    </row>
    <row r="69" spans="2:11" x14ac:dyDescent="0.25">
      <c r="B69" s="18">
        <v>42932</v>
      </c>
      <c r="C69" s="9" t="s">
        <v>814</v>
      </c>
      <c r="D69" s="11"/>
      <c r="E69" s="11"/>
      <c r="F69" s="11"/>
      <c r="G69" s="11"/>
      <c r="H69" s="59">
        <v>120</v>
      </c>
      <c r="I69" s="15"/>
      <c r="J69" s="12">
        <f t="shared" si="6"/>
        <v>21583.86</v>
      </c>
      <c r="K69" s="12">
        <f t="shared" si="7"/>
        <v>2121.3799999999987</v>
      </c>
    </row>
    <row r="70" spans="2:11" x14ac:dyDescent="0.25">
      <c r="B70" s="18">
        <v>42932</v>
      </c>
      <c r="C70" s="13" t="s">
        <v>838</v>
      </c>
      <c r="D70" s="11"/>
      <c r="E70" s="11"/>
      <c r="F70" s="11"/>
      <c r="G70" s="11"/>
      <c r="H70" s="11">
        <v>300</v>
      </c>
      <c r="I70" s="15"/>
      <c r="J70" s="12">
        <f t="shared" si="6"/>
        <v>21583.86</v>
      </c>
      <c r="K70" s="12">
        <f t="shared" si="7"/>
        <v>1821.3799999999987</v>
      </c>
    </row>
    <row r="71" spans="2:11" x14ac:dyDescent="0.25">
      <c r="B71" s="18">
        <v>42932</v>
      </c>
      <c r="C71" s="9" t="s">
        <v>856</v>
      </c>
      <c r="D71" s="11">
        <v>13200</v>
      </c>
      <c r="E71" s="11"/>
      <c r="F71" s="11"/>
      <c r="G71" s="11"/>
      <c r="H71" s="11"/>
      <c r="I71" s="15"/>
      <c r="J71" s="12">
        <f t="shared" si="6"/>
        <v>21583.86</v>
      </c>
      <c r="K71" s="12">
        <f t="shared" si="7"/>
        <v>15021.38</v>
      </c>
    </row>
    <row r="72" spans="2:11" x14ac:dyDescent="0.25">
      <c r="B72" s="18">
        <v>42933</v>
      </c>
      <c r="C72" s="13" t="s">
        <v>857</v>
      </c>
      <c r="D72" s="11"/>
      <c r="E72" s="11"/>
      <c r="F72" s="11"/>
      <c r="G72" s="11"/>
      <c r="H72" s="11">
        <v>150</v>
      </c>
      <c r="I72" s="15"/>
      <c r="J72" s="12">
        <f t="shared" si="6"/>
        <v>21583.86</v>
      </c>
      <c r="K72" s="12">
        <f t="shared" si="7"/>
        <v>14871.38</v>
      </c>
    </row>
    <row r="73" spans="2:11" x14ac:dyDescent="0.25">
      <c r="B73" s="18">
        <v>42933</v>
      </c>
      <c r="C73" s="9" t="s">
        <v>858</v>
      </c>
      <c r="D73" s="11"/>
      <c r="E73" s="11"/>
      <c r="F73" s="11"/>
      <c r="G73" s="11"/>
      <c r="H73" s="11">
        <v>300</v>
      </c>
      <c r="I73" s="15"/>
      <c r="J73" s="12">
        <f t="shared" si="6"/>
        <v>21583.86</v>
      </c>
      <c r="K73" s="12">
        <f t="shared" si="7"/>
        <v>14571.38</v>
      </c>
    </row>
    <row r="74" spans="2:11" x14ac:dyDescent="0.25">
      <c r="B74" s="18">
        <v>42933</v>
      </c>
      <c r="C74" s="9" t="s">
        <v>745</v>
      </c>
      <c r="D74" s="11"/>
      <c r="E74" s="11"/>
      <c r="F74" s="11"/>
      <c r="G74" s="11"/>
      <c r="H74" s="11">
        <v>310</v>
      </c>
      <c r="I74" s="15"/>
      <c r="J74" s="12">
        <f t="shared" si="6"/>
        <v>21583.86</v>
      </c>
      <c r="K74" s="12">
        <f t="shared" si="7"/>
        <v>14261.38</v>
      </c>
    </row>
    <row r="75" spans="2:11" x14ac:dyDescent="0.25">
      <c r="B75" s="18">
        <v>42934</v>
      </c>
      <c r="C75" s="13" t="s">
        <v>859</v>
      </c>
      <c r="D75" s="11"/>
      <c r="E75" s="11"/>
      <c r="F75" s="11"/>
      <c r="G75" s="11"/>
      <c r="H75" s="11">
        <v>200</v>
      </c>
      <c r="I75" s="15"/>
      <c r="J75" s="12">
        <f t="shared" si="6"/>
        <v>21583.86</v>
      </c>
      <c r="K75" s="12">
        <f t="shared" si="7"/>
        <v>14061.38</v>
      </c>
    </row>
    <row r="76" spans="2:11" x14ac:dyDescent="0.25">
      <c r="B76" s="18">
        <v>42935</v>
      </c>
      <c r="C76" s="13" t="s">
        <v>860</v>
      </c>
      <c r="D76" s="11"/>
      <c r="E76" s="11"/>
      <c r="F76" s="11"/>
      <c r="G76" s="11">
        <v>1100</v>
      </c>
      <c r="H76" s="11"/>
      <c r="I76" s="15"/>
      <c r="J76" s="12">
        <f t="shared" si="6"/>
        <v>20483.86</v>
      </c>
      <c r="K76" s="12">
        <f t="shared" si="7"/>
        <v>14061.38</v>
      </c>
    </row>
    <row r="77" spans="2:11" x14ac:dyDescent="0.25">
      <c r="B77" s="18">
        <v>42935</v>
      </c>
      <c r="C77" s="9" t="s">
        <v>861</v>
      </c>
      <c r="D77" s="11"/>
      <c r="E77" s="11"/>
      <c r="F77" s="11"/>
      <c r="G77" s="11">
        <v>1290</v>
      </c>
      <c r="H77" s="11"/>
      <c r="I77" s="15"/>
      <c r="J77" s="12">
        <f t="shared" si="6"/>
        <v>19193.86</v>
      </c>
      <c r="K77" s="12">
        <f t="shared" si="7"/>
        <v>14061.38</v>
      </c>
    </row>
    <row r="78" spans="2:11" x14ac:dyDescent="0.25">
      <c r="B78" s="18">
        <v>42935</v>
      </c>
      <c r="C78" s="9" t="s">
        <v>862</v>
      </c>
      <c r="D78" s="11"/>
      <c r="E78" s="11"/>
      <c r="F78" s="11"/>
      <c r="G78" s="11"/>
      <c r="H78" s="11">
        <v>200</v>
      </c>
      <c r="I78" s="15"/>
      <c r="J78" s="12">
        <f t="shared" si="6"/>
        <v>19193.86</v>
      </c>
      <c r="K78" s="12">
        <f t="shared" si="7"/>
        <v>13861.38</v>
      </c>
    </row>
    <row r="79" spans="2:11" x14ac:dyDescent="0.25">
      <c r="B79" s="18">
        <v>42935</v>
      </c>
      <c r="C79" s="13" t="s">
        <v>863</v>
      </c>
      <c r="D79" s="11"/>
      <c r="E79" s="11"/>
      <c r="F79" s="11"/>
      <c r="G79" s="11"/>
      <c r="H79" s="11">
        <v>190</v>
      </c>
      <c r="I79" s="15"/>
      <c r="J79" s="12">
        <f t="shared" si="6"/>
        <v>19193.86</v>
      </c>
      <c r="K79" s="12">
        <f t="shared" si="7"/>
        <v>13671.38</v>
      </c>
    </row>
    <row r="80" spans="2:11" x14ac:dyDescent="0.25">
      <c r="B80" s="18">
        <v>42935</v>
      </c>
      <c r="C80" s="35" t="s">
        <v>864</v>
      </c>
      <c r="D80" s="11"/>
      <c r="E80" s="11"/>
      <c r="F80" s="11"/>
      <c r="G80" s="11"/>
      <c r="H80" s="11">
        <v>340</v>
      </c>
      <c r="I80" s="15"/>
      <c r="J80" s="12">
        <f t="shared" si="6"/>
        <v>19193.86</v>
      </c>
      <c r="K80" s="12">
        <f t="shared" si="7"/>
        <v>13331.38</v>
      </c>
    </row>
    <row r="81" spans="2:11" x14ac:dyDescent="0.25">
      <c r="B81" s="18">
        <v>42935</v>
      </c>
      <c r="C81" s="34" t="s">
        <v>865</v>
      </c>
      <c r="D81" s="11"/>
      <c r="E81" s="11"/>
      <c r="F81" s="11"/>
      <c r="G81" s="11"/>
      <c r="H81" s="11">
        <v>60</v>
      </c>
      <c r="I81" s="15"/>
      <c r="J81" s="12">
        <f t="shared" si="6"/>
        <v>19193.86</v>
      </c>
      <c r="K81" s="12">
        <f t="shared" si="7"/>
        <v>13271.38</v>
      </c>
    </row>
    <row r="82" spans="2:11" x14ac:dyDescent="0.25">
      <c r="B82" s="18">
        <v>42936</v>
      </c>
      <c r="C82" s="9" t="s">
        <v>866</v>
      </c>
      <c r="D82" s="11"/>
      <c r="E82" s="11"/>
      <c r="F82" s="11"/>
      <c r="G82" s="11"/>
      <c r="H82" s="11">
        <v>10000</v>
      </c>
      <c r="I82" s="15"/>
      <c r="J82" s="12">
        <f t="shared" si="6"/>
        <v>19193.86</v>
      </c>
      <c r="K82" s="12">
        <f t="shared" si="7"/>
        <v>3271.3799999999992</v>
      </c>
    </row>
    <row r="83" spans="2:11" x14ac:dyDescent="0.25">
      <c r="B83" s="18">
        <v>42937</v>
      </c>
      <c r="C83" s="9" t="s">
        <v>738</v>
      </c>
      <c r="D83" s="11"/>
      <c r="E83" s="11"/>
      <c r="F83" s="11"/>
      <c r="G83" s="11"/>
      <c r="H83" s="11">
        <v>189</v>
      </c>
      <c r="I83" s="15"/>
      <c r="J83" s="12">
        <f t="shared" si="6"/>
        <v>19193.86</v>
      </c>
      <c r="K83" s="12">
        <f t="shared" si="7"/>
        <v>3082.3799999999992</v>
      </c>
    </row>
    <row r="84" spans="2:11" x14ac:dyDescent="0.25">
      <c r="B84" s="18">
        <v>42937</v>
      </c>
      <c r="C84" s="9" t="s">
        <v>867</v>
      </c>
      <c r="D84" s="11"/>
      <c r="E84" s="11"/>
      <c r="F84" s="11"/>
      <c r="G84" s="11"/>
      <c r="H84" s="11">
        <v>1000</v>
      </c>
      <c r="I84" s="15"/>
      <c r="J84" s="12">
        <f t="shared" si="6"/>
        <v>19193.86</v>
      </c>
      <c r="K84" s="12">
        <f t="shared" si="7"/>
        <v>2082.3799999999992</v>
      </c>
    </row>
    <row r="85" spans="2:11" x14ac:dyDescent="0.25">
      <c r="B85" s="18">
        <v>42939</v>
      </c>
      <c r="C85" s="35" t="s">
        <v>868</v>
      </c>
      <c r="D85" s="11"/>
      <c r="E85" s="11"/>
      <c r="F85" s="11"/>
      <c r="G85" s="11"/>
      <c r="H85" s="11">
        <v>500</v>
      </c>
      <c r="I85" s="15"/>
      <c r="J85" s="12">
        <f t="shared" si="6"/>
        <v>19193.86</v>
      </c>
      <c r="K85" s="12">
        <f t="shared" si="7"/>
        <v>1582.3799999999992</v>
      </c>
    </row>
    <row r="86" spans="2:11" x14ac:dyDescent="0.25">
      <c r="B86" s="18">
        <v>42939</v>
      </c>
      <c r="C86" s="34" t="s">
        <v>420</v>
      </c>
      <c r="D86" s="11"/>
      <c r="E86" s="11"/>
      <c r="F86" s="11"/>
      <c r="G86" s="11"/>
      <c r="H86" s="11">
        <v>150</v>
      </c>
      <c r="I86" s="15"/>
      <c r="J86" s="12">
        <f t="shared" si="6"/>
        <v>19193.86</v>
      </c>
      <c r="K86" s="12">
        <f t="shared" si="7"/>
        <v>1432.3799999999992</v>
      </c>
    </row>
    <row r="87" spans="2:11" x14ac:dyDescent="0.25">
      <c r="B87" s="18">
        <v>42939</v>
      </c>
      <c r="C87" s="35" t="s">
        <v>815</v>
      </c>
      <c r="D87" s="11"/>
      <c r="E87" s="11"/>
      <c r="F87" s="11"/>
      <c r="G87" s="11"/>
      <c r="H87" s="11">
        <v>150</v>
      </c>
      <c r="I87" s="15"/>
      <c r="J87" s="12">
        <f t="shared" si="6"/>
        <v>19193.86</v>
      </c>
      <c r="K87" s="12">
        <f t="shared" si="7"/>
        <v>1282.3799999999992</v>
      </c>
    </row>
    <row r="88" spans="2:11" x14ac:dyDescent="0.25">
      <c r="B88" s="18">
        <v>42939</v>
      </c>
      <c r="C88" s="34" t="s">
        <v>814</v>
      </c>
      <c r="D88" s="11"/>
      <c r="E88" s="11"/>
      <c r="F88" s="11"/>
      <c r="G88" s="11"/>
      <c r="H88" s="11">
        <v>120</v>
      </c>
      <c r="I88" s="15"/>
      <c r="J88" s="12">
        <f t="shared" si="6"/>
        <v>19193.86</v>
      </c>
      <c r="K88" s="12">
        <f t="shared" si="7"/>
        <v>1162.3799999999992</v>
      </c>
    </row>
    <row r="89" spans="2:11" x14ac:dyDescent="0.25">
      <c r="B89" s="18">
        <v>42939</v>
      </c>
      <c r="C89" s="9" t="s">
        <v>745</v>
      </c>
      <c r="D89" s="11"/>
      <c r="E89" s="11"/>
      <c r="F89" s="11"/>
      <c r="G89" s="11"/>
      <c r="H89" s="11">
        <v>310</v>
      </c>
      <c r="I89" s="15"/>
      <c r="J89" s="12">
        <f t="shared" si="6"/>
        <v>19193.86</v>
      </c>
      <c r="K89" s="12">
        <f t="shared" si="7"/>
        <v>852.3799999999992</v>
      </c>
    </row>
    <row r="90" spans="2:11" x14ac:dyDescent="0.25">
      <c r="B90" s="18">
        <v>42939</v>
      </c>
      <c r="C90" s="9" t="s">
        <v>869</v>
      </c>
      <c r="D90" s="11">
        <v>8050</v>
      </c>
      <c r="E90" s="11"/>
      <c r="F90" s="11"/>
      <c r="G90" s="11"/>
      <c r="H90" s="11"/>
      <c r="I90" s="15"/>
      <c r="J90" s="12">
        <f t="shared" si="6"/>
        <v>19193.86</v>
      </c>
      <c r="K90" s="12">
        <f t="shared" si="7"/>
        <v>8902.3799999999992</v>
      </c>
    </row>
    <row r="91" spans="2:11" x14ac:dyDescent="0.25">
      <c r="B91" s="18">
        <v>42940</v>
      </c>
      <c r="C91" s="9" t="s">
        <v>871</v>
      </c>
      <c r="D91" s="11"/>
      <c r="E91" s="11"/>
      <c r="F91" s="11"/>
      <c r="G91" s="11"/>
      <c r="H91" s="11">
        <v>400</v>
      </c>
      <c r="I91" s="15"/>
      <c r="J91" s="12">
        <f t="shared" si="6"/>
        <v>19193.86</v>
      </c>
      <c r="K91" s="12">
        <f t="shared" si="7"/>
        <v>8502.3799999999992</v>
      </c>
    </row>
    <row r="92" spans="2:11" x14ac:dyDescent="0.25">
      <c r="B92" s="18">
        <v>42940</v>
      </c>
      <c r="C92" s="9" t="s">
        <v>858</v>
      </c>
      <c r="D92" s="11"/>
      <c r="E92" s="11"/>
      <c r="F92" s="11"/>
      <c r="G92" s="11"/>
      <c r="H92" s="11">
        <v>350</v>
      </c>
      <c r="I92" s="15"/>
      <c r="J92" s="12">
        <f t="shared" si="6"/>
        <v>19193.86</v>
      </c>
      <c r="K92" s="12">
        <f t="shared" si="7"/>
        <v>8152.3799999999992</v>
      </c>
    </row>
    <row r="93" spans="2:11" x14ac:dyDescent="0.25">
      <c r="B93" s="18">
        <v>42940</v>
      </c>
      <c r="C93" s="9" t="s">
        <v>872</v>
      </c>
      <c r="D93" s="11"/>
      <c r="E93" s="11"/>
      <c r="F93" s="11"/>
      <c r="G93" s="11"/>
      <c r="H93" s="11">
        <v>12</v>
      </c>
      <c r="I93" s="15"/>
      <c r="J93" s="12">
        <f t="shared" si="6"/>
        <v>19193.86</v>
      </c>
      <c r="K93" s="12">
        <f t="shared" si="7"/>
        <v>8140.3799999999992</v>
      </c>
    </row>
    <row r="94" spans="2:11" x14ac:dyDescent="0.25">
      <c r="B94" s="18">
        <v>42940</v>
      </c>
      <c r="C94" s="13" t="s">
        <v>872</v>
      </c>
      <c r="D94" s="41"/>
      <c r="E94" s="41"/>
      <c r="F94" s="41"/>
      <c r="G94" s="41"/>
      <c r="H94" s="11">
        <v>188</v>
      </c>
      <c r="I94" s="15"/>
      <c r="J94" s="12">
        <f t="shared" si="6"/>
        <v>19193.86</v>
      </c>
      <c r="K94" s="12">
        <f t="shared" si="7"/>
        <v>7952.3799999999992</v>
      </c>
    </row>
    <row r="95" spans="2:11" x14ac:dyDescent="0.25">
      <c r="B95" s="18">
        <v>42940</v>
      </c>
      <c r="C95" s="13" t="s">
        <v>866</v>
      </c>
      <c r="D95" s="41"/>
      <c r="E95" s="41"/>
      <c r="F95" s="41"/>
      <c r="G95" s="16"/>
      <c r="H95" s="11">
        <v>1000</v>
      </c>
      <c r="I95" s="15"/>
      <c r="J95" s="12">
        <f t="shared" si="6"/>
        <v>19193.86</v>
      </c>
      <c r="K95" s="12">
        <f t="shared" si="7"/>
        <v>6952.3799999999992</v>
      </c>
    </row>
    <row r="96" spans="2:11" x14ac:dyDescent="0.25">
      <c r="B96" s="18">
        <v>42941</v>
      </c>
      <c r="C96" s="13" t="s">
        <v>873</v>
      </c>
      <c r="D96" s="41"/>
      <c r="E96" s="41"/>
      <c r="F96" s="41"/>
      <c r="G96" s="41"/>
      <c r="H96" s="11">
        <v>87.5</v>
      </c>
      <c r="I96" s="15"/>
      <c r="J96" s="12">
        <f t="shared" si="6"/>
        <v>19193.86</v>
      </c>
      <c r="K96" s="12">
        <f t="shared" si="7"/>
        <v>6864.8799999999992</v>
      </c>
    </row>
    <row r="97" spans="2:11" x14ac:dyDescent="0.25">
      <c r="B97" s="18">
        <v>42941</v>
      </c>
      <c r="C97" s="9" t="s">
        <v>874</v>
      </c>
      <c r="D97" s="11"/>
      <c r="E97" s="11"/>
      <c r="F97" s="11"/>
      <c r="G97" s="11"/>
      <c r="H97" s="11">
        <v>77</v>
      </c>
      <c r="I97" s="15"/>
      <c r="J97" s="12">
        <f t="shared" si="6"/>
        <v>19193.86</v>
      </c>
      <c r="K97" s="12">
        <f t="shared" si="7"/>
        <v>6787.8799999999992</v>
      </c>
    </row>
    <row r="98" spans="2:11" x14ac:dyDescent="0.25">
      <c r="B98" s="18">
        <v>42941</v>
      </c>
      <c r="C98" s="9" t="s">
        <v>875</v>
      </c>
      <c r="D98" s="11"/>
      <c r="E98" s="11"/>
      <c r="F98" s="11"/>
      <c r="G98" s="11"/>
      <c r="H98" s="11">
        <v>600</v>
      </c>
      <c r="I98" s="15"/>
      <c r="J98" s="12">
        <f t="shared" si="6"/>
        <v>19193.86</v>
      </c>
      <c r="K98" s="12">
        <f t="shared" si="7"/>
        <v>6187.8799999999992</v>
      </c>
    </row>
    <row r="99" spans="2:11" x14ac:dyDescent="0.25">
      <c r="B99" s="18">
        <v>42942</v>
      </c>
      <c r="C99" s="9" t="s">
        <v>866</v>
      </c>
      <c r="D99" s="11"/>
      <c r="E99" s="11"/>
      <c r="F99" s="11"/>
      <c r="G99" s="11"/>
      <c r="H99" s="11">
        <v>2100</v>
      </c>
      <c r="I99" s="15"/>
      <c r="J99" s="12">
        <f t="shared" si="6"/>
        <v>19193.86</v>
      </c>
      <c r="K99" s="12">
        <f t="shared" si="7"/>
        <v>4087.8799999999992</v>
      </c>
    </row>
    <row r="100" spans="2:11" x14ac:dyDescent="0.25">
      <c r="B100" s="18">
        <v>42942</v>
      </c>
      <c r="C100" s="9" t="s">
        <v>876</v>
      </c>
      <c r="D100" s="11"/>
      <c r="E100" s="11"/>
      <c r="F100" s="11"/>
      <c r="G100" s="11">
        <v>10000</v>
      </c>
      <c r="H100" s="11"/>
      <c r="I100" s="15"/>
      <c r="J100" s="12">
        <f t="shared" ref="J100:J107" si="8">+J99+E100-G100</f>
        <v>9193.86</v>
      </c>
      <c r="K100" s="12">
        <f t="shared" ref="K100:K107" si="9">+K99+D100-H100</f>
        <v>4087.8799999999992</v>
      </c>
    </row>
    <row r="101" spans="2:11" x14ac:dyDescent="0.25">
      <c r="B101" s="18">
        <v>42944</v>
      </c>
      <c r="C101" s="9" t="s">
        <v>870</v>
      </c>
      <c r="D101" s="11">
        <v>3400</v>
      </c>
      <c r="E101" s="11"/>
      <c r="F101" s="11"/>
      <c r="G101" s="11"/>
      <c r="H101" s="11"/>
      <c r="I101" s="15"/>
      <c r="J101" s="12">
        <f t="shared" si="8"/>
        <v>9193.86</v>
      </c>
      <c r="K101" s="12">
        <f t="shared" si="9"/>
        <v>7487.8799999999992</v>
      </c>
    </row>
    <row r="102" spans="2:11" x14ac:dyDescent="0.25">
      <c r="B102" s="18">
        <v>42944</v>
      </c>
      <c r="C102" s="9" t="s">
        <v>880</v>
      </c>
      <c r="D102" s="11"/>
      <c r="E102" s="11"/>
      <c r="F102" s="11"/>
      <c r="G102" s="11"/>
      <c r="H102" s="11">
        <v>1000</v>
      </c>
      <c r="I102" s="15"/>
      <c r="J102" s="12">
        <f t="shared" si="8"/>
        <v>9193.86</v>
      </c>
      <c r="K102" s="12">
        <f t="shared" si="9"/>
        <v>6487.8799999999992</v>
      </c>
    </row>
    <row r="103" spans="2:11" x14ac:dyDescent="0.25">
      <c r="B103" s="18">
        <v>42944</v>
      </c>
      <c r="C103" s="9" t="s">
        <v>881</v>
      </c>
      <c r="D103" s="11"/>
      <c r="E103" s="11"/>
      <c r="F103" s="11"/>
      <c r="G103" s="11"/>
      <c r="H103" s="11">
        <v>500</v>
      </c>
      <c r="I103" s="15"/>
      <c r="J103" s="12">
        <f t="shared" si="8"/>
        <v>9193.86</v>
      </c>
      <c r="K103" s="12">
        <f t="shared" si="9"/>
        <v>5987.8799999999992</v>
      </c>
    </row>
    <row r="104" spans="2:11" x14ac:dyDescent="0.25">
      <c r="B104" s="18">
        <v>42944</v>
      </c>
      <c r="C104" s="9" t="s">
        <v>43</v>
      </c>
      <c r="D104" s="11"/>
      <c r="E104" s="11"/>
      <c r="F104" s="11"/>
      <c r="G104" s="11"/>
      <c r="H104" s="11">
        <v>120</v>
      </c>
      <c r="I104" s="15"/>
      <c r="J104" s="12">
        <f t="shared" si="8"/>
        <v>9193.86</v>
      </c>
      <c r="K104" s="12">
        <f t="shared" si="9"/>
        <v>5867.8799999999992</v>
      </c>
    </row>
    <row r="105" spans="2:11" x14ac:dyDescent="0.25">
      <c r="B105" s="18">
        <v>42944</v>
      </c>
      <c r="C105" s="9" t="s">
        <v>535</v>
      </c>
      <c r="D105" s="11"/>
      <c r="E105" s="11"/>
      <c r="F105" s="11"/>
      <c r="G105" s="11"/>
      <c r="H105" s="11">
        <v>150</v>
      </c>
      <c r="I105" s="15"/>
      <c r="J105" s="12">
        <f t="shared" si="8"/>
        <v>9193.86</v>
      </c>
      <c r="K105" s="12">
        <f t="shared" si="9"/>
        <v>5717.8799999999992</v>
      </c>
    </row>
    <row r="106" spans="2:11" x14ac:dyDescent="0.25">
      <c r="B106" s="18">
        <v>42946</v>
      </c>
      <c r="C106" s="9" t="s">
        <v>815</v>
      </c>
      <c r="D106" s="11"/>
      <c r="E106" s="11"/>
      <c r="F106" s="11"/>
      <c r="G106" s="11"/>
      <c r="H106" s="11">
        <v>150</v>
      </c>
      <c r="I106" s="15"/>
      <c r="J106" s="12">
        <f t="shared" si="8"/>
        <v>9193.86</v>
      </c>
      <c r="K106" s="12">
        <f t="shared" si="9"/>
        <v>5567.8799999999992</v>
      </c>
    </row>
    <row r="107" spans="2:11" ht="15.75" thickBot="1" x14ac:dyDescent="0.3">
      <c r="B107" s="18">
        <v>42947</v>
      </c>
      <c r="C107" s="9" t="s">
        <v>882</v>
      </c>
      <c r="D107" s="11"/>
      <c r="E107" s="11"/>
      <c r="F107" s="11"/>
      <c r="G107" s="11"/>
      <c r="H107" s="11">
        <v>300</v>
      </c>
      <c r="I107" s="15"/>
      <c r="J107" s="12">
        <f t="shared" si="8"/>
        <v>9193.86</v>
      </c>
      <c r="K107" s="12">
        <f t="shared" si="9"/>
        <v>5267.8799999999992</v>
      </c>
    </row>
    <row r="108" spans="2:11" ht="15.75" thickBot="1" x14ac:dyDescent="0.3">
      <c r="B108" s="5"/>
      <c r="C108" s="7" t="s">
        <v>0</v>
      </c>
      <c r="D108" s="63">
        <f>SUM(D55:D107)</f>
        <v>70775</v>
      </c>
      <c r="E108" s="61">
        <f>SUM(E55:E107)</f>
        <v>0</v>
      </c>
      <c r="F108" s="72">
        <f>SUM(D108:E108)</f>
        <v>70775</v>
      </c>
      <c r="G108" s="81">
        <f>SUM(G57:G107)</f>
        <v>33750</v>
      </c>
      <c r="H108" s="63">
        <f>SUM(H57:H107)</f>
        <v>82364.700000000012</v>
      </c>
      <c r="I108" s="72">
        <f>SUM(G108:H108)</f>
        <v>116114.70000000001</v>
      </c>
      <c r="J108" s="20">
        <v>9193.86</v>
      </c>
      <c r="K108" s="20"/>
    </row>
    <row r="109" spans="2:11" x14ac:dyDescent="0.25">
      <c r="B109" s="69" t="s">
        <v>1</v>
      </c>
      <c r="C109" s="69" t="s">
        <v>2</v>
      </c>
      <c r="D109" s="69" t="s">
        <v>3</v>
      </c>
      <c r="E109" s="69" t="s">
        <v>3</v>
      </c>
      <c r="F109" s="69" t="s">
        <v>23</v>
      </c>
      <c r="G109" s="69" t="s">
        <v>24</v>
      </c>
      <c r="H109" s="48" t="s">
        <v>24</v>
      </c>
      <c r="I109" s="48" t="s">
        <v>23</v>
      </c>
      <c r="J109" s="69" t="s">
        <v>9</v>
      </c>
      <c r="K109" s="48" t="s">
        <v>8</v>
      </c>
    </row>
    <row r="110" spans="2:11" ht="15.75" thickBot="1" x14ac:dyDescent="0.3">
      <c r="B110" s="70"/>
      <c r="C110" s="70"/>
      <c r="D110" s="70" t="s">
        <v>5</v>
      </c>
      <c r="E110" s="70" t="s">
        <v>25</v>
      </c>
      <c r="F110" s="70" t="s">
        <v>3</v>
      </c>
      <c r="G110" s="70" t="s">
        <v>25</v>
      </c>
      <c r="H110" s="71" t="s">
        <v>5</v>
      </c>
      <c r="I110" s="71" t="s">
        <v>4</v>
      </c>
      <c r="J110" s="70"/>
      <c r="K110" s="71"/>
    </row>
    <row r="111" spans="2:11" ht="15.75" thickBot="1" x14ac:dyDescent="0.3">
      <c r="B111" s="5"/>
      <c r="C111" s="7" t="s">
        <v>0</v>
      </c>
      <c r="D111" s="63">
        <v>70775</v>
      </c>
      <c r="E111" s="61">
        <v>0</v>
      </c>
      <c r="F111" s="72">
        <f>SUM(D111:E111)</f>
        <v>70775</v>
      </c>
      <c r="G111" s="81">
        <v>33750</v>
      </c>
      <c r="H111" s="63">
        <v>82364.7</v>
      </c>
      <c r="I111" s="72">
        <f>SUM(G111:H111)</f>
        <v>116114.7</v>
      </c>
      <c r="J111" s="19">
        <v>9193.86</v>
      </c>
      <c r="K111" s="19">
        <v>5267.88</v>
      </c>
    </row>
    <row r="112" spans="2:11" x14ac:dyDescent="0.25">
      <c r="B112" s="18">
        <v>42947</v>
      </c>
      <c r="C112" s="9" t="s">
        <v>886</v>
      </c>
      <c r="D112" s="11">
        <v>16400</v>
      </c>
      <c r="E112" s="11"/>
      <c r="F112" s="11"/>
      <c r="G112" s="11"/>
      <c r="H112" s="11"/>
      <c r="I112" s="15"/>
      <c r="J112" s="12">
        <f>+J111+E112-G112</f>
        <v>9193.86</v>
      </c>
      <c r="K112" s="12">
        <f>+K111+D112-H112</f>
        <v>21667.88</v>
      </c>
    </row>
    <row r="113" spans="2:11" x14ac:dyDescent="0.25">
      <c r="B113" s="18">
        <v>42947</v>
      </c>
      <c r="C113" s="9" t="s">
        <v>879</v>
      </c>
      <c r="D113" s="11"/>
      <c r="E113" s="11"/>
      <c r="F113" s="11"/>
      <c r="G113" s="11"/>
      <c r="H113" s="11">
        <v>450</v>
      </c>
      <c r="I113" s="15"/>
      <c r="J113" s="12">
        <f t="shared" ref="J113:J120" si="10">+J112+E113-G113</f>
        <v>9193.86</v>
      </c>
      <c r="K113" s="12">
        <f t="shared" ref="K113:K120" si="11">+K112+D113-H113</f>
        <v>21217.88</v>
      </c>
    </row>
    <row r="114" spans="2:11" x14ac:dyDescent="0.25">
      <c r="B114" s="18">
        <v>42947</v>
      </c>
      <c r="C114" s="9" t="s">
        <v>878</v>
      </c>
      <c r="D114" s="11"/>
      <c r="E114" s="11"/>
      <c r="F114" s="11"/>
      <c r="G114" s="11"/>
      <c r="H114" s="11">
        <v>400</v>
      </c>
      <c r="I114" s="15"/>
      <c r="J114" s="12">
        <f t="shared" si="10"/>
        <v>9193.86</v>
      </c>
      <c r="K114" s="12">
        <f t="shared" si="11"/>
        <v>20817.88</v>
      </c>
    </row>
    <row r="115" spans="2:11" x14ac:dyDescent="0.25">
      <c r="B115" s="18">
        <v>42923</v>
      </c>
      <c r="C115" s="13" t="s">
        <v>883</v>
      </c>
      <c r="D115" s="11"/>
      <c r="E115" s="11">
        <v>400.29</v>
      </c>
      <c r="F115" s="11"/>
      <c r="G115" s="11"/>
      <c r="H115" s="11"/>
      <c r="I115" s="15"/>
      <c r="J115" s="12">
        <f t="shared" si="10"/>
        <v>9594.1500000000015</v>
      </c>
      <c r="K115" s="12">
        <f t="shared" si="11"/>
        <v>20817.88</v>
      </c>
    </row>
    <row r="116" spans="2:11" x14ac:dyDescent="0.25">
      <c r="B116" s="18">
        <v>42927</v>
      </c>
      <c r="C116" s="13" t="s">
        <v>884</v>
      </c>
      <c r="D116" s="11"/>
      <c r="E116" s="11">
        <v>300.45999999999998</v>
      </c>
      <c r="F116" s="11"/>
      <c r="G116" s="11"/>
      <c r="H116" s="11"/>
      <c r="I116" s="15"/>
      <c r="J116" s="12">
        <f t="shared" si="10"/>
        <v>9894.61</v>
      </c>
      <c r="K116" s="12">
        <f t="shared" si="11"/>
        <v>20817.88</v>
      </c>
    </row>
    <row r="117" spans="2:11" x14ac:dyDescent="0.25">
      <c r="B117" s="18">
        <v>42937</v>
      </c>
      <c r="C117" s="13" t="s">
        <v>885</v>
      </c>
      <c r="D117" s="11"/>
      <c r="E117" s="11">
        <v>12760</v>
      </c>
      <c r="F117" s="11"/>
      <c r="G117" s="11"/>
      <c r="H117" s="11"/>
      <c r="I117" s="15"/>
      <c r="J117" s="12">
        <f t="shared" si="10"/>
        <v>22654.61</v>
      </c>
      <c r="K117" s="12">
        <f t="shared" si="11"/>
        <v>20817.88</v>
      </c>
    </row>
    <row r="118" spans="2:11" x14ac:dyDescent="0.25">
      <c r="B118" s="18">
        <v>42947</v>
      </c>
      <c r="C118" s="13" t="s">
        <v>713</v>
      </c>
      <c r="D118" s="11"/>
      <c r="E118" s="11"/>
      <c r="F118" s="11"/>
      <c r="G118" s="11">
        <v>98</v>
      </c>
      <c r="H118" s="11"/>
      <c r="I118" s="15"/>
      <c r="J118" s="12">
        <f t="shared" si="10"/>
        <v>22556.61</v>
      </c>
      <c r="K118" s="12">
        <f t="shared" si="11"/>
        <v>20817.88</v>
      </c>
    </row>
    <row r="119" spans="2:11" x14ac:dyDescent="0.25">
      <c r="B119" s="18">
        <v>42947</v>
      </c>
      <c r="C119" s="13" t="s">
        <v>171</v>
      </c>
      <c r="D119" s="11"/>
      <c r="E119" s="11"/>
      <c r="F119" s="11"/>
      <c r="G119" s="11">
        <v>15.68</v>
      </c>
      <c r="H119" s="11"/>
      <c r="I119" s="15"/>
      <c r="J119" s="12">
        <f t="shared" si="10"/>
        <v>22540.93</v>
      </c>
      <c r="K119" s="12">
        <f t="shared" si="11"/>
        <v>20817.88</v>
      </c>
    </row>
    <row r="120" spans="2:11" ht="15.75" thickBot="1" x14ac:dyDescent="0.3">
      <c r="B120" s="18"/>
      <c r="C120" s="9"/>
      <c r="D120" s="11"/>
      <c r="E120" s="11"/>
      <c r="F120" s="11"/>
      <c r="G120" s="11"/>
      <c r="H120" s="59"/>
      <c r="I120" s="15"/>
      <c r="J120" s="12">
        <f t="shared" si="10"/>
        <v>22540.93</v>
      </c>
      <c r="K120" s="12">
        <f t="shared" si="11"/>
        <v>20817.88</v>
      </c>
    </row>
    <row r="121" spans="2:11" ht="15.75" thickBot="1" x14ac:dyDescent="0.3">
      <c r="B121" s="5"/>
      <c r="C121" s="7" t="s">
        <v>0</v>
      </c>
      <c r="D121" s="63">
        <f>SUM(D111:D120)</f>
        <v>87175</v>
      </c>
      <c r="E121" s="61">
        <f>SUM(E111:E120)</f>
        <v>13460.75</v>
      </c>
      <c r="F121" s="72">
        <f>SUM(D121:E121)</f>
        <v>100635.75</v>
      </c>
      <c r="G121" s="81">
        <f>SUM(G111:G120)</f>
        <v>33863.68</v>
      </c>
      <c r="H121" s="63">
        <f>SUM(H111:H120)</f>
        <v>83214.7</v>
      </c>
      <c r="I121" s="72">
        <f>SUM(G121:H121)</f>
        <v>117078.38</v>
      </c>
      <c r="J121" s="20"/>
      <c r="K121" s="20"/>
    </row>
    <row r="122" spans="2:11" ht="15.75" thickBot="1" x14ac:dyDescent="0.3"/>
    <row r="123" spans="2:11" ht="15.75" thickBot="1" x14ac:dyDescent="0.3">
      <c r="I123" s="75" t="s">
        <v>9</v>
      </c>
      <c r="J123" s="75" t="s">
        <v>8</v>
      </c>
      <c r="K123" s="96" t="s">
        <v>0</v>
      </c>
    </row>
    <row r="124" spans="2:11" ht="15.75" thickBot="1" x14ac:dyDescent="0.3">
      <c r="I124" s="26">
        <v>22540.93</v>
      </c>
      <c r="J124" s="26">
        <v>20817.88</v>
      </c>
      <c r="K124" s="20">
        <f>SUM(I124:J124)</f>
        <v>43358.81</v>
      </c>
    </row>
  </sheetData>
  <printOptions verticalCentered="1"/>
  <pageMargins left="0" right="0" top="0" bottom="0" header="0.31496062992125984" footer="0.31496062992125984"/>
  <pageSetup paperSize="9" scale="73" fitToHeight="0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">
    <pageSetUpPr fitToPage="1"/>
  </sheetPr>
  <dimension ref="A1:O162"/>
  <sheetViews>
    <sheetView zoomScale="90" zoomScaleNormal="90" workbookViewId="0">
      <pane ySplit="3" topLeftCell="A137" activePane="bottomLeft" state="frozen"/>
      <selection activeCell="B1" sqref="B1"/>
      <selection pane="bottomLeft" activeCell="C150" sqref="C150"/>
    </sheetView>
  </sheetViews>
  <sheetFormatPr baseColWidth="10" defaultRowHeight="15" x14ac:dyDescent="0.25"/>
  <cols>
    <col min="1" max="1" width="10.7109375" customWidth="1"/>
    <col min="2" max="2" width="11.5703125" customWidth="1"/>
    <col min="3" max="3" width="86.140625" customWidth="1"/>
    <col min="4" max="11" width="11.7109375" customWidth="1"/>
    <col min="12" max="12" width="11.42578125" bestFit="1" customWidth="1"/>
  </cols>
  <sheetData>
    <row r="1" spans="2:11" ht="16.5" thickBot="1" x14ac:dyDescent="0.3">
      <c r="B1" s="80"/>
      <c r="C1" s="82" t="s">
        <v>725</v>
      </c>
    </row>
    <row r="2" spans="2:11" x14ac:dyDescent="0.25">
      <c r="B2" s="69" t="s">
        <v>1</v>
      </c>
      <c r="C2" s="69" t="s">
        <v>2</v>
      </c>
      <c r="D2" s="69" t="s">
        <v>3</v>
      </c>
      <c r="E2" s="69" t="s">
        <v>3</v>
      </c>
      <c r="F2" s="69" t="s">
        <v>23</v>
      </c>
      <c r="G2" s="69" t="s">
        <v>24</v>
      </c>
      <c r="H2" s="48" t="s">
        <v>24</v>
      </c>
      <c r="I2" s="48" t="s">
        <v>23</v>
      </c>
      <c r="J2" s="69" t="s">
        <v>9</v>
      </c>
      <c r="K2" s="48" t="s">
        <v>8</v>
      </c>
    </row>
    <row r="3" spans="2:11" ht="15.75" thickBot="1" x14ac:dyDescent="0.3">
      <c r="B3" s="70"/>
      <c r="C3" s="70"/>
      <c r="D3" s="70" t="s">
        <v>5</v>
      </c>
      <c r="E3" s="70" t="s">
        <v>25</v>
      </c>
      <c r="F3" s="70" t="s">
        <v>3</v>
      </c>
      <c r="G3" s="70" t="s">
        <v>25</v>
      </c>
      <c r="H3" s="71" t="s">
        <v>5</v>
      </c>
      <c r="I3" s="71" t="s">
        <v>4</v>
      </c>
      <c r="J3" s="70"/>
      <c r="K3" s="71"/>
    </row>
    <row r="4" spans="2:11" x14ac:dyDescent="0.25">
      <c r="B4" s="23">
        <v>42947</v>
      </c>
      <c r="C4" s="66" t="s">
        <v>718</v>
      </c>
      <c r="D4" s="67"/>
      <c r="E4" s="64"/>
      <c r="F4" s="64"/>
      <c r="G4" s="64"/>
      <c r="H4" s="17"/>
      <c r="I4" s="65"/>
      <c r="J4" s="74">
        <v>22540.93</v>
      </c>
      <c r="K4" s="98">
        <v>20817.88</v>
      </c>
    </row>
    <row r="5" spans="2:11" x14ac:dyDescent="0.25">
      <c r="B5" s="23">
        <v>42948</v>
      </c>
      <c r="C5" s="9" t="s">
        <v>745</v>
      </c>
      <c r="D5" s="11"/>
      <c r="E5" s="11"/>
      <c r="F5" s="11"/>
      <c r="G5" s="11"/>
      <c r="H5" s="11">
        <v>310</v>
      </c>
      <c r="I5" s="15"/>
      <c r="J5" s="12">
        <f t="shared" ref="J5:J10" si="0">+J4+E5-G5</f>
        <v>22540.93</v>
      </c>
      <c r="K5" s="12">
        <f>+K4+D5-H5</f>
        <v>20507.88</v>
      </c>
    </row>
    <row r="6" spans="2:11" x14ac:dyDescent="0.25">
      <c r="B6" s="23">
        <v>42948</v>
      </c>
      <c r="C6" s="13" t="s">
        <v>887</v>
      </c>
      <c r="D6" s="11"/>
      <c r="E6" s="11"/>
      <c r="F6" s="11"/>
      <c r="G6" s="11"/>
      <c r="H6" s="11">
        <v>115.3</v>
      </c>
      <c r="I6" s="15"/>
      <c r="J6" s="12">
        <f t="shared" si="0"/>
        <v>22540.93</v>
      </c>
      <c r="K6" s="12">
        <f t="shared" ref="K6:K10" si="1">+K5+D6-H6</f>
        <v>20392.580000000002</v>
      </c>
    </row>
    <row r="7" spans="2:11" x14ac:dyDescent="0.25">
      <c r="B7" s="18">
        <v>42948</v>
      </c>
      <c r="C7" s="9" t="s">
        <v>888</v>
      </c>
      <c r="D7" s="11"/>
      <c r="E7" s="11"/>
      <c r="F7" s="11"/>
      <c r="G7" s="11"/>
      <c r="H7" s="59">
        <v>20</v>
      </c>
      <c r="I7" s="15"/>
      <c r="J7" s="12">
        <f t="shared" si="0"/>
        <v>22540.93</v>
      </c>
      <c r="K7" s="12">
        <f t="shared" si="1"/>
        <v>20372.580000000002</v>
      </c>
    </row>
    <row r="8" spans="2:11" x14ac:dyDescent="0.25">
      <c r="B8" s="18">
        <v>42948</v>
      </c>
      <c r="C8" s="13" t="s">
        <v>889</v>
      </c>
      <c r="D8" s="11"/>
      <c r="E8" s="11"/>
      <c r="F8" s="11"/>
      <c r="G8" s="11"/>
      <c r="H8" s="11">
        <v>150</v>
      </c>
      <c r="I8" s="15"/>
      <c r="J8" s="12">
        <f t="shared" si="0"/>
        <v>22540.93</v>
      </c>
      <c r="K8" s="12">
        <f t="shared" si="1"/>
        <v>20222.580000000002</v>
      </c>
    </row>
    <row r="9" spans="2:11" x14ac:dyDescent="0.25">
      <c r="B9" s="18">
        <v>42948</v>
      </c>
      <c r="C9" s="9" t="s">
        <v>890</v>
      </c>
      <c r="D9" s="11"/>
      <c r="E9" s="11"/>
      <c r="F9" s="11"/>
      <c r="G9" s="11"/>
      <c r="H9" s="59">
        <v>295</v>
      </c>
      <c r="I9" s="15"/>
      <c r="J9" s="12">
        <f t="shared" si="0"/>
        <v>22540.93</v>
      </c>
      <c r="K9" s="12">
        <f t="shared" si="1"/>
        <v>19927.580000000002</v>
      </c>
    </row>
    <row r="10" spans="2:11" x14ac:dyDescent="0.25">
      <c r="B10" s="18">
        <v>42948</v>
      </c>
      <c r="C10" s="13" t="s">
        <v>891</v>
      </c>
      <c r="D10" s="11"/>
      <c r="E10" s="11"/>
      <c r="F10" s="11"/>
      <c r="G10" s="11"/>
      <c r="H10" s="11">
        <v>7000</v>
      </c>
      <c r="I10" s="15"/>
      <c r="J10" s="12">
        <f t="shared" si="0"/>
        <v>22540.93</v>
      </c>
      <c r="K10" s="12">
        <f t="shared" si="1"/>
        <v>12927.580000000002</v>
      </c>
    </row>
    <row r="11" spans="2:11" x14ac:dyDescent="0.25">
      <c r="B11" s="18">
        <v>42948</v>
      </c>
      <c r="C11" s="9" t="s">
        <v>892</v>
      </c>
      <c r="D11" s="11"/>
      <c r="E11" s="11"/>
      <c r="F11" s="11"/>
      <c r="G11" s="11"/>
      <c r="H11" s="11">
        <v>140.9</v>
      </c>
      <c r="I11" s="15"/>
      <c r="J11" s="12">
        <f t="shared" ref="J11:J50" si="2">+J10+E11-G11</f>
        <v>22540.93</v>
      </c>
      <c r="K11" s="12">
        <f t="shared" ref="K11:K50" si="3">+K10+D11-H11</f>
        <v>12786.680000000002</v>
      </c>
    </row>
    <row r="12" spans="2:11" x14ac:dyDescent="0.25">
      <c r="B12" s="18">
        <v>42948</v>
      </c>
      <c r="C12" s="9" t="s">
        <v>893</v>
      </c>
      <c r="D12" s="11"/>
      <c r="E12" s="11"/>
      <c r="F12" s="11"/>
      <c r="G12" s="11"/>
      <c r="H12" s="11">
        <v>100</v>
      </c>
      <c r="I12" s="15"/>
      <c r="J12" s="12">
        <f t="shared" si="2"/>
        <v>22540.93</v>
      </c>
      <c r="K12" s="12">
        <f t="shared" si="3"/>
        <v>12686.680000000002</v>
      </c>
    </row>
    <row r="13" spans="2:11" x14ac:dyDescent="0.25">
      <c r="B13" s="18">
        <v>42948</v>
      </c>
      <c r="C13" s="9" t="s">
        <v>894</v>
      </c>
      <c r="D13" s="11"/>
      <c r="E13" s="11"/>
      <c r="F13" s="11"/>
      <c r="G13" s="11"/>
      <c r="H13" s="59">
        <v>360</v>
      </c>
      <c r="I13" s="15"/>
      <c r="J13" s="12">
        <f t="shared" si="2"/>
        <v>22540.93</v>
      </c>
      <c r="K13" s="12">
        <f t="shared" si="3"/>
        <v>12326.680000000002</v>
      </c>
    </row>
    <row r="14" spans="2:11" x14ac:dyDescent="0.25">
      <c r="B14" s="18">
        <v>42948</v>
      </c>
      <c r="C14" s="9" t="s">
        <v>895</v>
      </c>
      <c r="D14" s="11"/>
      <c r="E14" s="11"/>
      <c r="F14" s="11"/>
      <c r="G14" s="11"/>
      <c r="H14" s="11">
        <v>350</v>
      </c>
      <c r="I14" s="15"/>
      <c r="J14" s="12">
        <f t="shared" si="2"/>
        <v>22540.93</v>
      </c>
      <c r="K14" s="12">
        <f t="shared" si="3"/>
        <v>11976.680000000002</v>
      </c>
    </row>
    <row r="15" spans="2:11" x14ac:dyDescent="0.25">
      <c r="B15" s="18">
        <v>42948</v>
      </c>
      <c r="C15" s="9" t="s">
        <v>896</v>
      </c>
      <c r="D15" s="11"/>
      <c r="E15" s="11"/>
      <c r="F15" s="11"/>
      <c r="G15" s="11"/>
      <c r="H15" s="59">
        <v>4000</v>
      </c>
      <c r="I15" s="15"/>
      <c r="J15" s="12">
        <f t="shared" si="2"/>
        <v>22540.93</v>
      </c>
      <c r="K15" s="12">
        <f t="shared" si="3"/>
        <v>7976.6800000000021</v>
      </c>
    </row>
    <row r="16" spans="2:11" x14ac:dyDescent="0.25">
      <c r="B16" s="18">
        <v>42948</v>
      </c>
      <c r="C16" s="9" t="s">
        <v>897</v>
      </c>
      <c r="D16" s="11"/>
      <c r="E16" s="11"/>
      <c r="F16" s="11"/>
      <c r="G16" s="11"/>
      <c r="H16" s="11">
        <v>140</v>
      </c>
      <c r="I16" s="15"/>
      <c r="J16" s="12">
        <f t="shared" si="2"/>
        <v>22540.93</v>
      </c>
      <c r="K16" s="12">
        <f t="shared" si="3"/>
        <v>7836.6800000000021</v>
      </c>
    </row>
    <row r="17" spans="2:11" x14ac:dyDescent="0.25">
      <c r="B17" s="18">
        <v>42948</v>
      </c>
      <c r="C17" s="9" t="s">
        <v>898</v>
      </c>
      <c r="D17" s="11"/>
      <c r="E17" s="11"/>
      <c r="F17" s="11"/>
      <c r="G17" s="11"/>
      <c r="H17" s="11">
        <v>650</v>
      </c>
      <c r="I17" s="15"/>
      <c r="J17" s="12">
        <f t="shared" si="2"/>
        <v>22540.93</v>
      </c>
      <c r="K17" s="12">
        <f t="shared" si="3"/>
        <v>7186.6800000000021</v>
      </c>
    </row>
    <row r="18" spans="2:11" x14ac:dyDescent="0.25">
      <c r="B18" s="18">
        <v>42948</v>
      </c>
      <c r="C18" s="9" t="s">
        <v>899</v>
      </c>
      <c r="D18" s="11"/>
      <c r="E18" s="11"/>
      <c r="F18" s="11"/>
      <c r="G18" s="11"/>
      <c r="H18" s="11">
        <v>400</v>
      </c>
      <c r="I18" s="15"/>
      <c r="J18" s="12">
        <f t="shared" si="2"/>
        <v>22540.93</v>
      </c>
      <c r="K18" s="12">
        <f t="shared" si="3"/>
        <v>6786.6800000000021</v>
      </c>
    </row>
    <row r="19" spans="2:11" x14ac:dyDescent="0.25">
      <c r="B19" s="18">
        <v>42949</v>
      </c>
      <c r="C19" s="9" t="s">
        <v>900</v>
      </c>
      <c r="D19" s="11"/>
      <c r="E19" s="11"/>
      <c r="F19" s="11"/>
      <c r="G19" s="11"/>
      <c r="H19" s="11">
        <v>350</v>
      </c>
      <c r="I19" s="15"/>
      <c r="J19" s="12">
        <f t="shared" si="2"/>
        <v>22540.93</v>
      </c>
      <c r="K19" s="12">
        <f t="shared" si="3"/>
        <v>6436.6800000000021</v>
      </c>
    </row>
    <row r="20" spans="2:11" x14ac:dyDescent="0.25">
      <c r="B20" s="18">
        <v>42949</v>
      </c>
      <c r="C20" s="9" t="s">
        <v>901</v>
      </c>
      <c r="D20" s="11"/>
      <c r="E20" s="11"/>
      <c r="F20" s="11"/>
      <c r="G20" s="11"/>
      <c r="H20" s="11">
        <v>247</v>
      </c>
      <c r="I20" s="15"/>
      <c r="J20" s="12">
        <f t="shared" si="2"/>
        <v>22540.93</v>
      </c>
      <c r="K20" s="12">
        <f t="shared" si="3"/>
        <v>6189.6800000000021</v>
      </c>
    </row>
    <row r="21" spans="2:11" x14ac:dyDescent="0.25">
      <c r="B21" s="18">
        <v>42949</v>
      </c>
      <c r="C21" s="9" t="s">
        <v>902</v>
      </c>
      <c r="D21" s="11"/>
      <c r="E21" s="11"/>
      <c r="F21" s="11"/>
      <c r="G21" s="11"/>
      <c r="H21" s="11">
        <v>72</v>
      </c>
      <c r="I21" s="15"/>
      <c r="J21" s="12">
        <f t="shared" si="2"/>
        <v>22540.93</v>
      </c>
      <c r="K21" s="12">
        <f t="shared" si="3"/>
        <v>6117.6800000000021</v>
      </c>
    </row>
    <row r="22" spans="2:11" x14ac:dyDescent="0.25">
      <c r="B22" s="18">
        <v>42949</v>
      </c>
      <c r="C22" s="9" t="s">
        <v>903</v>
      </c>
      <c r="D22" s="11"/>
      <c r="E22" s="11"/>
      <c r="F22" s="11"/>
      <c r="G22" s="11"/>
      <c r="H22" s="59">
        <v>350</v>
      </c>
      <c r="I22" s="15"/>
      <c r="J22" s="12">
        <f t="shared" si="2"/>
        <v>22540.93</v>
      </c>
      <c r="K22" s="12">
        <f t="shared" si="3"/>
        <v>5767.6800000000021</v>
      </c>
    </row>
    <row r="23" spans="2:11" x14ac:dyDescent="0.25">
      <c r="B23" s="18">
        <v>42949</v>
      </c>
      <c r="C23" s="9" t="s">
        <v>904</v>
      </c>
      <c r="D23" s="11"/>
      <c r="E23" s="11"/>
      <c r="F23" s="11"/>
      <c r="G23" s="11"/>
      <c r="H23" s="59">
        <v>740</v>
      </c>
      <c r="I23" s="15"/>
      <c r="J23" s="12">
        <f t="shared" si="2"/>
        <v>22540.93</v>
      </c>
      <c r="K23" s="12">
        <f t="shared" si="3"/>
        <v>5027.6800000000021</v>
      </c>
    </row>
    <row r="24" spans="2:11" x14ac:dyDescent="0.25">
      <c r="B24" s="18">
        <v>42950</v>
      </c>
      <c r="C24" s="9" t="s">
        <v>905</v>
      </c>
      <c r="D24" s="11"/>
      <c r="E24" s="11"/>
      <c r="F24" s="11"/>
      <c r="G24" s="11"/>
      <c r="H24" s="11">
        <v>180</v>
      </c>
      <c r="I24" s="15"/>
      <c r="J24" s="12">
        <f t="shared" si="2"/>
        <v>22540.93</v>
      </c>
      <c r="K24" s="12">
        <f t="shared" si="3"/>
        <v>4847.6800000000021</v>
      </c>
    </row>
    <row r="25" spans="2:11" x14ac:dyDescent="0.25">
      <c r="B25" s="18">
        <v>42950</v>
      </c>
      <c r="C25" s="9" t="s">
        <v>906</v>
      </c>
      <c r="D25" s="11"/>
      <c r="E25" s="11"/>
      <c r="F25" s="11"/>
      <c r="G25" s="11"/>
      <c r="H25" s="11">
        <v>450</v>
      </c>
      <c r="I25" s="15"/>
      <c r="J25" s="12">
        <f t="shared" si="2"/>
        <v>22540.93</v>
      </c>
      <c r="K25" s="12">
        <f t="shared" si="3"/>
        <v>4397.6800000000021</v>
      </c>
    </row>
    <row r="26" spans="2:11" x14ac:dyDescent="0.25">
      <c r="B26" s="18">
        <v>42950</v>
      </c>
      <c r="C26" s="9" t="s">
        <v>907</v>
      </c>
      <c r="D26" s="11"/>
      <c r="E26" s="11"/>
      <c r="F26" s="11"/>
      <c r="G26" s="11"/>
      <c r="H26" s="11">
        <v>400</v>
      </c>
      <c r="I26" s="15"/>
      <c r="J26" s="12">
        <f t="shared" si="2"/>
        <v>22540.93</v>
      </c>
      <c r="K26" s="12">
        <f t="shared" si="3"/>
        <v>3997.6800000000021</v>
      </c>
    </row>
    <row r="27" spans="2:11" x14ac:dyDescent="0.25">
      <c r="B27" s="18">
        <v>42950</v>
      </c>
      <c r="C27" s="9" t="s">
        <v>908</v>
      </c>
      <c r="D27" s="11"/>
      <c r="E27" s="11"/>
      <c r="F27" s="11"/>
      <c r="G27" s="11"/>
      <c r="H27" s="11">
        <v>500</v>
      </c>
      <c r="I27" s="15"/>
      <c r="J27" s="12">
        <f t="shared" si="2"/>
        <v>22540.93</v>
      </c>
      <c r="K27" s="12">
        <f t="shared" si="3"/>
        <v>3497.6800000000021</v>
      </c>
    </row>
    <row r="28" spans="2:11" x14ac:dyDescent="0.25">
      <c r="B28" s="18">
        <v>42950</v>
      </c>
      <c r="C28" s="9" t="s">
        <v>909</v>
      </c>
      <c r="D28" s="11"/>
      <c r="E28" s="11"/>
      <c r="F28" s="11"/>
      <c r="G28" s="11">
        <v>1800</v>
      </c>
      <c r="H28" s="11"/>
      <c r="I28" s="15"/>
      <c r="J28" s="12">
        <f t="shared" si="2"/>
        <v>20740.93</v>
      </c>
      <c r="K28" s="12">
        <f t="shared" si="3"/>
        <v>3497.6800000000021</v>
      </c>
    </row>
    <row r="29" spans="2:11" x14ac:dyDescent="0.25">
      <c r="B29" s="18">
        <v>42950</v>
      </c>
      <c r="C29" s="9" t="s">
        <v>910</v>
      </c>
      <c r="D29" s="11"/>
      <c r="E29" s="11"/>
      <c r="F29" s="11"/>
      <c r="G29" s="11">
        <v>1800</v>
      </c>
      <c r="H29" s="11"/>
      <c r="I29" s="15"/>
      <c r="J29" s="12">
        <f t="shared" si="2"/>
        <v>18940.93</v>
      </c>
      <c r="K29" s="12">
        <f t="shared" si="3"/>
        <v>3497.6800000000021</v>
      </c>
    </row>
    <row r="30" spans="2:11" x14ac:dyDescent="0.25">
      <c r="B30" s="18">
        <v>42951</v>
      </c>
      <c r="C30" s="9" t="s">
        <v>911</v>
      </c>
      <c r="D30" s="11"/>
      <c r="E30" s="11"/>
      <c r="F30" s="11"/>
      <c r="G30" s="11"/>
      <c r="H30" s="11">
        <v>1000</v>
      </c>
      <c r="I30" s="15"/>
      <c r="J30" s="12">
        <f t="shared" si="2"/>
        <v>18940.93</v>
      </c>
      <c r="K30" s="12">
        <f t="shared" si="3"/>
        <v>2497.6800000000021</v>
      </c>
    </row>
    <row r="31" spans="2:11" x14ac:dyDescent="0.25">
      <c r="B31" s="18">
        <v>42951</v>
      </c>
      <c r="C31" s="9" t="s">
        <v>912</v>
      </c>
      <c r="D31" s="11"/>
      <c r="E31" s="11"/>
      <c r="F31" s="11"/>
      <c r="G31" s="11"/>
      <c r="H31" s="59">
        <v>180</v>
      </c>
      <c r="I31" s="15"/>
      <c r="J31" s="12">
        <f t="shared" si="2"/>
        <v>18940.93</v>
      </c>
      <c r="K31" s="12">
        <f t="shared" si="3"/>
        <v>2317.6800000000021</v>
      </c>
    </row>
    <row r="32" spans="2:11" x14ac:dyDescent="0.25">
      <c r="B32" s="18">
        <v>42951</v>
      </c>
      <c r="C32" s="9" t="s">
        <v>913</v>
      </c>
      <c r="D32" s="11"/>
      <c r="E32" s="11"/>
      <c r="F32" s="11"/>
      <c r="G32" s="11"/>
      <c r="H32" s="11">
        <v>270</v>
      </c>
      <c r="I32" s="15"/>
      <c r="J32" s="12">
        <f t="shared" si="2"/>
        <v>18940.93</v>
      </c>
      <c r="K32" s="12">
        <f t="shared" si="3"/>
        <v>2047.6800000000021</v>
      </c>
    </row>
    <row r="33" spans="2:11" x14ac:dyDescent="0.25">
      <c r="B33" s="18">
        <v>42951</v>
      </c>
      <c r="C33" s="9" t="s">
        <v>914</v>
      </c>
      <c r="D33" s="11"/>
      <c r="E33" s="11"/>
      <c r="F33" s="11"/>
      <c r="G33" s="11"/>
      <c r="H33" s="11">
        <v>70</v>
      </c>
      <c r="I33" s="15"/>
      <c r="J33" s="12">
        <f t="shared" si="2"/>
        <v>18940.93</v>
      </c>
      <c r="K33" s="12">
        <f t="shared" si="3"/>
        <v>1977.6800000000021</v>
      </c>
    </row>
    <row r="34" spans="2:11" x14ac:dyDescent="0.25">
      <c r="B34" s="18">
        <v>42951</v>
      </c>
      <c r="C34" s="9" t="s">
        <v>901</v>
      </c>
      <c r="D34" s="11"/>
      <c r="E34" s="11"/>
      <c r="F34" s="11"/>
      <c r="G34" s="11"/>
      <c r="H34" s="11">
        <v>160</v>
      </c>
      <c r="I34" s="15"/>
      <c r="J34" s="12">
        <f t="shared" si="2"/>
        <v>18940.93</v>
      </c>
      <c r="K34" s="12">
        <f t="shared" si="3"/>
        <v>1817.6800000000021</v>
      </c>
    </row>
    <row r="35" spans="2:11" x14ac:dyDescent="0.25">
      <c r="B35" s="18">
        <v>42952</v>
      </c>
      <c r="C35" s="9" t="s">
        <v>915</v>
      </c>
      <c r="D35" s="11"/>
      <c r="E35" s="11"/>
      <c r="F35" s="11"/>
      <c r="G35" s="11"/>
      <c r="H35" s="11">
        <v>500</v>
      </c>
      <c r="I35" s="15"/>
      <c r="J35" s="12">
        <f t="shared" si="2"/>
        <v>18940.93</v>
      </c>
      <c r="K35" s="12">
        <f t="shared" si="3"/>
        <v>1317.6800000000021</v>
      </c>
    </row>
    <row r="36" spans="2:11" x14ac:dyDescent="0.25">
      <c r="B36" s="18">
        <v>42953</v>
      </c>
      <c r="C36" s="9" t="s">
        <v>916</v>
      </c>
      <c r="D36" s="11"/>
      <c r="E36" s="11"/>
      <c r="F36" s="11"/>
      <c r="G36" s="11"/>
      <c r="H36" s="11">
        <v>120</v>
      </c>
      <c r="I36" s="15"/>
      <c r="J36" s="12">
        <f t="shared" si="2"/>
        <v>18940.93</v>
      </c>
      <c r="K36" s="12">
        <f t="shared" si="3"/>
        <v>1197.6800000000021</v>
      </c>
    </row>
    <row r="37" spans="2:11" x14ac:dyDescent="0.25">
      <c r="B37" s="18">
        <v>42953</v>
      </c>
      <c r="C37" s="9" t="s">
        <v>917</v>
      </c>
      <c r="D37" s="11"/>
      <c r="E37" s="11"/>
      <c r="F37" s="11"/>
      <c r="G37" s="11"/>
      <c r="H37" s="11">
        <v>150</v>
      </c>
      <c r="I37" s="15"/>
      <c r="J37" s="12">
        <f t="shared" si="2"/>
        <v>18940.93</v>
      </c>
      <c r="K37" s="12">
        <f t="shared" si="3"/>
        <v>1047.6800000000021</v>
      </c>
    </row>
    <row r="38" spans="2:11" x14ac:dyDescent="0.25">
      <c r="B38" s="18">
        <v>42953</v>
      </c>
      <c r="C38" s="9" t="s">
        <v>918</v>
      </c>
      <c r="D38" s="11"/>
      <c r="E38" s="11"/>
      <c r="F38" s="11"/>
      <c r="G38" s="11"/>
      <c r="H38" s="11">
        <v>146.4</v>
      </c>
      <c r="I38" s="15"/>
      <c r="J38" s="12">
        <f t="shared" si="2"/>
        <v>18940.93</v>
      </c>
      <c r="K38" s="12">
        <f t="shared" si="3"/>
        <v>901.28000000000213</v>
      </c>
    </row>
    <row r="39" spans="2:11" x14ac:dyDescent="0.25">
      <c r="B39" s="18">
        <v>42954</v>
      </c>
      <c r="C39" s="9" t="s">
        <v>919</v>
      </c>
      <c r="D39" s="11"/>
      <c r="E39" s="11"/>
      <c r="F39" s="11"/>
      <c r="G39" s="11"/>
      <c r="H39" s="11">
        <v>376.7</v>
      </c>
      <c r="I39" s="15"/>
      <c r="J39" s="12">
        <f t="shared" si="2"/>
        <v>18940.93</v>
      </c>
      <c r="K39" s="12">
        <f t="shared" si="3"/>
        <v>524.5800000000022</v>
      </c>
    </row>
    <row r="40" spans="2:11" x14ac:dyDescent="0.25">
      <c r="B40" s="18">
        <v>42954</v>
      </c>
      <c r="C40" s="9" t="s">
        <v>920</v>
      </c>
      <c r="D40" s="11">
        <v>22325</v>
      </c>
      <c r="E40" s="11"/>
      <c r="F40" s="11"/>
      <c r="G40" s="11"/>
      <c r="H40" s="11"/>
      <c r="I40" s="15"/>
      <c r="J40" s="12">
        <f t="shared" si="2"/>
        <v>18940.93</v>
      </c>
      <c r="K40" s="12">
        <f t="shared" si="3"/>
        <v>22849.58</v>
      </c>
    </row>
    <row r="41" spans="2:11" x14ac:dyDescent="0.25">
      <c r="B41" s="18">
        <v>42954</v>
      </c>
      <c r="C41" s="127" t="s">
        <v>955</v>
      </c>
      <c r="D41" s="11"/>
      <c r="E41" s="11"/>
      <c r="F41" s="11"/>
      <c r="G41" s="11"/>
      <c r="H41" s="59">
        <v>5000</v>
      </c>
      <c r="I41" s="15"/>
      <c r="J41" s="12">
        <f t="shared" si="2"/>
        <v>18940.93</v>
      </c>
      <c r="K41" s="12">
        <f t="shared" si="3"/>
        <v>17849.580000000002</v>
      </c>
    </row>
    <row r="42" spans="2:11" x14ac:dyDescent="0.25">
      <c r="B42" s="18">
        <v>42954</v>
      </c>
      <c r="C42" s="9" t="s">
        <v>921</v>
      </c>
      <c r="D42" s="11"/>
      <c r="E42" s="11"/>
      <c r="F42" s="11"/>
      <c r="G42" s="11"/>
      <c r="H42" s="59">
        <v>400</v>
      </c>
      <c r="I42" s="15"/>
      <c r="J42" s="12">
        <f t="shared" si="2"/>
        <v>18940.93</v>
      </c>
      <c r="K42" s="12">
        <f t="shared" si="3"/>
        <v>17449.580000000002</v>
      </c>
    </row>
    <row r="43" spans="2:11" x14ac:dyDescent="0.25">
      <c r="B43" s="18">
        <v>42954</v>
      </c>
      <c r="C43" s="9" t="s">
        <v>922</v>
      </c>
      <c r="D43" s="11"/>
      <c r="E43" s="11"/>
      <c r="F43" s="11"/>
      <c r="G43" s="11"/>
      <c r="H43" s="59">
        <v>310</v>
      </c>
      <c r="I43" s="15"/>
      <c r="J43" s="12">
        <f t="shared" si="2"/>
        <v>18940.93</v>
      </c>
      <c r="K43" s="12">
        <f t="shared" si="3"/>
        <v>17139.580000000002</v>
      </c>
    </row>
    <row r="44" spans="2:11" x14ac:dyDescent="0.25">
      <c r="B44" s="18">
        <v>42954</v>
      </c>
      <c r="C44" s="9" t="s">
        <v>923</v>
      </c>
      <c r="D44" s="11"/>
      <c r="E44" s="11"/>
      <c r="F44" s="11"/>
      <c r="G44" s="11"/>
      <c r="H44" s="59">
        <v>350</v>
      </c>
      <c r="I44" s="15"/>
      <c r="J44" s="12">
        <f t="shared" si="2"/>
        <v>18940.93</v>
      </c>
      <c r="K44" s="12">
        <f t="shared" si="3"/>
        <v>16789.580000000002</v>
      </c>
    </row>
    <row r="45" spans="2:11" x14ac:dyDescent="0.25">
      <c r="B45" s="18">
        <v>42954</v>
      </c>
      <c r="C45" s="13" t="s">
        <v>924</v>
      </c>
      <c r="D45" s="41"/>
      <c r="E45" s="41"/>
      <c r="F45" s="41"/>
      <c r="G45" s="41"/>
      <c r="H45" s="11">
        <v>150</v>
      </c>
      <c r="I45" s="15"/>
      <c r="J45" s="12">
        <f t="shared" si="2"/>
        <v>18940.93</v>
      </c>
      <c r="K45" s="12">
        <f t="shared" si="3"/>
        <v>16639.580000000002</v>
      </c>
    </row>
    <row r="46" spans="2:11" x14ac:dyDescent="0.25">
      <c r="B46" s="18">
        <v>42954</v>
      </c>
      <c r="C46" s="13" t="s">
        <v>925</v>
      </c>
      <c r="D46" s="41"/>
      <c r="E46" s="41"/>
      <c r="F46" s="41"/>
      <c r="G46" s="16"/>
      <c r="H46" s="11">
        <v>250</v>
      </c>
      <c r="I46" s="15"/>
      <c r="J46" s="12">
        <f t="shared" si="2"/>
        <v>18940.93</v>
      </c>
      <c r="K46" s="12">
        <f t="shared" si="3"/>
        <v>16389.580000000002</v>
      </c>
    </row>
    <row r="47" spans="2:11" x14ac:dyDescent="0.25">
      <c r="B47" s="18">
        <v>42954</v>
      </c>
      <c r="C47" s="13" t="s">
        <v>926</v>
      </c>
      <c r="D47" s="41"/>
      <c r="E47" s="41"/>
      <c r="F47" s="41"/>
      <c r="G47" s="41"/>
      <c r="H47" s="11">
        <v>200</v>
      </c>
      <c r="I47" s="15"/>
      <c r="J47" s="12">
        <f t="shared" si="2"/>
        <v>18940.93</v>
      </c>
      <c r="K47" s="12">
        <f t="shared" si="3"/>
        <v>16189.580000000002</v>
      </c>
    </row>
    <row r="48" spans="2:11" x14ac:dyDescent="0.25">
      <c r="B48" s="18">
        <v>42954</v>
      </c>
      <c r="C48" s="13" t="s">
        <v>927</v>
      </c>
      <c r="D48" s="11"/>
      <c r="E48" s="11"/>
      <c r="F48" s="11"/>
      <c r="G48" s="11"/>
      <c r="H48" s="11">
        <v>450</v>
      </c>
      <c r="I48" s="15"/>
      <c r="J48" s="12">
        <f t="shared" si="2"/>
        <v>18940.93</v>
      </c>
      <c r="K48" s="12">
        <f t="shared" si="3"/>
        <v>15739.580000000002</v>
      </c>
    </row>
    <row r="49" spans="2:11" x14ac:dyDescent="0.25">
      <c r="B49" s="18">
        <v>42954</v>
      </c>
      <c r="C49" s="13" t="s">
        <v>928</v>
      </c>
      <c r="D49" s="11"/>
      <c r="E49" s="11"/>
      <c r="F49" s="11"/>
      <c r="G49" s="11"/>
      <c r="H49" s="11">
        <v>350</v>
      </c>
      <c r="I49" s="15"/>
      <c r="J49" s="12">
        <f t="shared" si="2"/>
        <v>18940.93</v>
      </c>
      <c r="K49" s="12">
        <f t="shared" si="3"/>
        <v>15389.580000000002</v>
      </c>
    </row>
    <row r="50" spans="2:11" x14ac:dyDescent="0.25">
      <c r="B50" s="18">
        <v>42954</v>
      </c>
      <c r="C50" s="13" t="s">
        <v>929</v>
      </c>
      <c r="D50" s="11"/>
      <c r="E50" s="11"/>
      <c r="F50" s="11"/>
      <c r="G50" s="11"/>
      <c r="H50" s="11">
        <v>300</v>
      </c>
      <c r="I50" s="15"/>
      <c r="J50" s="12">
        <f t="shared" si="2"/>
        <v>18940.93</v>
      </c>
      <c r="K50" s="12">
        <f t="shared" si="3"/>
        <v>15089.580000000002</v>
      </c>
    </row>
    <row r="51" spans="2:11" x14ac:dyDescent="0.25">
      <c r="B51" s="18">
        <v>42954</v>
      </c>
      <c r="C51" s="13" t="s">
        <v>1124</v>
      </c>
      <c r="D51" s="11"/>
      <c r="E51" s="11"/>
      <c r="F51" s="11"/>
      <c r="G51" s="11">
        <v>1760</v>
      </c>
      <c r="H51" s="11"/>
      <c r="I51" s="15"/>
      <c r="J51" s="12">
        <f t="shared" ref="J51:J57" si="4">+J50+E51-G51</f>
        <v>17180.93</v>
      </c>
      <c r="K51" s="12">
        <f t="shared" ref="K51:K57" si="5">+K50+D51-H51</f>
        <v>15089.580000000002</v>
      </c>
    </row>
    <row r="52" spans="2:11" x14ac:dyDescent="0.25">
      <c r="B52" s="18">
        <v>42954</v>
      </c>
      <c r="C52" s="9" t="s">
        <v>1125</v>
      </c>
      <c r="D52" s="11"/>
      <c r="E52" s="11"/>
      <c r="F52" s="11"/>
      <c r="G52" s="11">
        <v>1300</v>
      </c>
      <c r="H52" s="11"/>
      <c r="I52" s="15"/>
      <c r="J52" s="12">
        <f t="shared" si="4"/>
        <v>15880.93</v>
      </c>
      <c r="K52" s="12">
        <f t="shared" si="5"/>
        <v>15089.580000000002</v>
      </c>
    </row>
    <row r="53" spans="2:11" x14ac:dyDescent="0.25">
      <c r="B53" s="18">
        <v>42954</v>
      </c>
      <c r="C53" s="13" t="s">
        <v>1218</v>
      </c>
      <c r="D53" s="11"/>
      <c r="E53" s="11"/>
      <c r="F53" s="11"/>
      <c r="G53" s="11">
        <v>3600</v>
      </c>
      <c r="H53" s="11"/>
      <c r="I53" s="15"/>
      <c r="J53" s="12">
        <f t="shared" si="4"/>
        <v>12280.93</v>
      </c>
      <c r="K53" s="12">
        <f t="shared" si="5"/>
        <v>15089.580000000002</v>
      </c>
    </row>
    <row r="54" spans="2:11" x14ac:dyDescent="0.25">
      <c r="B54" s="18">
        <v>42957</v>
      </c>
      <c r="C54" s="9" t="s">
        <v>932</v>
      </c>
      <c r="D54" s="11"/>
      <c r="E54" s="11"/>
      <c r="F54" s="11"/>
      <c r="G54" s="11"/>
      <c r="H54" s="11">
        <v>2117</v>
      </c>
      <c r="I54" s="15"/>
      <c r="J54" s="12">
        <f t="shared" si="4"/>
        <v>12280.93</v>
      </c>
      <c r="K54" s="12">
        <f t="shared" si="5"/>
        <v>12972.580000000002</v>
      </c>
    </row>
    <row r="55" spans="2:11" x14ac:dyDescent="0.25">
      <c r="B55" s="18">
        <v>42957</v>
      </c>
      <c r="C55" s="9" t="s">
        <v>930</v>
      </c>
      <c r="D55" s="11"/>
      <c r="E55" s="11"/>
      <c r="F55" s="11"/>
      <c r="G55" s="11"/>
      <c r="H55" s="11">
        <v>200</v>
      </c>
      <c r="I55" s="15"/>
      <c r="J55" s="12">
        <f t="shared" si="4"/>
        <v>12280.93</v>
      </c>
      <c r="K55" s="12">
        <f t="shared" si="5"/>
        <v>12772.580000000002</v>
      </c>
    </row>
    <row r="56" spans="2:11" x14ac:dyDescent="0.25">
      <c r="B56" s="18">
        <v>42957</v>
      </c>
      <c r="C56" s="9" t="s">
        <v>931</v>
      </c>
      <c r="D56" s="11"/>
      <c r="E56" s="11"/>
      <c r="F56" s="11"/>
      <c r="G56" s="11"/>
      <c r="H56" s="59">
        <v>4</v>
      </c>
      <c r="I56" s="15"/>
      <c r="J56" s="12">
        <f t="shared" si="4"/>
        <v>12280.93</v>
      </c>
      <c r="K56" s="12">
        <f t="shared" si="5"/>
        <v>12768.580000000002</v>
      </c>
    </row>
    <row r="57" spans="2:11" x14ac:dyDescent="0.25">
      <c r="B57" s="18">
        <v>42957</v>
      </c>
      <c r="C57" s="127" t="s">
        <v>956</v>
      </c>
      <c r="D57" s="41"/>
      <c r="E57" s="41"/>
      <c r="F57" s="41"/>
      <c r="G57" s="41"/>
      <c r="H57" s="11">
        <v>8000</v>
      </c>
      <c r="I57" s="15"/>
      <c r="J57" s="12">
        <f t="shared" si="4"/>
        <v>12280.93</v>
      </c>
      <c r="K57" s="12">
        <f t="shared" si="5"/>
        <v>4768.5800000000017</v>
      </c>
    </row>
    <row r="58" spans="2:11" x14ac:dyDescent="0.25">
      <c r="B58" s="18">
        <v>42958</v>
      </c>
      <c r="C58" s="13" t="s">
        <v>933</v>
      </c>
      <c r="D58" s="41"/>
      <c r="E58" s="41"/>
      <c r="F58" s="41"/>
      <c r="G58" s="16"/>
      <c r="H58" s="11">
        <v>795</v>
      </c>
      <c r="I58" s="15"/>
      <c r="J58" s="12">
        <f t="shared" ref="J58" si="6">+J57+E58-G58</f>
        <v>12280.93</v>
      </c>
      <c r="K58" s="12">
        <f t="shared" ref="K58" si="7">+K57+D58-H58</f>
        <v>3973.5800000000017</v>
      </c>
    </row>
    <row r="59" spans="2:11" x14ac:dyDescent="0.25">
      <c r="B59" s="18">
        <v>42958</v>
      </c>
      <c r="C59" s="13" t="s">
        <v>934</v>
      </c>
      <c r="D59" s="41"/>
      <c r="E59" s="41"/>
      <c r="F59" s="41"/>
      <c r="G59" s="41"/>
      <c r="H59" s="11">
        <v>200</v>
      </c>
      <c r="I59" s="15"/>
      <c r="J59" s="12">
        <f>+J58+E59-G59</f>
        <v>12280.93</v>
      </c>
      <c r="K59" s="12">
        <f>+K58+D59-H59</f>
        <v>3773.5800000000017</v>
      </c>
    </row>
    <row r="60" spans="2:11" ht="15.75" thickBot="1" x14ac:dyDescent="0.3">
      <c r="B60" s="18">
        <v>42958</v>
      </c>
      <c r="C60" s="9" t="s">
        <v>935</v>
      </c>
      <c r="D60" s="11"/>
      <c r="E60" s="11"/>
      <c r="F60" s="11"/>
      <c r="G60" s="11"/>
      <c r="H60" s="59">
        <v>12</v>
      </c>
      <c r="I60" s="15"/>
      <c r="J60" s="12">
        <f>+J59+E60-G60</f>
        <v>12280.93</v>
      </c>
      <c r="K60" s="12">
        <f>+K59+D60-H60</f>
        <v>3761.5800000000017</v>
      </c>
    </row>
    <row r="61" spans="2:11" ht="15.75" thickBot="1" x14ac:dyDescent="0.3">
      <c r="B61" s="5"/>
      <c r="C61" s="7" t="s">
        <v>0</v>
      </c>
      <c r="D61" s="63">
        <f>SUM(D4:D60)</f>
        <v>22325</v>
      </c>
      <c r="E61" s="61">
        <f>SUM(E4:E60)</f>
        <v>0</v>
      </c>
      <c r="F61" s="72">
        <f>SUM(D61:E61)</f>
        <v>22325</v>
      </c>
      <c r="G61" s="81">
        <f>SUM(G4:G60)</f>
        <v>10260</v>
      </c>
      <c r="H61" s="63">
        <f>SUM(H4:H60)</f>
        <v>39381.300000000003</v>
      </c>
      <c r="I61" s="72">
        <f>SUM(G61:H61)</f>
        <v>49641.3</v>
      </c>
      <c r="J61" s="20"/>
      <c r="K61" s="20"/>
    </row>
    <row r="62" spans="2:11" x14ac:dyDescent="0.25">
      <c r="B62" s="69" t="s">
        <v>1</v>
      </c>
      <c r="C62" s="69" t="s">
        <v>2</v>
      </c>
      <c r="D62" s="69" t="s">
        <v>3</v>
      </c>
      <c r="E62" s="69" t="s">
        <v>3</v>
      </c>
      <c r="F62" s="69" t="s">
        <v>23</v>
      </c>
      <c r="G62" s="69" t="s">
        <v>24</v>
      </c>
      <c r="H62" s="48" t="s">
        <v>24</v>
      </c>
      <c r="I62" s="48" t="s">
        <v>23</v>
      </c>
      <c r="J62" s="69" t="s">
        <v>9</v>
      </c>
      <c r="K62" s="48" t="s">
        <v>8</v>
      </c>
    </row>
    <row r="63" spans="2:11" ht="15.75" thickBot="1" x14ac:dyDescent="0.3">
      <c r="B63" s="70"/>
      <c r="C63" s="70"/>
      <c r="D63" s="70" t="s">
        <v>5</v>
      </c>
      <c r="E63" s="70" t="s">
        <v>25</v>
      </c>
      <c r="F63" s="70" t="s">
        <v>3</v>
      </c>
      <c r="G63" s="70" t="s">
        <v>25</v>
      </c>
      <c r="H63" s="71" t="s">
        <v>5</v>
      </c>
      <c r="I63" s="71" t="s">
        <v>4</v>
      </c>
      <c r="J63" s="70"/>
      <c r="K63" s="71"/>
    </row>
    <row r="64" spans="2:11" ht="15.75" thickBot="1" x14ac:dyDescent="0.3">
      <c r="B64" s="5"/>
      <c r="C64" s="7"/>
      <c r="D64" s="63">
        <v>22325</v>
      </c>
      <c r="E64" s="61">
        <v>0</v>
      </c>
      <c r="F64" s="72">
        <f>SUM(D64:E64)</f>
        <v>22325</v>
      </c>
      <c r="G64" s="81">
        <v>10260</v>
      </c>
      <c r="H64" s="63">
        <v>39169.300000000003</v>
      </c>
      <c r="I64" s="72">
        <f>SUM(G64:H64)</f>
        <v>49429.3</v>
      </c>
      <c r="J64" s="20">
        <v>12280.93</v>
      </c>
      <c r="K64" s="12">
        <v>3761.58</v>
      </c>
    </row>
    <row r="65" spans="2:12" x14ac:dyDescent="0.25">
      <c r="B65" s="18">
        <v>42958</v>
      </c>
      <c r="C65" s="9" t="s">
        <v>936</v>
      </c>
      <c r="D65" s="11"/>
      <c r="E65" s="11"/>
      <c r="F65" s="11"/>
      <c r="G65" s="11"/>
      <c r="H65" s="59">
        <v>150</v>
      </c>
      <c r="I65" s="15"/>
      <c r="J65" s="12">
        <f>+J64+E65-G65</f>
        <v>12280.93</v>
      </c>
      <c r="K65" s="12">
        <f>+K64+D65-H65</f>
        <v>3611.58</v>
      </c>
    </row>
    <row r="66" spans="2:12" x14ac:dyDescent="0.25">
      <c r="B66" s="18">
        <v>42958</v>
      </c>
      <c r="C66" s="9" t="s">
        <v>937</v>
      </c>
      <c r="D66" s="11">
        <v>9900</v>
      </c>
      <c r="E66" s="11"/>
      <c r="F66" s="11"/>
      <c r="G66" s="11"/>
      <c r="H66" s="59"/>
      <c r="I66" s="15"/>
      <c r="J66" s="12">
        <f>+J65+E66-G66</f>
        <v>12280.93</v>
      </c>
      <c r="K66" s="12">
        <f t="shared" ref="K66" si="8">+K65+D66-H66</f>
        <v>13511.58</v>
      </c>
    </row>
    <row r="67" spans="2:12" x14ac:dyDescent="0.25">
      <c r="B67" s="18">
        <v>42958</v>
      </c>
      <c r="C67" s="9" t="s">
        <v>901</v>
      </c>
      <c r="D67" s="11"/>
      <c r="E67" s="11"/>
      <c r="F67" s="11"/>
      <c r="G67" s="11"/>
      <c r="H67" s="59">
        <v>189</v>
      </c>
      <c r="I67" s="15"/>
      <c r="J67" s="12">
        <f t="shared" ref="J67:J121" si="9">+J66+E67-G67</f>
        <v>12280.93</v>
      </c>
      <c r="K67" s="12">
        <f t="shared" ref="K67:K121" si="10">+K66+D67-H67</f>
        <v>13322.58</v>
      </c>
    </row>
    <row r="68" spans="2:12" x14ac:dyDescent="0.25">
      <c r="B68" s="18">
        <v>42958</v>
      </c>
      <c r="C68" s="13" t="s">
        <v>938</v>
      </c>
      <c r="D68" s="11"/>
      <c r="E68" s="11"/>
      <c r="F68" s="11"/>
      <c r="G68" s="11"/>
      <c r="H68" s="11">
        <v>1000</v>
      </c>
      <c r="I68" s="15"/>
      <c r="J68" s="12">
        <f t="shared" si="9"/>
        <v>12280.93</v>
      </c>
      <c r="K68" s="12">
        <f t="shared" si="10"/>
        <v>12322.58</v>
      </c>
    </row>
    <row r="69" spans="2:12" x14ac:dyDescent="0.25">
      <c r="B69" s="18">
        <v>42958</v>
      </c>
      <c r="C69" s="13" t="s">
        <v>939</v>
      </c>
      <c r="D69" s="11"/>
      <c r="E69" s="11"/>
      <c r="F69" s="11"/>
      <c r="G69" s="11"/>
      <c r="H69" s="11">
        <v>318.2</v>
      </c>
      <c r="I69" s="15"/>
      <c r="J69" s="12">
        <f t="shared" si="9"/>
        <v>12280.93</v>
      </c>
      <c r="K69" s="12">
        <f t="shared" si="10"/>
        <v>12004.38</v>
      </c>
    </row>
    <row r="70" spans="2:12" x14ac:dyDescent="0.25">
      <c r="B70" s="18">
        <v>42959</v>
      </c>
      <c r="C70" s="13" t="s">
        <v>940</v>
      </c>
      <c r="D70" s="11"/>
      <c r="E70" s="11"/>
      <c r="F70" s="11"/>
      <c r="G70" s="11"/>
      <c r="H70" s="11">
        <v>500</v>
      </c>
      <c r="I70" s="15"/>
      <c r="J70" s="12">
        <f t="shared" si="9"/>
        <v>12280.93</v>
      </c>
      <c r="K70" s="12">
        <f t="shared" si="10"/>
        <v>11504.38</v>
      </c>
    </row>
    <row r="71" spans="2:12" x14ac:dyDescent="0.25">
      <c r="B71" s="18">
        <v>42960</v>
      </c>
      <c r="C71" s="13" t="s">
        <v>918</v>
      </c>
      <c r="D71" s="11"/>
      <c r="E71" s="11"/>
      <c r="F71" s="11"/>
      <c r="G71" s="11"/>
      <c r="H71" s="11">
        <v>141.5</v>
      </c>
      <c r="I71" s="15"/>
      <c r="J71" s="12">
        <f t="shared" si="9"/>
        <v>12280.93</v>
      </c>
      <c r="K71" s="12">
        <f t="shared" si="10"/>
        <v>11362.88</v>
      </c>
    </row>
    <row r="72" spans="2:12" x14ac:dyDescent="0.25">
      <c r="B72" s="18">
        <v>42960</v>
      </c>
      <c r="C72" s="13" t="s">
        <v>916</v>
      </c>
      <c r="D72" s="11"/>
      <c r="E72" s="11"/>
      <c r="F72" s="11"/>
      <c r="G72" s="11"/>
      <c r="H72" s="11">
        <v>120</v>
      </c>
      <c r="I72" s="15"/>
      <c r="J72" s="12">
        <f t="shared" si="9"/>
        <v>12280.93</v>
      </c>
      <c r="K72" s="12">
        <f t="shared" si="10"/>
        <v>11242.88</v>
      </c>
    </row>
    <row r="73" spans="2:12" x14ac:dyDescent="0.25">
      <c r="B73" s="18">
        <v>42960</v>
      </c>
      <c r="C73" s="13" t="s">
        <v>917</v>
      </c>
      <c r="D73" s="11"/>
      <c r="E73" s="11"/>
      <c r="F73" s="11"/>
      <c r="G73" s="11"/>
      <c r="H73" s="11">
        <v>150</v>
      </c>
      <c r="I73" s="15"/>
      <c r="J73" s="12">
        <f t="shared" si="9"/>
        <v>12280.93</v>
      </c>
      <c r="K73" s="12">
        <f t="shared" si="10"/>
        <v>11092.88</v>
      </c>
    </row>
    <row r="74" spans="2:12" x14ac:dyDescent="0.25">
      <c r="B74" s="18">
        <v>42960</v>
      </c>
      <c r="C74" s="13" t="s">
        <v>937</v>
      </c>
      <c r="D74" s="11">
        <v>15175</v>
      </c>
      <c r="E74" s="11"/>
      <c r="F74" s="11"/>
      <c r="G74" s="11"/>
      <c r="H74" s="11"/>
      <c r="I74" s="15"/>
      <c r="J74" s="12">
        <f t="shared" si="9"/>
        <v>12280.93</v>
      </c>
      <c r="K74" s="12">
        <f t="shared" si="10"/>
        <v>26267.879999999997</v>
      </c>
    </row>
    <row r="75" spans="2:12" x14ac:dyDescent="0.25">
      <c r="B75" s="18">
        <v>42960</v>
      </c>
      <c r="C75" s="13" t="s">
        <v>942</v>
      </c>
      <c r="D75" s="11"/>
      <c r="E75" s="11"/>
      <c r="F75" s="11"/>
      <c r="G75" s="11"/>
      <c r="H75" s="11">
        <v>1199</v>
      </c>
      <c r="I75" s="15"/>
      <c r="J75" s="12">
        <f t="shared" si="9"/>
        <v>12280.93</v>
      </c>
      <c r="K75" s="12">
        <f t="shared" si="10"/>
        <v>25068.879999999997</v>
      </c>
      <c r="L75" s="1"/>
    </row>
    <row r="76" spans="2:12" x14ac:dyDescent="0.25">
      <c r="B76" s="18">
        <v>42960</v>
      </c>
      <c r="C76" s="35" t="s">
        <v>941</v>
      </c>
      <c r="D76" s="11"/>
      <c r="E76" s="11"/>
      <c r="F76" s="11"/>
      <c r="G76" s="11"/>
      <c r="H76" s="11">
        <v>1284</v>
      </c>
      <c r="I76" s="15"/>
      <c r="J76" s="12">
        <f t="shared" si="9"/>
        <v>12280.93</v>
      </c>
      <c r="K76" s="12">
        <f t="shared" si="10"/>
        <v>23784.879999999997</v>
      </c>
      <c r="L76" s="1"/>
    </row>
    <row r="77" spans="2:12" x14ac:dyDescent="0.25">
      <c r="B77" s="18">
        <v>42960</v>
      </c>
      <c r="C77" s="34" t="s">
        <v>943</v>
      </c>
      <c r="D77" s="11"/>
      <c r="E77" s="11"/>
      <c r="F77" s="11"/>
      <c r="G77" s="11"/>
      <c r="H77" s="11">
        <v>150</v>
      </c>
      <c r="I77" s="15"/>
      <c r="J77" s="12">
        <f t="shared" si="9"/>
        <v>12280.93</v>
      </c>
      <c r="K77" s="12">
        <f t="shared" si="10"/>
        <v>23634.879999999997</v>
      </c>
      <c r="L77" s="1"/>
    </row>
    <row r="78" spans="2:12" x14ac:dyDescent="0.25">
      <c r="B78" s="18">
        <v>42961</v>
      </c>
      <c r="C78" s="9" t="s">
        <v>944</v>
      </c>
      <c r="D78" s="11"/>
      <c r="E78" s="11"/>
      <c r="F78" s="11"/>
      <c r="G78" s="11"/>
      <c r="H78" s="11">
        <v>540</v>
      </c>
      <c r="I78" s="15"/>
      <c r="J78" s="12">
        <f t="shared" si="9"/>
        <v>12280.93</v>
      </c>
      <c r="K78" s="12">
        <f t="shared" si="10"/>
        <v>23094.879999999997</v>
      </c>
    </row>
    <row r="79" spans="2:12" x14ac:dyDescent="0.25">
      <c r="B79" s="18">
        <v>42961</v>
      </c>
      <c r="C79" s="9" t="s">
        <v>945</v>
      </c>
      <c r="D79" s="11"/>
      <c r="E79" s="11"/>
      <c r="F79" s="11"/>
      <c r="G79" s="11"/>
      <c r="H79" s="11">
        <v>700</v>
      </c>
      <c r="I79" s="15"/>
      <c r="J79" s="12">
        <f t="shared" si="9"/>
        <v>12280.93</v>
      </c>
      <c r="K79" s="12">
        <f t="shared" si="10"/>
        <v>22394.879999999997</v>
      </c>
    </row>
    <row r="80" spans="2:12" x14ac:dyDescent="0.25">
      <c r="B80" s="18">
        <v>42961</v>
      </c>
      <c r="C80" s="9" t="s">
        <v>946</v>
      </c>
      <c r="D80" s="11"/>
      <c r="E80" s="11"/>
      <c r="F80" s="11"/>
      <c r="G80" s="11"/>
      <c r="H80" s="11">
        <v>400</v>
      </c>
      <c r="I80" s="15"/>
      <c r="J80" s="12">
        <f t="shared" si="9"/>
        <v>12280.93</v>
      </c>
      <c r="K80" s="12">
        <f t="shared" si="10"/>
        <v>21994.879999999997</v>
      </c>
    </row>
    <row r="81" spans="2:11" x14ac:dyDescent="0.25">
      <c r="B81" s="18">
        <v>42961</v>
      </c>
      <c r="C81" s="35" t="s">
        <v>597</v>
      </c>
      <c r="D81" s="11"/>
      <c r="E81" s="11"/>
      <c r="F81" s="11"/>
      <c r="G81" s="11"/>
      <c r="H81" s="11">
        <v>310</v>
      </c>
      <c r="I81" s="15"/>
      <c r="J81" s="12">
        <f t="shared" si="9"/>
        <v>12280.93</v>
      </c>
      <c r="K81" s="12">
        <f t="shared" si="10"/>
        <v>21684.879999999997</v>
      </c>
    </row>
    <row r="82" spans="2:11" x14ac:dyDescent="0.25">
      <c r="B82" s="18">
        <v>42961</v>
      </c>
      <c r="C82" s="34" t="s">
        <v>947</v>
      </c>
      <c r="D82" s="11"/>
      <c r="E82" s="11"/>
      <c r="F82" s="11"/>
      <c r="G82" s="11"/>
      <c r="H82" s="11">
        <v>190</v>
      </c>
      <c r="I82" s="15"/>
      <c r="J82" s="12">
        <f t="shared" si="9"/>
        <v>12280.93</v>
      </c>
      <c r="K82" s="12">
        <f t="shared" si="10"/>
        <v>21494.879999999997</v>
      </c>
    </row>
    <row r="83" spans="2:11" x14ac:dyDescent="0.25">
      <c r="B83" s="18">
        <v>42962</v>
      </c>
      <c r="C83" s="35" t="s">
        <v>948</v>
      </c>
      <c r="D83" s="11"/>
      <c r="E83" s="11"/>
      <c r="F83" s="11"/>
      <c r="G83" s="11"/>
      <c r="H83" s="11">
        <v>4000</v>
      </c>
      <c r="I83" s="15"/>
      <c r="J83" s="12">
        <f t="shared" si="9"/>
        <v>12280.93</v>
      </c>
      <c r="K83" s="12">
        <f t="shared" si="10"/>
        <v>17494.879999999997</v>
      </c>
    </row>
    <row r="84" spans="2:11" x14ac:dyDescent="0.25">
      <c r="B84" s="18">
        <v>42962</v>
      </c>
      <c r="C84" s="34" t="s">
        <v>949</v>
      </c>
      <c r="D84" s="11"/>
      <c r="E84" s="11"/>
      <c r="F84" s="11"/>
      <c r="G84" s="11"/>
      <c r="H84" s="11">
        <v>450</v>
      </c>
      <c r="I84" s="15"/>
      <c r="J84" s="12">
        <f t="shared" si="9"/>
        <v>12280.93</v>
      </c>
      <c r="K84" s="12">
        <f t="shared" si="10"/>
        <v>17044.879999999997</v>
      </c>
    </row>
    <row r="85" spans="2:11" x14ac:dyDescent="0.25">
      <c r="B85" s="18">
        <v>42962</v>
      </c>
      <c r="C85" s="9" t="s">
        <v>950</v>
      </c>
      <c r="D85" s="11"/>
      <c r="E85" s="11"/>
      <c r="F85" s="11"/>
      <c r="G85" s="11"/>
      <c r="H85" s="11">
        <v>350</v>
      </c>
      <c r="I85" s="15"/>
      <c r="J85" s="12">
        <f t="shared" si="9"/>
        <v>12280.93</v>
      </c>
      <c r="K85" s="12">
        <f t="shared" si="10"/>
        <v>16694.879999999997</v>
      </c>
    </row>
    <row r="86" spans="2:11" x14ac:dyDescent="0.25">
      <c r="B86" s="18">
        <v>42962</v>
      </c>
      <c r="C86" s="127" t="s">
        <v>957</v>
      </c>
      <c r="D86" s="11"/>
      <c r="E86" s="11"/>
      <c r="F86" s="11"/>
      <c r="G86" s="11"/>
      <c r="H86" s="11">
        <v>13100</v>
      </c>
      <c r="I86" s="15"/>
      <c r="J86" s="12">
        <f t="shared" si="9"/>
        <v>12280.93</v>
      </c>
      <c r="K86" s="12">
        <f t="shared" si="10"/>
        <v>3594.8799999999974</v>
      </c>
    </row>
    <row r="87" spans="2:11" x14ac:dyDescent="0.25">
      <c r="B87" s="18">
        <v>42962</v>
      </c>
      <c r="C87" s="9" t="s">
        <v>951</v>
      </c>
      <c r="D87" s="11"/>
      <c r="E87" s="11"/>
      <c r="F87" s="11"/>
      <c r="G87" s="11"/>
      <c r="H87" s="11">
        <v>200</v>
      </c>
      <c r="I87" s="15"/>
      <c r="J87" s="12">
        <f t="shared" si="9"/>
        <v>12280.93</v>
      </c>
      <c r="K87" s="12">
        <f t="shared" si="10"/>
        <v>3394.8799999999974</v>
      </c>
    </row>
    <row r="88" spans="2:11" x14ac:dyDescent="0.25">
      <c r="B88" s="18">
        <v>42962</v>
      </c>
      <c r="C88" s="9" t="s">
        <v>907</v>
      </c>
      <c r="D88" s="11"/>
      <c r="E88" s="11"/>
      <c r="F88" s="11"/>
      <c r="G88" s="11"/>
      <c r="H88" s="11">
        <v>400</v>
      </c>
      <c r="I88" s="15"/>
      <c r="J88" s="12">
        <f t="shared" si="9"/>
        <v>12280.93</v>
      </c>
      <c r="K88" s="12">
        <f t="shared" si="10"/>
        <v>2994.8799999999974</v>
      </c>
    </row>
    <row r="89" spans="2:11" x14ac:dyDescent="0.25">
      <c r="B89" s="18">
        <v>42962</v>
      </c>
      <c r="C89" s="9" t="s">
        <v>952</v>
      </c>
      <c r="D89" s="11"/>
      <c r="E89" s="11"/>
      <c r="F89" s="11"/>
      <c r="G89" s="11"/>
      <c r="H89" s="11">
        <v>25</v>
      </c>
      <c r="I89" s="15"/>
      <c r="J89" s="12">
        <f t="shared" si="9"/>
        <v>12280.93</v>
      </c>
      <c r="K89" s="12">
        <f t="shared" si="10"/>
        <v>2969.8799999999974</v>
      </c>
    </row>
    <row r="90" spans="2:11" x14ac:dyDescent="0.25">
      <c r="B90" s="18">
        <v>42962</v>
      </c>
      <c r="C90" s="128" t="s">
        <v>958</v>
      </c>
      <c r="D90" s="41"/>
      <c r="E90" s="41"/>
      <c r="F90" s="41"/>
      <c r="G90" s="41">
        <v>4000</v>
      </c>
      <c r="H90" s="11"/>
      <c r="I90" s="15"/>
      <c r="J90" s="12">
        <f t="shared" si="9"/>
        <v>8280.93</v>
      </c>
      <c r="K90" s="12">
        <f t="shared" si="10"/>
        <v>2969.8799999999974</v>
      </c>
    </row>
    <row r="91" spans="2:11" x14ac:dyDescent="0.25">
      <c r="B91" s="18">
        <v>42964</v>
      </c>
      <c r="C91" s="13" t="s">
        <v>959</v>
      </c>
      <c r="D91" s="41"/>
      <c r="E91" s="41"/>
      <c r="F91" s="41"/>
      <c r="G91" s="16"/>
      <c r="H91" s="11">
        <v>700</v>
      </c>
      <c r="I91" s="15"/>
      <c r="J91" s="12">
        <f t="shared" si="9"/>
        <v>8280.93</v>
      </c>
      <c r="K91" s="12">
        <f t="shared" si="10"/>
        <v>2269.8799999999974</v>
      </c>
    </row>
    <row r="92" spans="2:11" x14ac:dyDescent="0.25">
      <c r="B92" s="18">
        <v>42964</v>
      </c>
      <c r="C92" s="13" t="s">
        <v>918</v>
      </c>
      <c r="D92" s="41"/>
      <c r="E92" s="41"/>
      <c r="F92" s="41"/>
      <c r="G92" s="16"/>
      <c r="H92" s="11">
        <v>88</v>
      </c>
      <c r="I92" s="15"/>
      <c r="J92" s="12">
        <f t="shared" si="9"/>
        <v>8280.93</v>
      </c>
      <c r="K92" s="12">
        <f t="shared" si="10"/>
        <v>2181.8799999999974</v>
      </c>
    </row>
    <row r="93" spans="2:11" x14ac:dyDescent="0.25">
      <c r="B93" s="18">
        <v>42964</v>
      </c>
      <c r="C93" s="13" t="s">
        <v>890</v>
      </c>
      <c r="D93" s="41"/>
      <c r="E93" s="41"/>
      <c r="F93" s="41"/>
      <c r="G93" s="41"/>
      <c r="H93" s="11">
        <v>290</v>
      </c>
      <c r="I93" s="15"/>
      <c r="J93" s="12">
        <f t="shared" si="9"/>
        <v>8280.93</v>
      </c>
      <c r="K93" s="12">
        <f t="shared" si="10"/>
        <v>1891.8799999999974</v>
      </c>
    </row>
    <row r="94" spans="2:11" x14ac:dyDescent="0.25">
      <c r="B94" s="18">
        <v>42964</v>
      </c>
      <c r="C94" s="9" t="s">
        <v>960</v>
      </c>
      <c r="D94" s="11">
        <v>2200</v>
      </c>
      <c r="E94" s="11"/>
      <c r="F94" s="11"/>
      <c r="G94" s="11"/>
      <c r="H94" s="11"/>
      <c r="I94" s="15"/>
      <c r="J94" s="12">
        <f t="shared" si="9"/>
        <v>8280.93</v>
      </c>
      <c r="K94" s="12">
        <f t="shared" si="10"/>
        <v>4091.8799999999974</v>
      </c>
    </row>
    <row r="95" spans="2:11" x14ac:dyDescent="0.25">
      <c r="B95" s="18">
        <v>42964</v>
      </c>
      <c r="C95" s="13" t="s">
        <v>980</v>
      </c>
      <c r="D95" s="11"/>
      <c r="E95" s="11">
        <v>12760</v>
      </c>
      <c r="F95" s="11"/>
      <c r="G95" s="11"/>
      <c r="H95" s="11"/>
      <c r="I95" s="15"/>
      <c r="J95" s="12">
        <f t="shared" si="9"/>
        <v>21040.93</v>
      </c>
      <c r="K95" s="12">
        <f t="shared" si="10"/>
        <v>4091.8799999999974</v>
      </c>
    </row>
    <row r="96" spans="2:11" x14ac:dyDescent="0.25">
      <c r="B96" s="18">
        <v>42934</v>
      </c>
      <c r="C96" s="9" t="s">
        <v>901</v>
      </c>
      <c r="D96" s="11"/>
      <c r="E96" s="11"/>
      <c r="F96" s="11"/>
      <c r="G96" s="11"/>
      <c r="H96" s="11">
        <v>210</v>
      </c>
      <c r="I96" s="15"/>
      <c r="J96" s="12">
        <f t="shared" si="9"/>
        <v>21040.93</v>
      </c>
      <c r="K96" s="12">
        <f t="shared" si="10"/>
        <v>3881.8799999999974</v>
      </c>
    </row>
    <row r="97" spans="2:14" x14ac:dyDescent="0.25">
      <c r="B97" s="18">
        <v>42965</v>
      </c>
      <c r="C97" s="13" t="s">
        <v>953</v>
      </c>
      <c r="D97" s="41"/>
      <c r="E97" s="41"/>
      <c r="F97" s="41"/>
      <c r="G97" s="16"/>
      <c r="H97" s="11">
        <v>250</v>
      </c>
      <c r="I97" s="15"/>
      <c r="J97" s="12">
        <f t="shared" si="9"/>
        <v>21040.93</v>
      </c>
      <c r="K97" s="12">
        <f t="shared" si="10"/>
        <v>3631.8799999999974</v>
      </c>
    </row>
    <row r="98" spans="2:14" x14ac:dyDescent="0.25">
      <c r="B98" s="18">
        <v>42965</v>
      </c>
      <c r="C98" s="13" t="s">
        <v>954</v>
      </c>
      <c r="D98" s="41"/>
      <c r="E98" s="41"/>
      <c r="F98" s="41"/>
      <c r="G98" s="16"/>
      <c r="H98" s="11">
        <v>1000</v>
      </c>
      <c r="I98" s="15"/>
      <c r="J98" s="12">
        <f t="shared" si="9"/>
        <v>21040.93</v>
      </c>
      <c r="K98" s="12">
        <f t="shared" si="10"/>
        <v>2631.8799999999974</v>
      </c>
    </row>
    <row r="99" spans="2:14" x14ac:dyDescent="0.25">
      <c r="B99" s="18">
        <v>42966</v>
      </c>
      <c r="C99" s="9" t="s">
        <v>961</v>
      </c>
      <c r="D99" s="11"/>
      <c r="E99" s="11"/>
      <c r="F99" s="11"/>
      <c r="G99" s="11"/>
      <c r="H99" s="11">
        <v>27.5</v>
      </c>
      <c r="I99" s="15"/>
      <c r="J99" s="12">
        <f t="shared" si="9"/>
        <v>21040.93</v>
      </c>
      <c r="K99" s="12">
        <f t="shared" si="10"/>
        <v>2604.3799999999974</v>
      </c>
    </row>
    <row r="100" spans="2:14" x14ac:dyDescent="0.25">
      <c r="B100" s="18">
        <v>42966</v>
      </c>
      <c r="C100" s="9" t="s">
        <v>962</v>
      </c>
      <c r="D100" s="11"/>
      <c r="E100" s="11"/>
      <c r="F100" s="11"/>
      <c r="G100" s="11"/>
      <c r="H100" s="11">
        <v>195</v>
      </c>
      <c r="I100" s="15"/>
      <c r="J100" s="12">
        <f t="shared" si="9"/>
        <v>21040.93</v>
      </c>
      <c r="K100" s="12">
        <f t="shared" si="10"/>
        <v>2409.3799999999974</v>
      </c>
    </row>
    <row r="101" spans="2:14" x14ac:dyDescent="0.25">
      <c r="B101" s="18">
        <v>42966</v>
      </c>
      <c r="C101" s="9" t="s">
        <v>963</v>
      </c>
      <c r="D101" s="11"/>
      <c r="E101" s="11"/>
      <c r="F101" s="11"/>
      <c r="G101" s="11"/>
      <c r="H101" s="11">
        <v>500</v>
      </c>
      <c r="I101" s="15"/>
      <c r="J101" s="12">
        <f t="shared" si="9"/>
        <v>21040.93</v>
      </c>
      <c r="K101" s="12">
        <f t="shared" si="10"/>
        <v>1909.3799999999974</v>
      </c>
    </row>
    <row r="102" spans="2:14" x14ac:dyDescent="0.25">
      <c r="B102" s="18">
        <v>42967</v>
      </c>
      <c r="C102" s="9" t="s">
        <v>918</v>
      </c>
      <c r="D102" s="11"/>
      <c r="E102" s="11"/>
      <c r="F102" s="11"/>
      <c r="G102" s="11"/>
      <c r="H102" s="11">
        <v>116</v>
      </c>
      <c r="I102" s="15"/>
      <c r="J102" s="12">
        <f t="shared" si="9"/>
        <v>21040.93</v>
      </c>
      <c r="K102" s="12">
        <f t="shared" si="10"/>
        <v>1793.3799999999974</v>
      </c>
    </row>
    <row r="103" spans="2:14" x14ac:dyDescent="0.25">
      <c r="B103" s="18">
        <v>42967</v>
      </c>
      <c r="C103" s="9" t="s">
        <v>964</v>
      </c>
      <c r="D103" s="11"/>
      <c r="E103" s="11"/>
      <c r="F103" s="11"/>
      <c r="G103" s="11"/>
      <c r="H103" s="11">
        <v>120</v>
      </c>
      <c r="I103" s="15"/>
      <c r="J103" s="12">
        <f t="shared" si="9"/>
        <v>21040.93</v>
      </c>
      <c r="K103" s="12">
        <f t="shared" si="10"/>
        <v>1673.3799999999974</v>
      </c>
    </row>
    <row r="104" spans="2:14" x14ac:dyDescent="0.25">
      <c r="B104" s="18">
        <v>42967</v>
      </c>
      <c r="C104" s="9" t="s">
        <v>535</v>
      </c>
      <c r="D104" s="11"/>
      <c r="E104" s="11"/>
      <c r="F104" s="11"/>
      <c r="G104" s="11"/>
      <c r="H104" s="11">
        <v>150</v>
      </c>
      <c r="I104" s="15"/>
      <c r="J104" s="12">
        <f t="shared" si="9"/>
        <v>21040.93</v>
      </c>
      <c r="K104" s="12">
        <f t="shared" si="10"/>
        <v>1523.3799999999974</v>
      </c>
    </row>
    <row r="105" spans="2:14" x14ac:dyDescent="0.25">
      <c r="B105" s="18">
        <v>42967</v>
      </c>
      <c r="C105" s="9" t="s">
        <v>965</v>
      </c>
      <c r="D105" s="11"/>
      <c r="E105" s="11"/>
      <c r="F105" s="11"/>
      <c r="G105" s="11"/>
      <c r="H105" s="11">
        <v>195</v>
      </c>
      <c r="I105" s="15"/>
      <c r="J105" s="12">
        <f t="shared" si="9"/>
        <v>21040.93</v>
      </c>
      <c r="K105" s="12">
        <f t="shared" si="10"/>
        <v>1328.3799999999974</v>
      </c>
    </row>
    <row r="106" spans="2:14" x14ac:dyDescent="0.25">
      <c r="B106" s="18">
        <v>42967</v>
      </c>
      <c r="C106" s="9" t="s">
        <v>966</v>
      </c>
      <c r="D106" s="11"/>
      <c r="E106" s="11"/>
      <c r="F106" s="11"/>
      <c r="G106" s="11"/>
      <c r="H106" s="11">
        <v>180</v>
      </c>
      <c r="I106" s="15"/>
      <c r="J106" s="12">
        <f t="shared" si="9"/>
        <v>21040.93</v>
      </c>
      <c r="K106" s="12">
        <f t="shared" si="10"/>
        <v>1148.3799999999974</v>
      </c>
    </row>
    <row r="107" spans="2:14" x14ac:dyDescent="0.25">
      <c r="B107" s="18">
        <v>42967</v>
      </c>
      <c r="C107" s="9" t="s">
        <v>967</v>
      </c>
      <c r="D107" s="11">
        <v>11450</v>
      </c>
      <c r="E107" s="11"/>
      <c r="F107" s="11"/>
      <c r="G107" s="11"/>
      <c r="H107" s="11"/>
      <c r="I107" s="15"/>
      <c r="J107" s="12">
        <f t="shared" si="9"/>
        <v>21040.93</v>
      </c>
      <c r="K107" s="12">
        <f t="shared" si="10"/>
        <v>12598.379999999997</v>
      </c>
    </row>
    <row r="108" spans="2:14" x14ac:dyDescent="0.25">
      <c r="B108" s="18">
        <v>42968</v>
      </c>
      <c r="C108" s="127" t="s">
        <v>974</v>
      </c>
      <c r="D108" s="11"/>
      <c r="E108" s="11"/>
      <c r="F108" s="11"/>
      <c r="G108" s="11"/>
      <c r="H108" s="11">
        <v>500</v>
      </c>
      <c r="I108" s="15"/>
      <c r="J108" s="12">
        <f t="shared" si="9"/>
        <v>21040.93</v>
      </c>
      <c r="K108" s="12">
        <f t="shared" si="10"/>
        <v>12098.379999999997</v>
      </c>
    </row>
    <row r="109" spans="2:14" x14ac:dyDescent="0.25">
      <c r="B109" s="18">
        <v>42968</v>
      </c>
      <c r="C109" s="9" t="s">
        <v>968</v>
      </c>
      <c r="D109" s="11"/>
      <c r="E109" s="11"/>
      <c r="F109" s="11"/>
      <c r="G109" s="11"/>
      <c r="H109" s="11">
        <v>25</v>
      </c>
      <c r="I109" s="15"/>
      <c r="J109" s="12">
        <f t="shared" si="9"/>
        <v>21040.93</v>
      </c>
      <c r="K109" s="12">
        <f t="shared" si="10"/>
        <v>12073.379999999997</v>
      </c>
    </row>
    <row r="110" spans="2:14" x14ac:dyDescent="0.25">
      <c r="B110" s="18">
        <v>42968</v>
      </c>
      <c r="C110" s="9" t="s">
        <v>969</v>
      </c>
      <c r="D110" s="11"/>
      <c r="E110" s="11"/>
      <c r="F110" s="11"/>
      <c r="G110" s="11"/>
      <c r="H110" s="11">
        <v>317.39999999999998</v>
      </c>
      <c r="I110" s="15"/>
      <c r="J110" s="12">
        <f t="shared" si="9"/>
        <v>21040.93</v>
      </c>
      <c r="K110" s="12">
        <f t="shared" si="10"/>
        <v>11755.979999999998</v>
      </c>
      <c r="M110" s="1"/>
      <c r="N110" s="1"/>
    </row>
    <row r="111" spans="2:14" x14ac:dyDescent="0.25">
      <c r="B111" s="18">
        <v>42968</v>
      </c>
      <c r="C111" s="9" t="s">
        <v>970</v>
      </c>
      <c r="D111" s="11"/>
      <c r="E111" s="11"/>
      <c r="F111" s="11"/>
      <c r="G111" s="11"/>
      <c r="H111" s="11">
        <v>430</v>
      </c>
      <c r="I111" s="15"/>
      <c r="J111" s="12">
        <f t="shared" si="9"/>
        <v>21040.93</v>
      </c>
      <c r="K111" s="12">
        <f t="shared" si="10"/>
        <v>11325.979999999998</v>
      </c>
      <c r="L111" s="1"/>
      <c r="M111" s="1"/>
      <c r="N111" s="1"/>
    </row>
    <row r="112" spans="2:14" x14ac:dyDescent="0.25">
      <c r="B112" s="18">
        <v>42969</v>
      </c>
      <c r="C112" s="9" t="s">
        <v>971</v>
      </c>
      <c r="D112" s="11"/>
      <c r="E112" s="11"/>
      <c r="F112" s="11"/>
      <c r="G112" s="11"/>
      <c r="H112" s="11">
        <v>290</v>
      </c>
      <c r="I112" s="15"/>
      <c r="J112" s="12">
        <f t="shared" si="9"/>
        <v>21040.93</v>
      </c>
      <c r="K112" s="12">
        <f t="shared" si="10"/>
        <v>11035.979999999998</v>
      </c>
      <c r="L112" s="1"/>
      <c r="M112" s="1"/>
      <c r="N112" s="1"/>
    </row>
    <row r="113" spans="2:15" x14ac:dyDescent="0.25">
      <c r="B113" s="18">
        <v>42969</v>
      </c>
      <c r="C113" s="9" t="s">
        <v>972</v>
      </c>
      <c r="D113" s="11"/>
      <c r="E113" s="11"/>
      <c r="F113" s="11"/>
      <c r="G113" s="11"/>
      <c r="H113" s="11">
        <v>97</v>
      </c>
      <c r="I113" s="15"/>
      <c r="J113" s="12">
        <f t="shared" si="9"/>
        <v>21040.93</v>
      </c>
      <c r="K113" s="12">
        <f t="shared" si="10"/>
        <v>10938.979999999998</v>
      </c>
      <c r="L113" s="1"/>
      <c r="M113" s="1"/>
      <c r="N113" s="1"/>
    </row>
    <row r="114" spans="2:15" x14ac:dyDescent="0.25">
      <c r="B114" s="18">
        <v>42970</v>
      </c>
      <c r="C114" s="9" t="s">
        <v>973</v>
      </c>
      <c r="D114" s="11"/>
      <c r="E114" s="11"/>
      <c r="F114" s="11"/>
      <c r="G114" s="11"/>
      <c r="H114" s="11">
        <v>500</v>
      </c>
      <c r="I114" s="15"/>
      <c r="J114" s="12">
        <f t="shared" si="9"/>
        <v>21040.93</v>
      </c>
      <c r="K114" s="12">
        <f t="shared" si="10"/>
        <v>10438.979999999998</v>
      </c>
      <c r="L114" s="1"/>
      <c r="O114" s="1"/>
    </row>
    <row r="115" spans="2:15" x14ac:dyDescent="0.25">
      <c r="B115" s="18">
        <v>42971</v>
      </c>
      <c r="C115" s="127" t="s">
        <v>975</v>
      </c>
      <c r="D115" s="11"/>
      <c r="E115" s="11"/>
      <c r="F115" s="11"/>
      <c r="G115" s="11"/>
      <c r="H115" s="11">
        <v>7500</v>
      </c>
      <c r="I115" s="15"/>
      <c r="J115" s="12">
        <f t="shared" si="9"/>
        <v>21040.93</v>
      </c>
      <c r="K115" s="12">
        <f t="shared" si="10"/>
        <v>2938.9799999999977</v>
      </c>
    </row>
    <row r="116" spans="2:15" x14ac:dyDescent="0.25">
      <c r="B116" s="18">
        <v>42971</v>
      </c>
      <c r="C116" s="9" t="s">
        <v>976</v>
      </c>
      <c r="D116" s="11"/>
      <c r="E116" s="11"/>
      <c r="F116" s="11"/>
      <c r="G116" s="11"/>
      <c r="H116" s="11">
        <v>350</v>
      </c>
      <c r="I116" s="15"/>
      <c r="J116" s="12">
        <f t="shared" si="9"/>
        <v>21040.93</v>
      </c>
      <c r="K116" s="12">
        <f t="shared" si="10"/>
        <v>2588.9799999999977</v>
      </c>
    </row>
    <row r="117" spans="2:15" x14ac:dyDescent="0.25">
      <c r="B117" s="18">
        <v>42971</v>
      </c>
      <c r="C117" s="9" t="s">
        <v>977</v>
      </c>
      <c r="D117" s="11"/>
      <c r="E117" s="11"/>
      <c r="F117" s="11"/>
      <c r="G117" s="11"/>
      <c r="H117" s="11">
        <v>500</v>
      </c>
      <c r="I117" s="15"/>
      <c r="J117" s="12">
        <f t="shared" si="9"/>
        <v>21040.93</v>
      </c>
      <c r="K117" s="12">
        <f t="shared" si="10"/>
        <v>2088.9799999999977</v>
      </c>
    </row>
    <row r="118" spans="2:15" x14ac:dyDescent="0.25">
      <c r="B118" s="18">
        <v>42972</v>
      </c>
      <c r="C118" s="9" t="s">
        <v>978</v>
      </c>
      <c r="D118" s="11"/>
      <c r="E118" s="11"/>
      <c r="F118" s="11"/>
      <c r="G118" s="11"/>
      <c r="H118" s="11">
        <v>200</v>
      </c>
      <c r="I118" s="15"/>
      <c r="J118" s="12">
        <f t="shared" si="9"/>
        <v>21040.93</v>
      </c>
      <c r="K118" s="12">
        <f t="shared" si="10"/>
        <v>1888.9799999999977</v>
      </c>
    </row>
    <row r="119" spans="2:15" x14ac:dyDescent="0.25">
      <c r="B119" s="18">
        <v>42972</v>
      </c>
      <c r="C119" s="9" t="s">
        <v>979</v>
      </c>
      <c r="D119" s="11"/>
      <c r="E119" s="11"/>
      <c r="F119" s="11"/>
      <c r="G119" s="11"/>
      <c r="H119" s="11">
        <v>1000</v>
      </c>
      <c r="I119" s="15"/>
      <c r="J119" s="12">
        <f t="shared" si="9"/>
        <v>21040.93</v>
      </c>
      <c r="K119" s="12">
        <f t="shared" si="10"/>
        <v>888.97999999999774</v>
      </c>
    </row>
    <row r="120" spans="2:15" x14ac:dyDescent="0.25">
      <c r="B120" s="18">
        <v>42972</v>
      </c>
      <c r="C120" s="9" t="s">
        <v>981</v>
      </c>
      <c r="D120" s="11"/>
      <c r="E120" s="11"/>
      <c r="F120" s="11"/>
      <c r="G120" s="11"/>
      <c r="H120" s="11">
        <v>350</v>
      </c>
      <c r="I120" s="15"/>
      <c r="J120" s="12">
        <f t="shared" si="9"/>
        <v>21040.93</v>
      </c>
      <c r="K120" s="12">
        <f t="shared" si="10"/>
        <v>538.97999999999774</v>
      </c>
    </row>
    <row r="121" spans="2:15" ht="15.75" thickBot="1" x14ac:dyDescent="0.3">
      <c r="B121" s="18">
        <v>42972</v>
      </c>
      <c r="C121" s="126" t="s">
        <v>901</v>
      </c>
      <c r="D121" s="11"/>
      <c r="E121" s="11"/>
      <c r="F121" s="11"/>
      <c r="G121" s="11"/>
      <c r="H121" s="11">
        <v>230</v>
      </c>
      <c r="I121" s="15"/>
      <c r="J121" s="12">
        <f t="shared" si="9"/>
        <v>21040.93</v>
      </c>
      <c r="K121" s="12">
        <f t="shared" si="10"/>
        <v>308.97999999999774</v>
      </c>
    </row>
    <row r="122" spans="2:15" ht="15.75" thickBot="1" x14ac:dyDescent="0.3">
      <c r="B122" s="5"/>
      <c r="C122" s="7" t="s">
        <v>0</v>
      </c>
      <c r="D122" s="63">
        <f>SUM(D62:D121)</f>
        <v>61050</v>
      </c>
      <c r="E122" s="61">
        <f>SUM(E62:E121)</f>
        <v>12760</v>
      </c>
      <c r="F122" s="72">
        <f>SUM(D122:E122)</f>
        <v>73810</v>
      </c>
      <c r="G122" s="81">
        <f>SUM(G64:G121)</f>
        <v>14260</v>
      </c>
      <c r="H122" s="63">
        <f>SUM(H62:H121)</f>
        <v>81346.899999999994</v>
      </c>
      <c r="I122" s="72">
        <f>SUM(G122:H122)</f>
        <v>95606.9</v>
      </c>
      <c r="J122" s="20"/>
      <c r="K122" s="20"/>
    </row>
    <row r="123" spans="2:15" x14ac:dyDescent="0.25">
      <c r="B123" s="69" t="s">
        <v>1</v>
      </c>
      <c r="C123" s="69" t="s">
        <v>2</v>
      </c>
      <c r="D123" s="69" t="s">
        <v>3</v>
      </c>
      <c r="E123" s="69" t="s">
        <v>3</v>
      </c>
      <c r="F123" s="69" t="s">
        <v>23</v>
      </c>
      <c r="G123" s="69" t="s">
        <v>24</v>
      </c>
      <c r="H123" s="48" t="s">
        <v>24</v>
      </c>
      <c r="I123" s="48" t="s">
        <v>23</v>
      </c>
      <c r="J123" s="69" t="s">
        <v>9</v>
      </c>
      <c r="K123" s="48" t="s">
        <v>8</v>
      </c>
    </row>
    <row r="124" spans="2:15" ht="15.75" thickBot="1" x14ac:dyDescent="0.3">
      <c r="B124" s="70"/>
      <c r="C124" s="70"/>
      <c r="D124" s="70" t="s">
        <v>5</v>
      </c>
      <c r="E124" s="70" t="s">
        <v>25</v>
      </c>
      <c r="F124" s="70" t="s">
        <v>3</v>
      </c>
      <c r="G124" s="70" t="s">
        <v>25</v>
      </c>
      <c r="H124" s="71" t="s">
        <v>5</v>
      </c>
      <c r="I124" s="71" t="s">
        <v>4</v>
      </c>
      <c r="J124" s="70"/>
      <c r="K124" s="71"/>
    </row>
    <row r="125" spans="2:15" ht="15.75" thickBot="1" x14ac:dyDescent="0.3">
      <c r="B125" s="5"/>
      <c r="C125" s="7" t="s">
        <v>0</v>
      </c>
      <c r="D125" s="63">
        <v>61050</v>
      </c>
      <c r="E125" s="61">
        <v>12760</v>
      </c>
      <c r="F125" s="72">
        <f>SUM(D125:E125)</f>
        <v>73810</v>
      </c>
      <c r="G125" s="81">
        <v>14260</v>
      </c>
      <c r="H125" s="63">
        <v>81558.899999999994</v>
      </c>
      <c r="I125" s="72">
        <f>SUM(G125:H125)</f>
        <v>95818.9</v>
      </c>
      <c r="J125" s="19">
        <v>21040.93</v>
      </c>
      <c r="K125" s="19">
        <v>308.98</v>
      </c>
    </row>
    <row r="126" spans="2:15" x14ac:dyDescent="0.25">
      <c r="B126" s="18">
        <v>42972</v>
      </c>
      <c r="C126" s="9" t="s">
        <v>983</v>
      </c>
      <c r="D126" s="11">
        <v>8550</v>
      </c>
      <c r="E126" s="11"/>
      <c r="F126" s="11"/>
      <c r="G126" s="11"/>
      <c r="H126" s="11"/>
      <c r="I126" s="15"/>
      <c r="J126" s="12">
        <f>+J125+E126-G126</f>
        <v>21040.93</v>
      </c>
      <c r="K126" s="12">
        <f t="shared" ref="K126" si="11">+K125+D126-H126</f>
        <v>8858.98</v>
      </c>
    </row>
    <row r="127" spans="2:15" x14ac:dyDescent="0.25">
      <c r="B127" s="18">
        <v>42972</v>
      </c>
      <c r="C127" s="9" t="s">
        <v>982</v>
      </c>
      <c r="D127" s="11"/>
      <c r="E127" s="11"/>
      <c r="F127" s="11"/>
      <c r="G127" s="11"/>
      <c r="H127" s="11">
        <v>200</v>
      </c>
      <c r="I127" s="15"/>
      <c r="J127" s="12">
        <f t="shared" ref="J127:J139" si="12">+J126+E127-G127</f>
        <v>21040.93</v>
      </c>
      <c r="K127" s="12">
        <f t="shared" ref="K127:K139" si="13">+K126+D127-H127</f>
        <v>8658.98</v>
      </c>
    </row>
    <row r="128" spans="2:15" x14ac:dyDescent="0.25">
      <c r="B128" s="18">
        <v>42974</v>
      </c>
      <c r="C128" s="9" t="s">
        <v>918</v>
      </c>
      <c r="D128" s="11"/>
      <c r="E128" s="11"/>
      <c r="F128" s="11"/>
      <c r="G128" s="11"/>
      <c r="H128" s="11">
        <v>150</v>
      </c>
      <c r="I128" s="15"/>
      <c r="J128" s="12">
        <f t="shared" si="12"/>
        <v>21040.93</v>
      </c>
      <c r="K128" s="12">
        <f t="shared" si="13"/>
        <v>8508.98</v>
      </c>
    </row>
    <row r="129" spans="1:11" x14ac:dyDescent="0.25">
      <c r="B129" s="18">
        <v>42974</v>
      </c>
      <c r="C129" s="9" t="s">
        <v>916</v>
      </c>
      <c r="D129" s="11"/>
      <c r="E129" s="11"/>
      <c r="F129" s="11"/>
      <c r="G129" s="11"/>
      <c r="H129" s="11">
        <v>120</v>
      </c>
      <c r="I129" s="15"/>
      <c r="J129" s="12">
        <f t="shared" si="12"/>
        <v>21040.93</v>
      </c>
      <c r="K129" s="12">
        <f t="shared" si="13"/>
        <v>8388.98</v>
      </c>
    </row>
    <row r="130" spans="1:11" x14ac:dyDescent="0.25">
      <c r="B130" s="18">
        <v>42974</v>
      </c>
      <c r="C130" s="9" t="s">
        <v>917</v>
      </c>
      <c r="D130" s="11"/>
      <c r="E130" s="11"/>
      <c r="F130" s="11"/>
      <c r="G130" s="11"/>
      <c r="H130" s="11">
        <v>150</v>
      </c>
      <c r="I130" s="15"/>
      <c r="J130" s="12">
        <f t="shared" si="12"/>
        <v>21040.93</v>
      </c>
      <c r="K130" s="12">
        <f t="shared" si="13"/>
        <v>8238.98</v>
      </c>
    </row>
    <row r="131" spans="1:11" x14ac:dyDescent="0.25">
      <c r="B131" s="18">
        <v>42975</v>
      </c>
      <c r="C131" s="9" t="s">
        <v>984</v>
      </c>
      <c r="D131" s="11"/>
      <c r="E131" s="11"/>
      <c r="F131" s="11"/>
      <c r="G131" s="11"/>
      <c r="H131" s="11">
        <v>300</v>
      </c>
      <c r="I131" s="15"/>
      <c r="J131" s="12">
        <f t="shared" si="12"/>
        <v>21040.93</v>
      </c>
      <c r="K131" s="12">
        <f t="shared" si="13"/>
        <v>7938.98</v>
      </c>
    </row>
    <row r="132" spans="1:11" x14ac:dyDescent="0.25">
      <c r="B132" s="18">
        <v>42975</v>
      </c>
      <c r="C132" s="9" t="s">
        <v>985</v>
      </c>
      <c r="D132" s="11"/>
      <c r="E132" s="11"/>
      <c r="F132" s="11"/>
      <c r="G132" s="11"/>
      <c r="H132" s="11">
        <v>30</v>
      </c>
      <c r="I132" s="15"/>
      <c r="J132" s="12">
        <f t="shared" si="12"/>
        <v>21040.93</v>
      </c>
      <c r="K132" s="12">
        <f t="shared" si="13"/>
        <v>7908.98</v>
      </c>
    </row>
    <row r="133" spans="1:11" x14ac:dyDescent="0.25">
      <c r="B133" s="18">
        <v>42975</v>
      </c>
      <c r="C133" s="9" t="s">
        <v>968</v>
      </c>
      <c r="D133" s="11"/>
      <c r="E133" s="11"/>
      <c r="F133" s="11"/>
      <c r="G133" s="11"/>
      <c r="H133" s="11">
        <v>30</v>
      </c>
      <c r="I133" s="15"/>
      <c r="J133" s="12">
        <f t="shared" si="12"/>
        <v>21040.93</v>
      </c>
      <c r="K133" s="12">
        <f t="shared" si="13"/>
        <v>7878.98</v>
      </c>
    </row>
    <row r="134" spans="1:11" x14ac:dyDescent="0.25">
      <c r="B134" s="18">
        <v>42975</v>
      </c>
      <c r="C134" s="9" t="s">
        <v>991</v>
      </c>
      <c r="D134" s="11">
        <v>10850</v>
      </c>
      <c r="E134" s="11"/>
      <c r="F134" s="11"/>
      <c r="G134" s="11"/>
      <c r="H134" s="11"/>
      <c r="I134" s="15"/>
      <c r="J134" s="12">
        <f t="shared" si="12"/>
        <v>21040.93</v>
      </c>
      <c r="K134" s="12">
        <f t="shared" si="13"/>
        <v>18728.98</v>
      </c>
    </row>
    <row r="135" spans="1:11" x14ac:dyDescent="0.25">
      <c r="B135" s="18">
        <v>42976</v>
      </c>
      <c r="C135" s="9" t="s">
        <v>986</v>
      </c>
      <c r="D135" s="11"/>
      <c r="E135" s="11"/>
      <c r="F135" s="11"/>
      <c r="G135" s="11"/>
      <c r="H135" s="11">
        <v>140</v>
      </c>
      <c r="I135" s="15"/>
      <c r="J135" s="12">
        <f t="shared" si="12"/>
        <v>21040.93</v>
      </c>
      <c r="K135" s="12">
        <f t="shared" si="13"/>
        <v>18588.98</v>
      </c>
    </row>
    <row r="136" spans="1:11" x14ac:dyDescent="0.25">
      <c r="B136" s="18">
        <v>42976</v>
      </c>
      <c r="C136" s="9" t="s">
        <v>986</v>
      </c>
      <c r="D136" s="11"/>
      <c r="E136" s="11"/>
      <c r="F136" s="11"/>
      <c r="G136" s="11"/>
      <c r="H136" s="11">
        <v>22</v>
      </c>
      <c r="I136" s="15"/>
      <c r="J136" s="12">
        <f t="shared" si="12"/>
        <v>21040.93</v>
      </c>
      <c r="K136" s="12">
        <f t="shared" si="13"/>
        <v>18566.98</v>
      </c>
    </row>
    <row r="137" spans="1:11" x14ac:dyDescent="0.25">
      <c r="B137" s="18">
        <v>42976</v>
      </c>
      <c r="C137" s="9" t="s">
        <v>987</v>
      </c>
      <c r="D137" s="11"/>
      <c r="E137" s="11"/>
      <c r="F137" s="11"/>
      <c r="G137" s="11"/>
      <c r="H137" s="11">
        <v>216</v>
      </c>
      <c r="I137" s="15"/>
      <c r="J137" s="12">
        <f t="shared" si="12"/>
        <v>21040.93</v>
      </c>
      <c r="K137" s="12">
        <f t="shared" si="13"/>
        <v>18350.98</v>
      </c>
    </row>
    <row r="138" spans="1:11" x14ac:dyDescent="0.25">
      <c r="B138" s="18">
        <v>42976</v>
      </c>
      <c r="C138" s="9" t="s">
        <v>988</v>
      </c>
      <c r="D138" s="11"/>
      <c r="E138" s="11"/>
      <c r="F138" s="11"/>
      <c r="G138" s="11"/>
      <c r="H138" s="11">
        <v>50</v>
      </c>
      <c r="I138" s="15"/>
      <c r="J138" s="12">
        <f t="shared" si="12"/>
        <v>21040.93</v>
      </c>
      <c r="K138" s="12">
        <f t="shared" si="13"/>
        <v>18300.98</v>
      </c>
    </row>
    <row r="139" spans="1:11" x14ac:dyDescent="0.25">
      <c r="B139" s="18">
        <v>42976</v>
      </c>
      <c r="C139" s="21" t="s">
        <v>989</v>
      </c>
      <c r="D139" s="11"/>
      <c r="E139" s="11"/>
      <c r="F139" s="11"/>
      <c r="G139" s="11"/>
      <c r="H139" s="11">
        <v>10100</v>
      </c>
      <c r="I139" s="15"/>
      <c r="J139" s="12">
        <f t="shared" si="12"/>
        <v>21040.93</v>
      </c>
      <c r="K139" s="12">
        <f t="shared" si="13"/>
        <v>8200.98</v>
      </c>
    </row>
    <row r="140" spans="1:11" x14ac:dyDescent="0.25">
      <c r="A140" s="129"/>
      <c r="B140" s="18">
        <v>42976</v>
      </c>
      <c r="C140" s="21" t="s">
        <v>907</v>
      </c>
      <c r="D140" s="11"/>
      <c r="E140" s="11"/>
      <c r="F140" s="11"/>
      <c r="G140" s="11"/>
      <c r="H140" s="11">
        <v>300</v>
      </c>
      <c r="I140" s="15"/>
      <c r="J140" s="12">
        <f t="shared" ref="J140:J143" si="14">+J139+E140-G140</f>
        <v>21040.93</v>
      </c>
      <c r="K140" s="12">
        <f t="shared" ref="K140:K143" si="15">+K139+D140-H140</f>
        <v>7900.98</v>
      </c>
    </row>
    <row r="141" spans="1:11" x14ac:dyDescent="0.25">
      <c r="B141" s="18">
        <v>42976</v>
      </c>
      <c r="C141" s="9" t="s">
        <v>990</v>
      </c>
      <c r="D141" s="41">
        <v>2600</v>
      </c>
      <c r="E141" s="41"/>
      <c r="F141" s="41"/>
      <c r="G141" s="41"/>
      <c r="H141" s="11"/>
      <c r="I141" s="15"/>
      <c r="J141" s="12">
        <f t="shared" si="14"/>
        <v>21040.93</v>
      </c>
      <c r="K141" s="12">
        <f t="shared" si="15"/>
        <v>10500.98</v>
      </c>
    </row>
    <row r="142" spans="1:11" x14ac:dyDescent="0.25">
      <c r="B142" s="18">
        <v>42978</v>
      </c>
      <c r="C142" s="13" t="s">
        <v>992</v>
      </c>
      <c r="D142" s="41"/>
      <c r="E142" s="41"/>
      <c r="F142" s="41"/>
      <c r="G142" s="16"/>
      <c r="H142" s="11">
        <v>450</v>
      </c>
      <c r="I142" s="15"/>
      <c r="J142" s="12">
        <f t="shared" si="14"/>
        <v>21040.93</v>
      </c>
      <c r="K142" s="12">
        <f t="shared" si="15"/>
        <v>10050.98</v>
      </c>
    </row>
    <row r="143" spans="1:11" x14ac:dyDescent="0.25">
      <c r="B143" s="18">
        <v>42978</v>
      </c>
      <c r="C143" s="13" t="s">
        <v>993</v>
      </c>
      <c r="D143" s="41"/>
      <c r="E143" s="41"/>
      <c r="F143" s="41"/>
      <c r="G143" s="41"/>
      <c r="H143" s="11">
        <v>4000</v>
      </c>
      <c r="I143" s="15"/>
      <c r="J143" s="12">
        <f t="shared" si="14"/>
        <v>21040.93</v>
      </c>
      <c r="K143" s="12">
        <f t="shared" si="15"/>
        <v>6050.98</v>
      </c>
    </row>
    <row r="144" spans="1:11" x14ac:dyDescent="0.25">
      <c r="B144" s="18">
        <v>42978</v>
      </c>
      <c r="C144" s="13" t="s">
        <v>997</v>
      </c>
      <c r="D144" s="41"/>
      <c r="E144" s="41"/>
      <c r="F144" s="41"/>
      <c r="G144" s="41"/>
      <c r="H144" s="11">
        <v>300</v>
      </c>
      <c r="I144" s="15"/>
      <c r="J144" s="12">
        <f t="shared" ref="J144:J147" si="16">+J143+E144-G144</f>
        <v>21040.93</v>
      </c>
      <c r="K144" s="12">
        <f t="shared" ref="K144:K147" si="17">+K143+D144-H144</f>
        <v>5750.98</v>
      </c>
    </row>
    <row r="145" spans="2:11" x14ac:dyDescent="0.25">
      <c r="B145" s="18">
        <v>42978</v>
      </c>
      <c r="C145" s="13" t="s">
        <v>998</v>
      </c>
      <c r="D145" s="41"/>
      <c r="E145" s="41"/>
      <c r="F145" s="41"/>
      <c r="G145" s="41"/>
      <c r="H145" s="11">
        <v>28.88</v>
      </c>
      <c r="I145" s="15"/>
      <c r="J145" s="12">
        <f t="shared" si="16"/>
        <v>21040.93</v>
      </c>
      <c r="K145" s="12">
        <f t="shared" si="17"/>
        <v>5722.0999999999995</v>
      </c>
    </row>
    <row r="146" spans="2:11" x14ac:dyDescent="0.25">
      <c r="B146" s="18">
        <v>42978</v>
      </c>
      <c r="C146" s="13" t="s">
        <v>999</v>
      </c>
      <c r="D146" s="41"/>
      <c r="E146" s="41"/>
      <c r="F146" s="41"/>
      <c r="G146" s="41"/>
      <c r="H146" s="11">
        <v>320.8</v>
      </c>
      <c r="I146" s="15"/>
      <c r="J146" s="12">
        <f t="shared" si="16"/>
        <v>21040.93</v>
      </c>
      <c r="K146" s="12">
        <f t="shared" si="17"/>
        <v>5401.2999999999993</v>
      </c>
    </row>
    <row r="147" spans="2:11" x14ac:dyDescent="0.25">
      <c r="B147" s="18">
        <v>42978</v>
      </c>
      <c r="C147" s="13" t="s">
        <v>1000</v>
      </c>
      <c r="D147" s="41"/>
      <c r="E147" s="41"/>
      <c r="F147" s="41"/>
      <c r="G147" s="41"/>
      <c r="H147" s="11">
        <v>117.5</v>
      </c>
      <c r="I147" s="15"/>
      <c r="J147" s="12">
        <f t="shared" si="16"/>
        <v>21040.93</v>
      </c>
      <c r="K147" s="12">
        <f t="shared" si="17"/>
        <v>5283.7999999999993</v>
      </c>
    </row>
    <row r="148" spans="2:11" x14ac:dyDescent="0.25">
      <c r="B148" s="18">
        <v>42978</v>
      </c>
      <c r="C148" s="13" t="s">
        <v>1001</v>
      </c>
      <c r="D148" s="41">
        <v>8073</v>
      </c>
      <c r="E148" s="41"/>
      <c r="F148" s="41"/>
      <c r="G148" s="41"/>
      <c r="H148" s="11"/>
      <c r="I148" s="15"/>
      <c r="J148" s="12">
        <f t="shared" ref="J148:J157" si="18">+J147+E148-G148</f>
        <v>21040.93</v>
      </c>
      <c r="K148" s="12">
        <f t="shared" ref="K148:K157" si="19">+K147+D148-H148</f>
        <v>13356.8</v>
      </c>
    </row>
    <row r="149" spans="2:11" x14ac:dyDescent="0.25">
      <c r="B149" s="18">
        <v>42978</v>
      </c>
      <c r="C149" s="13" t="s">
        <v>1002</v>
      </c>
      <c r="D149" s="41">
        <v>1040</v>
      </c>
      <c r="E149" s="41"/>
      <c r="F149" s="41"/>
      <c r="G149" s="41"/>
      <c r="H149" s="11"/>
      <c r="I149" s="15"/>
      <c r="J149" s="12">
        <f t="shared" si="18"/>
        <v>21040.93</v>
      </c>
      <c r="K149" s="12">
        <f t="shared" si="19"/>
        <v>14396.8</v>
      </c>
    </row>
    <row r="150" spans="2:11" x14ac:dyDescent="0.25">
      <c r="B150" s="18">
        <v>42955</v>
      </c>
      <c r="C150" s="13" t="s">
        <v>995</v>
      </c>
      <c r="D150" s="41"/>
      <c r="E150" s="41">
        <v>300.45999999999998</v>
      </c>
      <c r="F150" s="41"/>
      <c r="G150" s="41"/>
      <c r="H150" s="11"/>
      <c r="I150" s="15"/>
      <c r="J150" s="12">
        <f t="shared" si="18"/>
        <v>21341.39</v>
      </c>
      <c r="K150" s="12">
        <f t="shared" si="19"/>
        <v>14396.8</v>
      </c>
    </row>
    <row r="151" spans="2:11" x14ac:dyDescent="0.25">
      <c r="B151" s="18">
        <v>42956</v>
      </c>
      <c r="C151" s="13" t="s">
        <v>996</v>
      </c>
      <c r="D151" s="41"/>
      <c r="E151" s="41">
        <v>400.29</v>
      </c>
      <c r="F151" s="41"/>
      <c r="G151" s="16"/>
      <c r="H151" s="11"/>
      <c r="I151" s="15"/>
      <c r="J151" s="12">
        <f t="shared" si="18"/>
        <v>21741.68</v>
      </c>
      <c r="K151" s="12">
        <f t="shared" si="19"/>
        <v>14396.8</v>
      </c>
    </row>
    <row r="152" spans="2:11" x14ac:dyDescent="0.25">
      <c r="B152" s="18">
        <v>42973</v>
      </c>
      <c r="C152" s="107" t="s">
        <v>994</v>
      </c>
      <c r="D152" s="41"/>
      <c r="E152" s="41">
        <v>600.15</v>
      </c>
      <c r="F152" s="41"/>
      <c r="G152" s="41"/>
      <c r="H152" s="11"/>
      <c r="I152" s="15"/>
      <c r="J152" s="12">
        <f t="shared" si="18"/>
        <v>22341.83</v>
      </c>
      <c r="K152" s="12">
        <f t="shared" si="19"/>
        <v>14396.8</v>
      </c>
    </row>
    <row r="153" spans="2:11" x14ac:dyDescent="0.25">
      <c r="B153" s="18">
        <v>42978</v>
      </c>
      <c r="C153" s="13" t="s">
        <v>713</v>
      </c>
      <c r="D153" s="11"/>
      <c r="E153" s="11"/>
      <c r="F153" s="11"/>
      <c r="G153" s="11">
        <v>70</v>
      </c>
      <c r="H153" s="11"/>
      <c r="I153" s="15"/>
      <c r="J153" s="12">
        <f t="shared" si="18"/>
        <v>22271.83</v>
      </c>
      <c r="K153" s="12">
        <f t="shared" si="19"/>
        <v>14396.8</v>
      </c>
    </row>
    <row r="154" spans="2:11" x14ac:dyDescent="0.25">
      <c r="B154" s="18">
        <v>42978</v>
      </c>
      <c r="C154" s="13" t="s">
        <v>171</v>
      </c>
      <c r="D154" s="11"/>
      <c r="E154" s="11"/>
      <c r="F154" s="11"/>
      <c r="G154" s="11">
        <v>11.2</v>
      </c>
      <c r="H154" s="11"/>
      <c r="I154" s="15"/>
      <c r="J154" s="12">
        <f t="shared" si="18"/>
        <v>22260.63</v>
      </c>
      <c r="K154" s="12">
        <f t="shared" si="19"/>
        <v>14396.8</v>
      </c>
    </row>
    <row r="155" spans="2:11" x14ac:dyDescent="0.25">
      <c r="B155" s="18"/>
      <c r="C155" s="9"/>
      <c r="D155" s="11"/>
      <c r="E155" s="11"/>
      <c r="F155" s="11"/>
      <c r="G155" s="11"/>
      <c r="H155" s="11"/>
      <c r="I155" s="15"/>
      <c r="J155" s="12">
        <f t="shared" si="18"/>
        <v>22260.63</v>
      </c>
      <c r="K155" s="12">
        <f t="shared" si="19"/>
        <v>14396.8</v>
      </c>
    </row>
    <row r="156" spans="2:11" x14ac:dyDescent="0.25">
      <c r="B156" s="18"/>
      <c r="C156" s="9"/>
      <c r="D156" s="11"/>
      <c r="E156" s="11"/>
      <c r="F156" s="11"/>
      <c r="G156" s="11"/>
      <c r="H156" s="11"/>
      <c r="I156" s="15"/>
      <c r="J156" s="12">
        <f t="shared" si="18"/>
        <v>22260.63</v>
      </c>
      <c r="K156" s="12">
        <f t="shared" si="19"/>
        <v>14396.8</v>
      </c>
    </row>
    <row r="157" spans="2:11" ht="15.75" thickBot="1" x14ac:dyDescent="0.3">
      <c r="B157" s="18"/>
      <c r="C157" s="9"/>
      <c r="D157" s="11"/>
      <c r="E157" s="11"/>
      <c r="F157" s="11"/>
      <c r="G157" s="11"/>
      <c r="H157" s="59"/>
      <c r="I157" s="15"/>
      <c r="J157" s="12">
        <f t="shared" si="18"/>
        <v>22260.63</v>
      </c>
      <c r="K157" s="12">
        <f t="shared" si="19"/>
        <v>14396.8</v>
      </c>
    </row>
    <row r="158" spans="2:11" ht="15.75" thickBot="1" x14ac:dyDescent="0.3">
      <c r="B158" s="5"/>
      <c r="C158" s="7" t="s">
        <v>0</v>
      </c>
      <c r="D158" s="63">
        <f>SUM(D125:D157)</f>
        <v>92163</v>
      </c>
      <c r="E158" s="61">
        <f>SUM(E125:E157)</f>
        <v>14060.9</v>
      </c>
      <c r="F158" s="72">
        <f>SUM(D158:E158)</f>
        <v>106223.9</v>
      </c>
      <c r="G158" s="81">
        <f>SUM(G125:G157)</f>
        <v>14341.2</v>
      </c>
      <c r="H158" s="63">
        <f>SUM(H125:H157)</f>
        <v>98584.08</v>
      </c>
      <c r="I158" s="72">
        <f>SUM(G158:H158)</f>
        <v>112925.28</v>
      </c>
      <c r="J158" s="20"/>
      <c r="K158" s="20"/>
    </row>
    <row r="160" spans="2:11" ht="15.75" thickBot="1" x14ac:dyDescent="0.3"/>
    <row r="161" spans="9:11" ht="15.75" thickBot="1" x14ac:dyDescent="0.3">
      <c r="I161" s="75" t="s">
        <v>9</v>
      </c>
      <c r="J161" s="75" t="s">
        <v>8</v>
      </c>
      <c r="K161" s="96" t="s">
        <v>0</v>
      </c>
    </row>
    <row r="162" spans="9:11" ht="15.75" thickBot="1" x14ac:dyDescent="0.3">
      <c r="I162" s="78">
        <v>22260.63</v>
      </c>
      <c r="J162" s="78">
        <v>14396.8</v>
      </c>
      <c r="K162" s="20">
        <f>SUM(I162:J162)</f>
        <v>36657.43</v>
      </c>
    </row>
  </sheetData>
  <printOptions verticalCentered="1"/>
  <pageMargins left="0.70866141732283472" right="0.70866141732283472" top="0" bottom="0" header="0.31496062992125984" footer="0.31496062992125984"/>
  <pageSetup paperSize="9" scale="65" fitToHeight="0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">
    <pageSetUpPr fitToPage="1"/>
  </sheetPr>
  <dimension ref="B1:L135"/>
  <sheetViews>
    <sheetView zoomScale="90" zoomScaleNormal="90" workbookViewId="0">
      <pane ySplit="3" topLeftCell="A114" activePane="bottomLeft" state="frozen"/>
      <selection pane="bottomLeft" activeCell="C126" sqref="C126:C129"/>
    </sheetView>
  </sheetViews>
  <sheetFormatPr baseColWidth="10" defaultRowHeight="15" x14ac:dyDescent="0.25"/>
  <cols>
    <col min="1" max="1" width="10.7109375" customWidth="1"/>
    <col min="2" max="2" width="11.28515625" customWidth="1"/>
    <col min="3" max="3" width="86.140625" customWidth="1"/>
    <col min="4" max="6" width="11.7109375" customWidth="1"/>
    <col min="8" max="8" width="11.42578125" bestFit="1" customWidth="1"/>
  </cols>
  <sheetData>
    <row r="1" spans="2:11" ht="16.5" thickBot="1" x14ac:dyDescent="0.3">
      <c r="B1" s="80"/>
      <c r="C1" s="82" t="s">
        <v>726</v>
      </c>
    </row>
    <row r="2" spans="2:11" x14ac:dyDescent="0.25">
      <c r="B2" s="69" t="s">
        <v>1</v>
      </c>
      <c r="C2" s="69" t="s">
        <v>2</v>
      </c>
      <c r="D2" s="69" t="s">
        <v>3</v>
      </c>
      <c r="E2" s="69" t="s">
        <v>3</v>
      </c>
      <c r="F2" s="69" t="s">
        <v>23</v>
      </c>
      <c r="G2" s="69" t="s">
        <v>24</v>
      </c>
      <c r="H2" s="48" t="s">
        <v>24</v>
      </c>
      <c r="I2" s="48" t="s">
        <v>23</v>
      </c>
      <c r="J2" s="69" t="s">
        <v>9</v>
      </c>
      <c r="K2" s="48" t="s">
        <v>8</v>
      </c>
    </row>
    <row r="3" spans="2:11" ht="15.75" thickBot="1" x14ac:dyDescent="0.3">
      <c r="B3" s="70"/>
      <c r="C3" s="70"/>
      <c r="D3" s="70" t="s">
        <v>5</v>
      </c>
      <c r="E3" s="70" t="s">
        <v>25</v>
      </c>
      <c r="F3" s="70" t="s">
        <v>3</v>
      </c>
      <c r="G3" s="70" t="s">
        <v>25</v>
      </c>
      <c r="H3" s="71" t="s">
        <v>5</v>
      </c>
      <c r="I3" s="71" t="s">
        <v>4</v>
      </c>
      <c r="J3" s="70"/>
      <c r="K3" s="71"/>
    </row>
    <row r="4" spans="2:11" x14ac:dyDescent="0.25">
      <c r="B4" s="23">
        <v>42978</v>
      </c>
      <c r="C4" s="66" t="s">
        <v>719</v>
      </c>
      <c r="D4" s="67"/>
      <c r="E4" s="64"/>
      <c r="F4" s="64"/>
      <c r="G4" s="64"/>
      <c r="H4" s="17"/>
      <c r="I4" s="65"/>
      <c r="J4" s="74">
        <v>22260.63</v>
      </c>
      <c r="K4" s="98">
        <v>14396.8</v>
      </c>
    </row>
    <row r="5" spans="2:11" x14ac:dyDescent="0.25">
      <c r="B5" s="23">
        <v>42979</v>
      </c>
      <c r="C5" s="9" t="s">
        <v>1003</v>
      </c>
      <c r="D5" s="11"/>
      <c r="E5" s="11"/>
      <c r="F5" s="11"/>
      <c r="G5" s="11">
        <v>12000</v>
      </c>
      <c r="H5" s="11"/>
      <c r="I5" s="15"/>
      <c r="J5" s="12">
        <f>+J4+E5-G5</f>
        <v>10260.630000000001</v>
      </c>
      <c r="K5" s="12">
        <f>+K4+D5-H5</f>
        <v>14396.8</v>
      </c>
    </row>
    <row r="6" spans="2:11" x14ac:dyDescent="0.25">
      <c r="B6" s="23">
        <v>40422</v>
      </c>
      <c r="C6" s="13" t="s">
        <v>1004</v>
      </c>
      <c r="D6" s="11"/>
      <c r="E6" s="11"/>
      <c r="F6" s="11"/>
      <c r="G6" s="11"/>
      <c r="H6" s="11">
        <v>4073</v>
      </c>
      <c r="I6" s="15"/>
      <c r="J6" s="12">
        <f>+J5+E6-G6</f>
        <v>10260.630000000001</v>
      </c>
      <c r="K6" s="12">
        <f>+K5+D6-H6</f>
        <v>10323.799999999999</v>
      </c>
    </row>
    <row r="7" spans="2:11" x14ac:dyDescent="0.25">
      <c r="B7" s="18">
        <v>42979</v>
      </c>
      <c r="C7" s="9" t="s">
        <v>1005</v>
      </c>
      <c r="D7" s="11"/>
      <c r="E7" s="11"/>
      <c r="F7" s="11"/>
      <c r="G7" s="11"/>
      <c r="H7" s="59">
        <v>4000</v>
      </c>
      <c r="I7" s="15"/>
      <c r="J7" s="12">
        <f t="shared" ref="J7:J38" si="0">+J6+E7-G7</f>
        <v>10260.630000000001</v>
      </c>
      <c r="K7" s="12">
        <f t="shared" ref="K7:K38" si="1">+K6+D7-H7</f>
        <v>6323.7999999999993</v>
      </c>
    </row>
    <row r="8" spans="2:11" x14ac:dyDescent="0.25">
      <c r="B8" s="18">
        <v>42979</v>
      </c>
      <c r="C8" s="13" t="s">
        <v>1006</v>
      </c>
      <c r="D8" s="11"/>
      <c r="E8" s="11"/>
      <c r="F8" s="11"/>
      <c r="G8" s="11"/>
      <c r="H8" s="11">
        <v>1040</v>
      </c>
      <c r="I8" s="15"/>
      <c r="J8" s="12">
        <f t="shared" si="0"/>
        <v>10260.630000000001</v>
      </c>
      <c r="K8" s="12">
        <f t="shared" si="1"/>
        <v>5283.7999999999993</v>
      </c>
    </row>
    <row r="9" spans="2:11" x14ac:dyDescent="0.25">
      <c r="B9" s="18">
        <v>42979</v>
      </c>
      <c r="C9" s="9" t="s">
        <v>1007</v>
      </c>
      <c r="D9" s="11"/>
      <c r="E9" s="11"/>
      <c r="F9" s="11"/>
      <c r="G9" s="11"/>
      <c r="H9" s="59">
        <v>150</v>
      </c>
      <c r="I9" s="15"/>
      <c r="J9" s="12">
        <f t="shared" si="0"/>
        <v>10260.630000000001</v>
      </c>
      <c r="K9" s="12">
        <f t="shared" si="1"/>
        <v>5133.7999999999993</v>
      </c>
    </row>
    <row r="10" spans="2:11" x14ac:dyDescent="0.25">
      <c r="B10" s="18">
        <v>42979</v>
      </c>
      <c r="C10" s="9" t="s">
        <v>1008</v>
      </c>
      <c r="D10" s="11"/>
      <c r="E10" s="11"/>
      <c r="F10" s="11"/>
      <c r="G10" s="11"/>
      <c r="H10" s="11">
        <v>500</v>
      </c>
      <c r="I10" s="15"/>
      <c r="J10" s="12">
        <f t="shared" si="0"/>
        <v>10260.630000000001</v>
      </c>
      <c r="K10" s="12">
        <f t="shared" si="1"/>
        <v>4633.7999999999993</v>
      </c>
    </row>
    <row r="11" spans="2:11" x14ac:dyDescent="0.25">
      <c r="B11" s="18">
        <v>42979</v>
      </c>
      <c r="C11" s="9" t="s">
        <v>1009</v>
      </c>
      <c r="D11" s="11"/>
      <c r="E11" s="11"/>
      <c r="F11" s="11"/>
      <c r="G11" s="11"/>
      <c r="H11" s="11">
        <v>350</v>
      </c>
      <c r="I11" s="15"/>
      <c r="J11" s="12">
        <f t="shared" si="0"/>
        <v>10260.630000000001</v>
      </c>
      <c r="K11" s="12">
        <f t="shared" si="1"/>
        <v>4283.7999999999993</v>
      </c>
    </row>
    <row r="12" spans="2:11" x14ac:dyDescent="0.25">
      <c r="B12" s="18">
        <v>42979</v>
      </c>
      <c r="C12" s="9" t="s">
        <v>1010</v>
      </c>
      <c r="D12" s="11"/>
      <c r="E12" s="11"/>
      <c r="F12" s="11"/>
      <c r="G12" s="11"/>
      <c r="H12" s="11">
        <v>1000</v>
      </c>
      <c r="I12" s="15"/>
      <c r="J12" s="12">
        <f t="shared" si="0"/>
        <v>10260.630000000001</v>
      </c>
      <c r="K12" s="12">
        <f t="shared" si="1"/>
        <v>3283.7999999999993</v>
      </c>
    </row>
    <row r="13" spans="2:11" x14ac:dyDescent="0.25">
      <c r="B13" s="18">
        <v>42979</v>
      </c>
      <c r="C13" s="9" t="s">
        <v>1011</v>
      </c>
      <c r="D13" s="11"/>
      <c r="E13" s="11"/>
      <c r="F13" s="11"/>
      <c r="G13" s="11"/>
      <c r="H13" s="59">
        <v>500</v>
      </c>
      <c r="I13" s="15"/>
      <c r="J13" s="12">
        <f t="shared" si="0"/>
        <v>10260.630000000001</v>
      </c>
      <c r="K13" s="12">
        <f t="shared" si="1"/>
        <v>2783.7999999999993</v>
      </c>
    </row>
    <row r="14" spans="2:11" x14ac:dyDescent="0.25">
      <c r="B14" s="18">
        <v>42979</v>
      </c>
      <c r="C14" s="9" t="s">
        <v>1012</v>
      </c>
      <c r="D14" s="11"/>
      <c r="E14" s="11"/>
      <c r="F14" s="11"/>
      <c r="G14" s="11"/>
      <c r="H14" s="11">
        <v>400</v>
      </c>
      <c r="I14" s="15"/>
      <c r="J14" s="12">
        <f t="shared" si="0"/>
        <v>10260.630000000001</v>
      </c>
      <c r="K14" s="12">
        <f t="shared" si="1"/>
        <v>2383.7999999999993</v>
      </c>
    </row>
    <row r="15" spans="2:11" x14ac:dyDescent="0.25">
      <c r="B15" s="18">
        <v>42979</v>
      </c>
      <c r="C15" s="9" t="s">
        <v>1013</v>
      </c>
      <c r="D15" s="11">
        <v>800</v>
      </c>
      <c r="E15" s="11"/>
      <c r="F15" s="11"/>
      <c r="G15" s="11"/>
      <c r="H15" s="59"/>
      <c r="I15" s="15"/>
      <c r="J15" s="12">
        <f t="shared" si="0"/>
        <v>10260.630000000001</v>
      </c>
      <c r="K15" s="12">
        <f t="shared" si="1"/>
        <v>3183.7999999999993</v>
      </c>
    </row>
    <row r="16" spans="2:11" x14ac:dyDescent="0.25">
      <c r="B16" s="18">
        <v>42981</v>
      </c>
      <c r="C16" s="9" t="s">
        <v>1014</v>
      </c>
      <c r="D16" s="11">
        <v>22875</v>
      </c>
      <c r="E16" s="11"/>
      <c r="F16" s="11"/>
      <c r="G16" s="11"/>
      <c r="H16" s="11"/>
      <c r="I16" s="15"/>
      <c r="J16" s="12">
        <f t="shared" si="0"/>
        <v>10260.630000000001</v>
      </c>
      <c r="K16" s="12">
        <f t="shared" si="1"/>
        <v>26058.799999999999</v>
      </c>
    </row>
    <row r="17" spans="2:11" x14ac:dyDescent="0.25">
      <c r="B17" s="18">
        <v>42981</v>
      </c>
      <c r="C17" s="9" t="s">
        <v>1015</v>
      </c>
      <c r="D17" s="11">
        <v>4450</v>
      </c>
      <c r="E17" s="11"/>
      <c r="F17" s="11"/>
      <c r="G17" s="11"/>
      <c r="H17" s="11"/>
      <c r="I17" s="15"/>
      <c r="J17" s="12">
        <f t="shared" si="0"/>
        <v>10260.630000000001</v>
      </c>
      <c r="K17" s="12">
        <f t="shared" si="1"/>
        <v>30508.799999999999</v>
      </c>
    </row>
    <row r="18" spans="2:11" x14ac:dyDescent="0.25">
      <c r="B18" s="18">
        <v>42981</v>
      </c>
      <c r="C18" s="9" t="s">
        <v>1016</v>
      </c>
      <c r="D18" s="11"/>
      <c r="E18" s="11"/>
      <c r="F18" s="11"/>
      <c r="G18" s="11"/>
      <c r="H18" s="11">
        <v>186</v>
      </c>
      <c r="I18" s="15"/>
      <c r="J18" s="12">
        <f t="shared" si="0"/>
        <v>10260.630000000001</v>
      </c>
      <c r="K18" s="12">
        <f t="shared" si="1"/>
        <v>30322.799999999999</v>
      </c>
    </row>
    <row r="19" spans="2:11" x14ac:dyDescent="0.25">
      <c r="B19" s="18">
        <v>42981</v>
      </c>
      <c r="C19" s="9" t="s">
        <v>535</v>
      </c>
      <c r="D19" s="11"/>
      <c r="E19" s="11"/>
      <c r="F19" s="11"/>
      <c r="G19" s="11"/>
      <c r="H19" s="11">
        <v>150</v>
      </c>
      <c r="I19" s="15"/>
      <c r="J19" s="12">
        <f t="shared" si="0"/>
        <v>10260.630000000001</v>
      </c>
      <c r="K19" s="12">
        <f t="shared" si="1"/>
        <v>30172.799999999999</v>
      </c>
    </row>
    <row r="20" spans="2:11" x14ac:dyDescent="0.25">
      <c r="B20" s="18">
        <v>42981</v>
      </c>
      <c r="C20" s="9" t="s">
        <v>1017</v>
      </c>
      <c r="D20" s="11"/>
      <c r="E20" s="11"/>
      <c r="F20" s="11"/>
      <c r="G20" s="11"/>
      <c r="H20" s="11">
        <v>120</v>
      </c>
      <c r="I20" s="15"/>
      <c r="J20" s="12">
        <f t="shared" si="0"/>
        <v>10260.630000000001</v>
      </c>
      <c r="K20" s="12">
        <f t="shared" si="1"/>
        <v>30052.799999999999</v>
      </c>
    </row>
    <row r="21" spans="2:11" x14ac:dyDescent="0.25">
      <c r="B21" s="18">
        <v>42982</v>
      </c>
      <c r="C21" s="9" t="s">
        <v>1018</v>
      </c>
      <c r="D21" s="11"/>
      <c r="E21" s="11"/>
      <c r="F21" s="11"/>
      <c r="G21" s="11"/>
      <c r="H21" s="11">
        <v>310</v>
      </c>
      <c r="I21" s="15"/>
      <c r="J21" s="12">
        <f t="shared" si="0"/>
        <v>10260.630000000001</v>
      </c>
      <c r="K21" s="12">
        <f t="shared" si="1"/>
        <v>29742.799999999999</v>
      </c>
    </row>
    <row r="22" spans="2:11" x14ac:dyDescent="0.25">
      <c r="B22" s="18">
        <v>42982</v>
      </c>
      <c r="C22" s="9" t="s">
        <v>1019</v>
      </c>
      <c r="D22" s="11"/>
      <c r="E22" s="11"/>
      <c r="F22" s="11"/>
      <c r="G22" s="11"/>
      <c r="H22" s="59">
        <v>15</v>
      </c>
      <c r="I22" s="15"/>
      <c r="J22" s="12">
        <f t="shared" si="0"/>
        <v>10260.630000000001</v>
      </c>
      <c r="K22" s="12">
        <f t="shared" si="1"/>
        <v>29727.8</v>
      </c>
    </row>
    <row r="23" spans="2:11" x14ac:dyDescent="0.25">
      <c r="B23" s="18">
        <v>42983</v>
      </c>
      <c r="C23" s="9" t="s">
        <v>1020</v>
      </c>
      <c r="D23" s="11"/>
      <c r="E23" s="11"/>
      <c r="F23" s="11"/>
      <c r="G23" s="11"/>
      <c r="H23" s="59">
        <v>2279.0100000000002</v>
      </c>
      <c r="I23" s="15"/>
      <c r="J23" s="12">
        <f t="shared" si="0"/>
        <v>10260.630000000001</v>
      </c>
      <c r="K23" s="12">
        <f t="shared" si="1"/>
        <v>27448.79</v>
      </c>
    </row>
    <row r="24" spans="2:11" x14ac:dyDescent="0.25">
      <c r="B24" s="18">
        <v>42983</v>
      </c>
      <c r="C24" s="9" t="s">
        <v>1021</v>
      </c>
      <c r="D24" s="11"/>
      <c r="E24" s="11"/>
      <c r="F24" s="11"/>
      <c r="G24" s="11"/>
      <c r="H24" s="11">
        <v>79</v>
      </c>
      <c r="I24" s="15"/>
      <c r="J24" s="12">
        <f t="shared" si="0"/>
        <v>10260.630000000001</v>
      </c>
      <c r="K24" s="12">
        <f t="shared" si="1"/>
        <v>27369.79</v>
      </c>
    </row>
    <row r="25" spans="2:11" x14ac:dyDescent="0.25">
      <c r="B25" s="18">
        <v>42983</v>
      </c>
      <c r="C25" s="9" t="s">
        <v>1022</v>
      </c>
      <c r="D25" s="11"/>
      <c r="E25" s="11"/>
      <c r="F25" s="11"/>
      <c r="G25" s="11"/>
      <c r="H25" s="11">
        <v>5</v>
      </c>
      <c r="I25" s="15"/>
      <c r="J25" s="12">
        <f t="shared" si="0"/>
        <v>10260.630000000001</v>
      </c>
      <c r="K25" s="12">
        <f t="shared" si="1"/>
        <v>27364.79</v>
      </c>
    </row>
    <row r="26" spans="2:11" x14ac:dyDescent="0.25">
      <c r="B26" s="18">
        <v>42983</v>
      </c>
      <c r="C26" s="9" t="s">
        <v>469</v>
      </c>
      <c r="D26" s="11"/>
      <c r="E26" s="11"/>
      <c r="F26" s="11"/>
      <c r="G26" s="11"/>
      <c r="H26" s="11">
        <v>1121.96</v>
      </c>
      <c r="I26" s="15"/>
      <c r="J26" s="12">
        <f t="shared" si="0"/>
        <v>10260.630000000001</v>
      </c>
      <c r="K26" s="12">
        <f t="shared" si="1"/>
        <v>26242.83</v>
      </c>
    </row>
    <row r="27" spans="2:11" x14ac:dyDescent="0.25">
      <c r="B27" s="18">
        <v>42983</v>
      </c>
      <c r="C27" s="9" t="s">
        <v>1023</v>
      </c>
      <c r="D27" s="11"/>
      <c r="E27" s="11"/>
      <c r="F27" s="11"/>
      <c r="G27" s="11"/>
      <c r="H27" s="11">
        <v>5</v>
      </c>
      <c r="I27" s="15"/>
      <c r="J27" s="12">
        <f t="shared" si="0"/>
        <v>10260.630000000001</v>
      </c>
      <c r="K27" s="12">
        <f t="shared" si="1"/>
        <v>26237.83</v>
      </c>
    </row>
    <row r="28" spans="2:11" x14ac:dyDescent="0.25">
      <c r="B28" s="18">
        <v>42984</v>
      </c>
      <c r="C28" s="9" t="s">
        <v>1024</v>
      </c>
      <c r="D28" s="11"/>
      <c r="E28" s="11"/>
      <c r="F28" s="11"/>
      <c r="G28" s="11"/>
      <c r="H28" s="11">
        <v>61</v>
      </c>
      <c r="I28" s="15"/>
      <c r="J28" s="12">
        <f t="shared" si="0"/>
        <v>10260.630000000001</v>
      </c>
      <c r="K28" s="12">
        <f t="shared" si="1"/>
        <v>26176.83</v>
      </c>
    </row>
    <row r="29" spans="2:11" x14ac:dyDescent="0.25">
      <c r="B29" s="18">
        <v>42984</v>
      </c>
      <c r="C29" s="9" t="s">
        <v>1025</v>
      </c>
      <c r="D29" s="11"/>
      <c r="E29" s="11"/>
      <c r="F29" s="11"/>
      <c r="G29" s="11"/>
      <c r="H29" s="11">
        <v>2704.16</v>
      </c>
      <c r="I29" s="15"/>
      <c r="J29" s="12">
        <f t="shared" si="0"/>
        <v>10260.630000000001</v>
      </c>
      <c r="K29" s="12">
        <f t="shared" si="1"/>
        <v>23472.670000000002</v>
      </c>
    </row>
    <row r="30" spans="2:11" x14ac:dyDescent="0.25">
      <c r="B30" s="18">
        <v>42984</v>
      </c>
      <c r="C30" s="9" t="s">
        <v>1026</v>
      </c>
      <c r="D30" s="11"/>
      <c r="E30" s="11"/>
      <c r="F30" s="11"/>
      <c r="G30" s="11"/>
      <c r="H30" s="11">
        <v>1230.8699999999999</v>
      </c>
      <c r="I30" s="15"/>
      <c r="J30" s="12">
        <f t="shared" si="0"/>
        <v>10260.630000000001</v>
      </c>
      <c r="K30" s="12">
        <f t="shared" si="1"/>
        <v>22241.800000000003</v>
      </c>
    </row>
    <row r="31" spans="2:11" x14ac:dyDescent="0.25">
      <c r="B31" s="18">
        <v>42984</v>
      </c>
      <c r="C31" s="9" t="s">
        <v>1027</v>
      </c>
      <c r="D31" s="11"/>
      <c r="E31" s="11"/>
      <c r="F31" s="11"/>
      <c r="G31" s="11"/>
      <c r="H31" s="59">
        <v>5</v>
      </c>
      <c r="I31" s="15"/>
      <c r="J31" s="12">
        <f t="shared" si="0"/>
        <v>10260.630000000001</v>
      </c>
      <c r="K31" s="12">
        <f t="shared" si="1"/>
        <v>22236.800000000003</v>
      </c>
    </row>
    <row r="32" spans="2:11" x14ac:dyDescent="0.25">
      <c r="B32" s="18">
        <v>42984</v>
      </c>
      <c r="C32" s="9" t="s">
        <v>1028</v>
      </c>
      <c r="D32" s="11"/>
      <c r="E32" s="11"/>
      <c r="F32" s="11"/>
      <c r="G32" s="11"/>
      <c r="H32" s="11">
        <v>87</v>
      </c>
      <c r="I32" s="15"/>
      <c r="J32" s="12">
        <f t="shared" si="0"/>
        <v>10260.630000000001</v>
      </c>
      <c r="K32" s="12">
        <f t="shared" si="1"/>
        <v>22149.800000000003</v>
      </c>
    </row>
    <row r="33" spans="2:11" x14ac:dyDescent="0.25">
      <c r="B33" s="18">
        <v>42984</v>
      </c>
      <c r="C33" s="9" t="s">
        <v>1029</v>
      </c>
      <c r="D33" s="11"/>
      <c r="E33" s="11"/>
      <c r="F33" s="11"/>
      <c r="G33" s="11"/>
      <c r="H33" s="11">
        <v>800</v>
      </c>
      <c r="I33" s="15"/>
      <c r="J33" s="12">
        <f t="shared" si="0"/>
        <v>10260.630000000001</v>
      </c>
      <c r="K33" s="12">
        <f t="shared" si="1"/>
        <v>21349.800000000003</v>
      </c>
    </row>
    <row r="34" spans="2:11" x14ac:dyDescent="0.25">
      <c r="B34" s="18">
        <v>42985</v>
      </c>
      <c r="C34" s="9" t="s">
        <v>1030</v>
      </c>
      <c r="D34" s="11"/>
      <c r="E34" s="11"/>
      <c r="F34" s="11"/>
      <c r="G34" s="11"/>
      <c r="H34" s="11">
        <v>10100</v>
      </c>
      <c r="I34" s="15"/>
      <c r="J34" s="12">
        <f t="shared" si="0"/>
        <v>10260.630000000001</v>
      </c>
      <c r="K34" s="12">
        <f t="shared" si="1"/>
        <v>11249.800000000003</v>
      </c>
    </row>
    <row r="35" spans="2:11" x14ac:dyDescent="0.25">
      <c r="B35" s="18">
        <v>42985</v>
      </c>
      <c r="C35" s="9" t="s">
        <v>1031</v>
      </c>
      <c r="D35" s="11"/>
      <c r="E35" s="11"/>
      <c r="F35" s="11"/>
      <c r="G35" s="11"/>
      <c r="H35" s="11">
        <v>401</v>
      </c>
      <c r="I35" s="15"/>
      <c r="J35" s="12">
        <f t="shared" si="0"/>
        <v>10260.630000000001</v>
      </c>
      <c r="K35" s="12">
        <f t="shared" si="1"/>
        <v>10848.800000000003</v>
      </c>
    </row>
    <row r="36" spans="2:11" x14ac:dyDescent="0.25">
      <c r="B36" s="18">
        <v>42985</v>
      </c>
      <c r="C36" s="9" t="s">
        <v>1031</v>
      </c>
      <c r="D36" s="11"/>
      <c r="E36" s="11"/>
      <c r="F36" s="11"/>
      <c r="G36" s="11"/>
      <c r="H36" s="11">
        <v>39</v>
      </c>
      <c r="I36" s="15"/>
      <c r="J36" s="12">
        <f t="shared" si="0"/>
        <v>10260.630000000001</v>
      </c>
      <c r="K36" s="12">
        <f t="shared" si="1"/>
        <v>10809.800000000003</v>
      </c>
    </row>
    <row r="37" spans="2:11" x14ac:dyDescent="0.25">
      <c r="B37" s="18">
        <v>42986</v>
      </c>
      <c r="C37" s="9" t="s">
        <v>1032</v>
      </c>
      <c r="D37" s="11"/>
      <c r="E37" s="11"/>
      <c r="F37" s="11"/>
      <c r="G37" s="11"/>
      <c r="H37" s="11">
        <v>1250</v>
      </c>
      <c r="I37" s="15"/>
      <c r="J37" s="12">
        <f t="shared" si="0"/>
        <v>10260.630000000001</v>
      </c>
      <c r="K37" s="12">
        <f t="shared" si="1"/>
        <v>9559.8000000000029</v>
      </c>
    </row>
    <row r="38" spans="2:11" x14ac:dyDescent="0.25">
      <c r="B38" s="18">
        <v>42986</v>
      </c>
      <c r="C38" s="9" t="s">
        <v>1033</v>
      </c>
      <c r="D38" s="11"/>
      <c r="E38" s="11"/>
      <c r="F38" s="11"/>
      <c r="G38" s="11"/>
      <c r="H38" s="11">
        <v>252</v>
      </c>
      <c r="I38" s="15"/>
      <c r="J38" s="12">
        <f t="shared" si="0"/>
        <v>10260.630000000001</v>
      </c>
      <c r="K38" s="12">
        <f t="shared" si="1"/>
        <v>9307.8000000000029</v>
      </c>
    </row>
    <row r="39" spans="2:11" x14ac:dyDescent="0.25">
      <c r="B39" s="18">
        <v>42986</v>
      </c>
      <c r="C39" s="9" t="s">
        <v>1042</v>
      </c>
      <c r="D39" s="11"/>
      <c r="E39" s="11"/>
      <c r="F39" s="11"/>
      <c r="G39" s="11"/>
      <c r="H39" s="11">
        <v>358</v>
      </c>
      <c r="I39" s="15"/>
      <c r="J39" s="12">
        <f t="shared" ref="J39:J56" si="2">+J38+E39-G39</f>
        <v>10260.630000000001</v>
      </c>
      <c r="K39" s="12">
        <f t="shared" ref="K39:K56" si="3">+K38+D39-H39</f>
        <v>8949.8000000000029</v>
      </c>
    </row>
    <row r="40" spans="2:11" x14ac:dyDescent="0.25">
      <c r="B40" s="18">
        <v>42987</v>
      </c>
      <c r="C40" s="9" t="s">
        <v>1031</v>
      </c>
      <c r="D40" s="11"/>
      <c r="E40" s="11"/>
      <c r="F40" s="11"/>
      <c r="G40" s="11"/>
      <c r="H40" s="11">
        <v>145</v>
      </c>
      <c r="I40" s="15"/>
      <c r="J40" s="12">
        <f t="shared" si="2"/>
        <v>10260.630000000001</v>
      </c>
      <c r="K40" s="12">
        <f t="shared" si="3"/>
        <v>8804.8000000000029</v>
      </c>
    </row>
    <row r="41" spans="2:11" x14ac:dyDescent="0.25">
      <c r="B41" s="18">
        <v>42988</v>
      </c>
      <c r="C41" s="9" t="s">
        <v>1016</v>
      </c>
      <c r="D41" s="11"/>
      <c r="E41" s="11"/>
      <c r="F41" s="11"/>
      <c r="G41" s="11"/>
      <c r="H41" s="11">
        <v>155</v>
      </c>
      <c r="I41" s="15"/>
      <c r="J41" s="12">
        <f t="shared" si="2"/>
        <v>10260.630000000001</v>
      </c>
      <c r="K41" s="12">
        <f t="shared" si="3"/>
        <v>8649.8000000000029</v>
      </c>
    </row>
    <row r="42" spans="2:11" x14ac:dyDescent="0.25">
      <c r="B42" s="18">
        <v>42988</v>
      </c>
      <c r="C42" s="9" t="s">
        <v>1018</v>
      </c>
      <c r="D42" s="11"/>
      <c r="E42" s="11"/>
      <c r="F42" s="11"/>
      <c r="G42" s="11"/>
      <c r="H42" s="59">
        <v>310</v>
      </c>
      <c r="I42" s="15"/>
      <c r="J42" s="12">
        <f t="shared" si="2"/>
        <v>10260.630000000001</v>
      </c>
      <c r="K42" s="12">
        <f t="shared" si="3"/>
        <v>8339.8000000000029</v>
      </c>
    </row>
    <row r="43" spans="2:11" x14ac:dyDescent="0.25">
      <c r="B43" s="18">
        <v>42988</v>
      </c>
      <c r="C43" s="9" t="s">
        <v>1034</v>
      </c>
      <c r="D43" s="11"/>
      <c r="E43" s="11"/>
      <c r="F43" s="11"/>
      <c r="G43" s="11"/>
      <c r="H43" s="59">
        <v>120</v>
      </c>
      <c r="I43" s="15"/>
      <c r="J43" s="12">
        <f t="shared" si="2"/>
        <v>10260.630000000001</v>
      </c>
      <c r="K43" s="12">
        <f t="shared" si="3"/>
        <v>8219.8000000000029</v>
      </c>
    </row>
    <row r="44" spans="2:11" x14ac:dyDescent="0.25">
      <c r="B44" s="18">
        <v>42988</v>
      </c>
      <c r="C44" s="9" t="s">
        <v>1041</v>
      </c>
      <c r="D44" s="11">
        <v>26250</v>
      </c>
      <c r="E44" s="11"/>
      <c r="F44" s="11"/>
      <c r="G44" s="11"/>
      <c r="H44" s="59"/>
      <c r="I44" s="15"/>
      <c r="J44" s="12">
        <f t="shared" si="2"/>
        <v>10260.630000000001</v>
      </c>
      <c r="K44" s="12">
        <f t="shared" si="3"/>
        <v>34469.800000000003</v>
      </c>
    </row>
    <row r="45" spans="2:11" x14ac:dyDescent="0.25">
      <c r="B45" s="18">
        <v>42989</v>
      </c>
      <c r="C45" s="9" t="s">
        <v>1035</v>
      </c>
      <c r="D45" s="11"/>
      <c r="E45" s="11"/>
      <c r="F45" s="11"/>
      <c r="G45" s="11"/>
      <c r="H45" s="59">
        <v>53</v>
      </c>
      <c r="I45" s="15"/>
      <c r="J45" s="12">
        <f t="shared" si="2"/>
        <v>10260.630000000001</v>
      </c>
      <c r="K45" s="12">
        <f t="shared" si="3"/>
        <v>34416.800000000003</v>
      </c>
    </row>
    <row r="46" spans="2:11" x14ac:dyDescent="0.25">
      <c r="B46" s="18">
        <v>42989</v>
      </c>
      <c r="C46" s="9" t="s">
        <v>1035</v>
      </c>
      <c r="D46" s="11"/>
      <c r="E46" s="11"/>
      <c r="F46" s="11"/>
      <c r="G46" s="11"/>
      <c r="H46" s="59">
        <v>120</v>
      </c>
      <c r="I46" s="15"/>
      <c r="J46" s="12">
        <f t="shared" si="2"/>
        <v>10260.630000000001</v>
      </c>
      <c r="K46" s="12">
        <f t="shared" si="3"/>
        <v>34296.800000000003</v>
      </c>
    </row>
    <row r="47" spans="2:11" x14ac:dyDescent="0.25">
      <c r="B47" s="18">
        <v>42990</v>
      </c>
      <c r="C47" s="13" t="s">
        <v>1122</v>
      </c>
      <c r="D47" s="11"/>
      <c r="E47" s="11"/>
      <c r="F47" s="11"/>
      <c r="G47" s="11">
        <v>1760</v>
      </c>
      <c r="H47" s="11"/>
      <c r="I47" s="15"/>
      <c r="J47" s="12">
        <f>+J46+E47-G47</f>
        <v>8500.630000000001</v>
      </c>
      <c r="K47" s="12">
        <f>+K46+D47-H47</f>
        <v>34296.800000000003</v>
      </c>
    </row>
    <row r="48" spans="2:11" x14ac:dyDescent="0.25">
      <c r="B48" s="18">
        <v>42990</v>
      </c>
      <c r="C48" s="9" t="s">
        <v>1123</v>
      </c>
      <c r="D48" s="11"/>
      <c r="E48" s="11"/>
      <c r="F48" s="11"/>
      <c r="G48" s="11">
        <v>1300</v>
      </c>
      <c r="H48" s="11"/>
      <c r="I48" s="15"/>
      <c r="J48" s="12">
        <f t="shared" si="2"/>
        <v>7200.630000000001</v>
      </c>
      <c r="K48" s="12">
        <f t="shared" si="3"/>
        <v>34296.800000000003</v>
      </c>
    </row>
    <row r="49" spans="2:11" x14ac:dyDescent="0.25">
      <c r="B49" s="18">
        <v>42990</v>
      </c>
      <c r="C49" s="13" t="s">
        <v>254</v>
      </c>
      <c r="D49" s="41"/>
      <c r="E49" s="41"/>
      <c r="F49" s="41"/>
      <c r="G49" s="41"/>
      <c r="H49" s="11">
        <v>60</v>
      </c>
      <c r="I49" s="15"/>
      <c r="J49" s="12">
        <f t="shared" si="2"/>
        <v>7200.630000000001</v>
      </c>
      <c r="K49" s="12">
        <f t="shared" si="3"/>
        <v>34236.800000000003</v>
      </c>
    </row>
    <row r="50" spans="2:11" x14ac:dyDescent="0.25">
      <c r="B50" s="18">
        <v>42990</v>
      </c>
      <c r="C50" s="13" t="s">
        <v>1036</v>
      </c>
      <c r="D50" s="11"/>
      <c r="E50" s="11"/>
      <c r="F50" s="11"/>
      <c r="G50" s="11"/>
      <c r="H50" s="11">
        <v>300</v>
      </c>
      <c r="I50" s="15"/>
      <c r="J50" s="12">
        <f t="shared" si="2"/>
        <v>7200.630000000001</v>
      </c>
      <c r="K50" s="12">
        <f t="shared" si="3"/>
        <v>33936.800000000003</v>
      </c>
    </row>
    <row r="51" spans="2:11" x14ac:dyDescent="0.25">
      <c r="B51" s="18">
        <v>42991</v>
      </c>
      <c r="C51" s="13" t="s">
        <v>1037</v>
      </c>
      <c r="D51" s="11"/>
      <c r="E51" s="11"/>
      <c r="F51" s="11"/>
      <c r="G51" s="11"/>
      <c r="H51" s="11">
        <v>75.12</v>
      </c>
      <c r="I51" s="15"/>
      <c r="J51" s="12">
        <f t="shared" si="2"/>
        <v>7200.630000000001</v>
      </c>
      <c r="K51" s="12">
        <f t="shared" si="3"/>
        <v>33861.68</v>
      </c>
    </row>
    <row r="52" spans="2:11" x14ac:dyDescent="0.25">
      <c r="B52" s="18">
        <v>42991</v>
      </c>
      <c r="C52" s="13" t="s">
        <v>1038</v>
      </c>
      <c r="D52" s="11"/>
      <c r="E52" s="11"/>
      <c r="F52" s="11"/>
      <c r="G52" s="11"/>
      <c r="H52" s="11">
        <v>21</v>
      </c>
      <c r="I52" s="15"/>
      <c r="J52" s="12">
        <f t="shared" si="2"/>
        <v>7200.630000000001</v>
      </c>
      <c r="K52" s="12">
        <f t="shared" si="3"/>
        <v>33840.68</v>
      </c>
    </row>
    <row r="53" spans="2:11" x14ac:dyDescent="0.25">
      <c r="B53" s="18">
        <v>42991</v>
      </c>
      <c r="C53" s="13" t="s">
        <v>1039</v>
      </c>
      <c r="D53" s="11"/>
      <c r="E53" s="11"/>
      <c r="F53" s="11"/>
      <c r="G53" s="11"/>
      <c r="H53" s="11">
        <v>141</v>
      </c>
      <c r="I53" s="15"/>
      <c r="J53" s="12">
        <f t="shared" si="2"/>
        <v>7200.630000000001</v>
      </c>
      <c r="K53" s="12">
        <f t="shared" si="3"/>
        <v>33699.68</v>
      </c>
    </row>
    <row r="54" spans="2:11" x14ac:dyDescent="0.25">
      <c r="B54" s="18">
        <v>42991</v>
      </c>
      <c r="C54" s="13" t="s">
        <v>1040</v>
      </c>
      <c r="D54" s="11"/>
      <c r="E54" s="11"/>
      <c r="F54" s="11"/>
      <c r="G54" s="11"/>
      <c r="H54" s="11">
        <v>114.38</v>
      </c>
      <c r="I54" s="15"/>
      <c r="J54" s="12">
        <f t="shared" si="2"/>
        <v>7200.630000000001</v>
      </c>
      <c r="K54" s="12">
        <f t="shared" si="3"/>
        <v>33585.300000000003</v>
      </c>
    </row>
    <row r="55" spans="2:11" x14ac:dyDescent="0.25">
      <c r="B55" s="18">
        <v>42992</v>
      </c>
      <c r="C55" s="13" t="s">
        <v>1043</v>
      </c>
      <c r="D55" s="11"/>
      <c r="E55" s="11"/>
      <c r="F55" s="11"/>
      <c r="G55" s="11"/>
      <c r="H55" s="11">
        <v>778</v>
      </c>
      <c r="I55" s="15"/>
      <c r="J55" s="12">
        <f t="shared" si="2"/>
        <v>7200.630000000001</v>
      </c>
      <c r="K55" s="12">
        <f t="shared" si="3"/>
        <v>32807.300000000003</v>
      </c>
    </row>
    <row r="56" spans="2:11" ht="15.75" thickBot="1" x14ac:dyDescent="0.3">
      <c r="B56" s="18">
        <v>42992</v>
      </c>
      <c r="C56" s="9" t="s">
        <v>1044</v>
      </c>
      <c r="D56" s="11"/>
      <c r="E56" s="11"/>
      <c r="F56" s="11"/>
      <c r="G56" s="11"/>
      <c r="H56" s="11">
        <v>33</v>
      </c>
      <c r="I56" s="15"/>
      <c r="J56" s="12">
        <f t="shared" si="2"/>
        <v>7200.630000000001</v>
      </c>
      <c r="K56" s="12">
        <f t="shared" si="3"/>
        <v>32774.300000000003</v>
      </c>
    </row>
    <row r="57" spans="2:11" ht="15.75" thickBot="1" x14ac:dyDescent="0.3">
      <c r="B57" s="5"/>
      <c r="C57" s="7" t="s">
        <v>0</v>
      </c>
      <c r="D57" s="63">
        <f>SUM(D4:D49)</f>
        <v>54375</v>
      </c>
      <c r="E57" s="61">
        <f>SUM(E4:E49)</f>
        <v>0</v>
      </c>
      <c r="F57" s="72">
        <f>SUM(D57:E57)</f>
        <v>54375</v>
      </c>
      <c r="G57" s="81">
        <f>SUM(G4:G49)</f>
        <v>15060</v>
      </c>
      <c r="H57" s="63">
        <f>SUM(H4:H56)</f>
        <v>35997.5</v>
      </c>
      <c r="I57" s="72">
        <f>SUM(G57:H57)</f>
        <v>51057.5</v>
      </c>
      <c r="J57" s="20"/>
      <c r="K57" s="20"/>
    </row>
    <row r="58" spans="2:11" x14ac:dyDescent="0.25">
      <c r="B58" s="69" t="s">
        <v>1</v>
      </c>
      <c r="C58" s="69" t="s">
        <v>2</v>
      </c>
      <c r="D58" s="69" t="s">
        <v>3</v>
      </c>
      <c r="E58" s="69" t="s">
        <v>3</v>
      </c>
      <c r="F58" s="69" t="s">
        <v>23</v>
      </c>
      <c r="G58" s="69" t="s">
        <v>24</v>
      </c>
      <c r="H58" s="48" t="s">
        <v>24</v>
      </c>
      <c r="I58" s="48" t="s">
        <v>23</v>
      </c>
      <c r="J58" s="69" t="s">
        <v>9</v>
      </c>
      <c r="K58" s="48" t="s">
        <v>8</v>
      </c>
    </row>
    <row r="59" spans="2:11" ht="15.75" thickBot="1" x14ac:dyDescent="0.3">
      <c r="B59" s="70"/>
      <c r="C59" s="70"/>
      <c r="D59" s="70" t="s">
        <v>5</v>
      </c>
      <c r="E59" s="70" t="s">
        <v>25</v>
      </c>
      <c r="F59" s="70" t="s">
        <v>3</v>
      </c>
      <c r="G59" s="70" t="s">
        <v>25</v>
      </c>
      <c r="H59" s="71" t="s">
        <v>5</v>
      </c>
      <c r="I59" s="71" t="s">
        <v>4</v>
      </c>
      <c r="J59" s="70"/>
      <c r="K59" s="71"/>
    </row>
    <row r="60" spans="2:11" ht="15.75" thickBot="1" x14ac:dyDescent="0.3">
      <c r="B60" s="5"/>
      <c r="C60" s="7"/>
      <c r="D60" s="63">
        <v>54375</v>
      </c>
      <c r="E60" s="61">
        <v>0</v>
      </c>
      <c r="F60" s="72">
        <f>SUM(D60:E60)</f>
        <v>54375</v>
      </c>
      <c r="G60" s="81">
        <v>15060</v>
      </c>
      <c r="H60" s="63">
        <v>35997.5</v>
      </c>
      <c r="I60" s="72">
        <f>SUM(G60:H60)</f>
        <v>51057.5</v>
      </c>
      <c r="J60" s="20">
        <v>7200.63</v>
      </c>
      <c r="K60" s="12">
        <v>32774.300000000003</v>
      </c>
    </row>
    <row r="61" spans="2:11" x14ac:dyDescent="0.25">
      <c r="B61" s="18">
        <v>42992</v>
      </c>
      <c r="C61" s="13" t="s">
        <v>1045</v>
      </c>
      <c r="D61" s="41"/>
      <c r="E61" s="41"/>
      <c r="F61" s="41"/>
      <c r="G61" s="41"/>
      <c r="H61" s="11">
        <v>350</v>
      </c>
      <c r="I61" s="15"/>
      <c r="J61" s="12">
        <f>+J60+E61-G61</f>
        <v>7200.63</v>
      </c>
      <c r="K61" s="12">
        <f>+K60+D61-H61</f>
        <v>32424.300000000003</v>
      </c>
    </row>
    <row r="62" spans="2:11" x14ac:dyDescent="0.25">
      <c r="B62" s="18">
        <v>42992</v>
      </c>
      <c r="C62" s="9" t="s">
        <v>1046</v>
      </c>
      <c r="D62" s="11"/>
      <c r="E62" s="11"/>
      <c r="F62" s="11"/>
      <c r="G62" s="11"/>
      <c r="H62" s="59">
        <v>180</v>
      </c>
      <c r="I62" s="15"/>
      <c r="J62" s="12">
        <f>+J61+E62-G62</f>
        <v>7200.63</v>
      </c>
      <c r="K62" s="12">
        <f>+K61+D62-H62</f>
        <v>32244.300000000003</v>
      </c>
    </row>
    <row r="63" spans="2:11" x14ac:dyDescent="0.25">
      <c r="B63" s="18">
        <v>42993</v>
      </c>
      <c r="C63" s="9" t="s">
        <v>1047</v>
      </c>
      <c r="D63" s="11"/>
      <c r="E63" s="11"/>
      <c r="F63" s="11"/>
      <c r="G63" s="11"/>
      <c r="H63" s="59">
        <v>187</v>
      </c>
      <c r="I63" s="15"/>
      <c r="J63" s="12">
        <f>+J62+E63-G63</f>
        <v>7200.63</v>
      </c>
      <c r="K63" s="12">
        <f>+K62+D63-H63</f>
        <v>32057.300000000003</v>
      </c>
    </row>
    <row r="64" spans="2:11" x14ac:dyDescent="0.25">
      <c r="B64" s="18">
        <v>42993</v>
      </c>
      <c r="C64" s="9" t="s">
        <v>1048</v>
      </c>
      <c r="D64" s="11"/>
      <c r="E64" s="11"/>
      <c r="F64" s="11"/>
      <c r="G64" s="11"/>
      <c r="H64" s="59">
        <v>75</v>
      </c>
      <c r="I64" s="15"/>
      <c r="J64" s="12">
        <f t="shared" ref="J64:J74" si="4">+J63+E64-G64</f>
        <v>7200.63</v>
      </c>
      <c r="K64" s="12">
        <f t="shared" ref="K64:K74" si="5">+K63+D64-H64</f>
        <v>31982.300000000003</v>
      </c>
    </row>
    <row r="65" spans="2:12" x14ac:dyDescent="0.25">
      <c r="B65" s="18">
        <v>42993</v>
      </c>
      <c r="C65" s="9" t="s">
        <v>1049</v>
      </c>
      <c r="D65" s="11"/>
      <c r="E65" s="11"/>
      <c r="F65" s="11"/>
      <c r="G65" s="11"/>
      <c r="H65" s="59">
        <v>28</v>
      </c>
      <c r="I65" s="15"/>
      <c r="J65" s="12">
        <f t="shared" si="4"/>
        <v>7200.63</v>
      </c>
      <c r="K65" s="12">
        <f t="shared" si="5"/>
        <v>31954.300000000003</v>
      </c>
    </row>
    <row r="66" spans="2:12" x14ac:dyDescent="0.25">
      <c r="B66" s="18">
        <v>42993</v>
      </c>
      <c r="C66" s="13" t="s">
        <v>1050</v>
      </c>
      <c r="D66" s="11"/>
      <c r="E66" s="11"/>
      <c r="F66" s="11"/>
      <c r="G66" s="11"/>
      <c r="H66" s="11">
        <v>322.60000000000002</v>
      </c>
      <c r="I66" s="15"/>
      <c r="J66" s="12">
        <f t="shared" si="4"/>
        <v>7200.63</v>
      </c>
      <c r="K66" s="12">
        <f t="shared" si="5"/>
        <v>31631.700000000004</v>
      </c>
    </row>
    <row r="67" spans="2:12" x14ac:dyDescent="0.25">
      <c r="B67" s="18">
        <v>42993</v>
      </c>
      <c r="C67" s="13" t="s">
        <v>1051</v>
      </c>
      <c r="D67" s="11"/>
      <c r="E67" s="11"/>
      <c r="F67" s="11"/>
      <c r="G67" s="11"/>
      <c r="H67" s="11">
        <v>104</v>
      </c>
      <c r="I67" s="15"/>
      <c r="J67" s="12">
        <f t="shared" si="4"/>
        <v>7200.63</v>
      </c>
      <c r="K67" s="12">
        <f t="shared" si="5"/>
        <v>31527.700000000004</v>
      </c>
    </row>
    <row r="68" spans="2:12" x14ac:dyDescent="0.25">
      <c r="B68" s="18">
        <v>42993</v>
      </c>
      <c r="C68" s="13" t="s">
        <v>1052</v>
      </c>
      <c r="D68" s="11"/>
      <c r="E68" s="11"/>
      <c r="F68" s="11"/>
      <c r="G68" s="11"/>
      <c r="H68" s="11">
        <v>350</v>
      </c>
      <c r="I68" s="15"/>
      <c r="J68" s="12">
        <f t="shared" si="4"/>
        <v>7200.63</v>
      </c>
      <c r="K68" s="12">
        <f t="shared" si="5"/>
        <v>31177.700000000004</v>
      </c>
    </row>
    <row r="69" spans="2:12" x14ac:dyDescent="0.25">
      <c r="B69" s="18">
        <v>42993</v>
      </c>
      <c r="C69" s="13" t="s">
        <v>1053</v>
      </c>
      <c r="D69" s="11"/>
      <c r="E69" s="11"/>
      <c r="F69" s="11"/>
      <c r="G69" s="11"/>
      <c r="H69" s="11">
        <v>450</v>
      </c>
      <c r="I69" s="15"/>
      <c r="J69" s="12">
        <f t="shared" si="4"/>
        <v>7200.63</v>
      </c>
      <c r="K69" s="12">
        <f t="shared" si="5"/>
        <v>30727.700000000004</v>
      </c>
    </row>
    <row r="70" spans="2:12" x14ac:dyDescent="0.25">
      <c r="B70" s="18">
        <v>42993</v>
      </c>
      <c r="C70" s="13" t="s">
        <v>1054</v>
      </c>
      <c r="D70" s="11"/>
      <c r="E70" s="11"/>
      <c r="F70" s="11"/>
      <c r="G70" s="11"/>
      <c r="H70" s="11">
        <v>1250</v>
      </c>
      <c r="I70" s="15"/>
      <c r="J70" s="12">
        <f t="shared" si="4"/>
        <v>7200.63</v>
      </c>
      <c r="K70" s="12">
        <f t="shared" si="5"/>
        <v>29477.700000000004</v>
      </c>
    </row>
    <row r="71" spans="2:12" x14ac:dyDescent="0.25">
      <c r="B71" s="18">
        <v>42993</v>
      </c>
      <c r="C71" s="13" t="s">
        <v>1071</v>
      </c>
      <c r="D71" s="11"/>
      <c r="E71" s="11"/>
      <c r="F71" s="11"/>
      <c r="G71" s="11"/>
      <c r="H71" s="11">
        <v>4000</v>
      </c>
      <c r="I71" s="15"/>
      <c r="J71" s="12">
        <f t="shared" si="4"/>
        <v>7200.63</v>
      </c>
      <c r="K71" s="12">
        <f t="shared" si="5"/>
        <v>25477.700000000004</v>
      </c>
    </row>
    <row r="72" spans="2:12" x14ac:dyDescent="0.25">
      <c r="B72" s="18">
        <v>42993</v>
      </c>
      <c r="C72" s="13" t="s">
        <v>1055</v>
      </c>
      <c r="D72" s="11"/>
      <c r="E72" s="11"/>
      <c r="F72" s="11"/>
      <c r="G72" s="11"/>
      <c r="H72" s="11">
        <v>1000</v>
      </c>
      <c r="I72" s="15"/>
      <c r="J72" s="12">
        <f t="shared" si="4"/>
        <v>7200.63</v>
      </c>
      <c r="K72" s="12">
        <f t="shared" si="5"/>
        <v>24477.700000000004</v>
      </c>
      <c r="L72" s="1"/>
    </row>
    <row r="73" spans="2:12" x14ac:dyDescent="0.25">
      <c r="B73" s="18">
        <v>42993</v>
      </c>
      <c r="C73" s="13" t="s">
        <v>1056</v>
      </c>
      <c r="D73" s="11"/>
      <c r="E73" s="11"/>
      <c r="F73" s="11"/>
      <c r="G73" s="11"/>
      <c r="H73" s="11">
        <v>20000</v>
      </c>
      <c r="I73" s="15"/>
      <c r="J73" s="12">
        <f t="shared" si="4"/>
        <v>7200.63</v>
      </c>
      <c r="K73" s="12">
        <f t="shared" si="5"/>
        <v>4477.7000000000044</v>
      </c>
      <c r="L73" s="1"/>
    </row>
    <row r="74" spans="2:12" x14ac:dyDescent="0.25">
      <c r="B74" s="18">
        <v>42995</v>
      </c>
      <c r="C74" s="35" t="s">
        <v>1057</v>
      </c>
      <c r="D74" s="11">
        <v>17950</v>
      </c>
      <c r="E74" s="11"/>
      <c r="F74" s="11"/>
      <c r="G74" s="11"/>
      <c r="H74" s="11"/>
      <c r="I74" s="15"/>
      <c r="J74" s="12">
        <f t="shared" si="4"/>
        <v>7200.63</v>
      </c>
      <c r="K74" s="12">
        <f t="shared" si="5"/>
        <v>22427.700000000004</v>
      </c>
      <c r="L74" s="1"/>
    </row>
    <row r="75" spans="2:12" x14ac:dyDescent="0.25">
      <c r="B75" s="18">
        <v>42995</v>
      </c>
      <c r="C75" s="130" t="s">
        <v>1016</v>
      </c>
      <c r="D75" s="11"/>
      <c r="E75" s="11"/>
      <c r="F75" s="11"/>
      <c r="G75" s="11"/>
      <c r="H75" s="11">
        <v>122</v>
      </c>
      <c r="I75" s="15"/>
      <c r="J75" s="12">
        <f t="shared" ref="J75:J92" si="6">+J74+E75-G75</f>
        <v>7200.63</v>
      </c>
      <c r="K75" s="12">
        <f t="shared" ref="K75:K92" si="7">+K74+D75-H75</f>
        <v>22305.700000000004</v>
      </c>
      <c r="L75" s="1"/>
    </row>
    <row r="76" spans="2:12" x14ac:dyDescent="0.25">
      <c r="B76" s="18">
        <v>42996</v>
      </c>
      <c r="C76" s="34" t="s">
        <v>1034</v>
      </c>
      <c r="D76" s="11"/>
      <c r="E76" s="11"/>
      <c r="F76" s="11"/>
      <c r="G76" s="11"/>
      <c r="H76" s="11">
        <v>120</v>
      </c>
      <c r="I76" s="15"/>
      <c r="J76" s="12">
        <f t="shared" si="6"/>
        <v>7200.63</v>
      </c>
      <c r="K76" s="12">
        <f t="shared" si="7"/>
        <v>22185.700000000004</v>
      </c>
    </row>
    <row r="77" spans="2:12" x14ac:dyDescent="0.25">
      <c r="B77" s="18">
        <v>42996</v>
      </c>
      <c r="C77" s="9" t="s">
        <v>1018</v>
      </c>
      <c r="D77" s="11"/>
      <c r="E77" s="11"/>
      <c r="F77" s="11"/>
      <c r="G77" s="11"/>
      <c r="H77" s="11">
        <v>310</v>
      </c>
      <c r="I77" s="15"/>
      <c r="J77" s="12">
        <f t="shared" si="6"/>
        <v>7200.63</v>
      </c>
      <c r="K77" s="12">
        <f t="shared" si="7"/>
        <v>21875.700000000004</v>
      </c>
    </row>
    <row r="78" spans="2:12" x14ac:dyDescent="0.25">
      <c r="B78" s="18">
        <v>42997</v>
      </c>
      <c r="C78" s="9" t="s">
        <v>1058</v>
      </c>
      <c r="D78" s="11"/>
      <c r="E78" s="11"/>
      <c r="F78" s="11"/>
      <c r="G78" s="11"/>
      <c r="H78" s="11">
        <v>100</v>
      </c>
      <c r="I78" s="15"/>
      <c r="J78" s="12">
        <f t="shared" si="6"/>
        <v>7200.63</v>
      </c>
      <c r="K78" s="12">
        <f t="shared" si="7"/>
        <v>21775.700000000004</v>
      </c>
    </row>
    <row r="79" spans="2:12" x14ac:dyDescent="0.25">
      <c r="B79" s="18">
        <v>42997</v>
      </c>
      <c r="C79" s="9" t="s">
        <v>1059</v>
      </c>
      <c r="D79" s="11"/>
      <c r="E79" s="11"/>
      <c r="F79" s="11"/>
      <c r="G79" s="11"/>
      <c r="H79" s="11">
        <v>590</v>
      </c>
      <c r="I79" s="15"/>
      <c r="J79" s="12">
        <f t="shared" si="6"/>
        <v>7200.63</v>
      </c>
      <c r="K79" s="12">
        <f t="shared" si="7"/>
        <v>21185.700000000004</v>
      </c>
    </row>
    <row r="80" spans="2:12" x14ac:dyDescent="0.25">
      <c r="B80" s="18">
        <v>42997</v>
      </c>
      <c r="C80" s="35" t="s">
        <v>1060</v>
      </c>
      <c r="D80" s="11"/>
      <c r="E80" s="11"/>
      <c r="F80" s="11"/>
      <c r="G80" s="11"/>
      <c r="H80" s="11">
        <v>400</v>
      </c>
      <c r="I80" s="15"/>
      <c r="J80" s="12">
        <f t="shared" si="6"/>
        <v>7200.63</v>
      </c>
      <c r="K80" s="12">
        <f t="shared" si="7"/>
        <v>20785.700000000004</v>
      </c>
    </row>
    <row r="81" spans="2:12" x14ac:dyDescent="0.25">
      <c r="B81" s="18">
        <v>42997</v>
      </c>
      <c r="C81" s="34" t="s">
        <v>1061</v>
      </c>
      <c r="D81" s="11"/>
      <c r="E81" s="11"/>
      <c r="F81" s="11"/>
      <c r="G81" s="11"/>
      <c r="H81" s="11">
        <v>50</v>
      </c>
      <c r="I81" s="15"/>
      <c r="J81" s="12">
        <f t="shared" si="6"/>
        <v>7200.63</v>
      </c>
      <c r="K81" s="12">
        <f t="shared" si="7"/>
        <v>20735.700000000004</v>
      </c>
    </row>
    <row r="82" spans="2:12" x14ac:dyDescent="0.25">
      <c r="B82" s="18">
        <v>42997</v>
      </c>
      <c r="C82" s="35" t="s">
        <v>1044</v>
      </c>
      <c r="D82" s="11"/>
      <c r="E82" s="11"/>
      <c r="F82" s="11"/>
      <c r="G82" s="11"/>
      <c r="H82" s="11">
        <v>50</v>
      </c>
      <c r="I82" s="15"/>
      <c r="J82" s="12">
        <f t="shared" si="6"/>
        <v>7200.63</v>
      </c>
      <c r="K82" s="12">
        <f t="shared" si="7"/>
        <v>20685.700000000004</v>
      </c>
    </row>
    <row r="83" spans="2:12" x14ac:dyDescent="0.25">
      <c r="B83" s="18">
        <v>42997</v>
      </c>
      <c r="C83" s="34" t="s">
        <v>1062</v>
      </c>
      <c r="D83" s="11"/>
      <c r="E83" s="11"/>
      <c r="F83" s="11"/>
      <c r="G83" s="11"/>
      <c r="H83" s="11">
        <v>120</v>
      </c>
      <c r="I83" s="15"/>
      <c r="J83" s="12">
        <f t="shared" si="6"/>
        <v>7200.63</v>
      </c>
      <c r="K83" s="12">
        <f t="shared" si="7"/>
        <v>20565.700000000004</v>
      </c>
    </row>
    <row r="84" spans="2:12" x14ac:dyDescent="0.25">
      <c r="B84" s="18">
        <v>42997</v>
      </c>
      <c r="C84" s="13" t="s">
        <v>1063</v>
      </c>
      <c r="D84" s="11"/>
      <c r="E84" s="11"/>
      <c r="F84" s="11"/>
      <c r="G84" s="11"/>
      <c r="H84" s="11">
        <v>850</v>
      </c>
      <c r="I84" s="15"/>
      <c r="J84" s="12">
        <f t="shared" si="6"/>
        <v>7200.63</v>
      </c>
      <c r="K84" s="12">
        <f t="shared" si="7"/>
        <v>19715.700000000004</v>
      </c>
    </row>
    <row r="85" spans="2:12" x14ac:dyDescent="0.25">
      <c r="B85" s="18">
        <v>43000</v>
      </c>
      <c r="C85" s="9" t="s">
        <v>1064</v>
      </c>
      <c r="D85" s="11"/>
      <c r="E85" s="11"/>
      <c r="F85" s="11"/>
      <c r="G85" s="11"/>
      <c r="H85" s="11">
        <v>1250</v>
      </c>
      <c r="I85" s="15"/>
      <c r="J85" s="12">
        <f t="shared" si="6"/>
        <v>7200.63</v>
      </c>
      <c r="K85" s="12">
        <f t="shared" si="7"/>
        <v>18465.700000000004</v>
      </c>
    </row>
    <row r="86" spans="2:12" x14ac:dyDescent="0.25">
      <c r="B86" s="18">
        <v>43000</v>
      </c>
      <c r="C86" s="13" t="s">
        <v>1065</v>
      </c>
      <c r="D86" s="11"/>
      <c r="E86" s="11">
        <v>12760</v>
      </c>
      <c r="F86" s="11"/>
      <c r="G86" s="11"/>
      <c r="H86" s="11"/>
      <c r="I86" s="15"/>
      <c r="J86" s="12">
        <f t="shared" si="6"/>
        <v>19960.63</v>
      </c>
      <c r="K86" s="12">
        <f t="shared" si="7"/>
        <v>18465.700000000004</v>
      </c>
      <c r="L86" s="1"/>
    </row>
    <row r="87" spans="2:12" x14ac:dyDescent="0.25">
      <c r="B87" s="18">
        <v>43000</v>
      </c>
      <c r="C87" s="9" t="s">
        <v>1066</v>
      </c>
      <c r="D87" s="11"/>
      <c r="E87" s="11"/>
      <c r="F87" s="11"/>
      <c r="G87" s="11"/>
      <c r="H87" s="11">
        <v>828</v>
      </c>
      <c r="I87" s="15"/>
      <c r="J87" s="12">
        <f t="shared" si="6"/>
        <v>19960.63</v>
      </c>
      <c r="K87" s="12">
        <f t="shared" si="7"/>
        <v>17637.700000000004</v>
      </c>
    </row>
    <row r="88" spans="2:12" x14ac:dyDescent="0.25">
      <c r="B88" s="18">
        <v>43000</v>
      </c>
      <c r="C88" s="9" t="s">
        <v>1067</v>
      </c>
      <c r="D88" s="11"/>
      <c r="E88" s="11"/>
      <c r="F88" s="11"/>
      <c r="G88" s="11"/>
      <c r="H88" s="11">
        <v>118.9</v>
      </c>
      <c r="I88" s="15"/>
      <c r="J88" s="12">
        <f t="shared" si="6"/>
        <v>19960.63</v>
      </c>
      <c r="K88" s="12">
        <f t="shared" si="7"/>
        <v>17518.800000000003</v>
      </c>
    </row>
    <row r="89" spans="2:12" x14ac:dyDescent="0.25">
      <c r="B89" s="18">
        <v>43000</v>
      </c>
      <c r="C89" s="13" t="s">
        <v>1068</v>
      </c>
      <c r="D89" s="41"/>
      <c r="E89" s="41"/>
      <c r="F89" s="41"/>
      <c r="G89" s="16"/>
      <c r="H89" s="11">
        <v>5</v>
      </c>
      <c r="I89" s="15"/>
      <c r="J89" s="12">
        <f t="shared" si="6"/>
        <v>19960.63</v>
      </c>
      <c r="K89" s="12">
        <f t="shared" si="7"/>
        <v>17513.800000000003</v>
      </c>
    </row>
    <row r="90" spans="2:12" x14ac:dyDescent="0.25">
      <c r="B90" s="18">
        <v>43000</v>
      </c>
      <c r="C90" s="13" t="s">
        <v>1069</v>
      </c>
      <c r="D90" s="41"/>
      <c r="E90" s="41"/>
      <c r="F90" s="41"/>
      <c r="G90" s="16"/>
      <c r="H90" s="11">
        <v>13.5</v>
      </c>
      <c r="I90" s="15"/>
      <c r="J90" s="12">
        <f t="shared" si="6"/>
        <v>19960.63</v>
      </c>
      <c r="K90" s="12">
        <f t="shared" si="7"/>
        <v>17500.300000000003</v>
      </c>
    </row>
    <row r="91" spans="2:12" x14ac:dyDescent="0.25">
      <c r="B91" s="18">
        <v>43001</v>
      </c>
      <c r="C91" s="13" t="s">
        <v>1070</v>
      </c>
      <c r="D91" s="41"/>
      <c r="E91" s="41"/>
      <c r="F91" s="41"/>
      <c r="G91" s="16"/>
      <c r="H91" s="11">
        <v>280</v>
      </c>
      <c r="I91" s="15"/>
      <c r="J91" s="12">
        <f t="shared" si="6"/>
        <v>19960.63</v>
      </c>
      <c r="K91" s="12">
        <f t="shared" si="7"/>
        <v>17220.300000000003</v>
      </c>
    </row>
    <row r="92" spans="2:12" x14ac:dyDescent="0.25">
      <c r="B92" s="18">
        <v>43002</v>
      </c>
      <c r="C92" s="13" t="s">
        <v>1072</v>
      </c>
      <c r="D92" s="16">
        <v>8250</v>
      </c>
      <c r="E92" s="41"/>
      <c r="F92" s="41"/>
      <c r="G92" s="16"/>
      <c r="H92" s="11"/>
      <c r="I92" s="15"/>
      <c r="J92" s="12">
        <f t="shared" si="6"/>
        <v>19960.63</v>
      </c>
      <c r="K92" s="12">
        <f t="shared" si="7"/>
        <v>25470.300000000003</v>
      </c>
    </row>
    <row r="93" spans="2:12" x14ac:dyDescent="0.25">
      <c r="B93" s="18">
        <v>43002</v>
      </c>
      <c r="C93" s="13" t="s">
        <v>1034</v>
      </c>
      <c r="D93" s="16"/>
      <c r="E93" s="41"/>
      <c r="F93" s="41"/>
      <c r="G93" s="16"/>
      <c r="H93" s="11">
        <v>120</v>
      </c>
      <c r="I93" s="15"/>
      <c r="J93" s="12">
        <f t="shared" ref="J93:J113" si="8">+J92+E93-G93</f>
        <v>19960.63</v>
      </c>
      <c r="K93" s="12">
        <f t="shared" ref="K93:K113" si="9">+K92+D93-H93</f>
        <v>25350.300000000003</v>
      </c>
    </row>
    <row r="94" spans="2:12" x14ac:dyDescent="0.25">
      <c r="B94" s="18">
        <v>43002</v>
      </c>
      <c r="C94" s="13" t="s">
        <v>1016</v>
      </c>
      <c r="D94" s="16"/>
      <c r="E94" s="41"/>
      <c r="F94" s="41"/>
      <c r="G94" s="16"/>
      <c r="H94" s="11">
        <v>196.7</v>
      </c>
      <c r="I94" s="15"/>
      <c r="J94" s="12">
        <f t="shared" si="8"/>
        <v>19960.63</v>
      </c>
      <c r="K94" s="12">
        <f t="shared" si="9"/>
        <v>25153.600000000002</v>
      </c>
    </row>
    <row r="95" spans="2:12" x14ac:dyDescent="0.25">
      <c r="B95" s="18">
        <v>43003</v>
      </c>
      <c r="C95" s="13" t="s">
        <v>1018</v>
      </c>
      <c r="D95" s="41"/>
      <c r="E95" s="41"/>
      <c r="F95" s="41"/>
      <c r="G95" s="41"/>
      <c r="H95" s="11">
        <v>310</v>
      </c>
      <c r="I95" s="15"/>
      <c r="J95" s="12">
        <f t="shared" si="8"/>
        <v>19960.63</v>
      </c>
      <c r="K95" s="12">
        <f t="shared" si="9"/>
        <v>24843.600000000002</v>
      </c>
    </row>
    <row r="96" spans="2:12" x14ac:dyDescent="0.25">
      <c r="B96" s="18">
        <v>43003</v>
      </c>
      <c r="C96" s="13" t="s">
        <v>1074</v>
      </c>
      <c r="D96" s="41"/>
      <c r="E96" s="41"/>
      <c r="F96" s="41"/>
      <c r="G96" s="41"/>
      <c r="H96" s="11">
        <v>88</v>
      </c>
      <c r="I96" s="15"/>
      <c r="J96" s="12">
        <f t="shared" si="8"/>
        <v>19960.63</v>
      </c>
      <c r="K96" s="12">
        <f t="shared" si="9"/>
        <v>24755.600000000002</v>
      </c>
    </row>
    <row r="97" spans="2:12" x14ac:dyDescent="0.25">
      <c r="B97" s="18">
        <v>43004</v>
      </c>
      <c r="C97" s="9" t="s">
        <v>1058</v>
      </c>
      <c r="D97" s="11"/>
      <c r="E97" s="11"/>
      <c r="F97" s="11"/>
      <c r="G97" s="11"/>
      <c r="H97" s="11">
        <v>280</v>
      </c>
      <c r="I97" s="15"/>
      <c r="J97" s="12">
        <f t="shared" si="8"/>
        <v>19960.63</v>
      </c>
      <c r="K97" s="12">
        <f t="shared" si="9"/>
        <v>24475.600000000002</v>
      </c>
    </row>
    <row r="98" spans="2:12" x14ac:dyDescent="0.25">
      <c r="B98" s="18">
        <v>43004</v>
      </c>
      <c r="C98" s="9" t="s">
        <v>1075</v>
      </c>
      <c r="D98" s="11"/>
      <c r="E98" s="11"/>
      <c r="F98" s="11"/>
      <c r="G98" s="11"/>
      <c r="H98" s="11">
        <v>840</v>
      </c>
      <c r="I98" s="15"/>
      <c r="J98" s="12">
        <f t="shared" si="8"/>
        <v>19960.63</v>
      </c>
      <c r="K98" s="12">
        <f t="shared" si="9"/>
        <v>23635.600000000002</v>
      </c>
    </row>
    <row r="99" spans="2:12" x14ac:dyDescent="0.25">
      <c r="B99" s="18">
        <v>43004</v>
      </c>
      <c r="C99" s="9" t="s">
        <v>1079</v>
      </c>
      <c r="D99" s="11"/>
      <c r="E99" s="11"/>
      <c r="F99" s="11"/>
      <c r="G99" s="11"/>
      <c r="H99" s="11">
        <v>40</v>
      </c>
      <c r="I99" s="15"/>
      <c r="J99" s="12">
        <f t="shared" si="8"/>
        <v>19960.63</v>
      </c>
      <c r="K99" s="12">
        <f t="shared" si="9"/>
        <v>23595.600000000002</v>
      </c>
    </row>
    <row r="100" spans="2:12" x14ac:dyDescent="0.25">
      <c r="B100" s="18">
        <v>43005</v>
      </c>
      <c r="C100" s="9" t="s">
        <v>1074</v>
      </c>
      <c r="D100" s="11"/>
      <c r="E100" s="11"/>
      <c r="F100" s="11"/>
      <c r="G100" s="11"/>
      <c r="H100" s="11">
        <v>32</v>
      </c>
      <c r="I100" s="15"/>
      <c r="J100" s="12">
        <f t="shared" si="8"/>
        <v>19960.63</v>
      </c>
      <c r="K100" s="12">
        <f t="shared" si="9"/>
        <v>23563.600000000002</v>
      </c>
    </row>
    <row r="101" spans="2:12" x14ac:dyDescent="0.25">
      <c r="B101" s="18">
        <v>43005</v>
      </c>
      <c r="C101" s="9" t="s">
        <v>1076</v>
      </c>
      <c r="D101" s="11"/>
      <c r="E101" s="11"/>
      <c r="F101" s="11"/>
      <c r="G101" s="11"/>
      <c r="H101" s="11">
        <v>190</v>
      </c>
      <c r="I101" s="15"/>
      <c r="J101" s="12">
        <f t="shared" si="8"/>
        <v>19960.63</v>
      </c>
      <c r="K101" s="12">
        <f t="shared" si="9"/>
        <v>23373.600000000002</v>
      </c>
    </row>
    <row r="102" spans="2:12" x14ac:dyDescent="0.25">
      <c r="B102" s="18">
        <v>43005</v>
      </c>
      <c r="C102" s="9" t="s">
        <v>1080</v>
      </c>
      <c r="D102" s="11"/>
      <c r="E102" s="11"/>
      <c r="F102" s="11"/>
      <c r="G102" s="11"/>
      <c r="H102" s="11">
        <v>10100</v>
      </c>
      <c r="I102" s="15"/>
      <c r="J102" s="12">
        <f t="shared" si="8"/>
        <v>19960.63</v>
      </c>
      <c r="K102" s="12">
        <f t="shared" si="9"/>
        <v>13273.600000000002</v>
      </c>
    </row>
    <row r="103" spans="2:12" x14ac:dyDescent="0.25">
      <c r="B103" s="18">
        <v>43006</v>
      </c>
      <c r="C103" s="9" t="s">
        <v>1044</v>
      </c>
      <c r="D103" s="11"/>
      <c r="E103" s="11"/>
      <c r="F103" s="11"/>
      <c r="G103" s="11"/>
      <c r="H103" s="11">
        <v>34</v>
      </c>
      <c r="I103" s="15"/>
      <c r="J103" s="12">
        <f t="shared" si="8"/>
        <v>19960.63</v>
      </c>
      <c r="K103" s="12">
        <f t="shared" si="9"/>
        <v>13239.600000000002</v>
      </c>
    </row>
    <row r="104" spans="2:12" x14ac:dyDescent="0.25">
      <c r="B104" s="18">
        <v>43006</v>
      </c>
      <c r="C104" s="35" t="s">
        <v>1058</v>
      </c>
      <c r="D104" s="11"/>
      <c r="E104" s="11"/>
      <c r="F104" s="11"/>
      <c r="G104" s="11"/>
      <c r="H104" s="11">
        <v>250</v>
      </c>
      <c r="I104" s="15"/>
      <c r="J104" s="12">
        <f t="shared" si="8"/>
        <v>19960.63</v>
      </c>
      <c r="K104" s="12">
        <f t="shared" si="9"/>
        <v>12989.600000000002</v>
      </c>
    </row>
    <row r="105" spans="2:12" x14ac:dyDescent="0.25">
      <c r="B105" s="18">
        <v>43006</v>
      </c>
      <c r="C105" s="34" t="s">
        <v>1077</v>
      </c>
      <c r="D105" s="11"/>
      <c r="E105" s="11"/>
      <c r="F105" s="11"/>
      <c r="G105" s="11"/>
      <c r="H105" s="11">
        <v>15</v>
      </c>
      <c r="I105" s="15"/>
      <c r="J105" s="12">
        <f t="shared" si="8"/>
        <v>19960.63</v>
      </c>
      <c r="K105" s="12">
        <f t="shared" si="9"/>
        <v>12974.600000000002</v>
      </c>
    </row>
    <row r="106" spans="2:12" x14ac:dyDescent="0.25">
      <c r="B106" s="18">
        <v>43007</v>
      </c>
      <c r="C106" s="9" t="s">
        <v>1078</v>
      </c>
      <c r="D106" s="11"/>
      <c r="E106" s="11"/>
      <c r="F106" s="11"/>
      <c r="G106" s="11"/>
      <c r="H106" s="11">
        <v>1250</v>
      </c>
      <c r="I106" s="15"/>
      <c r="J106" s="12">
        <f t="shared" si="8"/>
        <v>19960.63</v>
      </c>
      <c r="K106" s="12">
        <f t="shared" si="9"/>
        <v>11724.600000000002</v>
      </c>
    </row>
    <row r="107" spans="2:12" x14ac:dyDescent="0.25">
      <c r="B107" s="18">
        <v>43007</v>
      </c>
      <c r="C107" s="9" t="s">
        <v>1073</v>
      </c>
      <c r="D107" s="11">
        <v>900</v>
      </c>
      <c r="E107" s="11"/>
      <c r="F107" s="11"/>
      <c r="G107" s="11"/>
      <c r="H107" s="11"/>
      <c r="I107" s="15"/>
      <c r="J107" s="12">
        <f t="shared" si="8"/>
        <v>19960.63</v>
      </c>
      <c r="K107" s="12">
        <f t="shared" si="9"/>
        <v>12624.600000000002</v>
      </c>
    </row>
    <row r="108" spans="2:12" x14ac:dyDescent="0.25">
      <c r="B108" s="18">
        <v>43007</v>
      </c>
      <c r="C108" s="9" t="s">
        <v>1081</v>
      </c>
      <c r="D108" s="11"/>
      <c r="E108" s="11"/>
      <c r="F108" s="11"/>
      <c r="G108" s="11"/>
      <c r="H108" s="11">
        <v>100</v>
      </c>
      <c r="I108" s="15"/>
      <c r="J108" s="12">
        <f t="shared" si="8"/>
        <v>19960.63</v>
      </c>
      <c r="K108" s="12">
        <f t="shared" si="9"/>
        <v>12524.600000000002</v>
      </c>
    </row>
    <row r="109" spans="2:12" x14ac:dyDescent="0.25">
      <c r="B109" s="18">
        <v>43007</v>
      </c>
      <c r="C109" s="9" t="s">
        <v>1082</v>
      </c>
      <c r="D109" s="11"/>
      <c r="E109" s="11">
        <v>300.45999999999998</v>
      </c>
      <c r="F109" s="11"/>
      <c r="G109" s="11"/>
      <c r="H109" s="11"/>
      <c r="I109" s="15"/>
      <c r="J109" s="12">
        <f t="shared" si="8"/>
        <v>20261.09</v>
      </c>
      <c r="K109" s="12">
        <f t="shared" si="9"/>
        <v>12524.600000000002</v>
      </c>
    </row>
    <row r="110" spans="2:12" x14ac:dyDescent="0.25">
      <c r="B110" s="18">
        <v>43007</v>
      </c>
      <c r="C110" s="9" t="s">
        <v>1083</v>
      </c>
      <c r="D110" s="11"/>
      <c r="E110" s="11"/>
      <c r="F110" s="11"/>
      <c r="G110" s="11"/>
      <c r="H110" s="11">
        <v>350</v>
      </c>
      <c r="I110" s="15"/>
      <c r="J110" s="12">
        <f t="shared" si="8"/>
        <v>20261.09</v>
      </c>
      <c r="K110" s="12">
        <f t="shared" si="9"/>
        <v>12174.600000000002</v>
      </c>
    </row>
    <row r="111" spans="2:12" x14ac:dyDescent="0.25">
      <c r="B111" s="18">
        <v>43007</v>
      </c>
      <c r="C111" s="9" t="s">
        <v>1084</v>
      </c>
      <c r="D111" s="11"/>
      <c r="E111" s="11"/>
      <c r="F111" s="11"/>
      <c r="G111" s="11"/>
      <c r="H111" s="11">
        <v>155</v>
      </c>
      <c r="I111" s="15"/>
      <c r="J111" s="12">
        <f t="shared" si="8"/>
        <v>20261.09</v>
      </c>
      <c r="K111" s="12">
        <f t="shared" si="9"/>
        <v>12019.600000000002</v>
      </c>
      <c r="L111" s="1"/>
    </row>
    <row r="112" spans="2:12" x14ac:dyDescent="0.25">
      <c r="B112" s="18">
        <v>43007</v>
      </c>
      <c r="C112" s="9" t="s">
        <v>1085</v>
      </c>
      <c r="D112" s="11"/>
      <c r="E112" s="11"/>
      <c r="F112" s="11"/>
      <c r="G112" s="11"/>
      <c r="H112" s="11">
        <v>35</v>
      </c>
      <c r="I112" s="15"/>
      <c r="J112" s="12">
        <f t="shared" si="8"/>
        <v>20261.09</v>
      </c>
      <c r="K112" s="12">
        <f t="shared" si="9"/>
        <v>11984.600000000002</v>
      </c>
      <c r="L112" s="1"/>
    </row>
    <row r="113" spans="2:12" ht="15.75" thickBot="1" x14ac:dyDescent="0.3">
      <c r="B113" s="18">
        <v>43007</v>
      </c>
      <c r="C113" s="9" t="s">
        <v>1074</v>
      </c>
      <c r="D113" s="11"/>
      <c r="E113" s="11"/>
      <c r="F113" s="11"/>
      <c r="G113" s="11"/>
      <c r="H113" s="11">
        <v>55</v>
      </c>
      <c r="I113" s="15"/>
      <c r="J113" s="12">
        <f t="shared" si="8"/>
        <v>20261.09</v>
      </c>
      <c r="K113" s="12">
        <f t="shared" si="9"/>
        <v>11929.600000000002</v>
      </c>
      <c r="L113" s="1"/>
    </row>
    <row r="114" spans="2:12" ht="15.75" thickBot="1" x14ac:dyDescent="0.3">
      <c r="B114" s="5"/>
      <c r="C114" s="7" t="s">
        <v>0</v>
      </c>
      <c r="D114" s="63">
        <f>SUM(D58:D113)</f>
        <v>81475</v>
      </c>
      <c r="E114" s="61">
        <f>SUM(E58:E113)</f>
        <v>13060.46</v>
      </c>
      <c r="F114" s="72">
        <f>SUM(D114:E114)</f>
        <v>94535.459999999992</v>
      </c>
      <c r="G114" s="81">
        <f>SUM(G60:G113)</f>
        <v>15060</v>
      </c>
      <c r="H114" s="99">
        <f>SUM(H60:H113)</f>
        <v>83942.2</v>
      </c>
      <c r="I114" s="72">
        <f>SUM(G114:H114)</f>
        <v>99002.2</v>
      </c>
      <c r="J114" s="20"/>
      <c r="K114" s="20"/>
    </row>
    <row r="115" spans="2:12" x14ac:dyDescent="0.25">
      <c r="B115" s="69" t="s">
        <v>1</v>
      </c>
      <c r="C115" s="69" t="s">
        <v>2</v>
      </c>
      <c r="D115" s="69" t="s">
        <v>3</v>
      </c>
      <c r="E115" s="69" t="s">
        <v>3</v>
      </c>
      <c r="F115" s="69" t="s">
        <v>23</v>
      </c>
      <c r="G115" s="69" t="s">
        <v>24</v>
      </c>
      <c r="H115" s="48" t="s">
        <v>24</v>
      </c>
      <c r="I115" s="48" t="s">
        <v>23</v>
      </c>
      <c r="J115" s="69" t="s">
        <v>9</v>
      </c>
      <c r="K115" s="48" t="s">
        <v>8</v>
      </c>
    </row>
    <row r="116" spans="2:12" ht="15.75" thickBot="1" x14ac:dyDescent="0.3">
      <c r="B116" s="70"/>
      <c r="C116" s="70"/>
      <c r="D116" s="70" t="s">
        <v>5</v>
      </c>
      <c r="E116" s="70" t="s">
        <v>25</v>
      </c>
      <c r="F116" s="70" t="s">
        <v>3</v>
      </c>
      <c r="G116" s="70" t="s">
        <v>25</v>
      </c>
      <c r="H116" s="71" t="s">
        <v>5</v>
      </c>
      <c r="I116" s="71" t="s">
        <v>4</v>
      </c>
      <c r="J116" s="70"/>
      <c r="K116" s="71"/>
    </row>
    <row r="117" spans="2:12" ht="15.75" thickBot="1" x14ac:dyDescent="0.3">
      <c r="B117" s="5"/>
      <c r="C117" s="7" t="s">
        <v>0</v>
      </c>
      <c r="D117" s="63">
        <v>81475</v>
      </c>
      <c r="E117" s="61">
        <v>13060.46</v>
      </c>
      <c r="F117" s="72">
        <v>94535.46</v>
      </c>
      <c r="G117" s="81">
        <v>15060</v>
      </c>
      <c r="H117" s="63">
        <v>83942.2</v>
      </c>
      <c r="I117" s="72">
        <f>SUM(G117:H117)</f>
        <v>99002.2</v>
      </c>
      <c r="J117" s="19">
        <v>20261.09</v>
      </c>
      <c r="K117" s="19">
        <v>11929.6</v>
      </c>
    </row>
    <row r="118" spans="2:12" x14ac:dyDescent="0.25">
      <c r="B118" s="18">
        <v>43008</v>
      </c>
      <c r="C118" s="9" t="s">
        <v>1086</v>
      </c>
      <c r="D118" s="11"/>
      <c r="E118" s="11"/>
      <c r="F118" s="11"/>
      <c r="G118" s="11"/>
      <c r="H118" s="11">
        <v>4000</v>
      </c>
      <c r="I118" s="15"/>
      <c r="J118" s="12">
        <f>+J117+E118-G118</f>
        <v>20261.09</v>
      </c>
      <c r="K118" s="12">
        <f>+K117+D118-H118</f>
        <v>7929.6</v>
      </c>
    </row>
    <row r="119" spans="2:12" x14ac:dyDescent="0.25">
      <c r="B119" s="18">
        <v>43008</v>
      </c>
      <c r="C119" s="9" t="s">
        <v>1055</v>
      </c>
      <c r="D119" s="11"/>
      <c r="E119" s="11"/>
      <c r="F119" s="11"/>
      <c r="G119" s="11"/>
      <c r="H119" s="11">
        <v>1000</v>
      </c>
      <c r="I119" s="15"/>
      <c r="J119" s="12">
        <f t="shared" ref="J119:J130" si="10">+J118+E119-G119</f>
        <v>20261.09</v>
      </c>
      <c r="K119" s="12">
        <f t="shared" ref="K119:K130" si="11">+K118+D119-H119</f>
        <v>6929.6</v>
      </c>
    </row>
    <row r="120" spans="2:12" x14ac:dyDescent="0.25">
      <c r="B120" s="18">
        <v>43008</v>
      </c>
      <c r="C120" s="9" t="s">
        <v>1087</v>
      </c>
      <c r="D120" s="11"/>
      <c r="E120" s="11"/>
      <c r="F120" s="11"/>
      <c r="G120" s="11"/>
      <c r="H120" s="11">
        <v>300</v>
      </c>
      <c r="I120" s="15"/>
      <c r="J120" s="12">
        <f t="shared" si="10"/>
        <v>20261.09</v>
      </c>
      <c r="K120" s="12">
        <f t="shared" si="11"/>
        <v>6629.6</v>
      </c>
    </row>
    <row r="121" spans="2:12" x14ac:dyDescent="0.25">
      <c r="B121" s="18">
        <v>43008</v>
      </c>
      <c r="C121" s="9" t="s">
        <v>1088</v>
      </c>
      <c r="D121" s="11"/>
      <c r="E121" s="11"/>
      <c r="F121" s="11"/>
      <c r="G121" s="11"/>
      <c r="H121" s="11">
        <v>450</v>
      </c>
      <c r="I121" s="15"/>
      <c r="J121" s="12">
        <f t="shared" si="10"/>
        <v>20261.09</v>
      </c>
      <c r="K121" s="12">
        <f t="shared" si="11"/>
        <v>6179.6</v>
      </c>
    </row>
    <row r="122" spans="2:12" x14ac:dyDescent="0.25">
      <c r="B122" s="18">
        <v>43008</v>
      </c>
      <c r="C122" s="9" t="s">
        <v>1089</v>
      </c>
      <c r="D122" s="11"/>
      <c r="E122" s="11"/>
      <c r="F122" s="11"/>
      <c r="G122" s="11"/>
      <c r="H122" s="11">
        <v>100</v>
      </c>
      <c r="I122" s="15"/>
      <c r="J122" s="12">
        <f t="shared" si="10"/>
        <v>20261.09</v>
      </c>
      <c r="K122" s="12">
        <f t="shared" si="11"/>
        <v>6079.6</v>
      </c>
    </row>
    <row r="123" spans="2:12" x14ac:dyDescent="0.25">
      <c r="B123" s="18">
        <v>43008</v>
      </c>
      <c r="C123" s="9" t="s">
        <v>1149</v>
      </c>
      <c r="D123" s="11"/>
      <c r="E123" s="11">
        <v>800</v>
      </c>
      <c r="F123" s="11"/>
      <c r="G123" s="11"/>
      <c r="H123" s="11"/>
      <c r="I123" s="15"/>
      <c r="J123" s="12">
        <f t="shared" si="10"/>
        <v>21061.09</v>
      </c>
      <c r="K123" s="12">
        <f t="shared" si="11"/>
        <v>6079.6</v>
      </c>
    </row>
    <row r="124" spans="2:12" x14ac:dyDescent="0.25">
      <c r="B124" s="18">
        <v>42979</v>
      </c>
      <c r="C124" s="9" t="s">
        <v>1093</v>
      </c>
      <c r="D124" s="11"/>
      <c r="E124" s="11"/>
      <c r="F124" s="11"/>
      <c r="G124" s="11">
        <v>30</v>
      </c>
      <c r="H124" s="11"/>
      <c r="I124" s="15"/>
      <c r="J124" s="12">
        <f t="shared" si="10"/>
        <v>21031.09</v>
      </c>
      <c r="K124" s="12">
        <f t="shared" si="11"/>
        <v>6079.6</v>
      </c>
    </row>
    <row r="125" spans="2:12" x14ac:dyDescent="0.25">
      <c r="B125" s="18">
        <v>42979</v>
      </c>
      <c r="C125" s="9" t="s">
        <v>1090</v>
      </c>
      <c r="D125" s="11"/>
      <c r="E125" s="11"/>
      <c r="F125" s="11"/>
      <c r="G125" s="11">
        <v>4.8</v>
      </c>
      <c r="H125" s="11"/>
      <c r="I125" s="15"/>
      <c r="J125" s="12">
        <f t="shared" si="10"/>
        <v>21026.29</v>
      </c>
      <c r="K125" s="12">
        <f t="shared" si="11"/>
        <v>6079.6</v>
      </c>
    </row>
    <row r="126" spans="2:12" x14ac:dyDescent="0.25">
      <c r="B126" s="18">
        <v>43006</v>
      </c>
      <c r="C126" s="9" t="s">
        <v>1094</v>
      </c>
      <c r="D126" s="11"/>
      <c r="E126" s="11"/>
      <c r="F126" s="11"/>
      <c r="G126" s="11">
        <v>30</v>
      </c>
      <c r="H126" s="11"/>
      <c r="I126" s="15"/>
      <c r="J126" s="12">
        <f t="shared" si="10"/>
        <v>20996.29</v>
      </c>
      <c r="K126" s="12">
        <f t="shared" si="11"/>
        <v>6079.6</v>
      </c>
    </row>
    <row r="127" spans="2:12" x14ac:dyDescent="0.25">
      <c r="B127" s="18">
        <v>43006</v>
      </c>
      <c r="C127" s="9" t="s">
        <v>1090</v>
      </c>
      <c r="D127" s="11"/>
      <c r="E127" s="11"/>
      <c r="F127" s="11"/>
      <c r="G127" s="11">
        <v>4.8</v>
      </c>
      <c r="H127" s="11"/>
      <c r="I127" s="15"/>
      <c r="J127" s="12">
        <f t="shared" si="10"/>
        <v>20991.49</v>
      </c>
      <c r="K127" s="12">
        <f t="shared" si="11"/>
        <v>6079.6</v>
      </c>
    </row>
    <row r="128" spans="2:12" x14ac:dyDescent="0.25">
      <c r="B128" s="18">
        <v>43007</v>
      </c>
      <c r="C128" s="9" t="s">
        <v>1091</v>
      </c>
      <c r="D128" s="11"/>
      <c r="E128" s="11"/>
      <c r="F128" s="11"/>
      <c r="G128" s="11">
        <v>28</v>
      </c>
      <c r="H128" s="11"/>
      <c r="I128" s="15"/>
      <c r="J128" s="12">
        <f t="shared" si="10"/>
        <v>20963.490000000002</v>
      </c>
      <c r="K128" s="12">
        <f t="shared" si="11"/>
        <v>6079.6</v>
      </c>
    </row>
    <row r="129" spans="2:11" x14ac:dyDescent="0.25">
      <c r="B129" s="18">
        <v>43007</v>
      </c>
      <c r="C129" s="9" t="s">
        <v>1092</v>
      </c>
      <c r="D129" s="11"/>
      <c r="E129" s="11"/>
      <c r="F129" s="11"/>
      <c r="G129" s="11">
        <v>4.4800000000000004</v>
      </c>
      <c r="H129" s="11"/>
      <c r="I129" s="15"/>
      <c r="J129" s="12">
        <f t="shared" si="10"/>
        <v>20959.010000000002</v>
      </c>
      <c r="K129" s="12">
        <f t="shared" si="11"/>
        <v>6079.6</v>
      </c>
    </row>
    <row r="130" spans="2:11" ht="15.75" thickBot="1" x14ac:dyDescent="0.3">
      <c r="B130" s="18"/>
      <c r="C130" s="9"/>
      <c r="D130" s="11"/>
      <c r="E130" s="11"/>
      <c r="F130" s="11"/>
      <c r="G130" s="11"/>
      <c r="H130" s="11"/>
      <c r="I130" s="15"/>
      <c r="J130" s="12">
        <f t="shared" si="10"/>
        <v>20959.010000000002</v>
      </c>
      <c r="K130" s="12">
        <f t="shared" si="11"/>
        <v>6079.6</v>
      </c>
    </row>
    <row r="131" spans="2:11" ht="15.75" thickBot="1" x14ac:dyDescent="0.3">
      <c r="B131" s="5"/>
      <c r="C131" s="7" t="s">
        <v>0</v>
      </c>
      <c r="D131" s="63">
        <f>SUM(D117:D130)</f>
        <v>81475</v>
      </c>
      <c r="E131" s="61">
        <f>SUM(E117:E130)</f>
        <v>13860.46</v>
      </c>
      <c r="F131" s="72">
        <f>SUM(D131:E131)</f>
        <v>95335.459999999992</v>
      </c>
      <c r="G131" s="81">
        <f>SUM(G117:G130)</f>
        <v>15162.079999999998</v>
      </c>
      <c r="H131" s="63">
        <f>SUM(H117:H130)</f>
        <v>89792.2</v>
      </c>
      <c r="I131" s="72">
        <f>SUM(G131:H131)</f>
        <v>104954.28</v>
      </c>
      <c r="J131" s="20"/>
      <c r="K131" s="20"/>
    </row>
    <row r="133" spans="2:11" ht="15.75" thickBot="1" x14ac:dyDescent="0.3"/>
    <row r="134" spans="2:11" ht="15.75" thickBot="1" x14ac:dyDescent="0.3">
      <c r="I134" s="75" t="s">
        <v>9</v>
      </c>
      <c r="J134" s="75" t="s">
        <v>8</v>
      </c>
      <c r="K134" s="96" t="s">
        <v>0</v>
      </c>
    </row>
    <row r="135" spans="2:11" ht="15.75" thickBot="1" x14ac:dyDescent="0.3">
      <c r="I135" s="78">
        <v>20959</v>
      </c>
      <c r="J135" s="78">
        <v>6079.6</v>
      </c>
      <c r="K135" s="20">
        <f>SUM(I135:J135)</f>
        <v>27038.6</v>
      </c>
    </row>
  </sheetData>
  <printOptions verticalCentered="1"/>
  <pageMargins left="0" right="0" top="0" bottom="0" header="0.31496062992125984" footer="0.31496062992125984"/>
  <pageSetup paperSize="9" scale="69" fitToHeight="0" orientation="landscape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>
    <pageSetUpPr fitToPage="1"/>
  </sheetPr>
  <dimension ref="A1:L112"/>
  <sheetViews>
    <sheetView zoomScale="90" zoomScaleNormal="90" workbookViewId="0">
      <pane ySplit="3" topLeftCell="A88" activePane="bottomLeft" state="frozen"/>
      <selection pane="bottomLeft" activeCell="C88" sqref="C88"/>
    </sheetView>
  </sheetViews>
  <sheetFormatPr baseColWidth="10" defaultRowHeight="15" x14ac:dyDescent="0.25"/>
  <cols>
    <col min="1" max="1" width="10.7109375" customWidth="1"/>
    <col min="2" max="2" width="11.5703125" customWidth="1"/>
    <col min="3" max="3" width="89" customWidth="1"/>
    <col min="4" max="6" width="11.7109375" customWidth="1"/>
  </cols>
  <sheetData>
    <row r="1" spans="2:11" ht="15.75" thickBot="1" x14ac:dyDescent="0.3">
      <c r="B1" s="80"/>
      <c r="C1" s="100" t="s">
        <v>727</v>
      </c>
    </row>
    <row r="2" spans="2:11" x14ac:dyDescent="0.25">
      <c r="B2" s="69" t="s">
        <v>1</v>
      </c>
      <c r="C2" s="69" t="s">
        <v>2</v>
      </c>
      <c r="D2" s="69" t="s">
        <v>3</v>
      </c>
      <c r="E2" s="69" t="s">
        <v>3</v>
      </c>
      <c r="F2" s="69" t="s">
        <v>23</v>
      </c>
      <c r="G2" s="69" t="s">
        <v>24</v>
      </c>
      <c r="H2" s="48" t="s">
        <v>24</v>
      </c>
      <c r="I2" s="48" t="s">
        <v>23</v>
      </c>
      <c r="J2" s="69" t="s">
        <v>9</v>
      </c>
      <c r="K2" s="48" t="s">
        <v>8</v>
      </c>
    </row>
    <row r="3" spans="2:11" ht="15.75" thickBot="1" x14ac:dyDescent="0.3">
      <c r="B3" s="70"/>
      <c r="C3" s="70"/>
      <c r="D3" s="70" t="s">
        <v>5</v>
      </c>
      <c r="E3" s="70" t="s">
        <v>25</v>
      </c>
      <c r="F3" s="70" t="s">
        <v>3</v>
      </c>
      <c r="G3" s="70" t="s">
        <v>25</v>
      </c>
      <c r="H3" s="71" t="s">
        <v>5</v>
      </c>
      <c r="I3" s="71" t="s">
        <v>4</v>
      </c>
      <c r="J3" s="70"/>
      <c r="K3" s="71"/>
    </row>
    <row r="4" spans="2:11" x14ac:dyDescent="0.25">
      <c r="B4" s="23">
        <v>43008</v>
      </c>
      <c r="C4" s="66" t="s">
        <v>721</v>
      </c>
      <c r="D4" s="67"/>
      <c r="E4" s="64"/>
      <c r="F4" s="64"/>
      <c r="G4" s="64"/>
      <c r="H4" s="17"/>
      <c r="I4" s="65"/>
      <c r="J4" s="74">
        <v>20959.009999999998</v>
      </c>
      <c r="K4" s="98">
        <v>6079.6</v>
      </c>
    </row>
    <row r="5" spans="2:11" x14ac:dyDescent="0.25">
      <c r="B5" s="23">
        <v>43009</v>
      </c>
      <c r="C5" s="9" t="s">
        <v>42</v>
      </c>
      <c r="D5" s="11"/>
      <c r="E5" s="11"/>
      <c r="F5" s="11"/>
      <c r="G5" s="11"/>
      <c r="H5" s="11">
        <v>120</v>
      </c>
      <c r="I5" s="15"/>
      <c r="J5" s="12">
        <f>+J4+E5-G5</f>
        <v>20959.009999999998</v>
      </c>
      <c r="K5" s="12">
        <f t="shared" ref="K5:K9" si="0">+K4+D5-H5</f>
        <v>5959.6</v>
      </c>
    </row>
    <row r="6" spans="2:11" x14ac:dyDescent="0.25">
      <c r="B6" s="23">
        <v>43009</v>
      </c>
      <c r="C6" s="13" t="s">
        <v>1096</v>
      </c>
      <c r="D6" s="11"/>
      <c r="E6" s="11"/>
      <c r="F6" s="11"/>
      <c r="G6" s="11"/>
      <c r="H6" s="11">
        <v>100.3</v>
      </c>
      <c r="I6" s="15"/>
      <c r="J6" s="12">
        <f t="shared" ref="J6:J9" si="1">+J5+E6-G6</f>
        <v>20959.009999999998</v>
      </c>
      <c r="K6" s="12">
        <f t="shared" si="0"/>
        <v>5859.3</v>
      </c>
    </row>
    <row r="7" spans="2:11" x14ac:dyDescent="0.25">
      <c r="B7" s="18">
        <v>43009</v>
      </c>
      <c r="C7" s="9" t="s">
        <v>1095</v>
      </c>
      <c r="D7" s="11"/>
      <c r="E7" s="11"/>
      <c r="F7" s="11"/>
      <c r="G7" s="11"/>
      <c r="H7" s="59">
        <v>55</v>
      </c>
      <c r="I7" s="15"/>
      <c r="J7" s="12">
        <f t="shared" si="1"/>
        <v>20959.009999999998</v>
      </c>
      <c r="K7" s="12">
        <f t="shared" si="0"/>
        <v>5804.3</v>
      </c>
    </row>
    <row r="8" spans="2:11" x14ac:dyDescent="0.25">
      <c r="B8" s="18">
        <v>43009</v>
      </c>
      <c r="C8" s="13" t="s">
        <v>1097</v>
      </c>
      <c r="D8" s="11">
        <v>25475</v>
      </c>
      <c r="E8" s="11"/>
      <c r="F8" s="11"/>
      <c r="G8" s="11"/>
      <c r="H8" s="11"/>
      <c r="I8" s="15"/>
      <c r="J8" s="12">
        <f t="shared" si="1"/>
        <v>20959.009999999998</v>
      </c>
      <c r="K8" s="12">
        <f t="shared" si="0"/>
        <v>31279.3</v>
      </c>
    </row>
    <row r="9" spans="2:11" x14ac:dyDescent="0.25">
      <c r="B9" s="18">
        <v>43010</v>
      </c>
      <c r="C9" s="9" t="s">
        <v>1148</v>
      </c>
      <c r="D9" s="11"/>
      <c r="E9" s="11"/>
      <c r="F9" s="11"/>
      <c r="G9" s="11">
        <v>15000</v>
      </c>
      <c r="H9" s="59"/>
      <c r="I9" s="15"/>
      <c r="J9" s="12">
        <f t="shared" si="1"/>
        <v>5959.0099999999984</v>
      </c>
      <c r="K9" s="12">
        <f t="shared" si="0"/>
        <v>31279.3</v>
      </c>
    </row>
    <row r="10" spans="2:11" x14ac:dyDescent="0.25">
      <c r="B10" s="18">
        <v>43010</v>
      </c>
      <c r="C10" s="9" t="s">
        <v>1098</v>
      </c>
      <c r="D10" s="11"/>
      <c r="E10" s="11"/>
      <c r="F10" s="11"/>
      <c r="G10" s="11"/>
      <c r="H10" s="59">
        <v>5000</v>
      </c>
      <c r="I10" s="15"/>
      <c r="J10" s="12">
        <f t="shared" ref="J10:J56" si="2">+J9+E10-G10</f>
        <v>5959.0099999999984</v>
      </c>
      <c r="K10" s="12">
        <f t="shared" ref="K10:K56" si="3">+K9+D10-H10</f>
        <v>26279.3</v>
      </c>
    </row>
    <row r="11" spans="2:11" x14ac:dyDescent="0.25">
      <c r="B11" s="18">
        <v>43010</v>
      </c>
      <c r="C11" s="9" t="s">
        <v>1099</v>
      </c>
      <c r="D11" s="11"/>
      <c r="E11" s="11"/>
      <c r="F11" s="11"/>
      <c r="G11" s="11"/>
      <c r="H11" s="11">
        <v>10</v>
      </c>
      <c r="I11" s="15"/>
      <c r="J11" s="12">
        <f t="shared" si="2"/>
        <v>5959.0099999999984</v>
      </c>
      <c r="K11" s="12">
        <f t="shared" si="3"/>
        <v>26269.3</v>
      </c>
    </row>
    <row r="12" spans="2:11" x14ac:dyDescent="0.25">
      <c r="B12" s="18">
        <v>43010</v>
      </c>
      <c r="C12" s="9" t="s">
        <v>1100</v>
      </c>
      <c r="D12" s="11"/>
      <c r="E12" s="11"/>
      <c r="F12" s="11"/>
      <c r="G12" s="11"/>
      <c r="H12" s="11">
        <v>175</v>
      </c>
      <c r="I12" s="15"/>
      <c r="J12" s="12">
        <f t="shared" si="2"/>
        <v>5959.0099999999984</v>
      </c>
      <c r="K12" s="12">
        <f t="shared" si="3"/>
        <v>26094.3</v>
      </c>
    </row>
    <row r="13" spans="2:11" x14ac:dyDescent="0.25">
      <c r="B13" s="18">
        <v>43010</v>
      </c>
      <c r="C13" s="9" t="s">
        <v>1101</v>
      </c>
      <c r="D13" s="11"/>
      <c r="E13" s="11"/>
      <c r="F13" s="11"/>
      <c r="G13" s="11"/>
      <c r="H13" s="11">
        <v>90</v>
      </c>
      <c r="I13" s="15"/>
      <c r="J13" s="12">
        <f t="shared" si="2"/>
        <v>5959.0099999999984</v>
      </c>
      <c r="K13" s="12">
        <f t="shared" si="3"/>
        <v>26004.3</v>
      </c>
    </row>
    <row r="14" spans="2:11" x14ac:dyDescent="0.25">
      <c r="B14" s="18">
        <v>43010</v>
      </c>
      <c r="C14" s="9" t="s">
        <v>1102</v>
      </c>
      <c r="D14" s="11"/>
      <c r="E14" s="11"/>
      <c r="F14" s="11"/>
      <c r="G14" s="11"/>
      <c r="H14" s="59">
        <v>265</v>
      </c>
      <c r="I14" s="15"/>
      <c r="J14" s="12">
        <f t="shared" si="2"/>
        <v>5959.0099999999984</v>
      </c>
      <c r="K14" s="12">
        <f t="shared" si="3"/>
        <v>25739.3</v>
      </c>
    </row>
    <row r="15" spans="2:11" x14ac:dyDescent="0.25">
      <c r="B15" s="18">
        <v>43010</v>
      </c>
      <c r="C15" s="9" t="s">
        <v>1103</v>
      </c>
      <c r="D15" s="11"/>
      <c r="E15" s="11"/>
      <c r="F15" s="11"/>
      <c r="G15" s="11"/>
      <c r="H15" s="11">
        <v>340.2</v>
      </c>
      <c r="I15" s="15"/>
      <c r="J15" s="12">
        <f t="shared" si="2"/>
        <v>5959.0099999999984</v>
      </c>
      <c r="K15" s="12">
        <f t="shared" si="3"/>
        <v>25399.1</v>
      </c>
    </row>
    <row r="16" spans="2:11" x14ac:dyDescent="0.25">
      <c r="B16" s="18">
        <v>43010</v>
      </c>
      <c r="C16" s="9" t="s">
        <v>1104</v>
      </c>
      <c r="D16" s="11"/>
      <c r="E16" s="11"/>
      <c r="F16" s="11"/>
      <c r="G16" s="11"/>
      <c r="H16" s="59">
        <v>100</v>
      </c>
      <c r="I16" s="15"/>
      <c r="J16" s="12">
        <f t="shared" si="2"/>
        <v>5959.0099999999984</v>
      </c>
      <c r="K16" s="12">
        <f t="shared" si="3"/>
        <v>25299.1</v>
      </c>
    </row>
    <row r="17" spans="2:11" x14ac:dyDescent="0.25">
      <c r="B17" s="18">
        <v>43011</v>
      </c>
      <c r="C17" s="9" t="s">
        <v>1105</v>
      </c>
      <c r="D17" s="11"/>
      <c r="E17" s="11"/>
      <c r="F17" s="11"/>
      <c r="G17" s="11"/>
      <c r="H17" s="11">
        <v>188</v>
      </c>
      <c r="I17" s="15"/>
      <c r="J17" s="12">
        <f t="shared" si="2"/>
        <v>5959.0099999999984</v>
      </c>
      <c r="K17" s="12">
        <f t="shared" si="3"/>
        <v>25111.1</v>
      </c>
    </row>
    <row r="18" spans="2:11" x14ac:dyDescent="0.25">
      <c r="B18" s="18">
        <v>43011</v>
      </c>
      <c r="C18" s="9" t="s">
        <v>1101</v>
      </c>
      <c r="D18" s="11"/>
      <c r="E18" s="11"/>
      <c r="F18" s="11"/>
      <c r="G18" s="11"/>
      <c r="H18" s="11">
        <v>45.5</v>
      </c>
      <c r="I18" s="15"/>
      <c r="J18" s="12">
        <f t="shared" si="2"/>
        <v>5959.0099999999984</v>
      </c>
      <c r="K18" s="12">
        <f t="shared" si="3"/>
        <v>25065.599999999999</v>
      </c>
    </row>
    <row r="19" spans="2:11" x14ac:dyDescent="0.25">
      <c r="B19" s="18">
        <v>43012</v>
      </c>
      <c r="C19" s="9" t="s">
        <v>1102</v>
      </c>
      <c r="D19" s="11"/>
      <c r="E19" s="11"/>
      <c r="F19" s="11"/>
      <c r="G19" s="11"/>
      <c r="H19" s="11">
        <v>280</v>
      </c>
      <c r="I19" s="15"/>
      <c r="J19" s="12">
        <f t="shared" si="2"/>
        <v>5959.0099999999984</v>
      </c>
      <c r="K19" s="12">
        <f t="shared" si="3"/>
        <v>24785.599999999999</v>
      </c>
    </row>
    <row r="20" spans="2:11" x14ac:dyDescent="0.25">
      <c r="B20" s="18">
        <v>43012</v>
      </c>
      <c r="C20" s="9" t="s">
        <v>1044</v>
      </c>
      <c r="D20" s="11"/>
      <c r="E20" s="11"/>
      <c r="F20" s="11"/>
      <c r="G20" s="11"/>
      <c r="H20" s="11">
        <v>46</v>
      </c>
      <c r="I20" s="15"/>
      <c r="J20" s="12">
        <f t="shared" si="2"/>
        <v>5959.0099999999984</v>
      </c>
      <c r="K20" s="12">
        <f t="shared" si="3"/>
        <v>24739.599999999999</v>
      </c>
    </row>
    <row r="21" spans="2:11" x14ac:dyDescent="0.25">
      <c r="B21" s="18">
        <v>43012</v>
      </c>
      <c r="C21" s="9" t="s">
        <v>1106</v>
      </c>
      <c r="D21" s="11"/>
      <c r="E21" s="11"/>
      <c r="F21" s="11"/>
      <c r="G21" s="11"/>
      <c r="H21" s="11">
        <v>1800</v>
      </c>
      <c r="I21" s="15"/>
      <c r="J21" s="12">
        <f t="shared" si="2"/>
        <v>5959.0099999999984</v>
      </c>
      <c r="K21" s="12">
        <f t="shared" si="3"/>
        <v>22939.599999999999</v>
      </c>
    </row>
    <row r="22" spans="2:11" x14ac:dyDescent="0.25">
      <c r="B22" s="18">
        <v>43012</v>
      </c>
      <c r="C22" s="9" t="s">
        <v>1107</v>
      </c>
      <c r="D22" s="11"/>
      <c r="E22" s="11"/>
      <c r="F22" s="11"/>
      <c r="G22" s="11"/>
      <c r="H22" s="11">
        <v>1400</v>
      </c>
      <c r="I22" s="15"/>
      <c r="J22" s="12">
        <f t="shared" si="2"/>
        <v>5959.0099999999984</v>
      </c>
      <c r="K22" s="12">
        <f t="shared" si="3"/>
        <v>21539.599999999999</v>
      </c>
    </row>
    <row r="23" spans="2:11" x14ac:dyDescent="0.25">
      <c r="B23" s="18">
        <v>43012</v>
      </c>
      <c r="C23" s="9" t="s">
        <v>1111</v>
      </c>
      <c r="D23" s="11"/>
      <c r="E23" s="11"/>
      <c r="F23" s="11"/>
      <c r="G23" s="11"/>
      <c r="H23" s="59">
        <v>300</v>
      </c>
      <c r="I23" s="15"/>
      <c r="J23" s="12">
        <f t="shared" si="2"/>
        <v>5959.0099999999984</v>
      </c>
      <c r="K23" s="12">
        <f t="shared" si="3"/>
        <v>21239.599999999999</v>
      </c>
    </row>
    <row r="24" spans="2:11" x14ac:dyDescent="0.25">
      <c r="B24" s="18">
        <v>43013</v>
      </c>
      <c r="C24" s="9" t="s">
        <v>1110</v>
      </c>
      <c r="D24" s="11"/>
      <c r="E24" s="11"/>
      <c r="F24" s="11"/>
      <c r="G24" s="11"/>
      <c r="H24" s="59">
        <v>280</v>
      </c>
      <c r="I24" s="15"/>
      <c r="J24" s="12">
        <f t="shared" si="2"/>
        <v>5959.0099999999984</v>
      </c>
      <c r="K24" s="12">
        <f t="shared" si="3"/>
        <v>20959.599999999999</v>
      </c>
    </row>
    <row r="25" spans="2:11" x14ac:dyDescent="0.25">
      <c r="B25" s="18">
        <v>43013</v>
      </c>
      <c r="C25" s="9" t="s">
        <v>1109</v>
      </c>
      <c r="D25" s="11"/>
      <c r="E25" s="11"/>
      <c r="F25" s="11"/>
      <c r="G25" s="11"/>
      <c r="H25" s="11">
        <v>200</v>
      </c>
      <c r="I25" s="15"/>
      <c r="J25" s="12">
        <f t="shared" si="2"/>
        <v>5959.0099999999984</v>
      </c>
      <c r="K25" s="12">
        <f t="shared" si="3"/>
        <v>20759.599999999999</v>
      </c>
    </row>
    <row r="26" spans="2:11" x14ac:dyDescent="0.25">
      <c r="B26" s="18">
        <v>43013</v>
      </c>
      <c r="C26" s="9" t="s">
        <v>1108</v>
      </c>
      <c r="D26" s="11"/>
      <c r="E26" s="11"/>
      <c r="F26" s="11"/>
      <c r="G26" s="11"/>
      <c r="H26" s="11">
        <v>1250</v>
      </c>
      <c r="I26" s="15"/>
      <c r="J26" s="12">
        <f t="shared" si="2"/>
        <v>5959.0099999999984</v>
      </c>
      <c r="K26" s="12">
        <f t="shared" si="3"/>
        <v>19509.599999999999</v>
      </c>
    </row>
    <row r="27" spans="2:11" x14ac:dyDescent="0.25">
      <c r="B27" s="18">
        <v>43016</v>
      </c>
      <c r="C27" s="9" t="s">
        <v>42</v>
      </c>
      <c r="D27" s="11"/>
      <c r="E27" s="11"/>
      <c r="F27" s="11"/>
      <c r="G27" s="11"/>
      <c r="H27" s="11">
        <v>120</v>
      </c>
      <c r="I27" s="15"/>
      <c r="J27" s="12">
        <f t="shared" si="2"/>
        <v>5959.0099999999984</v>
      </c>
      <c r="K27" s="12">
        <f t="shared" si="3"/>
        <v>19389.599999999999</v>
      </c>
    </row>
    <row r="28" spans="2:11" x14ac:dyDescent="0.25">
      <c r="B28" s="18">
        <v>43016</v>
      </c>
      <c r="C28" s="9" t="s">
        <v>1112</v>
      </c>
      <c r="D28" s="11"/>
      <c r="E28" s="11"/>
      <c r="F28" s="11"/>
      <c r="G28" s="11"/>
      <c r="H28" s="11">
        <v>44</v>
      </c>
      <c r="I28" s="15"/>
      <c r="J28" s="12">
        <f t="shared" si="2"/>
        <v>5959.0099999999984</v>
      </c>
      <c r="K28" s="12">
        <f t="shared" si="3"/>
        <v>19345.599999999999</v>
      </c>
    </row>
    <row r="29" spans="2:11" x14ac:dyDescent="0.25">
      <c r="B29" s="18">
        <v>43016</v>
      </c>
      <c r="C29" s="9" t="s">
        <v>1016</v>
      </c>
      <c r="D29" s="11"/>
      <c r="E29" s="11"/>
      <c r="F29" s="11"/>
      <c r="G29" s="11"/>
      <c r="H29" s="11">
        <v>117</v>
      </c>
      <c r="I29" s="15"/>
      <c r="J29" s="12">
        <f t="shared" si="2"/>
        <v>5959.0099999999984</v>
      </c>
      <c r="K29" s="12">
        <f t="shared" si="3"/>
        <v>19228.599999999999</v>
      </c>
    </row>
    <row r="30" spans="2:11" x14ac:dyDescent="0.25">
      <c r="B30" s="18">
        <v>43016</v>
      </c>
      <c r="C30" s="9" t="s">
        <v>1115</v>
      </c>
      <c r="D30" s="11">
        <v>26400</v>
      </c>
      <c r="E30" s="11"/>
      <c r="F30" s="11"/>
      <c r="G30" s="11"/>
      <c r="H30" s="11"/>
      <c r="I30" s="15"/>
      <c r="J30" s="12">
        <f t="shared" si="2"/>
        <v>5959.0099999999984</v>
      </c>
      <c r="K30" s="12">
        <f t="shared" si="3"/>
        <v>45628.6</v>
      </c>
    </row>
    <row r="31" spans="2:11" x14ac:dyDescent="0.25">
      <c r="B31" s="18">
        <v>43016</v>
      </c>
      <c r="C31" s="9" t="s">
        <v>1119</v>
      </c>
      <c r="D31" s="11"/>
      <c r="E31" s="11">
        <v>800</v>
      </c>
      <c r="F31" s="11"/>
      <c r="G31" s="11"/>
      <c r="H31" s="11"/>
      <c r="I31" s="15"/>
      <c r="J31" s="12">
        <f t="shared" si="2"/>
        <v>6759.0099999999984</v>
      </c>
      <c r="K31" s="12">
        <f t="shared" si="3"/>
        <v>45628.6</v>
      </c>
    </row>
    <row r="32" spans="2:11" x14ac:dyDescent="0.25">
      <c r="B32" s="18">
        <v>43017</v>
      </c>
      <c r="C32" s="9" t="s">
        <v>679</v>
      </c>
      <c r="D32" s="11"/>
      <c r="E32" s="11"/>
      <c r="F32" s="11"/>
      <c r="G32" s="11"/>
      <c r="H32" s="11">
        <v>464.01</v>
      </c>
      <c r="I32" s="15"/>
      <c r="J32" s="12">
        <f t="shared" si="2"/>
        <v>6759.0099999999984</v>
      </c>
      <c r="K32" s="12">
        <f t="shared" si="3"/>
        <v>45164.59</v>
      </c>
    </row>
    <row r="33" spans="2:11" x14ac:dyDescent="0.25">
      <c r="B33" s="18">
        <v>43017</v>
      </c>
      <c r="C33" s="9" t="s">
        <v>1113</v>
      </c>
      <c r="D33" s="11"/>
      <c r="E33" s="11"/>
      <c r="F33" s="11"/>
      <c r="G33" s="11"/>
      <c r="H33" s="59">
        <v>5</v>
      </c>
      <c r="I33" s="15"/>
      <c r="J33" s="12">
        <f t="shared" si="2"/>
        <v>6759.0099999999984</v>
      </c>
      <c r="K33" s="12">
        <f t="shared" si="3"/>
        <v>45159.59</v>
      </c>
    </row>
    <row r="34" spans="2:11" x14ac:dyDescent="0.25">
      <c r="B34" s="18">
        <v>43017</v>
      </c>
      <c r="C34" s="9" t="s">
        <v>1114</v>
      </c>
      <c r="D34" s="11"/>
      <c r="E34" s="11"/>
      <c r="F34" s="11"/>
      <c r="G34" s="11"/>
      <c r="H34" s="11">
        <v>1380</v>
      </c>
      <c r="I34" s="15"/>
      <c r="J34" s="12">
        <f t="shared" si="2"/>
        <v>6759.0099999999984</v>
      </c>
      <c r="K34" s="12">
        <f t="shared" si="3"/>
        <v>43779.59</v>
      </c>
    </row>
    <row r="35" spans="2:11" x14ac:dyDescent="0.25">
      <c r="B35" s="18">
        <v>43018</v>
      </c>
      <c r="C35" s="9" t="s">
        <v>1116</v>
      </c>
      <c r="D35" s="11"/>
      <c r="E35" s="11"/>
      <c r="F35" s="11"/>
      <c r="G35" s="11"/>
      <c r="H35" s="11">
        <v>778</v>
      </c>
      <c r="I35" s="15"/>
      <c r="J35" s="12">
        <f t="shared" si="2"/>
        <v>6759.0099999999984</v>
      </c>
      <c r="K35" s="12">
        <f t="shared" si="3"/>
        <v>43001.59</v>
      </c>
    </row>
    <row r="36" spans="2:11" x14ac:dyDescent="0.25">
      <c r="B36" s="18">
        <v>43019</v>
      </c>
      <c r="C36" s="9" t="s">
        <v>1117</v>
      </c>
      <c r="D36" s="11"/>
      <c r="E36" s="11"/>
      <c r="F36" s="11"/>
      <c r="G36" s="11"/>
      <c r="H36" s="11">
        <v>238.51</v>
      </c>
      <c r="I36" s="15"/>
      <c r="J36" s="12">
        <f t="shared" si="2"/>
        <v>6759.0099999999984</v>
      </c>
      <c r="K36" s="12">
        <f t="shared" si="3"/>
        <v>42763.079999999994</v>
      </c>
    </row>
    <row r="37" spans="2:11" x14ac:dyDescent="0.25">
      <c r="B37" s="18">
        <v>43019</v>
      </c>
      <c r="C37" s="9" t="s">
        <v>1118</v>
      </c>
      <c r="D37" s="11"/>
      <c r="E37" s="11"/>
      <c r="F37" s="11"/>
      <c r="G37" s="11"/>
      <c r="H37" s="11">
        <v>140</v>
      </c>
      <c r="I37" s="15"/>
      <c r="J37" s="12">
        <f t="shared" si="2"/>
        <v>6759.0099999999984</v>
      </c>
      <c r="K37" s="12">
        <f t="shared" si="3"/>
        <v>42623.079999999994</v>
      </c>
    </row>
    <row r="38" spans="2:11" x14ac:dyDescent="0.25">
      <c r="B38" s="18">
        <v>43019</v>
      </c>
      <c r="C38" s="9" t="s">
        <v>679</v>
      </c>
      <c r="D38" s="11"/>
      <c r="E38" s="11"/>
      <c r="F38" s="11"/>
      <c r="G38" s="11"/>
      <c r="H38" s="11">
        <v>77.3</v>
      </c>
      <c r="I38" s="15"/>
      <c r="J38" s="12">
        <f t="shared" si="2"/>
        <v>6759.0099999999984</v>
      </c>
      <c r="K38" s="12">
        <f t="shared" si="3"/>
        <v>42545.779999999992</v>
      </c>
    </row>
    <row r="39" spans="2:11" x14ac:dyDescent="0.25">
      <c r="B39" s="18">
        <v>43019</v>
      </c>
      <c r="C39" s="9" t="s">
        <v>1113</v>
      </c>
      <c r="D39" s="11"/>
      <c r="E39" s="11"/>
      <c r="F39" s="11"/>
      <c r="G39" s="11"/>
      <c r="H39" s="11">
        <v>5</v>
      </c>
      <c r="I39" s="15"/>
      <c r="J39" s="12">
        <f t="shared" si="2"/>
        <v>6759.0099999999984</v>
      </c>
      <c r="K39" s="12">
        <f t="shared" si="3"/>
        <v>42540.779999999992</v>
      </c>
    </row>
    <row r="40" spans="2:11" x14ac:dyDescent="0.25">
      <c r="B40" s="18">
        <v>43020</v>
      </c>
      <c r="C40" s="13" t="s">
        <v>1120</v>
      </c>
      <c r="D40" s="11"/>
      <c r="E40" s="11"/>
      <c r="F40" s="11"/>
      <c r="G40" s="11">
        <v>1760</v>
      </c>
      <c r="H40" s="11"/>
      <c r="I40" s="15"/>
      <c r="J40" s="12">
        <f t="shared" si="2"/>
        <v>4999.0099999999984</v>
      </c>
      <c r="K40" s="12">
        <f t="shared" si="3"/>
        <v>42540.779999999992</v>
      </c>
    </row>
    <row r="41" spans="2:11" x14ac:dyDescent="0.25">
      <c r="B41" s="18">
        <v>43020</v>
      </c>
      <c r="C41" s="9" t="s">
        <v>1121</v>
      </c>
      <c r="D41" s="11"/>
      <c r="E41" s="11"/>
      <c r="F41" s="11"/>
      <c r="G41" s="11">
        <v>1300</v>
      </c>
      <c r="H41" s="11"/>
      <c r="I41" s="15"/>
      <c r="J41" s="12">
        <f t="shared" si="2"/>
        <v>3699.0099999999984</v>
      </c>
      <c r="K41" s="12">
        <f t="shared" si="3"/>
        <v>42540.779999999992</v>
      </c>
    </row>
    <row r="42" spans="2:11" x14ac:dyDescent="0.25">
      <c r="B42" s="18">
        <v>43020</v>
      </c>
      <c r="C42" s="9" t="s">
        <v>1128</v>
      </c>
      <c r="D42" s="11"/>
      <c r="E42" s="11"/>
      <c r="F42" s="11"/>
      <c r="G42" s="11"/>
      <c r="H42" s="59">
        <v>15100</v>
      </c>
      <c r="I42" s="15"/>
      <c r="J42" s="12">
        <f t="shared" si="2"/>
        <v>3699.0099999999984</v>
      </c>
      <c r="K42" s="12">
        <f t="shared" si="3"/>
        <v>27440.779999999992</v>
      </c>
    </row>
    <row r="43" spans="2:11" x14ac:dyDescent="0.25">
      <c r="B43" s="18">
        <v>43021</v>
      </c>
      <c r="C43" s="9" t="s">
        <v>1129</v>
      </c>
      <c r="D43" s="11"/>
      <c r="E43" s="11"/>
      <c r="F43" s="11"/>
      <c r="G43" s="11"/>
      <c r="H43" s="59">
        <v>92</v>
      </c>
      <c r="I43" s="15"/>
      <c r="J43" s="12">
        <f t="shared" si="2"/>
        <v>3699.0099999999984</v>
      </c>
      <c r="K43" s="12">
        <f t="shared" si="3"/>
        <v>27348.779999999992</v>
      </c>
    </row>
    <row r="44" spans="2:11" x14ac:dyDescent="0.25">
      <c r="B44" s="18">
        <v>43021</v>
      </c>
      <c r="C44" s="9" t="s">
        <v>1131</v>
      </c>
      <c r="D44" s="11"/>
      <c r="E44" s="11"/>
      <c r="F44" s="11"/>
      <c r="G44" s="11"/>
      <c r="H44" s="59">
        <v>1250</v>
      </c>
      <c r="I44" s="15"/>
      <c r="J44" s="12">
        <f t="shared" si="2"/>
        <v>3699.0099999999984</v>
      </c>
      <c r="K44" s="12">
        <f t="shared" si="3"/>
        <v>26098.779999999992</v>
      </c>
    </row>
    <row r="45" spans="2:11" x14ac:dyDescent="0.25">
      <c r="B45" s="18">
        <v>43021</v>
      </c>
      <c r="C45" s="9" t="s">
        <v>1130</v>
      </c>
      <c r="D45" s="11"/>
      <c r="E45" s="11"/>
      <c r="F45" s="11"/>
      <c r="G45" s="11"/>
      <c r="H45" s="59">
        <v>31</v>
      </c>
      <c r="I45" s="15"/>
      <c r="J45" s="12">
        <f t="shared" si="2"/>
        <v>3699.0099999999984</v>
      </c>
      <c r="K45" s="12">
        <f t="shared" si="3"/>
        <v>26067.779999999992</v>
      </c>
    </row>
    <row r="46" spans="2:11" x14ac:dyDescent="0.25">
      <c r="B46" s="18">
        <v>43022</v>
      </c>
      <c r="C46" s="13" t="s">
        <v>1132</v>
      </c>
      <c r="D46" s="41"/>
      <c r="E46" s="41"/>
      <c r="F46" s="41"/>
      <c r="G46" s="41"/>
      <c r="H46" s="11">
        <v>100</v>
      </c>
      <c r="I46" s="15"/>
      <c r="J46" s="12">
        <f t="shared" si="2"/>
        <v>3699.0099999999984</v>
      </c>
      <c r="K46" s="12">
        <f t="shared" si="3"/>
        <v>25967.779999999992</v>
      </c>
    </row>
    <row r="47" spans="2:11" x14ac:dyDescent="0.25">
      <c r="B47" s="18">
        <v>43022</v>
      </c>
      <c r="C47" s="13" t="s">
        <v>1133</v>
      </c>
      <c r="D47" s="41"/>
      <c r="E47" s="41"/>
      <c r="F47" s="41"/>
      <c r="G47" s="16"/>
      <c r="H47" s="11">
        <v>1000</v>
      </c>
      <c r="I47" s="15"/>
      <c r="J47" s="12">
        <f t="shared" si="2"/>
        <v>3699.0099999999984</v>
      </c>
      <c r="K47" s="12">
        <f t="shared" si="3"/>
        <v>24967.779999999992</v>
      </c>
    </row>
    <row r="48" spans="2:11" x14ac:dyDescent="0.25">
      <c r="B48" s="18">
        <v>43022</v>
      </c>
      <c r="C48" s="13" t="s">
        <v>1134</v>
      </c>
      <c r="D48" s="41"/>
      <c r="E48" s="41"/>
      <c r="F48" s="41"/>
      <c r="G48" s="41"/>
      <c r="H48" s="11">
        <v>400</v>
      </c>
      <c r="I48" s="15"/>
      <c r="J48" s="12">
        <f t="shared" si="2"/>
        <v>3699.0099999999984</v>
      </c>
      <c r="K48" s="12">
        <f t="shared" si="3"/>
        <v>24567.779999999992</v>
      </c>
    </row>
    <row r="49" spans="2:11" x14ac:dyDescent="0.25">
      <c r="B49" s="18">
        <v>43022</v>
      </c>
      <c r="C49" s="13" t="s">
        <v>1135</v>
      </c>
      <c r="D49" s="11"/>
      <c r="E49" s="11"/>
      <c r="F49" s="11"/>
      <c r="G49" s="11"/>
      <c r="H49" s="11">
        <v>300</v>
      </c>
      <c r="I49" s="15"/>
      <c r="J49" s="12">
        <f t="shared" si="2"/>
        <v>3699.0099999999984</v>
      </c>
      <c r="K49" s="12">
        <f t="shared" si="3"/>
        <v>24267.779999999992</v>
      </c>
    </row>
    <row r="50" spans="2:11" x14ac:dyDescent="0.25">
      <c r="B50" s="18">
        <v>43023</v>
      </c>
      <c r="C50" s="13" t="s">
        <v>1136</v>
      </c>
      <c r="D50" s="11"/>
      <c r="E50" s="11"/>
      <c r="F50" s="11"/>
      <c r="G50" s="11"/>
      <c r="H50" s="11">
        <v>350</v>
      </c>
      <c r="I50" s="15"/>
      <c r="J50" s="12">
        <f t="shared" si="2"/>
        <v>3699.0099999999984</v>
      </c>
      <c r="K50" s="12">
        <f t="shared" si="3"/>
        <v>23917.779999999992</v>
      </c>
    </row>
    <row r="51" spans="2:11" x14ac:dyDescent="0.25">
      <c r="B51" s="18">
        <v>43023</v>
      </c>
      <c r="C51" s="13" t="s">
        <v>1137</v>
      </c>
      <c r="D51" s="11"/>
      <c r="E51" s="11"/>
      <c r="F51" s="11"/>
      <c r="G51" s="11"/>
      <c r="H51" s="11">
        <v>450</v>
      </c>
      <c r="I51" s="15"/>
      <c r="J51" s="12">
        <f t="shared" si="2"/>
        <v>3699.0099999999984</v>
      </c>
      <c r="K51" s="12">
        <f t="shared" si="3"/>
        <v>23467.779999999992</v>
      </c>
    </row>
    <row r="52" spans="2:11" x14ac:dyDescent="0.25">
      <c r="B52" s="18">
        <v>43023</v>
      </c>
      <c r="C52" s="9" t="s">
        <v>1138</v>
      </c>
      <c r="D52" s="11"/>
      <c r="E52" s="11"/>
      <c r="F52" s="11"/>
      <c r="G52" s="11"/>
      <c r="H52" s="11">
        <v>4000</v>
      </c>
      <c r="I52" s="15"/>
      <c r="J52" s="12">
        <f t="shared" si="2"/>
        <v>3699.0099999999984</v>
      </c>
      <c r="K52" s="12">
        <f t="shared" si="3"/>
        <v>19467.779999999992</v>
      </c>
    </row>
    <row r="53" spans="2:11" x14ac:dyDescent="0.25">
      <c r="B53" s="18">
        <v>43023</v>
      </c>
      <c r="C53" s="9" t="s">
        <v>1139</v>
      </c>
      <c r="D53" s="11"/>
      <c r="E53" s="11"/>
      <c r="F53" s="11"/>
      <c r="G53" s="11"/>
      <c r="H53" s="11">
        <v>1000</v>
      </c>
      <c r="I53" s="15"/>
      <c r="J53" s="12">
        <f t="shared" si="2"/>
        <v>3699.0099999999984</v>
      </c>
      <c r="K53" s="12">
        <f t="shared" si="3"/>
        <v>18467.779999999992</v>
      </c>
    </row>
    <row r="54" spans="2:11" x14ac:dyDescent="0.25">
      <c r="B54" s="18">
        <v>43023</v>
      </c>
      <c r="C54" s="9" t="s">
        <v>42</v>
      </c>
      <c r="D54" s="11"/>
      <c r="E54" s="11"/>
      <c r="F54" s="11"/>
      <c r="G54" s="11"/>
      <c r="H54" s="11">
        <v>120</v>
      </c>
      <c r="I54" s="15"/>
      <c r="J54" s="12">
        <f t="shared" si="2"/>
        <v>3699.0099999999984</v>
      </c>
      <c r="K54" s="12">
        <f t="shared" si="3"/>
        <v>18347.779999999992</v>
      </c>
    </row>
    <row r="55" spans="2:11" x14ac:dyDescent="0.25">
      <c r="B55" s="18">
        <v>42840</v>
      </c>
      <c r="C55" s="9" t="s">
        <v>1141</v>
      </c>
      <c r="D55" s="11"/>
      <c r="E55" s="11"/>
      <c r="F55" s="11"/>
      <c r="G55" s="11"/>
      <c r="H55" s="11">
        <v>25</v>
      </c>
      <c r="I55" s="15"/>
      <c r="J55" s="12">
        <f t="shared" si="2"/>
        <v>3699.0099999999984</v>
      </c>
      <c r="K55" s="12">
        <f t="shared" si="3"/>
        <v>18322.779999999992</v>
      </c>
    </row>
    <row r="56" spans="2:11" ht="15.75" thickBot="1" x14ac:dyDescent="0.3">
      <c r="B56" s="18">
        <v>42840</v>
      </c>
      <c r="C56" s="13" t="s">
        <v>1016</v>
      </c>
      <c r="D56" s="41"/>
      <c r="E56" s="41"/>
      <c r="F56" s="41"/>
      <c r="G56" s="41"/>
      <c r="H56" s="11">
        <v>128</v>
      </c>
      <c r="I56" s="15"/>
      <c r="J56" s="12">
        <f t="shared" si="2"/>
        <v>3699.0099999999984</v>
      </c>
      <c r="K56" s="12">
        <f t="shared" si="3"/>
        <v>18194.779999999992</v>
      </c>
    </row>
    <row r="57" spans="2:11" ht="15.75" thickBot="1" x14ac:dyDescent="0.3">
      <c r="B57" s="5"/>
      <c r="C57" s="7" t="s">
        <v>0</v>
      </c>
      <c r="D57" s="63">
        <f>SUM(D4:D56)</f>
        <v>51875</v>
      </c>
      <c r="E57" s="61">
        <f>SUM(E4:E56)</f>
        <v>800</v>
      </c>
      <c r="F57" s="72">
        <f>SUM(D57:E57)</f>
        <v>52675</v>
      </c>
      <c r="G57" s="81">
        <f>SUM(G4:G48)</f>
        <v>18060</v>
      </c>
      <c r="H57" s="63">
        <f>SUM(H4:H56)</f>
        <v>39759.82</v>
      </c>
      <c r="I57" s="72">
        <f>SUM(G57:H57)</f>
        <v>57819.82</v>
      </c>
      <c r="J57" s="20"/>
      <c r="K57" s="20"/>
    </row>
    <row r="58" spans="2:11" x14ac:dyDescent="0.25">
      <c r="B58" s="69" t="s">
        <v>1</v>
      </c>
      <c r="C58" s="69" t="s">
        <v>2</v>
      </c>
      <c r="D58" s="69" t="s">
        <v>3</v>
      </c>
      <c r="E58" s="69" t="s">
        <v>3</v>
      </c>
      <c r="F58" s="69" t="s">
        <v>23</v>
      </c>
      <c r="G58" s="69" t="s">
        <v>24</v>
      </c>
      <c r="H58" s="48" t="s">
        <v>24</v>
      </c>
      <c r="I58" s="48" t="s">
        <v>23</v>
      </c>
      <c r="J58" s="69" t="s">
        <v>9</v>
      </c>
      <c r="K58" s="48" t="s">
        <v>8</v>
      </c>
    </row>
    <row r="59" spans="2:11" ht="15.75" thickBot="1" x14ac:dyDescent="0.3">
      <c r="B59" s="70"/>
      <c r="C59" s="70"/>
      <c r="D59" s="70" t="s">
        <v>5</v>
      </c>
      <c r="E59" s="70" t="s">
        <v>25</v>
      </c>
      <c r="F59" s="70" t="s">
        <v>3</v>
      </c>
      <c r="G59" s="70" t="s">
        <v>25</v>
      </c>
      <c r="H59" s="71" t="s">
        <v>5</v>
      </c>
      <c r="I59" s="71" t="s">
        <v>4</v>
      </c>
      <c r="J59" s="70"/>
      <c r="K59" s="71"/>
    </row>
    <row r="60" spans="2:11" ht="15.75" thickBot="1" x14ac:dyDescent="0.3">
      <c r="B60" s="5"/>
      <c r="C60" s="7"/>
      <c r="D60" s="63">
        <v>51875</v>
      </c>
      <c r="E60" s="61">
        <v>800</v>
      </c>
      <c r="F60" s="72">
        <f>SUM(D60:E60)</f>
        <v>52675</v>
      </c>
      <c r="G60" s="81">
        <v>18060</v>
      </c>
      <c r="H60" s="63">
        <v>39759.82</v>
      </c>
      <c r="I60" s="72">
        <f>SUM(G60:H60)</f>
        <v>57819.82</v>
      </c>
      <c r="J60" s="20">
        <v>3699.01</v>
      </c>
      <c r="K60" s="12">
        <v>18194.78</v>
      </c>
    </row>
    <row r="61" spans="2:11" x14ac:dyDescent="0.25">
      <c r="B61" s="18">
        <v>42840</v>
      </c>
      <c r="C61" s="9" t="s">
        <v>1142</v>
      </c>
      <c r="D61" s="11">
        <v>14850</v>
      </c>
      <c r="E61" s="11"/>
      <c r="F61" s="11"/>
      <c r="G61" s="11"/>
      <c r="H61" s="59"/>
      <c r="I61" s="15"/>
      <c r="J61" s="12">
        <f t="shared" ref="J61" si="4">+J60+E61-G61</f>
        <v>3699.01</v>
      </c>
      <c r="K61" s="12">
        <f t="shared" ref="K61" si="5">+K60+D61-H61</f>
        <v>33044.78</v>
      </c>
    </row>
    <row r="62" spans="2:11" x14ac:dyDescent="0.25">
      <c r="B62" s="18">
        <v>43023</v>
      </c>
      <c r="C62" s="9" t="s">
        <v>1140</v>
      </c>
      <c r="D62" s="11"/>
      <c r="E62" s="11"/>
      <c r="F62" s="11"/>
      <c r="G62" s="11"/>
      <c r="H62" s="59">
        <v>15000</v>
      </c>
      <c r="I62" s="15"/>
      <c r="J62" s="12">
        <f t="shared" ref="J62:J108" si="6">+J61+E62-G62</f>
        <v>3699.01</v>
      </c>
      <c r="K62" s="12">
        <f t="shared" ref="K62:K108" si="7">+K61+D62-H62</f>
        <v>18044.78</v>
      </c>
    </row>
    <row r="63" spans="2:11" x14ac:dyDescent="0.25">
      <c r="B63" s="18">
        <v>43024</v>
      </c>
      <c r="C63" s="9" t="s">
        <v>1143</v>
      </c>
      <c r="D63" s="11"/>
      <c r="E63" s="11"/>
      <c r="F63" s="11"/>
      <c r="G63" s="11"/>
      <c r="H63" s="59">
        <v>195</v>
      </c>
      <c r="I63" s="15"/>
      <c r="J63" s="12">
        <f t="shared" si="6"/>
        <v>3699.01</v>
      </c>
      <c r="K63" s="12">
        <f t="shared" si="7"/>
        <v>17849.78</v>
      </c>
    </row>
    <row r="64" spans="2:11" x14ac:dyDescent="0.25">
      <c r="B64" s="18">
        <v>43025</v>
      </c>
      <c r="C64" s="9" t="s">
        <v>1144</v>
      </c>
      <c r="D64" s="11"/>
      <c r="E64" s="11"/>
      <c r="F64" s="11"/>
      <c r="G64" s="11"/>
      <c r="H64" s="59">
        <v>50</v>
      </c>
      <c r="I64" s="15"/>
      <c r="J64" s="12">
        <f t="shared" si="6"/>
        <v>3699.01</v>
      </c>
      <c r="K64" s="12">
        <f t="shared" si="7"/>
        <v>17799.78</v>
      </c>
    </row>
    <row r="65" spans="2:12" x14ac:dyDescent="0.25">
      <c r="B65" s="18">
        <v>43025</v>
      </c>
      <c r="C65" s="13" t="s">
        <v>1145</v>
      </c>
      <c r="D65" s="11"/>
      <c r="E65" s="11"/>
      <c r="F65" s="11"/>
      <c r="G65" s="11"/>
      <c r="H65" s="11">
        <v>143.22999999999999</v>
      </c>
      <c r="I65" s="15"/>
      <c r="J65" s="12">
        <f t="shared" si="6"/>
        <v>3699.01</v>
      </c>
      <c r="K65" s="12">
        <f t="shared" si="7"/>
        <v>17656.55</v>
      </c>
    </row>
    <row r="66" spans="2:12" x14ac:dyDescent="0.25">
      <c r="B66" s="18">
        <v>43025</v>
      </c>
      <c r="C66" s="13" t="s">
        <v>1150</v>
      </c>
      <c r="D66" s="11"/>
      <c r="E66" s="11"/>
      <c r="F66" s="11"/>
      <c r="G66" s="11"/>
      <c r="H66" s="11">
        <v>5</v>
      </c>
      <c r="I66" s="15"/>
      <c r="J66" s="12">
        <f t="shared" si="6"/>
        <v>3699.01</v>
      </c>
      <c r="K66" s="12">
        <f t="shared" si="7"/>
        <v>17651.55</v>
      </c>
    </row>
    <row r="67" spans="2:12" x14ac:dyDescent="0.25">
      <c r="B67" s="18">
        <v>43025</v>
      </c>
      <c r="C67" s="13" t="s">
        <v>1146</v>
      </c>
      <c r="D67" s="11">
        <v>10450</v>
      </c>
      <c r="E67" s="11"/>
      <c r="F67" s="11"/>
      <c r="G67" s="11"/>
      <c r="H67" s="11"/>
      <c r="I67" s="15"/>
      <c r="J67" s="12">
        <f t="shared" si="6"/>
        <v>3699.01</v>
      </c>
      <c r="K67" s="12">
        <f t="shared" si="7"/>
        <v>28101.55</v>
      </c>
    </row>
    <row r="68" spans="2:12" x14ac:dyDescent="0.25">
      <c r="B68" s="18">
        <v>43026</v>
      </c>
      <c r="C68" s="13" t="s">
        <v>1147</v>
      </c>
      <c r="D68" s="11"/>
      <c r="E68" s="11">
        <v>12760</v>
      </c>
      <c r="F68" s="11"/>
      <c r="G68" s="11"/>
      <c r="H68" s="11"/>
      <c r="I68" s="15"/>
      <c r="J68" s="12">
        <f t="shared" si="6"/>
        <v>16459.010000000002</v>
      </c>
      <c r="K68" s="12">
        <f t="shared" si="7"/>
        <v>28101.55</v>
      </c>
    </row>
    <row r="69" spans="2:12" x14ac:dyDescent="0.25">
      <c r="B69" s="18">
        <v>43028</v>
      </c>
      <c r="C69" s="13" t="s">
        <v>1151</v>
      </c>
      <c r="D69" s="11"/>
      <c r="E69" s="11"/>
      <c r="F69" s="11"/>
      <c r="G69" s="11"/>
      <c r="H69" s="11">
        <v>237</v>
      </c>
      <c r="I69" s="15"/>
      <c r="J69" s="12">
        <f t="shared" si="6"/>
        <v>16459.010000000002</v>
      </c>
      <c r="K69" s="12">
        <f t="shared" si="7"/>
        <v>27864.55</v>
      </c>
    </row>
    <row r="70" spans="2:12" x14ac:dyDescent="0.25">
      <c r="B70" s="18">
        <v>43028</v>
      </c>
      <c r="C70" s="13" t="s">
        <v>1152</v>
      </c>
      <c r="D70" s="11"/>
      <c r="E70" s="11"/>
      <c r="F70" s="11"/>
      <c r="G70" s="11"/>
      <c r="H70" s="11">
        <v>1250</v>
      </c>
      <c r="I70" s="15"/>
      <c r="J70" s="12">
        <f t="shared" si="6"/>
        <v>16459.010000000002</v>
      </c>
      <c r="K70" s="12">
        <f t="shared" si="7"/>
        <v>26614.55</v>
      </c>
    </row>
    <row r="71" spans="2:12" x14ac:dyDescent="0.25">
      <c r="B71" s="18">
        <v>43029</v>
      </c>
      <c r="C71" s="13" t="s">
        <v>1153</v>
      </c>
      <c r="D71" s="11"/>
      <c r="E71" s="11"/>
      <c r="F71" s="11"/>
      <c r="G71" s="11"/>
      <c r="H71" s="11">
        <v>230</v>
      </c>
      <c r="I71" s="15"/>
      <c r="J71" s="12">
        <f t="shared" si="6"/>
        <v>16459.010000000002</v>
      </c>
      <c r="K71" s="12">
        <f t="shared" si="7"/>
        <v>26384.55</v>
      </c>
    </row>
    <row r="72" spans="2:12" x14ac:dyDescent="0.25">
      <c r="B72" s="18">
        <v>43030</v>
      </c>
      <c r="C72" s="13" t="s">
        <v>42</v>
      </c>
      <c r="D72" s="11"/>
      <c r="E72" s="11"/>
      <c r="F72" s="11"/>
      <c r="G72" s="11"/>
      <c r="H72" s="11">
        <v>120</v>
      </c>
      <c r="I72" s="15"/>
      <c r="J72" s="12">
        <f t="shared" si="6"/>
        <v>16459.010000000002</v>
      </c>
      <c r="K72" s="12">
        <f t="shared" si="7"/>
        <v>26264.55</v>
      </c>
    </row>
    <row r="73" spans="2:12" x14ac:dyDescent="0.25">
      <c r="B73" s="18">
        <v>43030</v>
      </c>
      <c r="C73" s="13" t="s">
        <v>1016</v>
      </c>
      <c r="D73" s="11"/>
      <c r="E73" s="11"/>
      <c r="F73" s="11"/>
      <c r="G73" s="11"/>
      <c r="H73" s="11">
        <v>122.4</v>
      </c>
      <c r="I73" s="15"/>
      <c r="J73" s="12">
        <f t="shared" si="6"/>
        <v>16459.010000000002</v>
      </c>
      <c r="K73" s="12">
        <f t="shared" si="7"/>
        <v>26142.149999999998</v>
      </c>
      <c r="L73" s="1"/>
    </row>
    <row r="74" spans="2:12" x14ac:dyDescent="0.25">
      <c r="B74" s="18">
        <v>43031</v>
      </c>
      <c r="C74" s="13" t="s">
        <v>1156</v>
      </c>
      <c r="D74" s="11"/>
      <c r="E74" s="11"/>
      <c r="F74" s="11"/>
      <c r="G74" s="11"/>
      <c r="H74" s="11">
        <v>400</v>
      </c>
      <c r="I74" s="15"/>
      <c r="J74" s="12">
        <f t="shared" si="6"/>
        <v>16459.010000000002</v>
      </c>
      <c r="K74" s="12">
        <f t="shared" si="7"/>
        <v>25742.149999999998</v>
      </c>
      <c r="L74" s="1"/>
    </row>
    <row r="75" spans="2:12" x14ac:dyDescent="0.25">
      <c r="B75" s="18">
        <v>43032</v>
      </c>
      <c r="C75" s="35" t="s">
        <v>1154</v>
      </c>
      <c r="D75" s="11"/>
      <c r="E75" s="11"/>
      <c r="F75" s="11"/>
      <c r="G75" s="11"/>
      <c r="H75" s="11">
        <v>188</v>
      </c>
      <c r="I75" s="15"/>
      <c r="J75" s="12">
        <f t="shared" si="6"/>
        <v>16459.010000000002</v>
      </c>
      <c r="K75" s="12">
        <f t="shared" si="7"/>
        <v>25554.149999999998</v>
      </c>
    </row>
    <row r="76" spans="2:12" x14ac:dyDescent="0.25">
      <c r="B76" s="18">
        <v>43032</v>
      </c>
      <c r="C76" s="34" t="s">
        <v>1155</v>
      </c>
      <c r="D76" s="11"/>
      <c r="E76" s="11"/>
      <c r="F76" s="11"/>
      <c r="G76" s="11"/>
      <c r="H76" s="11">
        <v>240</v>
      </c>
      <c r="I76" s="15"/>
      <c r="J76" s="12">
        <f t="shared" si="6"/>
        <v>16459.010000000002</v>
      </c>
      <c r="K76" s="12">
        <f t="shared" si="7"/>
        <v>25314.149999999998</v>
      </c>
    </row>
    <row r="77" spans="2:12" x14ac:dyDescent="0.25">
      <c r="B77" s="18">
        <v>43033</v>
      </c>
      <c r="C77" s="9" t="s">
        <v>1158</v>
      </c>
      <c r="D77" s="11"/>
      <c r="E77" s="11"/>
      <c r="F77" s="11"/>
      <c r="G77" s="11"/>
      <c r="H77" s="11">
        <v>245</v>
      </c>
      <c r="I77" s="15"/>
      <c r="J77" s="12">
        <f t="shared" si="6"/>
        <v>16459.010000000002</v>
      </c>
      <c r="K77" s="12">
        <f t="shared" si="7"/>
        <v>25069.149999999998</v>
      </c>
    </row>
    <row r="78" spans="2:12" x14ac:dyDescent="0.25">
      <c r="B78" s="18">
        <v>43033</v>
      </c>
      <c r="C78" s="9" t="s">
        <v>1160</v>
      </c>
      <c r="D78" s="11"/>
      <c r="E78" s="11"/>
      <c r="F78" s="11"/>
      <c r="G78" s="11"/>
      <c r="H78" s="11">
        <v>20</v>
      </c>
      <c r="I78" s="15"/>
      <c r="J78" s="12">
        <f t="shared" si="6"/>
        <v>16459.010000000002</v>
      </c>
      <c r="K78" s="12">
        <f t="shared" si="7"/>
        <v>25049.149999999998</v>
      </c>
      <c r="L78" s="1"/>
    </row>
    <row r="79" spans="2:12" x14ac:dyDescent="0.25">
      <c r="B79" s="18">
        <v>43034</v>
      </c>
      <c r="C79" s="9" t="s">
        <v>1161</v>
      </c>
      <c r="D79" s="11"/>
      <c r="E79" s="11"/>
      <c r="F79" s="11"/>
      <c r="G79" s="11"/>
      <c r="H79" s="11">
        <v>15100</v>
      </c>
      <c r="I79" s="15"/>
      <c r="J79" s="12">
        <f t="shared" si="6"/>
        <v>16459.010000000002</v>
      </c>
      <c r="K79" s="12">
        <f t="shared" si="7"/>
        <v>9949.1499999999978</v>
      </c>
    </row>
    <row r="80" spans="2:12" x14ac:dyDescent="0.25">
      <c r="B80" s="18">
        <v>43034</v>
      </c>
      <c r="C80" s="35" t="s">
        <v>1162</v>
      </c>
      <c r="D80" s="11"/>
      <c r="E80" s="11"/>
      <c r="F80" s="11"/>
      <c r="G80" s="11"/>
      <c r="H80" s="11">
        <v>104</v>
      </c>
      <c r="I80" s="15"/>
      <c r="J80" s="12">
        <f t="shared" si="6"/>
        <v>16459.010000000002</v>
      </c>
      <c r="K80" s="12">
        <f t="shared" si="7"/>
        <v>9845.1499999999978</v>
      </c>
      <c r="L80" s="1"/>
    </row>
    <row r="81" spans="2:11" x14ac:dyDescent="0.25">
      <c r="B81" s="18">
        <v>43034</v>
      </c>
      <c r="C81" s="34" t="s">
        <v>1163</v>
      </c>
      <c r="D81" s="11"/>
      <c r="E81" s="11"/>
      <c r="F81" s="11"/>
      <c r="G81" s="11"/>
      <c r="H81" s="11">
        <v>50</v>
      </c>
      <c r="I81" s="15"/>
      <c r="J81" s="12">
        <f t="shared" si="6"/>
        <v>16459.010000000002</v>
      </c>
      <c r="K81" s="12">
        <f t="shared" si="7"/>
        <v>9795.1499999999978</v>
      </c>
    </row>
    <row r="82" spans="2:11" x14ac:dyDescent="0.25">
      <c r="B82" s="18">
        <v>43034</v>
      </c>
      <c r="C82" s="35" t="s">
        <v>1164</v>
      </c>
      <c r="D82" s="11"/>
      <c r="E82" s="11"/>
      <c r="F82" s="11"/>
      <c r="G82" s="11"/>
      <c r="H82" s="11">
        <v>44</v>
      </c>
      <c r="I82" s="15"/>
      <c r="J82" s="12">
        <f t="shared" si="6"/>
        <v>16459.010000000002</v>
      </c>
      <c r="K82" s="12">
        <f t="shared" si="7"/>
        <v>9751.1499999999978</v>
      </c>
    </row>
    <row r="83" spans="2:11" x14ac:dyDescent="0.25">
      <c r="B83" s="18">
        <v>43034</v>
      </c>
      <c r="C83" s="34" t="s">
        <v>1164</v>
      </c>
      <c r="D83" s="11"/>
      <c r="E83" s="11"/>
      <c r="F83" s="11"/>
      <c r="G83" s="11"/>
      <c r="H83" s="11">
        <v>183</v>
      </c>
      <c r="I83" s="15"/>
      <c r="J83" s="12">
        <f t="shared" si="6"/>
        <v>16459.010000000002</v>
      </c>
      <c r="K83" s="12">
        <f t="shared" si="7"/>
        <v>9568.1499999999978</v>
      </c>
    </row>
    <row r="84" spans="2:11" x14ac:dyDescent="0.25">
      <c r="B84" s="18">
        <v>43035</v>
      </c>
      <c r="C84" s="13" t="s">
        <v>1165</v>
      </c>
      <c r="D84" s="11"/>
      <c r="E84" s="11"/>
      <c r="F84" s="11"/>
      <c r="G84" s="11"/>
      <c r="H84" s="11">
        <v>1250</v>
      </c>
      <c r="I84" s="15"/>
      <c r="J84" s="12">
        <f t="shared" si="6"/>
        <v>16459.010000000002</v>
      </c>
      <c r="K84" s="12">
        <f t="shared" si="7"/>
        <v>8318.1499999999978</v>
      </c>
    </row>
    <row r="85" spans="2:11" x14ac:dyDescent="0.25">
      <c r="B85" s="18">
        <v>43035</v>
      </c>
      <c r="C85" s="9" t="s">
        <v>1164</v>
      </c>
      <c r="D85" s="11"/>
      <c r="E85" s="11"/>
      <c r="F85" s="11"/>
      <c r="G85" s="11"/>
      <c r="H85" s="11">
        <v>77</v>
      </c>
      <c r="I85" s="15"/>
      <c r="J85" s="12">
        <f t="shared" si="6"/>
        <v>16459.010000000002</v>
      </c>
      <c r="K85" s="12">
        <f t="shared" si="7"/>
        <v>8241.1499999999978</v>
      </c>
    </row>
    <row r="86" spans="2:11" x14ac:dyDescent="0.25">
      <c r="B86" s="18">
        <v>43035</v>
      </c>
      <c r="C86" s="9" t="s">
        <v>1166</v>
      </c>
      <c r="D86" s="11"/>
      <c r="E86" s="11"/>
      <c r="F86" s="11"/>
      <c r="G86" s="11"/>
      <c r="H86" s="11">
        <v>84</v>
      </c>
      <c r="I86" s="15"/>
      <c r="J86" s="12">
        <f t="shared" si="6"/>
        <v>16459.010000000002</v>
      </c>
      <c r="K86" s="12">
        <f t="shared" si="7"/>
        <v>8157.1499999999978</v>
      </c>
    </row>
    <row r="87" spans="2:11" x14ac:dyDescent="0.25">
      <c r="B87" s="18">
        <v>43035</v>
      </c>
      <c r="C87" s="9" t="s">
        <v>1159</v>
      </c>
      <c r="D87" s="11"/>
      <c r="E87" s="11"/>
      <c r="F87" s="11"/>
      <c r="G87" s="11"/>
      <c r="H87" s="11">
        <v>406.75</v>
      </c>
      <c r="I87" s="15"/>
      <c r="J87" s="12">
        <f t="shared" si="6"/>
        <v>16459.010000000002</v>
      </c>
      <c r="K87" s="12">
        <f t="shared" si="7"/>
        <v>7750.3999999999978</v>
      </c>
    </row>
    <row r="88" spans="2:11" x14ac:dyDescent="0.25">
      <c r="B88" s="18">
        <v>43035</v>
      </c>
      <c r="C88" s="34" t="s">
        <v>1157</v>
      </c>
      <c r="D88" s="11">
        <v>11050</v>
      </c>
      <c r="E88" s="11"/>
      <c r="F88" s="11"/>
      <c r="G88" s="11"/>
      <c r="H88" s="11"/>
      <c r="I88" s="15"/>
      <c r="J88" s="12">
        <f t="shared" si="6"/>
        <v>16459.010000000002</v>
      </c>
      <c r="K88" s="12">
        <f t="shared" si="7"/>
        <v>18800.399999999998</v>
      </c>
    </row>
    <row r="89" spans="2:11" x14ac:dyDescent="0.25">
      <c r="B89" s="18">
        <v>43036</v>
      </c>
      <c r="C89" s="35" t="s">
        <v>1144</v>
      </c>
      <c r="D89" s="11"/>
      <c r="E89" s="11"/>
      <c r="F89" s="11"/>
      <c r="G89" s="11"/>
      <c r="H89" s="11">
        <v>392.86</v>
      </c>
      <c r="I89" s="15"/>
      <c r="J89" s="12">
        <f t="shared" si="6"/>
        <v>16459.010000000002</v>
      </c>
      <c r="K89" s="12">
        <f t="shared" si="7"/>
        <v>18407.539999999997</v>
      </c>
    </row>
    <row r="90" spans="2:11" x14ac:dyDescent="0.25">
      <c r="B90" s="18">
        <v>43036</v>
      </c>
      <c r="C90" s="9" t="s">
        <v>1167</v>
      </c>
      <c r="D90" s="11"/>
      <c r="E90" s="11"/>
      <c r="F90" s="11"/>
      <c r="G90" s="11"/>
      <c r="H90" s="11">
        <v>30.9</v>
      </c>
      <c r="I90" s="15"/>
      <c r="J90" s="12">
        <f t="shared" si="6"/>
        <v>16459.010000000002</v>
      </c>
      <c r="K90" s="12">
        <f t="shared" si="7"/>
        <v>18376.639999999996</v>
      </c>
    </row>
    <row r="91" spans="2:11" x14ac:dyDescent="0.25">
      <c r="B91" s="18">
        <v>43036</v>
      </c>
      <c r="C91" s="13" t="s">
        <v>1168</v>
      </c>
      <c r="D91" s="41"/>
      <c r="E91" s="41"/>
      <c r="F91" s="41"/>
      <c r="G91" s="16"/>
      <c r="H91" s="11">
        <v>232</v>
      </c>
      <c r="I91" s="15"/>
      <c r="J91" s="12">
        <f t="shared" si="6"/>
        <v>16459.010000000002</v>
      </c>
      <c r="K91" s="12">
        <f t="shared" si="7"/>
        <v>18144.639999999996</v>
      </c>
    </row>
    <row r="92" spans="2:11" x14ac:dyDescent="0.25">
      <c r="B92" s="18">
        <v>43037</v>
      </c>
      <c r="C92" s="13" t="s">
        <v>43</v>
      </c>
      <c r="D92" s="41"/>
      <c r="E92" s="41"/>
      <c r="F92" s="41"/>
      <c r="G92" s="16"/>
      <c r="H92" s="11">
        <v>120</v>
      </c>
      <c r="I92" s="15"/>
      <c r="J92" s="12">
        <f t="shared" si="6"/>
        <v>16459.010000000002</v>
      </c>
      <c r="K92" s="12">
        <f t="shared" si="7"/>
        <v>18024.639999999996</v>
      </c>
    </row>
    <row r="93" spans="2:11" x14ac:dyDescent="0.25">
      <c r="B93" s="18">
        <v>43037</v>
      </c>
      <c r="C93" s="13" t="s">
        <v>1016</v>
      </c>
      <c r="D93" s="41"/>
      <c r="E93" s="41"/>
      <c r="F93" s="41"/>
      <c r="G93" s="16"/>
      <c r="H93" s="11">
        <v>88</v>
      </c>
      <c r="I93" s="15"/>
      <c r="J93" s="12">
        <f t="shared" si="6"/>
        <v>16459.010000000002</v>
      </c>
      <c r="K93" s="12">
        <f t="shared" si="7"/>
        <v>17936.639999999996</v>
      </c>
    </row>
    <row r="94" spans="2:11" x14ac:dyDescent="0.25">
      <c r="B94" s="18">
        <v>43037</v>
      </c>
      <c r="C94" s="13" t="s">
        <v>1169</v>
      </c>
      <c r="D94" s="41"/>
      <c r="E94" s="41"/>
      <c r="F94" s="41"/>
      <c r="G94" s="16"/>
      <c r="H94" s="11">
        <v>250</v>
      </c>
      <c r="I94" s="15"/>
      <c r="J94" s="12">
        <f t="shared" si="6"/>
        <v>16459.010000000002</v>
      </c>
      <c r="K94" s="12">
        <f t="shared" si="7"/>
        <v>17686.639999999996</v>
      </c>
    </row>
    <row r="95" spans="2:11" x14ac:dyDescent="0.25">
      <c r="B95" s="18">
        <v>43037</v>
      </c>
      <c r="C95" s="13" t="s">
        <v>1170</v>
      </c>
      <c r="D95" s="16">
        <v>14500</v>
      </c>
      <c r="E95" s="41"/>
      <c r="F95" s="41"/>
      <c r="G95" s="41"/>
      <c r="H95" s="11"/>
      <c r="I95" s="15"/>
      <c r="J95" s="12">
        <f t="shared" si="6"/>
        <v>16459.010000000002</v>
      </c>
      <c r="K95" s="12">
        <f t="shared" si="7"/>
        <v>32186.639999999996</v>
      </c>
    </row>
    <row r="96" spans="2:11" x14ac:dyDescent="0.25">
      <c r="B96" s="18">
        <v>43038</v>
      </c>
      <c r="C96" s="13" t="s">
        <v>1171</v>
      </c>
      <c r="D96" s="41"/>
      <c r="E96" s="41"/>
      <c r="F96" s="41"/>
      <c r="G96" s="41"/>
      <c r="H96" s="11">
        <v>40.5</v>
      </c>
      <c r="I96" s="15"/>
      <c r="J96" s="12">
        <f t="shared" si="6"/>
        <v>16459.010000000002</v>
      </c>
      <c r="K96" s="12">
        <f t="shared" si="7"/>
        <v>32146.139999999996</v>
      </c>
    </row>
    <row r="97" spans="1:11" x14ac:dyDescent="0.25">
      <c r="B97" s="18">
        <v>43038</v>
      </c>
      <c r="C97" s="9" t="s">
        <v>1172</v>
      </c>
      <c r="D97" s="11"/>
      <c r="E97" s="11"/>
      <c r="F97" s="11"/>
      <c r="G97" s="11"/>
      <c r="H97" s="11">
        <v>315</v>
      </c>
      <c r="I97" s="15"/>
      <c r="J97" s="12">
        <f t="shared" si="6"/>
        <v>16459.010000000002</v>
      </c>
      <c r="K97" s="12">
        <f t="shared" si="7"/>
        <v>31831.139999999996</v>
      </c>
    </row>
    <row r="98" spans="1:11" x14ac:dyDescent="0.25">
      <c r="B98" s="18">
        <v>43039</v>
      </c>
      <c r="C98" s="9" t="s">
        <v>1173</v>
      </c>
      <c r="D98" s="11"/>
      <c r="E98" s="11"/>
      <c r="F98" s="11"/>
      <c r="G98" s="11"/>
      <c r="H98" s="11">
        <v>5000</v>
      </c>
      <c r="I98" s="15"/>
      <c r="J98" s="12">
        <f t="shared" si="6"/>
        <v>16459.010000000002</v>
      </c>
      <c r="K98" s="12">
        <f t="shared" si="7"/>
        <v>26831.139999999996</v>
      </c>
    </row>
    <row r="99" spans="1:11" x14ac:dyDescent="0.25">
      <c r="B99" s="18">
        <v>43039</v>
      </c>
      <c r="C99" s="9" t="s">
        <v>1174</v>
      </c>
      <c r="D99" s="11"/>
      <c r="E99" s="11"/>
      <c r="F99" s="11"/>
      <c r="G99" s="11"/>
      <c r="H99" s="11">
        <v>450</v>
      </c>
      <c r="I99" s="15"/>
      <c r="J99" s="12">
        <f t="shared" si="6"/>
        <v>16459.010000000002</v>
      </c>
      <c r="K99" s="12">
        <f t="shared" si="7"/>
        <v>26381.139999999996</v>
      </c>
    </row>
    <row r="100" spans="1:11" x14ac:dyDescent="0.25">
      <c r="B100" s="18">
        <v>43039</v>
      </c>
      <c r="C100" s="9" t="s">
        <v>1175</v>
      </c>
      <c r="D100" s="11"/>
      <c r="E100" s="11"/>
      <c r="F100" s="11"/>
      <c r="G100" s="11"/>
      <c r="H100" s="11">
        <v>100</v>
      </c>
      <c r="I100" s="15"/>
      <c r="J100" s="12">
        <f t="shared" si="6"/>
        <v>16459.010000000002</v>
      </c>
      <c r="K100" s="12">
        <f t="shared" si="7"/>
        <v>26281.139999999996</v>
      </c>
    </row>
    <row r="101" spans="1:11" x14ac:dyDescent="0.25">
      <c r="B101" s="18">
        <v>43039</v>
      </c>
      <c r="C101" s="9" t="s">
        <v>1176</v>
      </c>
      <c r="D101" s="11"/>
      <c r="E101" s="11"/>
      <c r="F101" s="11"/>
      <c r="G101" s="11"/>
      <c r="H101" s="11">
        <v>300</v>
      </c>
      <c r="I101" s="15"/>
      <c r="J101" s="12">
        <f t="shared" si="6"/>
        <v>16459.010000000002</v>
      </c>
      <c r="K101" s="12">
        <f t="shared" si="7"/>
        <v>25981.139999999996</v>
      </c>
    </row>
    <row r="102" spans="1:11" x14ac:dyDescent="0.25">
      <c r="B102" s="18">
        <v>43039</v>
      </c>
      <c r="C102" s="9" t="s">
        <v>1177</v>
      </c>
      <c r="D102" s="11"/>
      <c r="E102" s="11"/>
      <c r="F102" s="11"/>
      <c r="G102" s="11"/>
      <c r="H102" s="11">
        <v>4000</v>
      </c>
      <c r="I102" s="15"/>
      <c r="J102" s="12">
        <f t="shared" si="6"/>
        <v>16459.010000000002</v>
      </c>
      <c r="K102" s="12">
        <f t="shared" si="7"/>
        <v>21981.139999999996</v>
      </c>
    </row>
    <row r="103" spans="1:11" x14ac:dyDescent="0.25">
      <c r="B103" s="18">
        <v>43039</v>
      </c>
      <c r="C103" s="35" t="s">
        <v>1178</v>
      </c>
      <c r="D103" s="11"/>
      <c r="E103" s="11"/>
      <c r="F103" s="11"/>
      <c r="G103" s="11"/>
      <c r="H103" s="11">
        <v>1000</v>
      </c>
      <c r="I103" s="15"/>
      <c r="J103" s="12">
        <f t="shared" si="6"/>
        <v>16459.010000000002</v>
      </c>
      <c r="K103" s="12">
        <f t="shared" si="7"/>
        <v>20981.139999999996</v>
      </c>
    </row>
    <row r="104" spans="1:11" x14ac:dyDescent="0.25">
      <c r="B104" s="18">
        <v>43018</v>
      </c>
      <c r="C104" s="13" t="s">
        <v>1179</v>
      </c>
      <c r="D104" s="11"/>
      <c r="E104" s="11">
        <v>400.29</v>
      </c>
      <c r="F104" s="11"/>
      <c r="G104" s="11"/>
      <c r="H104" s="11"/>
      <c r="I104" s="15"/>
      <c r="J104" s="12">
        <f t="shared" si="6"/>
        <v>16859.300000000003</v>
      </c>
      <c r="K104" s="12">
        <f t="shared" si="7"/>
        <v>20981.139999999996</v>
      </c>
    </row>
    <row r="105" spans="1:11" x14ac:dyDescent="0.25">
      <c r="B105" s="18">
        <v>43039</v>
      </c>
      <c r="C105" s="13" t="s">
        <v>713</v>
      </c>
      <c r="D105" s="11"/>
      <c r="E105" s="11"/>
      <c r="F105" s="11"/>
      <c r="G105" s="11">
        <v>28</v>
      </c>
      <c r="H105" s="11"/>
      <c r="I105" s="15"/>
      <c r="J105" s="12">
        <f t="shared" si="6"/>
        <v>16831.300000000003</v>
      </c>
      <c r="K105" s="12">
        <f t="shared" si="7"/>
        <v>20981.139999999996</v>
      </c>
    </row>
    <row r="106" spans="1:11" x14ac:dyDescent="0.25">
      <c r="B106" s="18">
        <v>43039</v>
      </c>
      <c r="C106" s="13" t="s">
        <v>171</v>
      </c>
      <c r="D106" s="11"/>
      <c r="E106" s="11"/>
      <c r="F106" s="11"/>
      <c r="G106" s="11">
        <v>4.4800000000000004</v>
      </c>
      <c r="H106" s="11"/>
      <c r="I106" s="15"/>
      <c r="J106" s="12">
        <f t="shared" si="6"/>
        <v>16826.820000000003</v>
      </c>
      <c r="K106" s="12">
        <f t="shared" si="7"/>
        <v>20981.139999999996</v>
      </c>
    </row>
    <row r="107" spans="1:11" x14ac:dyDescent="0.25">
      <c r="B107" s="18"/>
      <c r="C107" s="9"/>
      <c r="D107" s="11"/>
      <c r="E107" s="11"/>
      <c r="F107" s="11"/>
      <c r="G107" s="11"/>
      <c r="H107" s="11"/>
      <c r="I107" s="15"/>
      <c r="J107" s="12">
        <f t="shared" si="6"/>
        <v>16826.820000000003</v>
      </c>
      <c r="K107" s="12">
        <f t="shared" si="7"/>
        <v>20981.139999999996</v>
      </c>
    </row>
    <row r="108" spans="1:11" ht="15.75" thickBot="1" x14ac:dyDescent="0.3">
      <c r="B108" s="18"/>
      <c r="C108" s="9"/>
      <c r="D108" s="11"/>
      <c r="E108" s="11"/>
      <c r="F108" s="11"/>
      <c r="G108" s="11"/>
      <c r="H108" s="11"/>
      <c r="I108" s="15"/>
      <c r="J108" s="12">
        <f t="shared" si="6"/>
        <v>16826.820000000003</v>
      </c>
      <c r="K108" s="12">
        <f t="shared" si="7"/>
        <v>20981.139999999996</v>
      </c>
    </row>
    <row r="109" spans="1:11" ht="15.75" thickBot="1" x14ac:dyDescent="0.3">
      <c r="A109" s="1"/>
      <c r="B109" s="5"/>
      <c r="C109" s="7" t="s">
        <v>0</v>
      </c>
      <c r="D109" s="63">
        <f>SUM(D58:D108)</f>
        <v>102725</v>
      </c>
      <c r="E109" s="61">
        <f>SUM(E58:E108)</f>
        <v>13960.29</v>
      </c>
      <c r="F109" s="72">
        <f>SUM(D109:E109)</f>
        <v>116685.29000000001</v>
      </c>
      <c r="G109" s="81">
        <f>SUM(G60:G108)</f>
        <v>18092.48</v>
      </c>
      <c r="H109" s="99">
        <f>SUM(H60:H108)</f>
        <v>87823.46</v>
      </c>
      <c r="I109" s="72">
        <f>SUM(G109:H109)</f>
        <v>105915.94</v>
      </c>
      <c r="J109" s="20">
        <v>39420.44</v>
      </c>
      <c r="K109" s="20"/>
    </row>
    <row r="110" spans="1:11" ht="15.75" thickBot="1" x14ac:dyDescent="0.3"/>
    <row r="111" spans="1:11" ht="15.75" thickBot="1" x14ac:dyDescent="0.3">
      <c r="I111" s="75" t="s">
        <v>9</v>
      </c>
      <c r="J111" s="75" t="s">
        <v>8</v>
      </c>
      <c r="K111" s="96" t="s">
        <v>0</v>
      </c>
    </row>
    <row r="112" spans="1:11" ht="15.75" thickBot="1" x14ac:dyDescent="0.3">
      <c r="I112" s="78">
        <v>16826.82</v>
      </c>
      <c r="J112" s="78">
        <v>20981.14</v>
      </c>
      <c r="K112" s="20">
        <f>SUM(I112:J112)</f>
        <v>37807.96</v>
      </c>
    </row>
  </sheetData>
  <printOptions verticalCentered="1"/>
  <pageMargins left="0.31496062992125984" right="0" top="0" bottom="0" header="0.31496062992125984" footer="0.31496062992125984"/>
  <pageSetup paperSize="9" scale="70" fitToHeight="0" orientation="landscape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L113"/>
  <sheetViews>
    <sheetView zoomScale="90" zoomScaleNormal="90" workbookViewId="0">
      <pane ySplit="3" topLeftCell="A92" activePane="bottomLeft" state="frozen"/>
      <selection pane="bottomLeft" activeCell="D112" sqref="D112"/>
    </sheetView>
  </sheetViews>
  <sheetFormatPr baseColWidth="10" defaultRowHeight="15" x14ac:dyDescent="0.25"/>
  <cols>
    <col min="1" max="1" width="10.7109375" customWidth="1"/>
    <col min="2" max="2" width="11.5703125" customWidth="1"/>
    <col min="3" max="3" width="84.5703125" customWidth="1"/>
    <col min="4" max="6" width="11.7109375" customWidth="1"/>
  </cols>
  <sheetData>
    <row r="1" spans="2:11" ht="15.75" thickBot="1" x14ac:dyDescent="0.3">
      <c r="B1" s="80"/>
      <c r="C1" s="100" t="s">
        <v>728</v>
      </c>
    </row>
    <row r="2" spans="2:11" x14ac:dyDescent="0.25">
      <c r="B2" s="69" t="s">
        <v>1</v>
      </c>
      <c r="C2" s="69" t="s">
        <v>2</v>
      </c>
      <c r="D2" s="69" t="s">
        <v>3</v>
      </c>
      <c r="E2" s="69" t="s">
        <v>3</v>
      </c>
      <c r="F2" s="69" t="s">
        <v>23</v>
      </c>
      <c r="G2" s="69" t="s">
        <v>24</v>
      </c>
      <c r="H2" s="48" t="s">
        <v>24</v>
      </c>
      <c r="I2" s="48" t="s">
        <v>23</v>
      </c>
      <c r="J2" s="69" t="s">
        <v>9</v>
      </c>
      <c r="K2" s="48" t="s">
        <v>8</v>
      </c>
    </row>
    <row r="3" spans="2:11" ht="15.75" thickBot="1" x14ac:dyDescent="0.3">
      <c r="B3" s="70"/>
      <c r="C3" s="70"/>
      <c r="D3" s="70" t="s">
        <v>5</v>
      </c>
      <c r="E3" s="70" t="s">
        <v>25</v>
      </c>
      <c r="F3" s="70" t="s">
        <v>3</v>
      </c>
      <c r="G3" s="70" t="s">
        <v>25</v>
      </c>
      <c r="H3" s="71" t="s">
        <v>5</v>
      </c>
      <c r="I3" s="71" t="s">
        <v>4</v>
      </c>
      <c r="J3" s="70"/>
      <c r="K3" s="71"/>
    </row>
    <row r="4" spans="2:11" x14ac:dyDescent="0.25">
      <c r="B4" s="23">
        <v>43039</v>
      </c>
      <c r="C4" s="66" t="s">
        <v>722</v>
      </c>
      <c r="D4" s="67"/>
      <c r="E4" s="64"/>
      <c r="F4" s="64"/>
      <c r="G4" s="64"/>
      <c r="H4" s="17"/>
      <c r="I4" s="65"/>
      <c r="J4" s="74">
        <v>16826.82</v>
      </c>
      <c r="K4" s="98">
        <v>20981.14</v>
      </c>
    </row>
    <row r="5" spans="2:11" x14ac:dyDescent="0.25">
      <c r="B5" s="23">
        <v>43040</v>
      </c>
      <c r="C5" s="9" t="s">
        <v>1180</v>
      </c>
      <c r="D5" s="11"/>
      <c r="E5" s="11"/>
      <c r="F5" s="11"/>
      <c r="G5" s="11">
        <v>10000</v>
      </c>
      <c r="H5" s="11"/>
      <c r="I5" s="15"/>
      <c r="J5" s="12">
        <f>+J4+E5-G5</f>
        <v>6826.82</v>
      </c>
      <c r="K5" s="12">
        <f t="shared" ref="K5:K37" si="0">+K4+D5-H5</f>
        <v>20981.14</v>
      </c>
    </row>
    <row r="6" spans="2:11" x14ac:dyDescent="0.25">
      <c r="B6" s="23">
        <v>43040</v>
      </c>
      <c r="C6" s="13" t="s">
        <v>1181</v>
      </c>
      <c r="D6" s="11"/>
      <c r="E6" s="11"/>
      <c r="F6" s="11"/>
      <c r="G6" s="11"/>
      <c r="H6" s="11">
        <v>300</v>
      </c>
      <c r="I6" s="15"/>
      <c r="J6" s="12">
        <f t="shared" ref="J6:J37" si="1">+J5+E6-G6</f>
        <v>6826.82</v>
      </c>
      <c r="K6" s="12">
        <f t="shared" si="0"/>
        <v>20681.14</v>
      </c>
    </row>
    <row r="7" spans="2:11" x14ac:dyDescent="0.25">
      <c r="B7" s="18">
        <v>43040</v>
      </c>
      <c r="C7" s="9" t="s">
        <v>1182</v>
      </c>
      <c r="D7" s="11"/>
      <c r="E7" s="11"/>
      <c r="F7" s="11"/>
      <c r="G7" s="11"/>
      <c r="H7" s="59">
        <v>102</v>
      </c>
      <c r="I7" s="15"/>
      <c r="J7" s="12">
        <f t="shared" si="1"/>
        <v>6826.82</v>
      </c>
      <c r="K7" s="12">
        <f t="shared" si="0"/>
        <v>20579.14</v>
      </c>
    </row>
    <row r="8" spans="2:11" x14ac:dyDescent="0.25">
      <c r="B8" s="18">
        <v>43041</v>
      </c>
      <c r="C8" s="13" t="s">
        <v>1183</v>
      </c>
      <c r="D8" s="11"/>
      <c r="E8" s="11"/>
      <c r="F8" s="11"/>
      <c r="G8" s="11"/>
      <c r="H8" s="11">
        <v>1100</v>
      </c>
      <c r="I8" s="15"/>
      <c r="J8" s="12">
        <f t="shared" si="1"/>
        <v>6826.82</v>
      </c>
      <c r="K8" s="12">
        <f t="shared" si="0"/>
        <v>19479.14</v>
      </c>
    </row>
    <row r="9" spans="2:11" x14ac:dyDescent="0.25">
      <c r="B9" s="18">
        <v>43042</v>
      </c>
      <c r="C9" s="9" t="s">
        <v>1184</v>
      </c>
      <c r="D9" s="11"/>
      <c r="E9" s="11"/>
      <c r="F9" s="11"/>
      <c r="G9" s="11"/>
      <c r="H9" s="59">
        <v>1250</v>
      </c>
      <c r="I9" s="15"/>
      <c r="J9" s="12">
        <f t="shared" si="1"/>
        <v>6826.82</v>
      </c>
      <c r="K9" s="12">
        <f t="shared" si="0"/>
        <v>18229.14</v>
      </c>
    </row>
    <row r="10" spans="2:11" x14ac:dyDescent="0.25">
      <c r="B10" s="18">
        <v>43044</v>
      </c>
      <c r="C10" s="9" t="s">
        <v>1185</v>
      </c>
      <c r="D10" s="11"/>
      <c r="E10" s="11"/>
      <c r="F10" s="11"/>
      <c r="G10" s="11"/>
      <c r="H10" s="11">
        <v>400</v>
      </c>
      <c r="I10" s="15"/>
      <c r="J10" s="12">
        <f t="shared" si="1"/>
        <v>6826.82</v>
      </c>
      <c r="K10" s="12">
        <f t="shared" si="0"/>
        <v>17829.14</v>
      </c>
    </row>
    <row r="11" spans="2:11" x14ac:dyDescent="0.25">
      <c r="B11" s="18">
        <v>43044</v>
      </c>
      <c r="C11" s="9" t="s">
        <v>743</v>
      </c>
      <c r="D11" s="11"/>
      <c r="E11" s="11"/>
      <c r="F11" s="11"/>
      <c r="G11" s="11"/>
      <c r="H11" s="11">
        <v>84.5</v>
      </c>
      <c r="I11" s="15"/>
      <c r="J11" s="12">
        <f t="shared" si="1"/>
        <v>6826.82</v>
      </c>
      <c r="K11" s="12">
        <f t="shared" si="0"/>
        <v>17744.64</v>
      </c>
    </row>
    <row r="12" spans="2:11" x14ac:dyDescent="0.25">
      <c r="B12" s="18">
        <v>43044</v>
      </c>
      <c r="C12" s="9" t="s">
        <v>1186</v>
      </c>
      <c r="D12" s="11"/>
      <c r="E12" s="11"/>
      <c r="F12" s="11"/>
      <c r="G12" s="11"/>
      <c r="H12" s="11">
        <v>120</v>
      </c>
      <c r="I12" s="15"/>
      <c r="J12" s="12">
        <f t="shared" si="1"/>
        <v>6826.82</v>
      </c>
      <c r="K12" s="12">
        <f t="shared" si="0"/>
        <v>17624.64</v>
      </c>
    </row>
    <row r="13" spans="2:11" x14ac:dyDescent="0.25">
      <c r="B13" s="18">
        <v>43044</v>
      </c>
      <c r="C13" s="9" t="s">
        <v>1187</v>
      </c>
      <c r="D13" s="11">
        <v>34875</v>
      </c>
      <c r="E13" s="11"/>
      <c r="F13" s="11"/>
      <c r="G13" s="11"/>
      <c r="H13" s="59"/>
      <c r="I13" s="15"/>
      <c r="J13" s="12">
        <f t="shared" si="1"/>
        <v>6826.82</v>
      </c>
      <c r="K13" s="12">
        <f t="shared" si="0"/>
        <v>52499.64</v>
      </c>
    </row>
    <row r="14" spans="2:11" x14ac:dyDescent="0.25">
      <c r="B14" s="18">
        <v>43045</v>
      </c>
      <c r="C14" s="9" t="s">
        <v>1182</v>
      </c>
      <c r="D14" s="11"/>
      <c r="E14" s="11"/>
      <c r="F14" s="11"/>
      <c r="G14" s="11"/>
      <c r="H14" s="11">
        <v>102</v>
      </c>
      <c r="I14" s="15"/>
      <c r="J14" s="12">
        <f t="shared" si="1"/>
        <v>6826.82</v>
      </c>
      <c r="K14" s="12">
        <f t="shared" si="0"/>
        <v>52397.64</v>
      </c>
    </row>
    <row r="15" spans="2:11" x14ac:dyDescent="0.25">
      <c r="B15" s="18">
        <v>43045</v>
      </c>
      <c r="C15" s="9" t="s">
        <v>1189</v>
      </c>
      <c r="D15" s="11"/>
      <c r="E15" s="11"/>
      <c r="F15" s="11"/>
      <c r="G15" s="11"/>
      <c r="H15" s="59">
        <v>370</v>
      </c>
      <c r="I15" s="15"/>
      <c r="J15" s="12">
        <f t="shared" si="1"/>
        <v>6826.82</v>
      </c>
      <c r="K15" s="12">
        <f t="shared" si="0"/>
        <v>52027.64</v>
      </c>
    </row>
    <row r="16" spans="2:11" x14ac:dyDescent="0.25">
      <c r="B16" s="18">
        <v>43045</v>
      </c>
      <c r="C16" s="13" t="s">
        <v>1190</v>
      </c>
      <c r="D16" s="11"/>
      <c r="E16" s="11"/>
      <c r="F16" s="11"/>
      <c r="G16" s="11">
        <v>1760</v>
      </c>
      <c r="H16" s="11"/>
      <c r="I16" s="15"/>
      <c r="J16" s="12">
        <f t="shared" si="1"/>
        <v>5066.82</v>
      </c>
      <c r="K16" s="12">
        <f t="shared" si="0"/>
        <v>52027.64</v>
      </c>
    </row>
    <row r="17" spans="2:11" x14ac:dyDescent="0.25">
      <c r="B17" s="18">
        <v>43045</v>
      </c>
      <c r="C17" s="9" t="s">
        <v>1191</v>
      </c>
      <c r="D17" s="11"/>
      <c r="E17" s="11"/>
      <c r="F17" s="11"/>
      <c r="G17" s="11">
        <v>1300</v>
      </c>
      <c r="H17" s="11"/>
      <c r="I17" s="15"/>
      <c r="J17" s="12">
        <f t="shared" si="1"/>
        <v>3766.8199999999997</v>
      </c>
      <c r="K17" s="12">
        <f t="shared" si="0"/>
        <v>52027.64</v>
      </c>
    </row>
    <row r="18" spans="2:11" x14ac:dyDescent="0.25">
      <c r="B18" s="18">
        <v>43045</v>
      </c>
      <c r="C18" s="9" t="s">
        <v>1188</v>
      </c>
      <c r="D18" s="11"/>
      <c r="E18" s="11"/>
      <c r="F18" s="11"/>
      <c r="G18" s="11"/>
      <c r="H18" s="11">
        <v>100</v>
      </c>
      <c r="I18" s="15"/>
      <c r="J18" s="12">
        <f t="shared" si="1"/>
        <v>3766.8199999999997</v>
      </c>
      <c r="K18" s="12">
        <f t="shared" si="0"/>
        <v>51927.64</v>
      </c>
    </row>
    <row r="19" spans="2:11" x14ac:dyDescent="0.25">
      <c r="B19" s="18">
        <v>43046</v>
      </c>
      <c r="C19" s="9" t="s">
        <v>1192</v>
      </c>
      <c r="D19" s="11"/>
      <c r="E19" s="11"/>
      <c r="F19" s="11"/>
      <c r="G19" s="11"/>
      <c r="H19" s="11">
        <v>159</v>
      </c>
      <c r="I19" s="15"/>
      <c r="J19" s="12">
        <f t="shared" si="1"/>
        <v>3766.8199999999997</v>
      </c>
      <c r="K19" s="12">
        <f t="shared" si="0"/>
        <v>51768.639999999999</v>
      </c>
    </row>
    <row r="20" spans="2:11" x14ac:dyDescent="0.25">
      <c r="B20" s="18">
        <v>43047</v>
      </c>
      <c r="C20" s="9" t="s">
        <v>1193</v>
      </c>
      <c r="D20" s="11"/>
      <c r="E20" s="11"/>
      <c r="F20" s="11"/>
      <c r="G20" s="11"/>
      <c r="H20" s="11">
        <v>199</v>
      </c>
      <c r="I20" s="15"/>
      <c r="J20" s="12">
        <f t="shared" si="1"/>
        <v>3766.8199999999997</v>
      </c>
      <c r="K20" s="12">
        <f t="shared" si="0"/>
        <v>51569.64</v>
      </c>
    </row>
    <row r="21" spans="2:11" x14ac:dyDescent="0.25">
      <c r="B21" s="18">
        <v>43047</v>
      </c>
      <c r="C21" s="9" t="s">
        <v>1194</v>
      </c>
      <c r="D21" s="11"/>
      <c r="E21" s="11"/>
      <c r="F21" s="11"/>
      <c r="G21" s="11"/>
      <c r="H21" s="11">
        <v>76</v>
      </c>
      <c r="I21" s="15"/>
      <c r="J21" s="12">
        <f t="shared" si="1"/>
        <v>3766.8199999999997</v>
      </c>
      <c r="K21" s="12">
        <f t="shared" si="0"/>
        <v>51493.64</v>
      </c>
    </row>
    <row r="22" spans="2:11" x14ac:dyDescent="0.25">
      <c r="B22" s="18">
        <v>43047</v>
      </c>
      <c r="C22" s="9" t="s">
        <v>1196</v>
      </c>
      <c r="D22" s="11"/>
      <c r="E22" s="11"/>
      <c r="F22" s="11"/>
      <c r="G22" s="11"/>
      <c r="H22" s="11">
        <v>340</v>
      </c>
      <c r="I22" s="15"/>
      <c r="J22" s="12">
        <f t="shared" si="1"/>
        <v>3766.8199999999997</v>
      </c>
      <c r="K22" s="12">
        <f t="shared" si="0"/>
        <v>51153.64</v>
      </c>
    </row>
    <row r="23" spans="2:11" x14ac:dyDescent="0.25">
      <c r="B23" s="18">
        <v>43047</v>
      </c>
      <c r="C23" s="9" t="s">
        <v>1195</v>
      </c>
      <c r="D23" s="11"/>
      <c r="E23" s="11"/>
      <c r="F23" s="11"/>
      <c r="G23" s="11"/>
      <c r="H23" s="59">
        <v>300</v>
      </c>
      <c r="I23" s="15"/>
      <c r="J23" s="12">
        <f t="shared" si="1"/>
        <v>3766.8199999999997</v>
      </c>
      <c r="K23" s="12">
        <f t="shared" si="0"/>
        <v>50853.64</v>
      </c>
    </row>
    <row r="24" spans="2:11" x14ac:dyDescent="0.25">
      <c r="B24" s="18">
        <v>43047</v>
      </c>
      <c r="C24" s="9" t="s">
        <v>1197</v>
      </c>
      <c r="D24" s="11"/>
      <c r="E24" s="11"/>
      <c r="F24" s="11"/>
      <c r="G24" s="11"/>
      <c r="H24" s="59">
        <v>254.5</v>
      </c>
      <c r="I24" s="15"/>
      <c r="J24" s="12">
        <f t="shared" si="1"/>
        <v>3766.8199999999997</v>
      </c>
      <c r="K24" s="12">
        <f t="shared" si="0"/>
        <v>50599.14</v>
      </c>
    </row>
    <row r="25" spans="2:11" x14ac:dyDescent="0.25">
      <c r="B25" s="18">
        <v>43047</v>
      </c>
      <c r="C25" s="9" t="s">
        <v>1198</v>
      </c>
      <c r="D25" s="11"/>
      <c r="E25" s="11"/>
      <c r="F25" s="11"/>
      <c r="G25" s="11"/>
      <c r="H25" s="11">
        <v>5</v>
      </c>
      <c r="I25" s="15"/>
      <c r="J25" s="12">
        <f t="shared" si="1"/>
        <v>3766.8199999999997</v>
      </c>
      <c r="K25" s="12">
        <f t="shared" si="0"/>
        <v>50594.14</v>
      </c>
    </row>
    <row r="26" spans="2:11" x14ac:dyDescent="0.25">
      <c r="B26" s="18">
        <v>43047</v>
      </c>
      <c r="C26" s="9" t="s">
        <v>1199</v>
      </c>
      <c r="D26" s="11"/>
      <c r="E26" s="11"/>
      <c r="F26" s="11"/>
      <c r="G26" s="11"/>
      <c r="H26" s="11">
        <v>250</v>
      </c>
      <c r="I26" s="15"/>
      <c r="J26" s="12">
        <f t="shared" si="1"/>
        <v>3766.8199999999997</v>
      </c>
      <c r="K26" s="12">
        <f t="shared" si="0"/>
        <v>50344.14</v>
      </c>
    </row>
    <row r="27" spans="2:11" x14ac:dyDescent="0.25">
      <c r="B27" s="18">
        <v>43048</v>
      </c>
      <c r="C27" s="9" t="s">
        <v>1197</v>
      </c>
      <c r="D27" s="11"/>
      <c r="E27" s="11"/>
      <c r="F27" s="11"/>
      <c r="G27" s="11"/>
      <c r="H27" s="11">
        <v>484.1</v>
      </c>
      <c r="I27" s="15"/>
      <c r="J27" s="12">
        <f t="shared" si="1"/>
        <v>3766.8199999999997</v>
      </c>
      <c r="K27" s="12">
        <f t="shared" si="0"/>
        <v>49860.04</v>
      </c>
    </row>
    <row r="28" spans="2:11" x14ac:dyDescent="0.25">
      <c r="B28" s="18">
        <v>43048</v>
      </c>
      <c r="C28" s="9" t="s">
        <v>1198</v>
      </c>
      <c r="D28" s="11"/>
      <c r="E28" s="11"/>
      <c r="F28" s="11"/>
      <c r="G28" s="11"/>
      <c r="H28" s="11">
        <v>5</v>
      </c>
      <c r="I28" s="15"/>
      <c r="J28" s="12">
        <f t="shared" si="1"/>
        <v>3766.8199999999997</v>
      </c>
      <c r="K28" s="12">
        <f t="shared" si="0"/>
        <v>49855.040000000001</v>
      </c>
    </row>
    <row r="29" spans="2:11" x14ac:dyDescent="0.25">
      <c r="B29" s="18">
        <v>43048</v>
      </c>
      <c r="C29" s="9" t="s">
        <v>184</v>
      </c>
      <c r="D29" s="11"/>
      <c r="E29" s="11"/>
      <c r="F29" s="11"/>
      <c r="G29" s="11"/>
      <c r="H29" s="11">
        <v>655.5</v>
      </c>
      <c r="I29" s="15"/>
      <c r="J29" s="12">
        <f t="shared" si="1"/>
        <v>3766.8199999999997</v>
      </c>
      <c r="K29" s="12">
        <f t="shared" si="0"/>
        <v>49199.54</v>
      </c>
    </row>
    <row r="30" spans="2:11" x14ac:dyDescent="0.25">
      <c r="B30" s="18">
        <v>43049</v>
      </c>
      <c r="C30" s="9" t="s">
        <v>1200</v>
      </c>
      <c r="D30" s="11"/>
      <c r="E30" s="11"/>
      <c r="F30" s="11"/>
      <c r="G30" s="11"/>
      <c r="H30" s="11">
        <v>1250</v>
      </c>
      <c r="I30" s="15"/>
      <c r="J30" s="12">
        <f t="shared" si="1"/>
        <v>3766.8199999999997</v>
      </c>
      <c r="K30" s="12">
        <f t="shared" si="0"/>
        <v>47949.54</v>
      </c>
    </row>
    <row r="31" spans="2:11" x14ac:dyDescent="0.25">
      <c r="B31" s="18">
        <v>43051</v>
      </c>
      <c r="C31" s="9" t="s">
        <v>1201</v>
      </c>
      <c r="D31" s="11">
        <v>25275</v>
      </c>
      <c r="E31" s="11"/>
      <c r="F31" s="11"/>
      <c r="G31" s="11"/>
      <c r="H31" s="11"/>
      <c r="I31" s="15"/>
      <c r="J31" s="12">
        <f t="shared" si="1"/>
        <v>3766.8199999999997</v>
      </c>
      <c r="K31" s="12">
        <f t="shared" si="0"/>
        <v>73224.540000000008</v>
      </c>
    </row>
    <row r="32" spans="2:11" x14ac:dyDescent="0.25">
      <c r="B32" s="18">
        <v>43051</v>
      </c>
      <c r="C32" s="9" t="s">
        <v>1199</v>
      </c>
      <c r="D32" s="11"/>
      <c r="E32" s="11"/>
      <c r="F32" s="11"/>
      <c r="G32" s="11"/>
      <c r="H32" s="59">
        <v>250</v>
      </c>
      <c r="I32" s="15"/>
      <c r="J32" s="12">
        <f t="shared" si="1"/>
        <v>3766.8199999999997</v>
      </c>
      <c r="K32" s="12">
        <f t="shared" si="0"/>
        <v>72974.540000000008</v>
      </c>
    </row>
    <row r="33" spans="2:11" x14ac:dyDescent="0.25">
      <c r="B33" s="18">
        <v>43051</v>
      </c>
      <c r="C33" s="9" t="s">
        <v>1202</v>
      </c>
      <c r="D33" s="11"/>
      <c r="E33" s="11"/>
      <c r="F33" s="11"/>
      <c r="G33" s="11"/>
      <c r="H33" s="11">
        <v>58</v>
      </c>
      <c r="I33" s="15"/>
      <c r="J33" s="12">
        <f t="shared" si="1"/>
        <v>3766.8199999999997</v>
      </c>
      <c r="K33" s="12">
        <f t="shared" si="0"/>
        <v>72916.540000000008</v>
      </c>
    </row>
    <row r="34" spans="2:11" x14ac:dyDescent="0.25">
      <c r="B34" s="18">
        <v>43051</v>
      </c>
      <c r="C34" s="9" t="s">
        <v>1216</v>
      </c>
      <c r="D34" s="11"/>
      <c r="E34" s="11"/>
      <c r="F34" s="11"/>
      <c r="G34" s="11"/>
      <c r="H34" s="11">
        <v>15100</v>
      </c>
      <c r="I34" s="15"/>
      <c r="J34" s="12">
        <f t="shared" si="1"/>
        <v>3766.8199999999997</v>
      </c>
      <c r="K34" s="12">
        <f t="shared" si="0"/>
        <v>57816.540000000008</v>
      </c>
    </row>
    <row r="35" spans="2:11" x14ac:dyDescent="0.25">
      <c r="B35" s="18">
        <v>43051</v>
      </c>
      <c r="C35" s="9" t="s">
        <v>1203</v>
      </c>
      <c r="D35" s="11"/>
      <c r="E35" s="11"/>
      <c r="F35" s="11"/>
      <c r="G35" s="11"/>
      <c r="H35" s="11">
        <v>1500</v>
      </c>
      <c r="I35" s="15"/>
      <c r="J35" s="12">
        <f t="shared" si="1"/>
        <v>3766.8199999999997</v>
      </c>
      <c r="K35" s="12">
        <f t="shared" si="0"/>
        <v>56316.540000000008</v>
      </c>
    </row>
    <row r="36" spans="2:11" x14ac:dyDescent="0.25">
      <c r="B36" s="18">
        <v>43051</v>
      </c>
      <c r="C36" s="9" t="s">
        <v>1186</v>
      </c>
      <c r="D36" s="11"/>
      <c r="E36" s="11"/>
      <c r="F36" s="11"/>
      <c r="G36" s="11"/>
      <c r="H36" s="11">
        <v>120</v>
      </c>
      <c r="I36" s="15"/>
      <c r="J36" s="12">
        <f t="shared" si="1"/>
        <v>3766.8199999999997</v>
      </c>
      <c r="K36" s="12">
        <f t="shared" si="0"/>
        <v>56196.540000000008</v>
      </c>
    </row>
    <row r="37" spans="2:11" x14ac:dyDescent="0.25">
      <c r="B37" s="18">
        <v>43051</v>
      </c>
      <c r="C37" s="9" t="s">
        <v>1204</v>
      </c>
      <c r="D37" s="11"/>
      <c r="E37" s="11"/>
      <c r="F37" s="11"/>
      <c r="G37" s="11"/>
      <c r="H37" s="11">
        <v>150</v>
      </c>
      <c r="I37" s="15"/>
      <c r="J37" s="12">
        <f t="shared" si="1"/>
        <v>3766.8199999999997</v>
      </c>
      <c r="K37" s="12">
        <f t="shared" si="0"/>
        <v>56046.540000000008</v>
      </c>
    </row>
    <row r="38" spans="2:11" x14ac:dyDescent="0.25">
      <c r="B38" s="18">
        <v>43051</v>
      </c>
      <c r="C38" s="9" t="s">
        <v>743</v>
      </c>
      <c r="D38" s="11"/>
      <c r="E38" s="11"/>
      <c r="F38" s="11"/>
      <c r="G38" s="11"/>
      <c r="H38" s="11">
        <v>149.1</v>
      </c>
      <c r="I38" s="15"/>
      <c r="J38" s="12">
        <f>+J37+E38-G38</f>
        <v>3766.8199999999997</v>
      </c>
      <c r="K38" s="12">
        <f>+K37+D38-H38</f>
        <v>55897.44000000001</v>
      </c>
    </row>
    <row r="39" spans="2:11" x14ac:dyDescent="0.25">
      <c r="B39" s="18">
        <v>43052</v>
      </c>
      <c r="C39" s="9" t="s">
        <v>1195</v>
      </c>
      <c r="D39" s="11"/>
      <c r="E39" s="11"/>
      <c r="F39" s="11"/>
      <c r="G39" s="11"/>
      <c r="H39" s="11">
        <v>300</v>
      </c>
      <c r="I39" s="15"/>
      <c r="J39" s="12">
        <f>+J38+E39-G39</f>
        <v>3766.8199999999997</v>
      </c>
      <c r="K39" s="12">
        <f>+K38+D39-H39</f>
        <v>55597.44000000001</v>
      </c>
    </row>
    <row r="40" spans="2:11" x14ac:dyDescent="0.25">
      <c r="B40" s="18">
        <v>43052</v>
      </c>
      <c r="C40" s="9" t="s">
        <v>1205</v>
      </c>
      <c r="D40" s="11"/>
      <c r="E40" s="11"/>
      <c r="F40" s="11"/>
      <c r="G40" s="11"/>
      <c r="H40" s="11">
        <v>172</v>
      </c>
      <c r="I40" s="15"/>
      <c r="J40" s="12">
        <f>+J39+E40-G40</f>
        <v>3766.8199999999997</v>
      </c>
      <c r="K40" s="12">
        <f>+K39+D40-H40</f>
        <v>55425.44000000001</v>
      </c>
    </row>
    <row r="41" spans="2:11" x14ac:dyDescent="0.25">
      <c r="B41" s="18">
        <v>43052</v>
      </c>
      <c r="C41" s="9" t="s">
        <v>1206</v>
      </c>
      <c r="D41" s="11"/>
      <c r="E41" s="11"/>
      <c r="F41" s="11"/>
      <c r="G41" s="11"/>
      <c r="H41" s="11">
        <v>792</v>
      </c>
      <c r="I41" s="15"/>
      <c r="J41" s="12">
        <f>+J40+E41-G41</f>
        <v>3766.8199999999997</v>
      </c>
      <c r="K41" s="12">
        <f>+K40+D41-H41</f>
        <v>54633.44000000001</v>
      </c>
    </row>
    <row r="42" spans="2:11" x14ac:dyDescent="0.25">
      <c r="B42" s="18">
        <v>43052</v>
      </c>
      <c r="C42" s="9" t="s">
        <v>1182</v>
      </c>
      <c r="D42" s="11"/>
      <c r="E42" s="11"/>
      <c r="F42" s="11"/>
      <c r="G42" s="11"/>
      <c r="H42" s="11">
        <v>136</v>
      </c>
      <c r="I42" s="15"/>
      <c r="J42" s="12">
        <f t="shared" ref="J42:J54" si="2">+J41+E42-G42</f>
        <v>3766.8199999999997</v>
      </c>
      <c r="K42" s="12">
        <f t="shared" ref="K42:K56" si="3">+K41+D42-H42</f>
        <v>54497.44000000001</v>
      </c>
    </row>
    <row r="43" spans="2:11" x14ac:dyDescent="0.25">
      <c r="B43" s="18">
        <v>43053</v>
      </c>
      <c r="C43" s="9" t="s">
        <v>1195</v>
      </c>
      <c r="D43" s="11"/>
      <c r="E43" s="11"/>
      <c r="F43" s="11"/>
      <c r="G43" s="11"/>
      <c r="H43" s="11">
        <v>300</v>
      </c>
      <c r="I43" s="15"/>
      <c r="J43" s="12">
        <f t="shared" si="2"/>
        <v>3766.8199999999997</v>
      </c>
      <c r="K43" s="12">
        <f t="shared" si="3"/>
        <v>54197.44000000001</v>
      </c>
    </row>
    <row r="44" spans="2:11" x14ac:dyDescent="0.25">
      <c r="B44" s="18">
        <v>43053</v>
      </c>
      <c r="C44" s="9" t="s">
        <v>1207</v>
      </c>
      <c r="D44" s="11"/>
      <c r="E44" s="11"/>
      <c r="F44" s="11"/>
      <c r="G44" s="11"/>
      <c r="H44" s="11">
        <v>400</v>
      </c>
      <c r="I44" s="15"/>
      <c r="J44" s="12">
        <f t="shared" si="2"/>
        <v>3766.8199999999997</v>
      </c>
      <c r="K44" s="12">
        <f t="shared" si="3"/>
        <v>53797.44000000001</v>
      </c>
    </row>
    <row r="45" spans="2:11" x14ac:dyDescent="0.25">
      <c r="B45" s="18">
        <v>43053</v>
      </c>
      <c r="C45" s="9" t="s">
        <v>1208</v>
      </c>
      <c r="D45" s="11"/>
      <c r="E45" s="11"/>
      <c r="F45" s="11"/>
      <c r="G45" s="11"/>
      <c r="H45" s="11">
        <v>200</v>
      </c>
      <c r="I45" s="15"/>
      <c r="J45" s="12">
        <f t="shared" si="2"/>
        <v>3766.8199999999997</v>
      </c>
      <c r="K45" s="12">
        <f t="shared" si="3"/>
        <v>53597.44000000001</v>
      </c>
    </row>
    <row r="46" spans="2:11" x14ac:dyDescent="0.25">
      <c r="B46" s="18">
        <v>43053</v>
      </c>
      <c r="C46" s="9" t="s">
        <v>1203</v>
      </c>
      <c r="D46" s="11"/>
      <c r="E46" s="11"/>
      <c r="F46" s="11"/>
      <c r="G46" s="11"/>
      <c r="H46" s="11">
        <v>200</v>
      </c>
      <c r="I46" s="15"/>
      <c r="J46" s="12">
        <f t="shared" si="2"/>
        <v>3766.8199999999997</v>
      </c>
      <c r="K46" s="12">
        <f t="shared" si="3"/>
        <v>53397.44000000001</v>
      </c>
    </row>
    <row r="47" spans="2:11" x14ac:dyDescent="0.25">
      <c r="B47" s="18">
        <v>43053</v>
      </c>
      <c r="C47" s="9" t="s">
        <v>1209</v>
      </c>
      <c r="D47" s="11"/>
      <c r="E47" s="11"/>
      <c r="F47" s="11"/>
      <c r="G47" s="11"/>
      <c r="H47" s="59">
        <v>1250</v>
      </c>
      <c r="I47" s="15"/>
      <c r="J47" s="12">
        <f t="shared" si="2"/>
        <v>3766.8199999999997</v>
      </c>
      <c r="K47" s="12">
        <f t="shared" si="3"/>
        <v>52147.44000000001</v>
      </c>
    </row>
    <row r="48" spans="2:11" x14ac:dyDescent="0.25">
      <c r="B48" s="18">
        <v>43054</v>
      </c>
      <c r="C48" s="9" t="s">
        <v>1210</v>
      </c>
      <c r="D48" s="11"/>
      <c r="E48" s="11"/>
      <c r="F48" s="11"/>
      <c r="G48" s="11"/>
      <c r="H48" s="59">
        <v>350</v>
      </c>
      <c r="I48" s="15"/>
      <c r="J48" s="12">
        <f t="shared" si="2"/>
        <v>3766.8199999999997</v>
      </c>
      <c r="K48" s="12">
        <f t="shared" si="3"/>
        <v>51797.44000000001</v>
      </c>
    </row>
    <row r="49" spans="2:11" x14ac:dyDescent="0.25">
      <c r="B49" s="18">
        <v>43054</v>
      </c>
      <c r="C49" s="34" t="s">
        <v>1211</v>
      </c>
      <c r="D49" s="11"/>
      <c r="E49" s="11"/>
      <c r="F49" s="11"/>
      <c r="G49" s="11"/>
      <c r="H49" s="59">
        <v>450</v>
      </c>
      <c r="I49" s="15"/>
      <c r="J49" s="12">
        <f t="shared" si="2"/>
        <v>3766.8199999999997</v>
      </c>
      <c r="K49" s="12">
        <f t="shared" si="3"/>
        <v>51347.44000000001</v>
      </c>
    </row>
    <row r="50" spans="2:11" x14ac:dyDescent="0.25">
      <c r="B50" s="18">
        <v>43054</v>
      </c>
      <c r="C50" s="9" t="s">
        <v>1212</v>
      </c>
      <c r="D50" s="11"/>
      <c r="E50" s="11"/>
      <c r="F50" s="11"/>
      <c r="G50" s="11"/>
      <c r="H50" s="59">
        <v>4000</v>
      </c>
      <c r="I50" s="15"/>
      <c r="J50" s="12">
        <f t="shared" si="2"/>
        <v>3766.8199999999997</v>
      </c>
      <c r="K50" s="12">
        <f t="shared" si="3"/>
        <v>47347.44000000001</v>
      </c>
    </row>
    <row r="51" spans="2:11" x14ac:dyDescent="0.25">
      <c r="B51" s="18">
        <v>43054</v>
      </c>
      <c r="C51" s="9" t="s">
        <v>1213</v>
      </c>
      <c r="D51" s="11"/>
      <c r="E51" s="11"/>
      <c r="F51" s="11"/>
      <c r="G51" s="11"/>
      <c r="H51" s="59">
        <v>1000</v>
      </c>
      <c r="I51" s="15"/>
      <c r="J51" s="12">
        <f t="shared" si="2"/>
        <v>3766.8199999999997</v>
      </c>
      <c r="K51" s="12">
        <f t="shared" si="3"/>
        <v>46347.44000000001</v>
      </c>
    </row>
    <row r="52" spans="2:11" x14ac:dyDescent="0.25">
      <c r="B52" s="18">
        <v>43054</v>
      </c>
      <c r="C52" s="35" t="s">
        <v>1214</v>
      </c>
      <c r="D52" s="41"/>
      <c r="E52" s="41"/>
      <c r="F52" s="41"/>
      <c r="G52" s="16"/>
      <c r="H52" s="59">
        <v>100</v>
      </c>
      <c r="I52" s="15"/>
      <c r="J52" s="12">
        <f t="shared" si="2"/>
        <v>3766.8199999999997</v>
      </c>
      <c r="K52" s="12">
        <f t="shared" si="3"/>
        <v>46247.44000000001</v>
      </c>
    </row>
    <row r="53" spans="2:11" x14ac:dyDescent="0.25">
      <c r="B53" s="18">
        <v>43054</v>
      </c>
      <c r="C53" s="9" t="s">
        <v>1215</v>
      </c>
      <c r="D53" s="41"/>
      <c r="E53" s="41"/>
      <c r="F53" s="41"/>
      <c r="G53" s="16"/>
      <c r="H53" s="11">
        <v>15000</v>
      </c>
      <c r="I53" s="15"/>
      <c r="J53" s="12">
        <f t="shared" si="2"/>
        <v>3766.8199999999997</v>
      </c>
      <c r="K53" s="12">
        <f t="shared" si="3"/>
        <v>31247.44000000001</v>
      </c>
    </row>
    <row r="54" spans="2:11" x14ac:dyDescent="0.25">
      <c r="B54" s="18">
        <v>43054</v>
      </c>
      <c r="C54" s="13" t="s">
        <v>1217</v>
      </c>
      <c r="D54" s="11"/>
      <c r="E54" s="11"/>
      <c r="F54" s="11"/>
      <c r="G54" s="11"/>
      <c r="H54" s="11">
        <v>200</v>
      </c>
      <c r="I54" s="15"/>
      <c r="J54" s="12">
        <f t="shared" si="2"/>
        <v>3766.8199999999997</v>
      </c>
      <c r="K54" s="12">
        <f t="shared" si="3"/>
        <v>31047.44000000001</v>
      </c>
    </row>
    <row r="55" spans="2:11" x14ac:dyDescent="0.25">
      <c r="B55" s="18">
        <v>43054</v>
      </c>
      <c r="C55" s="9" t="s">
        <v>1219</v>
      </c>
      <c r="D55" s="11"/>
      <c r="E55" s="11"/>
      <c r="F55" s="11"/>
      <c r="G55" s="11"/>
      <c r="H55" s="59">
        <v>7500</v>
      </c>
      <c r="I55" s="15"/>
      <c r="J55" s="12">
        <f>+J54+E55-G55</f>
        <v>3766.8199999999997</v>
      </c>
      <c r="K55" s="12">
        <f t="shared" si="3"/>
        <v>23547.44000000001</v>
      </c>
    </row>
    <row r="56" spans="2:11" ht="15.75" thickBot="1" x14ac:dyDescent="0.3">
      <c r="B56" s="18">
        <v>43054</v>
      </c>
      <c r="C56" s="9" t="s">
        <v>1220</v>
      </c>
      <c r="D56" s="11"/>
      <c r="E56" s="11"/>
      <c r="F56" s="11"/>
      <c r="G56" s="11"/>
      <c r="H56" s="59">
        <v>140</v>
      </c>
      <c r="I56" s="15"/>
      <c r="J56" s="12">
        <f>+J55+E56-G56</f>
        <v>3766.8199999999997</v>
      </c>
      <c r="K56" s="12">
        <f t="shared" si="3"/>
        <v>23407.44000000001</v>
      </c>
    </row>
    <row r="57" spans="2:11" ht="15.75" thickBot="1" x14ac:dyDescent="0.3">
      <c r="B57" s="5"/>
      <c r="C57" s="7" t="s">
        <v>0</v>
      </c>
      <c r="D57" s="63">
        <f>SUM(D4:D54)</f>
        <v>60150</v>
      </c>
      <c r="E57" s="61">
        <f>SUM(E4:E52)</f>
        <v>0</v>
      </c>
      <c r="F57" s="72">
        <f>SUM(D57:E57)</f>
        <v>60150</v>
      </c>
      <c r="G57" s="81">
        <f>SUM(G4:G52)</f>
        <v>13060</v>
      </c>
      <c r="H57" s="63">
        <f>SUM(H4:H54)</f>
        <v>50083.7</v>
      </c>
      <c r="I57" s="72">
        <f>SUM(G57:H57)</f>
        <v>63143.7</v>
      </c>
      <c r="J57" s="20"/>
      <c r="K57" s="20"/>
    </row>
    <row r="58" spans="2:11" x14ac:dyDescent="0.25">
      <c r="B58" s="69" t="s">
        <v>1</v>
      </c>
      <c r="C58" s="69" t="s">
        <v>2</v>
      </c>
      <c r="D58" s="69" t="s">
        <v>3</v>
      </c>
      <c r="E58" s="69" t="s">
        <v>3</v>
      </c>
      <c r="F58" s="69" t="s">
        <v>23</v>
      </c>
      <c r="G58" s="69" t="s">
        <v>24</v>
      </c>
      <c r="H58" s="48" t="s">
        <v>24</v>
      </c>
      <c r="I58" s="48" t="s">
        <v>23</v>
      </c>
      <c r="J58" s="69" t="s">
        <v>9</v>
      </c>
      <c r="K58" s="48" t="s">
        <v>8</v>
      </c>
    </row>
    <row r="59" spans="2:11" ht="15.75" thickBot="1" x14ac:dyDescent="0.3">
      <c r="B59" s="70"/>
      <c r="C59" s="70"/>
      <c r="D59" s="70" t="s">
        <v>5</v>
      </c>
      <c r="E59" s="70" t="s">
        <v>25</v>
      </c>
      <c r="F59" s="70" t="s">
        <v>3</v>
      </c>
      <c r="G59" s="70" t="s">
        <v>25</v>
      </c>
      <c r="H59" s="71" t="s">
        <v>5</v>
      </c>
      <c r="I59" s="71" t="s">
        <v>4</v>
      </c>
      <c r="J59" s="70"/>
      <c r="K59" s="71"/>
    </row>
    <row r="60" spans="2:11" ht="15.75" thickBot="1" x14ac:dyDescent="0.3">
      <c r="B60" s="5"/>
      <c r="C60" s="7"/>
      <c r="D60" s="63">
        <v>60150</v>
      </c>
      <c r="E60" s="61">
        <v>0</v>
      </c>
      <c r="F60" s="72">
        <f>SUM(D60:E60)</f>
        <v>60150</v>
      </c>
      <c r="G60" s="81">
        <v>13060</v>
      </c>
      <c r="H60" s="63">
        <v>50083.7</v>
      </c>
      <c r="I60" s="72">
        <f>SUM(G60:H60)</f>
        <v>63143.7</v>
      </c>
      <c r="J60" s="20">
        <v>3766.82</v>
      </c>
      <c r="K60" s="12">
        <v>23407.439999999999</v>
      </c>
    </row>
    <row r="61" spans="2:11" x14ac:dyDescent="0.25">
      <c r="B61" s="18">
        <v>43054</v>
      </c>
      <c r="C61" s="34" t="s">
        <v>1221</v>
      </c>
      <c r="D61" s="11"/>
      <c r="E61" s="11"/>
      <c r="F61" s="11"/>
      <c r="G61" s="11"/>
      <c r="H61" s="59">
        <v>40</v>
      </c>
      <c r="I61" s="15"/>
      <c r="J61" s="12">
        <f>+J60+E61-G61</f>
        <v>3766.82</v>
      </c>
      <c r="K61" s="12">
        <f t="shared" ref="K61" si="4">+K60+D61-H61</f>
        <v>23367.439999999999</v>
      </c>
    </row>
    <row r="62" spans="2:11" x14ac:dyDescent="0.25">
      <c r="B62" s="18">
        <v>43055</v>
      </c>
      <c r="C62" s="35" t="s">
        <v>1222</v>
      </c>
      <c r="D62" s="41"/>
      <c r="E62" s="41"/>
      <c r="F62" s="41"/>
      <c r="G62" s="16"/>
      <c r="H62" s="59">
        <v>2800</v>
      </c>
      <c r="I62" s="15"/>
      <c r="J62" s="12">
        <f t="shared" ref="J62:J109" si="5">+J61+E62-G62</f>
        <v>3766.82</v>
      </c>
      <c r="K62" s="12">
        <f t="shared" ref="K62:K109" si="6">+K61+D62-H62</f>
        <v>20567.439999999999</v>
      </c>
    </row>
    <row r="63" spans="2:11" x14ac:dyDescent="0.25">
      <c r="B63" s="18">
        <v>43056</v>
      </c>
      <c r="C63" s="9" t="s">
        <v>1223</v>
      </c>
      <c r="D63" s="41"/>
      <c r="E63" s="41"/>
      <c r="F63" s="41"/>
      <c r="G63" s="16"/>
      <c r="H63" s="11">
        <v>28</v>
      </c>
      <c r="I63" s="15"/>
      <c r="J63" s="12">
        <f t="shared" si="5"/>
        <v>3766.82</v>
      </c>
      <c r="K63" s="12">
        <f t="shared" si="6"/>
        <v>20539.439999999999</v>
      </c>
    </row>
    <row r="64" spans="2:11" x14ac:dyDescent="0.25">
      <c r="B64" s="18">
        <v>43056</v>
      </c>
      <c r="C64" s="13" t="s">
        <v>1224</v>
      </c>
      <c r="D64" s="41"/>
      <c r="E64" s="41">
        <v>12760</v>
      </c>
      <c r="F64" s="41"/>
      <c r="G64" s="41"/>
      <c r="H64" s="11"/>
      <c r="I64" s="15"/>
      <c r="J64" s="12">
        <f t="shared" si="5"/>
        <v>16526.82</v>
      </c>
      <c r="K64" s="12">
        <f t="shared" si="6"/>
        <v>20539.439999999999</v>
      </c>
    </row>
    <row r="65" spans="2:11" x14ac:dyDescent="0.25">
      <c r="B65" s="18">
        <v>43056</v>
      </c>
      <c r="C65" s="13" t="s">
        <v>1225</v>
      </c>
      <c r="D65" s="11"/>
      <c r="E65" s="11"/>
      <c r="F65" s="11"/>
      <c r="G65" s="11"/>
      <c r="H65" s="11">
        <v>68</v>
      </c>
      <c r="I65" s="15"/>
      <c r="J65" s="12">
        <f t="shared" si="5"/>
        <v>16526.82</v>
      </c>
      <c r="K65" s="12">
        <f t="shared" si="6"/>
        <v>20471.439999999999</v>
      </c>
    </row>
    <row r="66" spans="2:11" x14ac:dyDescent="0.25">
      <c r="B66" s="18">
        <v>43058</v>
      </c>
      <c r="C66" s="13" t="s">
        <v>1226</v>
      </c>
      <c r="D66" s="11"/>
      <c r="E66" s="11"/>
      <c r="F66" s="11"/>
      <c r="G66" s="11"/>
      <c r="H66" s="11">
        <v>120</v>
      </c>
      <c r="I66" s="15"/>
      <c r="J66" s="12">
        <f t="shared" si="5"/>
        <v>16526.82</v>
      </c>
      <c r="K66" s="12">
        <f t="shared" si="6"/>
        <v>20351.439999999999</v>
      </c>
    </row>
    <row r="67" spans="2:11" x14ac:dyDescent="0.25">
      <c r="B67" s="18">
        <v>43058</v>
      </c>
      <c r="C67" s="13" t="s">
        <v>1227</v>
      </c>
      <c r="D67" s="11"/>
      <c r="E67" s="11"/>
      <c r="F67" s="11"/>
      <c r="G67" s="11"/>
      <c r="H67" s="11">
        <v>150</v>
      </c>
      <c r="I67" s="15"/>
      <c r="J67" s="12">
        <f t="shared" si="5"/>
        <v>16526.82</v>
      </c>
      <c r="K67" s="12">
        <f t="shared" si="6"/>
        <v>20201.439999999999</v>
      </c>
    </row>
    <row r="68" spans="2:11" x14ac:dyDescent="0.25">
      <c r="B68" s="18">
        <v>43058</v>
      </c>
      <c r="C68" s="13" t="s">
        <v>1228</v>
      </c>
      <c r="D68" s="11"/>
      <c r="E68" s="11"/>
      <c r="F68" s="11"/>
      <c r="G68" s="11"/>
      <c r="H68" s="11">
        <v>76</v>
      </c>
      <c r="I68" s="15"/>
      <c r="J68" s="12">
        <f t="shared" si="5"/>
        <v>16526.82</v>
      </c>
      <c r="K68" s="12">
        <f t="shared" si="6"/>
        <v>20125.439999999999</v>
      </c>
    </row>
    <row r="69" spans="2:11" x14ac:dyDescent="0.25">
      <c r="B69" s="18">
        <v>43058</v>
      </c>
      <c r="C69" s="13" t="s">
        <v>743</v>
      </c>
      <c r="D69" s="11"/>
      <c r="E69" s="11"/>
      <c r="F69" s="11"/>
      <c r="G69" s="11"/>
      <c r="H69" s="11">
        <v>47</v>
      </c>
      <c r="I69" s="15"/>
      <c r="J69" s="12">
        <f t="shared" si="5"/>
        <v>16526.82</v>
      </c>
      <c r="K69" s="12">
        <f t="shared" si="6"/>
        <v>20078.439999999999</v>
      </c>
    </row>
    <row r="70" spans="2:11" x14ac:dyDescent="0.25">
      <c r="B70" s="18">
        <v>43058</v>
      </c>
      <c r="C70" s="35" t="s">
        <v>1229</v>
      </c>
      <c r="D70" s="11">
        <v>24150</v>
      </c>
      <c r="E70" s="11"/>
      <c r="F70" s="11"/>
      <c r="G70" s="11"/>
      <c r="H70" s="11"/>
      <c r="I70" s="15"/>
      <c r="J70" s="12">
        <f t="shared" si="5"/>
        <v>16526.82</v>
      </c>
      <c r="K70" s="12">
        <f t="shared" si="6"/>
        <v>44228.44</v>
      </c>
    </row>
    <row r="71" spans="2:11" x14ac:dyDescent="0.25">
      <c r="B71" s="18">
        <v>43059</v>
      </c>
      <c r="C71" s="34" t="s">
        <v>1230</v>
      </c>
      <c r="D71" s="11"/>
      <c r="E71" s="11"/>
      <c r="F71" s="11"/>
      <c r="G71" s="11"/>
      <c r="H71" s="11">
        <v>68</v>
      </c>
      <c r="I71" s="15"/>
      <c r="J71" s="12">
        <f t="shared" si="5"/>
        <v>16526.82</v>
      </c>
      <c r="K71" s="12">
        <f t="shared" si="6"/>
        <v>44160.44</v>
      </c>
    </row>
    <row r="72" spans="2:11" x14ac:dyDescent="0.25">
      <c r="B72" s="18">
        <v>43061</v>
      </c>
      <c r="C72" s="9" t="s">
        <v>1207</v>
      </c>
      <c r="D72" s="11"/>
      <c r="E72" s="11"/>
      <c r="F72" s="11"/>
      <c r="G72" s="11"/>
      <c r="H72" s="11">
        <v>350</v>
      </c>
      <c r="I72" s="15"/>
      <c r="J72" s="12">
        <f t="shared" si="5"/>
        <v>16526.82</v>
      </c>
      <c r="K72" s="12">
        <f t="shared" si="6"/>
        <v>43810.44</v>
      </c>
    </row>
    <row r="73" spans="2:11" x14ac:dyDescent="0.25">
      <c r="B73" s="18">
        <v>43061</v>
      </c>
      <c r="C73" s="9" t="s">
        <v>1231</v>
      </c>
      <c r="D73" s="11"/>
      <c r="E73" s="11"/>
      <c r="F73" s="11"/>
      <c r="G73" s="11"/>
      <c r="H73" s="11">
        <v>110</v>
      </c>
      <c r="I73" s="15"/>
      <c r="J73" s="12">
        <f t="shared" si="5"/>
        <v>16526.82</v>
      </c>
      <c r="K73" s="12">
        <f t="shared" si="6"/>
        <v>43700.44</v>
      </c>
    </row>
    <row r="74" spans="2:11" x14ac:dyDescent="0.25">
      <c r="B74" s="18">
        <v>43061</v>
      </c>
      <c r="C74" s="9" t="s">
        <v>1232</v>
      </c>
      <c r="D74" s="11"/>
      <c r="E74" s="11"/>
      <c r="F74" s="11"/>
      <c r="G74" s="11"/>
      <c r="H74" s="11">
        <v>130</v>
      </c>
      <c r="I74" s="15"/>
      <c r="J74" s="12">
        <f t="shared" si="5"/>
        <v>16526.82</v>
      </c>
      <c r="K74" s="12">
        <f t="shared" si="6"/>
        <v>43570.44</v>
      </c>
    </row>
    <row r="75" spans="2:11" x14ac:dyDescent="0.25">
      <c r="B75" s="18">
        <v>43061</v>
      </c>
      <c r="C75" s="35" t="s">
        <v>1233</v>
      </c>
      <c r="D75" s="11"/>
      <c r="E75" s="11"/>
      <c r="F75" s="11"/>
      <c r="G75" s="11"/>
      <c r="H75" s="11">
        <v>200</v>
      </c>
      <c r="I75" s="15"/>
      <c r="J75" s="12">
        <f t="shared" si="5"/>
        <v>16526.82</v>
      </c>
      <c r="K75" s="12">
        <f t="shared" si="6"/>
        <v>43370.44</v>
      </c>
    </row>
    <row r="76" spans="2:11" x14ac:dyDescent="0.25">
      <c r="B76" s="18">
        <v>43062</v>
      </c>
      <c r="C76" s="9" t="s">
        <v>1234</v>
      </c>
      <c r="D76" s="11"/>
      <c r="E76" s="11"/>
      <c r="F76" s="11"/>
      <c r="G76" s="11"/>
      <c r="H76" s="11">
        <v>30100</v>
      </c>
      <c r="I76" s="15"/>
      <c r="J76" s="12">
        <f t="shared" si="5"/>
        <v>16526.82</v>
      </c>
      <c r="K76" s="12">
        <f t="shared" si="6"/>
        <v>13270.440000000002</v>
      </c>
    </row>
    <row r="77" spans="2:11" x14ac:dyDescent="0.25">
      <c r="B77" s="18">
        <v>43062</v>
      </c>
      <c r="C77" s="35" t="s">
        <v>1235</v>
      </c>
      <c r="D77" s="11"/>
      <c r="E77" s="11"/>
      <c r="F77" s="11"/>
      <c r="G77" s="11"/>
      <c r="H77" s="11">
        <v>330</v>
      </c>
      <c r="I77" s="15"/>
      <c r="J77" s="12">
        <f t="shared" si="5"/>
        <v>16526.82</v>
      </c>
      <c r="K77" s="12">
        <f t="shared" si="6"/>
        <v>12940.440000000002</v>
      </c>
    </row>
    <row r="78" spans="2:11" x14ac:dyDescent="0.25">
      <c r="B78" s="18">
        <v>43062</v>
      </c>
      <c r="C78" s="34" t="s">
        <v>1236</v>
      </c>
      <c r="D78" s="11"/>
      <c r="E78" s="11"/>
      <c r="F78" s="11"/>
      <c r="G78" s="11"/>
      <c r="H78" s="11">
        <v>200</v>
      </c>
      <c r="I78" s="15"/>
      <c r="J78" s="12">
        <f t="shared" si="5"/>
        <v>16526.82</v>
      </c>
      <c r="K78" s="12">
        <f t="shared" si="6"/>
        <v>12740.440000000002</v>
      </c>
    </row>
    <row r="79" spans="2:11" x14ac:dyDescent="0.25">
      <c r="B79" s="18">
        <v>43062</v>
      </c>
      <c r="C79" s="13" t="s">
        <v>1237</v>
      </c>
      <c r="D79" s="11"/>
      <c r="E79" s="11"/>
      <c r="F79" s="11"/>
      <c r="G79" s="11"/>
      <c r="H79" s="11">
        <v>77.3</v>
      </c>
      <c r="I79" s="15"/>
      <c r="J79" s="12">
        <f t="shared" si="5"/>
        <v>16526.82</v>
      </c>
      <c r="K79" s="12">
        <f t="shared" si="6"/>
        <v>12663.140000000003</v>
      </c>
    </row>
    <row r="80" spans="2:11" x14ac:dyDescent="0.25">
      <c r="B80" s="18">
        <v>43062</v>
      </c>
      <c r="C80" s="9" t="s">
        <v>1238</v>
      </c>
      <c r="D80" s="11"/>
      <c r="E80" s="11"/>
      <c r="F80" s="11"/>
      <c r="G80" s="11"/>
      <c r="H80" s="11">
        <v>245.4</v>
      </c>
      <c r="I80" s="15"/>
      <c r="J80" s="12">
        <f t="shared" si="5"/>
        <v>16526.82</v>
      </c>
      <c r="K80" s="12">
        <f t="shared" si="6"/>
        <v>12417.740000000003</v>
      </c>
    </row>
    <row r="81" spans="2:11" x14ac:dyDescent="0.25">
      <c r="B81" s="18">
        <v>43063</v>
      </c>
      <c r="C81" s="9" t="s">
        <v>1239</v>
      </c>
      <c r="D81" s="11"/>
      <c r="E81" s="11"/>
      <c r="F81" s="11"/>
      <c r="G81" s="11"/>
      <c r="H81" s="11">
        <v>1250</v>
      </c>
      <c r="I81" s="15"/>
      <c r="J81" s="12">
        <f t="shared" si="5"/>
        <v>16526.82</v>
      </c>
      <c r="K81" s="12">
        <f t="shared" si="6"/>
        <v>11167.740000000003</v>
      </c>
    </row>
    <row r="82" spans="2:11" x14ac:dyDescent="0.25">
      <c r="B82" s="18">
        <v>43064</v>
      </c>
      <c r="C82" s="9" t="s">
        <v>1240</v>
      </c>
      <c r="D82" s="11"/>
      <c r="E82" s="11"/>
      <c r="F82" s="11"/>
      <c r="G82" s="11"/>
      <c r="H82" s="11">
        <v>480</v>
      </c>
      <c r="I82" s="15"/>
      <c r="J82" s="12">
        <f t="shared" si="5"/>
        <v>16526.82</v>
      </c>
      <c r="K82" s="12">
        <f t="shared" si="6"/>
        <v>10687.740000000003</v>
      </c>
    </row>
    <row r="83" spans="2:11" x14ac:dyDescent="0.25">
      <c r="B83" s="18">
        <v>43064</v>
      </c>
      <c r="C83" s="35" t="s">
        <v>1241</v>
      </c>
      <c r="D83" s="11"/>
      <c r="E83" s="11"/>
      <c r="F83" s="11"/>
      <c r="G83" s="11"/>
      <c r="H83" s="11">
        <v>400</v>
      </c>
      <c r="I83" s="15"/>
      <c r="J83" s="12">
        <f t="shared" si="5"/>
        <v>16526.82</v>
      </c>
      <c r="K83" s="12">
        <f t="shared" si="6"/>
        <v>10287.740000000003</v>
      </c>
    </row>
    <row r="84" spans="2:11" x14ac:dyDescent="0.25">
      <c r="B84" s="18">
        <v>43065</v>
      </c>
      <c r="C84" s="34" t="s">
        <v>1242</v>
      </c>
      <c r="D84" s="11">
        <v>12600</v>
      </c>
      <c r="E84" s="11"/>
      <c r="F84" s="11"/>
      <c r="G84" s="11"/>
      <c r="H84" s="11"/>
      <c r="I84" s="15"/>
      <c r="J84" s="12">
        <f t="shared" si="5"/>
        <v>16526.82</v>
      </c>
      <c r="K84" s="12">
        <f t="shared" si="6"/>
        <v>22887.740000000005</v>
      </c>
    </row>
    <row r="85" spans="2:11" x14ac:dyDescent="0.25">
      <c r="B85" s="18">
        <v>43065</v>
      </c>
      <c r="C85" s="35" t="s">
        <v>743</v>
      </c>
      <c r="D85" s="11"/>
      <c r="E85" s="11"/>
      <c r="F85" s="11"/>
      <c r="G85" s="11"/>
      <c r="H85" s="11">
        <v>99</v>
      </c>
      <c r="I85" s="15"/>
      <c r="J85" s="12">
        <f t="shared" si="5"/>
        <v>16526.82</v>
      </c>
      <c r="K85" s="12">
        <f t="shared" si="6"/>
        <v>22788.740000000005</v>
      </c>
    </row>
    <row r="86" spans="2:11" x14ac:dyDescent="0.25">
      <c r="B86" s="18">
        <v>43065</v>
      </c>
      <c r="C86" s="9" t="s">
        <v>1226</v>
      </c>
      <c r="D86" s="11"/>
      <c r="E86" s="11"/>
      <c r="F86" s="11"/>
      <c r="G86" s="11"/>
      <c r="H86" s="11">
        <v>120</v>
      </c>
      <c r="I86" s="15"/>
      <c r="J86" s="12">
        <f t="shared" si="5"/>
        <v>16526.82</v>
      </c>
      <c r="K86" s="12">
        <f t="shared" si="6"/>
        <v>22668.740000000005</v>
      </c>
    </row>
    <row r="87" spans="2:11" x14ac:dyDescent="0.25">
      <c r="B87" s="18">
        <v>43065</v>
      </c>
      <c r="C87" s="13" t="s">
        <v>535</v>
      </c>
      <c r="D87" s="41"/>
      <c r="E87" s="41"/>
      <c r="F87" s="41"/>
      <c r="G87" s="16"/>
      <c r="H87" s="11">
        <v>150</v>
      </c>
      <c r="I87" s="15"/>
      <c r="J87" s="12">
        <f t="shared" si="5"/>
        <v>16526.82</v>
      </c>
      <c r="K87" s="12">
        <f t="shared" si="6"/>
        <v>22518.740000000005</v>
      </c>
    </row>
    <row r="88" spans="2:11" x14ac:dyDescent="0.25">
      <c r="B88" s="18">
        <v>43066</v>
      </c>
      <c r="C88" s="13" t="s">
        <v>1230</v>
      </c>
      <c r="D88" s="41"/>
      <c r="E88" s="41"/>
      <c r="F88" s="41"/>
      <c r="G88" s="16"/>
      <c r="H88" s="11">
        <v>140</v>
      </c>
      <c r="I88" s="15"/>
      <c r="J88" s="12">
        <f t="shared" si="5"/>
        <v>16526.82</v>
      </c>
      <c r="K88" s="12">
        <f t="shared" si="6"/>
        <v>22378.740000000005</v>
      </c>
    </row>
    <row r="89" spans="2:11" x14ac:dyDescent="0.25">
      <c r="B89" s="18">
        <v>43066</v>
      </c>
      <c r="C89" s="13" t="s">
        <v>1243</v>
      </c>
      <c r="D89" s="41"/>
      <c r="E89" s="41"/>
      <c r="F89" s="41"/>
      <c r="G89" s="16"/>
      <c r="H89" s="11">
        <v>530</v>
      </c>
      <c r="I89" s="15"/>
      <c r="J89" s="12">
        <f t="shared" si="5"/>
        <v>16526.82</v>
      </c>
      <c r="K89" s="12">
        <f t="shared" si="6"/>
        <v>21848.740000000005</v>
      </c>
    </row>
    <row r="90" spans="2:11" x14ac:dyDescent="0.25">
      <c r="B90" s="18">
        <v>43067</v>
      </c>
      <c r="C90" s="13" t="s">
        <v>1244</v>
      </c>
      <c r="D90" s="41"/>
      <c r="E90" s="41"/>
      <c r="F90" s="41"/>
      <c r="G90" s="16"/>
      <c r="H90" s="11">
        <v>18</v>
      </c>
      <c r="I90" s="15"/>
      <c r="J90" s="12">
        <f t="shared" si="5"/>
        <v>16526.82</v>
      </c>
      <c r="K90" s="12">
        <f t="shared" si="6"/>
        <v>21830.740000000005</v>
      </c>
    </row>
    <row r="91" spans="2:11" x14ac:dyDescent="0.25">
      <c r="B91" s="18">
        <v>43067</v>
      </c>
      <c r="C91" s="13" t="s">
        <v>1245</v>
      </c>
      <c r="D91" s="41"/>
      <c r="E91" s="41"/>
      <c r="F91" s="41"/>
      <c r="G91" s="41"/>
      <c r="H91" s="11">
        <v>15</v>
      </c>
      <c r="I91" s="15"/>
      <c r="J91" s="12">
        <f t="shared" si="5"/>
        <v>16526.82</v>
      </c>
      <c r="K91" s="12">
        <f t="shared" si="6"/>
        <v>21815.740000000005</v>
      </c>
    </row>
    <row r="92" spans="2:11" x14ac:dyDescent="0.25">
      <c r="B92" s="18">
        <v>43067</v>
      </c>
      <c r="C92" s="13" t="s">
        <v>1246</v>
      </c>
      <c r="D92" s="41"/>
      <c r="E92" s="41"/>
      <c r="F92" s="41"/>
      <c r="G92" s="41"/>
      <c r="H92" s="11">
        <v>4</v>
      </c>
      <c r="I92" s="15"/>
      <c r="J92" s="12">
        <f t="shared" si="5"/>
        <v>16526.82</v>
      </c>
      <c r="K92" s="12">
        <f t="shared" si="6"/>
        <v>21811.740000000005</v>
      </c>
    </row>
    <row r="93" spans="2:11" x14ac:dyDescent="0.25">
      <c r="B93" s="18">
        <v>43069</v>
      </c>
      <c r="C93" s="9" t="s">
        <v>1249</v>
      </c>
      <c r="D93" s="11"/>
      <c r="E93" s="11"/>
      <c r="F93" s="11"/>
      <c r="G93" s="11"/>
      <c r="H93" s="11">
        <v>350</v>
      </c>
      <c r="I93" s="15"/>
      <c r="J93" s="12">
        <f t="shared" si="5"/>
        <v>16526.82</v>
      </c>
      <c r="K93" s="12">
        <f t="shared" si="6"/>
        <v>21461.740000000005</v>
      </c>
    </row>
    <row r="94" spans="2:11" x14ac:dyDescent="0.25">
      <c r="B94" s="18">
        <v>43069</v>
      </c>
      <c r="C94" s="9" t="s">
        <v>1253</v>
      </c>
      <c r="D94" s="11"/>
      <c r="E94" s="11"/>
      <c r="F94" s="11"/>
      <c r="G94" s="11"/>
      <c r="H94" s="11">
        <v>100</v>
      </c>
      <c r="I94" s="15"/>
      <c r="J94" s="12">
        <f t="shared" si="5"/>
        <v>16526.82</v>
      </c>
      <c r="K94" s="12">
        <f t="shared" si="6"/>
        <v>21361.740000000005</v>
      </c>
    </row>
    <row r="95" spans="2:11" x14ac:dyDescent="0.25">
      <c r="B95" s="18">
        <v>43069</v>
      </c>
      <c r="C95" s="9" t="s">
        <v>1247</v>
      </c>
      <c r="D95" s="11"/>
      <c r="E95" s="11"/>
      <c r="F95" s="11"/>
      <c r="G95" s="11"/>
      <c r="H95" s="11">
        <v>450</v>
      </c>
      <c r="I95" s="15"/>
      <c r="J95" s="12">
        <f t="shared" si="5"/>
        <v>16526.82</v>
      </c>
      <c r="K95" s="12">
        <f t="shared" si="6"/>
        <v>20911.740000000005</v>
      </c>
    </row>
    <row r="96" spans="2:11" x14ac:dyDescent="0.25">
      <c r="B96" s="18">
        <v>43069</v>
      </c>
      <c r="C96" s="9" t="s">
        <v>1248</v>
      </c>
      <c r="D96" s="11"/>
      <c r="E96" s="11"/>
      <c r="F96" s="11"/>
      <c r="G96" s="11"/>
      <c r="H96" s="11">
        <v>100</v>
      </c>
      <c r="I96" s="15"/>
      <c r="J96" s="12">
        <f t="shared" si="5"/>
        <v>16526.82</v>
      </c>
      <c r="K96" s="12">
        <f t="shared" si="6"/>
        <v>20811.740000000005</v>
      </c>
    </row>
    <row r="97" spans="2:12" x14ac:dyDescent="0.25">
      <c r="B97" s="18">
        <v>43069</v>
      </c>
      <c r="C97" s="9" t="s">
        <v>1250</v>
      </c>
      <c r="D97" s="11"/>
      <c r="E97" s="11"/>
      <c r="F97" s="11"/>
      <c r="G97" s="11"/>
      <c r="H97" s="11">
        <v>300</v>
      </c>
      <c r="I97" s="15"/>
      <c r="J97" s="12">
        <f t="shared" si="5"/>
        <v>16526.82</v>
      </c>
      <c r="K97" s="12">
        <f t="shared" si="6"/>
        <v>20511.740000000005</v>
      </c>
    </row>
    <row r="98" spans="2:12" x14ac:dyDescent="0.25">
      <c r="B98" s="18">
        <v>43069</v>
      </c>
      <c r="C98" s="9" t="s">
        <v>1251</v>
      </c>
      <c r="D98" s="11"/>
      <c r="E98" s="11"/>
      <c r="F98" s="11"/>
      <c r="G98" s="11"/>
      <c r="H98" s="11">
        <v>1000</v>
      </c>
      <c r="I98" s="15"/>
      <c r="J98" s="12">
        <f t="shared" si="5"/>
        <v>16526.82</v>
      </c>
      <c r="K98" s="12">
        <f t="shared" si="6"/>
        <v>19511.740000000005</v>
      </c>
    </row>
    <row r="99" spans="2:12" x14ac:dyDescent="0.25">
      <c r="B99" s="18">
        <v>43069</v>
      </c>
      <c r="C99" s="13" t="s">
        <v>1252</v>
      </c>
      <c r="D99" s="11">
        <v>5400</v>
      </c>
      <c r="E99" s="11"/>
      <c r="F99" s="11"/>
      <c r="G99" s="11"/>
      <c r="H99" s="11"/>
      <c r="I99" s="15"/>
      <c r="J99" s="12">
        <f t="shared" si="5"/>
        <v>16526.82</v>
      </c>
      <c r="K99" s="12">
        <f t="shared" si="6"/>
        <v>24911.740000000005</v>
      </c>
    </row>
    <row r="100" spans="2:12" x14ac:dyDescent="0.25">
      <c r="B100" s="18">
        <v>43043</v>
      </c>
      <c r="C100" s="13" t="s">
        <v>1254</v>
      </c>
      <c r="D100" s="11"/>
      <c r="E100" s="11">
        <v>300.45999999999998</v>
      </c>
      <c r="F100" s="11"/>
      <c r="G100" s="11"/>
      <c r="H100" s="11"/>
      <c r="I100" s="15"/>
      <c r="J100" s="12">
        <f t="shared" si="5"/>
        <v>16827.28</v>
      </c>
      <c r="K100" s="12">
        <f t="shared" si="6"/>
        <v>24911.740000000005</v>
      </c>
    </row>
    <row r="101" spans="2:12" x14ac:dyDescent="0.25">
      <c r="B101" s="18">
        <v>43043</v>
      </c>
      <c r="C101" s="13" t="s">
        <v>1255</v>
      </c>
      <c r="D101" s="11"/>
      <c r="E101" s="11">
        <v>300.45999999999998</v>
      </c>
      <c r="F101" s="11"/>
      <c r="G101" s="11"/>
      <c r="H101" s="11"/>
      <c r="I101" s="15"/>
      <c r="J101" s="12">
        <f t="shared" si="5"/>
        <v>17127.739999999998</v>
      </c>
      <c r="K101" s="12">
        <f t="shared" si="6"/>
        <v>24911.740000000005</v>
      </c>
    </row>
    <row r="102" spans="2:12" x14ac:dyDescent="0.25">
      <c r="B102" s="18">
        <v>43040</v>
      </c>
      <c r="C102" s="9" t="s">
        <v>1094</v>
      </c>
      <c r="D102" s="11"/>
      <c r="E102" s="11"/>
      <c r="F102" s="11"/>
      <c r="G102" s="11">
        <v>30</v>
      </c>
      <c r="H102" s="11"/>
      <c r="I102" s="15"/>
      <c r="J102" s="12">
        <f t="shared" si="5"/>
        <v>17097.739999999998</v>
      </c>
      <c r="K102" s="12">
        <f t="shared" si="6"/>
        <v>24911.740000000005</v>
      </c>
    </row>
    <row r="103" spans="2:12" x14ac:dyDescent="0.25">
      <c r="B103" s="18">
        <v>43040</v>
      </c>
      <c r="C103" s="9" t="s">
        <v>1090</v>
      </c>
      <c r="D103" s="11"/>
      <c r="E103" s="11"/>
      <c r="F103" s="11"/>
      <c r="G103" s="11">
        <v>4.8</v>
      </c>
      <c r="H103" s="11"/>
      <c r="I103" s="15"/>
      <c r="J103" s="12">
        <f t="shared" si="5"/>
        <v>17092.939999999999</v>
      </c>
      <c r="K103" s="12">
        <f t="shared" si="6"/>
        <v>24911.740000000005</v>
      </c>
    </row>
    <row r="104" spans="2:12" x14ac:dyDescent="0.25">
      <c r="B104" s="18">
        <v>43069</v>
      </c>
      <c r="C104" s="9" t="s">
        <v>1258</v>
      </c>
      <c r="D104" s="11"/>
      <c r="E104" s="11"/>
      <c r="F104" s="11"/>
      <c r="G104" s="11">
        <v>31.21</v>
      </c>
      <c r="H104" s="11"/>
      <c r="I104" s="15"/>
      <c r="J104" s="12">
        <f t="shared" si="5"/>
        <v>17061.73</v>
      </c>
      <c r="K104" s="12">
        <f t="shared" si="6"/>
        <v>24911.740000000005</v>
      </c>
      <c r="L104" s="1"/>
    </row>
    <row r="105" spans="2:12" x14ac:dyDescent="0.25">
      <c r="B105" s="18">
        <v>43069</v>
      </c>
      <c r="C105" s="9" t="s">
        <v>1259</v>
      </c>
      <c r="D105" s="11"/>
      <c r="E105" s="11"/>
      <c r="F105" s="11"/>
      <c r="G105" s="11">
        <v>4.99</v>
      </c>
      <c r="H105" s="11"/>
      <c r="I105" s="15"/>
      <c r="J105" s="12">
        <f t="shared" si="5"/>
        <v>17056.739999999998</v>
      </c>
      <c r="K105" s="12">
        <f t="shared" si="6"/>
        <v>24911.740000000005</v>
      </c>
    </row>
    <row r="106" spans="2:12" x14ac:dyDescent="0.25">
      <c r="B106" s="18">
        <v>43069</v>
      </c>
      <c r="C106" s="13" t="s">
        <v>1256</v>
      </c>
      <c r="D106" s="11"/>
      <c r="E106" s="11"/>
      <c r="F106" s="11"/>
      <c r="G106" s="11">
        <v>36</v>
      </c>
      <c r="H106" s="11"/>
      <c r="I106" s="15"/>
      <c r="J106" s="12">
        <f t="shared" si="5"/>
        <v>17020.739999999998</v>
      </c>
      <c r="K106" s="12">
        <f t="shared" si="6"/>
        <v>24911.740000000005</v>
      </c>
    </row>
    <row r="107" spans="2:12" x14ac:dyDescent="0.25">
      <c r="B107" s="18">
        <v>43069</v>
      </c>
      <c r="C107" s="9" t="s">
        <v>1257</v>
      </c>
      <c r="D107" s="11"/>
      <c r="E107" s="11"/>
      <c r="F107" s="11"/>
      <c r="G107" s="11">
        <v>5.76</v>
      </c>
      <c r="H107" s="11"/>
      <c r="I107" s="15"/>
      <c r="J107" s="12">
        <f t="shared" si="5"/>
        <v>17014.98</v>
      </c>
      <c r="K107" s="12">
        <f t="shared" si="6"/>
        <v>24911.740000000005</v>
      </c>
    </row>
    <row r="108" spans="2:12" x14ac:dyDescent="0.25">
      <c r="B108" s="18"/>
      <c r="C108" s="9"/>
      <c r="D108" s="11"/>
      <c r="E108" s="11"/>
      <c r="F108" s="11"/>
      <c r="G108" s="11"/>
      <c r="H108" s="11"/>
      <c r="I108" s="15"/>
      <c r="J108" s="12">
        <f t="shared" si="5"/>
        <v>17014.98</v>
      </c>
      <c r="K108" s="12">
        <f t="shared" si="6"/>
        <v>24911.740000000005</v>
      </c>
    </row>
    <row r="109" spans="2:12" ht="15.75" thickBot="1" x14ac:dyDescent="0.3">
      <c r="B109" s="18"/>
      <c r="C109" s="9"/>
      <c r="D109" s="11"/>
      <c r="E109" s="11"/>
      <c r="F109" s="11"/>
      <c r="G109" s="11"/>
      <c r="H109" s="11"/>
      <c r="I109" s="15"/>
      <c r="J109" s="12">
        <f t="shared" si="5"/>
        <v>17014.98</v>
      </c>
      <c r="K109" s="12">
        <f t="shared" si="6"/>
        <v>24911.740000000005</v>
      </c>
    </row>
    <row r="110" spans="2:12" ht="15.75" thickBot="1" x14ac:dyDescent="0.3">
      <c r="B110" s="5"/>
      <c r="C110" s="7" t="s">
        <v>0</v>
      </c>
      <c r="D110" s="63">
        <f>SUM(D58:D109)</f>
        <v>102300</v>
      </c>
      <c r="E110" s="61">
        <f>SUM(E58:E106)</f>
        <v>13360.919999999998</v>
      </c>
      <c r="F110" s="72">
        <f>SUM(D110:E110)</f>
        <v>115660.92</v>
      </c>
      <c r="G110" s="81">
        <f>SUM(G60:G109)</f>
        <v>13172.759999999998</v>
      </c>
      <c r="H110" s="99">
        <f>SUM(H60:H109)</f>
        <v>90729.4</v>
      </c>
      <c r="I110" s="72">
        <f>SUM(G110:H110)</f>
        <v>103902.15999999999</v>
      </c>
      <c r="J110" s="20"/>
      <c r="K110" s="20"/>
    </row>
    <row r="111" spans="2:12" ht="15.75" thickBot="1" x14ac:dyDescent="0.3"/>
    <row r="112" spans="2:12" ht="15.75" thickBot="1" x14ac:dyDescent="0.3">
      <c r="I112" s="75" t="s">
        <v>9</v>
      </c>
      <c r="J112" s="75" t="s">
        <v>8</v>
      </c>
      <c r="K112" s="96" t="s">
        <v>0</v>
      </c>
    </row>
    <row r="113" spans="9:11" ht="15.75" thickBot="1" x14ac:dyDescent="0.3">
      <c r="I113" s="78">
        <v>17014.98</v>
      </c>
      <c r="J113" s="78">
        <v>24911.74</v>
      </c>
      <c r="K113" s="20">
        <f>SUM(I113:J113)</f>
        <v>41926.720000000001</v>
      </c>
    </row>
  </sheetData>
  <printOptions verticalCentered="1"/>
  <pageMargins left="0.70866141732283472" right="0" top="0" bottom="0" header="0.31496062992125984" footer="0.31496062992125984"/>
  <pageSetup paperSize="9" scale="69" fitToHeight="0"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L153"/>
  <sheetViews>
    <sheetView tabSelected="1" topLeftCell="B1" zoomScale="90" zoomScaleNormal="90" workbookViewId="0">
      <pane ySplit="3" topLeftCell="A143" activePane="bottomLeft" state="frozen"/>
      <selection pane="bottomLeft" activeCell="H165" sqref="H165"/>
    </sheetView>
  </sheetViews>
  <sheetFormatPr baseColWidth="10" defaultRowHeight="15" x14ac:dyDescent="0.25"/>
  <cols>
    <col min="1" max="1" width="10.7109375" customWidth="1"/>
    <col min="2" max="2" width="11.5703125" customWidth="1"/>
    <col min="3" max="3" width="84.5703125" customWidth="1"/>
    <col min="4" max="6" width="11.7109375" customWidth="1"/>
    <col min="10" max="10" width="12.5703125" bestFit="1" customWidth="1"/>
  </cols>
  <sheetData>
    <row r="1" spans="2:11" ht="15.75" thickBot="1" x14ac:dyDescent="0.3">
      <c r="B1" s="80"/>
      <c r="C1" s="100" t="s">
        <v>729</v>
      </c>
    </row>
    <row r="2" spans="2:11" x14ac:dyDescent="0.25">
      <c r="B2" s="69" t="s">
        <v>1</v>
      </c>
      <c r="C2" s="69" t="s">
        <v>2</v>
      </c>
      <c r="D2" s="69" t="s">
        <v>3</v>
      </c>
      <c r="E2" s="69" t="s">
        <v>3</v>
      </c>
      <c r="F2" s="69" t="s">
        <v>23</v>
      </c>
      <c r="G2" s="69" t="s">
        <v>24</v>
      </c>
      <c r="H2" s="48" t="s">
        <v>24</v>
      </c>
      <c r="I2" s="48" t="s">
        <v>23</v>
      </c>
      <c r="J2" s="69" t="s">
        <v>9</v>
      </c>
      <c r="K2" s="48" t="s">
        <v>8</v>
      </c>
    </row>
    <row r="3" spans="2:11" ht="15.75" thickBot="1" x14ac:dyDescent="0.3">
      <c r="B3" s="70"/>
      <c r="C3" s="70"/>
      <c r="D3" s="70" t="s">
        <v>5</v>
      </c>
      <c r="E3" s="70" t="s">
        <v>25</v>
      </c>
      <c r="F3" s="70" t="s">
        <v>3</v>
      </c>
      <c r="G3" s="70" t="s">
        <v>25</v>
      </c>
      <c r="H3" s="71" t="s">
        <v>5</v>
      </c>
      <c r="I3" s="71" t="s">
        <v>4</v>
      </c>
      <c r="J3" s="70"/>
      <c r="K3" s="71"/>
    </row>
    <row r="4" spans="2:11" x14ac:dyDescent="0.25">
      <c r="B4" s="23">
        <v>43069</v>
      </c>
      <c r="C4" s="66" t="s">
        <v>720</v>
      </c>
      <c r="D4" s="67"/>
      <c r="E4" s="64"/>
      <c r="F4" s="64"/>
      <c r="G4" s="64"/>
      <c r="H4" s="17"/>
      <c r="I4" s="65"/>
      <c r="J4" s="74">
        <v>17014.98</v>
      </c>
      <c r="K4" s="98">
        <v>24911.74</v>
      </c>
    </row>
    <row r="5" spans="2:11" x14ac:dyDescent="0.25">
      <c r="B5" s="23">
        <v>43070</v>
      </c>
      <c r="C5" s="9" t="s">
        <v>1260</v>
      </c>
      <c r="D5" s="11"/>
      <c r="E5" s="11"/>
      <c r="F5" s="11"/>
      <c r="G5" s="11"/>
      <c r="H5" s="11">
        <v>3600</v>
      </c>
      <c r="I5" s="15"/>
      <c r="J5" s="12">
        <f>+J4+E5-G5</f>
        <v>17014.98</v>
      </c>
      <c r="K5" s="12">
        <f t="shared" ref="K5:K56" si="0">+K4+D5-H5</f>
        <v>21311.74</v>
      </c>
    </row>
    <row r="6" spans="2:11" x14ac:dyDescent="0.25">
      <c r="B6" s="23">
        <v>43070</v>
      </c>
      <c r="C6" s="13" t="s">
        <v>1261</v>
      </c>
      <c r="D6" s="11"/>
      <c r="E6" s="11"/>
      <c r="F6" s="11"/>
      <c r="G6" s="11"/>
      <c r="H6" s="11">
        <v>1600</v>
      </c>
      <c r="I6" s="15"/>
      <c r="J6" s="12">
        <f t="shared" ref="J6:J54" si="1">+J5+E6-G6</f>
        <v>17014.98</v>
      </c>
      <c r="K6" s="12">
        <f t="shared" si="0"/>
        <v>19711.740000000002</v>
      </c>
    </row>
    <row r="7" spans="2:11" x14ac:dyDescent="0.25">
      <c r="B7" s="18">
        <v>43070</v>
      </c>
      <c r="C7" s="9" t="s">
        <v>1262</v>
      </c>
      <c r="D7" s="11"/>
      <c r="E7" s="11"/>
      <c r="F7" s="11"/>
      <c r="G7" s="11"/>
      <c r="H7" s="59">
        <v>4000</v>
      </c>
      <c r="I7" s="15"/>
      <c r="J7" s="12">
        <f t="shared" si="1"/>
        <v>17014.98</v>
      </c>
      <c r="K7" s="12">
        <f t="shared" si="0"/>
        <v>15711.740000000002</v>
      </c>
    </row>
    <row r="8" spans="2:11" x14ac:dyDescent="0.25">
      <c r="B8" s="18">
        <v>43070</v>
      </c>
      <c r="C8" s="13" t="s">
        <v>1263</v>
      </c>
      <c r="D8" s="11"/>
      <c r="E8" s="11"/>
      <c r="F8" s="11"/>
      <c r="G8" s="11"/>
      <c r="H8" s="11">
        <v>405</v>
      </c>
      <c r="I8" s="15"/>
      <c r="J8" s="12">
        <f t="shared" si="1"/>
        <v>17014.98</v>
      </c>
      <c r="K8" s="12">
        <f t="shared" si="0"/>
        <v>15306.740000000002</v>
      </c>
    </row>
    <row r="9" spans="2:11" x14ac:dyDescent="0.25">
      <c r="B9" s="18">
        <v>43070</v>
      </c>
      <c r="C9" s="9" t="s">
        <v>1264</v>
      </c>
      <c r="D9" s="11"/>
      <c r="E9" s="11"/>
      <c r="F9" s="11"/>
      <c r="G9" s="11"/>
      <c r="H9" s="59">
        <v>5</v>
      </c>
      <c r="I9" s="15"/>
      <c r="J9" s="12">
        <f t="shared" si="1"/>
        <v>17014.98</v>
      </c>
      <c r="K9" s="12">
        <f t="shared" si="0"/>
        <v>15301.740000000002</v>
      </c>
    </row>
    <row r="10" spans="2:11" x14ac:dyDescent="0.25">
      <c r="B10" s="18">
        <v>43070</v>
      </c>
      <c r="C10" s="9" t="s">
        <v>1265</v>
      </c>
      <c r="D10" s="11"/>
      <c r="E10" s="11"/>
      <c r="F10" s="11"/>
      <c r="G10" s="11"/>
      <c r="H10" s="11">
        <v>150</v>
      </c>
      <c r="I10" s="15"/>
      <c r="J10" s="12">
        <f t="shared" si="1"/>
        <v>17014.98</v>
      </c>
      <c r="K10" s="12">
        <f t="shared" si="0"/>
        <v>15151.740000000002</v>
      </c>
    </row>
    <row r="11" spans="2:11" x14ac:dyDescent="0.25">
      <c r="B11" s="18">
        <v>43070</v>
      </c>
      <c r="C11" s="9" t="s">
        <v>1266</v>
      </c>
      <c r="D11" s="11"/>
      <c r="E11" s="11"/>
      <c r="F11" s="11"/>
      <c r="G11" s="11"/>
      <c r="H11" s="11">
        <v>600</v>
      </c>
      <c r="I11" s="15"/>
      <c r="J11" s="12">
        <f t="shared" si="1"/>
        <v>17014.98</v>
      </c>
      <c r="K11" s="12">
        <f t="shared" si="0"/>
        <v>14551.740000000002</v>
      </c>
    </row>
    <row r="12" spans="2:11" x14ac:dyDescent="0.25">
      <c r="B12" s="18">
        <v>43070</v>
      </c>
      <c r="C12" s="9" t="s">
        <v>1267</v>
      </c>
      <c r="D12" s="11"/>
      <c r="E12" s="11"/>
      <c r="F12" s="11"/>
      <c r="G12" s="11"/>
      <c r="H12" s="11">
        <v>250</v>
      </c>
      <c r="I12" s="15"/>
      <c r="J12" s="12">
        <f t="shared" si="1"/>
        <v>17014.98</v>
      </c>
      <c r="K12" s="12">
        <f t="shared" si="0"/>
        <v>14301.740000000002</v>
      </c>
    </row>
    <row r="13" spans="2:11" x14ac:dyDescent="0.25">
      <c r="B13" s="18">
        <v>43070</v>
      </c>
      <c r="C13" s="9" t="s">
        <v>1267</v>
      </c>
      <c r="D13" s="11"/>
      <c r="E13" s="11"/>
      <c r="F13" s="11"/>
      <c r="G13" s="11"/>
      <c r="H13" s="59">
        <v>250</v>
      </c>
      <c r="I13" s="15"/>
      <c r="J13" s="12">
        <f t="shared" si="1"/>
        <v>17014.98</v>
      </c>
      <c r="K13" s="12">
        <f t="shared" si="0"/>
        <v>14051.740000000002</v>
      </c>
    </row>
    <row r="14" spans="2:11" x14ac:dyDescent="0.25">
      <c r="B14" s="18">
        <v>43070</v>
      </c>
      <c r="C14" s="9" t="s">
        <v>1268</v>
      </c>
      <c r="D14" s="11"/>
      <c r="E14" s="11"/>
      <c r="F14" s="11"/>
      <c r="G14" s="11"/>
      <c r="H14" s="11">
        <v>330</v>
      </c>
      <c r="I14" s="15"/>
      <c r="J14" s="12">
        <f t="shared" si="1"/>
        <v>17014.98</v>
      </c>
      <c r="K14" s="12">
        <f t="shared" si="0"/>
        <v>13721.740000000002</v>
      </c>
    </row>
    <row r="15" spans="2:11" x14ac:dyDescent="0.25">
      <c r="B15" s="18">
        <v>43070</v>
      </c>
      <c r="C15" s="9" t="s">
        <v>1269</v>
      </c>
      <c r="D15" s="11"/>
      <c r="E15" s="11"/>
      <c r="F15" s="11"/>
      <c r="G15" s="11"/>
      <c r="H15" s="59">
        <v>135</v>
      </c>
      <c r="I15" s="15"/>
      <c r="J15" s="12">
        <f t="shared" si="1"/>
        <v>17014.98</v>
      </c>
      <c r="K15" s="12">
        <f t="shared" si="0"/>
        <v>13586.740000000002</v>
      </c>
    </row>
    <row r="16" spans="2:11" x14ac:dyDescent="0.25">
      <c r="B16" s="18">
        <v>43070</v>
      </c>
      <c r="C16" s="9" t="s">
        <v>1270</v>
      </c>
      <c r="D16" s="11"/>
      <c r="E16" s="11"/>
      <c r="F16" s="11"/>
      <c r="G16" s="11"/>
      <c r="H16" s="11">
        <v>1250</v>
      </c>
      <c r="I16" s="15"/>
      <c r="J16" s="12">
        <f t="shared" si="1"/>
        <v>17014.98</v>
      </c>
      <c r="K16" s="12">
        <f t="shared" si="0"/>
        <v>12336.740000000002</v>
      </c>
    </row>
    <row r="17" spans="2:11" x14ac:dyDescent="0.25">
      <c r="B17" s="18">
        <v>43071</v>
      </c>
      <c r="C17" s="9" t="s">
        <v>1271</v>
      </c>
      <c r="D17" s="11"/>
      <c r="E17" s="11"/>
      <c r="F17" s="11"/>
      <c r="G17" s="11"/>
      <c r="H17" s="11">
        <v>450</v>
      </c>
      <c r="I17" s="15"/>
      <c r="J17" s="12">
        <f t="shared" si="1"/>
        <v>17014.98</v>
      </c>
      <c r="K17" s="12">
        <f t="shared" si="0"/>
        <v>11886.740000000002</v>
      </c>
    </row>
    <row r="18" spans="2:11" x14ac:dyDescent="0.25">
      <c r="B18" s="18">
        <v>43071</v>
      </c>
      <c r="C18" s="9" t="s">
        <v>1272</v>
      </c>
      <c r="D18" s="11"/>
      <c r="E18" s="11"/>
      <c r="F18" s="11"/>
      <c r="G18" s="11"/>
      <c r="H18" s="11">
        <v>261</v>
      </c>
      <c r="I18" s="15"/>
      <c r="J18" s="12">
        <f t="shared" si="1"/>
        <v>17014.98</v>
      </c>
      <c r="K18" s="12">
        <f t="shared" si="0"/>
        <v>11625.740000000002</v>
      </c>
    </row>
    <row r="19" spans="2:11" x14ac:dyDescent="0.25">
      <c r="B19" s="18">
        <v>43072</v>
      </c>
      <c r="C19" s="9" t="s">
        <v>1273</v>
      </c>
      <c r="D19" s="11"/>
      <c r="E19" s="11"/>
      <c r="F19" s="11"/>
      <c r="G19" s="11"/>
      <c r="H19" s="11">
        <v>53</v>
      </c>
      <c r="I19" s="15"/>
      <c r="J19" s="12">
        <f t="shared" si="1"/>
        <v>17014.98</v>
      </c>
      <c r="K19" s="12">
        <f t="shared" si="0"/>
        <v>11572.740000000002</v>
      </c>
    </row>
    <row r="20" spans="2:11" x14ac:dyDescent="0.25">
      <c r="B20" s="18">
        <v>43072</v>
      </c>
      <c r="C20" s="9" t="s">
        <v>1273</v>
      </c>
      <c r="D20" s="11"/>
      <c r="E20" s="11"/>
      <c r="F20" s="11"/>
      <c r="G20" s="11"/>
      <c r="H20" s="11">
        <v>70</v>
      </c>
      <c r="I20" s="15"/>
      <c r="J20" s="12">
        <f t="shared" si="1"/>
        <v>17014.98</v>
      </c>
      <c r="K20" s="12">
        <f t="shared" si="0"/>
        <v>11502.740000000002</v>
      </c>
    </row>
    <row r="21" spans="2:11" x14ac:dyDescent="0.25">
      <c r="B21" s="18">
        <v>43072</v>
      </c>
      <c r="C21" s="9" t="s">
        <v>1274</v>
      </c>
      <c r="D21" s="11"/>
      <c r="E21" s="11"/>
      <c r="F21" s="11"/>
      <c r="G21" s="11"/>
      <c r="H21" s="11">
        <v>120</v>
      </c>
      <c r="I21" s="15"/>
      <c r="J21" s="12">
        <f t="shared" si="1"/>
        <v>17014.98</v>
      </c>
      <c r="K21" s="12">
        <f t="shared" si="0"/>
        <v>11382.740000000002</v>
      </c>
    </row>
    <row r="22" spans="2:11" x14ac:dyDescent="0.25">
      <c r="B22" s="18">
        <v>43072</v>
      </c>
      <c r="C22" s="9" t="s">
        <v>420</v>
      </c>
      <c r="D22" s="11"/>
      <c r="E22" s="11"/>
      <c r="F22" s="11"/>
      <c r="G22" s="11"/>
      <c r="H22" s="59">
        <v>150</v>
      </c>
      <c r="I22" s="15"/>
      <c r="J22" s="12">
        <f t="shared" si="1"/>
        <v>17014.98</v>
      </c>
      <c r="K22" s="12">
        <f t="shared" si="0"/>
        <v>11232.740000000002</v>
      </c>
    </row>
    <row r="23" spans="2:11" x14ac:dyDescent="0.25">
      <c r="B23" s="18">
        <v>43072</v>
      </c>
      <c r="C23" s="9" t="s">
        <v>1275</v>
      </c>
      <c r="D23" s="11"/>
      <c r="E23" s="11"/>
      <c r="F23" s="11"/>
      <c r="G23" s="11"/>
      <c r="H23" s="59">
        <v>55</v>
      </c>
      <c r="I23" s="15"/>
      <c r="J23" s="12">
        <f t="shared" si="1"/>
        <v>17014.98</v>
      </c>
      <c r="K23" s="12">
        <f t="shared" si="0"/>
        <v>11177.740000000002</v>
      </c>
    </row>
    <row r="24" spans="2:11" x14ac:dyDescent="0.25">
      <c r="B24" s="18">
        <v>43072</v>
      </c>
      <c r="C24" s="9" t="s">
        <v>1276</v>
      </c>
      <c r="D24" s="11">
        <v>38975</v>
      </c>
      <c r="E24" s="11"/>
      <c r="F24" s="11"/>
      <c r="G24" s="11"/>
      <c r="H24" s="11"/>
      <c r="I24" s="15"/>
      <c r="J24" s="12">
        <f t="shared" si="1"/>
        <v>17014.98</v>
      </c>
      <c r="K24" s="12">
        <f t="shared" si="0"/>
        <v>50152.740000000005</v>
      </c>
    </row>
    <row r="25" spans="2:11" x14ac:dyDescent="0.25">
      <c r="B25" s="18">
        <v>43073</v>
      </c>
      <c r="C25" s="9" t="s">
        <v>912</v>
      </c>
      <c r="D25" s="11"/>
      <c r="E25" s="11"/>
      <c r="F25" s="11"/>
      <c r="G25" s="11"/>
      <c r="H25" s="11">
        <v>105</v>
      </c>
      <c r="I25" s="15"/>
      <c r="J25" s="12">
        <f t="shared" si="1"/>
        <v>17014.98</v>
      </c>
      <c r="K25" s="12">
        <f t="shared" si="0"/>
        <v>50047.740000000005</v>
      </c>
    </row>
    <row r="26" spans="2:11" x14ac:dyDescent="0.25">
      <c r="B26" s="18">
        <v>43073</v>
      </c>
      <c r="C26" s="9" t="s">
        <v>1277</v>
      </c>
      <c r="D26" s="11"/>
      <c r="E26" s="11"/>
      <c r="F26" s="11"/>
      <c r="G26" s="11"/>
      <c r="H26" s="11">
        <v>900</v>
      </c>
      <c r="I26" s="15"/>
      <c r="J26" s="12">
        <f t="shared" si="1"/>
        <v>17014.98</v>
      </c>
      <c r="K26" s="12">
        <f t="shared" si="0"/>
        <v>49147.740000000005</v>
      </c>
    </row>
    <row r="27" spans="2:11" x14ac:dyDescent="0.25">
      <c r="B27" s="18">
        <v>43073</v>
      </c>
      <c r="C27" s="9" t="s">
        <v>1278</v>
      </c>
      <c r="D27" s="11"/>
      <c r="E27" s="11"/>
      <c r="F27" s="11"/>
      <c r="G27" s="11"/>
      <c r="H27" s="11">
        <v>400</v>
      </c>
      <c r="I27" s="15"/>
      <c r="J27" s="12">
        <f t="shared" si="1"/>
        <v>17014.98</v>
      </c>
      <c r="K27" s="12">
        <f t="shared" si="0"/>
        <v>48747.740000000005</v>
      </c>
    </row>
    <row r="28" spans="2:11" x14ac:dyDescent="0.25">
      <c r="B28" s="18">
        <v>43073</v>
      </c>
      <c r="C28" s="9" t="s">
        <v>1267</v>
      </c>
      <c r="D28" s="11"/>
      <c r="E28" s="11"/>
      <c r="F28" s="11"/>
      <c r="G28" s="11"/>
      <c r="H28" s="11">
        <v>300</v>
      </c>
      <c r="I28" s="15"/>
      <c r="J28" s="12">
        <f t="shared" si="1"/>
        <v>17014.98</v>
      </c>
      <c r="K28" s="12">
        <f t="shared" si="0"/>
        <v>48447.740000000005</v>
      </c>
    </row>
    <row r="29" spans="2:11" x14ac:dyDescent="0.25">
      <c r="B29" s="18">
        <v>43075</v>
      </c>
      <c r="C29" s="9" t="s">
        <v>1268</v>
      </c>
      <c r="D29" s="11"/>
      <c r="E29" s="11"/>
      <c r="F29" s="11"/>
      <c r="G29" s="11"/>
      <c r="H29" s="11">
        <v>340</v>
      </c>
      <c r="I29" s="15"/>
      <c r="J29" s="12">
        <f t="shared" si="1"/>
        <v>17014.98</v>
      </c>
      <c r="K29" s="12">
        <f t="shared" si="0"/>
        <v>48107.740000000005</v>
      </c>
    </row>
    <row r="30" spans="2:11" x14ac:dyDescent="0.25">
      <c r="B30" s="18">
        <v>43075</v>
      </c>
      <c r="C30" s="9" t="s">
        <v>1279</v>
      </c>
      <c r="D30" s="11"/>
      <c r="E30" s="11"/>
      <c r="F30" s="11"/>
      <c r="G30" s="11"/>
      <c r="H30" s="11">
        <v>490</v>
      </c>
      <c r="I30" s="15"/>
      <c r="J30" s="12">
        <f t="shared" si="1"/>
        <v>17014.98</v>
      </c>
      <c r="K30" s="12">
        <f t="shared" si="0"/>
        <v>47617.740000000005</v>
      </c>
    </row>
    <row r="31" spans="2:11" x14ac:dyDescent="0.25">
      <c r="B31" s="18">
        <v>43075</v>
      </c>
      <c r="C31" s="9" t="s">
        <v>1280</v>
      </c>
      <c r="D31" s="11"/>
      <c r="E31" s="11"/>
      <c r="F31" s="11"/>
      <c r="G31" s="11"/>
      <c r="H31" s="59">
        <v>245</v>
      </c>
      <c r="I31" s="15"/>
      <c r="J31" s="12">
        <f t="shared" si="1"/>
        <v>17014.98</v>
      </c>
      <c r="K31" s="12">
        <f t="shared" si="0"/>
        <v>47372.740000000005</v>
      </c>
    </row>
    <row r="32" spans="2:11" x14ac:dyDescent="0.25">
      <c r="B32" s="18">
        <v>43075</v>
      </c>
      <c r="C32" s="9" t="s">
        <v>1281</v>
      </c>
      <c r="D32" s="11"/>
      <c r="E32" s="11"/>
      <c r="F32" s="11"/>
      <c r="G32" s="11"/>
      <c r="H32" s="11">
        <v>250</v>
      </c>
      <c r="I32" s="15"/>
      <c r="J32" s="12">
        <f t="shared" si="1"/>
        <v>17014.98</v>
      </c>
      <c r="K32" s="12">
        <f t="shared" si="0"/>
        <v>47122.740000000005</v>
      </c>
    </row>
    <row r="33" spans="2:11" x14ac:dyDescent="0.25">
      <c r="B33" s="18">
        <v>43075</v>
      </c>
      <c r="C33" s="9" t="s">
        <v>1268</v>
      </c>
      <c r="D33" s="11"/>
      <c r="E33" s="11"/>
      <c r="F33" s="11"/>
      <c r="G33" s="11"/>
      <c r="H33" s="11">
        <v>350</v>
      </c>
      <c r="I33" s="15"/>
      <c r="J33" s="12">
        <f t="shared" si="1"/>
        <v>17014.98</v>
      </c>
      <c r="K33" s="12">
        <f t="shared" si="0"/>
        <v>46772.740000000005</v>
      </c>
    </row>
    <row r="34" spans="2:11" x14ac:dyDescent="0.25">
      <c r="B34" s="18">
        <v>43075</v>
      </c>
      <c r="C34" s="9" t="s">
        <v>1266</v>
      </c>
      <c r="D34" s="11"/>
      <c r="E34" s="11"/>
      <c r="F34" s="11"/>
      <c r="G34" s="11"/>
      <c r="H34" s="11">
        <v>200</v>
      </c>
      <c r="I34" s="15"/>
      <c r="J34" s="12">
        <f t="shared" si="1"/>
        <v>17014.98</v>
      </c>
      <c r="K34" s="12">
        <f t="shared" si="0"/>
        <v>46572.740000000005</v>
      </c>
    </row>
    <row r="35" spans="2:11" x14ac:dyDescent="0.25">
      <c r="B35" s="18">
        <v>43075</v>
      </c>
      <c r="C35" s="9" t="s">
        <v>1282</v>
      </c>
      <c r="D35" s="11"/>
      <c r="E35" s="11"/>
      <c r="F35" s="11"/>
      <c r="G35" s="11"/>
      <c r="H35" s="11">
        <v>35</v>
      </c>
      <c r="I35" s="15"/>
      <c r="J35" s="12">
        <f t="shared" si="1"/>
        <v>17014.98</v>
      </c>
      <c r="K35" s="12">
        <f t="shared" si="0"/>
        <v>46537.740000000005</v>
      </c>
    </row>
    <row r="36" spans="2:11" x14ac:dyDescent="0.25">
      <c r="B36" s="18">
        <v>43076</v>
      </c>
      <c r="C36" s="9" t="s">
        <v>1283</v>
      </c>
      <c r="D36" s="11"/>
      <c r="E36" s="11"/>
      <c r="F36" s="11"/>
      <c r="G36" s="11"/>
      <c r="H36" s="11">
        <v>2192.02</v>
      </c>
      <c r="I36" s="15"/>
      <c r="J36" s="12">
        <f t="shared" si="1"/>
        <v>17014.98</v>
      </c>
      <c r="K36" s="12">
        <f t="shared" si="0"/>
        <v>44345.720000000008</v>
      </c>
    </row>
    <row r="37" spans="2:11" x14ac:dyDescent="0.25">
      <c r="B37" s="18">
        <v>43076</v>
      </c>
      <c r="C37" s="9" t="s">
        <v>1284</v>
      </c>
      <c r="D37" s="11"/>
      <c r="E37" s="11"/>
      <c r="F37" s="11"/>
      <c r="G37" s="11"/>
      <c r="H37" s="11">
        <v>65</v>
      </c>
      <c r="I37" s="15"/>
      <c r="J37" s="12">
        <f t="shared" si="1"/>
        <v>17014.98</v>
      </c>
      <c r="K37" s="12">
        <f t="shared" si="0"/>
        <v>44280.720000000008</v>
      </c>
    </row>
    <row r="38" spans="2:11" x14ac:dyDescent="0.25">
      <c r="B38" s="18">
        <v>43076</v>
      </c>
      <c r="C38" s="9" t="s">
        <v>1285</v>
      </c>
      <c r="D38" s="11"/>
      <c r="E38" s="11"/>
      <c r="F38" s="11"/>
      <c r="G38" s="11"/>
      <c r="H38" s="11">
        <v>202.5</v>
      </c>
      <c r="I38" s="15"/>
      <c r="J38" s="12">
        <f t="shared" si="1"/>
        <v>17014.98</v>
      </c>
      <c r="K38" s="12">
        <f t="shared" si="0"/>
        <v>44078.220000000008</v>
      </c>
    </row>
    <row r="39" spans="2:11" x14ac:dyDescent="0.25">
      <c r="B39" s="18">
        <v>43076</v>
      </c>
      <c r="C39" s="9" t="s">
        <v>1267</v>
      </c>
      <c r="D39" s="11"/>
      <c r="E39" s="11"/>
      <c r="F39" s="11"/>
      <c r="G39" s="11"/>
      <c r="H39" s="11">
        <v>300</v>
      </c>
      <c r="I39" s="15"/>
      <c r="J39" s="12">
        <f t="shared" si="1"/>
        <v>17014.98</v>
      </c>
      <c r="K39" s="12">
        <f t="shared" si="0"/>
        <v>43778.220000000008</v>
      </c>
    </row>
    <row r="40" spans="2:11" x14ac:dyDescent="0.25">
      <c r="B40" s="18">
        <v>43077</v>
      </c>
      <c r="C40" s="9" t="s">
        <v>1286</v>
      </c>
      <c r="D40" s="11"/>
      <c r="E40" s="11"/>
      <c r="F40" s="11"/>
      <c r="G40" s="11"/>
      <c r="H40" s="11">
        <v>1250</v>
      </c>
      <c r="I40" s="15"/>
      <c r="J40" s="12">
        <f t="shared" si="1"/>
        <v>17014.98</v>
      </c>
      <c r="K40" s="12">
        <f t="shared" si="0"/>
        <v>42528.220000000008</v>
      </c>
    </row>
    <row r="41" spans="2:11" x14ac:dyDescent="0.25">
      <c r="B41" s="18">
        <v>43077</v>
      </c>
      <c r="C41" s="9" t="s">
        <v>1287</v>
      </c>
      <c r="D41" s="124">
        <v>6500</v>
      </c>
      <c r="E41" s="11"/>
      <c r="F41" s="11"/>
      <c r="G41" s="11"/>
      <c r="H41" s="59"/>
      <c r="I41" s="15"/>
      <c r="J41" s="12">
        <f t="shared" si="1"/>
        <v>17014.98</v>
      </c>
      <c r="K41" s="12">
        <f t="shared" si="0"/>
        <v>49028.220000000008</v>
      </c>
    </row>
    <row r="42" spans="2:11" x14ac:dyDescent="0.25">
      <c r="B42" s="18">
        <v>43077</v>
      </c>
      <c r="C42" s="9" t="s">
        <v>1273</v>
      </c>
      <c r="D42" s="11"/>
      <c r="E42" s="11"/>
      <c r="F42" s="11"/>
      <c r="G42" s="11"/>
      <c r="H42" s="59">
        <v>139.5</v>
      </c>
      <c r="I42" s="15"/>
      <c r="J42" s="12">
        <f t="shared" si="1"/>
        <v>17014.98</v>
      </c>
      <c r="K42" s="12">
        <f t="shared" si="0"/>
        <v>48888.720000000008</v>
      </c>
    </row>
    <row r="43" spans="2:11" x14ac:dyDescent="0.25">
      <c r="B43" s="18">
        <v>43077</v>
      </c>
      <c r="C43" s="9" t="s">
        <v>420</v>
      </c>
      <c r="D43" s="11"/>
      <c r="E43" s="11"/>
      <c r="F43" s="11"/>
      <c r="G43" s="11"/>
      <c r="H43" s="59">
        <v>150</v>
      </c>
      <c r="I43" s="15"/>
      <c r="J43" s="12">
        <f t="shared" si="1"/>
        <v>17014.98</v>
      </c>
      <c r="K43" s="12">
        <f t="shared" si="0"/>
        <v>48738.720000000008</v>
      </c>
    </row>
    <row r="44" spans="2:11" x14ac:dyDescent="0.25">
      <c r="B44" s="18">
        <v>43077</v>
      </c>
      <c r="C44" s="9" t="s">
        <v>1274</v>
      </c>
      <c r="D44" s="11"/>
      <c r="E44" s="11"/>
      <c r="F44" s="11"/>
      <c r="G44" s="11"/>
      <c r="H44" s="59">
        <v>120</v>
      </c>
      <c r="I44" s="15"/>
      <c r="J44" s="12">
        <f t="shared" si="1"/>
        <v>17014.98</v>
      </c>
      <c r="K44" s="12">
        <f t="shared" si="0"/>
        <v>48618.720000000008</v>
      </c>
    </row>
    <row r="45" spans="2:11" x14ac:dyDescent="0.25">
      <c r="B45" s="18">
        <v>43077</v>
      </c>
      <c r="C45" s="13" t="s">
        <v>1287</v>
      </c>
      <c r="D45" s="41">
        <v>28450</v>
      </c>
      <c r="E45" s="41"/>
      <c r="F45" s="41"/>
      <c r="G45" s="41"/>
      <c r="H45" s="11"/>
      <c r="I45" s="15"/>
      <c r="J45" s="12">
        <f t="shared" si="1"/>
        <v>17014.98</v>
      </c>
      <c r="K45" s="12">
        <f t="shared" si="0"/>
        <v>77068.72</v>
      </c>
    </row>
    <row r="46" spans="2:11" x14ac:dyDescent="0.25">
      <c r="B46" s="18">
        <v>43080</v>
      </c>
      <c r="C46" s="13" t="s">
        <v>912</v>
      </c>
      <c r="D46" s="41"/>
      <c r="E46" s="41"/>
      <c r="F46" s="41"/>
      <c r="G46" s="16"/>
      <c r="H46" s="11">
        <v>105</v>
      </c>
      <c r="I46" s="15"/>
      <c r="J46" s="12">
        <f t="shared" si="1"/>
        <v>17014.98</v>
      </c>
      <c r="K46" s="12">
        <f t="shared" si="0"/>
        <v>76963.72</v>
      </c>
    </row>
    <row r="47" spans="2:11" x14ac:dyDescent="0.25">
      <c r="B47" s="18">
        <v>43080</v>
      </c>
      <c r="C47" s="13" t="s">
        <v>1288</v>
      </c>
      <c r="D47" s="41"/>
      <c r="E47" s="41"/>
      <c r="F47" s="41"/>
      <c r="G47" s="41"/>
      <c r="H47" s="11">
        <v>1100</v>
      </c>
      <c r="I47" s="15"/>
      <c r="J47" s="12">
        <f t="shared" si="1"/>
        <v>17014.98</v>
      </c>
      <c r="K47" s="12">
        <f t="shared" si="0"/>
        <v>75863.72</v>
      </c>
    </row>
    <row r="48" spans="2:11" x14ac:dyDescent="0.25">
      <c r="B48" s="18">
        <v>42779</v>
      </c>
      <c r="C48" s="13" t="s">
        <v>1351</v>
      </c>
      <c r="D48" s="11"/>
      <c r="E48" s="11"/>
      <c r="F48" s="11"/>
      <c r="G48" s="124">
        <v>1760</v>
      </c>
      <c r="H48" s="11"/>
      <c r="I48" s="15"/>
      <c r="J48" s="12">
        <f t="shared" si="1"/>
        <v>15254.98</v>
      </c>
      <c r="K48" s="12">
        <f t="shared" si="0"/>
        <v>75863.72</v>
      </c>
    </row>
    <row r="49" spans="2:11" x14ac:dyDescent="0.25">
      <c r="B49" s="18">
        <v>42779</v>
      </c>
      <c r="C49" s="9" t="s">
        <v>1289</v>
      </c>
      <c r="D49" s="11"/>
      <c r="E49" s="11"/>
      <c r="F49" s="11"/>
      <c r="G49" s="124">
        <v>2600.7199999999998</v>
      </c>
      <c r="H49" s="11"/>
      <c r="I49" s="15"/>
      <c r="J49" s="12">
        <f t="shared" si="1"/>
        <v>12654.26</v>
      </c>
      <c r="K49" s="12">
        <f t="shared" si="0"/>
        <v>75863.72</v>
      </c>
    </row>
    <row r="50" spans="2:11" x14ac:dyDescent="0.25">
      <c r="B50" s="18">
        <v>43082</v>
      </c>
      <c r="C50" s="125" t="s">
        <v>1291</v>
      </c>
      <c r="D50" s="11"/>
      <c r="E50" s="11"/>
      <c r="F50" s="11"/>
      <c r="G50" s="11"/>
      <c r="H50" s="11">
        <v>328.4</v>
      </c>
      <c r="I50" s="15"/>
      <c r="J50" s="12">
        <f t="shared" si="1"/>
        <v>12654.26</v>
      </c>
      <c r="K50" s="12">
        <f t="shared" si="0"/>
        <v>75535.320000000007</v>
      </c>
    </row>
    <row r="51" spans="2:11" x14ac:dyDescent="0.25">
      <c r="B51" s="18">
        <v>43082</v>
      </c>
      <c r="C51" s="9" t="s">
        <v>1290</v>
      </c>
      <c r="D51" s="11"/>
      <c r="E51" s="11"/>
      <c r="F51" s="11"/>
      <c r="G51" s="11"/>
      <c r="H51" s="11">
        <v>270</v>
      </c>
      <c r="I51" s="15"/>
      <c r="J51" s="12">
        <f>+J50+E51-G51</f>
        <v>12654.26</v>
      </c>
      <c r="K51" s="12">
        <f t="shared" si="0"/>
        <v>75265.320000000007</v>
      </c>
    </row>
    <row r="52" spans="2:11" x14ac:dyDescent="0.25">
      <c r="B52" s="18">
        <v>43082</v>
      </c>
      <c r="C52" s="126" t="s">
        <v>1292</v>
      </c>
      <c r="D52" s="11"/>
      <c r="E52" s="11"/>
      <c r="F52" s="11"/>
      <c r="G52" s="11"/>
      <c r="H52" s="11">
        <v>189</v>
      </c>
      <c r="I52" s="15"/>
      <c r="J52" s="12">
        <f t="shared" si="1"/>
        <v>12654.26</v>
      </c>
      <c r="K52" s="12">
        <f t="shared" si="0"/>
        <v>75076.320000000007</v>
      </c>
    </row>
    <row r="53" spans="2:11" x14ac:dyDescent="0.25">
      <c r="B53" s="18">
        <v>43082</v>
      </c>
      <c r="C53" s="13" t="s">
        <v>1293</v>
      </c>
      <c r="D53" s="41"/>
      <c r="E53" s="41"/>
      <c r="F53" s="41"/>
      <c r="G53" s="41"/>
      <c r="H53" s="11">
        <v>386</v>
      </c>
      <c r="I53" s="15"/>
      <c r="J53" s="12">
        <f t="shared" si="1"/>
        <v>12654.26</v>
      </c>
      <c r="K53" s="12">
        <f t="shared" si="0"/>
        <v>74690.320000000007</v>
      </c>
    </row>
    <row r="54" spans="2:11" x14ac:dyDescent="0.25">
      <c r="B54" s="18">
        <v>43082</v>
      </c>
      <c r="C54" s="9" t="s">
        <v>1294</v>
      </c>
      <c r="D54" s="11"/>
      <c r="E54" s="11"/>
      <c r="F54" s="11"/>
      <c r="G54" s="11"/>
      <c r="H54" s="59">
        <v>375</v>
      </c>
      <c r="I54" s="15"/>
      <c r="J54" s="12">
        <f t="shared" si="1"/>
        <v>12654.26</v>
      </c>
      <c r="K54" s="12">
        <f t="shared" si="0"/>
        <v>74315.320000000007</v>
      </c>
    </row>
    <row r="55" spans="2:11" x14ac:dyDescent="0.25">
      <c r="B55" s="18">
        <v>43083</v>
      </c>
      <c r="C55" s="9" t="s">
        <v>1268</v>
      </c>
      <c r="D55" s="11"/>
      <c r="E55" s="11"/>
      <c r="F55" s="11"/>
      <c r="G55" s="11"/>
      <c r="H55" s="59">
        <v>340</v>
      </c>
      <c r="I55" s="15"/>
      <c r="J55" s="12">
        <f>+J54+E55-G55</f>
        <v>12654.26</v>
      </c>
      <c r="K55" s="12">
        <f t="shared" si="0"/>
        <v>73975.320000000007</v>
      </c>
    </row>
    <row r="56" spans="2:11" ht="15.75" thickBot="1" x14ac:dyDescent="0.3">
      <c r="B56" s="18">
        <v>43083</v>
      </c>
      <c r="C56" s="9" t="s">
        <v>1266</v>
      </c>
      <c r="D56" s="11"/>
      <c r="E56" s="11"/>
      <c r="F56" s="11"/>
      <c r="G56" s="11"/>
      <c r="H56" s="59">
        <v>200</v>
      </c>
      <c r="I56" s="15"/>
      <c r="J56" s="12">
        <f>+J55+E56-G56</f>
        <v>12654.26</v>
      </c>
      <c r="K56" s="12">
        <f t="shared" si="0"/>
        <v>73775.320000000007</v>
      </c>
    </row>
    <row r="57" spans="2:11" ht="15.75" thickBot="1" x14ac:dyDescent="0.3">
      <c r="B57" s="5"/>
      <c r="C57" s="7" t="s">
        <v>0</v>
      </c>
      <c r="D57" s="63">
        <f>SUM(D4:D54)</f>
        <v>73925</v>
      </c>
      <c r="E57" s="61">
        <f>SUM(E4:E54)</f>
        <v>0</v>
      </c>
      <c r="F57" s="72">
        <f>SUM(D57:E57)</f>
        <v>73925</v>
      </c>
      <c r="G57" s="81">
        <f>SUM(G4:G54)</f>
        <v>4360.7199999999993</v>
      </c>
      <c r="H57" s="63">
        <f>SUM(H4:H54)</f>
        <v>24521.420000000002</v>
      </c>
      <c r="I57" s="72">
        <f>SUM(G57:H57)</f>
        <v>28882.14</v>
      </c>
      <c r="J57" s="20"/>
      <c r="K57" s="20"/>
    </row>
    <row r="58" spans="2:11" x14ac:dyDescent="0.25">
      <c r="B58" s="69" t="s">
        <v>1</v>
      </c>
      <c r="C58" s="69" t="s">
        <v>2</v>
      </c>
      <c r="D58" s="69" t="s">
        <v>3</v>
      </c>
      <c r="E58" s="69" t="s">
        <v>3</v>
      </c>
      <c r="F58" s="69" t="s">
        <v>23</v>
      </c>
      <c r="G58" s="69" t="s">
        <v>24</v>
      </c>
      <c r="H58" s="48" t="s">
        <v>24</v>
      </c>
      <c r="I58" s="48" t="s">
        <v>23</v>
      </c>
      <c r="J58" s="69" t="s">
        <v>9</v>
      </c>
      <c r="K58" s="48" t="s">
        <v>8</v>
      </c>
    </row>
    <row r="59" spans="2:11" ht="15.75" thickBot="1" x14ac:dyDescent="0.3">
      <c r="B59" s="70"/>
      <c r="C59" s="70"/>
      <c r="D59" s="70" t="s">
        <v>5</v>
      </c>
      <c r="E59" s="70" t="s">
        <v>25</v>
      </c>
      <c r="F59" s="70" t="s">
        <v>3</v>
      </c>
      <c r="G59" s="70" t="s">
        <v>25</v>
      </c>
      <c r="H59" s="71" t="s">
        <v>5</v>
      </c>
      <c r="I59" s="71" t="s">
        <v>4</v>
      </c>
      <c r="J59" s="70"/>
      <c r="K59" s="71"/>
    </row>
    <row r="60" spans="2:11" ht="15.75" thickBot="1" x14ac:dyDescent="0.3">
      <c r="B60" s="5"/>
      <c r="C60" s="7"/>
      <c r="D60" s="63">
        <v>73925</v>
      </c>
      <c r="E60" s="61">
        <v>0</v>
      </c>
      <c r="F60" s="72">
        <f>SUM(D60:E60)</f>
        <v>73925</v>
      </c>
      <c r="G60" s="81">
        <v>4360.72</v>
      </c>
      <c r="H60" s="63">
        <v>24521.42</v>
      </c>
      <c r="I60" s="72">
        <f>SUM(G60:H60)</f>
        <v>28882.14</v>
      </c>
      <c r="J60" s="20">
        <v>12654.26</v>
      </c>
      <c r="K60" s="12">
        <v>73775.320000000007</v>
      </c>
    </row>
    <row r="61" spans="2:11" x14ac:dyDescent="0.25">
      <c r="B61" s="18">
        <v>43083</v>
      </c>
      <c r="C61" s="9" t="s">
        <v>1295</v>
      </c>
      <c r="D61" s="11"/>
      <c r="E61" s="11"/>
      <c r="F61" s="11"/>
      <c r="G61" s="11"/>
      <c r="H61" s="59">
        <v>778</v>
      </c>
      <c r="I61" s="15"/>
      <c r="J61" s="12">
        <f t="shared" ref="J61" si="2">+J60+E61-G61</f>
        <v>12654.26</v>
      </c>
      <c r="K61" s="12">
        <f t="shared" ref="K61" si="3">+K60+D61-H61</f>
        <v>72997.320000000007</v>
      </c>
    </row>
    <row r="62" spans="2:11" x14ac:dyDescent="0.25">
      <c r="B62" s="18">
        <v>43083</v>
      </c>
      <c r="C62" s="13" t="s">
        <v>1296</v>
      </c>
      <c r="D62" s="11"/>
      <c r="E62" s="11"/>
      <c r="F62" s="11"/>
      <c r="G62" s="11"/>
      <c r="H62" s="11">
        <v>750</v>
      </c>
      <c r="I62" s="15"/>
      <c r="J62" s="12">
        <f t="shared" ref="J62:J112" si="4">+J61+E62-G62</f>
        <v>12654.26</v>
      </c>
      <c r="K62" s="12">
        <f t="shared" ref="K62:K109" si="5">+K61+D62-H62</f>
        <v>72247.320000000007</v>
      </c>
    </row>
    <row r="63" spans="2:11" x14ac:dyDescent="0.25">
      <c r="B63" s="18">
        <v>43083</v>
      </c>
      <c r="C63" s="13" t="s">
        <v>1297</v>
      </c>
      <c r="D63" s="11"/>
      <c r="E63" s="11"/>
      <c r="F63" s="11"/>
      <c r="G63" s="11"/>
      <c r="H63" s="11">
        <v>400</v>
      </c>
      <c r="I63" s="15"/>
      <c r="J63" s="12">
        <f t="shared" si="4"/>
        <v>12654.26</v>
      </c>
      <c r="K63" s="12">
        <f t="shared" si="5"/>
        <v>71847.320000000007</v>
      </c>
    </row>
    <row r="64" spans="2:11" x14ac:dyDescent="0.25">
      <c r="B64" s="18">
        <v>43083</v>
      </c>
      <c r="C64" s="13" t="s">
        <v>1267</v>
      </c>
      <c r="D64" s="11"/>
      <c r="E64" s="11"/>
      <c r="F64" s="11"/>
      <c r="G64" s="11"/>
      <c r="H64" s="11">
        <v>300</v>
      </c>
      <c r="I64" s="15"/>
      <c r="J64" s="12">
        <f t="shared" si="4"/>
        <v>12654.26</v>
      </c>
      <c r="K64" s="12">
        <f t="shared" si="5"/>
        <v>71547.320000000007</v>
      </c>
    </row>
    <row r="65" spans="2:11" x14ac:dyDescent="0.25">
      <c r="B65" s="18">
        <v>43083</v>
      </c>
      <c r="C65" s="13" t="s">
        <v>1298</v>
      </c>
      <c r="D65" s="11"/>
      <c r="E65" s="11"/>
      <c r="F65" s="11"/>
      <c r="G65" s="11"/>
      <c r="H65" s="11">
        <v>75.069999999999993</v>
      </c>
      <c r="I65" s="15"/>
      <c r="J65" s="12">
        <f t="shared" si="4"/>
        <v>12654.26</v>
      </c>
      <c r="K65" s="12">
        <f t="shared" si="5"/>
        <v>71472.25</v>
      </c>
    </row>
    <row r="66" spans="2:11" x14ac:dyDescent="0.25">
      <c r="B66" s="18">
        <v>43083</v>
      </c>
      <c r="C66" s="13" t="s">
        <v>1299</v>
      </c>
      <c r="D66" s="11"/>
      <c r="E66" s="11"/>
      <c r="F66" s="11"/>
      <c r="G66" s="11"/>
      <c r="H66" s="11">
        <v>48</v>
      </c>
      <c r="I66" s="15"/>
      <c r="J66" s="12">
        <f t="shared" si="4"/>
        <v>12654.26</v>
      </c>
      <c r="K66" s="12">
        <f t="shared" si="5"/>
        <v>71424.25</v>
      </c>
    </row>
    <row r="67" spans="2:11" x14ac:dyDescent="0.25">
      <c r="B67" s="18">
        <v>43084</v>
      </c>
      <c r="C67" s="13" t="s">
        <v>1300</v>
      </c>
      <c r="D67" s="11"/>
      <c r="E67" s="11"/>
      <c r="F67" s="11"/>
      <c r="G67" s="11"/>
      <c r="H67" s="11">
        <v>30100</v>
      </c>
      <c r="I67" s="15"/>
      <c r="J67" s="12">
        <f t="shared" si="4"/>
        <v>12654.26</v>
      </c>
      <c r="K67" s="12">
        <f t="shared" si="5"/>
        <v>41324.25</v>
      </c>
    </row>
    <row r="68" spans="2:11" x14ac:dyDescent="0.25">
      <c r="B68" s="18">
        <v>43084</v>
      </c>
      <c r="C68" s="13" t="s">
        <v>1301</v>
      </c>
      <c r="D68" s="11"/>
      <c r="E68" s="11"/>
      <c r="F68" s="11"/>
      <c r="G68" s="11"/>
      <c r="H68" s="11">
        <v>1250</v>
      </c>
      <c r="I68" s="15"/>
      <c r="J68" s="12">
        <f t="shared" si="4"/>
        <v>12654.26</v>
      </c>
      <c r="K68" s="12">
        <f t="shared" si="5"/>
        <v>40074.25</v>
      </c>
    </row>
    <row r="69" spans="2:11" x14ac:dyDescent="0.25">
      <c r="B69" s="18">
        <v>43084</v>
      </c>
      <c r="C69" s="13" t="s">
        <v>1302</v>
      </c>
      <c r="D69" s="11"/>
      <c r="E69" s="11"/>
      <c r="F69" s="11"/>
      <c r="G69" s="11"/>
      <c r="H69" s="11">
        <v>450</v>
      </c>
      <c r="I69" s="15"/>
      <c r="J69" s="12">
        <f t="shared" si="4"/>
        <v>12654.26</v>
      </c>
      <c r="K69" s="12">
        <f t="shared" si="5"/>
        <v>39624.25</v>
      </c>
    </row>
    <row r="70" spans="2:11" x14ac:dyDescent="0.25">
      <c r="B70" s="18">
        <v>43084</v>
      </c>
      <c r="C70" s="35" t="s">
        <v>1304</v>
      </c>
      <c r="D70" s="11"/>
      <c r="E70" s="11"/>
      <c r="F70" s="11"/>
      <c r="G70" s="11"/>
      <c r="H70" s="11">
        <v>100</v>
      </c>
      <c r="I70" s="15"/>
      <c r="J70" s="12">
        <f t="shared" si="4"/>
        <v>12654.26</v>
      </c>
      <c r="K70" s="12">
        <f t="shared" si="5"/>
        <v>39524.25</v>
      </c>
    </row>
    <row r="71" spans="2:11" x14ac:dyDescent="0.25">
      <c r="B71" s="18">
        <v>43084</v>
      </c>
      <c r="C71" s="34" t="s">
        <v>1303</v>
      </c>
      <c r="D71" s="11"/>
      <c r="E71" s="11"/>
      <c r="F71" s="11"/>
      <c r="G71" s="11"/>
      <c r="H71" s="11">
        <v>350</v>
      </c>
      <c r="I71" s="15"/>
      <c r="J71" s="12">
        <f t="shared" si="4"/>
        <v>12654.26</v>
      </c>
      <c r="K71" s="12">
        <f t="shared" si="5"/>
        <v>39174.25</v>
      </c>
    </row>
    <row r="72" spans="2:11" x14ac:dyDescent="0.25">
      <c r="B72" s="18">
        <v>43084</v>
      </c>
      <c r="C72" s="9" t="s">
        <v>1305</v>
      </c>
      <c r="D72" s="11"/>
      <c r="E72" s="11"/>
      <c r="F72" s="11"/>
      <c r="G72" s="11"/>
      <c r="H72" s="11">
        <v>1000</v>
      </c>
      <c r="I72" s="15"/>
      <c r="J72" s="12">
        <f t="shared" si="4"/>
        <v>12654.26</v>
      </c>
      <c r="K72" s="12">
        <f t="shared" si="5"/>
        <v>38174.25</v>
      </c>
    </row>
    <row r="73" spans="2:11" x14ac:dyDescent="0.25">
      <c r="B73" s="18">
        <v>43084</v>
      </c>
      <c r="C73" s="9" t="s">
        <v>1306</v>
      </c>
      <c r="D73" s="11"/>
      <c r="E73" s="11"/>
      <c r="F73" s="11"/>
      <c r="G73" s="11"/>
      <c r="H73" s="11">
        <v>4000</v>
      </c>
      <c r="I73" s="15"/>
      <c r="J73" s="12">
        <f t="shared" si="4"/>
        <v>12654.26</v>
      </c>
      <c r="K73" s="12">
        <f t="shared" si="5"/>
        <v>34174.25</v>
      </c>
    </row>
    <row r="74" spans="2:11" x14ac:dyDescent="0.25">
      <c r="B74" s="18">
        <v>43084</v>
      </c>
      <c r="C74" s="9" t="s">
        <v>1307</v>
      </c>
      <c r="D74" s="11"/>
      <c r="E74" s="11"/>
      <c r="F74" s="11"/>
      <c r="G74" s="11"/>
      <c r="H74" s="11">
        <v>20750</v>
      </c>
      <c r="I74" s="15"/>
      <c r="J74" s="12">
        <f t="shared" si="4"/>
        <v>12654.26</v>
      </c>
      <c r="K74" s="12">
        <f t="shared" si="5"/>
        <v>13424.25</v>
      </c>
    </row>
    <row r="75" spans="2:11" x14ac:dyDescent="0.25">
      <c r="B75" s="18">
        <v>43084</v>
      </c>
      <c r="C75" s="35" t="s">
        <v>1308</v>
      </c>
      <c r="D75" s="11"/>
      <c r="E75" s="11"/>
      <c r="F75" s="11"/>
      <c r="G75" s="11"/>
      <c r="H75" s="11">
        <v>44.5</v>
      </c>
      <c r="I75" s="15"/>
      <c r="J75" s="12">
        <f t="shared" si="4"/>
        <v>12654.26</v>
      </c>
      <c r="K75" s="12">
        <f t="shared" si="5"/>
        <v>13379.75</v>
      </c>
    </row>
    <row r="76" spans="2:11" x14ac:dyDescent="0.25">
      <c r="B76" s="18">
        <v>43084</v>
      </c>
      <c r="C76" s="34" t="s">
        <v>1309</v>
      </c>
      <c r="D76" s="11"/>
      <c r="E76" s="11"/>
      <c r="F76" s="11"/>
      <c r="G76" s="11"/>
      <c r="H76" s="11">
        <v>60</v>
      </c>
      <c r="I76" s="15"/>
      <c r="J76" s="12">
        <f t="shared" si="4"/>
        <v>12654.26</v>
      </c>
      <c r="K76" s="12">
        <f t="shared" si="5"/>
        <v>13319.75</v>
      </c>
    </row>
    <row r="77" spans="2:11" x14ac:dyDescent="0.25">
      <c r="B77" s="18">
        <v>43084</v>
      </c>
      <c r="C77" s="35" t="s">
        <v>1310</v>
      </c>
      <c r="D77" s="11"/>
      <c r="E77" s="11"/>
      <c r="F77" s="11"/>
      <c r="G77" s="11"/>
      <c r="H77" s="11">
        <v>100</v>
      </c>
      <c r="I77" s="15"/>
      <c r="J77" s="12">
        <f t="shared" si="4"/>
        <v>12654.26</v>
      </c>
      <c r="K77" s="12">
        <f t="shared" si="5"/>
        <v>13219.75</v>
      </c>
    </row>
    <row r="78" spans="2:11" x14ac:dyDescent="0.25">
      <c r="B78" s="18">
        <v>43084</v>
      </c>
      <c r="C78" s="34" t="s">
        <v>1266</v>
      </c>
      <c r="D78" s="11"/>
      <c r="E78" s="11"/>
      <c r="F78" s="11"/>
      <c r="G78" s="11"/>
      <c r="H78" s="11">
        <v>200</v>
      </c>
      <c r="I78" s="15"/>
      <c r="J78" s="12">
        <f t="shared" si="4"/>
        <v>12654.26</v>
      </c>
      <c r="K78" s="12">
        <f t="shared" si="5"/>
        <v>13019.75</v>
      </c>
    </row>
    <row r="79" spans="2:11" x14ac:dyDescent="0.25">
      <c r="B79" s="18">
        <v>43085</v>
      </c>
      <c r="C79" s="13" t="s">
        <v>1268</v>
      </c>
      <c r="D79" s="11"/>
      <c r="E79" s="11"/>
      <c r="F79" s="11"/>
      <c r="G79" s="11"/>
      <c r="H79" s="11">
        <v>340</v>
      </c>
      <c r="I79" s="15"/>
      <c r="J79" s="12">
        <f t="shared" si="4"/>
        <v>12654.26</v>
      </c>
      <c r="K79" s="12">
        <f t="shared" si="5"/>
        <v>12679.75</v>
      </c>
    </row>
    <row r="80" spans="2:11" x14ac:dyDescent="0.25">
      <c r="B80" s="18">
        <v>43085</v>
      </c>
      <c r="C80" s="9" t="s">
        <v>1266</v>
      </c>
      <c r="D80" s="11"/>
      <c r="E80" s="11"/>
      <c r="F80" s="11"/>
      <c r="G80" s="11"/>
      <c r="H80" s="11">
        <v>200</v>
      </c>
      <c r="I80" s="15"/>
      <c r="J80" s="12">
        <f t="shared" si="4"/>
        <v>12654.26</v>
      </c>
      <c r="K80" s="12">
        <f t="shared" si="5"/>
        <v>12479.75</v>
      </c>
    </row>
    <row r="81" spans="2:11" x14ac:dyDescent="0.25">
      <c r="B81" s="18">
        <v>43086</v>
      </c>
      <c r="C81" s="9" t="s">
        <v>420</v>
      </c>
      <c r="D81" s="11"/>
      <c r="E81" s="11"/>
      <c r="F81" s="11"/>
      <c r="G81" s="11"/>
      <c r="H81" s="11">
        <v>150</v>
      </c>
      <c r="I81" s="15"/>
      <c r="J81" s="12">
        <f t="shared" si="4"/>
        <v>12654.26</v>
      </c>
      <c r="K81" s="12">
        <f t="shared" si="5"/>
        <v>12329.75</v>
      </c>
    </row>
    <row r="82" spans="2:11" x14ac:dyDescent="0.25">
      <c r="B82" s="18">
        <v>43086</v>
      </c>
      <c r="C82" s="9" t="s">
        <v>1274</v>
      </c>
      <c r="D82" s="11"/>
      <c r="E82" s="11"/>
      <c r="F82" s="11"/>
      <c r="G82" s="11"/>
      <c r="H82" s="11">
        <v>120</v>
      </c>
      <c r="I82" s="15"/>
      <c r="J82" s="12">
        <f t="shared" si="4"/>
        <v>12654.26</v>
      </c>
      <c r="K82" s="12">
        <f t="shared" si="5"/>
        <v>12209.75</v>
      </c>
    </row>
    <row r="83" spans="2:11" x14ac:dyDescent="0.25">
      <c r="B83" s="18">
        <v>43086</v>
      </c>
      <c r="C83" s="34" t="s">
        <v>1273</v>
      </c>
      <c r="D83" s="11"/>
      <c r="E83" s="11"/>
      <c r="F83" s="11"/>
      <c r="G83" s="11"/>
      <c r="H83" s="11">
        <v>112.08</v>
      </c>
      <c r="I83" s="15"/>
      <c r="J83" s="12">
        <f t="shared" si="4"/>
        <v>12654.26</v>
      </c>
      <c r="K83" s="12">
        <f t="shared" si="5"/>
        <v>12097.67</v>
      </c>
    </row>
    <row r="84" spans="2:11" x14ac:dyDescent="0.25">
      <c r="B84" s="18">
        <v>43086</v>
      </c>
      <c r="C84" s="35" t="s">
        <v>1273</v>
      </c>
      <c r="D84" s="11"/>
      <c r="E84" s="11"/>
      <c r="F84" s="11"/>
      <c r="G84" s="11"/>
      <c r="H84" s="11">
        <v>81</v>
      </c>
      <c r="I84" s="15"/>
      <c r="J84" s="12">
        <f t="shared" si="4"/>
        <v>12654.26</v>
      </c>
      <c r="K84" s="12">
        <f t="shared" si="5"/>
        <v>12016.67</v>
      </c>
    </row>
    <row r="85" spans="2:11" x14ac:dyDescent="0.25">
      <c r="B85" s="18">
        <v>43086</v>
      </c>
      <c r="C85" s="9" t="s">
        <v>1311</v>
      </c>
      <c r="D85" s="11">
        <v>45400</v>
      </c>
      <c r="E85" s="11"/>
      <c r="F85" s="11"/>
      <c r="G85" s="11"/>
      <c r="H85" s="11"/>
      <c r="I85" s="15"/>
      <c r="J85" s="12">
        <f t="shared" si="4"/>
        <v>12654.26</v>
      </c>
      <c r="K85" s="12">
        <f t="shared" si="5"/>
        <v>57416.67</v>
      </c>
    </row>
    <row r="86" spans="2:11" x14ac:dyDescent="0.25">
      <c r="B86" s="18">
        <v>43087</v>
      </c>
      <c r="C86" s="13" t="s">
        <v>1312</v>
      </c>
      <c r="D86" s="41"/>
      <c r="E86" s="41"/>
      <c r="F86" s="41"/>
      <c r="G86" s="16"/>
      <c r="H86" s="11">
        <v>175</v>
      </c>
      <c r="I86" s="15"/>
      <c r="J86" s="12">
        <f t="shared" si="4"/>
        <v>12654.26</v>
      </c>
      <c r="K86" s="12">
        <f t="shared" si="5"/>
        <v>57241.67</v>
      </c>
    </row>
    <row r="87" spans="2:11" x14ac:dyDescent="0.25">
      <c r="B87" s="18">
        <v>43087</v>
      </c>
      <c r="C87" s="13" t="s">
        <v>1313</v>
      </c>
      <c r="D87" s="41"/>
      <c r="E87" s="41"/>
      <c r="F87" s="41"/>
      <c r="G87" s="16"/>
      <c r="H87" s="11">
        <v>3300</v>
      </c>
      <c r="I87" s="15"/>
      <c r="J87" s="12">
        <f t="shared" si="4"/>
        <v>12654.26</v>
      </c>
      <c r="K87" s="12">
        <f t="shared" si="5"/>
        <v>53941.67</v>
      </c>
    </row>
    <row r="88" spans="2:11" x14ac:dyDescent="0.25">
      <c r="B88" s="18">
        <v>43088</v>
      </c>
      <c r="C88" s="13" t="s">
        <v>1314</v>
      </c>
      <c r="D88" s="41"/>
      <c r="E88" s="41"/>
      <c r="F88" s="41"/>
      <c r="G88" s="16"/>
      <c r="H88" s="11">
        <v>485.3</v>
      </c>
      <c r="I88" s="15"/>
      <c r="J88" s="12">
        <f t="shared" si="4"/>
        <v>12654.26</v>
      </c>
      <c r="K88" s="12">
        <f t="shared" si="5"/>
        <v>53456.369999999995</v>
      </c>
    </row>
    <row r="89" spans="2:11" x14ac:dyDescent="0.25">
      <c r="B89" s="18">
        <v>43088</v>
      </c>
      <c r="C89" s="13" t="s">
        <v>1315</v>
      </c>
      <c r="D89" s="41"/>
      <c r="E89" s="41"/>
      <c r="F89" s="41"/>
      <c r="G89" s="16"/>
      <c r="H89" s="11">
        <v>4</v>
      </c>
      <c r="I89" s="15"/>
      <c r="J89" s="12">
        <f t="shared" si="4"/>
        <v>12654.26</v>
      </c>
      <c r="K89" s="12">
        <f t="shared" si="5"/>
        <v>53452.369999999995</v>
      </c>
    </row>
    <row r="90" spans="2:11" x14ac:dyDescent="0.25">
      <c r="B90" s="18">
        <v>43088</v>
      </c>
      <c r="C90" s="13" t="s">
        <v>1268</v>
      </c>
      <c r="D90" s="41"/>
      <c r="E90" s="41"/>
      <c r="F90" s="41"/>
      <c r="G90" s="41"/>
      <c r="H90" s="11">
        <v>340</v>
      </c>
      <c r="I90" s="15"/>
      <c r="J90" s="12">
        <f t="shared" si="4"/>
        <v>12654.26</v>
      </c>
      <c r="K90" s="12">
        <f t="shared" si="5"/>
        <v>53112.369999999995</v>
      </c>
    </row>
    <row r="91" spans="2:11" x14ac:dyDescent="0.25">
      <c r="B91" s="18">
        <v>43088</v>
      </c>
      <c r="C91" s="13" t="s">
        <v>1266</v>
      </c>
      <c r="D91" s="41"/>
      <c r="E91" s="41"/>
      <c r="F91" s="41"/>
      <c r="G91" s="41"/>
      <c r="H91" s="11">
        <v>200</v>
      </c>
      <c r="I91" s="15"/>
      <c r="J91" s="12">
        <f t="shared" si="4"/>
        <v>12654.26</v>
      </c>
      <c r="K91" s="12">
        <f t="shared" si="5"/>
        <v>52912.369999999995</v>
      </c>
    </row>
    <row r="92" spans="2:11" x14ac:dyDescent="0.25">
      <c r="B92" s="18">
        <v>43089</v>
      </c>
      <c r="C92" s="9" t="s">
        <v>1316</v>
      </c>
      <c r="D92" s="11"/>
      <c r="E92" s="11"/>
      <c r="F92" s="11"/>
      <c r="G92" s="11"/>
      <c r="H92" s="11">
        <v>600</v>
      </c>
      <c r="I92" s="15"/>
      <c r="J92" s="12">
        <f t="shared" si="4"/>
        <v>12654.26</v>
      </c>
      <c r="K92" s="12">
        <f t="shared" si="5"/>
        <v>52312.369999999995</v>
      </c>
    </row>
    <row r="93" spans="2:11" x14ac:dyDescent="0.25">
      <c r="B93" s="18">
        <v>43089</v>
      </c>
      <c r="C93" s="9" t="s">
        <v>1267</v>
      </c>
      <c r="D93" s="11"/>
      <c r="E93" s="11"/>
      <c r="F93" s="11"/>
      <c r="G93" s="11"/>
      <c r="H93" s="11">
        <v>300</v>
      </c>
      <c r="I93" s="15"/>
      <c r="J93" s="12">
        <f t="shared" si="4"/>
        <v>12654.26</v>
      </c>
      <c r="K93" s="12">
        <f t="shared" si="5"/>
        <v>52012.369999999995</v>
      </c>
    </row>
    <row r="94" spans="2:11" x14ac:dyDescent="0.25">
      <c r="B94" s="18">
        <v>43090</v>
      </c>
      <c r="C94" s="9" t="s">
        <v>1268</v>
      </c>
      <c r="D94" s="11"/>
      <c r="E94" s="11"/>
      <c r="F94" s="11"/>
      <c r="G94" s="11"/>
      <c r="H94" s="11">
        <v>330</v>
      </c>
      <c r="I94" s="15"/>
      <c r="J94" s="12">
        <f t="shared" si="4"/>
        <v>12654.26</v>
      </c>
      <c r="K94" s="12">
        <f t="shared" si="5"/>
        <v>51682.369999999995</v>
      </c>
    </row>
    <row r="95" spans="2:11" x14ac:dyDescent="0.25">
      <c r="B95" s="18">
        <v>43090</v>
      </c>
      <c r="C95" s="9" t="s">
        <v>1267</v>
      </c>
      <c r="D95" s="11"/>
      <c r="E95" s="11"/>
      <c r="F95" s="11"/>
      <c r="G95" s="11"/>
      <c r="H95" s="11">
        <v>300</v>
      </c>
      <c r="I95" s="15"/>
      <c r="J95" s="12">
        <f t="shared" si="4"/>
        <v>12654.26</v>
      </c>
      <c r="K95" s="12">
        <f t="shared" si="5"/>
        <v>51382.369999999995</v>
      </c>
    </row>
    <row r="96" spans="2:11" x14ac:dyDescent="0.25">
      <c r="B96" s="18">
        <v>43090</v>
      </c>
      <c r="C96" s="9" t="s">
        <v>1266</v>
      </c>
      <c r="D96" s="11"/>
      <c r="E96" s="11"/>
      <c r="F96" s="11"/>
      <c r="G96" s="11"/>
      <c r="H96" s="11">
        <v>200</v>
      </c>
      <c r="I96" s="15"/>
      <c r="J96" s="12">
        <f t="shared" si="4"/>
        <v>12654.26</v>
      </c>
      <c r="K96" s="12">
        <f t="shared" si="5"/>
        <v>51182.369999999995</v>
      </c>
    </row>
    <row r="97" spans="2:12" x14ac:dyDescent="0.25">
      <c r="B97" s="18">
        <v>43091</v>
      </c>
      <c r="C97" s="9" t="s">
        <v>1317</v>
      </c>
      <c r="D97" s="11"/>
      <c r="E97" s="11"/>
      <c r="F97" s="11"/>
      <c r="G97" s="11"/>
      <c r="H97" s="11">
        <v>224</v>
      </c>
      <c r="I97" s="15"/>
      <c r="J97" s="12">
        <f t="shared" si="4"/>
        <v>12654.26</v>
      </c>
      <c r="K97" s="12">
        <f t="shared" si="5"/>
        <v>50958.369999999995</v>
      </c>
    </row>
    <row r="98" spans="2:12" x14ac:dyDescent="0.25">
      <c r="B98" s="18">
        <v>43091</v>
      </c>
      <c r="C98" s="9" t="s">
        <v>1318</v>
      </c>
      <c r="D98" s="11"/>
      <c r="E98" s="11"/>
      <c r="F98" s="11"/>
      <c r="G98" s="11"/>
      <c r="H98" s="11">
        <v>283.8</v>
      </c>
      <c r="I98" s="15"/>
      <c r="J98" s="12">
        <f t="shared" si="4"/>
        <v>12654.26</v>
      </c>
      <c r="K98" s="12">
        <f t="shared" si="5"/>
        <v>50674.569999999992</v>
      </c>
    </row>
    <row r="99" spans="2:12" x14ac:dyDescent="0.25">
      <c r="B99" s="18">
        <v>43091</v>
      </c>
      <c r="C99" s="35" t="s">
        <v>1319</v>
      </c>
      <c r="D99" s="11"/>
      <c r="E99" s="11"/>
      <c r="F99" s="11"/>
      <c r="G99" s="11"/>
      <c r="H99" s="11">
        <v>294</v>
      </c>
      <c r="I99" s="15"/>
      <c r="J99" s="12">
        <f t="shared" si="4"/>
        <v>12654.26</v>
      </c>
      <c r="K99" s="12">
        <f t="shared" si="5"/>
        <v>50380.569999999992</v>
      </c>
    </row>
    <row r="100" spans="2:12" x14ac:dyDescent="0.25">
      <c r="B100" s="18">
        <v>43091</v>
      </c>
      <c r="C100" s="34" t="s">
        <v>1320</v>
      </c>
      <c r="D100" s="11"/>
      <c r="E100" s="11"/>
      <c r="F100" s="11"/>
      <c r="G100" s="11"/>
      <c r="H100" s="11">
        <v>75</v>
      </c>
      <c r="I100" s="15"/>
      <c r="J100" s="12">
        <f t="shared" si="4"/>
        <v>12654.26</v>
      </c>
      <c r="K100" s="12">
        <f t="shared" si="5"/>
        <v>50305.569999999992</v>
      </c>
    </row>
    <row r="101" spans="2:12" x14ac:dyDescent="0.25">
      <c r="B101" s="18">
        <v>43091</v>
      </c>
      <c r="C101" s="9" t="s">
        <v>1321</v>
      </c>
      <c r="D101" s="11"/>
      <c r="E101" s="11"/>
      <c r="F101" s="11"/>
      <c r="G101" s="11"/>
      <c r="H101" s="11">
        <v>1250</v>
      </c>
      <c r="I101" s="15"/>
      <c r="J101" s="12">
        <f t="shared" si="4"/>
        <v>12654.26</v>
      </c>
      <c r="K101" s="12">
        <f t="shared" si="5"/>
        <v>49055.569999999992</v>
      </c>
    </row>
    <row r="102" spans="2:12" x14ac:dyDescent="0.25">
      <c r="B102" s="18">
        <v>43091</v>
      </c>
      <c r="C102" s="9" t="s">
        <v>420</v>
      </c>
      <c r="D102" s="11"/>
      <c r="E102" s="11"/>
      <c r="F102" s="11"/>
      <c r="G102" s="11"/>
      <c r="H102" s="11">
        <v>150</v>
      </c>
      <c r="I102" s="15"/>
      <c r="J102" s="12">
        <f t="shared" si="4"/>
        <v>12654.26</v>
      </c>
      <c r="K102" s="12">
        <f t="shared" si="5"/>
        <v>48905.569999999992</v>
      </c>
    </row>
    <row r="103" spans="2:12" x14ac:dyDescent="0.25">
      <c r="B103" s="18">
        <v>43091</v>
      </c>
      <c r="C103" s="9" t="s">
        <v>1322</v>
      </c>
      <c r="D103" s="11"/>
      <c r="E103" s="11"/>
      <c r="F103" s="11"/>
      <c r="G103" s="11"/>
      <c r="H103" s="11">
        <v>120</v>
      </c>
      <c r="I103" s="15"/>
      <c r="J103" s="12">
        <f t="shared" si="4"/>
        <v>12654.26</v>
      </c>
      <c r="K103" s="12">
        <f t="shared" si="5"/>
        <v>48785.569999999992</v>
      </c>
    </row>
    <row r="104" spans="2:12" x14ac:dyDescent="0.25">
      <c r="B104" s="18">
        <v>43091</v>
      </c>
      <c r="C104" s="9" t="s">
        <v>1323</v>
      </c>
      <c r="D104" s="11">
        <v>35250</v>
      </c>
      <c r="E104" s="11"/>
      <c r="F104" s="11"/>
      <c r="G104" s="11"/>
      <c r="H104" s="11"/>
      <c r="I104" s="15"/>
      <c r="J104" s="12">
        <f t="shared" si="4"/>
        <v>12654.26</v>
      </c>
      <c r="K104" s="12">
        <f t="shared" si="5"/>
        <v>84035.569999999992</v>
      </c>
    </row>
    <row r="105" spans="2:12" x14ac:dyDescent="0.25">
      <c r="B105" s="18">
        <v>43092</v>
      </c>
      <c r="C105" s="13" t="s">
        <v>1273</v>
      </c>
      <c r="D105" s="11"/>
      <c r="E105" s="11"/>
      <c r="F105" s="11"/>
      <c r="G105" s="11"/>
      <c r="H105" s="11">
        <v>57</v>
      </c>
      <c r="I105" s="15"/>
      <c r="J105" s="12">
        <f t="shared" si="4"/>
        <v>12654.26</v>
      </c>
      <c r="K105" s="12">
        <f t="shared" si="5"/>
        <v>83978.569999999992</v>
      </c>
      <c r="L105" s="1"/>
    </row>
    <row r="106" spans="2:12" x14ac:dyDescent="0.25">
      <c r="B106" s="18">
        <v>43092</v>
      </c>
      <c r="C106" s="9" t="s">
        <v>1273</v>
      </c>
      <c r="D106" s="11"/>
      <c r="E106" s="11"/>
      <c r="F106" s="11"/>
      <c r="G106" s="11"/>
      <c r="H106" s="11">
        <v>112</v>
      </c>
      <c r="I106" s="15"/>
      <c r="J106" s="12">
        <f t="shared" si="4"/>
        <v>12654.26</v>
      </c>
      <c r="K106" s="12">
        <f t="shared" si="5"/>
        <v>83866.569999999992</v>
      </c>
    </row>
    <row r="107" spans="2:12" x14ac:dyDescent="0.25">
      <c r="B107" s="18">
        <v>43092</v>
      </c>
      <c r="C107" s="9" t="s">
        <v>1325</v>
      </c>
      <c r="D107" s="11"/>
      <c r="E107" s="11"/>
      <c r="F107" s="11"/>
      <c r="G107" s="11"/>
      <c r="H107" s="11">
        <v>23</v>
      </c>
      <c r="I107" s="15"/>
      <c r="J107" s="12">
        <f t="shared" si="4"/>
        <v>12654.26</v>
      </c>
      <c r="K107" s="12">
        <f t="shared" si="5"/>
        <v>83843.569999999992</v>
      </c>
    </row>
    <row r="108" spans="2:12" x14ac:dyDescent="0.25">
      <c r="B108" s="18">
        <v>43092</v>
      </c>
      <c r="C108" s="9" t="s">
        <v>1324</v>
      </c>
      <c r="D108" s="11"/>
      <c r="E108" s="11"/>
      <c r="F108" s="11"/>
      <c r="G108" s="11"/>
      <c r="H108" s="11">
        <v>15</v>
      </c>
      <c r="I108" s="15"/>
      <c r="J108" s="12">
        <f t="shared" si="4"/>
        <v>12654.26</v>
      </c>
      <c r="K108" s="12">
        <f t="shared" si="5"/>
        <v>83828.569999999992</v>
      </c>
    </row>
    <row r="109" spans="2:12" x14ac:dyDescent="0.25">
      <c r="B109" s="18">
        <v>43092</v>
      </c>
      <c r="C109" s="126" t="s">
        <v>1326</v>
      </c>
      <c r="D109" s="11"/>
      <c r="E109" s="11"/>
      <c r="F109" s="11"/>
      <c r="G109" s="11"/>
      <c r="H109" s="11">
        <v>71</v>
      </c>
      <c r="I109" s="15"/>
      <c r="J109" s="12">
        <f t="shared" si="4"/>
        <v>12654.26</v>
      </c>
      <c r="K109" s="12">
        <f t="shared" si="5"/>
        <v>83757.569999999992</v>
      </c>
    </row>
    <row r="110" spans="2:12" x14ac:dyDescent="0.25">
      <c r="B110" s="18">
        <v>43092</v>
      </c>
      <c r="C110" s="9" t="s">
        <v>1327</v>
      </c>
      <c r="D110" s="11"/>
      <c r="E110" s="11"/>
      <c r="F110" s="11"/>
      <c r="G110" s="11"/>
      <c r="H110" s="11">
        <v>1530</v>
      </c>
      <c r="I110" s="15"/>
      <c r="J110" s="12">
        <f t="shared" si="4"/>
        <v>12654.26</v>
      </c>
      <c r="K110" s="12">
        <f>+K109+D110-H110</f>
        <v>82227.569999999992</v>
      </c>
    </row>
    <row r="111" spans="2:12" x14ac:dyDescent="0.25">
      <c r="B111" s="18">
        <v>43092</v>
      </c>
      <c r="C111" s="9" t="s">
        <v>1328</v>
      </c>
      <c r="D111" s="11"/>
      <c r="E111" s="11"/>
      <c r="F111" s="11"/>
      <c r="G111" s="11"/>
      <c r="H111" s="11">
        <v>250</v>
      </c>
      <c r="I111" s="15"/>
      <c r="J111" s="12">
        <f t="shared" si="4"/>
        <v>12654.26</v>
      </c>
      <c r="K111" s="12">
        <f t="shared" ref="K111:K113" si="6">+K110+D111-H111</f>
        <v>81977.569999999992</v>
      </c>
    </row>
    <row r="112" spans="2:12" x14ac:dyDescent="0.25">
      <c r="B112" s="18">
        <v>43092</v>
      </c>
      <c r="C112" s="9" t="s">
        <v>1329</v>
      </c>
      <c r="D112" s="11"/>
      <c r="E112" s="11"/>
      <c r="F112" s="11"/>
      <c r="G112" s="11"/>
      <c r="H112" s="11">
        <v>400</v>
      </c>
      <c r="I112" s="15"/>
      <c r="J112" s="12">
        <f t="shared" si="4"/>
        <v>12654.26</v>
      </c>
      <c r="K112" s="12">
        <f t="shared" si="6"/>
        <v>81577.569999999992</v>
      </c>
    </row>
    <row r="113" spans="2:11" ht="15.75" thickBot="1" x14ac:dyDescent="0.3">
      <c r="B113" s="18">
        <v>43092</v>
      </c>
      <c r="C113" s="9" t="s">
        <v>1330</v>
      </c>
      <c r="D113" s="11"/>
      <c r="E113" s="11"/>
      <c r="F113" s="11"/>
      <c r="G113" s="11"/>
      <c r="H113" s="11">
        <v>300</v>
      </c>
      <c r="I113" s="15"/>
      <c r="J113" s="12">
        <f>+J112+E113-G113</f>
        <v>12654.26</v>
      </c>
      <c r="K113" s="12">
        <f t="shared" si="6"/>
        <v>81277.569999999992</v>
      </c>
    </row>
    <row r="114" spans="2:11" ht="15.75" thickBot="1" x14ac:dyDescent="0.3">
      <c r="B114" s="5"/>
      <c r="C114" s="7" t="s">
        <v>0</v>
      </c>
      <c r="D114" s="63">
        <f>SUM(D58:D109)</f>
        <v>154575</v>
      </c>
      <c r="E114" s="61">
        <f>SUM(E58:E105)</f>
        <v>0</v>
      </c>
      <c r="F114" s="72">
        <f>SUM(D114:E114)</f>
        <v>154575</v>
      </c>
      <c r="G114" s="81">
        <f>SUM(G60:G109)</f>
        <v>4360.72</v>
      </c>
      <c r="H114" s="99">
        <f>SUM(H60:H109)</f>
        <v>95189.17</v>
      </c>
      <c r="I114" s="72">
        <f>SUM(G114:H114)</f>
        <v>99549.89</v>
      </c>
      <c r="J114" s="20">
        <v>0</v>
      </c>
      <c r="K114" s="20"/>
    </row>
    <row r="115" spans="2:11" x14ac:dyDescent="0.25">
      <c r="B115" s="69" t="s">
        <v>1</v>
      </c>
      <c r="C115" s="69" t="s">
        <v>2</v>
      </c>
      <c r="D115" s="69" t="s">
        <v>3</v>
      </c>
      <c r="E115" s="69" t="s">
        <v>3</v>
      </c>
      <c r="F115" s="69" t="s">
        <v>23</v>
      </c>
      <c r="G115" s="69" t="s">
        <v>24</v>
      </c>
      <c r="H115" s="48" t="s">
        <v>24</v>
      </c>
      <c r="I115" s="48" t="s">
        <v>23</v>
      </c>
      <c r="J115" s="69" t="s">
        <v>9</v>
      </c>
      <c r="K115" s="48" t="s">
        <v>8</v>
      </c>
    </row>
    <row r="116" spans="2:11" ht="15.75" thickBot="1" x14ac:dyDescent="0.3">
      <c r="B116" s="70"/>
      <c r="C116" s="70"/>
      <c r="D116" s="70" t="s">
        <v>5</v>
      </c>
      <c r="E116" s="70" t="s">
        <v>25</v>
      </c>
      <c r="F116" s="70" t="s">
        <v>3</v>
      </c>
      <c r="G116" s="70" t="s">
        <v>25</v>
      </c>
      <c r="H116" s="71" t="s">
        <v>5</v>
      </c>
      <c r="I116" s="71" t="s">
        <v>4</v>
      </c>
      <c r="J116" s="70"/>
      <c r="K116" s="71"/>
    </row>
    <row r="117" spans="2:11" ht="15.75" thickBot="1" x14ac:dyDescent="0.3">
      <c r="B117" s="5"/>
      <c r="C117" s="7" t="s">
        <v>0</v>
      </c>
      <c r="D117" s="63">
        <v>154575</v>
      </c>
      <c r="E117" s="61">
        <v>0</v>
      </c>
      <c r="F117" s="72">
        <f>SUM(D117:E117)</f>
        <v>154575</v>
      </c>
      <c r="G117" s="81">
        <v>4360.72</v>
      </c>
      <c r="H117" s="63">
        <v>95729.17</v>
      </c>
      <c r="I117" s="72">
        <f>SUM(G117:H117)</f>
        <v>100089.89</v>
      </c>
      <c r="J117" s="19">
        <v>12654.26</v>
      </c>
      <c r="K117" s="19">
        <v>81277.570000000007</v>
      </c>
    </row>
    <row r="118" spans="2:11" x14ac:dyDescent="0.25">
      <c r="B118" s="18">
        <v>43093</v>
      </c>
      <c r="C118" s="9" t="s">
        <v>1331</v>
      </c>
      <c r="D118" s="11"/>
      <c r="E118" s="11"/>
      <c r="F118" s="11"/>
      <c r="G118" s="11"/>
      <c r="H118" s="11">
        <v>36</v>
      </c>
      <c r="I118" s="15"/>
      <c r="J118" s="12">
        <f t="shared" ref="J118" si="7">+J117+E118-G118</f>
        <v>12654.26</v>
      </c>
      <c r="K118" s="12">
        <f t="shared" ref="K118" si="8">+K117+D118-H118</f>
        <v>81241.570000000007</v>
      </c>
    </row>
    <row r="119" spans="2:11" x14ac:dyDescent="0.25">
      <c r="B119" s="18">
        <v>43093</v>
      </c>
      <c r="C119" s="9" t="s">
        <v>1332</v>
      </c>
      <c r="D119" s="11"/>
      <c r="E119" s="11"/>
      <c r="F119" s="11"/>
      <c r="G119" s="11"/>
      <c r="H119" s="11">
        <v>65.7</v>
      </c>
      <c r="I119" s="15"/>
      <c r="J119" s="12">
        <f t="shared" ref="J119:J148" si="9">+J118+E119-G119</f>
        <v>12654.26</v>
      </c>
      <c r="K119" s="12">
        <f t="shared" ref="K119:K147" si="10">+K118+D119-H119</f>
        <v>81175.87000000001</v>
      </c>
    </row>
    <row r="120" spans="2:11" x14ac:dyDescent="0.25">
      <c r="B120" s="18">
        <v>43096</v>
      </c>
      <c r="C120" s="9" t="s">
        <v>1182</v>
      </c>
      <c r="D120" s="11"/>
      <c r="E120" s="11"/>
      <c r="F120" s="11"/>
      <c r="G120" s="11"/>
      <c r="H120" s="11">
        <v>105</v>
      </c>
      <c r="I120" s="15"/>
      <c r="J120" s="12">
        <f t="shared" si="9"/>
        <v>12654.26</v>
      </c>
      <c r="K120" s="12">
        <f t="shared" si="10"/>
        <v>81070.87000000001</v>
      </c>
    </row>
    <row r="121" spans="2:11" x14ac:dyDescent="0.25">
      <c r="B121" s="18">
        <v>43097</v>
      </c>
      <c r="C121" s="9" t="s">
        <v>1333</v>
      </c>
      <c r="D121" s="11"/>
      <c r="E121" s="11"/>
      <c r="F121" s="11"/>
      <c r="G121" s="11"/>
      <c r="H121" s="11">
        <v>53</v>
      </c>
      <c r="I121" s="15"/>
      <c r="J121" s="12">
        <f t="shared" si="9"/>
        <v>12654.26</v>
      </c>
      <c r="K121" s="12">
        <f t="shared" si="10"/>
        <v>81017.87000000001</v>
      </c>
    </row>
    <row r="122" spans="2:11" x14ac:dyDescent="0.25">
      <c r="B122" s="18">
        <v>37254</v>
      </c>
      <c r="C122" s="9" t="s">
        <v>1267</v>
      </c>
      <c r="D122" s="11"/>
      <c r="E122" s="11"/>
      <c r="F122" s="11"/>
      <c r="G122" s="11"/>
      <c r="H122" s="11">
        <v>300</v>
      </c>
      <c r="I122" s="15"/>
      <c r="J122" s="12">
        <f t="shared" si="9"/>
        <v>12654.26</v>
      </c>
      <c r="K122" s="12">
        <f t="shared" si="10"/>
        <v>80717.87000000001</v>
      </c>
    </row>
    <row r="123" spans="2:11" x14ac:dyDescent="0.25">
      <c r="B123" s="18">
        <v>43098</v>
      </c>
      <c r="C123" s="9" t="s">
        <v>1334</v>
      </c>
      <c r="D123" s="11"/>
      <c r="E123" s="11"/>
      <c r="F123" s="11"/>
      <c r="G123" s="11"/>
      <c r="H123" s="11">
        <v>145</v>
      </c>
      <c r="I123" s="15"/>
      <c r="J123" s="12">
        <f t="shared" si="9"/>
        <v>12654.26</v>
      </c>
      <c r="K123" s="12">
        <f t="shared" si="10"/>
        <v>80572.87000000001</v>
      </c>
    </row>
    <row r="124" spans="2:11" x14ac:dyDescent="0.25">
      <c r="B124" s="18">
        <v>43098</v>
      </c>
      <c r="C124" s="9" t="s">
        <v>1335</v>
      </c>
      <c r="D124" s="11"/>
      <c r="E124" s="11"/>
      <c r="F124" s="11"/>
      <c r="G124" s="11"/>
      <c r="H124" s="11">
        <v>5</v>
      </c>
      <c r="I124" s="15"/>
      <c r="J124" s="12">
        <f t="shared" si="9"/>
        <v>12654.26</v>
      </c>
      <c r="K124" s="12">
        <f t="shared" si="10"/>
        <v>80567.87000000001</v>
      </c>
    </row>
    <row r="125" spans="2:11" x14ac:dyDescent="0.25">
      <c r="B125" s="18">
        <v>43098</v>
      </c>
      <c r="C125" s="9" t="s">
        <v>1336</v>
      </c>
      <c r="D125" s="11"/>
      <c r="E125" s="11"/>
      <c r="F125" s="11"/>
      <c r="G125" s="11"/>
      <c r="H125" s="11">
        <v>1250</v>
      </c>
      <c r="I125" s="15"/>
      <c r="J125" s="12">
        <f t="shared" si="9"/>
        <v>12654.26</v>
      </c>
      <c r="K125" s="12">
        <f t="shared" si="10"/>
        <v>79317.87000000001</v>
      </c>
    </row>
    <row r="126" spans="2:11" x14ac:dyDescent="0.25">
      <c r="B126" s="18">
        <v>43100</v>
      </c>
      <c r="C126" s="9" t="s">
        <v>1337</v>
      </c>
      <c r="D126" s="11"/>
      <c r="E126" s="11"/>
      <c r="F126" s="11"/>
      <c r="G126" s="11"/>
      <c r="H126" s="11">
        <v>450</v>
      </c>
      <c r="I126" s="15"/>
      <c r="J126" s="12">
        <f t="shared" si="9"/>
        <v>12654.26</v>
      </c>
      <c r="K126" s="12">
        <f t="shared" si="10"/>
        <v>78867.87000000001</v>
      </c>
    </row>
    <row r="127" spans="2:11" x14ac:dyDescent="0.25">
      <c r="B127" s="18">
        <v>43100</v>
      </c>
      <c r="C127" s="9" t="s">
        <v>1338</v>
      </c>
      <c r="D127" s="11"/>
      <c r="E127" s="11"/>
      <c r="F127" s="11"/>
      <c r="G127" s="11"/>
      <c r="H127" s="11">
        <v>100</v>
      </c>
      <c r="I127" s="15"/>
      <c r="J127" s="12">
        <f t="shared" si="9"/>
        <v>12654.26</v>
      </c>
      <c r="K127" s="12">
        <f t="shared" si="10"/>
        <v>78767.87000000001</v>
      </c>
    </row>
    <row r="128" spans="2:11" x14ac:dyDescent="0.25">
      <c r="B128" s="18">
        <v>43100</v>
      </c>
      <c r="C128" s="9" t="s">
        <v>1339</v>
      </c>
      <c r="D128" s="11"/>
      <c r="E128" s="11"/>
      <c r="F128" s="11"/>
      <c r="G128" s="11"/>
      <c r="H128" s="11">
        <v>300</v>
      </c>
      <c r="I128" s="15"/>
      <c r="J128" s="12">
        <f t="shared" si="9"/>
        <v>12654.26</v>
      </c>
      <c r="K128" s="12">
        <f t="shared" si="10"/>
        <v>78467.87000000001</v>
      </c>
    </row>
    <row r="129" spans="2:11" x14ac:dyDescent="0.25">
      <c r="B129" s="18">
        <v>43100</v>
      </c>
      <c r="C129" s="9" t="s">
        <v>1340</v>
      </c>
      <c r="D129" s="41"/>
      <c r="E129" s="41"/>
      <c r="F129" s="41"/>
      <c r="G129" s="41"/>
      <c r="H129" s="11">
        <v>1000</v>
      </c>
      <c r="I129" s="15"/>
      <c r="J129" s="12">
        <f t="shared" si="9"/>
        <v>12654.26</v>
      </c>
      <c r="K129" s="12">
        <f t="shared" si="10"/>
        <v>77467.87000000001</v>
      </c>
    </row>
    <row r="130" spans="2:11" x14ac:dyDescent="0.25">
      <c r="B130" s="18">
        <v>43100</v>
      </c>
      <c r="C130" s="13" t="s">
        <v>1341</v>
      </c>
      <c r="D130" s="41"/>
      <c r="E130" s="41"/>
      <c r="F130" s="41"/>
      <c r="G130" s="16"/>
      <c r="H130" s="11">
        <v>30100</v>
      </c>
      <c r="I130" s="15"/>
      <c r="J130" s="12">
        <f t="shared" si="9"/>
        <v>12654.26</v>
      </c>
      <c r="K130" s="12">
        <f t="shared" si="10"/>
        <v>47367.87000000001</v>
      </c>
    </row>
    <row r="131" spans="2:11" x14ac:dyDescent="0.25">
      <c r="B131" s="18">
        <v>43100</v>
      </c>
      <c r="C131" s="13" t="s">
        <v>1342</v>
      </c>
      <c r="D131" s="41"/>
      <c r="E131" s="41"/>
      <c r="F131" s="41"/>
      <c r="G131" s="41"/>
      <c r="H131" s="11">
        <v>4000</v>
      </c>
      <c r="I131" s="15"/>
      <c r="J131" s="12">
        <f t="shared" si="9"/>
        <v>12654.26</v>
      </c>
      <c r="K131" s="12">
        <f t="shared" si="10"/>
        <v>43367.87000000001</v>
      </c>
    </row>
    <row r="132" spans="2:11" x14ac:dyDescent="0.25">
      <c r="B132" s="18">
        <v>43100</v>
      </c>
      <c r="C132" s="13" t="s">
        <v>1273</v>
      </c>
      <c r="D132" s="41"/>
      <c r="E132" s="41"/>
      <c r="F132" s="41"/>
      <c r="G132" s="41"/>
      <c r="H132" s="11">
        <v>51</v>
      </c>
      <c r="I132" s="15"/>
      <c r="J132" s="12">
        <f t="shared" si="9"/>
        <v>12654.26</v>
      </c>
      <c r="K132" s="12">
        <f t="shared" si="10"/>
        <v>43316.87000000001</v>
      </c>
    </row>
    <row r="133" spans="2:11" x14ac:dyDescent="0.25">
      <c r="B133" s="18">
        <v>43100</v>
      </c>
      <c r="C133" s="13" t="s">
        <v>1274</v>
      </c>
      <c r="D133" s="41"/>
      <c r="E133" s="41"/>
      <c r="F133" s="41"/>
      <c r="G133" s="41"/>
      <c r="H133" s="11">
        <v>120</v>
      </c>
      <c r="I133" s="15"/>
      <c r="J133" s="12">
        <f t="shared" si="9"/>
        <v>12654.26</v>
      </c>
      <c r="K133" s="12">
        <f t="shared" si="10"/>
        <v>43196.87000000001</v>
      </c>
    </row>
    <row r="134" spans="2:11" x14ac:dyDescent="0.25">
      <c r="B134" s="18">
        <v>43100</v>
      </c>
      <c r="C134" s="13" t="s">
        <v>1343</v>
      </c>
      <c r="D134" s="41">
        <v>8100</v>
      </c>
      <c r="E134" s="41"/>
      <c r="F134" s="41"/>
      <c r="G134" s="41"/>
      <c r="H134" s="11"/>
      <c r="I134" s="15"/>
      <c r="J134" s="12">
        <f t="shared" si="9"/>
        <v>12654.26</v>
      </c>
      <c r="K134" s="12">
        <f t="shared" si="10"/>
        <v>51296.87000000001</v>
      </c>
    </row>
    <row r="135" spans="2:11" x14ac:dyDescent="0.25">
      <c r="B135" s="18">
        <v>43100</v>
      </c>
      <c r="C135" s="13" t="s">
        <v>1344</v>
      </c>
      <c r="D135" s="41"/>
      <c r="E135" s="41"/>
      <c r="F135" s="41"/>
      <c r="G135" s="41"/>
      <c r="H135" s="11">
        <v>15</v>
      </c>
      <c r="I135" s="15"/>
      <c r="J135" s="12">
        <f t="shared" si="9"/>
        <v>12654.26</v>
      </c>
      <c r="K135" s="12">
        <f t="shared" si="10"/>
        <v>51281.87000000001</v>
      </c>
    </row>
    <row r="136" spans="2:11" x14ac:dyDescent="0.25">
      <c r="B136" s="18">
        <v>43100</v>
      </c>
      <c r="C136" s="13" t="s">
        <v>1345</v>
      </c>
      <c r="D136" s="41"/>
      <c r="E136" s="41"/>
      <c r="F136" s="41"/>
      <c r="G136" s="41"/>
      <c r="H136" s="11">
        <v>150</v>
      </c>
      <c r="I136" s="15"/>
      <c r="J136" s="12">
        <f t="shared" si="9"/>
        <v>12654.26</v>
      </c>
      <c r="K136" s="12">
        <f t="shared" si="10"/>
        <v>51131.87000000001</v>
      </c>
    </row>
    <row r="137" spans="2:11" x14ac:dyDescent="0.25">
      <c r="B137" s="18">
        <v>43100</v>
      </c>
      <c r="C137" s="13" t="s">
        <v>1346</v>
      </c>
      <c r="D137" s="41"/>
      <c r="E137" s="41"/>
      <c r="F137" s="41"/>
      <c r="G137" s="41"/>
      <c r="H137" s="11">
        <v>40</v>
      </c>
      <c r="I137" s="15"/>
      <c r="J137" s="12">
        <f t="shared" si="9"/>
        <v>12654.26</v>
      </c>
      <c r="K137" s="12">
        <f t="shared" si="10"/>
        <v>51091.87000000001</v>
      </c>
    </row>
    <row r="138" spans="2:11" x14ac:dyDescent="0.25">
      <c r="B138" s="18">
        <v>43071</v>
      </c>
      <c r="C138" s="13" t="s">
        <v>1347</v>
      </c>
      <c r="D138" s="41"/>
      <c r="E138" s="41">
        <v>800.15</v>
      </c>
      <c r="F138" s="41"/>
      <c r="G138" s="41"/>
      <c r="H138" s="11"/>
      <c r="I138" s="15"/>
      <c r="J138" s="12">
        <f t="shared" si="9"/>
        <v>13454.41</v>
      </c>
      <c r="K138" s="12">
        <f t="shared" si="10"/>
        <v>51091.87000000001</v>
      </c>
    </row>
    <row r="139" spans="2:11" x14ac:dyDescent="0.25">
      <c r="B139" s="18">
        <v>43074</v>
      </c>
      <c r="C139" s="34" t="s">
        <v>1348</v>
      </c>
      <c r="D139" s="11"/>
      <c r="E139" s="124">
        <v>300.45999999999998</v>
      </c>
      <c r="F139" s="11"/>
      <c r="G139" s="11"/>
      <c r="H139" s="11"/>
      <c r="I139" s="15"/>
      <c r="J139" s="12">
        <f t="shared" si="9"/>
        <v>13754.869999999999</v>
      </c>
      <c r="K139" s="12">
        <f t="shared" si="10"/>
        <v>51091.87000000001</v>
      </c>
    </row>
    <row r="140" spans="2:11" x14ac:dyDescent="0.25">
      <c r="B140" s="18">
        <v>43074</v>
      </c>
      <c r="C140" s="9" t="s">
        <v>1094</v>
      </c>
      <c r="D140" s="11"/>
      <c r="E140" s="124"/>
      <c r="F140" s="11"/>
      <c r="G140" s="11">
        <v>30</v>
      </c>
      <c r="H140" s="11"/>
      <c r="I140" s="15"/>
      <c r="J140" s="12">
        <f>+J139+E140-G140</f>
        <v>13724.869999999999</v>
      </c>
      <c r="K140" s="12">
        <f>+K139+D140-H140</f>
        <v>51091.87000000001</v>
      </c>
    </row>
    <row r="141" spans="2:11" x14ac:dyDescent="0.25">
      <c r="B141" s="18">
        <v>43074</v>
      </c>
      <c r="C141" s="9" t="s">
        <v>1090</v>
      </c>
      <c r="D141" s="11"/>
      <c r="E141" s="124"/>
      <c r="F141" s="11"/>
      <c r="G141" s="11">
        <v>4.8</v>
      </c>
      <c r="H141" s="11"/>
      <c r="I141" s="15"/>
      <c r="J141" s="12">
        <f t="shared" si="9"/>
        <v>13720.07</v>
      </c>
      <c r="K141" s="12">
        <f t="shared" si="10"/>
        <v>51091.87000000001</v>
      </c>
    </row>
    <row r="142" spans="2:11" x14ac:dyDescent="0.25">
      <c r="B142" s="18">
        <v>43089</v>
      </c>
      <c r="C142" s="13" t="s">
        <v>1349</v>
      </c>
      <c r="D142" s="11"/>
      <c r="E142" s="124">
        <v>12760</v>
      </c>
      <c r="F142" s="11"/>
      <c r="G142" s="11"/>
      <c r="H142" s="11"/>
      <c r="I142" s="15"/>
      <c r="J142" s="12">
        <f t="shared" si="9"/>
        <v>26480.07</v>
      </c>
      <c r="K142" s="12">
        <f t="shared" si="10"/>
        <v>51091.87000000001</v>
      </c>
    </row>
    <row r="143" spans="2:11" x14ac:dyDescent="0.25">
      <c r="B143" s="18">
        <v>43098</v>
      </c>
      <c r="C143" s="13" t="s">
        <v>1256</v>
      </c>
      <c r="D143" s="11"/>
      <c r="E143" s="124"/>
      <c r="F143" s="11"/>
      <c r="G143" s="11">
        <v>18</v>
      </c>
      <c r="H143" s="11"/>
      <c r="I143" s="15"/>
      <c r="J143" s="12">
        <f t="shared" si="9"/>
        <v>26462.07</v>
      </c>
      <c r="K143" s="12">
        <f t="shared" si="10"/>
        <v>51091.87000000001</v>
      </c>
    </row>
    <row r="144" spans="2:11" x14ac:dyDescent="0.25">
      <c r="B144" s="18">
        <v>43098</v>
      </c>
      <c r="C144" s="9" t="s">
        <v>1257</v>
      </c>
      <c r="D144" s="11"/>
      <c r="E144" s="124"/>
      <c r="F144" s="11"/>
      <c r="G144" s="11">
        <v>2.88</v>
      </c>
      <c r="H144" s="11"/>
      <c r="I144" s="15"/>
      <c r="J144" s="12">
        <f t="shared" si="9"/>
        <v>26459.19</v>
      </c>
      <c r="K144" s="12">
        <f t="shared" si="10"/>
        <v>51091.87000000001</v>
      </c>
    </row>
    <row r="145" spans="2:11" x14ac:dyDescent="0.25">
      <c r="B145" s="18">
        <v>43100</v>
      </c>
      <c r="C145" s="9" t="s">
        <v>1350</v>
      </c>
      <c r="D145" s="11"/>
      <c r="E145" s="124">
        <v>3300</v>
      </c>
      <c r="F145" s="11"/>
      <c r="G145" s="11"/>
      <c r="H145" s="11"/>
      <c r="I145" s="15"/>
      <c r="J145" s="12">
        <f t="shared" si="9"/>
        <v>29759.19</v>
      </c>
      <c r="K145" s="12">
        <f t="shared" si="10"/>
        <v>51091.87000000001</v>
      </c>
    </row>
    <row r="146" spans="2:11" x14ac:dyDescent="0.25">
      <c r="B146" s="18"/>
      <c r="C146" s="9"/>
      <c r="D146" s="11"/>
      <c r="E146" s="124"/>
      <c r="F146" s="11"/>
      <c r="G146" s="11"/>
      <c r="H146" s="11"/>
      <c r="I146" s="15"/>
      <c r="J146" s="12">
        <f t="shared" si="9"/>
        <v>29759.19</v>
      </c>
      <c r="K146" s="12">
        <f t="shared" si="10"/>
        <v>51091.87000000001</v>
      </c>
    </row>
    <row r="147" spans="2:11" x14ac:dyDescent="0.25">
      <c r="B147" s="18"/>
      <c r="C147" s="9"/>
      <c r="D147" s="11"/>
      <c r="E147" s="11"/>
      <c r="F147" s="11"/>
      <c r="G147" s="11"/>
      <c r="H147" s="11"/>
      <c r="I147" s="15"/>
      <c r="J147" s="12">
        <f t="shared" si="9"/>
        <v>29759.19</v>
      </c>
      <c r="K147" s="12">
        <f t="shared" si="10"/>
        <v>51091.87000000001</v>
      </c>
    </row>
    <row r="148" spans="2:11" ht="15.75" thickBot="1" x14ac:dyDescent="0.3">
      <c r="B148" s="18"/>
      <c r="C148" s="9"/>
      <c r="D148" s="11"/>
      <c r="E148" s="11"/>
      <c r="F148" s="11"/>
      <c r="G148" s="11"/>
      <c r="H148" s="11"/>
      <c r="I148" s="15"/>
      <c r="J148" s="12">
        <f t="shared" si="9"/>
        <v>29759.19</v>
      </c>
      <c r="K148" s="12">
        <f>+K147+D148-H148</f>
        <v>51091.87000000001</v>
      </c>
    </row>
    <row r="149" spans="2:11" ht="15.75" thickBot="1" x14ac:dyDescent="0.3">
      <c r="B149" s="5"/>
      <c r="C149" s="7" t="s">
        <v>0</v>
      </c>
      <c r="D149" s="63">
        <f>SUM(D117:D148)</f>
        <v>162675</v>
      </c>
      <c r="E149" s="61">
        <f>SUM(E117:E148)</f>
        <v>17160.61</v>
      </c>
      <c r="F149" s="72">
        <f>SUM(D149:E149)</f>
        <v>179835.61</v>
      </c>
      <c r="G149" s="81">
        <f>SUM(G117:G148)</f>
        <v>4416.4000000000005</v>
      </c>
      <c r="H149" s="63">
        <f>SUM(H117:H148)</f>
        <v>134014.87</v>
      </c>
      <c r="I149" s="72">
        <f>SUM(G149:H149)</f>
        <v>138431.26999999999</v>
      </c>
      <c r="J149" s="20"/>
      <c r="K149" s="20"/>
    </row>
    <row r="151" spans="2:11" ht="15.75" thickBot="1" x14ac:dyDescent="0.3"/>
    <row r="152" spans="2:11" ht="15.75" thickBot="1" x14ac:dyDescent="0.3">
      <c r="I152" s="75" t="s">
        <v>9</v>
      </c>
      <c r="J152" s="75" t="s">
        <v>8</v>
      </c>
      <c r="K152" s="96" t="s">
        <v>0</v>
      </c>
    </row>
    <row r="153" spans="2:11" ht="15.75" thickBot="1" x14ac:dyDescent="0.3">
      <c r="I153" s="78">
        <v>29759.19</v>
      </c>
      <c r="J153" s="78">
        <v>51091.87</v>
      </c>
      <c r="K153" s="20">
        <f>SUM(I153:J153)</f>
        <v>80851.06</v>
      </c>
    </row>
  </sheetData>
  <printOptions verticalCentered="1"/>
  <pageMargins left="0.70866141732283472" right="0" top="0" bottom="0" header="0.31496062992125984" footer="0.31496062992125984"/>
  <pageSetup paperSize="9" scale="69" fitToHeight="0" orientation="landscape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9"/>
  <dimension ref="B1:N27"/>
  <sheetViews>
    <sheetView workbookViewId="0">
      <selection activeCell="I15" sqref="I15"/>
    </sheetView>
  </sheetViews>
  <sheetFormatPr baseColWidth="10" defaultRowHeight="15" x14ac:dyDescent="0.25"/>
  <cols>
    <col min="6" max="6" width="0" hidden="1" customWidth="1"/>
    <col min="10" max="10" width="0" hidden="1" customWidth="1"/>
  </cols>
  <sheetData>
    <row r="1" spans="2:14" ht="28.5" x14ac:dyDescent="0.45">
      <c r="B1" s="28"/>
      <c r="C1" s="46" t="s">
        <v>37</v>
      </c>
      <c r="D1" s="46"/>
      <c r="E1" s="46"/>
      <c r="F1" s="95"/>
      <c r="G1" s="95"/>
      <c r="H1" s="95"/>
      <c r="I1" s="95"/>
      <c r="J1" s="46"/>
      <c r="K1" s="46"/>
      <c r="L1" s="46"/>
      <c r="M1" s="46"/>
    </row>
    <row r="2" spans="2:14" ht="15.75" thickBot="1" x14ac:dyDescent="0.3">
      <c r="B2" s="131"/>
      <c r="C2" s="131"/>
      <c r="D2" s="131"/>
      <c r="E2" s="131"/>
      <c r="F2" s="131"/>
      <c r="G2" s="131"/>
      <c r="H2" s="131"/>
      <c r="I2" s="131"/>
      <c r="J2" s="83"/>
      <c r="K2" s="45"/>
      <c r="L2" s="83"/>
      <c r="M2" s="83"/>
    </row>
    <row r="3" spans="2:14" ht="15.75" thickBot="1" x14ac:dyDescent="0.3">
      <c r="C3" s="31"/>
      <c r="D3" s="31"/>
      <c r="N3" s="69" t="s">
        <v>31</v>
      </c>
    </row>
    <row r="4" spans="2:14" ht="15.75" thickBot="1" x14ac:dyDescent="0.3">
      <c r="B4" s="2" t="s">
        <v>1</v>
      </c>
      <c r="C4" s="4" t="s">
        <v>2</v>
      </c>
      <c r="D4" s="2" t="s">
        <v>3</v>
      </c>
      <c r="E4" s="3" t="s">
        <v>4</v>
      </c>
      <c r="F4" s="47"/>
      <c r="G4" s="47" t="s">
        <v>27</v>
      </c>
      <c r="H4" s="47" t="s">
        <v>28</v>
      </c>
      <c r="I4" s="47" t="s">
        <v>8</v>
      </c>
      <c r="J4" s="85"/>
      <c r="K4" s="48" t="s">
        <v>9</v>
      </c>
      <c r="L4" s="48" t="s">
        <v>29</v>
      </c>
      <c r="M4" s="88" t="s">
        <v>30</v>
      </c>
      <c r="N4" s="75" t="s">
        <v>32</v>
      </c>
    </row>
    <row r="5" spans="2:14" ht="15.75" thickBot="1" x14ac:dyDescent="0.3">
      <c r="B5" s="22"/>
      <c r="C5" s="49" t="s">
        <v>10</v>
      </c>
      <c r="D5" s="50"/>
      <c r="E5" s="8"/>
      <c r="F5" s="65">
        <v>3799.82</v>
      </c>
      <c r="G5" s="65"/>
      <c r="H5" s="65"/>
      <c r="I5" s="51">
        <v>3799.82</v>
      </c>
      <c r="J5" s="51"/>
      <c r="K5" s="12"/>
      <c r="L5" s="12"/>
      <c r="M5" s="12"/>
      <c r="N5" s="89"/>
    </row>
    <row r="6" spans="2:14" x14ac:dyDescent="0.25">
      <c r="B6" s="22">
        <v>42370</v>
      </c>
      <c r="C6" s="52" t="s">
        <v>11</v>
      </c>
      <c r="D6" s="11">
        <v>151565</v>
      </c>
      <c r="E6" s="11">
        <v>114325.83</v>
      </c>
      <c r="F6" s="84">
        <f t="shared" ref="F6:F11" si="0">SUM(F5+D6-E6)</f>
        <v>41038.990000000005</v>
      </c>
      <c r="G6" s="84"/>
      <c r="H6" s="84"/>
      <c r="I6" s="51">
        <f>+I5+D6-E6</f>
        <v>41038.990000000005</v>
      </c>
      <c r="J6" s="51"/>
      <c r="K6" s="12"/>
      <c r="L6" s="12"/>
      <c r="M6" s="12"/>
      <c r="N6" s="13"/>
    </row>
    <row r="7" spans="2:14" x14ac:dyDescent="0.25">
      <c r="B7" s="18">
        <v>42401</v>
      </c>
      <c r="C7" s="53" t="s">
        <v>12</v>
      </c>
      <c r="D7" s="16">
        <v>114584.5</v>
      </c>
      <c r="E7" s="11">
        <v>124184.41</v>
      </c>
      <c r="F7" s="84">
        <f t="shared" si="0"/>
        <v>31439.079999999987</v>
      </c>
      <c r="G7" s="84">
        <v>61060.29</v>
      </c>
      <c r="H7" s="84"/>
      <c r="I7" s="51">
        <v>31439.08</v>
      </c>
      <c r="J7" s="51"/>
      <c r="K7" s="12">
        <v>61060.29</v>
      </c>
      <c r="L7" s="12"/>
      <c r="M7" s="12"/>
      <c r="N7" s="13"/>
    </row>
    <row r="8" spans="2:14" x14ac:dyDescent="0.25">
      <c r="B8" s="18">
        <v>42430</v>
      </c>
      <c r="C8" s="54" t="s">
        <v>13</v>
      </c>
      <c r="D8" s="16">
        <v>73095</v>
      </c>
      <c r="E8" s="11">
        <v>102590.53</v>
      </c>
      <c r="F8" s="84">
        <f t="shared" si="0"/>
        <v>1943.5499999999884</v>
      </c>
      <c r="G8" s="84">
        <v>16561.11</v>
      </c>
      <c r="H8" s="84">
        <v>4416.24</v>
      </c>
      <c r="I8" s="51">
        <v>1943.55</v>
      </c>
      <c r="J8" s="51">
        <f>SUM(G7+G8-H8)</f>
        <v>73205.159999999989</v>
      </c>
      <c r="K8" s="12">
        <v>73205.16</v>
      </c>
      <c r="L8" s="12">
        <f t="shared" ref="L8:M11" si="1">SUM(D8+G8)</f>
        <v>89656.11</v>
      </c>
      <c r="M8" s="12">
        <f t="shared" si="1"/>
        <v>107006.77</v>
      </c>
      <c r="N8" s="86">
        <f>SUM(L8-M8)</f>
        <v>-17350.660000000003</v>
      </c>
    </row>
    <row r="9" spans="2:14" x14ac:dyDescent="0.25">
      <c r="B9" s="18">
        <v>42461</v>
      </c>
      <c r="C9" s="55" t="s">
        <v>14</v>
      </c>
      <c r="D9" s="11">
        <v>81055</v>
      </c>
      <c r="E9" s="11">
        <v>79032.37</v>
      </c>
      <c r="F9" s="84">
        <f t="shared" si="0"/>
        <v>3966.179999999993</v>
      </c>
      <c r="G9" s="84">
        <v>29020.46</v>
      </c>
      <c r="H9" s="84">
        <v>39549.440000000002</v>
      </c>
      <c r="I9" s="51">
        <v>3966.18</v>
      </c>
      <c r="J9" s="51">
        <f>SUM(J8+G9-H9)</f>
        <v>62676.179999999993</v>
      </c>
      <c r="K9" s="12">
        <v>62676.18</v>
      </c>
      <c r="L9" s="12">
        <f t="shared" si="1"/>
        <v>110075.45999999999</v>
      </c>
      <c r="M9" s="12">
        <f t="shared" si="1"/>
        <v>118581.81</v>
      </c>
      <c r="N9" s="86">
        <f>SUM(L9-M9)</f>
        <v>-8506.3500000000058</v>
      </c>
    </row>
    <row r="10" spans="2:14" x14ac:dyDescent="0.25">
      <c r="B10" s="18">
        <v>42491</v>
      </c>
      <c r="C10" s="55" t="s">
        <v>15</v>
      </c>
      <c r="D10" s="11">
        <v>103745</v>
      </c>
      <c r="E10" s="11">
        <v>104081.9</v>
      </c>
      <c r="F10" s="84">
        <f t="shared" si="0"/>
        <v>3629.2799999999988</v>
      </c>
      <c r="G10" s="84">
        <v>15060.46</v>
      </c>
      <c r="H10" s="84">
        <v>18515.2</v>
      </c>
      <c r="I10" s="51">
        <v>3629.28</v>
      </c>
      <c r="J10" s="51">
        <f>SUM(J9+G10-H10)</f>
        <v>59221.439999999988</v>
      </c>
      <c r="K10" s="12">
        <v>59221.440000000002</v>
      </c>
      <c r="L10" s="12">
        <f t="shared" si="1"/>
        <v>118805.45999999999</v>
      </c>
      <c r="M10" s="12">
        <f t="shared" si="1"/>
        <v>122597.09999999999</v>
      </c>
      <c r="N10" s="86">
        <f>SUM(L10-M10)</f>
        <v>-3791.6399999999994</v>
      </c>
    </row>
    <row r="11" spans="2:14" x14ac:dyDescent="0.25">
      <c r="B11" s="25">
        <v>42522</v>
      </c>
      <c r="C11" s="58" t="s">
        <v>16</v>
      </c>
      <c r="D11" s="59">
        <v>135735</v>
      </c>
      <c r="E11" s="59">
        <v>108304.15</v>
      </c>
      <c r="F11" s="84">
        <f t="shared" si="0"/>
        <v>31060.130000000005</v>
      </c>
      <c r="G11" s="84">
        <v>13060.46</v>
      </c>
      <c r="H11" s="84">
        <v>19346.439999999999</v>
      </c>
      <c r="I11" s="51">
        <v>31060.13</v>
      </c>
      <c r="J11" s="51">
        <f>SUM(J10+G11-H11)</f>
        <v>52935.459999999992</v>
      </c>
      <c r="K11" s="12">
        <v>52935.46</v>
      </c>
      <c r="L11" s="12">
        <f t="shared" si="1"/>
        <v>148795.46</v>
      </c>
      <c r="M11" s="12">
        <f t="shared" si="1"/>
        <v>127650.59</v>
      </c>
      <c r="N11" s="87">
        <f>SUM(L11-M11)</f>
        <v>21144.869999999995</v>
      </c>
    </row>
    <row r="12" spans="2:14" x14ac:dyDescent="0.25">
      <c r="B12" s="25">
        <v>42552</v>
      </c>
      <c r="C12" s="58" t="s">
        <v>17</v>
      </c>
      <c r="D12" s="59"/>
      <c r="E12" s="59"/>
      <c r="F12" s="84"/>
      <c r="G12" s="84"/>
      <c r="H12" s="84"/>
      <c r="I12" s="51"/>
      <c r="J12" s="51"/>
      <c r="K12" s="12"/>
      <c r="L12" s="12"/>
      <c r="M12" s="12"/>
      <c r="N12" s="13"/>
    </row>
    <row r="13" spans="2:14" x14ac:dyDescent="0.25">
      <c r="B13" s="18">
        <v>42583</v>
      </c>
      <c r="C13" s="55" t="s">
        <v>18</v>
      </c>
      <c r="D13" s="11"/>
      <c r="E13" s="11"/>
      <c r="F13" s="84"/>
      <c r="G13" s="84"/>
      <c r="H13" s="84"/>
      <c r="I13" s="51"/>
      <c r="J13" s="51"/>
      <c r="K13" s="12"/>
      <c r="L13" s="12"/>
      <c r="M13" s="12"/>
      <c r="N13" s="13"/>
    </row>
    <row r="14" spans="2:14" x14ac:dyDescent="0.25">
      <c r="B14" s="18">
        <v>42583</v>
      </c>
      <c r="C14" s="55" t="s">
        <v>18</v>
      </c>
      <c r="D14" s="11"/>
      <c r="E14" s="11"/>
      <c r="F14" s="84"/>
      <c r="G14" s="84"/>
      <c r="H14" s="84"/>
      <c r="I14" s="51"/>
      <c r="J14" s="51"/>
      <c r="K14" s="12"/>
      <c r="L14" s="12"/>
      <c r="M14" s="12"/>
      <c r="N14" s="13"/>
    </row>
    <row r="15" spans="2:14" x14ac:dyDescent="0.25">
      <c r="B15" s="18">
        <v>42614</v>
      </c>
      <c r="C15" s="56" t="s">
        <v>19</v>
      </c>
      <c r="D15" s="11"/>
      <c r="E15" s="11"/>
      <c r="F15" s="84"/>
      <c r="G15" s="84"/>
      <c r="H15" s="84"/>
      <c r="I15" s="51"/>
      <c r="J15" s="51"/>
      <c r="K15" s="12"/>
      <c r="L15" s="12"/>
      <c r="M15" s="12"/>
      <c r="N15" s="13"/>
    </row>
    <row r="16" spans="2:14" x14ac:dyDescent="0.25">
      <c r="B16" s="18">
        <v>42644</v>
      </c>
      <c r="C16" s="55" t="s">
        <v>20</v>
      </c>
      <c r="D16" s="11"/>
      <c r="E16" s="11"/>
      <c r="F16" s="84"/>
      <c r="G16" s="84"/>
      <c r="H16" s="84"/>
      <c r="I16" s="51"/>
      <c r="J16" s="51"/>
      <c r="K16" s="12"/>
      <c r="L16" s="12"/>
      <c r="M16" s="12"/>
      <c r="N16" s="13"/>
    </row>
    <row r="17" spans="2:14" x14ac:dyDescent="0.25">
      <c r="B17" s="18">
        <v>42645</v>
      </c>
      <c r="C17" s="56" t="s">
        <v>21</v>
      </c>
      <c r="D17" s="11"/>
      <c r="E17" s="11"/>
      <c r="F17" s="84"/>
      <c r="G17" s="84"/>
      <c r="H17" s="84"/>
      <c r="I17" s="51"/>
      <c r="J17" s="51"/>
      <c r="K17" s="12"/>
      <c r="L17" s="12"/>
      <c r="M17" s="12"/>
      <c r="N17" s="13"/>
    </row>
    <row r="18" spans="2:14" ht="15.75" thickBot="1" x14ac:dyDescent="0.3">
      <c r="B18" s="18">
        <v>42646</v>
      </c>
      <c r="C18" s="55" t="s">
        <v>22</v>
      </c>
      <c r="D18" s="11"/>
      <c r="E18" s="11"/>
      <c r="F18" s="84"/>
      <c r="G18" s="84"/>
      <c r="H18" s="84"/>
      <c r="I18" s="51"/>
      <c r="J18" s="51"/>
      <c r="K18" s="12"/>
      <c r="L18" s="12"/>
      <c r="M18" s="12"/>
      <c r="N18" s="13"/>
    </row>
    <row r="19" spans="2:14" ht="15.75" thickBot="1" x14ac:dyDescent="0.3">
      <c r="B19" s="30"/>
      <c r="C19" s="7" t="s">
        <v>0</v>
      </c>
      <c r="D19" s="6">
        <f>SUM(D5:D18)</f>
        <v>659779.5</v>
      </c>
      <c r="E19" s="6">
        <f>SUM(E6:E18)</f>
        <v>632519.19000000006</v>
      </c>
      <c r="F19" s="61"/>
      <c r="G19" s="61"/>
      <c r="H19" s="61"/>
      <c r="I19" s="19"/>
      <c r="J19" s="32"/>
      <c r="K19" s="32"/>
      <c r="L19" s="32"/>
      <c r="M19" s="32"/>
    </row>
    <row r="21" spans="2:14" ht="15.75" thickBot="1" x14ac:dyDescent="0.3">
      <c r="D21" s="57"/>
      <c r="E21" s="57"/>
      <c r="F21" s="57"/>
      <c r="G21" s="57"/>
      <c r="H21" s="57"/>
      <c r="I21" s="57"/>
      <c r="J21" s="57"/>
      <c r="K21" s="57"/>
      <c r="L21" s="57"/>
      <c r="M21" s="57"/>
    </row>
    <row r="22" spans="2:14" ht="15.75" thickBot="1" x14ac:dyDescent="0.3">
      <c r="B22" s="92"/>
    </row>
    <row r="23" spans="2:14" x14ac:dyDescent="0.25">
      <c r="B23" s="57" t="s">
        <v>33</v>
      </c>
      <c r="C23" s="57"/>
      <c r="D23" s="57"/>
      <c r="E23" s="57"/>
    </row>
    <row r="24" spans="2:14" x14ac:dyDescent="0.25">
      <c r="B24" s="57" t="s">
        <v>34</v>
      </c>
      <c r="C24" s="57"/>
      <c r="D24" s="57"/>
      <c r="E24" s="57"/>
    </row>
    <row r="25" spans="2:14" x14ac:dyDescent="0.25">
      <c r="B25" s="57" t="s">
        <v>35</v>
      </c>
      <c r="C25" s="57"/>
      <c r="D25" s="57"/>
      <c r="E25" s="57"/>
      <c r="G25" s="91"/>
      <c r="H25" s="90"/>
    </row>
    <row r="26" spans="2:14" x14ac:dyDescent="0.25">
      <c r="B26" s="93" t="s">
        <v>36</v>
      </c>
      <c r="H26" s="90"/>
      <c r="I26" s="57"/>
      <c r="J26" s="57"/>
      <c r="K26" s="57"/>
    </row>
    <row r="27" spans="2:14" x14ac:dyDescent="0.25">
      <c r="B27" s="94">
        <v>2955.13</v>
      </c>
      <c r="I27" s="57"/>
      <c r="J27" s="57"/>
      <c r="K27" s="57"/>
    </row>
  </sheetData>
  <mergeCells count="1">
    <mergeCell ref="B2:I2"/>
  </mergeCells>
  <pageMargins left="0" right="0.31496062992125984" top="0.74803149606299213" bottom="0.74803149606299213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13</vt:i4>
      </vt:variant>
    </vt:vector>
  </HeadingPairs>
  <TitlesOfParts>
    <vt:vector size="26" baseType="lpstr">
      <vt:lpstr>ENERO-17 </vt:lpstr>
      <vt:lpstr>FEBRERO-17 </vt:lpstr>
      <vt:lpstr>MARZO-17</vt:lpstr>
      <vt:lpstr>ABRIL-17</vt:lpstr>
      <vt:lpstr>MAYO-17</vt:lpstr>
      <vt:lpstr>JUNIO-17</vt:lpstr>
      <vt:lpstr>JULIO-17</vt:lpstr>
      <vt:lpstr>AGOSTO-17</vt:lpstr>
      <vt:lpstr>SEPTIEMBRE-17</vt:lpstr>
      <vt:lpstr>OCTUBRE-17</vt:lpstr>
      <vt:lpstr>NOVIEMBRE-17 </vt:lpstr>
      <vt:lpstr>DICIEMBRE-17 </vt:lpstr>
      <vt:lpstr>ESTADO DE CUENTA</vt:lpstr>
      <vt:lpstr>'ABRIL-17'!Área_de_impresión</vt:lpstr>
      <vt:lpstr>'AGOSTO-17'!Área_de_impresión</vt:lpstr>
      <vt:lpstr>'DICIEMBRE-17 '!Área_de_impresión</vt:lpstr>
      <vt:lpstr>'ENERO-17 '!Área_de_impresión</vt:lpstr>
      <vt:lpstr>'ESTADO DE CUENTA'!Área_de_impresión</vt:lpstr>
      <vt:lpstr>'FEBRERO-17 '!Área_de_impresión</vt:lpstr>
      <vt:lpstr>'JULIO-17'!Área_de_impresión</vt:lpstr>
      <vt:lpstr>'JUNIO-17'!Área_de_impresión</vt:lpstr>
      <vt:lpstr>'MARZO-17'!Área_de_impresión</vt:lpstr>
      <vt:lpstr>'MAYO-17'!Área_de_impresión</vt:lpstr>
      <vt:lpstr>'NOVIEMBRE-17 '!Área_de_impresión</vt:lpstr>
      <vt:lpstr>'OCTUBRE-17'!Área_de_impresión</vt:lpstr>
      <vt:lpstr>'SEPTIEMBRE-17'!Área_de_impresión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Hacienda de Coyoacan</cp:lastModifiedBy>
  <cp:lastPrinted>2018-01-03T19:57:52Z</cp:lastPrinted>
  <dcterms:created xsi:type="dcterms:W3CDTF">2014-03-03T21:03:38Z</dcterms:created>
  <dcterms:modified xsi:type="dcterms:W3CDTF">2018-02-02T22:38:27Z</dcterms:modified>
</cp:coreProperties>
</file>