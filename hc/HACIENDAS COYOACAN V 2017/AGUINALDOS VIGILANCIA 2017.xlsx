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9510" activeTab="1"/>
  </bookViews>
  <sheets>
    <sheet name="Hoja1" sheetId="1" r:id="rId1"/>
    <sheet name="Hoja2" sheetId="2" r:id="rId2"/>
    <sheet name="Hoja3" sheetId="3" r:id="rId3"/>
  </sheets>
  <definedNames>
    <definedName name="_xlnm.Print_Area" localSheetId="0">Hoja1!$A$1:$J$39</definedName>
  </definedNames>
  <calcPr calcId="144525"/>
</workbook>
</file>

<file path=xl/calcChain.xml><?xml version="1.0" encoding="utf-8"?>
<calcChain xmlns="http://schemas.openxmlformats.org/spreadsheetml/2006/main">
  <c r="H17" i="1" l="1"/>
  <c r="J25" i="1" l="1"/>
  <c r="J24" i="1"/>
  <c r="C39" i="1" l="1"/>
  <c r="F16" i="1" l="1"/>
  <c r="F25" i="1"/>
  <c r="H25" i="1" s="1"/>
  <c r="F24" i="1"/>
  <c r="H24" i="1" s="1"/>
  <c r="F15" i="1"/>
  <c r="H15" i="1" s="1"/>
  <c r="F13" i="1"/>
  <c r="H13" i="1" s="1"/>
  <c r="F7" i="1"/>
  <c r="H7" i="1" s="1"/>
  <c r="F8" i="1"/>
  <c r="H8" i="1" s="1"/>
  <c r="G18" i="1" l="1"/>
  <c r="J26" i="1"/>
  <c r="H26" i="1"/>
  <c r="G26" i="1"/>
  <c r="J18" i="1"/>
  <c r="L26" i="1" l="1"/>
  <c r="F12" i="1"/>
  <c r="H12" i="1" s="1"/>
  <c r="F17" i="1"/>
  <c r="F11" i="1"/>
  <c r="H11" i="1" s="1"/>
  <c r="F9" i="1"/>
  <c r="H9" i="1" s="1"/>
  <c r="F6" i="1"/>
  <c r="H6" i="1" s="1"/>
  <c r="H18" i="1" l="1"/>
</calcChain>
</file>

<file path=xl/sharedStrings.xml><?xml version="1.0" encoding="utf-8"?>
<sst xmlns="http://schemas.openxmlformats.org/spreadsheetml/2006/main" count="98" uniqueCount="50">
  <si>
    <t>N  O  M  B  R  E</t>
  </si>
  <si>
    <t>P  U  E  S  T  O</t>
  </si>
  <si>
    <t>Olegario Vázquez García</t>
  </si>
  <si>
    <t>Roberto Carlos Arambula C.</t>
  </si>
  <si>
    <t>José Asunción Dominguez</t>
  </si>
  <si>
    <t>Jefe de Turno</t>
  </si>
  <si>
    <t>Vigilante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</si>
  <si>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</si>
  <si>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</si>
  <si>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</si>
  <si>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</si>
  <si>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</si>
  <si>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</si>
  <si>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</si>
  <si>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</si>
  <si>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</si>
  <si>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</si>
  <si>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</si>
  <si>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</si>
  <si>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</t>
  </si>
  <si>
    <t>FECHA</t>
  </si>
  <si>
    <t xml:space="preserve">DIAS   </t>
  </si>
  <si>
    <t>%</t>
  </si>
  <si>
    <t>GRATIFICACION</t>
  </si>
  <si>
    <t xml:space="preserve">SUELDO   </t>
  </si>
  <si>
    <t>QUINCENAL</t>
  </si>
  <si>
    <t>LABORADOS</t>
  </si>
  <si>
    <t>EXTRAORDINARIA</t>
  </si>
  <si>
    <t>TOTAL</t>
  </si>
  <si>
    <t>Gloria Mazzón Soto</t>
  </si>
  <si>
    <t>TURNO DE OLEGARIO</t>
  </si>
  <si>
    <t>Rondinero</t>
  </si>
  <si>
    <t xml:space="preserve">Asistente </t>
  </si>
  <si>
    <t>Dolores Mijangos</t>
  </si>
  <si>
    <t>Presidenta</t>
  </si>
  <si>
    <t>Josè Manuel Olivares</t>
  </si>
  <si>
    <t>Supervisor</t>
  </si>
  <si>
    <t>Yair Paes Vigueras</t>
  </si>
  <si>
    <t>Fernando Jimènez</t>
  </si>
  <si>
    <t>Romario Sànchez Amaya</t>
  </si>
  <si>
    <t>Esteban Alejo Hernàndez</t>
  </si>
  <si>
    <t>Miguel Rodrìguez Martìnez</t>
  </si>
  <si>
    <t>Rene Moran Muños</t>
  </si>
  <si>
    <t xml:space="preserve">                                                           </t>
  </si>
  <si>
    <t xml:space="preserve">                                                                                         PAGO DE LA GRATIFICACION DE VIGILANCIA 2017</t>
  </si>
  <si>
    <t xml:space="preserve">            PAGO DE GRATIFICACIONES ADMINISTRATIVO</t>
  </si>
  <si>
    <t>TURNO DE 2</t>
  </si>
  <si>
    <t xml:space="preserve">F  I  R  M  A  </t>
  </si>
  <si>
    <t>GRATIFICACIÒN</t>
  </si>
  <si>
    <t xml:space="preserve">                         LISTA DE GRATIFICACIÒN PARA PERSONAL DE VIGILANCIA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</si>
</sst>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Lidsta 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9" fontId="0" fillId="0" borderId="0" xfId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2" borderId="5" xfId="0" applyFill="1" applyBorder="1"/>
    <xf numFmtId="0" fontId="2" fillId="2" borderId="11" xfId="0" applyFont="1" applyFill="1" applyBorder="1" applyAlignment="1">
      <alignment horizontal="center"/>
    </xf>
    <xf numFmtId="0" fontId="0" fillId="2" borderId="7" xfId="0" applyFill="1" applyBorder="1"/>
    <xf numFmtId="164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13" xfId="0" applyNumberFormat="1" applyFill="1" applyBorder="1" applyAlignment="1">
      <alignment horizontal="center"/>
    </xf>
    <xf numFmtId="0" fontId="3" fillId="0" borderId="0" xfId="0" applyFont="1"/>
    <xf numFmtId="164" fontId="0" fillId="0" borderId="0" xfId="0" applyNumberFormat="1"/>
    <xf numFmtId="0" fontId="0" fillId="0" borderId="13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5" xfId="0" applyBorder="1"/>
    <xf numFmtId="0" fontId="0" fillId="0" borderId="12" xfId="0" applyBorder="1"/>
    <xf numFmtId="0" fontId="0" fillId="0" borderId="8" xfId="0" applyBorder="1"/>
    <xf numFmtId="9" fontId="0" fillId="0" borderId="15" xfId="1" applyFon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0" borderId="8" xfId="0" applyFill="1" applyBorder="1"/>
    <xf numFmtId="0" fontId="0" fillId="0" borderId="16" xfId="0" applyBorder="1"/>
    <xf numFmtId="0" fontId="0" fillId="0" borderId="3" xfId="0" applyBorder="1"/>
    <xf numFmtId="14" fontId="0" fillId="0" borderId="3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Fill="1" applyBorder="1"/>
    <xf numFmtId="164" fontId="0" fillId="0" borderId="0" xfId="0" applyNumberForma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0" fontId="7" fillId="2" borderId="17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8" fillId="0" borderId="7" xfId="0" applyFont="1" applyBorder="1"/>
    <xf numFmtId="0" fontId="9" fillId="0" borderId="15" xfId="0" applyFont="1" applyBorder="1"/>
    <xf numFmtId="0" fontId="9" fillId="0" borderId="0" xfId="0" applyFont="1"/>
    <xf numFmtId="0" fontId="9" fillId="0" borderId="8" xfId="0" applyFont="1" applyBorder="1"/>
    <xf numFmtId="0" fontId="9" fillId="0" borderId="3" xfId="0" applyFont="1" applyBorder="1"/>
    <xf numFmtId="0" fontId="9" fillId="0" borderId="8" xfId="0" applyFont="1" applyFill="1" applyBorder="1"/>
    <xf numFmtId="0" fontId="9" fillId="0" borderId="3" xfId="0" applyFont="1" applyFill="1" applyBorder="1"/>
    <xf numFmtId="0" fontId="8" fillId="0" borderId="8" xfId="0" applyFont="1" applyBorder="1"/>
    <xf numFmtId="0" fontId="9" fillId="0" borderId="0" xfId="0" applyFont="1" applyBorder="1"/>
    <xf numFmtId="0" fontId="10" fillId="0" borderId="0" xfId="0" applyFont="1"/>
    <xf numFmtId="164" fontId="9" fillId="0" borderId="3" xfId="0" applyNumberFormat="1" applyFont="1" applyBorder="1" applyAlignment="1">
      <alignment horizontal="center"/>
    </xf>
    <xf numFmtId="164" fontId="9" fillId="0" borderId="16" xfId="0" applyNumberFormat="1" applyFont="1" applyBorder="1" applyAlignment="1">
      <alignment horizontal="center"/>
    </xf>
    <xf numFmtId="0" fontId="9" fillId="0" borderId="16" xfId="0" applyFont="1" applyBorder="1"/>
    <xf numFmtId="164" fontId="9" fillId="0" borderId="6" xfId="0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zoomScaleNormal="100" workbookViewId="0">
      <selection activeCell="J6" sqref="J6:J17"/>
    </sheetView>
  </sheetViews>
  <sheetFormatPr baseColWidth="10" defaultRowHeight="15"/>
  <cols>
    <col min="1" max="1" width="4.140625" customWidth="1"/>
    <col min="2" max="2" width="25.42578125" customWidth="1"/>
    <col min="3" max="3" width="18" customWidth="1"/>
    <col min="4" max="4" width="16.140625" customWidth="1"/>
    <col min="5" max="5" width="11.7109375" customWidth="1"/>
    <col min="6" max="6" width="15.42578125" customWidth="1"/>
    <col min="7" max="7" width="12.7109375" customWidth="1"/>
    <col min="8" max="8" width="15.5703125" customWidth="1"/>
    <col min="9" max="9" width="16.85546875" customWidth="1"/>
    <col min="10" max="10" width="16" customWidth="1"/>
  </cols>
  <sheetData>
    <row r="1" spans="1:10">
      <c r="A1" s="20"/>
      <c r="B1" t="s">
        <v>43</v>
      </c>
      <c r="C1" s="20"/>
      <c r="D1" s="45" t="s">
        <v>44</v>
      </c>
      <c r="E1" s="46"/>
      <c r="F1" s="45"/>
      <c r="G1" s="45"/>
      <c r="H1" s="20"/>
    </row>
    <row r="3" spans="1:10">
      <c r="A3" s="16"/>
      <c r="B3" s="43" t="s">
        <v>0</v>
      </c>
      <c r="C3" s="43" t="s">
        <v>1</v>
      </c>
      <c r="D3" s="43" t="s">
        <v>20</v>
      </c>
      <c r="E3" s="43" t="s">
        <v>21</v>
      </c>
      <c r="F3" s="43" t="s">
        <v>22</v>
      </c>
      <c r="G3" s="43" t="s">
        <v>24</v>
      </c>
      <c r="H3" s="43"/>
      <c r="I3" s="43" t="s">
        <v>23</v>
      </c>
      <c r="J3" s="17" t="s">
        <v>28</v>
      </c>
    </row>
    <row r="4" spans="1:10" ht="15" customHeight="1">
      <c r="A4" s="18"/>
      <c r="B4" s="44"/>
      <c r="C4" s="44"/>
      <c r="D4" s="44" t="s">
        <v>19</v>
      </c>
      <c r="E4" s="44" t="s">
        <v>26</v>
      </c>
      <c r="F4" s="44" t="s">
        <v>23</v>
      </c>
      <c r="G4" s="44" t="s">
        <v>25</v>
      </c>
      <c r="H4" s="44" t="s">
        <v>23</v>
      </c>
      <c r="I4" s="44" t="s">
        <v>27</v>
      </c>
      <c r="J4" s="13" t="s">
        <v>23</v>
      </c>
    </row>
    <row r="5" spans="1:10">
      <c r="A5" s="10"/>
      <c r="B5" s="49" t="s">
        <v>30</v>
      </c>
      <c r="C5" s="29"/>
      <c r="D5" s="29"/>
      <c r="E5" s="29"/>
      <c r="F5" s="29"/>
      <c r="G5" s="29"/>
      <c r="H5" s="1"/>
      <c r="I5" s="1"/>
      <c r="J5" s="30"/>
    </row>
    <row r="6" spans="1:10">
      <c r="A6" s="28">
        <v>1</v>
      </c>
      <c r="B6" s="31" t="s">
        <v>2</v>
      </c>
      <c r="C6" s="37" t="s">
        <v>5</v>
      </c>
      <c r="D6" s="38">
        <v>42005</v>
      </c>
      <c r="E6" s="8">
        <v>366</v>
      </c>
      <c r="F6" s="39">
        <f>+E6/366</f>
        <v>1</v>
      </c>
      <c r="G6" s="40">
        <v>2700</v>
      </c>
      <c r="H6" s="40">
        <f t="shared" ref="H6:H7" si="0">+G6*F6</f>
        <v>2700</v>
      </c>
      <c r="I6" s="40"/>
      <c r="J6" s="40">
        <v>2700</v>
      </c>
    </row>
    <row r="7" spans="1:10">
      <c r="A7" s="28">
        <v>2</v>
      </c>
      <c r="B7" s="35" t="s">
        <v>37</v>
      </c>
      <c r="C7" s="37" t="s">
        <v>6</v>
      </c>
      <c r="D7" s="38">
        <v>43040</v>
      </c>
      <c r="E7" s="8">
        <v>61</v>
      </c>
      <c r="F7" s="39">
        <f>+E7/366</f>
        <v>0.16666666666666666</v>
      </c>
      <c r="G7" s="40">
        <v>2300</v>
      </c>
      <c r="H7" s="40">
        <f t="shared" si="0"/>
        <v>383.33333333333331</v>
      </c>
      <c r="I7" s="40"/>
      <c r="J7" s="40">
        <v>383.33</v>
      </c>
    </row>
    <row r="8" spans="1:10">
      <c r="A8" s="28">
        <v>3</v>
      </c>
      <c r="B8" s="41" t="s">
        <v>38</v>
      </c>
      <c r="C8" s="41" t="s">
        <v>6</v>
      </c>
      <c r="D8" s="38">
        <v>43040</v>
      </c>
      <c r="E8" s="8">
        <v>61</v>
      </c>
      <c r="F8" s="39">
        <f>+E8/366</f>
        <v>0.16666666666666666</v>
      </c>
      <c r="G8" s="40">
        <v>2300</v>
      </c>
      <c r="H8" s="40">
        <f t="shared" ref="H8" si="1">+G8*F8</f>
        <v>383.33333333333331</v>
      </c>
      <c r="I8" s="40"/>
      <c r="J8" s="34">
        <v>383.33</v>
      </c>
    </row>
    <row r="9" spans="1:10">
      <c r="A9" s="28">
        <v>4</v>
      </c>
      <c r="B9" s="31" t="s">
        <v>3</v>
      </c>
      <c r="C9" s="37" t="s">
        <v>6</v>
      </c>
      <c r="D9" s="38">
        <v>42656</v>
      </c>
      <c r="E9" s="8">
        <v>366</v>
      </c>
      <c r="F9" s="39">
        <f>+E9/366</f>
        <v>1</v>
      </c>
      <c r="G9" s="40">
        <v>2300</v>
      </c>
      <c r="H9" s="40">
        <f t="shared" ref="H9:H17" si="2">+G9*F9</f>
        <v>2300</v>
      </c>
      <c r="I9" s="40"/>
      <c r="J9" s="34">
        <v>2300</v>
      </c>
    </row>
    <row r="10" spans="1:10">
      <c r="A10" s="10"/>
      <c r="B10" s="50" t="s">
        <v>46</v>
      </c>
      <c r="C10" s="29"/>
      <c r="D10" s="29"/>
      <c r="E10" s="29"/>
      <c r="F10" s="29"/>
      <c r="G10" s="29"/>
      <c r="H10" s="29"/>
      <c r="I10" s="29"/>
      <c r="J10" s="36"/>
    </row>
    <row r="11" spans="1:10">
      <c r="A11" s="28">
        <v>5</v>
      </c>
      <c r="B11" s="31" t="s">
        <v>39</v>
      </c>
      <c r="C11" s="37" t="s">
        <v>6</v>
      </c>
      <c r="D11" s="38">
        <v>43040</v>
      </c>
      <c r="E11" s="8">
        <v>153</v>
      </c>
      <c r="F11" s="32">
        <f>+E11/366</f>
        <v>0.41803278688524592</v>
      </c>
      <c r="G11" s="40">
        <v>2300</v>
      </c>
      <c r="H11" s="40">
        <f t="shared" si="2"/>
        <v>961.47540983606564</v>
      </c>
      <c r="I11" s="33"/>
      <c r="J11" s="40">
        <v>961.48</v>
      </c>
    </row>
    <row r="12" spans="1:10">
      <c r="A12" s="28">
        <v>6</v>
      </c>
      <c r="B12" s="31" t="s">
        <v>40</v>
      </c>
      <c r="C12" s="37" t="s">
        <v>6</v>
      </c>
      <c r="D12" s="38">
        <v>42917</v>
      </c>
      <c r="E12" s="8">
        <v>214</v>
      </c>
      <c r="F12" s="39">
        <f t="shared" ref="F12:F17" si="3">+E12/366</f>
        <v>0.58469945355191255</v>
      </c>
      <c r="G12" s="33">
        <v>2300</v>
      </c>
      <c r="H12" s="40">
        <f t="shared" si="2"/>
        <v>1344.8087431693989</v>
      </c>
      <c r="I12" s="33"/>
      <c r="J12" s="40">
        <v>1344.81</v>
      </c>
    </row>
    <row r="13" spans="1:10">
      <c r="A13" s="28">
        <v>7</v>
      </c>
      <c r="B13" s="31" t="s">
        <v>41</v>
      </c>
      <c r="C13" s="37" t="s">
        <v>6</v>
      </c>
      <c r="D13" s="38">
        <v>42736</v>
      </c>
      <c r="E13" s="8">
        <v>366</v>
      </c>
      <c r="F13" s="39">
        <f t="shared" ref="F13:F15" si="4">+E13/366</f>
        <v>1</v>
      </c>
      <c r="G13" s="33">
        <v>2300</v>
      </c>
      <c r="H13" s="40">
        <f t="shared" ref="H13:H15" si="5">+G13*F13</f>
        <v>2300</v>
      </c>
      <c r="I13" s="33"/>
      <c r="J13" s="40">
        <v>2300</v>
      </c>
    </row>
    <row r="14" spans="1:10">
      <c r="A14" s="11"/>
      <c r="B14" s="4"/>
      <c r="C14" s="4"/>
      <c r="D14" s="5"/>
      <c r="E14" s="3"/>
      <c r="F14" s="14"/>
      <c r="G14" s="6"/>
      <c r="H14" s="6"/>
      <c r="I14" s="22"/>
      <c r="J14" s="15"/>
    </row>
    <row r="15" spans="1:10">
      <c r="A15" s="28">
        <v>8</v>
      </c>
      <c r="B15" s="37" t="s">
        <v>4</v>
      </c>
      <c r="C15" s="37" t="s">
        <v>5</v>
      </c>
      <c r="D15" s="38">
        <v>42005</v>
      </c>
      <c r="E15" s="8">
        <v>334</v>
      </c>
      <c r="F15" s="39">
        <f t="shared" si="4"/>
        <v>0.91256830601092898</v>
      </c>
      <c r="G15" s="40">
        <v>2300</v>
      </c>
      <c r="H15" s="40">
        <f t="shared" si="5"/>
        <v>2098.9071038251368</v>
      </c>
      <c r="I15" s="40"/>
      <c r="J15" s="40">
        <v>2098.91</v>
      </c>
    </row>
    <row r="16" spans="1:10">
      <c r="A16" s="28">
        <v>9</v>
      </c>
      <c r="B16" s="41" t="s">
        <v>35</v>
      </c>
      <c r="C16" s="41" t="s">
        <v>36</v>
      </c>
      <c r="D16" s="38">
        <v>42005</v>
      </c>
      <c r="E16" s="8">
        <v>366</v>
      </c>
      <c r="F16" s="39">
        <f t="shared" ref="F16" si="6">+E16/366</f>
        <v>1</v>
      </c>
      <c r="G16" s="40">
        <v>4000</v>
      </c>
      <c r="H16" s="40">
        <v>2700</v>
      </c>
      <c r="I16" s="40"/>
      <c r="J16" s="40">
        <v>2700</v>
      </c>
    </row>
    <row r="17" spans="1:12">
      <c r="A17" s="28">
        <v>10</v>
      </c>
      <c r="B17" s="4" t="s">
        <v>42</v>
      </c>
      <c r="C17" s="37" t="s">
        <v>31</v>
      </c>
      <c r="D17" s="38">
        <v>43040</v>
      </c>
      <c r="E17" s="8">
        <v>92</v>
      </c>
      <c r="F17" s="39">
        <f t="shared" si="3"/>
        <v>0.25136612021857924</v>
      </c>
      <c r="G17" s="40">
        <v>2300</v>
      </c>
      <c r="H17" s="40">
        <f>+G17*F17</f>
        <v>578.14207650273227</v>
      </c>
      <c r="I17" s="40"/>
      <c r="J17" s="40">
        <v>578.14</v>
      </c>
    </row>
    <row r="18" spans="1:12" ht="15.75" thickBot="1">
      <c r="A18" s="12"/>
      <c r="B18" s="2"/>
      <c r="C18" s="2"/>
      <c r="D18" s="2"/>
      <c r="E18" s="2"/>
      <c r="F18" s="2"/>
      <c r="G18" s="7">
        <f>SUM(G6:G17)</f>
        <v>25100</v>
      </c>
      <c r="H18" s="23">
        <f>SUM(H6:H17)</f>
        <v>15750</v>
      </c>
      <c r="I18" s="2"/>
      <c r="J18" s="19">
        <f>SUM(J6:J17)</f>
        <v>15749.999999999998</v>
      </c>
    </row>
    <row r="19" spans="1:12" ht="15.75" thickTop="1">
      <c r="A19" s="3"/>
      <c r="B19" s="3"/>
      <c r="C19" s="3"/>
      <c r="D19" s="3"/>
      <c r="E19" s="3"/>
      <c r="F19" s="3"/>
      <c r="G19" s="6"/>
      <c r="H19" s="42"/>
      <c r="I19" s="3"/>
      <c r="J19" s="42"/>
    </row>
    <row r="20" spans="1:12">
      <c r="D20" s="47" t="s">
        <v>45</v>
      </c>
      <c r="E20" s="48"/>
      <c r="F20" s="47"/>
      <c r="G20" s="47"/>
      <c r="H20" s="24"/>
    </row>
    <row r="22" spans="1:12">
      <c r="A22" s="16"/>
      <c r="B22" s="43" t="s">
        <v>0</v>
      </c>
      <c r="C22" s="43" t="s">
        <v>1</v>
      </c>
      <c r="D22" s="43" t="s">
        <v>20</v>
      </c>
      <c r="E22" s="43" t="s">
        <v>21</v>
      </c>
      <c r="F22" s="43" t="s">
        <v>22</v>
      </c>
      <c r="G22" s="43" t="s">
        <v>24</v>
      </c>
      <c r="H22" s="43"/>
      <c r="I22" s="43" t="s">
        <v>23</v>
      </c>
      <c r="J22" s="17" t="s">
        <v>28</v>
      </c>
    </row>
    <row r="23" spans="1:12">
      <c r="A23" s="18"/>
      <c r="B23" s="44"/>
      <c r="C23" s="44"/>
      <c r="D23" s="44" t="s">
        <v>19</v>
      </c>
      <c r="E23" s="44" t="s">
        <v>26</v>
      </c>
      <c r="F23" s="44" t="s">
        <v>23</v>
      </c>
      <c r="G23" s="44" t="s">
        <v>25</v>
      </c>
      <c r="H23" s="44" t="s">
        <v>23</v>
      </c>
      <c r="I23" s="44" t="s">
        <v>27</v>
      </c>
      <c r="J23" s="13" t="s">
        <v>23</v>
      </c>
    </row>
    <row r="24" spans="1:12">
      <c r="A24" s="28">
        <v>1</v>
      </c>
      <c r="B24" s="37" t="s">
        <v>29</v>
      </c>
      <c r="C24" s="37" t="s">
        <v>32</v>
      </c>
      <c r="D24" s="38">
        <v>42005</v>
      </c>
      <c r="E24" s="8">
        <v>366</v>
      </c>
      <c r="F24" s="39">
        <f t="shared" ref="F24" si="7">+E24/366</f>
        <v>1</v>
      </c>
      <c r="G24" s="40">
        <v>2500</v>
      </c>
      <c r="H24" s="40">
        <f t="shared" ref="H24" si="8">+G24*F24</f>
        <v>2500</v>
      </c>
      <c r="I24" s="40">
        <v>1000</v>
      </c>
      <c r="J24" s="40">
        <f>SUM(H24:I24)</f>
        <v>3500</v>
      </c>
    </row>
    <row r="25" spans="1:12">
      <c r="A25" s="28">
        <v>2</v>
      </c>
      <c r="B25" s="1" t="s">
        <v>33</v>
      </c>
      <c r="C25" s="37" t="s">
        <v>34</v>
      </c>
      <c r="D25" s="38">
        <v>42979</v>
      </c>
      <c r="E25" s="8">
        <v>122</v>
      </c>
      <c r="F25" s="39">
        <f t="shared" ref="F25" si="9">+E25/366</f>
        <v>0.33333333333333331</v>
      </c>
      <c r="G25" s="40">
        <v>4000</v>
      </c>
      <c r="H25" s="40">
        <f t="shared" ref="H25" si="10">+G25*F25</f>
        <v>1333.3333333333333</v>
      </c>
      <c r="I25" s="40">
        <v>166.67</v>
      </c>
      <c r="J25" s="40">
        <f>SUM(H25:I25)</f>
        <v>1500.0033333333333</v>
      </c>
    </row>
    <row r="26" spans="1:12" ht="15.75" thickBot="1">
      <c r="G26" s="27">
        <f>SUM(G20:G25)</f>
        <v>6500</v>
      </c>
      <c r="H26" s="23">
        <f>SUM(H20:H25)</f>
        <v>3833.333333333333</v>
      </c>
      <c r="I26" s="26"/>
      <c r="J26" s="23">
        <f>SUM(J20:J25)</f>
        <v>5000.0033333333331</v>
      </c>
      <c r="L26" s="25">
        <f>SUM(J18+J26)</f>
        <v>20750.00333333333</v>
      </c>
    </row>
    <row r="27" spans="1:12" ht="15.75" thickTop="1">
      <c r="B27" s="9" t="s">
        <v>7</v>
      </c>
      <c r="C27" s="21">
        <v>31</v>
      </c>
    </row>
    <row r="28" spans="1:12">
      <c r="B28" s="9" t="s">
        <v>8</v>
      </c>
      <c r="C28" s="21">
        <v>28</v>
      </c>
    </row>
    <row r="29" spans="1:12">
      <c r="B29" s="9" t="s">
        <v>9</v>
      </c>
      <c r="C29" s="21">
        <v>31</v>
      </c>
    </row>
    <row r="30" spans="1:12">
      <c r="B30" s="9" t="s">
        <v>10</v>
      </c>
      <c r="C30" s="21">
        <v>30</v>
      </c>
    </row>
    <row r="31" spans="1:12">
      <c r="B31" s="9" t="s">
        <v>11</v>
      </c>
      <c r="C31" s="21">
        <v>31</v>
      </c>
    </row>
    <row r="32" spans="1:12">
      <c r="B32" s="9" t="s">
        <v>12</v>
      </c>
      <c r="C32" s="21">
        <v>30</v>
      </c>
    </row>
    <row r="33" spans="2:4">
      <c r="B33" s="9" t="s">
        <v>13</v>
      </c>
      <c r="C33" s="21">
        <v>31</v>
      </c>
    </row>
    <row r="34" spans="2:4">
      <c r="B34" s="9" t="s">
        <v>14</v>
      </c>
      <c r="C34" s="21">
        <v>31</v>
      </c>
    </row>
    <row r="35" spans="2:4">
      <c r="B35" s="9" t="s">
        <v>15</v>
      </c>
      <c r="C35" s="21">
        <v>30</v>
      </c>
      <c r="D35" s="24"/>
    </row>
    <row r="36" spans="2:4">
      <c r="B36" s="9" t="s">
        <v>16</v>
      </c>
      <c r="C36" s="21">
        <v>31</v>
      </c>
    </row>
    <row r="37" spans="2:4">
      <c r="B37" s="9" t="s">
        <v>17</v>
      </c>
      <c r="C37" s="21">
        <v>30</v>
      </c>
    </row>
    <row r="38" spans="2:4">
      <c r="B38" s="9" t="s">
        <v>18</v>
      </c>
      <c r="C38" s="21">
        <v>31</v>
      </c>
    </row>
    <row r="39" spans="2:4">
      <c r="C39" s="8">
        <f>SUM(C27:C38)</f>
        <v>365</v>
      </c>
    </row>
  </sheetData>
  <pageMargins left="0" right="0.39370078740157483" top="0" bottom="0.74803149606299213" header="0.31496062992125984" footer="0.31496062992125984"/>
  <pageSetup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tabSelected="1" topLeftCell="A10" workbookViewId="0">
      <selection activeCell="A26" sqref="A26"/>
    </sheetView>
  </sheetViews>
  <sheetFormatPr baseColWidth="10" defaultRowHeight="15"/>
  <cols>
    <col min="1" max="1" width="34.140625" customWidth="1"/>
    <col min="2" max="3" width="22.7109375" customWidth="1"/>
    <col min="4" max="4" width="34.28515625" customWidth="1"/>
  </cols>
  <sheetData>
    <row r="2" spans="1:4" ht="18.75">
      <c r="A2" s="63" t="s">
        <v>49</v>
      </c>
      <c r="B2" s="51"/>
      <c r="C2" s="51"/>
      <c r="D2" s="51"/>
    </row>
    <row r="5" spans="1:4" ht="21">
      <c r="A5" s="52" t="s">
        <v>0</v>
      </c>
      <c r="B5" s="52" t="s">
        <v>1</v>
      </c>
      <c r="C5" s="52" t="s">
        <v>48</v>
      </c>
      <c r="D5" s="52" t="s">
        <v>47</v>
      </c>
    </row>
    <row r="6" spans="1:4" ht="21">
      <c r="A6" s="53"/>
      <c r="B6" s="53"/>
      <c r="C6" s="53"/>
      <c r="D6" s="53"/>
    </row>
    <row r="7" spans="1:4" ht="21">
      <c r="A7" s="54" t="s">
        <v>30</v>
      </c>
      <c r="B7" s="55"/>
      <c r="C7" s="56"/>
      <c r="D7" s="56"/>
    </row>
    <row r="8" spans="1:4" ht="21">
      <c r="A8" s="57" t="s">
        <v>2</v>
      </c>
      <c r="B8" s="58" t="s">
        <v>5</v>
      </c>
      <c r="C8" s="64">
        <v>2700</v>
      </c>
      <c r="D8" s="58"/>
    </row>
    <row r="9" spans="1:4" ht="21">
      <c r="A9" s="59" t="s">
        <v>37</v>
      </c>
      <c r="B9" s="58" t="s">
        <v>6</v>
      </c>
      <c r="C9" s="64">
        <v>383.33</v>
      </c>
      <c r="D9" s="58"/>
    </row>
    <row r="10" spans="1:4" ht="21">
      <c r="A10" s="60" t="s">
        <v>38</v>
      </c>
      <c r="B10" s="60" t="s">
        <v>6</v>
      </c>
      <c r="C10" s="65">
        <v>383.33</v>
      </c>
      <c r="D10" s="60"/>
    </row>
    <row r="11" spans="1:4" ht="21">
      <c r="A11" s="57" t="s">
        <v>3</v>
      </c>
      <c r="B11" s="58" t="s">
        <v>6</v>
      </c>
      <c r="C11" s="65">
        <v>2300</v>
      </c>
      <c r="D11" s="58"/>
    </row>
    <row r="12" spans="1:4" ht="21">
      <c r="A12" s="61" t="s">
        <v>46</v>
      </c>
      <c r="B12" s="55"/>
      <c r="C12" s="66"/>
      <c r="D12" s="55"/>
    </row>
    <row r="13" spans="1:4" ht="21">
      <c r="A13" s="57" t="s">
        <v>39</v>
      </c>
      <c r="B13" s="58" t="s">
        <v>6</v>
      </c>
      <c r="C13" s="64">
        <v>961.48</v>
      </c>
      <c r="D13" s="58"/>
    </row>
    <row r="14" spans="1:4" ht="21">
      <c r="A14" s="57" t="s">
        <v>40</v>
      </c>
      <c r="B14" s="58" t="s">
        <v>6</v>
      </c>
      <c r="C14" s="64">
        <v>1344.81</v>
      </c>
      <c r="D14" s="58"/>
    </row>
    <row r="15" spans="1:4" ht="21">
      <c r="A15" s="57" t="s">
        <v>41</v>
      </c>
      <c r="B15" s="58" t="s">
        <v>6</v>
      </c>
      <c r="C15" s="64">
        <v>2300</v>
      </c>
      <c r="D15" s="58"/>
    </row>
    <row r="16" spans="1:4" ht="21">
      <c r="A16" s="62"/>
      <c r="B16" s="62"/>
      <c r="C16" s="67"/>
      <c r="D16" s="62"/>
    </row>
    <row r="17" spans="1:4" ht="21">
      <c r="A17" s="58" t="s">
        <v>4</v>
      </c>
      <c r="B17" s="58" t="s">
        <v>5</v>
      </c>
      <c r="C17" s="64">
        <v>2098.91</v>
      </c>
      <c r="D17" s="58"/>
    </row>
    <row r="18" spans="1:4" ht="21">
      <c r="A18" s="60" t="s">
        <v>35</v>
      </c>
      <c r="B18" s="60" t="s">
        <v>36</v>
      </c>
      <c r="C18" s="64">
        <v>2700</v>
      </c>
      <c r="D18" s="60"/>
    </row>
    <row r="19" spans="1:4" ht="21">
      <c r="A19" s="58" t="s">
        <v>42</v>
      </c>
      <c r="B19" s="58" t="s">
        <v>31</v>
      </c>
      <c r="C19" s="64">
        <v>578.14</v>
      </c>
      <c r="D19" s="58"/>
    </row>
  </sheetData>
  <pageMargins left="1.3779527559055118" right="1.3779527559055118" top="0.74803149606299213" bottom="0.15748031496062992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2017-12-12T20:08:18Z</cp:lastPrinted>
  <dcterms:created xsi:type="dcterms:W3CDTF">2016-11-16T19:29:15Z</dcterms:created>
  <dcterms:modified xsi:type="dcterms:W3CDTF">2017-12-12T20:08:29Z</dcterms:modified>
</cp:coreProperties>
</file>