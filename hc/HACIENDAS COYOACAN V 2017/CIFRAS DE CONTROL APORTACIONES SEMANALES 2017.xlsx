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0" windowWidth="20115" windowHeight="7125" firstSheet="8" activeTab="11"/>
  </bookViews>
  <sheets>
    <sheet name="C C Aportaciones ENE 17" sheetId="5" r:id="rId1"/>
    <sheet name="C C Aportaciones FEB 17" sheetId="6" r:id="rId2"/>
    <sheet name="C C Aportaciones MAR 17 " sheetId="7" r:id="rId3"/>
    <sheet name="C C Aportaciones ABR 17   " sheetId="9" r:id="rId4"/>
    <sheet name="C C Aportaciones MAY 17" sheetId="12" r:id="rId5"/>
    <sheet name="CC Aportaciones JUN 17" sheetId="13" r:id="rId6"/>
    <sheet name="C C Aportaciones JUL 17   " sheetId="15" r:id="rId7"/>
    <sheet name="C C Aportaciones AGO 17   " sheetId="14" r:id="rId8"/>
    <sheet name="C C Aportaciones SEP 17" sheetId="16" r:id="rId9"/>
    <sheet name="C C Aportaciones OCT 17 " sheetId="17" r:id="rId10"/>
    <sheet name="C C Aportaciones NOV 17   " sheetId="18" r:id="rId11"/>
    <sheet name="C C Aportaciones DIC 17  " sheetId="8" r:id="rId12"/>
    <sheet name="Hoja1" sheetId="10" r:id="rId13"/>
    <sheet name="Hoja2" sheetId="11" r:id="rId14"/>
    <sheet name="Hoja3" sheetId="19" r:id="rId15"/>
  </sheets>
  <definedNames>
    <definedName name="_xlnm.Print_Area" localSheetId="3">'C C Aportaciones ABR 17   '!$A$1:$O$4</definedName>
    <definedName name="_xlnm.Print_Area" localSheetId="7">'C C Aportaciones AGO 17   '!$A$1:$O$4</definedName>
    <definedName name="_xlnm.Print_Area" localSheetId="11">'C C Aportaciones DIC 17  '!$A$1:$O$4</definedName>
    <definedName name="_xlnm.Print_Area" localSheetId="0">'C C Aportaciones ENE 17'!$A$1:$O$72</definedName>
    <definedName name="_xlnm.Print_Area" localSheetId="1">'C C Aportaciones FEB 17'!$A$1:$O$73</definedName>
    <definedName name="_xlnm.Print_Area" localSheetId="6">'C C Aportaciones JUL 17   '!$A$1:$O$4</definedName>
    <definedName name="_xlnm.Print_Area" localSheetId="2">'C C Aportaciones MAR 17 '!$A$1:$O$4</definedName>
    <definedName name="_xlnm.Print_Area" localSheetId="4">'C C Aportaciones MAY 17'!$A$1:$O$4</definedName>
    <definedName name="_xlnm.Print_Area" localSheetId="10">'C C Aportaciones NOV 17   '!$A$1:$O$1</definedName>
    <definedName name="_xlnm.Print_Area" localSheetId="9">'C C Aportaciones OCT 17 '!$A$1:$O$4</definedName>
    <definedName name="_xlnm.Print_Area" localSheetId="8">'C C Aportaciones SEP 17'!$A$1:$O$4</definedName>
    <definedName name="_xlnm.Print_Area" localSheetId="5">'CC Aportaciones JUN 17'!$A$1:$O$1</definedName>
    <definedName name="_xlnm.Print_Titles" localSheetId="3">'C C Aportaciones ABR 17   '!$1:$4</definedName>
    <definedName name="_xlnm.Print_Titles" localSheetId="7">'C C Aportaciones AGO 17   '!$1:$4</definedName>
    <definedName name="_xlnm.Print_Titles" localSheetId="11">'C C Aportaciones DIC 17  '!$1:$4</definedName>
    <definedName name="_xlnm.Print_Titles" localSheetId="0">'C C Aportaciones ENE 17'!$1:$7</definedName>
    <definedName name="_xlnm.Print_Titles" localSheetId="1">'C C Aportaciones FEB 17'!$1:$7</definedName>
    <definedName name="_xlnm.Print_Titles" localSheetId="6">'C C Aportaciones JUL 17   '!$1:$4</definedName>
    <definedName name="_xlnm.Print_Titles" localSheetId="2">'C C Aportaciones MAR 17 '!$1:$4</definedName>
    <definedName name="_xlnm.Print_Titles" localSheetId="4">'C C Aportaciones MAY 17'!$1:$4</definedName>
    <definedName name="_xlnm.Print_Titles" localSheetId="10">'C C Aportaciones NOV 17   '!$1:$4</definedName>
    <definedName name="_xlnm.Print_Titles" localSheetId="9">'C C Aportaciones OCT 17 '!$1:$4</definedName>
    <definedName name="_xlnm.Print_Titles" localSheetId="8">'C C Aportaciones SEP 17'!$1:$4</definedName>
    <definedName name="_xlnm.Print_Titles" localSheetId="5">'CC Aportaciones JUN 17'!$1:$4</definedName>
  </definedNames>
  <calcPr calcId="144525"/>
</workbook>
</file>

<file path=xl/calcChain.xml><?xml version="1.0" encoding="utf-8"?>
<calcChain xmlns="http://schemas.openxmlformats.org/spreadsheetml/2006/main">
  <c r="B3" i="18" l="1"/>
  <c r="B6" i="7" l="1"/>
  <c r="N6" i="5" l="1"/>
  <c r="M6" i="5"/>
  <c r="K6" i="7" l="1"/>
  <c r="E6" i="7"/>
  <c r="H6" i="7"/>
  <c r="M6" i="7" l="1"/>
  <c r="N6" i="7"/>
  <c r="E6" i="12" l="1"/>
  <c r="E6" i="15" l="1"/>
  <c r="B6" i="15" l="1"/>
  <c r="H3" i="13" l="1"/>
  <c r="E3" i="13" l="1"/>
  <c r="N6" i="12" l="1"/>
  <c r="M6" i="12"/>
  <c r="K6" i="5" l="1"/>
  <c r="K6" i="16" l="1"/>
  <c r="K6" i="9"/>
  <c r="B6" i="9"/>
  <c r="E6" i="9"/>
  <c r="H6" i="9"/>
  <c r="B6" i="17" l="1"/>
  <c r="H6" i="16" l="1"/>
  <c r="E6" i="16" l="1"/>
  <c r="N3" i="18" l="1"/>
  <c r="M3" i="18"/>
  <c r="K3" i="18"/>
  <c r="J3" i="18"/>
  <c r="H3" i="18"/>
  <c r="G3" i="18"/>
  <c r="E3" i="18"/>
  <c r="D3" i="18"/>
  <c r="A3" i="18"/>
  <c r="N6" i="17"/>
  <c r="M6" i="17"/>
  <c r="K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D6" i="15"/>
  <c r="A6" i="15"/>
  <c r="I3" i="15"/>
  <c r="F3" i="15"/>
  <c r="N6" i="14"/>
  <c r="M6" i="14"/>
  <c r="K6" i="14"/>
  <c r="J6" i="14"/>
  <c r="H6" i="14"/>
  <c r="G6" i="14"/>
  <c r="E6" i="14"/>
  <c r="D6" i="14"/>
  <c r="B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R6" i="9" s="1"/>
  <c r="M6" i="9"/>
  <c r="J6" i="9"/>
  <c r="G6" i="9"/>
  <c r="D6" i="9"/>
  <c r="A6" i="9"/>
  <c r="I3" i="9"/>
  <c r="F3" i="9"/>
  <c r="Q6" i="9" l="1"/>
  <c r="N6" i="8"/>
  <c r="M6" i="8"/>
  <c r="K6" i="8"/>
  <c r="J6" i="8"/>
  <c r="H6" i="8"/>
  <c r="G6" i="8"/>
  <c r="E6" i="8"/>
  <c r="D6" i="8"/>
  <c r="B6" i="8"/>
  <c r="A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R6" i="6" s="1"/>
  <c r="M6" i="6"/>
  <c r="J6" i="6"/>
  <c r="H6" i="6"/>
  <c r="G6" i="6"/>
  <c r="D6" i="6"/>
  <c r="A6" i="6"/>
  <c r="Q6" i="6" l="1"/>
  <c r="F3" i="6"/>
  <c r="I3" i="6"/>
  <c r="J6" i="5"/>
  <c r="H6" i="5"/>
  <c r="G6" i="5"/>
  <c r="E6" i="5"/>
  <c r="D6" i="5"/>
  <c r="B6" i="5"/>
  <c r="A6" i="5"/>
  <c r="Q6" i="5" l="1"/>
  <c r="F3" i="5"/>
  <c r="I3" i="5"/>
  <c r="P6" i="5" l="1"/>
</calcChain>
</file>

<file path=xl/comments1.xml><?xml version="1.0" encoding="utf-8"?>
<comments xmlns="http://schemas.openxmlformats.org/spreadsheetml/2006/main">
  <authors>
    <author>Hacienda de Coyoacan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Del recibo 13501 al 13506 se tomaròn en el mes de diciembre/16
por error
</t>
        </r>
      </text>
    </comment>
  </commentList>
</comments>
</file>

<file path=xl/sharedStrings.xml><?xml version="1.0" encoding="utf-8"?>
<sst xmlns="http://schemas.openxmlformats.org/spreadsheetml/2006/main" count="2813" uniqueCount="630">
  <si>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</si>
  <si>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</si>
  <si>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</si>
  <si>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</si>
  <si>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</si>
  <si>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</si>
  <si>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</si>
  <si>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</si>
  <si>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</si>
  <si>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</si>
  <si>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</si>
  <si>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</si>
  <si>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</si>
  <si>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</si>
  <si>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C A N C E L A D O</t>
  </si>
  <si>
    <t>Pago anualidad</t>
  </si>
  <si>
    <t>$ 400 por mes</t>
  </si>
  <si>
    <t>$ 300 por mes</t>
  </si>
  <si>
    <t>$ 200 por mes</t>
  </si>
  <si>
    <t>Pago 1 llave</t>
  </si>
  <si>
    <t>$ 250 por mes</t>
  </si>
  <si>
    <t>Pago octubre/16</t>
  </si>
  <si>
    <t>Pago nov/dic/16</t>
  </si>
  <si>
    <t>Pago diciembre/16</t>
  </si>
  <si>
    <t>Pago enero a diciembre/17</t>
  </si>
  <si>
    <t>Pagi ene/feb/mar/17</t>
  </si>
  <si>
    <t>Pagi 1 tarjetòn</t>
  </si>
  <si>
    <t>Pago dic/16 $ 300 y ene/17</t>
  </si>
  <si>
    <t>Pago dic/16 $ 400 y ene/17</t>
  </si>
  <si>
    <t>Pago enero a diciembre/16</t>
  </si>
  <si>
    <t>Pago 2 tarjetones</t>
  </si>
  <si>
    <t>Pago T.E. # 8146</t>
  </si>
  <si>
    <t>Pago ene/feb/mar/abr/</t>
  </si>
  <si>
    <t>may/17 $ 200 por mes</t>
  </si>
  <si>
    <t xml:space="preserve">se le condono 1 mes por </t>
  </si>
  <si>
    <t>anualidad</t>
  </si>
  <si>
    <t xml:space="preserve">$ 200 por mes </t>
  </si>
  <si>
    <t>Pago de 1 tarjetòn</t>
  </si>
  <si>
    <t>Pago ene/feb/17</t>
  </si>
  <si>
    <t>Pago dic/16 y ene/17</t>
  </si>
  <si>
    <t>Pago ene a dic/17</t>
  </si>
  <si>
    <t xml:space="preserve">$ 300 por mes </t>
  </si>
  <si>
    <t>Pago oct/nov/16</t>
  </si>
  <si>
    <t>Pago enero a diciebre/17</t>
  </si>
  <si>
    <t xml:space="preserve">C A N C E L A D O </t>
  </si>
  <si>
    <t xml:space="preserve">Pago de mar a dic/16 y </t>
  </si>
  <si>
    <t>ene y feb/17 $ 300 por mes</t>
  </si>
  <si>
    <t>Pago 1 tarjetòn</t>
  </si>
  <si>
    <t>Pago 2 llaves</t>
  </si>
  <si>
    <t>Pago enero $ 250 y 2 llaves</t>
  </si>
  <si>
    <t>Pago nov/dic/16 y ene/17</t>
  </si>
  <si>
    <t xml:space="preserve">Pago nov/dic/16 $ 400 </t>
  </si>
  <si>
    <t>por mes y 2 llaves</t>
  </si>
  <si>
    <t>Pago de ago a dic/16</t>
  </si>
  <si>
    <t>Pago septiembre/16</t>
  </si>
  <si>
    <t>Pago sep/oct/nov/dic/16</t>
  </si>
  <si>
    <t>Pago anualidad 2017</t>
  </si>
  <si>
    <t xml:space="preserve">$ 300 por mes se le </t>
  </si>
  <si>
    <t>condono 1 mes</t>
  </si>
  <si>
    <t xml:space="preserve">$ 300 por mes   </t>
  </si>
  <si>
    <t>$ 400 por mes se le</t>
  </si>
  <si>
    <t>$ 400 p</t>
  </si>
  <si>
    <t>Pago feb/mar/abr/17</t>
  </si>
  <si>
    <t>Pago dic/16 y ene/17 y 1</t>
  </si>
  <si>
    <t>tarjetón $ 400 por mes</t>
  </si>
  <si>
    <t>Pago 1 T.E. # 8144</t>
  </si>
  <si>
    <t>Pago 1 llave, 1 T.E. # 8136</t>
  </si>
  <si>
    <t>1 tarjetón y 1 portatarjeta</t>
  </si>
  <si>
    <t>Pago enero/17 y 1 tarjetón</t>
  </si>
  <si>
    <t>Pago jul a dic/16 y 1 T.E.</t>
  </si>
  <si>
    <t># 8135 $ 400 por mes</t>
  </si>
  <si>
    <t>Pago oct/16 $ 100  ene/17</t>
  </si>
  <si>
    <t>Pago 1 tarjetón</t>
  </si>
  <si>
    <t>llave</t>
  </si>
  <si>
    <t xml:space="preserve">Pago ene/17 $ 100 y 1 </t>
  </si>
  <si>
    <t>Pago noviembre/16</t>
  </si>
  <si>
    <t>Pago sep/oct/nov/dic/17</t>
  </si>
  <si>
    <t xml:space="preserve">Pago anualidad se le </t>
  </si>
  <si>
    <t>$ 150 por mes</t>
  </si>
  <si>
    <t>Pago ene/feb/mar/17</t>
  </si>
  <si>
    <t>Pago dic/17 pago anualida</t>
  </si>
  <si>
    <t>se condono diciembre/17</t>
  </si>
  <si>
    <t>condono diciembre/17</t>
  </si>
  <si>
    <t xml:space="preserve">Pago de jul a dic/16 y </t>
  </si>
  <si>
    <t>ene/17 $ 250 por mes</t>
  </si>
  <si>
    <t>Pago ene/17, 1 T.E. #8139</t>
  </si>
  <si>
    <t>y 1 tarjetòn.</t>
  </si>
  <si>
    <t xml:space="preserve">Pago 1 T.E. · 8140 Y 1 </t>
  </si>
  <si>
    <t>tarjetòn.</t>
  </si>
  <si>
    <t>Pago oct/nov/dic/16 y</t>
  </si>
  <si>
    <t>ene/17 $ 300 por mes</t>
  </si>
  <si>
    <t>Pago febrero/17</t>
  </si>
  <si>
    <t>Pago ene/17, 1 T.E. # 8143</t>
  </si>
  <si>
    <t>y 1 portatarjetas</t>
  </si>
  <si>
    <t>Pago dic/16 ene/feb/17</t>
  </si>
  <si>
    <t xml:space="preserve">Pago nov/dic/16   </t>
  </si>
  <si>
    <t>$ 300 por mes y 1 tarjetòn</t>
  </si>
  <si>
    <t>$ 150 por mes y ene/17</t>
  </si>
  <si>
    <t>Pago ene/17 $ 50 y 1</t>
  </si>
  <si>
    <t>tarjetón</t>
  </si>
  <si>
    <t>y ene/17 $ 100 por mes</t>
  </si>
  <si>
    <t>Pago octubre/16 1 T.E.</t>
  </si>
  <si>
    <t># 07796 Y 1 tarjetón</t>
  </si>
  <si>
    <t xml:space="preserve">Pago 2 T.E. # 07797 y </t>
  </si>
  <si>
    <t>07800 y 2 tarjetones</t>
  </si>
  <si>
    <t>ene/17 $ 400 por mes</t>
  </si>
  <si>
    <t xml:space="preserve">$ 150 por mes   </t>
  </si>
  <si>
    <t>Pago 3 llaves</t>
  </si>
  <si>
    <t>de 1 llave</t>
  </si>
  <si>
    <t>condona 1 mes</t>
  </si>
  <si>
    <t xml:space="preserve">condona 1 mes y pago </t>
  </si>
  <si>
    <t>Pago ene y feb/17</t>
  </si>
  <si>
    <t>Pago feb/mar/abr/may/</t>
  </si>
  <si>
    <t>jun/17 $ 400 por mes</t>
  </si>
  <si>
    <t>Pago 1 llave, 3 T.E. #7792,</t>
  </si>
  <si>
    <t>7793 Y 7794 y 4 tarjetones</t>
  </si>
  <si>
    <t>Pago 1 llave y 1 tarjetón</t>
  </si>
  <si>
    <t>Pago ago/sep/16</t>
  </si>
  <si>
    <t>Pago ene/17 y 1 llave</t>
  </si>
  <si>
    <t>Pago 3 tarjetones</t>
  </si>
  <si>
    <t>condona 1 mes 2017</t>
  </si>
  <si>
    <t>Pago 1 T.E. # 07795</t>
  </si>
  <si>
    <t xml:space="preserve">Pago T.E. # 07796 y </t>
  </si>
  <si>
    <t>1 tarjetón</t>
  </si>
  <si>
    <t xml:space="preserve">Pago oct/nov/dic/16  </t>
  </si>
  <si>
    <t>Pago ago/sep/oct/nov/</t>
  </si>
  <si>
    <t>dic/16 $ 200 por mes</t>
  </si>
  <si>
    <t>Pago jun/jul/16</t>
  </si>
  <si>
    <t>Pago enero/17</t>
  </si>
  <si>
    <t>Pago T.E. # 7791</t>
  </si>
  <si>
    <t>Pago dic/16 y ene/feb/17</t>
  </si>
  <si>
    <t xml:space="preserve">condono 1 mes </t>
  </si>
  <si>
    <t>Pago ene/17 y 1 tarjetòn</t>
  </si>
  <si>
    <t>Pago oct/nov/dic/16</t>
  </si>
  <si>
    <t>Pago agosto/16</t>
  </si>
  <si>
    <t>$· 400 por mes</t>
  </si>
  <si>
    <t>Pago mar/abr/17</t>
  </si>
  <si>
    <t>Pago 1 T.E.#7792 Y 1 llave</t>
  </si>
  <si>
    <t xml:space="preserve">Pago ene/feb/17 </t>
  </si>
  <si>
    <t>$ 400 por mes y 1 tarjetòn</t>
  </si>
  <si>
    <t>Tranferencia bancaria</t>
  </si>
  <si>
    <t>en enero/17</t>
  </si>
  <si>
    <t>Transferencia bancaria</t>
  </si>
  <si>
    <t>pagando enero/17</t>
  </si>
  <si>
    <t>Pago jul/ago/sep/16</t>
  </si>
  <si>
    <t>por transferencia bancaria</t>
  </si>
  <si>
    <t>$ 400 por mes por transfe</t>
  </si>
  <si>
    <t>rencia bancaria</t>
  </si>
  <si>
    <t>Pago feb/17 1 T.E. #07793</t>
  </si>
  <si>
    <t>Y 3 tarjetones</t>
  </si>
  <si>
    <t>Pago feb/mar/17</t>
  </si>
  <si>
    <t>Pago dic/16 $ 200 y pago</t>
  </si>
  <si>
    <t>ene/feb/17  $ 400 por mes</t>
  </si>
  <si>
    <t>transferencia bancaria</t>
  </si>
  <si>
    <t>$ 350 por mes</t>
  </si>
  <si>
    <t>Pago 1 T.E. #07787</t>
  </si>
  <si>
    <t>Pago jul/ago/sep/oct/nov</t>
  </si>
  <si>
    <t>dic/16 $ 150 por mes</t>
  </si>
  <si>
    <t>EZ_157 depto 1,2 y 3</t>
  </si>
  <si>
    <t>ene/17 $ 100 por mes</t>
  </si>
  <si>
    <t>Pago feb/17 y 1 llave</t>
  </si>
  <si>
    <t xml:space="preserve">Pago 1 T.E.   </t>
  </si>
  <si>
    <t>Pago 1 llave y 2 tarjetones</t>
  </si>
  <si>
    <t>Pago 4 tomas de video</t>
  </si>
  <si>
    <t>Pago feb/17 1 T.E. y 1</t>
  </si>
  <si>
    <t>porta tarjeta</t>
  </si>
  <si>
    <t>Se le condono 1 mes</t>
  </si>
  <si>
    <t>Pago dic/16 ene/feb/mar/</t>
  </si>
  <si>
    <t>abr/17 $ 400 por mes</t>
  </si>
  <si>
    <t xml:space="preserve">Pago oct/nov/dic/16 </t>
  </si>
  <si>
    <t>Pago dic/16 ene/17</t>
  </si>
  <si>
    <t>Paggo enero/17</t>
  </si>
  <si>
    <t>Pago febrero y 1 tarjetón</t>
  </si>
  <si>
    <t>Equipo de camaras UP</t>
  </si>
  <si>
    <t>$ 200 por mes y aportacion</t>
  </si>
  <si>
    <t>voluntacia Equipo camar</t>
  </si>
  <si>
    <t>Pago 2 T.E. #07786 Y 07791</t>
  </si>
  <si>
    <t xml:space="preserve">Pago marzo/17 y </t>
  </si>
  <si>
    <t>Pago nov/dci/16 y ene/</t>
  </si>
  <si>
    <t>feb/17 $ 200 por mes</t>
  </si>
  <si>
    <t>Pago T.E. # 08667</t>
  </si>
  <si>
    <t xml:space="preserve">Pago febrero y </t>
  </si>
  <si>
    <t>$ 400 por mes y</t>
  </si>
  <si>
    <t>Pago febrero y</t>
  </si>
  <si>
    <t>Pago mar/abr/may/17</t>
  </si>
  <si>
    <t xml:space="preserve">$ 300 por mes y </t>
  </si>
  <si>
    <t>Pago febrero/17 y</t>
  </si>
  <si>
    <t>Pago nov/dic/16 y ene/</t>
  </si>
  <si>
    <t>feb/17, 1 tarjetón y</t>
  </si>
  <si>
    <t>$ 300 por mes y</t>
  </si>
  <si>
    <t>$ 250 por mes y</t>
  </si>
  <si>
    <t>y 1 tarjetón</t>
  </si>
  <si>
    <t>ene/feb/17 $ 100 por mes</t>
  </si>
  <si>
    <t xml:space="preserve">$ 200 por mes y  </t>
  </si>
  <si>
    <t xml:space="preserve">$ 250 por mes  </t>
  </si>
  <si>
    <t>Pago T.E. # 08668</t>
  </si>
  <si>
    <t>Pago ene/feb/17 $ 200 por</t>
  </si>
  <si>
    <t>mes y Equipo de camaras</t>
  </si>
  <si>
    <t>Pago marzo/17 y Equipo</t>
  </si>
  <si>
    <t>de camaras</t>
  </si>
  <si>
    <t>Pago febrero/17 y Equipo</t>
  </si>
  <si>
    <t>Pago feb/mar/17 $ 400 por</t>
  </si>
  <si>
    <t>mes, 1 tarjetòn y Equipo</t>
  </si>
  <si>
    <t>Pago mar/abr/17 $ 400 por</t>
  </si>
  <si>
    <t>Pago 2 tarjetones, 3 porta</t>
  </si>
  <si>
    <t>tarjetas y Equipo de cama</t>
  </si>
  <si>
    <t>mes</t>
  </si>
  <si>
    <t>Pago nov/dic/16 y ene/feb</t>
  </si>
  <si>
    <t>mar/17 $ 400 por mes</t>
  </si>
  <si>
    <t>Pago ene/feb/17 $ 400 po</t>
  </si>
  <si>
    <t>Paggo febrero/17 y Equipo</t>
  </si>
  <si>
    <t>Pago feb/mar/17 $ 300 por</t>
  </si>
  <si>
    <t>$ 400 por mes y Equipo de</t>
  </si>
  <si>
    <t>camaras</t>
  </si>
  <si>
    <t>y Equipo de camaras</t>
  </si>
  <si>
    <t xml:space="preserve">Pago ene/feb/mar/17 </t>
  </si>
  <si>
    <t>Pago enero/17 y Equipo</t>
  </si>
  <si>
    <t>Pago T.E. # 7790</t>
  </si>
  <si>
    <t>Pago de may a nov/17</t>
  </si>
  <si>
    <t>completo anualidad</t>
  </si>
  <si>
    <t>se le condono 1 mes</t>
  </si>
  <si>
    <t>Pago T.E. # 8670 y Equipo</t>
  </si>
  <si>
    <t>mes y 1 llave</t>
  </si>
  <si>
    <t>Pago feb/mar/17 $ 200</t>
  </si>
  <si>
    <t>por mes</t>
  </si>
  <si>
    <t>Pago feb/mar/17 $ 200 por</t>
  </si>
  <si>
    <t>Pago ene/feb/17 $ 250 por</t>
  </si>
  <si>
    <t>mes y T.E. # 08671</t>
  </si>
  <si>
    <t>Pago anualidad 17 se le</t>
  </si>
  <si>
    <t xml:space="preserve">condona 1 mes </t>
  </si>
  <si>
    <t>Pagp oct/nov/dic/16</t>
  </si>
  <si>
    <t>C  A N C E L A D O</t>
  </si>
  <si>
    <t>Pago marzo/17 y equipo</t>
  </si>
  <si>
    <t>de camaras UP</t>
  </si>
  <si>
    <t>Pago mar/abr/17 y equipo</t>
  </si>
  <si>
    <t>Pago jun/17, 2 tarjetones,</t>
  </si>
  <si>
    <t>1 T.E. #8672 y 1 porta tarje</t>
  </si>
  <si>
    <t>mes y equipo de camaras</t>
  </si>
  <si>
    <t xml:space="preserve">Pago feb/mar/17 </t>
  </si>
  <si>
    <t>Pago de 4 tarjetones</t>
  </si>
  <si>
    <t>Pago mar/abr/may/jun/</t>
  </si>
  <si>
    <t xml:space="preserve">jul/17 $ 400 por mes y </t>
  </si>
  <si>
    <t>$ 150 en enero y $ 200 feb</t>
  </si>
  <si>
    <t>y $ 200 marzo/17</t>
  </si>
  <si>
    <t>may/jun/17 $ 300 por mes</t>
  </si>
  <si>
    <t xml:space="preserve">mes y $ 100 pesos de </t>
  </si>
  <si>
    <t>Pago marzo/17 y $ 100 de</t>
  </si>
  <si>
    <t>Pago feb/mar/17 $ 400  por</t>
  </si>
  <si>
    <t>Pago febrero/17 y $ 100 de</t>
  </si>
  <si>
    <t>Pago febrero/17 y 1 llave</t>
  </si>
  <si>
    <t>Pago ene//feb/mar/17</t>
  </si>
  <si>
    <t>Pago febrero/17 $ 100 de</t>
  </si>
  <si>
    <t xml:space="preserve">mes   </t>
  </si>
  <si>
    <t>Pago de dic/16, ene/feb/</t>
  </si>
  <si>
    <t>marz/17 $ 400 por mes</t>
  </si>
  <si>
    <t>Pago oct/nov/17</t>
  </si>
  <si>
    <t>Pago dic/16 y $ 100 por</t>
  </si>
  <si>
    <t>Pago mar/abr/17 $ 400</t>
  </si>
  <si>
    <t>Pago nov/dic/17 y ene/17</t>
  </si>
  <si>
    <t>$ 400 por mes y $ 100 de</t>
  </si>
  <si>
    <t>Pago enero/17 y $ 100 de</t>
  </si>
  <si>
    <t>equipo de camaras UP</t>
  </si>
  <si>
    <t>Pago marzo/17 y</t>
  </si>
  <si>
    <t>$ 100 por mes</t>
  </si>
  <si>
    <t>Pago 1 tarjertón</t>
  </si>
  <si>
    <t xml:space="preserve">$ 400 por mes  </t>
  </si>
  <si>
    <t xml:space="preserve">Pago anualidad/17 y </t>
  </si>
  <si>
    <t>Pago dic/16, ene/feb/17</t>
  </si>
  <si>
    <t>Pago T.E.</t>
  </si>
  <si>
    <t>Pago de junio a dic/16 y de</t>
  </si>
  <si>
    <t>ene a abril/17 $ 400 por mes</t>
  </si>
  <si>
    <t>Pago abril/17</t>
  </si>
  <si>
    <t xml:space="preserve">Pago 1 llave y </t>
  </si>
  <si>
    <t>Pago oct/nov/dic/16 y ene/</t>
  </si>
  <si>
    <t>feb/17 $ 300 por mes</t>
  </si>
  <si>
    <t>Pago T.E. # 08674</t>
  </si>
  <si>
    <t xml:space="preserve">Pago mar/abr/17 </t>
  </si>
  <si>
    <t>Pago de enero a mayo/17</t>
  </si>
  <si>
    <t>Pago marzo/17</t>
  </si>
  <si>
    <t xml:space="preserve">Pago anualidad </t>
  </si>
  <si>
    <t xml:space="preserve">$ 400 por mes y </t>
  </si>
  <si>
    <t>Pago abr/may/17</t>
  </si>
  <si>
    <t>Pago abr/may/jun/17</t>
  </si>
  <si>
    <t>Pago mar/abri/17</t>
  </si>
  <si>
    <t>Pago feb/mar/abr/may/17</t>
  </si>
  <si>
    <t xml:space="preserve">$ 250 por mes y </t>
  </si>
  <si>
    <t>Pago tarjetòn</t>
  </si>
  <si>
    <t xml:space="preserve">ene/feb/mar/17 </t>
  </si>
  <si>
    <t>cheque banamex</t>
  </si>
  <si>
    <t>Pago abril/17, $ 200, 2 T.E.</t>
  </si>
  <si>
    <t># 39031 Y 39032, 1 llave y</t>
  </si>
  <si>
    <t xml:space="preserve">Cuota voluntaria para </t>
  </si>
  <si>
    <t>camara del circuito LD</t>
  </si>
  <si>
    <t xml:space="preserve"> </t>
  </si>
  <si>
    <t>mes de marzo</t>
  </si>
  <si>
    <t>Pago abril /17</t>
  </si>
  <si>
    <t>may/jun/17 $ 200 por mes</t>
  </si>
  <si>
    <t>Pago jun/jul/17</t>
  </si>
  <si>
    <t>Pago abril/17 $ 400, 1 llave</t>
  </si>
  <si>
    <t>2 tarjetones</t>
  </si>
  <si>
    <t>Pago T.E. # 30918</t>
  </si>
  <si>
    <t xml:space="preserve">$ 350 por mes </t>
  </si>
  <si>
    <t>Pago 2 T.E. # 39019 Y 39020</t>
  </si>
  <si>
    <t>Pago diciebre/17</t>
  </si>
  <si>
    <t>Pago T.E. # 39036</t>
  </si>
  <si>
    <t>Pago ene/feb/mar/abr/17</t>
  </si>
  <si>
    <t>$ 150 por mes y 1 llave</t>
  </si>
  <si>
    <t xml:space="preserve">Pago abril y </t>
  </si>
  <si>
    <t>Pago abril y 1 llave</t>
  </si>
  <si>
    <t>Pago 1 tarjeton</t>
  </si>
  <si>
    <t>Pago mayo/17</t>
  </si>
  <si>
    <t>Paago 2 tarjetones</t>
  </si>
  <si>
    <t>Pago abril/17 y 1 llave</t>
  </si>
  <si>
    <t>Pago feb/mar/17 $ 250</t>
  </si>
  <si>
    <t xml:space="preserve">por mes y equipo de </t>
  </si>
  <si>
    <t>camaras Upacuaro</t>
  </si>
  <si>
    <t xml:space="preserve">Pago 1 T.E. #39017 Y 1 </t>
  </si>
  <si>
    <t>tarjetòn</t>
  </si>
  <si>
    <t>Pago 1 T.E. #39035 , 1 tar-</t>
  </si>
  <si>
    <t>jetòn y equipo de camara</t>
  </si>
  <si>
    <t>Pago may/jun/17</t>
  </si>
  <si>
    <t>T.E. # 39037</t>
  </si>
  <si>
    <t xml:space="preserve">Pago 2 T.E. # 39038,39040, </t>
  </si>
  <si>
    <t>6 tarjetones , 2 porta tar-</t>
  </si>
  <si>
    <t>jetas y equipo de camaras</t>
  </si>
  <si>
    <t>Pago T.E. y 1 tarjetòn</t>
  </si>
  <si>
    <t>Pago abril y 1 tarjetòn</t>
  </si>
  <si>
    <t>$350 por mes y</t>
  </si>
  <si>
    <t>Pago de enero a junio/17</t>
  </si>
  <si>
    <t xml:space="preserve">$ 300 `por mes y 3 </t>
  </si>
  <si>
    <t>tarjetones</t>
  </si>
  <si>
    <t>Pago marz/abr/17</t>
  </si>
  <si>
    <t>Pago 1 llave y T.E. #39012</t>
  </si>
  <si>
    <t>Pago mayo/17 y</t>
  </si>
  <si>
    <t>Pago enero/17 $ 150, 1 T.E.</t>
  </si>
  <si>
    <t># 10539013 Y 1 tarjetòn</t>
  </si>
  <si>
    <t xml:space="preserve">Pago a/c febrero </t>
  </si>
  <si>
    <t>Pago abr/mar/jun/17</t>
  </si>
  <si>
    <t>Pago de mayo a diciembre</t>
  </si>
  <si>
    <t>anualidad vecino nuevo</t>
  </si>
  <si>
    <t>1 tarjetòn</t>
  </si>
  <si>
    <t>tranferencia bancaria</t>
  </si>
  <si>
    <t>C A N C E L  A D O</t>
  </si>
  <si>
    <t>Pago may/17 y 1 tarjetòn</t>
  </si>
  <si>
    <t>equipo de camaras</t>
  </si>
  <si>
    <t>$ 100 por mes y 1 tarjetòn</t>
  </si>
  <si>
    <t>Pago agosto/17</t>
  </si>
  <si>
    <t>Pago may/jun/jul/17</t>
  </si>
  <si>
    <t>Pago ene/mar/17</t>
  </si>
  <si>
    <t>Paggo 3 tarjetones</t>
  </si>
  <si>
    <t>Pago mayo $ 400, T.E.</t>
  </si>
  <si>
    <t>Pago 1 llave, 1 T.E. #39014</t>
  </si>
  <si>
    <t># 39010 Y 1 tarjetòn</t>
  </si>
  <si>
    <t>Y 2 tarjetones</t>
  </si>
  <si>
    <t>Pago de ene a may/17</t>
  </si>
  <si>
    <t>$ 200 por mes y</t>
  </si>
  <si>
    <t>Pago abr/may/jun/jul/17</t>
  </si>
  <si>
    <t>Pago jul/ago/17</t>
  </si>
  <si>
    <t>$400 por mes</t>
  </si>
  <si>
    <t>Pago sep/oct/16</t>
  </si>
  <si>
    <t>Pago feb/may/17</t>
  </si>
  <si>
    <t>$ 250 por mes y 1 llave</t>
  </si>
  <si>
    <t>$ 200 `por mes</t>
  </si>
  <si>
    <t>Pago 1 llave y 1 tarjetòn</t>
  </si>
  <si>
    <t>Pago 2 T.E. # 39024 Y</t>
  </si>
  <si>
    <t>39025 Y 2 tarjetones</t>
  </si>
  <si>
    <t>Pago 2 T.E. # 39015 Y</t>
  </si>
  <si>
    <t>Pago feb/mar/ab r/17</t>
  </si>
  <si>
    <t>se le condono mes dic/17</t>
  </si>
  <si>
    <t>Pago ene/feb/mar/abr/may/17</t>
  </si>
  <si>
    <t>Pago abril/17 y 1 tarjetòn</t>
  </si>
  <si>
    <t>Pago junio/17</t>
  </si>
  <si>
    <t>Se tomo por error 18/5/17</t>
  </si>
  <si>
    <t>Pago 1 T.E. # 39023</t>
  </si>
  <si>
    <t>Pago abr/may/17 $400 por</t>
  </si>
  <si>
    <t>Pago mar/abr/may/jun/17</t>
  </si>
  <si>
    <t>cheque bancomer # 7</t>
  </si>
  <si>
    <t>Pago may/17 y 1 llave</t>
  </si>
  <si>
    <t xml:space="preserve">Este recibo se cobro en </t>
  </si>
  <si>
    <t>Pago abri/may/jun/17</t>
  </si>
  <si>
    <t>se deposito el mes pasado</t>
  </si>
  <si>
    <t>Pago mayo/17 y equipo</t>
  </si>
  <si>
    <t>de camaras upacuaro</t>
  </si>
  <si>
    <t>Pago may/jun//17</t>
  </si>
  <si>
    <t>Pao abr/may/jun/17</t>
  </si>
  <si>
    <t>`14601</t>
  </si>
  <si>
    <t>Pago junio/17 1 tarjetòn</t>
  </si>
  <si>
    <t>Pago mar/may/jun/17</t>
  </si>
  <si>
    <t>Pago de julio a noviembre</t>
  </si>
  <si>
    <t>17 $ 300 por mes</t>
  </si>
  <si>
    <t>$ 200 por mes y 1 tarjetòn</t>
  </si>
  <si>
    <t>Equipo camaras upacuaro</t>
  </si>
  <si>
    <t>jul/17 $ 400 por mes</t>
  </si>
  <si>
    <t>$ 900 por mes</t>
  </si>
  <si>
    <t>2 llaves</t>
  </si>
  <si>
    <t>Pago junio y 1 llave</t>
  </si>
  <si>
    <t>Pago t.e. # 39020</t>
  </si>
  <si>
    <t>Pago mayo/17 y 1 tarjetón</t>
  </si>
  <si>
    <t>$ 200 por mes depto 1 y 2</t>
  </si>
  <si>
    <t>Pago julio/17</t>
  </si>
  <si>
    <t>Pago video</t>
  </si>
  <si>
    <t>Pago julio/17 y 1 tarjetòn</t>
  </si>
  <si>
    <t>Pago jun/jul/ago/17</t>
  </si>
  <si>
    <t xml:space="preserve">Pago junio/17 </t>
  </si>
  <si>
    <t>T.E. # 39026</t>
  </si>
  <si>
    <t>$ 400 por mes y 1 llave</t>
  </si>
  <si>
    <t>Pago junio/17 y 1 llave</t>
  </si>
  <si>
    <t>Pago de feb a nov/17</t>
  </si>
  <si>
    <t>Pago jul/ago/sep/17</t>
  </si>
  <si>
    <t>Pago jul/ago/sep/oct/17</t>
  </si>
  <si>
    <t>Pago abr/may/jun/jul/ago</t>
  </si>
  <si>
    <t>Pagp julio/17 y</t>
  </si>
  <si>
    <t>equipo a camaras UP</t>
  </si>
  <si>
    <t>Pago julio/17 y 2 tarjeton</t>
  </si>
  <si>
    <t>Pagp mar/abr/may/jun/</t>
  </si>
  <si>
    <t>jul/17 $ 200 por mes</t>
  </si>
  <si>
    <t xml:space="preserve">Pago dic/16 $ 200 y de </t>
  </si>
  <si>
    <t xml:space="preserve">enero a julio/17 </t>
  </si>
  <si>
    <t>Pago mayo/junio/17</t>
  </si>
  <si>
    <t>Pago julio/agosto/17</t>
  </si>
  <si>
    <t>Pago de 1 tarjetòn rojo</t>
  </si>
  <si>
    <t>Pago abril/mayo/17</t>
  </si>
  <si>
    <t>Pago junio/julio/17</t>
  </si>
  <si>
    <t>$ 300  por mes</t>
  </si>
  <si>
    <t>Pago 1 T.E. # 39077</t>
  </si>
  <si>
    <t>Pago 2 tarjetones visitas</t>
  </si>
  <si>
    <t>Pago T.E. #39030</t>
  </si>
  <si>
    <t>Pago julio/17 y 1 llave</t>
  </si>
  <si>
    <t xml:space="preserve">Pago 1 llave </t>
  </si>
  <si>
    <t>Pago abr/may/jun/jul/</t>
  </si>
  <si>
    <t>ago/17 $ 400 por mes</t>
  </si>
  <si>
    <t>Pago agosto y 1 tarjetòn</t>
  </si>
  <si>
    <t>Pago abr/ay/17</t>
  </si>
  <si>
    <t xml:space="preserve">Pago agosto  </t>
  </si>
  <si>
    <t>$ 400 por mes y 1 tarjtòn</t>
  </si>
  <si>
    <t>Pago ago/sep/17</t>
  </si>
  <si>
    <t>Pago mes de julio</t>
  </si>
  <si>
    <t>Pago septiembre/17 y</t>
  </si>
  <si>
    <t>1 llave</t>
  </si>
  <si>
    <t xml:space="preserve">Pago agosto/17 y </t>
  </si>
  <si>
    <t>reparaciòn de camaras</t>
  </si>
  <si>
    <t>Pago ene/feb/may/17</t>
  </si>
  <si>
    <t>Pago may/ago/17</t>
  </si>
  <si>
    <t>Pago jun/jul/ago/sep/17</t>
  </si>
  <si>
    <t>Pago may/jun/jul/ago/17</t>
  </si>
  <si>
    <t>2do pago anualidad</t>
  </si>
  <si>
    <t>Pago agosto/17 y 1 llave</t>
  </si>
  <si>
    <t>jul/ago/sep/17</t>
  </si>
  <si>
    <t>Pago 1 llave y 1 portatarje</t>
  </si>
  <si>
    <t>Pago ago/sep/oct/17</t>
  </si>
  <si>
    <t>Pago jun/ago/17</t>
  </si>
  <si>
    <t>Paago ago/sep/17</t>
  </si>
  <si>
    <t>Pago de abril a noviembre</t>
  </si>
  <si>
    <t xml:space="preserve">se le condona mes de </t>
  </si>
  <si>
    <t>diciembre</t>
  </si>
  <si>
    <t>Pago de anualidad</t>
  </si>
  <si>
    <t>y 1 T.E. 11081</t>
  </si>
  <si>
    <t>Pago septiembre/17</t>
  </si>
  <si>
    <t>Pagi septiembre/17</t>
  </si>
  <si>
    <t>Pago de 2 cajitas</t>
  </si>
  <si>
    <t>$ 200 por mes y 1 T.E.</t>
  </si>
  <si>
    <t>·11082</t>
  </si>
  <si>
    <t>Pago siniestro de camaras</t>
  </si>
  <si>
    <t xml:space="preserve">daño de cable por camión </t>
  </si>
  <si>
    <t>basura</t>
  </si>
  <si>
    <t>Pago siniestro de pluma</t>
  </si>
  <si>
    <t>electrónica Zinampa</t>
  </si>
  <si>
    <t>Pago de mayo a septiemb</t>
  </si>
  <si>
    <t>de enero a noviembre/17</t>
  </si>
  <si>
    <t>$ 400 por mes se le condò</t>
  </si>
  <si>
    <t>1 mes por pago anual</t>
  </si>
  <si>
    <t>y 1 tarjeton</t>
  </si>
  <si>
    <t xml:space="preserve">$ 400 por mes   </t>
  </si>
  <si>
    <t>Pago de marzo a agosto/17</t>
  </si>
  <si>
    <t>Pago sep/oct/17</t>
  </si>
  <si>
    <t>1 T.E. # 11077</t>
  </si>
  <si>
    <t>Pago de junio a sep/17</t>
  </si>
  <si>
    <t>Pago de ene a dic/17</t>
  </si>
  <si>
    <t xml:space="preserve">Sele condonò 1 mes por </t>
  </si>
  <si>
    <t>pago de anualidad</t>
  </si>
  <si>
    <t>Pago de mar/abr/may/jun/</t>
  </si>
  <si>
    <t>Pago de julio a octubre/17</t>
  </si>
  <si>
    <t>Pago de ago a nov/17</t>
  </si>
  <si>
    <t>Pago de agosto/17</t>
  </si>
  <si>
    <t>Pago de marzo a mayo/17</t>
  </si>
  <si>
    <t>Pago de may/jun/jul/17</t>
  </si>
  <si>
    <t>Pago de ago/sep/17</t>
  </si>
  <si>
    <t>Pago de 1 llave</t>
  </si>
  <si>
    <t>Pago de jul a agosto/17</t>
  </si>
  <si>
    <t>Pago enero a juliio/17</t>
  </si>
  <si>
    <t>Pago de julio a sep/17</t>
  </si>
  <si>
    <t xml:space="preserve">Pago 1 T.E.#39039 y </t>
  </si>
  <si>
    <t>cheque # 0011</t>
  </si>
  <si>
    <t>Pago T.E. # 11078</t>
  </si>
  <si>
    <t>Pago sep/17 y 1 tarjetòn</t>
  </si>
  <si>
    <t>Pago enero y septimbre/17</t>
  </si>
  <si>
    <t>Pago agosto</t>
  </si>
  <si>
    <t>151 por mes00</t>
  </si>
  <si>
    <t>Pago octubre y 1 tarjetòn</t>
  </si>
  <si>
    <t>pago may/jun/17</t>
  </si>
  <si>
    <t>Pago octubre y 1 llave</t>
  </si>
  <si>
    <t>Pago may/jun/jul/ago/</t>
  </si>
  <si>
    <t>sep/oct/17 $ 400 por mes</t>
  </si>
  <si>
    <t>y 1 tarjetòn</t>
  </si>
  <si>
    <t>Pago 1 octubre y 1 tarjetòn</t>
  </si>
  <si>
    <t>Pago oct/nov/dic/17</t>
  </si>
  <si>
    <t xml:space="preserve">$ 150 por mes    </t>
  </si>
  <si>
    <t>LD_25 TRANFERENCIA BANC</t>
  </si>
  <si>
    <t>pago mayo/jun/17</t>
  </si>
  <si>
    <t>Tranferencia septiembre</t>
  </si>
  <si>
    <t>Pago jun/jul/ago/sep/oct</t>
  </si>
  <si>
    <t>/17 $ 300 por mes</t>
  </si>
  <si>
    <t>Pago llave</t>
  </si>
  <si>
    <t>Pago agosto/17 $ 400</t>
  </si>
  <si>
    <t>2 tarjetones $ 100</t>
  </si>
  <si>
    <t>Pago agosto/17 $ 200 y</t>
  </si>
  <si>
    <t>Septimbre $ 400</t>
  </si>
  <si>
    <t>Pago de jul a dic/17</t>
  </si>
  <si>
    <t>Pago agos/sep/17</t>
  </si>
  <si>
    <t>Pago mayo a agosto/17</t>
  </si>
  <si>
    <t>$ 400 por mes, 2 llaves,</t>
  </si>
  <si>
    <t>1 tarjeta elèctronica y</t>
  </si>
  <si>
    <t>Pago  de julio a diciembre</t>
  </si>
  <si>
    <t>Pago tranferencia bancari</t>
  </si>
  <si>
    <t>julio y agosto $ 400 por me</t>
  </si>
  <si>
    <t>Pago julio a diciembre/17</t>
  </si>
  <si>
    <t>Pago julio a octubre/17</t>
  </si>
  <si>
    <t>Pago julio a noviembre/17</t>
  </si>
  <si>
    <t>Pago feb y oct/17</t>
  </si>
  <si>
    <t>Pago de julio a octubre</t>
  </si>
  <si>
    <t>$ 300 por mes y 1 llave</t>
  </si>
  <si>
    <t>Pago de enero a diciembre/17</t>
  </si>
  <si>
    <t>Pago de febrero a diciembre</t>
  </si>
  <si>
    <t>Pagp jul/ago/17</t>
  </si>
  <si>
    <t>depto 1,2 y 3 $ 150 por depto</t>
  </si>
  <si>
    <t>Pago noviembre/17</t>
  </si>
  <si>
    <t>Pagp sep/oct/17</t>
  </si>
  <si>
    <t>Pago may/jun/jul/ago/sep/</t>
  </si>
  <si>
    <t>oct/17 $ 100 por mes</t>
  </si>
  <si>
    <t xml:space="preserve">Pago 2 tarjetones </t>
  </si>
  <si>
    <t>Pago 2 T.E. # 11083 Y 11084</t>
  </si>
  <si>
    <t>$ 200 cada una</t>
  </si>
  <si>
    <t>Pago nov/dic/17</t>
  </si>
  <si>
    <t>Pago oct/sep/nov/17</t>
  </si>
  <si>
    <t>Pago oct/nov/17 $ 400 por</t>
  </si>
  <si>
    <t>mes y 1 tarjetòn</t>
  </si>
  <si>
    <t>Pago octubre/17</t>
  </si>
  <si>
    <t>Pago octubre/17 y 1 llave</t>
  </si>
  <si>
    <t>Pago ago/sep/oct/nov/17</t>
  </si>
  <si>
    <t>Pago diciembre/17</t>
  </si>
  <si>
    <t>Pago 1 caja portatarjeta</t>
  </si>
  <si>
    <t>Pago sep/oct/nov/17</t>
  </si>
  <si>
    <t>$ 400 por mes y 2 tarjetones</t>
  </si>
  <si>
    <t>Pago jul/ago/sep/oct/nov/</t>
  </si>
  <si>
    <t>Pago mar/abr/mar/jun/jul/</t>
  </si>
  <si>
    <t>ago/sep/17 $ 300 por mes</t>
  </si>
  <si>
    <t>$ 200 por mes y 1 llave</t>
  </si>
  <si>
    <t>Pago 1 T.E. #25866 Y 1 tarjeto</t>
  </si>
  <si>
    <t>$ 400 y 2 tarjetones</t>
  </si>
  <si>
    <t>Pago de enero a nov/17</t>
  </si>
  <si>
    <t xml:space="preserve">$ 200 por mes   </t>
  </si>
  <si>
    <t>Pago anualidad 2018</t>
  </si>
  <si>
    <t xml:space="preserve">se le condonò 1 mes </t>
  </si>
  <si>
    <t xml:space="preserve">depto 1, 2 y 3 </t>
  </si>
  <si>
    <t>$ 150 por mes (6 meses)</t>
  </si>
  <si>
    <t>Pao nov/dic/17</t>
  </si>
  <si>
    <t>Pago oct/nov/147</t>
  </si>
  <si>
    <t>Pago enero/18</t>
  </si>
  <si>
    <t>y $ 100 cuotra extraordin</t>
  </si>
  <si>
    <t>Pago oct/17 y T.E. #25878</t>
  </si>
  <si>
    <t>Pago de enero a agosto y</t>
  </si>
  <si>
    <t>nov/dic/17 $ 400 por mes</t>
  </si>
  <si>
    <t>Pago jun/jul/ago/sep/</t>
  </si>
  <si>
    <t>oct/17 $ 200 por mes</t>
  </si>
  <si>
    <t>se condona 1 mes</t>
  </si>
  <si>
    <t>$ 400 por mes y pago de</t>
  </si>
  <si>
    <t>anualidad 2018</t>
  </si>
  <si>
    <t xml:space="preserve">$ 200 por mes y $ 200 </t>
  </si>
  <si>
    <t>Pago oct/nov/17 $ 400</t>
  </si>
  <si>
    <t>por mes y T.E. # 25877</t>
  </si>
  <si>
    <t>$ 150 por mes y 1 tarjetòn</t>
  </si>
  <si>
    <t>Pago jul/ago/sep/oct/nov/17</t>
  </si>
  <si>
    <t>Pago nov/dic/17 $ 400 por</t>
  </si>
  <si>
    <t>Pago jun/jul/ago/sep/oct/17</t>
  </si>
  <si>
    <t>$ 400 por mes, 1 tarjetòn y</t>
  </si>
  <si>
    <t>Pago de abril a sep/17</t>
  </si>
  <si>
    <t>Pago sep/pct/nov/17</t>
  </si>
  <si>
    <t>Pago abril/may/jun/jul/17</t>
  </si>
  <si>
    <t>Transferencia Bancaria</t>
  </si>
  <si>
    <t>Pago oct/nov/17 $ 300</t>
  </si>
  <si>
    <t>Sele condono 1 mes</t>
  </si>
  <si>
    <t xml:space="preserve">mes y $ 200 a/c mes de </t>
  </si>
  <si>
    <t xml:space="preserve">Pago ene/feb/18 $ 400 por </t>
  </si>
  <si>
    <t>mar/18 y 1 T.E. # 25869</t>
  </si>
  <si>
    <t>Pago 1 T.E. # 25870 Y 1</t>
  </si>
  <si>
    <t>Pago ocubre/17</t>
  </si>
  <si>
    <t>Pago dic/17 $ 200 y ene/18</t>
  </si>
  <si>
    <t>Pago ago/sep/oct/nov/dic/</t>
  </si>
  <si>
    <t>17 $ 400 por mes</t>
  </si>
  <si>
    <t>Pago nov/dic/17 $ 300 por</t>
  </si>
  <si>
    <t xml:space="preserve">Pago nov/dic/17 $ 200 por </t>
  </si>
  <si>
    <t xml:space="preserve">Pago oct/nov/dic/17 </t>
  </si>
  <si>
    <t>Pago dic/17 $ 400 y ene/18</t>
  </si>
  <si>
    <t>Pago nov/17 $ 400 y 1 tarje-</t>
  </si>
  <si>
    <t>tòn $ 50</t>
  </si>
  <si>
    <t>Pago a/c de octubre/17</t>
  </si>
  <si>
    <t>Pago marzo $ 200, abr/</t>
  </si>
  <si>
    <t>may/jun/jul/17</t>
  </si>
  <si>
    <t>$ 400 por mes y 3 T.E.</t>
  </si>
  <si>
    <t># 2587172,73 Y 74</t>
  </si>
  <si>
    <t>$ 400 por mes y 1 tarjetón</t>
  </si>
  <si>
    <t>Pago sep/oct/17 $ 400 por</t>
  </si>
  <si>
    <t>mes y 2 llave</t>
  </si>
  <si>
    <t>Pago dic/17 y ene/18</t>
  </si>
  <si>
    <t>se le condonó 1 mes</t>
  </si>
  <si>
    <t>Pago 2 T.E.  25874 y 25875</t>
  </si>
  <si>
    <t xml:space="preserve">$ 300 por mes  </t>
  </si>
  <si>
    <t>$ 400 por mes y dic/17</t>
  </si>
  <si>
    <t xml:space="preserve">Pago sep/oct/17 </t>
  </si>
  <si>
    <t>Pagp ago/sep/oct/17</t>
  </si>
  <si>
    <t>Pago anulaidad 2018</t>
  </si>
  <si>
    <t>y 1 llave</t>
  </si>
  <si>
    <t>Pago 2 T.E. # 25546 Y 25547</t>
  </si>
  <si>
    <t>Pago de marzo a diciembr</t>
  </si>
  <si>
    <t xml:space="preserve">Pago diciembre/17 </t>
  </si>
  <si>
    <t xml:space="preserve">Pago 2 llaves </t>
  </si>
  <si>
    <t>Pago enero 18</t>
  </si>
  <si>
    <t>Pago de sep a dic/17</t>
  </si>
  <si>
    <t xml:space="preserve">Pago diciembre/17 y 1 </t>
  </si>
  <si>
    <t>se le condonò 1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</si>
</sst>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2" fontId="0" fillId="5" borderId="0" xfId="0" applyNumberFormat="1" applyFill="1"/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0" fontId="0" fillId="11" borderId="0" xfId="0" applyFill="1" applyAlignment="1">
      <alignment horizontal="center"/>
    </xf>
    <xf numFmtId="4" fontId="0" fillId="11" borderId="0" xfId="0" applyNumberFormat="1" applyFill="1"/>
    <xf numFmtId="0" fontId="0" fillId="11" borderId="0" xfId="0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0" fillId="12" borderId="0" xfId="0" applyFill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3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2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0" fontId="0" fillId="4" borderId="0" xfId="0" applyFill="1" applyAlignment="1">
      <alignment horizontal="left"/>
    </xf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17" fontId="0" fillId="7" borderId="0" xfId="0" applyNumberFormat="1" applyFill="1"/>
    <xf numFmtId="6" fontId="0" fillId="4" borderId="0" xfId="0" applyNumberFormat="1" applyFill="1" applyAlignment="1">
      <alignment horizontal="left"/>
    </xf>
    <xf numFmtId="4" fontId="0" fillId="14" borderId="0" xfId="0" applyNumberFormat="1" applyFill="1"/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0"/>
  <sheetViews>
    <sheetView topLeftCell="D5" zoomScaleNormal="100" workbookViewId="0">
      <pane ySplit="3" topLeftCell="A77" activePane="bottomLeft" state="frozen"/>
      <selection activeCell="A5" sqref="A5"/>
      <selection pane="bottomLeft" activeCell="G7" sqref="G7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4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>
        <f>A6+D6+G6+J6+M6</f>
        <v>239</v>
      </c>
      <c r="H3" s="3" t="s">
        <v>3</v>
      </c>
      <c r="I3" s="2">
        <f>B6+E6+H6+K6+N6</f>
        <v>205085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27" t="s">
        <v>6</v>
      </c>
      <c r="K5" s="127"/>
      <c r="L5" s="127"/>
      <c r="M5" s="119" t="s">
        <v>12</v>
      </c>
      <c r="N5" s="119"/>
      <c r="O5" s="119"/>
      <c r="P5" s="119" t="s">
        <v>12</v>
      </c>
      <c r="Q5" s="119"/>
      <c r="R5" s="119"/>
    </row>
    <row r="6" spans="1:18" x14ac:dyDescent="0.25">
      <c r="A6" s="8">
        <f>SUBTOTAL(3,A8:A120)</f>
        <v>17</v>
      </c>
      <c r="B6" s="8">
        <f>SUBTOTAL(9,B8:B120)</f>
        <v>14300</v>
      </c>
      <c r="C6" s="35">
        <v>42736</v>
      </c>
      <c r="D6" s="8">
        <f>SUBTOTAL(3,D8:D120)</f>
        <v>66</v>
      </c>
      <c r="E6" s="1">
        <f>SUBTOTAL(9,E8:E120)</f>
        <v>55595</v>
      </c>
      <c r="F6" s="38">
        <v>42743</v>
      </c>
      <c r="G6" s="8">
        <f>SUBTOTAL(3,G8:G120)</f>
        <v>49</v>
      </c>
      <c r="H6" s="1">
        <f>SUBTOTAL(9,H8:H120)</f>
        <v>43220</v>
      </c>
      <c r="I6" s="39">
        <v>42750</v>
      </c>
      <c r="J6" s="8">
        <f>SUBTOTAL(3,J8:J120)</f>
        <v>46</v>
      </c>
      <c r="K6" s="1">
        <f>SUBTOTAL(9,K8:K120)</f>
        <v>43470</v>
      </c>
      <c r="L6" s="84">
        <v>42757</v>
      </c>
      <c r="M6" s="8">
        <f>SUBTOTAL(3,M8:M120)</f>
        <v>61</v>
      </c>
      <c r="N6" s="1">
        <f>SUBTOTAL(9,N8:N120)</f>
        <v>48500</v>
      </c>
      <c r="O6" s="85">
        <v>42764</v>
      </c>
      <c r="P6" s="1">
        <f>+D6+G6+J6+M6</f>
        <v>222</v>
      </c>
      <c r="Q6" s="1">
        <f>+E6+H6+K6+N6</f>
        <v>190785</v>
      </c>
      <c r="R6" s="85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4" t="s">
        <v>1</v>
      </c>
      <c r="Q7" s="94" t="s">
        <v>3</v>
      </c>
      <c r="R7" s="94" t="s">
        <v>2</v>
      </c>
    </row>
    <row r="8" spans="1:18" x14ac:dyDescent="0.25">
      <c r="A8" s="16">
        <v>13499</v>
      </c>
      <c r="B8" s="107">
        <v>800</v>
      </c>
      <c r="C8" s="17" t="s">
        <v>22</v>
      </c>
      <c r="D8" s="13">
        <v>13522</v>
      </c>
      <c r="E8" s="70">
        <v>300</v>
      </c>
      <c r="F8" s="14" t="s">
        <v>23</v>
      </c>
      <c r="G8" s="9">
        <v>13588</v>
      </c>
      <c r="H8" s="77">
        <v>150</v>
      </c>
      <c r="I8" s="10" t="s">
        <v>23</v>
      </c>
      <c r="J8" s="50">
        <v>13637</v>
      </c>
      <c r="K8" s="79">
        <v>400</v>
      </c>
      <c r="L8" s="51" t="s">
        <v>38</v>
      </c>
      <c r="M8" s="75">
        <v>13683</v>
      </c>
      <c r="N8" s="73">
        <v>700</v>
      </c>
      <c r="O8" s="15" t="s">
        <v>55</v>
      </c>
      <c r="P8" s="6"/>
      <c r="Q8" s="6"/>
    </row>
    <row r="9" spans="1:18" x14ac:dyDescent="0.25">
      <c r="A9" s="16"/>
      <c r="B9" s="107"/>
      <c r="C9" s="21" t="s">
        <v>16</v>
      </c>
      <c r="D9" s="13">
        <v>13523</v>
      </c>
      <c r="E9" s="70">
        <v>4800</v>
      </c>
      <c r="F9" s="23" t="s">
        <v>29</v>
      </c>
      <c r="G9" s="9">
        <v>13589</v>
      </c>
      <c r="H9" s="77">
        <v>200</v>
      </c>
      <c r="I9" s="10"/>
      <c r="J9" s="50">
        <v>13638</v>
      </c>
      <c r="K9" s="79">
        <v>400</v>
      </c>
      <c r="L9" s="51"/>
      <c r="M9" s="75"/>
      <c r="N9" s="73"/>
      <c r="O9" s="15" t="s">
        <v>97</v>
      </c>
      <c r="P9" s="90"/>
      <c r="Q9" s="90"/>
    </row>
    <row r="10" spans="1:18" x14ac:dyDescent="0.25">
      <c r="A10" s="16">
        <v>13500</v>
      </c>
      <c r="B10" s="107">
        <v>500</v>
      </c>
      <c r="C10" s="17"/>
      <c r="D10" s="13"/>
      <c r="E10" s="70"/>
      <c r="F10" s="14" t="s">
        <v>16</v>
      </c>
      <c r="G10" s="9">
        <v>13590</v>
      </c>
      <c r="H10" s="77">
        <v>300</v>
      </c>
      <c r="I10" s="10" t="s">
        <v>23</v>
      </c>
      <c r="J10" s="50">
        <v>13639</v>
      </c>
      <c r="K10" s="79">
        <v>800</v>
      </c>
      <c r="L10" s="51" t="s">
        <v>76</v>
      </c>
      <c r="M10" s="75"/>
      <c r="N10" s="73"/>
      <c r="O10" s="111">
        <v>100</v>
      </c>
    </row>
    <row r="11" spans="1:18" x14ac:dyDescent="0.25">
      <c r="A11" s="16">
        <v>13507</v>
      </c>
      <c r="B11" s="108">
        <v>1650</v>
      </c>
      <c r="C11" s="17" t="s">
        <v>24</v>
      </c>
      <c r="D11" s="13">
        <v>13524</v>
      </c>
      <c r="E11" s="76">
        <v>100</v>
      </c>
      <c r="F11" s="14" t="s">
        <v>30</v>
      </c>
      <c r="G11" s="9">
        <v>13591</v>
      </c>
      <c r="H11" s="77">
        <v>1000</v>
      </c>
      <c r="I11" s="10" t="s">
        <v>55</v>
      </c>
      <c r="J11" s="50"/>
      <c r="K11" s="79"/>
      <c r="L11" s="51" t="s">
        <v>18</v>
      </c>
      <c r="M11" s="75">
        <v>13984</v>
      </c>
      <c r="N11" s="73">
        <v>100</v>
      </c>
      <c r="O11" s="15" t="s">
        <v>98</v>
      </c>
    </row>
    <row r="12" spans="1:18" x14ac:dyDescent="0.25">
      <c r="A12" s="16"/>
      <c r="B12" s="107"/>
      <c r="C12" s="17" t="s">
        <v>15</v>
      </c>
      <c r="D12" s="13">
        <v>13525</v>
      </c>
      <c r="E12" s="70">
        <v>200</v>
      </c>
      <c r="F12" s="14" t="s">
        <v>31</v>
      </c>
      <c r="G12" s="9"/>
      <c r="H12" s="77"/>
      <c r="I12" s="10" t="s">
        <v>20</v>
      </c>
      <c r="J12" s="53">
        <v>13640</v>
      </c>
      <c r="K12" s="72">
        <v>1650</v>
      </c>
      <c r="L12" s="56" t="s">
        <v>77</v>
      </c>
      <c r="M12" s="75"/>
      <c r="N12" s="73"/>
      <c r="O12" s="15" t="s">
        <v>99</v>
      </c>
    </row>
    <row r="13" spans="1:18" x14ac:dyDescent="0.25">
      <c r="A13" s="16">
        <v>13508</v>
      </c>
      <c r="B13" s="17">
        <v>400</v>
      </c>
      <c r="C13" s="17"/>
      <c r="D13" s="13">
        <v>13526</v>
      </c>
      <c r="E13" s="70">
        <v>800</v>
      </c>
      <c r="F13" s="14" t="s">
        <v>22</v>
      </c>
      <c r="G13" s="9">
        <v>13592</v>
      </c>
      <c r="H13" s="77">
        <v>800</v>
      </c>
      <c r="I13" s="10" t="s">
        <v>22</v>
      </c>
      <c r="J13" s="50"/>
      <c r="K13" s="79"/>
      <c r="L13" s="51" t="s">
        <v>82</v>
      </c>
      <c r="M13" s="75">
        <v>13685</v>
      </c>
      <c r="N13" s="73">
        <v>500</v>
      </c>
      <c r="O13" s="15" t="s">
        <v>55</v>
      </c>
    </row>
    <row r="14" spans="1:18" x14ac:dyDescent="0.25">
      <c r="A14" s="16">
        <v>13509</v>
      </c>
      <c r="B14" s="107">
        <v>400</v>
      </c>
      <c r="C14" s="17"/>
      <c r="D14" s="13"/>
      <c r="E14" s="70"/>
      <c r="F14" s="14" t="s">
        <v>16</v>
      </c>
      <c r="G14" s="9"/>
      <c r="H14" s="77"/>
      <c r="I14" s="10" t="s">
        <v>16</v>
      </c>
      <c r="J14" s="50"/>
      <c r="K14" s="79"/>
      <c r="L14" s="51" t="s">
        <v>78</v>
      </c>
      <c r="M14" s="75"/>
      <c r="N14" s="73"/>
      <c r="O14" s="15" t="s">
        <v>100</v>
      </c>
    </row>
    <row r="15" spans="1:18" x14ac:dyDescent="0.25">
      <c r="A15" s="16">
        <v>13510</v>
      </c>
      <c r="B15" s="107">
        <v>600</v>
      </c>
      <c r="C15" s="17" t="s">
        <v>25</v>
      </c>
      <c r="D15" s="13">
        <v>13527</v>
      </c>
      <c r="E15" s="70">
        <v>400</v>
      </c>
      <c r="F15" s="14" t="s">
        <v>22</v>
      </c>
      <c r="G15" s="9">
        <v>13593</v>
      </c>
      <c r="H15" s="77">
        <v>800</v>
      </c>
      <c r="I15" s="10" t="s">
        <v>38</v>
      </c>
      <c r="J15" s="50">
        <v>13641</v>
      </c>
      <c r="K15" s="79">
        <v>50</v>
      </c>
      <c r="L15" s="51" t="s">
        <v>47</v>
      </c>
      <c r="M15" s="75">
        <v>13686</v>
      </c>
      <c r="N15" s="73">
        <v>400</v>
      </c>
      <c r="O15" s="15"/>
    </row>
    <row r="16" spans="1:18" x14ac:dyDescent="0.25">
      <c r="A16" s="16"/>
      <c r="B16" s="107"/>
      <c r="C16" s="17" t="s">
        <v>18</v>
      </c>
      <c r="D16" s="13"/>
      <c r="E16" s="70"/>
      <c r="F16" s="14" t="s">
        <v>18</v>
      </c>
      <c r="G16" s="9"/>
      <c r="H16" s="77"/>
      <c r="I16" s="24" t="s">
        <v>16</v>
      </c>
      <c r="J16" s="50">
        <v>13642</v>
      </c>
      <c r="K16" s="79">
        <v>2200</v>
      </c>
      <c r="L16" s="51" t="s">
        <v>77</v>
      </c>
      <c r="M16" s="75">
        <v>13687</v>
      </c>
      <c r="N16" s="73">
        <v>450</v>
      </c>
      <c r="O16" s="31" t="s">
        <v>101</v>
      </c>
    </row>
    <row r="17" spans="1:15" x14ac:dyDescent="0.25">
      <c r="A17" s="16">
        <v>13511</v>
      </c>
      <c r="B17" s="107">
        <v>400</v>
      </c>
      <c r="C17" s="17" t="s">
        <v>21</v>
      </c>
      <c r="D17" s="13">
        <v>13528</v>
      </c>
      <c r="E17" s="70">
        <v>100</v>
      </c>
      <c r="F17" s="14" t="s">
        <v>30</v>
      </c>
      <c r="G17" s="9">
        <v>13594</v>
      </c>
      <c r="H17" s="77">
        <v>3300</v>
      </c>
      <c r="I17" s="10" t="s">
        <v>56</v>
      </c>
      <c r="J17" s="50"/>
      <c r="K17" s="79"/>
      <c r="L17" s="51" t="s">
        <v>82</v>
      </c>
      <c r="M17" s="75"/>
      <c r="N17" s="73"/>
      <c r="O17" s="15" t="s">
        <v>102</v>
      </c>
    </row>
    <row r="18" spans="1:15" x14ac:dyDescent="0.25">
      <c r="A18" s="16">
        <v>13512</v>
      </c>
      <c r="B18" s="107">
        <v>400</v>
      </c>
      <c r="C18" s="17"/>
      <c r="D18" s="13">
        <v>13529</v>
      </c>
      <c r="E18" s="70">
        <v>200</v>
      </c>
      <c r="F18" s="14"/>
      <c r="G18" s="9"/>
      <c r="H18" s="77"/>
      <c r="I18" s="10" t="s">
        <v>57</v>
      </c>
      <c r="J18" s="50"/>
      <c r="K18" s="79"/>
      <c r="L18" s="51" t="s">
        <v>18</v>
      </c>
      <c r="M18" s="75">
        <v>13688</v>
      </c>
      <c r="N18" s="73">
        <v>500</v>
      </c>
      <c r="O18" s="15" t="s">
        <v>103</v>
      </c>
    </row>
    <row r="19" spans="1:15" x14ac:dyDescent="0.25">
      <c r="A19" s="16">
        <v>13513</v>
      </c>
      <c r="B19" s="107">
        <v>400</v>
      </c>
      <c r="C19" s="17"/>
      <c r="D19" s="13">
        <v>13530</v>
      </c>
      <c r="E19" s="70">
        <v>300</v>
      </c>
      <c r="F19" s="14"/>
      <c r="G19" s="9"/>
      <c r="H19" s="77"/>
      <c r="I19" s="10" t="s">
        <v>58</v>
      </c>
      <c r="J19" s="50">
        <v>13643</v>
      </c>
      <c r="K19" s="79">
        <v>50</v>
      </c>
      <c r="L19" s="51" t="s">
        <v>47</v>
      </c>
      <c r="M19" s="75"/>
      <c r="N19" s="73"/>
      <c r="O19" s="15" t="s">
        <v>104</v>
      </c>
    </row>
    <row r="20" spans="1:15" x14ac:dyDescent="0.25">
      <c r="A20" s="16">
        <v>13514</v>
      </c>
      <c r="B20" s="107">
        <v>50</v>
      </c>
      <c r="C20" s="17" t="s">
        <v>26</v>
      </c>
      <c r="D20" s="13">
        <v>13531</v>
      </c>
      <c r="E20" s="70">
        <v>1000</v>
      </c>
      <c r="F20" s="14" t="s">
        <v>32</v>
      </c>
      <c r="G20" s="9">
        <v>13595</v>
      </c>
      <c r="H20" s="77">
        <v>600</v>
      </c>
      <c r="I20" s="10" t="s">
        <v>42</v>
      </c>
      <c r="J20" s="50">
        <v>13644</v>
      </c>
      <c r="K20" s="79">
        <v>300</v>
      </c>
      <c r="L20" s="51"/>
      <c r="M20" s="75">
        <v>13689</v>
      </c>
      <c r="N20" s="73">
        <v>800</v>
      </c>
      <c r="O20" s="15" t="s">
        <v>39</v>
      </c>
    </row>
    <row r="21" spans="1:15" x14ac:dyDescent="0.25">
      <c r="A21" s="16">
        <v>13515</v>
      </c>
      <c r="B21" s="107">
        <v>2200</v>
      </c>
      <c r="C21" s="17" t="s">
        <v>24</v>
      </c>
      <c r="D21" s="13"/>
      <c r="E21" s="70"/>
      <c r="F21" s="14" t="s">
        <v>33</v>
      </c>
      <c r="G21" s="9"/>
      <c r="H21" s="77"/>
      <c r="I21" s="10" t="s">
        <v>59</v>
      </c>
      <c r="J21" s="53">
        <v>13645</v>
      </c>
      <c r="K21" s="72">
        <v>900</v>
      </c>
      <c r="L21" s="51" t="s">
        <v>50</v>
      </c>
      <c r="M21" s="75"/>
      <c r="N21" s="73"/>
      <c r="O21" s="15" t="s">
        <v>16</v>
      </c>
    </row>
    <row r="22" spans="1:15" x14ac:dyDescent="0.25">
      <c r="A22" s="16"/>
      <c r="B22" s="107"/>
      <c r="C22" s="17" t="s">
        <v>15</v>
      </c>
      <c r="D22" s="13">
        <v>13532</v>
      </c>
      <c r="E22" s="70">
        <v>400</v>
      </c>
      <c r="F22" s="14"/>
      <c r="G22" s="9">
        <v>13596</v>
      </c>
      <c r="H22" s="77">
        <v>4400</v>
      </c>
      <c r="I22" s="25" t="s">
        <v>56</v>
      </c>
      <c r="J22" s="50"/>
      <c r="K22" s="79"/>
      <c r="L22" s="51" t="s">
        <v>17</v>
      </c>
      <c r="M22" s="75">
        <v>13690</v>
      </c>
      <c r="N22" s="73">
        <v>1600</v>
      </c>
      <c r="O22" s="15" t="s">
        <v>89</v>
      </c>
    </row>
    <row r="23" spans="1:15" x14ac:dyDescent="0.25">
      <c r="A23" s="16">
        <v>13516</v>
      </c>
      <c r="B23" s="107">
        <v>600</v>
      </c>
      <c r="C23" s="17" t="s">
        <v>27</v>
      </c>
      <c r="D23" s="13">
        <v>13533</v>
      </c>
      <c r="E23" s="70">
        <v>400</v>
      </c>
      <c r="F23" s="14"/>
      <c r="G23" s="9"/>
      <c r="H23" s="77"/>
      <c r="I23" s="10" t="s">
        <v>60</v>
      </c>
      <c r="J23" s="50">
        <v>13646</v>
      </c>
      <c r="K23" s="79">
        <v>600</v>
      </c>
      <c r="L23" s="51" t="s">
        <v>50</v>
      </c>
      <c r="M23" s="75"/>
      <c r="N23" s="73"/>
      <c r="O23" s="15" t="s">
        <v>105</v>
      </c>
    </row>
    <row r="24" spans="1:15" x14ac:dyDescent="0.25">
      <c r="A24" s="16"/>
      <c r="B24" s="107"/>
      <c r="C24" s="109">
        <v>300</v>
      </c>
      <c r="D24" s="13">
        <v>13534</v>
      </c>
      <c r="E24" s="70">
        <v>400</v>
      </c>
      <c r="F24" s="106" t="s">
        <v>23</v>
      </c>
      <c r="G24" s="9"/>
      <c r="H24" s="77"/>
      <c r="I24" s="10" t="s">
        <v>58</v>
      </c>
      <c r="J24" s="50"/>
      <c r="K24" s="79"/>
      <c r="L24" s="51" t="s">
        <v>18</v>
      </c>
      <c r="M24" s="75">
        <v>13691</v>
      </c>
      <c r="N24" s="73">
        <v>200</v>
      </c>
      <c r="O24" s="15" t="s">
        <v>19</v>
      </c>
    </row>
    <row r="25" spans="1:15" x14ac:dyDescent="0.25">
      <c r="A25" s="16">
        <v>13517</v>
      </c>
      <c r="B25" s="107">
        <v>300</v>
      </c>
      <c r="C25" s="17" t="s">
        <v>23</v>
      </c>
      <c r="D25" s="13">
        <v>13535</v>
      </c>
      <c r="E25" s="70">
        <v>400</v>
      </c>
      <c r="F25" s="14"/>
      <c r="G25" s="9">
        <v>13597</v>
      </c>
      <c r="H25" s="77">
        <v>500</v>
      </c>
      <c r="I25" s="10" t="s">
        <v>38</v>
      </c>
      <c r="J25" s="50">
        <v>13647</v>
      </c>
      <c r="K25" s="79">
        <v>400</v>
      </c>
      <c r="L25" s="51"/>
      <c r="M25" s="75">
        <v>13692</v>
      </c>
      <c r="N25" s="73">
        <v>450</v>
      </c>
      <c r="O25" s="15" t="s">
        <v>50</v>
      </c>
    </row>
    <row r="26" spans="1:15" x14ac:dyDescent="0.25">
      <c r="A26" s="16">
        <v>13518</v>
      </c>
      <c r="B26" s="107">
        <v>400</v>
      </c>
      <c r="C26" s="17"/>
      <c r="D26" s="13">
        <v>13536</v>
      </c>
      <c r="E26" s="70">
        <v>2200</v>
      </c>
      <c r="F26" s="14" t="s">
        <v>24</v>
      </c>
      <c r="G26" s="9"/>
      <c r="H26" s="77"/>
      <c r="I26" s="10" t="s">
        <v>20</v>
      </c>
      <c r="J26" s="50">
        <v>13648</v>
      </c>
      <c r="K26" s="79">
        <v>200</v>
      </c>
      <c r="L26" s="51"/>
      <c r="M26" s="75"/>
      <c r="N26" s="73"/>
      <c r="O26" s="15" t="s">
        <v>106</v>
      </c>
    </row>
    <row r="27" spans="1:15" x14ac:dyDescent="0.25">
      <c r="A27" s="16">
        <v>13519</v>
      </c>
      <c r="B27" s="107">
        <v>4400</v>
      </c>
      <c r="C27" s="17" t="s">
        <v>24</v>
      </c>
      <c r="D27" s="13"/>
      <c r="E27" s="70"/>
      <c r="F27" s="14" t="s">
        <v>36</v>
      </c>
      <c r="G27" s="9">
        <v>13598</v>
      </c>
      <c r="H27" s="77">
        <v>400</v>
      </c>
      <c r="I27" s="10"/>
      <c r="J27" s="50">
        <v>13649</v>
      </c>
      <c r="K27" s="79">
        <v>1200</v>
      </c>
      <c r="L27" s="51" t="s">
        <v>79</v>
      </c>
      <c r="M27" s="75">
        <v>13693</v>
      </c>
      <c r="N27" s="73">
        <v>150</v>
      </c>
      <c r="O27" s="15" t="s">
        <v>91</v>
      </c>
    </row>
    <row r="28" spans="1:15" x14ac:dyDescent="0.25">
      <c r="A28" s="16"/>
      <c r="B28" s="107"/>
      <c r="C28" s="17" t="s">
        <v>15</v>
      </c>
      <c r="D28" s="13"/>
      <c r="E28" s="70"/>
      <c r="F28" s="14" t="s">
        <v>34</v>
      </c>
      <c r="G28" s="9">
        <v>13599</v>
      </c>
      <c r="H28" s="77">
        <v>200</v>
      </c>
      <c r="I28" s="10" t="s">
        <v>19</v>
      </c>
      <c r="J28" s="50"/>
      <c r="K28" s="79"/>
      <c r="L28" s="51" t="s">
        <v>16</v>
      </c>
      <c r="M28" s="75">
        <v>13694</v>
      </c>
      <c r="N28" s="73">
        <v>600</v>
      </c>
      <c r="O28" s="15" t="s">
        <v>107</v>
      </c>
    </row>
    <row r="29" spans="1:15" x14ac:dyDescent="0.25">
      <c r="A29" s="16">
        <v>13520</v>
      </c>
      <c r="B29" s="107"/>
      <c r="C29" s="17" t="s">
        <v>14</v>
      </c>
      <c r="D29" s="13"/>
      <c r="E29" s="70"/>
      <c r="F29" s="14" t="s">
        <v>35</v>
      </c>
      <c r="G29" s="9">
        <v>13600</v>
      </c>
      <c r="H29" s="77">
        <v>400</v>
      </c>
      <c r="I29" s="10"/>
      <c r="J29" s="50">
        <v>13650</v>
      </c>
      <c r="K29" s="79">
        <v>200</v>
      </c>
      <c r="L29" s="51"/>
      <c r="M29" s="75">
        <v>13695</v>
      </c>
      <c r="N29" s="73">
        <v>200</v>
      </c>
      <c r="O29" s="15" t="s">
        <v>23</v>
      </c>
    </row>
    <row r="30" spans="1:15" x14ac:dyDescent="0.25">
      <c r="A30" s="16">
        <v>13521</v>
      </c>
      <c r="B30" s="107">
        <v>800</v>
      </c>
      <c r="C30" s="17" t="s">
        <v>28</v>
      </c>
      <c r="D30" s="13">
        <v>13537</v>
      </c>
      <c r="E30" s="70">
        <v>300</v>
      </c>
      <c r="F30" s="14"/>
      <c r="G30" s="9">
        <v>13601</v>
      </c>
      <c r="H30" s="77">
        <v>4400</v>
      </c>
      <c r="I30" s="10" t="s">
        <v>56</v>
      </c>
      <c r="J30" s="50">
        <v>13651</v>
      </c>
      <c r="K30" s="79">
        <v>800</v>
      </c>
      <c r="L30" s="51" t="s">
        <v>38</v>
      </c>
      <c r="M30" s="75">
        <v>13696</v>
      </c>
      <c r="N30" s="73">
        <v>100</v>
      </c>
      <c r="O30" s="15" t="s">
        <v>91</v>
      </c>
    </row>
    <row r="31" spans="1:15" x14ac:dyDescent="0.25">
      <c r="A31" s="16"/>
      <c r="B31" s="107"/>
      <c r="C31" s="109">
        <v>400</v>
      </c>
      <c r="D31" s="13">
        <v>13538</v>
      </c>
      <c r="E31" s="70">
        <v>350</v>
      </c>
      <c r="F31" s="106"/>
      <c r="G31" s="9"/>
      <c r="H31" s="77"/>
      <c r="I31" s="10" t="s">
        <v>60</v>
      </c>
      <c r="J31" s="50"/>
      <c r="K31" s="79"/>
      <c r="L31" s="51" t="s">
        <v>16</v>
      </c>
      <c r="M31" s="75">
        <v>13697</v>
      </c>
      <c r="N31" s="73">
        <v>4600</v>
      </c>
      <c r="O31" s="15" t="s">
        <v>77</v>
      </c>
    </row>
    <row r="32" spans="1:15" x14ac:dyDescent="0.25">
      <c r="A32" s="16"/>
      <c r="B32" s="49"/>
      <c r="C32" s="17"/>
      <c r="D32" s="13">
        <v>13539</v>
      </c>
      <c r="E32" s="70">
        <v>400</v>
      </c>
      <c r="F32" s="14"/>
      <c r="G32" s="9"/>
      <c r="H32" s="77"/>
      <c r="I32" s="10" t="s">
        <v>58</v>
      </c>
      <c r="J32" s="50">
        <v>13652</v>
      </c>
      <c r="K32" s="79">
        <v>3300</v>
      </c>
      <c r="L32" s="51" t="s">
        <v>77</v>
      </c>
      <c r="M32" s="75"/>
      <c r="N32" s="73"/>
      <c r="O32" s="15" t="s">
        <v>110</v>
      </c>
    </row>
    <row r="33" spans="1:15" x14ac:dyDescent="0.25">
      <c r="A33" s="16"/>
      <c r="B33" s="49"/>
      <c r="C33" s="17"/>
      <c r="D33" s="13">
        <v>13540</v>
      </c>
      <c r="E33" s="70">
        <v>50</v>
      </c>
      <c r="F33" s="14" t="s">
        <v>37</v>
      </c>
      <c r="G33" s="9">
        <v>13602</v>
      </c>
      <c r="H33" s="77">
        <v>800</v>
      </c>
      <c r="I33" s="10" t="s">
        <v>38</v>
      </c>
      <c r="J33" s="50"/>
      <c r="K33" s="79"/>
      <c r="L33" s="51" t="s">
        <v>82</v>
      </c>
      <c r="M33" s="75"/>
      <c r="N33" s="73"/>
      <c r="O33" s="15" t="s">
        <v>108</v>
      </c>
    </row>
    <row r="34" spans="1:15" x14ac:dyDescent="0.25">
      <c r="A34" s="16"/>
      <c r="B34" s="49"/>
      <c r="C34" s="17"/>
      <c r="D34" s="13">
        <v>13541</v>
      </c>
      <c r="E34" s="70">
        <v>300</v>
      </c>
      <c r="F34" s="20" t="s">
        <v>23</v>
      </c>
      <c r="G34" s="9"/>
      <c r="H34" s="77"/>
      <c r="I34" s="10" t="s">
        <v>16</v>
      </c>
      <c r="J34" s="50"/>
      <c r="K34" s="79"/>
      <c r="L34" s="51" t="s">
        <v>17</v>
      </c>
      <c r="M34" s="75">
        <v>13698</v>
      </c>
      <c r="N34" s="73">
        <v>300</v>
      </c>
      <c r="O34" s="15" t="s">
        <v>91</v>
      </c>
    </row>
    <row r="35" spans="1:15" x14ac:dyDescent="0.25">
      <c r="A35" s="16"/>
      <c r="B35" s="49"/>
      <c r="C35" s="17"/>
      <c r="D35" s="13">
        <v>13542</v>
      </c>
      <c r="E35" s="70">
        <v>300</v>
      </c>
      <c r="F35" s="14"/>
      <c r="G35" s="9">
        <v>13603</v>
      </c>
      <c r="H35" s="77">
        <v>200</v>
      </c>
      <c r="I35" s="10"/>
      <c r="J35" s="50">
        <v>13653</v>
      </c>
      <c r="K35" s="79">
        <v>4800</v>
      </c>
      <c r="L35" s="51" t="s">
        <v>80</v>
      </c>
      <c r="M35" s="75">
        <v>13699</v>
      </c>
      <c r="N35" s="73">
        <v>400</v>
      </c>
      <c r="O35" s="15" t="s">
        <v>91</v>
      </c>
    </row>
    <row r="36" spans="1:15" x14ac:dyDescent="0.25">
      <c r="A36" s="16"/>
      <c r="B36" s="49"/>
      <c r="C36" s="17"/>
      <c r="D36" s="13">
        <v>13543</v>
      </c>
      <c r="E36" s="70">
        <v>400</v>
      </c>
      <c r="F36" s="14"/>
      <c r="G36" s="9">
        <v>13604</v>
      </c>
      <c r="H36" s="77">
        <v>300</v>
      </c>
      <c r="I36" s="10"/>
      <c r="J36" s="50"/>
      <c r="K36" s="79"/>
      <c r="L36" s="51" t="s">
        <v>81</v>
      </c>
      <c r="M36" s="75">
        <v>13700</v>
      </c>
      <c r="N36" s="73">
        <v>4400</v>
      </c>
      <c r="O36" s="15" t="s">
        <v>77</v>
      </c>
    </row>
    <row r="37" spans="1:15" x14ac:dyDescent="0.25">
      <c r="A37" s="16"/>
      <c r="B37" s="49"/>
      <c r="C37" s="17"/>
      <c r="D37" s="13">
        <v>13544</v>
      </c>
      <c r="E37" s="70">
        <v>200</v>
      </c>
      <c r="F37" s="14"/>
      <c r="G37" s="9">
        <v>13605</v>
      </c>
      <c r="H37" s="77">
        <v>400</v>
      </c>
      <c r="I37" s="10" t="s">
        <v>23</v>
      </c>
      <c r="J37" s="50"/>
      <c r="K37" s="79"/>
      <c r="L37" s="52" t="s">
        <v>16</v>
      </c>
      <c r="M37" s="75"/>
      <c r="N37" s="73"/>
      <c r="O37" s="15" t="s">
        <v>109</v>
      </c>
    </row>
    <row r="38" spans="1:15" x14ac:dyDescent="0.25">
      <c r="A38" s="16"/>
      <c r="B38" s="49"/>
      <c r="C38" s="17"/>
      <c r="D38" s="13">
        <v>13545</v>
      </c>
      <c r="E38" s="70">
        <v>400</v>
      </c>
      <c r="F38" s="14" t="s">
        <v>38</v>
      </c>
      <c r="G38" s="9">
        <v>13606</v>
      </c>
      <c r="H38" s="77">
        <v>1200</v>
      </c>
      <c r="I38" s="10" t="s">
        <v>50</v>
      </c>
      <c r="J38" s="50">
        <v>13654</v>
      </c>
      <c r="K38" s="79">
        <v>1750</v>
      </c>
      <c r="L38" s="52" t="s">
        <v>83</v>
      </c>
      <c r="M38" s="75">
        <v>13701</v>
      </c>
      <c r="N38" s="73">
        <v>800</v>
      </c>
      <c r="O38" s="15" t="s">
        <v>111</v>
      </c>
    </row>
    <row r="39" spans="1:15" x14ac:dyDescent="0.25">
      <c r="A39" s="16"/>
      <c r="B39" s="49"/>
      <c r="C39" s="17"/>
      <c r="D39" s="13"/>
      <c r="E39" s="70"/>
      <c r="F39" s="14" t="s">
        <v>18</v>
      </c>
      <c r="G39" s="9"/>
      <c r="H39" s="77"/>
      <c r="I39" s="10" t="s">
        <v>16</v>
      </c>
      <c r="J39" s="50"/>
      <c r="K39" s="79"/>
      <c r="L39" s="51" t="s">
        <v>84</v>
      </c>
      <c r="M39" s="75"/>
      <c r="N39" s="73"/>
      <c r="O39" s="15" t="s">
        <v>16</v>
      </c>
    </row>
    <row r="40" spans="1:15" x14ac:dyDescent="0.25">
      <c r="A40" s="16"/>
      <c r="B40" s="49"/>
      <c r="C40" s="17"/>
      <c r="D40" s="13">
        <v>13546</v>
      </c>
      <c r="E40" s="70">
        <v>125</v>
      </c>
      <c r="F40" s="14"/>
      <c r="G40" s="9">
        <v>13607</v>
      </c>
      <c r="H40" s="77">
        <v>1200</v>
      </c>
      <c r="I40" s="10" t="s">
        <v>62</v>
      </c>
      <c r="J40" s="50">
        <v>13655</v>
      </c>
      <c r="K40" s="79">
        <v>400</v>
      </c>
      <c r="L40" s="51"/>
      <c r="M40" s="75">
        <v>13702</v>
      </c>
      <c r="N40" s="73">
        <v>400</v>
      </c>
      <c r="O40" s="15"/>
    </row>
    <row r="41" spans="1:15" x14ac:dyDescent="0.25">
      <c r="A41" s="16"/>
      <c r="B41" s="49"/>
      <c r="C41" s="17"/>
      <c r="D41" s="13">
        <v>13547</v>
      </c>
      <c r="E41" s="70">
        <v>400</v>
      </c>
      <c r="F41" s="14"/>
      <c r="G41" s="9"/>
      <c r="H41" s="77"/>
      <c r="I41" s="10" t="s">
        <v>16</v>
      </c>
      <c r="J41" s="50">
        <v>13656</v>
      </c>
      <c r="K41" s="79">
        <v>400</v>
      </c>
      <c r="L41" s="51"/>
      <c r="M41" s="75">
        <v>13703</v>
      </c>
      <c r="N41" s="73">
        <v>2000</v>
      </c>
      <c r="O41" s="15" t="s">
        <v>112</v>
      </c>
    </row>
    <row r="42" spans="1:15" x14ac:dyDescent="0.25">
      <c r="A42" s="16"/>
      <c r="B42" s="49"/>
      <c r="C42" s="17"/>
      <c r="D42" s="13">
        <v>13548</v>
      </c>
      <c r="E42" s="70">
        <v>250</v>
      </c>
      <c r="F42" s="14"/>
      <c r="G42" s="9">
        <v>13608</v>
      </c>
      <c r="H42" s="77">
        <v>400</v>
      </c>
      <c r="I42" s="10"/>
      <c r="J42" s="50">
        <v>13657</v>
      </c>
      <c r="K42" s="79">
        <v>600</v>
      </c>
      <c r="L42" s="51" t="s">
        <v>39</v>
      </c>
      <c r="M42" s="75"/>
      <c r="N42" s="73"/>
      <c r="O42" s="31" t="s">
        <v>113</v>
      </c>
    </row>
    <row r="43" spans="1:15" x14ac:dyDescent="0.25">
      <c r="A43" s="16"/>
      <c r="B43" s="49"/>
      <c r="C43" s="17"/>
      <c r="D43" s="13">
        <v>13549</v>
      </c>
      <c r="E43" s="70">
        <v>400</v>
      </c>
      <c r="F43" s="14"/>
      <c r="G43" s="9">
        <v>13609</v>
      </c>
      <c r="H43" s="77">
        <v>400</v>
      </c>
      <c r="I43" s="10"/>
      <c r="J43" s="53"/>
      <c r="K43" s="72"/>
      <c r="L43" s="51" t="s">
        <v>17</v>
      </c>
      <c r="M43" s="75">
        <v>13704</v>
      </c>
      <c r="N43" s="73">
        <v>1000</v>
      </c>
      <c r="O43" s="15" t="s">
        <v>114</v>
      </c>
    </row>
    <row r="44" spans="1:15" x14ac:dyDescent="0.25">
      <c r="A44" s="16"/>
      <c r="B44" s="49"/>
      <c r="C44" s="17"/>
      <c r="D44" s="13">
        <v>13550</v>
      </c>
      <c r="E44" s="70">
        <v>800</v>
      </c>
      <c r="F44" s="14" t="s">
        <v>39</v>
      </c>
      <c r="G44" s="9">
        <v>13610</v>
      </c>
      <c r="H44" s="77">
        <v>400</v>
      </c>
      <c r="I44" s="10"/>
      <c r="J44" s="50">
        <v>13658</v>
      </c>
      <c r="K44" s="79">
        <v>650</v>
      </c>
      <c r="L44" s="51" t="s">
        <v>85</v>
      </c>
      <c r="M44" s="75"/>
      <c r="N44" s="73"/>
      <c r="O44" s="15" t="s">
        <v>115</v>
      </c>
    </row>
    <row r="45" spans="1:15" x14ac:dyDescent="0.25">
      <c r="A45" s="16"/>
      <c r="B45" s="49"/>
      <c r="C45" s="17"/>
      <c r="D45" s="13"/>
      <c r="E45" s="70"/>
      <c r="F45" s="14" t="s">
        <v>16</v>
      </c>
      <c r="G45" s="9">
        <v>13611</v>
      </c>
      <c r="H45" s="77">
        <v>400</v>
      </c>
      <c r="I45" s="10"/>
      <c r="J45" s="53"/>
      <c r="K45" s="72"/>
      <c r="L45" s="51" t="s">
        <v>86</v>
      </c>
      <c r="M45" s="75">
        <v>13705</v>
      </c>
      <c r="N45" s="73">
        <v>250</v>
      </c>
      <c r="O45" s="15" t="s">
        <v>116</v>
      </c>
    </row>
    <row r="46" spans="1:15" x14ac:dyDescent="0.25">
      <c r="A46" s="16"/>
      <c r="B46" s="49"/>
      <c r="C46" s="17"/>
      <c r="D46" s="13">
        <v>13551</v>
      </c>
      <c r="E46" s="70">
        <v>200</v>
      </c>
      <c r="F46" s="14" t="s">
        <v>23</v>
      </c>
      <c r="G46" s="9">
        <v>13612</v>
      </c>
      <c r="H46" s="77">
        <v>850</v>
      </c>
      <c r="I46" s="10" t="s">
        <v>63</v>
      </c>
      <c r="J46" s="50">
        <v>13659</v>
      </c>
      <c r="K46" s="79">
        <v>400</v>
      </c>
      <c r="L46" s="51"/>
      <c r="M46" s="75">
        <v>13706</v>
      </c>
      <c r="N46" s="73">
        <v>300</v>
      </c>
      <c r="O46" s="15"/>
    </row>
    <row r="47" spans="1:15" x14ac:dyDescent="0.25">
      <c r="A47" s="16"/>
      <c r="B47" s="49"/>
      <c r="C47" s="17"/>
      <c r="D47" s="13">
        <v>13552</v>
      </c>
      <c r="E47" s="70">
        <v>400</v>
      </c>
      <c r="F47" s="14"/>
      <c r="G47" s="9"/>
      <c r="H47" s="77"/>
      <c r="I47" s="10" t="s">
        <v>64</v>
      </c>
      <c r="J47" s="50">
        <v>13660</v>
      </c>
      <c r="K47" s="79">
        <v>400</v>
      </c>
      <c r="L47" s="51"/>
      <c r="M47" s="75">
        <v>13707</v>
      </c>
      <c r="N47" s="73">
        <v>200</v>
      </c>
      <c r="O47" s="15" t="s">
        <v>19</v>
      </c>
    </row>
    <row r="48" spans="1:15" x14ac:dyDescent="0.25">
      <c r="A48" s="16"/>
      <c r="B48" s="49"/>
      <c r="C48" s="17"/>
      <c r="D48" s="13">
        <v>13553</v>
      </c>
      <c r="E48" s="70">
        <v>3300</v>
      </c>
      <c r="F48" s="14" t="s">
        <v>40</v>
      </c>
      <c r="G48" s="9">
        <v>13613</v>
      </c>
      <c r="H48" s="77">
        <v>4400</v>
      </c>
      <c r="I48" s="10" t="s">
        <v>56</v>
      </c>
      <c r="J48" s="53">
        <v>13661</v>
      </c>
      <c r="K48" s="79">
        <v>250</v>
      </c>
      <c r="L48" s="54" t="s">
        <v>87</v>
      </c>
      <c r="M48" s="75">
        <v>13708</v>
      </c>
      <c r="N48" s="73">
        <v>400</v>
      </c>
      <c r="O48" s="15" t="s">
        <v>39</v>
      </c>
    </row>
    <row r="49" spans="1:15" x14ac:dyDescent="0.25">
      <c r="A49" s="16"/>
      <c r="B49" s="49"/>
      <c r="C49" s="17"/>
      <c r="D49" s="13"/>
      <c r="E49" s="70"/>
      <c r="F49" s="14" t="s">
        <v>41</v>
      </c>
      <c r="G49" s="9"/>
      <c r="H49" s="77"/>
      <c r="I49" s="10" t="s">
        <v>60</v>
      </c>
      <c r="J49" s="53"/>
      <c r="K49" s="79"/>
      <c r="L49" s="55" t="s">
        <v>88</v>
      </c>
      <c r="M49" s="75"/>
      <c r="N49" s="73"/>
      <c r="O49" s="15" t="s">
        <v>18</v>
      </c>
    </row>
    <row r="50" spans="1:15" x14ac:dyDescent="0.25">
      <c r="A50" s="16"/>
      <c r="B50" s="49"/>
      <c r="C50" s="17"/>
      <c r="D50" s="13"/>
      <c r="E50" s="70"/>
      <c r="F50" s="14" t="s">
        <v>34</v>
      </c>
      <c r="G50" s="9"/>
      <c r="H50" s="77"/>
      <c r="I50" s="10" t="s">
        <v>58</v>
      </c>
      <c r="J50" s="53">
        <v>13662</v>
      </c>
      <c r="K50" s="72">
        <v>400</v>
      </c>
      <c r="L50" s="54"/>
      <c r="M50" s="75">
        <v>13709</v>
      </c>
      <c r="N50" s="73">
        <v>200</v>
      </c>
      <c r="O50" s="15"/>
    </row>
    <row r="51" spans="1:15" x14ac:dyDescent="0.25">
      <c r="A51" s="16"/>
      <c r="B51" s="49"/>
      <c r="C51" s="17"/>
      <c r="D51" s="13"/>
      <c r="E51" s="70"/>
      <c r="F51" s="14" t="s">
        <v>35</v>
      </c>
      <c r="G51" s="9">
        <v>13614</v>
      </c>
      <c r="H51" s="77">
        <v>200</v>
      </c>
      <c r="I51" s="10" t="s">
        <v>65</v>
      </c>
      <c r="J51" s="53">
        <v>13663</v>
      </c>
      <c r="K51" s="72">
        <v>450</v>
      </c>
      <c r="L51" s="54" t="s">
        <v>79</v>
      </c>
      <c r="M51" s="75">
        <v>13710</v>
      </c>
      <c r="N51" s="73">
        <v>400</v>
      </c>
      <c r="O51" s="15"/>
    </row>
    <row r="52" spans="1:15" x14ac:dyDescent="0.25">
      <c r="A52" s="16"/>
      <c r="B52" s="49"/>
      <c r="C52" s="17"/>
      <c r="D52" s="13">
        <v>13554</v>
      </c>
      <c r="E52" s="70">
        <v>300</v>
      </c>
      <c r="F52" s="14" t="s">
        <v>23</v>
      </c>
      <c r="G52" s="9">
        <v>13615</v>
      </c>
      <c r="H52" s="77">
        <v>470</v>
      </c>
      <c r="I52" s="10" t="s">
        <v>66</v>
      </c>
      <c r="J52" s="53"/>
      <c r="K52" s="72"/>
      <c r="L52" s="54" t="s">
        <v>78</v>
      </c>
      <c r="M52" s="75">
        <v>13711</v>
      </c>
      <c r="N52" s="73">
        <v>1200</v>
      </c>
      <c r="O52" s="15" t="s">
        <v>79</v>
      </c>
    </row>
    <row r="53" spans="1:15" x14ac:dyDescent="0.25">
      <c r="A53" s="16"/>
      <c r="B53" s="49"/>
      <c r="C53" s="17"/>
      <c r="D53" s="13">
        <v>13555</v>
      </c>
      <c r="E53" s="70">
        <v>300</v>
      </c>
      <c r="F53" s="14"/>
      <c r="G53" s="9"/>
      <c r="H53" s="77"/>
      <c r="I53" s="10" t="s">
        <v>67</v>
      </c>
      <c r="J53" s="53">
        <v>13664</v>
      </c>
      <c r="K53" s="72">
        <v>400</v>
      </c>
      <c r="L53" s="54"/>
      <c r="M53" s="75"/>
      <c r="N53" s="73"/>
      <c r="O53" s="15" t="s">
        <v>16</v>
      </c>
    </row>
    <row r="54" spans="1:15" x14ac:dyDescent="0.25">
      <c r="A54" s="16"/>
      <c r="B54" s="49"/>
      <c r="C54" s="17"/>
      <c r="D54" s="13">
        <v>13556</v>
      </c>
      <c r="E54" s="70">
        <v>400</v>
      </c>
      <c r="F54" s="23"/>
      <c r="G54" s="9">
        <v>13616</v>
      </c>
      <c r="H54" s="77">
        <v>200</v>
      </c>
      <c r="I54" s="10" t="s">
        <v>19</v>
      </c>
      <c r="J54" s="53">
        <v>13665</v>
      </c>
      <c r="K54" s="72">
        <v>400</v>
      </c>
      <c r="L54" s="54" t="s">
        <v>23</v>
      </c>
      <c r="M54" s="75">
        <v>13712</v>
      </c>
      <c r="N54" s="73">
        <v>800</v>
      </c>
      <c r="O54" s="15" t="s">
        <v>117</v>
      </c>
    </row>
    <row r="55" spans="1:15" x14ac:dyDescent="0.25">
      <c r="A55" s="16"/>
      <c r="B55" s="49"/>
      <c r="C55" s="17"/>
      <c r="D55" s="13">
        <v>13557</v>
      </c>
      <c r="E55" s="70">
        <v>600</v>
      </c>
      <c r="F55" s="23" t="s">
        <v>42</v>
      </c>
      <c r="G55" s="9">
        <v>13617</v>
      </c>
      <c r="H55" s="77">
        <v>450</v>
      </c>
      <c r="I55" s="10" t="s">
        <v>68</v>
      </c>
      <c r="J55" s="53">
        <v>13666</v>
      </c>
      <c r="K55" s="72">
        <v>800</v>
      </c>
      <c r="L55" s="54" t="s">
        <v>39</v>
      </c>
      <c r="M55" s="75"/>
      <c r="N55" s="73"/>
      <c r="O55" s="15" t="s">
        <v>16</v>
      </c>
    </row>
    <row r="56" spans="1:15" x14ac:dyDescent="0.25">
      <c r="A56" s="16"/>
      <c r="B56" s="49"/>
      <c r="C56" s="17"/>
      <c r="D56" s="13"/>
      <c r="E56" s="70"/>
      <c r="F56" s="14" t="s">
        <v>41</v>
      </c>
      <c r="G56" s="9">
        <v>13618</v>
      </c>
      <c r="H56" s="77">
        <v>800</v>
      </c>
      <c r="I56" s="10" t="s">
        <v>38</v>
      </c>
      <c r="J56" s="53"/>
      <c r="K56" s="72"/>
      <c r="L56" s="54" t="s">
        <v>16</v>
      </c>
      <c r="M56" s="75">
        <v>13713</v>
      </c>
      <c r="N56" s="73">
        <v>400</v>
      </c>
      <c r="O56" s="15" t="s">
        <v>91</v>
      </c>
    </row>
    <row r="57" spans="1:15" x14ac:dyDescent="0.25">
      <c r="A57" s="16"/>
      <c r="B57" s="49"/>
      <c r="C57" s="17"/>
      <c r="D57" s="13">
        <v>13558</v>
      </c>
      <c r="E57" s="70">
        <v>800</v>
      </c>
      <c r="F57" s="14" t="s">
        <v>39</v>
      </c>
      <c r="G57" s="9"/>
      <c r="H57" s="77"/>
      <c r="I57" s="10" t="s">
        <v>16</v>
      </c>
      <c r="J57" s="53">
        <v>13667</v>
      </c>
      <c r="K57" s="72">
        <v>1200</v>
      </c>
      <c r="L57" s="54" t="s">
        <v>89</v>
      </c>
      <c r="M57" s="75">
        <v>13714</v>
      </c>
      <c r="N57" s="73">
        <v>300</v>
      </c>
      <c r="O57" s="15"/>
    </row>
    <row r="58" spans="1:15" x14ac:dyDescent="0.25">
      <c r="A58" s="16"/>
      <c r="B58" s="49"/>
      <c r="C58" s="17"/>
      <c r="D58" s="13"/>
      <c r="E58" s="70"/>
      <c r="F58" s="23" t="s">
        <v>16</v>
      </c>
      <c r="G58" s="9">
        <v>13619</v>
      </c>
      <c r="H58" s="77">
        <v>2600</v>
      </c>
      <c r="I58" s="10" t="s">
        <v>69</v>
      </c>
      <c r="J58" s="53"/>
      <c r="K58" s="72"/>
      <c r="L58" s="54" t="s">
        <v>90</v>
      </c>
      <c r="M58" s="75">
        <v>13715</v>
      </c>
      <c r="N58" s="73"/>
      <c r="O58" s="15" t="s">
        <v>14</v>
      </c>
    </row>
    <row r="59" spans="1:15" x14ac:dyDescent="0.25">
      <c r="A59" s="16"/>
      <c r="B59" s="49"/>
      <c r="C59" s="17"/>
      <c r="D59" s="13">
        <v>13559</v>
      </c>
      <c r="E59" s="70">
        <v>300</v>
      </c>
      <c r="F59" s="14" t="s">
        <v>23</v>
      </c>
      <c r="G59" s="9"/>
      <c r="H59" s="77"/>
      <c r="I59" s="10" t="s">
        <v>70</v>
      </c>
      <c r="J59" s="53">
        <v>13668</v>
      </c>
      <c r="K59" s="72">
        <v>400</v>
      </c>
      <c r="L59" s="54"/>
      <c r="M59" s="75">
        <v>13716</v>
      </c>
      <c r="N59" s="73">
        <v>50</v>
      </c>
      <c r="O59" s="15" t="s">
        <v>72</v>
      </c>
    </row>
    <row r="60" spans="1:15" x14ac:dyDescent="0.25">
      <c r="A60" s="16"/>
      <c r="B60" s="49"/>
      <c r="C60" s="17"/>
      <c r="D60" s="13">
        <v>13560</v>
      </c>
      <c r="E60" s="70">
        <v>400</v>
      </c>
      <c r="F60" s="14"/>
      <c r="G60" s="9">
        <v>13620</v>
      </c>
      <c r="H60" s="77">
        <v>500</v>
      </c>
      <c r="I60" s="10" t="s">
        <v>71</v>
      </c>
      <c r="J60" s="53">
        <v>13669</v>
      </c>
      <c r="K60" s="72">
        <v>400</v>
      </c>
      <c r="L60" s="54" t="s">
        <v>39</v>
      </c>
      <c r="M60" s="75">
        <v>13717</v>
      </c>
      <c r="N60" s="73">
        <v>400</v>
      </c>
      <c r="O60" s="15"/>
    </row>
    <row r="61" spans="1:15" x14ac:dyDescent="0.25">
      <c r="A61" s="16"/>
      <c r="B61" s="49"/>
      <c r="C61" s="17"/>
      <c r="D61" s="13">
        <v>13561</v>
      </c>
      <c r="E61" s="70">
        <v>4400</v>
      </c>
      <c r="F61" s="14" t="s">
        <v>43</v>
      </c>
      <c r="G61" s="9"/>
      <c r="H61" s="77"/>
      <c r="I61" s="110">
        <v>400</v>
      </c>
      <c r="J61" s="53"/>
      <c r="K61" s="72"/>
      <c r="L61" s="54" t="s">
        <v>18</v>
      </c>
      <c r="M61" s="75">
        <v>13718</v>
      </c>
      <c r="N61" s="73">
        <v>4400</v>
      </c>
      <c r="O61" s="15" t="s">
        <v>77</v>
      </c>
    </row>
    <row r="62" spans="1:15" x14ac:dyDescent="0.25">
      <c r="A62" s="16"/>
      <c r="B62" s="49"/>
      <c r="C62" s="17"/>
      <c r="D62" s="13"/>
      <c r="E62" s="70"/>
      <c r="F62" s="14" t="s">
        <v>16</v>
      </c>
      <c r="G62" s="9">
        <v>13621</v>
      </c>
      <c r="H62" s="77">
        <v>900</v>
      </c>
      <c r="I62" s="10" t="s">
        <v>50</v>
      </c>
      <c r="J62" s="53">
        <v>13670</v>
      </c>
      <c r="K62" s="72">
        <v>300</v>
      </c>
      <c r="L62" s="54"/>
      <c r="M62" s="75"/>
      <c r="N62" s="73"/>
      <c r="O62" s="15" t="s">
        <v>120</v>
      </c>
    </row>
    <row r="63" spans="1:15" x14ac:dyDescent="0.25">
      <c r="A63" s="16"/>
      <c r="B63" s="49"/>
      <c r="C63" s="17"/>
      <c r="D63" s="13"/>
      <c r="E63" s="70"/>
      <c r="F63" s="14" t="s">
        <v>34</v>
      </c>
      <c r="G63" s="9"/>
      <c r="H63" s="77"/>
      <c r="I63" s="10" t="s">
        <v>17</v>
      </c>
      <c r="J63" s="53">
        <v>13671</v>
      </c>
      <c r="K63" s="72">
        <v>300</v>
      </c>
      <c r="L63" s="54" t="s">
        <v>91</v>
      </c>
      <c r="M63" s="75">
        <v>13719</v>
      </c>
      <c r="N63" s="73">
        <v>400</v>
      </c>
      <c r="O63" s="15" t="s">
        <v>118</v>
      </c>
    </row>
    <row r="64" spans="1:15" x14ac:dyDescent="0.25">
      <c r="A64" s="16"/>
      <c r="B64" s="49"/>
      <c r="C64" s="17"/>
      <c r="D64" s="13"/>
      <c r="E64" s="70"/>
      <c r="F64" s="14" t="s">
        <v>35</v>
      </c>
      <c r="G64" s="9">
        <v>13622</v>
      </c>
      <c r="H64" s="77">
        <v>400</v>
      </c>
      <c r="I64" s="10"/>
      <c r="J64" s="53">
        <v>13672</v>
      </c>
      <c r="K64" s="72">
        <v>400</v>
      </c>
      <c r="L64" s="54"/>
      <c r="M64" s="75">
        <v>13720</v>
      </c>
      <c r="N64" s="73">
        <v>400</v>
      </c>
      <c r="O64" s="15"/>
    </row>
    <row r="65" spans="1:15" x14ac:dyDescent="0.25">
      <c r="A65" s="16"/>
      <c r="B65" s="49"/>
      <c r="C65" s="17"/>
      <c r="D65" s="13">
        <v>13562</v>
      </c>
      <c r="E65" s="70">
        <v>400</v>
      </c>
      <c r="F65" s="14"/>
      <c r="G65" s="9">
        <v>13623</v>
      </c>
      <c r="H65" s="77">
        <v>400</v>
      </c>
      <c r="I65" s="10" t="s">
        <v>23</v>
      </c>
      <c r="J65" s="50">
        <v>13673</v>
      </c>
      <c r="K65" s="79">
        <v>3300</v>
      </c>
      <c r="L65" s="51" t="s">
        <v>77</v>
      </c>
      <c r="M65" s="75">
        <v>13721</v>
      </c>
      <c r="N65" s="73">
        <v>800</v>
      </c>
      <c r="O65" s="15" t="s">
        <v>42</v>
      </c>
    </row>
    <row r="66" spans="1:15" x14ac:dyDescent="0.25">
      <c r="A66" s="16"/>
      <c r="B66" s="49"/>
      <c r="C66" s="17"/>
      <c r="D66" s="13">
        <v>13563</v>
      </c>
      <c r="E66" s="70"/>
      <c r="F66" s="14" t="s">
        <v>44</v>
      </c>
      <c r="G66" s="9">
        <v>13624</v>
      </c>
      <c r="H66" s="77">
        <v>50</v>
      </c>
      <c r="I66" s="10" t="s">
        <v>72</v>
      </c>
      <c r="J66" s="50"/>
      <c r="K66" s="79"/>
      <c r="L66" s="51" t="s">
        <v>82</v>
      </c>
      <c r="M66" s="75"/>
      <c r="N66" s="73"/>
      <c r="O66" s="15" t="s">
        <v>16</v>
      </c>
    </row>
    <row r="67" spans="1:15" x14ac:dyDescent="0.25">
      <c r="A67" s="16"/>
      <c r="B67" s="49"/>
      <c r="C67" s="17"/>
      <c r="D67" s="13">
        <v>13564</v>
      </c>
      <c r="E67" s="70">
        <v>300</v>
      </c>
      <c r="F67" s="14"/>
      <c r="G67" s="9">
        <v>13625</v>
      </c>
      <c r="H67" s="77">
        <v>3300</v>
      </c>
      <c r="I67" s="10" t="s">
        <v>56</v>
      </c>
      <c r="J67" s="50"/>
      <c r="K67" s="79"/>
      <c r="L67" s="51" t="s">
        <v>17</v>
      </c>
      <c r="M67" s="75">
        <v>13722</v>
      </c>
      <c r="N67" s="73">
        <v>800</v>
      </c>
      <c r="O67" s="15" t="s">
        <v>38</v>
      </c>
    </row>
    <row r="68" spans="1:15" x14ac:dyDescent="0.25">
      <c r="A68" s="16"/>
      <c r="B68" s="49"/>
      <c r="C68" s="17"/>
      <c r="D68" s="13">
        <v>13565</v>
      </c>
      <c r="E68" s="70">
        <v>800</v>
      </c>
      <c r="F68" s="14" t="s">
        <v>38</v>
      </c>
      <c r="G68" s="9"/>
      <c r="H68" s="77"/>
      <c r="I68" s="10" t="s">
        <v>57</v>
      </c>
      <c r="J68" s="50">
        <v>13674</v>
      </c>
      <c r="K68" s="79">
        <v>4400</v>
      </c>
      <c r="L68" s="51" t="s">
        <v>77</v>
      </c>
      <c r="M68" s="75"/>
      <c r="N68" s="73"/>
      <c r="O68" s="15" t="s">
        <v>16</v>
      </c>
    </row>
    <row r="69" spans="1:15" x14ac:dyDescent="0.25">
      <c r="A69" s="16"/>
      <c r="B69" s="49"/>
      <c r="C69" s="17"/>
      <c r="D69" s="13"/>
      <c r="E69" s="70"/>
      <c r="F69" s="14" t="s">
        <v>16</v>
      </c>
      <c r="G69" s="9"/>
      <c r="H69" s="77"/>
      <c r="I69" s="10" t="s">
        <v>58</v>
      </c>
      <c r="J69" s="50"/>
      <c r="K69" s="79"/>
      <c r="L69" s="51" t="s">
        <v>81</v>
      </c>
      <c r="M69" s="75">
        <v>13723</v>
      </c>
      <c r="N69" s="73">
        <v>400</v>
      </c>
      <c r="O69" s="15"/>
    </row>
    <row r="70" spans="1:15" x14ac:dyDescent="0.25">
      <c r="A70" s="16"/>
      <c r="B70" s="49"/>
      <c r="C70" s="17"/>
      <c r="D70" s="13">
        <v>13566</v>
      </c>
      <c r="E70" s="70">
        <v>4400</v>
      </c>
      <c r="F70" s="14" t="s">
        <v>24</v>
      </c>
      <c r="G70" s="9">
        <v>13626</v>
      </c>
      <c r="H70" s="77">
        <v>350</v>
      </c>
      <c r="I70" s="10"/>
      <c r="J70" s="50"/>
      <c r="K70" s="79"/>
      <c r="L70" s="51" t="s">
        <v>16</v>
      </c>
      <c r="M70" s="75">
        <v>13724</v>
      </c>
      <c r="N70" s="73">
        <v>400</v>
      </c>
      <c r="O70" s="15"/>
    </row>
    <row r="71" spans="1:15" x14ac:dyDescent="0.25">
      <c r="A71" s="16"/>
      <c r="B71" s="49"/>
      <c r="C71" s="17"/>
      <c r="D71" s="13"/>
      <c r="E71" s="70"/>
      <c r="F71" s="14" t="s">
        <v>16</v>
      </c>
      <c r="G71" s="9">
        <v>13627</v>
      </c>
      <c r="H71" s="77">
        <v>300</v>
      </c>
      <c r="I71" s="10" t="s">
        <v>74</v>
      </c>
      <c r="J71" s="50">
        <v>13675</v>
      </c>
      <c r="K71" s="79">
        <v>520</v>
      </c>
      <c r="L71" s="51" t="s">
        <v>92</v>
      </c>
      <c r="M71" s="75">
        <v>13725</v>
      </c>
      <c r="N71" s="73">
        <v>150</v>
      </c>
      <c r="O71" s="15" t="s">
        <v>119</v>
      </c>
    </row>
    <row r="72" spans="1:15" x14ac:dyDescent="0.25">
      <c r="A72" s="16"/>
      <c r="B72" s="49"/>
      <c r="C72" s="17"/>
      <c r="D72" s="13"/>
      <c r="E72" s="70"/>
      <c r="F72" s="14" t="s">
        <v>34</v>
      </c>
      <c r="G72" s="9"/>
      <c r="H72" s="77"/>
      <c r="I72" s="10" t="s">
        <v>73</v>
      </c>
      <c r="J72" s="50"/>
      <c r="K72" s="79"/>
      <c r="L72" s="51" t="s">
        <v>93</v>
      </c>
      <c r="M72" s="75">
        <v>13726</v>
      </c>
      <c r="N72" s="73">
        <v>4400</v>
      </c>
      <c r="O72" s="15" t="s">
        <v>77</v>
      </c>
    </row>
    <row r="73" spans="1:15" x14ac:dyDescent="0.25">
      <c r="A73" s="16"/>
      <c r="B73" s="49"/>
      <c r="C73" s="17"/>
      <c r="D73" s="13"/>
      <c r="E73" s="70"/>
      <c r="F73" s="14" t="s">
        <v>35</v>
      </c>
      <c r="G73" s="9">
        <v>13628</v>
      </c>
      <c r="H73" s="77">
        <v>200</v>
      </c>
      <c r="I73" s="10"/>
      <c r="J73" s="50"/>
      <c r="K73" s="79"/>
      <c r="L73" s="51" t="s">
        <v>17</v>
      </c>
      <c r="M73" s="75"/>
      <c r="N73" s="73"/>
      <c r="O73" s="15" t="s">
        <v>120</v>
      </c>
    </row>
    <row r="74" spans="1:15" x14ac:dyDescent="0.25">
      <c r="A74" s="16"/>
      <c r="B74" s="49"/>
      <c r="C74" s="17"/>
      <c r="D74" s="13">
        <v>13567</v>
      </c>
      <c r="E74" s="70">
        <v>400</v>
      </c>
      <c r="F74" s="14" t="s">
        <v>23</v>
      </c>
      <c r="G74" s="9">
        <v>13629</v>
      </c>
      <c r="H74" s="77">
        <v>200</v>
      </c>
      <c r="I74" s="10" t="s">
        <v>19</v>
      </c>
      <c r="J74" s="50">
        <v>13676</v>
      </c>
      <c r="K74" s="79">
        <v>50</v>
      </c>
      <c r="L74" s="51" t="s">
        <v>47</v>
      </c>
      <c r="M74" s="75">
        <v>13727</v>
      </c>
      <c r="N74" s="73">
        <v>200</v>
      </c>
      <c r="O74" s="15" t="s">
        <v>121</v>
      </c>
    </row>
    <row r="75" spans="1:15" x14ac:dyDescent="0.25">
      <c r="A75" s="16"/>
      <c r="B75" s="49"/>
      <c r="C75" s="17"/>
      <c r="D75" s="13">
        <v>13568</v>
      </c>
      <c r="E75" s="70">
        <v>4400</v>
      </c>
      <c r="F75" s="14" t="s">
        <v>24</v>
      </c>
      <c r="G75" s="9">
        <v>13630</v>
      </c>
      <c r="H75" s="77">
        <v>400</v>
      </c>
      <c r="I75" s="10" t="s">
        <v>23</v>
      </c>
      <c r="J75" s="50">
        <v>13677</v>
      </c>
      <c r="K75" s="79">
        <v>1200</v>
      </c>
      <c r="L75" s="51" t="s">
        <v>94</v>
      </c>
      <c r="M75" s="75">
        <v>13728</v>
      </c>
      <c r="N75" s="73">
        <v>250</v>
      </c>
      <c r="O75" s="15"/>
    </row>
    <row r="76" spans="1:15" x14ac:dyDescent="0.25">
      <c r="A76" s="16"/>
      <c r="B76" s="49"/>
      <c r="C76" s="17"/>
      <c r="D76" s="13"/>
      <c r="E76" s="70"/>
      <c r="F76" s="14" t="s">
        <v>16</v>
      </c>
      <c r="G76" s="9">
        <v>13631</v>
      </c>
      <c r="H76" s="77">
        <v>800</v>
      </c>
      <c r="I76" s="10" t="s">
        <v>22</v>
      </c>
      <c r="J76" s="50"/>
      <c r="K76" s="79"/>
      <c r="L76" s="51" t="s">
        <v>16</v>
      </c>
      <c r="M76" s="75">
        <v>13729</v>
      </c>
      <c r="N76" s="73">
        <v>250</v>
      </c>
      <c r="O76" s="15" t="s">
        <v>122</v>
      </c>
    </row>
    <row r="77" spans="1:15" x14ac:dyDescent="0.25">
      <c r="A77" s="16"/>
      <c r="B77" s="49"/>
      <c r="C77" s="17"/>
      <c r="D77" s="13"/>
      <c r="E77" s="70"/>
      <c r="F77" s="14" t="s">
        <v>34</v>
      </c>
      <c r="G77" s="9"/>
      <c r="H77" s="77"/>
      <c r="I77" s="10" t="s">
        <v>16</v>
      </c>
      <c r="J77" s="50">
        <v>13678</v>
      </c>
      <c r="K77" s="79">
        <v>800</v>
      </c>
      <c r="L77" s="51" t="s">
        <v>95</v>
      </c>
      <c r="M77" s="75"/>
      <c r="N77" s="73"/>
      <c r="O77" s="15" t="s">
        <v>123</v>
      </c>
    </row>
    <row r="78" spans="1:15" x14ac:dyDescent="0.25">
      <c r="A78" s="16"/>
      <c r="B78" s="49"/>
      <c r="C78" s="17"/>
      <c r="D78" s="13"/>
      <c r="E78" s="70"/>
      <c r="F78" s="14" t="s">
        <v>35</v>
      </c>
      <c r="G78" s="9">
        <v>13632</v>
      </c>
      <c r="H78" s="77">
        <v>400</v>
      </c>
      <c r="I78" s="10"/>
      <c r="J78" s="50"/>
      <c r="K78" s="79"/>
      <c r="L78" s="51" t="s">
        <v>16</v>
      </c>
      <c r="M78" s="75">
        <v>13730</v>
      </c>
      <c r="N78" s="73">
        <v>4400</v>
      </c>
      <c r="O78" s="15" t="s">
        <v>77</v>
      </c>
    </row>
    <row r="79" spans="1:15" x14ac:dyDescent="0.25">
      <c r="A79" s="16"/>
      <c r="B79" s="49"/>
      <c r="C79" s="17"/>
      <c r="D79" s="13">
        <v>13569</v>
      </c>
      <c r="E79" s="70">
        <v>4400</v>
      </c>
      <c r="F79" s="14" t="s">
        <v>24</v>
      </c>
      <c r="G79" s="9">
        <v>13633</v>
      </c>
      <c r="H79" s="77">
        <v>300</v>
      </c>
      <c r="I79" s="10" t="s">
        <v>23</v>
      </c>
      <c r="J79" s="50">
        <v>13679</v>
      </c>
      <c r="K79" s="79">
        <v>400</v>
      </c>
      <c r="L79" s="51" t="s">
        <v>23</v>
      </c>
      <c r="M79" s="75"/>
      <c r="N79" s="73"/>
      <c r="O79" s="15" t="s">
        <v>120</v>
      </c>
    </row>
    <row r="80" spans="1:15" x14ac:dyDescent="0.25">
      <c r="A80" s="16"/>
      <c r="B80" s="49"/>
      <c r="C80" s="17"/>
      <c r="D80" s="13"/>
      <c r="E80" s="70"/>
      <c r="F80" s="14" t="s">
        <v>16</v>
      </c>
      <c r="G80" s="9">
        <v>13634</v>
      </c>
      <c r="H80" s="77">
        <v>400</v>
      </c>
      <c r="I80" s="10" t="s">
        <v>75</v>
      </c>
      <c r="J80" s="50">
        <v>13680</v>
      </c>
      <c r="K80" s="79">
        <v>800</v>
      </c>
      <c r="L80" s="51" t="s">
        <v>39</v>
      </c>
      <c r="M80" s="75">
        <v>13731</v>
      </c>
      <c r="N80" s="73">
        <v>50</v>
      </c>
      <c r="O80" s="15" t="s">
        <v>72</v>
      </c>
    </row>
    <row r="81" spans="1:15" x14ac:dyDescent="0.25">
      <c r="A81" s="16"/>
      <c r="B81" s="49"/>
      <c r="C81" s="17"/>
      <c r="D81" s="13"/>
      <c r="E81" s="70"/>
      <c r="F81" s="14" t="s">
        <v>34</v>
      </c>
      <c r="G81" s="9">
        <v>13635</v>
      </c>
      <c r="H81" s="77">
        <v>400</v>
      </c>
      <c r="I81" s="10" t="s">
        <v>23</v>
      </c>
      <c r="J81" s="50"/>
      <c r="K81" s="79"/>
      <c r="L81" s="51" t="s">
        <v>16</v>
      </c>
      <c r="M81" s="75">
        <v>13732</v>
      </c>
      <c r="N81" s="73">
        <v>400</v>
      </c>
      <c r="O81" s="15"/>
    </row>
    <row r="82" spans="1:15" x14ac:dyDescent="0.25">
      <c r="A82" s="16"/>
      <c r="B82" s="49"/>
      <c r="C82" s="17"/>
      <c r="D82" s="13"/>
      <c r="E82" s="70"/>
      <c r="F82" s="14" t="s">
        <v>35</v>
      </c>
      <c r="G82" s="9">
        <v>13636</v>
      </c>
      <c r="H82" s="77">
        <v>800</v>
      </c>
      <c r="I82" s="10" t="s">
        <v>22</v>
      </c>
      <c r="J82" s="50">
        <v>13681</v>
      </c>
      <c r="K82" s="79">
        <v>3350</v>
      </c>
      <c r="L82" s="51" t="s">
        <v>77</v>
      </c>
      <c r="M82" s="75">
        <v>13733</v>
      </c>
      <c r="N82" s="73">
        <v>500</v>
      </c>
      <c r="O82" s="15" t="s">
        <v>39</v>
      </c>
    </row>
    <row r="83" spans="1:15" x14ac:dyDescent="0.25">
      <c r="A83" s="16"/>
      <c r="B83" s="49"/>
      <c r="C83" s="17"/>
      <c r="D83" s="13">
        <v>13570</v>
      </c>
      <c r="E83" s="70">
        <v>400</v>
      </c>
      <c r="F83" s="14"/>
      <c r="G83" s="9"/>
      <c r="H83" s="77"/>
      <c r="I83" s="10" t="s">
        <v>16</v>
      </c>
      <c r="J83" s="50"/>
      <c r="K83" s="79"/>
      <c r="L83" s="51" t="s">
        <v>82</v>
      </c>
      <c r="M83" s="75"/>
      <c r="N83" s="73"/>
      <c r="O83" s="15" t="s">
        <v>20</v>
      </c>
    </row>
    <row r="84" spans="1:15" x14ac:dyDescent="0.25">
      <c r="A84" s="16"/>
      <c r="B84" s="49"/>
      <c r="C84" s="17"/>
      <c r="D84" s="13">
        <v>13571</v>
      </c>
      <c r="E84" s="70">
        <v>3600</v>
      </c>
      <c r="F84" s="14" t="s">
        <v>45</v>
      </c>
      <c r="G84" s="9"/>
      <c r="H84" s="77"/>
      <c r="I84" s="10"/>
      <c r="J84" s="50"/>
      <c r="K84" s="79"/>
      <c r="L84" s="51" t="s">
        <v>96</v>
      </c>
      <c r="M84" s="75">
        <v>13734</v>
      </c>
      <c r="N84" s="73">
        <v>1200</v>
      </c>
      <c r="O84" s="15" t="s">
        <v>124</v>
      </c>
    </row>
    <row r="85" spans="1:15" x14ac:dyDescent="0.25">
      <c r="A85" s="16"/>
      <c r="B85" s="49"/>
      <c r="C85" s="17"/>
      <c r="D85" s="13"/>
      <c r="E85" s="70"/>
      <c r="F85" s="14" t="s">
        <v>46</v>
      </c>
      <c r="G85" s="9"/>
      <c r="H85" s="77"/>
      <c r="I85" s="10"/>
      <c r="J85" s="50">
        <v>13682</v>
      </c>
      <c r="K85" s="79">
        <v>100</v>
      </c>
      <c r="L85" s="51" t="s">
        <v>30</v>
      </c>
      <c r="M85" s="75"/>
      <c r="N85" s="73"/>
      <c r="O85" s="15" t="s">
        <v>16</v>
      </c>
    </row>
    <row r="86" spans="1:15" x14ac:dyDescent="0.25">
      <c r="A86" s="16"/>
      <c r="B86" s="49"/>
      <c r="C86" s="17"/>
      <c r="D86" s="13">
        <v>13572</v>
      </c>
      <c r="E86" s="70">
        <v>50</v>
      </c>
      <c r="F86" s="14" t="s">
        <v>47</v>
      </c>
      <c r="G86" s="9"/>
      <c r="H86" s="77"/>
      <c r="I86" s="10"/>
      <c r="J86" s="50"/>
      <c r="K86" s="79"/>
      <c r="L86" s="51"/>
      <c r="M86" s="75">
        <v>13735</v>
      </c>
      <c r="N86" s="73">
        <v>400</v>
      </c>
      <c r="O86" s="15"/>
    </row>
    <row r="87" spans="1:15" x14ac:dyDescent="0.25">
      <c r="A87" s="16"/>
      <c r="B87" s="49"/>
      <c r="C87" s="17"/>
      <c r="D87" s="13">
        <v>13573</v>
      </c>
      <c r="E87" s="70">
        <v>420</v>
      </c>
      <c r="F87" s="14" t="s">
        <v>48</v>
      </c>
      <c r="G87" s="9"/>
      <c r="H87" s="77"/>
      <c r="I87" s="10"/>
      <c r="J87" s="50"/>
      <c r="K87" s="79"/>
      <c r="L87" s="51"/>
      <c r="M87" s="75">
        <v>13736</v>
      </c>
      <c r="N87" s="73">
        <v>400</v>
      </c>
      <c r="O87" s="15" t="s">
        <v>38</v>
      </c>
    </row>
    <row r="88" spans="1:15" x14ac:dyDescent="0.25">
      <c r="A88" s="16"/>
      <c r="B88" s="49"/>
      <c r="C88" s="17"/>
      <c r="D88" s="13">
        <v>13574</v>
      </c>
      <c r="E88" s="70">
        <v>800</v>
      </c>
      <c r="F88" s="14" t="s">
        <v>39</v>
      </c>
      <c r="G88" s="9"/>
      <c r="H88" s="77"/>
      <c r="I88" s="10"/>
      <c r="J88" s="50"/>
      <c r="K88" s="79"/>
      <c r="L88" s="51"/>
      <c r="M88" s="75"/>
      <c r="N88" s="73"/>
      <c r="O88" s="15" t="s">
        <v>18</v>
      </c>
    </row>
    <row r="89" spans="1:15" x14ac:dyDescent="0.25">
      <c r="A89" s="16"/>
      <c r="B89" s="49"/>
      <c r="C89" s="17"/>
      <c r="D89" s="13"/>
      <c r="E89" s="70"/>
      <c r="F89" s="14" t="s">
        <v>16</v>
      </c>
      <c r="G89" s="9"/>
      <c r="H89" s="77"/>
      <c r="I89" s="10"/>
      <c r="J89" s="50"/>
      <c r="K89" s="79"/>
      <c r="L89" s="51"/>
      <c r="M89" s="75">
        <v>13737</v>
      </c>
      <c r="N89" s="73">
        <v>400</v>
      </c>
      <c r="O89" s="15"/>
    </row>
    <row r="90" spans="1:15" x14ac:dyDescent="0.25">
      <c r="A90" s="16"/>
      <c r="B90" s="49"/>
      <c r="C90" s="17"/>
      <c r="D90" s="13">
        <v>13575</v>
      </c>
      <c r="E90" s="70">
        <v>650</v>
      </c>
      <c r="F90" s="14" t="s">
        <v>49</v>
      </c>
      <c r="G90" s="9"/>
      <c r="H90" s="77"/>
      <c r="I90" s="10"/>
      <c r="J90" s="50"/>
      <c r="K90" s="79"/>
      <c r="L90" s="51"/>
      <c r="M90" s="75">
        <v>13738</v>
      </c>
      <c r="N90" s="73">
        <v>50</v>
      </c>
      <c r="O90" s="15" t="s">
        <v>72</v>
      </c>
    </row>
    <row r="91" spans="1:15" x14ac:dyDescent="0.25">
      <c r="A91" s="16"/>
      <c r="B91" s="49"/>
      <c r="C91" s="17"/>
      <c r="D91" s="13">
        <v>13576</v>
      </c>
      <c r="E91" s="70">
        <v>400</v>
      </c>
      <c r="F91" s="14"/>
      <c r="G91" s="9"/>
      <c r="H91" s="77"/>
      <c r="I91" s="10"/>
      <c r="J91" s="50"/>
      <c r="K91" s="79"/>
      <c r="L91" s="51"/>
      <c r="M91" s="75">
        <v>13739</v>
      </c>
      <c r="N91" s="73">
        <v>200</v>
      </c>
      <c r="O91" s="15"/>
    </row>
    <row r="92" spans="1:15" x14ac:dyDescent="0.25">
      <c r="A92" s="16"/>
      <c r="B92" s="49"/>
      <c r="C92" s="17"/>
      <c r="D92" s="13">
        <v>13577</v>
      </c>
      <c r="E92" s="70">
        <v>900</v>
      </c>
      <c r="F92" s="14" t="s">
        <v>50</v>
      </c>
      <c r="G92" s="9"/>
      <c r="H92" s="77"/>
      <c r="I92" s="10"/>
      <c r="J92" s="50"/>
      <c r="K92" s="79"/>
      <c r="L92" s="51"/>
      <c r="M92" s="75">
        <v>13740</v>
      </c>
      <c r="N92" s="73">
        <v>100</v>
      </c>
      <c r="O92" s="15" t="s">
        <v>30</v>
      </c>
    </row>
    <row r="93" spans="1:15" x14ac:dyDescent="0.25">
      <c r="A93" s="26"/>
      <c r="B93" s="66"/>
      <c r="C93" s="58"/>
      <c r="D93" s="13"/>
      <c r="E93" s="14"/>
      <c r="F93" s="14" t="s">
        <v>41</v>
      </c>
      <c r="M93" s="75">
        <v>13741</v>
      </c>
      <c r="N93" s="73">
        <v>400</v>
      </c>
      <c r="O93" s="15"/>
    </row>
    <row r="94" spans="1:15" x14ac:dyDescent="0.25">
      <c r="D94" s="13">
        <v>13578</v>
      </c>
      <c r="E94" s="70">
        <v>800</v>
      </c>
      <c r="F94" s="14" t="s">
        <v>42</v>
      </c>
      <c r="M94" s="75">
        <v>13742</v>
      </c>
      <c r="N94" s="73">
        <v>600</v>
      </c>
      <c r="O94" s="15" t="s">
        <v>30</v>
      </c>
    </row>
    <row r="95" spans="1:15" x14ac:dyDescent="0.25">
      <c r="D95" s="13"/>
      <c r="E95" s="70"/>
      <c r="F95" s="14" t="s">
        <v>16</v>
      </c>
      <c r="M95" s="75">
        <v>13743</v>
      </c>
      <c r="N95" s="73">
        <v>1000</v>
      </c>
      <c r="O95" s="15" t="s">
        <v>125</v>
      </c>
    </row>
    <row r="96" spans="1:15" x14ac:dyDescent="0.25">
      <c r="D96" s="13">
        <v>13579</v>
      </c>
      <c r="E96" s="70">
        <v>1200</v>
      </c>
      <c r="F96" s="14" t="s">
        <v>51</v>
      </c>
      <c r="M96" s="75"/>
      <c r="N96" s="73"/>
      <c r="O96" s="15" t="s">
        <v>126</v>
      </c>
    </row>
    <row r="97" spans="4:18" x14ac:dyDescent="0.25">
      <c r="D97" s="13"/>
      <c r="E97" s="70"/>
      <c r="F97" s="14" t="s">
        <v>52</v>
      </c>
    </row>
    <row r="98" spans="4:18" x14ac:dyDescent="0.25">
      <c r="D98" s="13">
        <v>13580</v>
      </c>
      <c r="E98" s="70">
        <v>200</v>
      </c>
      <c r="F98" s="14"/>
    </row>
    <row r="99" spans="4:18" x14ac:dyDescent="0.25">
      <c r="D99" s="13">
        <v>13581</v>
      </c>
      <c r="E99" s="70">
        <v>300</v>
      </c>
      <c r="F99" s="14"/>
    </row>
    <row r="100" spans="4:18" x14ac:dyDescent="0.25">
      <c r="D100" s="13">
        <v>13582</v>
      </c>
      <c r="E100" s="70">
        <v>1000</v>
      </c>
      <c r="F100" s="14" t="s">
        <v>53</v>
      </c>
    </row>
    <row r="101" spans="4:18" x14ac:dyDescent="0.25">
      <c r="D101" s="13"/>
      <c r="E101" s="70"/>
      <c r="F101" s="14" t="s">
        <v>18</v>
      </c>
    </row>
    <row r="102" spans="4:18" x14ac:dyDescent="0.25">
      <c r="D102" s="13">
        <v>13583</v>
      </c>
      <c r="E102" s="70">
        <v>100</v>
      </c>
      <c r="F102" s="14" t="s">
        <v>30</v>
      </c>
    </row>
    <row r="103" spans="4:18" x14ac:dyDescent="0.25">
      <c r="D103" s="13">
        <v>13584</v>
      </c>
      <c r="E103" s="70">
        <v>400</v>
      </c>
      <c r="F103" s="14" t="s">
        <v>39</v>
      </c>
    </row>
    <row r="104" spans="4:18" x14ac:dyDescent="0.25">
      <c r="D104" s="13"/>
      <c r="E104" s="70"/>
      <c r="F104" s="14" t="s">
        <v>18</v>
      </c>
    </row>
    <row r="105" spans="4:18" x14ac:dyDescent="0.25">
      <c r="D105" s="13">
        <v>13585</v>
      </c>
      <c r="E105" s="70">
        <v>200</v>
      </c>
      <c r="F105" s="14" t="s">
        <v>54</v>
      </c>
    </row>
    <row r="106" spans="4:18" x14ac:dyDescent="0.25">
      <c r="D106" s="13">
        <v>13586</v>
      </c>
      <c r="E106" s="70">
        <v>800</v>
      </c>
      <c r="F106" s="14" t="s">
        <v>38</v>
      </c>
    </row>
    <row r="107" spans="4:18" x14ac:dyDescent="0.25">
      <c r="D107" s="13"/>
      <c r="E107" s="70"/>
      <c r="F107" s="14" t="s">
        <v>16</v>
      </c>
    </row>
    <row r="108" spans="4:18" x14ac:dyDescent="0.25">
      <c r="D108" s="13">
        <v>13587</v>
      </c>
      <c r="E108" s="70">
        <v>200</v>
      </c>
      <c r="F108" s="14"/>
    </row>
    <row r="109" spans="4:18" x14ac:dyDescent="0.25">
      <c r="D109" s="13"/>
      <c r="E109" s="70"/>
      <c r="F109" s="14"/>
    </row>
    <row r="110" spans="4:18" x14ac:dyDescent="0.25">
      <c r="R110" t="s">
        <v>61</v>
      </c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1"/>
  <sheetViews>
    <sheetView topLeftCell="G5" zoomScaleNormal="100" workbookViewId="0">
      <pane ySplit="3" topLeftCell="A8" activePane="bottomLeft" state="frozen"/>
      <selection activeCell="A5" sqref="A5"/>
      <selection pane="bottomLeft" activeCell="K9" sqref="K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>
        <f>A6+D6+G6+J6+M6</f>
        <v>208</v>
      </c>
      <c r="H3" s="3" t="s">
        <v>3</v>
      </c>
      <c r="I3" s="2">
        <f>B6+E6+H6+K6+N6</f>
        <v>111835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27" t="s">
        <v>6</v>
      </c>
      <c r="K5" s="127"/>
      <c r="L5" s="127"/>
      <c r="M5" s="119" t="s">
        <v>12</v>
      </c>
      <c r="N5" s="119"/>
      <c r="O5" s="119"/>
      <c r="P5" s="27"/>
      <c r="Q5" s="128" t="s">
        <v>13</v>
      </c>
      <c r="R5" s="128"/>
    </row>
    <row r="6" spans="1:18" x14ac:dyDescent="0.25">
      <c r="A6" s="8">
        <f>SUBTOTAL(3,A8:A122)</f>
        <v>58</v>
      </c>
      <c r="B6" s="8">
        <f>SUBTOTAL(9,B8:B122)</f>
        <v>35425</v>
      </c>
      <c r="C6" s="35">
        <v>42771</v>
      </c>
      <c r="D6" s="8">
        <f>SUBTOTAL(3,D8:D121)</f>
        <v>48</v>
      </c>
      <c r="E6" s="1">
        <f>SUBTOTAL(9,E8:E121)</f>
        <v>20260</v>
      </c>
      <c r="F6" s="38">
        <v>42778</v>
      </c>
      <c r="G6" s="8">
        <f>SUBTOTAL(3,G8:G121)</f>
        <v>45</v>
      </c>
      <c r="H6" s="1">
        <f>SUBTOTAL(9,H8:H121)</f>
        <v>29725</v>
      </c>
      <c r="I6" s="39">
        <v>42785</v>
      </c>
      <c r="J6" s="8">
        <f>SUBTOTAL(3,J8:J107)</f>
        <v>51</v>
      </c>
      <c r="K6" s="1">
        <f>SUM(K8:K145)</f>
        <v>24525</v>
      </c>
      <c r="L6" s="83">
        <v>42792</v>
      </c>
      <c r="M6" s="1">
        <f>SUBTOTAL(3,M8:M121)</f>
        <v>6</v>
      </c>
      <c r="N6" s="1">
        <f>SUBTOTAL(9,N8:N121)</f>
        <v>1900</v>
      </c>
      <c r="O6" s="86"/>
      <c r="Q6" s="30">
        <f>+A6+'C C Aportaciones FEB 17'!D6+G6+J6+M6</f>
        <v>208</v>
      </c>
      <c r="R6" s="29">
        <f>+B6+E6+H6+K6+N6</f>
        <v>111835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13744</v>
      </c>
      <c r="B8" s="49">
        <v>800</v>
      </c>
      <c r="C8" s="17" t="s">
        <v>127</v>
      </c>
      <c r="D8" s="13">
        <v>13799</v>
      </c>
      <c r="E8" s="70">
        <v>400</v>
      </c>
      <c r="F8" s="14"/>
      <c r="G8" s="9">
        <v>13847</v>
      </c>
      <c r="H8" s="77">
        <v>200</v>
      </c>
      <c r="I8" s="10" t="s">
        <v>155</v>
      </c>
      <c r="J8" s="50">
        <v>13892</v>
      </c>
      <c r="K8" s="79">
        <v>400</v>
      </c>
      <c r="L8" s="51"/>
      <c r="M8" s="75">
        <v>13943</v>
      </c>
      <c r="N8" s="73">
        <v>100</v>
      </c>
      <c r="O8" s="15" t="s">
        <v>173</v>
      </c>
    </row>
    <row r="9" spans="1:18" x14ac:dyDescent="0.25">
      <c r="A9" s="16"/>
      <c r="B9" s="49"/>
      <c r="C9" s="17" t="s">
        <v>16</v>
      </c>
      <c r="D9" s="13">
        <v>13800</v>
      </c>
      <c r="E9" s="70">
        <v>800</v>
      </c>
      <c r="F9" s="23" t="s">
        <v>38</v>
      </c>
      <c r="G9" s="9">
        <v>13848</v>
      </c>
      <c r="H9" s="77">
        <v>2700</v>
      </c>
      <c r="I9" s="10" t="s">
        <v>156</v>
      </c>
      <c r="J9" s="50">
        <v>13893</v>
      </c>
      <c r="K9" s="79">
        <v>350</v>
      </c>
      <c r="L9" s="51" t="s">
        <v>172</v>
      </c>
      <c r="M9" s="75">
        <v>13944</v>
      </c>
      <c r="N9" s="73">
        <v>200</v>
      </c>
      <c r="O9" s="15" t="s">
        <v>195</v>
      </c>
    </row>
    <row r="10" spans="1:18" x14ac:dyDescent="0.25">
      <c r="A10" s="16">
        <v>13745</v>
      </c>
      <c r="B10" s="49">
        <v>300</v>
      </c>
      <c r="C10" s="17" t="s">
        <v>128</v>
      </c>
      <c r="D10" s="13"/>
      <c r="E10" s="70"/>
      <c r="F10" s="14" t="s">
        <v>16</v>
      </c>
      <c r="G10" s="9"/>
      <c r="H10" s="77"/>
      <c r="I10" s="10" t="s">
        <v>157</v>
      </c>
      <c r="J10" s="50">
        <v>13894</v>
      </c>
      <c r="K10" s="79">
        <v>800</v>
      </c>
      <c r="L10" s="51" t="s">
        <v>38</v>
      </c>
      <c r="M10" s="75">
        <v>13945</v>
      </c>
      <c r="N10" s="73"/>
      <c r="O10" s="15" t="s">
        <v>14</v>
      </c>
    </row>
    <row r="11" spans="1:18" x14ac:dyDescent="0.25">
      <c r="A11" s="16">
        <v>13746</v>
      </c>
      <c r="B11" s="49">
        <v>600</v>
      </c>
      <c r="C11" s="17" t="s">
        <v>39</v>
      </c>
      <c r="D11" s="13">
        <v>13801</v>
      </c>
      <c r="E11" s="70">
        <v>400</v>
      </c>
      <c r="F11" s="14" t="s">
        <v>128</v>
      </c>
      <c r="G11" s="9"/>
      <c r="H11" s="77"/>
      <c r="I11" s="10" t="s">
        <v>158</v>
      </c>
      <c r="J11" s="50"/>
      <c r="K11" s="79"/>
      <c r="L11" s="51" t="s">
        <v>16</v>
      </c>
      <c r="M11" s="75">
        <v>13946</v>
      </c>
      <c r="N11" s="73">
        <v>100</v>
      </c>
      <c r="O11" s="15" t="s">
        <v>173</v>
      </c>
    </row>
    <row r="12" spans="1:18" x14ac:dyDescent="0.25">
      <c r="A12" s="16"/>
      <c r="B12" s="49"/>
      <c r="C12" s="17" t="s">
        <v>17</v>
      </c>
      <c r="D12" s="13">
        <v>13802</v>
      </c>
      <c r="E12" s="70"/>
      <c r="F12" s="14" t="s">
        <v>140</v>
      </c>
      <c r="G12" s="9">
        <v>13849</v>
      </c>
      <c r="H12" s="77">
        <v>50</v>
      </c>
      <c r="I12" s="10" t="s">
        <v>72</v>
      </c>
      <c r="J12" s="50">
        <v>13895</v>
      </c>
      <c r="K12" s="79">
        <v>100</v>
      </c>
      <c r="L12" s="51" t="s">
        <v>173</v>
      </c>
      <c r="M12" s="75">
        <v>13947</v>
      </c>
      <c r="N12" s="73">
        <v>300</v>
      </c>
      <c r="O12" s="15" t="s">
        <v>142</v>
      </c>
    </row>
    <row r="13" spans="1:18" x14ac:dyDescent="0.25">
      <c r="A13" s="16">
        <v>13747</v>
      </c>
      <c r="B13" s="49">
        <v>400</v>
      </c>
      <c r="C13" s="17" t="s">
        <v>128</v>
      </c>
      <c r="D13" s="13"/>
      <c r="E13" s="70"/>
      <c r="F13" s="14" t="s">
        <v>141</v>
      </c>
      <c r="G13" s="9">
        <v>13850</v>
      </c>
      <c r="H13" s="77">
        <v>400</v>
      </c>
      <c r="I13" s="10"/>
      <c r="J13" s="50">
        <v>13896</v>
      </c>
      <c r="K13" s="79">
        <v>200</v>
      </c>
      <c r="L13" s="51" t="s">
        <v>19</v>
      </c>
      <c r="M13" s="75">
        <v>13948</v>
      </c>
      <c r="N13" s="73">
        <v>1200</v>
      </c>
      <c r="O13" s="15" t="s">
        <v>230</v>
      </c>
    </row>
    <row r="14" spans="1:18" x14ac:dyDescent="0.25">
      <c r="A14" s="16">
        <v>13748</v>
      </c>
      <c r="B14" s="49">
        <v>200</v>
      </c>
      <c r="C14" s="17" t="s">
        <v>129</v>
      </c>
      <c r="D14" s="13">
        <v>13803</v>
      </c>
      <c r="E14" s="70"/>
      <c r="F14" s="14" t="s">
        <v>14</v>
      </c>
      <c r="G14" s="9">
        <v>13851</v>
      </c>
      <c r="H14" s="77">
        <v>400</v>
      </c>
      <c r="I14" s="10" t="s">
        <v>89</v>
      </c>
      <c r="J14" s="50">
        <v>13897</v>
      </c>
      <c r="K14" s="79">
        <v>200</v>
      </c>
      <c r="L14" s="51"/>
      <c r="M14" s="75"/>
      <c r="N14" s="73"/>
      <c r="O14" s="15" t="s">
        <v>16</v>
      </c>
    </row>
    <row r="15" spans="1:18" x14ac:dyDescent="0.25">
      <c r="A15" s="16">
        <v>13749</v>
      </c>
      <c r="B15" s="49">
        <v>300</v>
      </c>
      <c r="C15" s="17"/>
      <c r="D15" s="13">
        <v>13804</v>
      </c>
      <c r="E15" s="70"/>
      <c r="F15" s="14" t="s">
        <v>14</v>
      </c>
      <c r="G15" s="9"/>
      <c r="H15" s="77"/>
      <c r="I15" s="10" t="s">
        <v>159</v>
      </c>
      <c r="J15" s="50">
        <v>13898</v>
      </c>
      <c r="K15" s="79">
        <v>800</v>
      </c>
      <c r="L15" s="51" t="s">
        <v>38</v>
      </c>
      <c r="M15" s="75"/>
      <c r="N15" s="73"/>
      <c r="O15" s="15" t="s">
        <v>142</v>
      </c>
    </row>
    <row r="16" spans="1:18" x14ac:dyDescent="0.25">
      <c r="A16" s="16">
        <v>13750</v>
      </c>
      <c r="B16" s="49">
        <v>300</v>
      </c>
      <c r="C16" s="17" t="s">
        <v>128</v>
      </c>
      <c r="D16" s="13">
        <v>13805</v>
      </c>
      <c r="E16" s="70"/>
      <c r="F16" s="14" t="s">
        <v>144</v>
      </c>
      <c r="G16" s="9">
        <v>13852</v>
      </c>
      <c r="H16" s="77">
        <v>400</v>
      </c>
      <c r="I16" s="24" t="s">
        <v>89</v>
      </c>
      <c r="J16" s="50"/>
      <c r="K16" s="79"/>
      <c r="L16" s="51" t="s">
        <v>16</v>
      </c>
      <c r="M16" s="75"/>
      <c r="N16" s="73"/>
      <c r="O16" s="15"/>
    </row>
    <row r="17" spans="1:15" x14ac:dyDescent="0.25">
      <c r="A17" s="16">
        <v>13751</v>
      </c>
      <c r="B17" s="49">
        <v>400</v>
      </c>
      <c r="C17" s="17"/>
      <c r="D17" s="13"/>
      <c r="E17" s="70"/>
      <c r="F17" s="14" t="s">
        <v>145</v>
      </c>
      <c r="G17" s="9"/>
      <c r="H17" s="77"/>
      <c r="I17" s="10" t="s">
        <v>159</v>
      </c>
      <c r="J17" s="50">
        <v>13899</v>
      </c>
      <c r="K17" s="79">
        <v>100</v>
      </c>
      <c r="L17" s="51" t="s">
        <v>173</v>
      </c>
      <c r="M17" s="75"/>
      <c r="N17" s="73"/>
      <c r="O17" s="15"/>
    </row>
    <row r="18" spans="1:15" x14ac:dyDescent="0.25">
      <c r="A18" s="16">
        <v>13752</v>
      </c>
      <c r="B18" s="49">
        <v>400</v>
      </c>
      <c r="C18" s="17"/>
      <c r="D18" s="13"/>
      <c r="E18" s="70"/>
      <c r="F18" s="14" t="s">
        <v>141</v>
      </c>
      <c r="G18" s="9">
        <v>13853</v>
      </c>
      <c r="H18" s="77">
        <v>400</v>
      </c>
      <c r="I18" s="10" t="s">
        <v>38</v>
      </c>
      <c r="J18" s="50">
        <v>13900</v>
      </c>
      <c r="K18" s="79">
        <v>100</v>
      </c>
      <c r="L18" s="51" t="s">
        <v>173</v>
      </c>
      <c r="M18" s="75"/>
      <c r="N18" s="73"/>
      <c r="O18" s="15"/>
    </row>
    <row r="19" spans="1:15" x14ac:dyDescent="0.25">
      <c r="A19" s="16">
        <v>13753</v>
      </c>
      <c r="B19" s="49">
        <v>400</v>
      </c>
      <c r="C19" s="17"/>
      <c r="D19" s="13">
        <v>13806</v>
      </c>
      <c r="E19" s="70">
        <v>550</v>
      </c>
      <c r="F19" s="14" t="s">
        <v>148</v>
      </c>
      <c r="G19" s="9"/>
      <c r="H19" s="77"/>
      <c r="I19" s="10" t="s">
        <v>18</v>
      </c>
      <c r="J19" s="50">
        <v>13901</v>
      </c>
      <c r="K19" s="79">
        <v>700</v>
      </c>
      <c r="L19" s="51" t="s">
        <v>79</v>
      </c>
      <c r="M19" s="75"/>
      <c r="N19" s="73"/>
      <c r="O19" s="15"/>
    </row>
    <row r="20" spans="1:15" x14ac:dyDescent="0.25">
      <c r="A20" s="16">
        <v>13754</v>
      </c>
      <c r="B20" s="49">
        <v>1200</v>
      </c>
      <c r="C20" s="17" t="s">
        <v>130</v>
      </c>
      <c r="D20" s="13"/>
      <c r="E20" s="70"/>
      <c r="F20" s="14" t="s">
        <v>149</v>
      </c>
      <c r="G20" s="9">
        <v>13854</v>
      </c>
      <c r="H20" s="77">
        <v>500</v>
      </c>
      <c r="I20" s="10" t="s">
        <v>160</v>
      </c>
      <c r="J20" s="50"/>
      <c r="K20" s="79"/>
      <c r="L20" s="51" t="s">
        <v>174</v>
      </c>
      <c r="M20" s="75"/>
      <c r="N20" s="73"/>
      <c r="O20" s="15"/>
    </row>
    <row r="21" spans="1:15" x14ac:dyDescent="0.25">
      <c r="A21" s="16"/>
      <c r="B21" s="49"/>
      <c r="C21" s="17" t="s">
        <v>16</v>
      </c>
      <c r="D21" s="13">
        <v>13807</v>
      </c>
      <c r="E21" s="70">
        <v>500</v>
      </c>
      <c r="F21" s="14"/>
      <c r="G21" s="9">
        <v>13855</v>
      </c>
      <c r="H21" s="77">
        <v>400</v>
      </c>
      <c r="I21" s="10"/>
      <c r="J21" s="50"/>
      <c r="K21" s="79"/>
      <c r="L21" s="51" t="s">
        <v>175</v>
      </c>
      <c r="M21" s="75"/>
      <c r="N21" s="73"/>
      <c r="O21" s="15"/>
    </row>
    <row r="22" spans="1:15" x14ac:dyDescent="0.25">
      <c r="A22" s="16">
        <v>13755</v>
      </c>
      <c r="B22" s="49">
        <v>100</v>
      </c>
      <c r="C22" s="17" t="s">
        <v>30</v>
      </c>
      <c r="D22" s="13">
        <v>13808</v>
      </c>
      <c r="E22" s="70">
        <v>200</v>
      </c>
      <c r="F22" s="14"/>
      <c r="G22" s="9">
        <v>13856</v>
      </c>
      <c r="H22" s="77">
        <v>400</v>
      </c>
      <c r="I22" s="25" t="s">
        <v>38</v>
      </c>
      <c r="J22" s="50">
        <v>13902</v>
      </c>
      <c r="K22" s="79">
        <v>425</v>
      </c>
      <c r="L22" s="51" t="s">
        <v>176</v>
      </c>
      <c r="M22" s="75"/>
      <c r="N22" s="73"/>
      <c r="O22" s="15"/>
    </row>
    <row r="23" spans="1:15" x14ac:dyDescent="0.25">
      <c r="A23" s="16">
        <v>13756</v>
      </c>
      <c r="B23" s="49">
        <v>800</v>
      </c>
      <c r="C23" s="17" t="s">
        <v>38</v>
      </c>
      <c r="D23" s="13">
        <v>13809</v>
      </c>
      <c r="E23" s="70">
        <v>600</v>
      </c>
      <c r="F23" s="14" t="s">
        <v>150</v>
      </c>
      <c r="G23" s="9"/>
      <c r="H23" s="77"/>
      <c r="I23" s="10" t="s">
        <v>18</v>
      </c>
      <c r="J23" s="50">
        <v>13903</v>
      </c>
      <c r="K23" s="79">
        <v>500</v>
      </c>
      <c r="L23" s="52" t="s">
        <v>177</v>
      </c>
      <c r="M23" s="75"/>
      <c r="N23" s="73"/>
      <c r="O23" s="15"/>
    </row>
    <row r="24" spans="1:15" x14ac:dyDescent="0.25">
      <c r="A24" s="16"/>
      <c r="B24" s="49"/>
      <c r="C24" s="17" t="s">
        <v>16</v>
      </c>
      <c r="D24" s="13"/>
      <c r="E24" s="70"/>
      <c r="F24" s="14" t="s">
        <v>17</v>
      </c>
      <c r="G24" s="9">
        <v>13857</v>
      </c>
      <c r="H24" s="77">
        <v>200</v>
      </c>
      <c r="I24" s="10" t="s">
        <v>161</v>
      </c>
      <c r="J24" s="50"/>
      <c r="K24" s="79"/>
      <c r="L24" s="52" t="s">
        <v>173</v>
      </c>
      <c r="M24" s="75"/>
      <c r="N24" s="73"/>
      <c r="O24" s="15"/>
    </row>
    <row r="25" spans="1:15" x14ac:dyDescent="0.25">
      <c r="A25" s="16">
        <v>13757</v>
      </c>
      <c r="B25" s="49">
        <v>400</v>
      </c>
      <c r="C25" s="17"/>
      <c r="D25" s="13">
        <v>13810</v>
      </c>
      <c r="E25" s="70"/>
      <c r="F25" s="14" t="s">
        <v>14</v>
      </c>
      <c r="G25" s="9">
        <v>13858</v>
      </c>
      <c r="H25" s="77">
        <v>400</v>
      </c>
      <c r="I25" s="10"/>
      <c r="J25" s="50">
        <v>13904</v>
      </c>
      <c r="K25" s="79">
        <v>100</v>
      </c>
      <c r="L25" s="51" t="s">
        <v>173</v>
      </c>
      <c r="M25" s="75"/>
      <c r="N25" s="73"/>
      <c r="O25" s="15"/>
    </row>
    <row r="26" spans="1:15" x14ac:dyDescent="0.25">
      <c r="A26" s="16">
        <v>13758</v>
      </c>
      <c r="B26" s="49">
        <v>400</v>
      </c>
      <c r="C26" s="17"/>
      <c r="D26" s="13">
        <v>13811</v>
      </c>
      <c r="E26" s="70">
        <v>600</v>
      </c>
      <c r="F26" s="14" t="s">
        <v>38</v>
      </c>
      <c r="G26" s="9">
        <v>13859</v>
      </c>
      <c r="H26" s="77">
        <v>100</v>
      </c>
      <c r="I26" s="10"/>
      <c r="J26" s="50">
        <v>13905</v>
      </c>
      <c r="K26" s="79">
        <v>900</v>
      </c>
      <c r="L26" s="51" t="s">
        <v>178</v>
      </c>
      <c r="M26" s="75"/>
      <c r="N26" s="73"/>
      <c r="O26" s="15"/>
    </row>
    <row r="27" spans="1:15" x14ac:dyDescent="0.25">
      <c r="A27" s="16">
        <v>13759</v>
      </c>
      <c r="B27" s="49">
        <v>400</v>
      </c>
      <c r="C27" s="17"/>
      <c r="D27" s="13"/>
      <c r="E27" s="70"/>
      <c r="F27" s="14" t="s">
        <v>17</v>
      </c>
      <c r="G27" s="9">
        <v>13860</v>
      </c>
      <c r="H27" s="77">
        <v>200</v>
      </c>
      <c r="I27" s="10"/>
      <c r="J27" s="50"/>
      <c r="K27" s="79"/>
      <c r="L27" s="51" t="s">
        <v>179</v>
      </c>
      <c r="M27" s="75"/>
      <c r="N27" s="73"/>
      <c r="O27" s="15"/>
    </row>
    <row r="28" spans="1:15" x14ac:dyDescent="0.25">
      <c r="A28" s="16">
        <v>13760</v>
      </c>
      <c r="B28" s="49">
        <v>400</v>
      </c>
      <c r="C28" s="17"/>
      <c r="D28" s="13">
        <v>13812</v>
      </c>
      <c r="E28" s="70">
        <v>400</v>
      </c>
      <c r="F28" s="14" t="s">
        <v>128</v>
      </c>
      <c r="G28" s="9">
        <v>13861</v>
      </c>
      <c r="H28" s="77">
        <v>400</v>
      </c>
      <c r="I28" s="10"/>
      <c r="J28" s="50"/>
      <c r="K28" s="79"/>
      <c r="L28" s="51" t="s">
        <v>173</v>
      </c>
      <c r="M28" s="75"/>
      <c r="N28" s="73"/>
      <c r="O28" s="15"/>
    </row>
    <row r="29" spans="1:15" x14ac:dyDescent="0.25">
      <c r="A29" s="16">
        <v>13761</v>
      </c>
      <c r="B29" s="49">
        <v>400</v>
      </c>
      <c r="C29" s="17"/>
      <c r="D29" s="13">
        <v>13813</v>
      </c>
      <c r="E29" s="70">
        <v>800</v>
      </c>
      <c r="F29" s="14" t="s">
        <v>38</v>
      </c>
      <c r="G29" s="9">
        <v>13862</v>
      </c>
      <c r="H29" s="77">
        <v>300</v>
      </c>
      <c r="I29" s="10" t="s">
        <v>162</v>
      </c>
      <c r="J29" s="50">
        <v>13906</v>
      </c>
      <c r="K29" s="79">
        <v>200</v>
      </c>
      <c r="L29" s="51" t="s">
        <v>180</v>
      </c>
      <c r="M29" s="75"/>
      <c r="N29" s="73"/>
      <c r="O29" s="15"/>
    </row>
    <row r="30" spans="1:15" x14ac:dyDescent="0.25">
      <c r="A30" s="16">
        <v>13762</v>
      </c>
      <c r="B30" s="49">
        <v>600</v>
      </c>
      <c r="C30" s="17" t="s">
        <v>133</v>
      </c>
      <c r="D30" s="13"/>
      <c r="E30" s="70"/>
      <c r="F30" s="14" t="s">
        <v>16</v>
      </c>
      <c r="G30" s="9">
        <v>13863</v>
      </c>
      <c r="H30" s="77">
        <v>1500</v>
      </c>
      <c r="I30" s="10" t="s">
        <v>163</v>
      </c>
      <c r="J30" s="53">
        <v>13907</v>
      </c>
      <c r="K30" s="79">
        <v>800</v>
      </c>
      <c r="L30" s="51" t="s">
        <v>136</v>
      </c>
      <c r="M30" s="75"/>
      <c r="N30" s="73"/>
      <c r="O30" s="15"/>
    </row>
    <row r="31" spans="1:15" x14ac:dyDescent="0.25">
      <c r="A31" s="16"/>
      <c r="B31" s="49"/>
      <c r="C31" s="17" t="s">
        <v>18</v>
      </c>
      <c r="D31" s="13">
        <v>13814</v>
      </c>
      <c r="E31" s="70">
        <v>350</v>
      </c>
      <c r="F31" s="14"/>
      <c r="G31" s="9">
        <v>13864</v>
      </c>
      <c r="H31" s="77">
        <v>800</v>
      </c>
      <c r="I31" s="10" t="s">
        <v>38</v>
      </c>
      <c r="J31" s="50"/>
      <c r="K31" s="79"/>
      <c r="L31" s="51" t="s">
        <v>16</v>
      </c>
      <c r="M31" s="75"/>
      <c r="N31" s="73"/>
      <c r="O31" s="15"/>
    </row>
    <row r="32" spans="1:15" x14ac:dyDescent="0.25">
      <c r="A32" s="16">
        <v>13763</v>
      </c>
      <c r="B32" s="49">
        <v>2200</v>
      </c>
      <c r="C32" s="17" t="s">
        <v>77</v>
      </c>
      <c r="D32" s="13">
        <v>13815</v>
      </c>
      <c r="E32" s="70">
        <v>400</v>
      </c>
      <c r="F32" s="14"/>
      <c r="G32" s="9"/>
      <c r="H32" s="77"/>
      <c r="I32" s="10" t="s">
        <v>18</v>
      </c>
      <c r="J32" s="53">
        <v>13908</v>
      </c>
      <c r="K32" s="79">
        <v>100</v>
      </c>
      <c r="L32" s="51" t="s">
        <v>173</v>
      </c>
      <c r="M32" s="75"/>
      <c r="N32" s="73"/>
      <c r="O32" s="15"/>
    </row>
    <row r="33" spans="1:15" x14ac:dyDescent="0.25">
      <c r="A33" s="16"/>
      <c r="B33" s="49"/>
      <c r="C33" s="17" t="s">
        <v>131</v>
      </c>
      <c r="D33" s="13">
        <v>13816</v>
      </c>
      <c r="E33" s="70">
        <v>400</v>
      </c>
      <c r="F33" s="14"/>
      <c r="G33" s="9">
        <v>13865</v>
      </c>
      <c r="H33" s="77">
        <v>800</v>
      </c>
      <c r="I33" s="10" t="s">
        <v>38</v>
      </c>
      <c r="J33" s="50">
        <v>13909</v>
      </c>
      <c r="K33" s="79">
        <v>500</v>
      </c>
      <c r="L33" s="51" t="s">
        <v>181</v>
      </c>
      <c r="M33" s="75"/>
      <c r="N33" s="73"/>
      <c r="O33" s="15"/>
    </row>
    <row r="34" spans="1:15" x14ac:dyDescent="0.25">
      <c r="A34" s="16"/>
      <c r="B34" s="49"/>
      <c r="C34" s="17" t="s">
        <v>18</v>
      </c>
      <c r="D34" s="13">
        <v>13817</v>
      </c>
      <c r="E34" s="70">
        <v>300</v>
      </c>
      <c r="F34" s="14"/>
      <c r="G34" s="9"/>
      <c r="H34" s="77"/>
      <c r="I34" s="10" t="s">
        <v>16</v>
      </c>
      <c r="J34" s="50"/>
      <c r="K34" s="79"/>
      <c r="L34" s="51" t="s">
        <v>173</v>
      </c>
      <c r="M34" s="75"/>
      <c r="N34" s="73"/>
      <c r="O34" s="15"/>
    </row>
    <row r="35" spans="1:15" x14ac:dyDescent="0.25">
      <c r="A35" s="16">
        <v>13764</v>
      </c>
      <c r="B35" s="49">
        <v>400</v>
      </c>
      <c r="C35" s="17" t="s">
        <v>38</v>
      </c>
      <c r="D35" s="13">
        <v>13818</v>
      </c>
      <c r="E35" s="70">
        <v>400</v>
      </c>
      <c r="F35" s="20"/>
      <c r="G35" s="9">
        <v>13866</v>
      </c>
      <c r="H35" s="77">
        <v>400</v>
      </c>
      <c r="I35" s="10" t="s">
        <v>128</v>
      </c>
      <c r="J35" s="53">
        <v>13910</v>
      </c>
      <c r="K35" s="79"/>
      <c r="L35" s="51" t="s">
        <v>44</v>
      </c>
      <c r="M35" s="75"/>
      <c r="N35" s="73"/>
      <c r="O35" s="15"/>
    </row>
    <row r="36" spans="1:15" x14ac:dyDescent="0.25">
      <c r="A36" s="16"/>
      <c r="B36" s="49"/>
      <c r="C36" s="17" t="s">
        <v>18</v>
      </c>
      <c r="D36" s="13">
        <v>13819</v>
      </c>
      <c r="E36" s="70">
        <v>400</v>
      </c>
      <c r="F36" s="14" t="s">
        <v>128</v>
      </c>
      <c r="G36" s="9">
        <v>13867</v>
      </c>
      <c r="H36" s="77">
        <v>400</v>
      </c>
      <c r="I36" s="10" t="s">
        <v>38</v>
      </c>
      <c r="J36" s="53">
        <v>13911</v>
      </c>
      <c r="K36" s="79">
        <v>900</v>
      </c>
      <c r="L36" s="55" t="s">
        <v>38</v>
      </c>
      <c r="M36" s="75"/>
      <c r="N36" s="73"/>
      <c r="O36" s="15"/>
    </row>
    <row r="37" spans="1:15" x14ac:dyDescent="0.25">
      <c r="A37" s="16">
        <v>13765</v>
      </c>
      <c r="B37" s="49"/>
      <c r="C37" s="17" t="s">
        <v>14</v>
      </c>
      <c r="D37" s="13">
        <v>13820</v>
      </c>
      <c r="E37" s="70">
        <v>800</v>
      </c>
      <c r="F37" s="14" t="s">
        <v>38</v>
      </c>
      <c r="G37" s="9"/>
      <c r="H37" s="77"/>
      <c r="I37" s="10" t="s">
        <v>18</v>
      </c>
      <c r="J37" s="53"/>
      <c r="K37" s="72"/>
      <c r="L37" s="51" t="s">
        <v>182</v>
      </c>
      <c r="M37" s="75"/>
      <c r="N37" s="73"/>
      <c r="O37" s="15"/>
    </row>
    <row r="38" spans="1:15" x14ac:dyDescent="0.25">
      <c r="A38" s="16">
        <v>13766</v>
      </c>
      <c r="B38" s="49">
        <v>400</v>
      </c>
      <c r="C38" s="17"/>
      <c r="D38" s="13"/>
      <c r="E38" s="70"/>
      <c r="F38" s="14" t="s">
        <v>16</v>
      </c>
      <c r="G38" s="9">
        <v>13868</v>
      </c>
      <c r="H38" s="77">
        <v>200</v>
      </c>
      <c r="I38" s="10"/>
      <c r="J38" s="53"/>
      <c r="K38" s="72"/>
      <c r="L38" s="54" t="s">
        <v>173</v>
      </c>
      <c r="M38" s="75"/>
      <c r="N38" s="73"/>
      <c r="O38" s="15"/>
    </row>
    <row r="39" spans="1:15" x14ac:dyDescent="0.25">
      <c r="A39" s="16">
        <v>13767</v>
      </c>
      <c r="B39" s="49">
        <v>600</v>
      </c>
      <c r="C39" s="17" t="s">
        <v>94</v>
      </c>
      <c r="D39" s="13">
        <v>13821</v>
      </c>
      <c r="E39" s="70">
        <v>400</v>
      </c>
      <c r="F39" s="14" t="s">
        <v>128</v>
      </c>
      <c r="G39" s="9">
        <v>13869</v>
      </c>
      <c r="H39" s="77">
        <v>625</v>
      </c>
      <c r="I39" s="10" t="s">
        <v>164</v>
      </c>
      <c r="J39" s="53">
        <v>13912</v>
      </c>
      <c r="K39" s="72">
        <v>100</v>
      </c>
      <c r="L39" s="51" t="s">
        <v>173</v>
      </c>
      <c r="M39" s="75"/>
      <c r="N39" s="73"/>
      <c r="O39" s="15"/>
    </row>
    <row r="40" spans="1:15" x14ac:dyDescent="0.25">
      <c r="A40" s="16"/>
      <c r="B40" s="49"/>
      <c r="C40" s="17" t="s">
        <v>18</v>
      </c>
      <c r="D40" s="13">
        <v>13822</v>
      </c>
      <c r="E40" s="70">
        <v>200</v>
      </c>
      <c r="F40" s="14"/>
      <c r="G40" s="9"/>
      <c r="H40" s="77"/>
      <c r="I40" s="10" t="s">
        <v>165</v>
      </c>
      <c r="J40" s="53">
        <v>13913</v>
      </c>
      <c r="K40" s="72">
        <v>500</v>
      </c>
      <c r="L40" s="51" t="s">
        <v>183</v>
      </c>
      <c r="M40" s="75"/>
      <c r="N40" s="73"/>
      <c r="O40" s="15"/>
    </row>
    <row r="41" spans="1:15" x14ac:dyDescent="0.25">
      <c r="A41" s="16">
        <v>13768</v>
      </c>
      <c r="B41" s="49">
        <v>400</v>
      </c>
      <c r="C41" s="17"/>
      <c r="D41" s="13">
        <v>13823</v>
      </c>
      <c r="E41" s="70">
        <v>800</v>
      </c>
      <c r="F41" s="14" t="s">
        <v>38</v>
      </c>
      <c r="G41" s="9">
        <v>13870</v>
      </c>
      <c r="H41" s="77">
        <v>600</v>
      </c>
      <c r="I41" s="10" t="s">
        <v>38</v>
      </c>
      <c r="J41" s="53"/>
      <c r="K41" s="72"/>
      <c r="L41" s="51" t="s">
        <v>173</v>
      </c>
      <c r="M41" s="75"/>
      <c r="N41" s="73"/>
      <c r="O41" s="15"/>
    </row>
    <row r="42" spans="1:15" x14ac:dyDescent="0.25">
      <c r="A42" s="16">
        <v>13769</v>
      </c>
      <c r="B42" s="49">
        <v>800</v>
      </c>
      <c r="C42" s="17" t="s">
        <v>39</v>
      </c>
      <c r="D42" s="13"/>
      <c r="E42" s="70"/>
      <c r="F42" s="14" t="s">
        <v>16</v>
      </c>
      <c r="G42" s="9"/>
      <c r="H42" s="77"/>
      <c r="I42" s="10" t="s">
        <v>17</v>
      </c>
      <c r="J42" s="53">
        <v>13914</v>
      </c>
      <c r="K42" s="72">
        <v>100</v>
      </c>
      <c r="L42" s="51" t="s">
        <v>173</v>
      </c>
      <c r="M42" s="75"/>
      <c r="N42" s="73"/>
      <c r="O42" s="15"/>
    </row>
    <row r="43" spans="1:15" x14ac:dyDescent="0.25">
      <c r="A43" s="16"/>
      <c r="B43" s="49"/>
      <c r="C43" s="17" t="s">
        <v>16</v>
      </c>
      <c r="D43" s="13">
        <v>13824</v>
      </c>
      <c r="E43" s="70">
        <v>400</v>
      </c>
      <c r="F43" s="14"/>
      <c r="G43" s="9">
        <v>13871</v>
      </c>
      <c r="H43" s="77">
        <v>800</v>
      </c>
      <c r="I43" s="10" t="s">
        <v>38</v>
      </c>
      <c r="J43" s="53">
        <v>13915</v>
      </c>
      <c r="K43" s="72">
        <v>100</v>
      </c>
      <c r="L43" s="51" t="s">
        <v>173</v>
      </c>
      <c r="M43" s="75"/>
      <c r="N43" s="73"/>
      <c r="O43" s="15"/>
    </row>
    <row r="44" spans="1:15" x14ac:dyDescent="0.25">
      <c r="A44" s="16">
        <v>13770</v>
      </c>
      <c r="B44" s="49">
        <v>800</v>
      </c>
      <c r="C44" s="17" t="s">
        <v>38</v>
      </c>
      <c r="D44" s="13">
        <v>13825</v>
      </c>
      <c r="E44" s="70">
        <v>300</v>
      </c>
      <c r="F44" s="14"/>
      <c r="G44" s="9"/>
      <c r="H44" s="77"/>
      <c r="I44" s="10" t="s">
        <v>16</v>
      </c>
      <c r="J44" s="53">
        <v>13916</v>
      </c>
      <c r="K44" s="72">
        <v>500</v>
      </c>
      <c r="L44" s="51" t="s">
        <v>183</v>
      </c>
      <c r="M44" s="75"/>
      <c r="N44" s="73"/>
      <c r="O44" s="15"/>
    </row>
    <row r="45" spans="1:15" x14ac:dyDescent="0.25">
      <c r="A45" s="16">
        <v>13771</v>
      </c>
      <c r="B45" s="49">
        <v>450</v>
      </c>
      <c r="C45" s="17" t="s">
        <v>132</v>
      </c>
      <c r="D45" s="13">
        <v>13826</v>
      </c>
      <c r="E45" s="70">
        <v>300</v>
      </c>
      <c r="F45" s="14"/>
      <c r="G45" s="9">
        <v>13872</v>
      </c>
      <c r="H45" s="77">
        <v>4400</v>
      </c>
      <c r="I45" s="10" t="s">
        <v>56</v>
      </c>
      <c r="J45" s="53"/>
      <c r="K45" s="72"/>
      <c r="L45" s="51" t="s">
        <v>173</v>
      </c>
      <c r="M45" s="75"/>
      <c r="N45" s="73"/>
      <c r="O45" s="15"/>
    </row>
    <row r="46" spans="1:15" x14ac:dyDescent="0.25">
      <c r="A46" s="16">
        <v>13772</v>
      </c>
      <c r="B46" s="49">
        <v>400</v>
      </c>
      <c r="C46" s="17"/>
      <c r="D46" s="13">
        <v>13827</v>
      </c>
      <c r="E46" s="70">
        <v>600</v>
      </c>
      <c r="F46" s="69" t="s">
        <v>38</v>
      </c>
      <c r="G46" s="9"/>
      <c r="H46" s="77"/>
      <c r="I46" s="10" t="s">
        <v>166</v>
      </c>
      <c r="J46" s="53">
        <v>13917</v>
      </c>
      <c r="K46" s="72">
        <v>500</v>
      </c>
      <c r="L46" s="51" t="s">
        <v>177</v>
      </c>
      <c r="M46" s="75"/>
      <c r="N46" s="73"/>
      <c r="O46" s="15"/>
    </row>
    <row r="47" spans="1:15" x14ac:dyDescent="0.25">
      <c r="A47" s="16">
        <v>13773</v>
      </c>
      <c r="B47" s="49">
        <v>400</v>
      </c>
      <c r="C47" s="17"/>
      <c r="D47" s="13"/>
      <c r="E47" s="70"/>
      <c r="F47" s="14" t="s">
        <v>17</v>
      </c>
      <c r="G47" s="9">
        <v>13873</v>
      </c>
      <c r="H47" s="77">
        <v>750</v>
      </c>
      <c r="I47" s="10" t="s">
        <v>50</v>
      </c>
      <c r="J47" s="53"/>
      <c r="K47" s="72"/>
      <c r="L47" s="51" t="s">
        <v>173</v>
      </c>
      <c r="M47" s="75"/>
      <c r="N47" s="73"/>
      <c r="O47" s="15"/>
    </row>
    <row r="48" spans="1:15" x14ac:dyDescent="0.25">
      <c r="A48" s="16">
        <v>13774</v>
      </c>
      <c r="B48" s="49">
        <v>1200</v>
      </c>
      <c r="C48" s="17" t="s">
        <v>133</v>
      </c>
      <c r="D48" s="13">
        <v>13828</v>
      </c>
      <c r="E48" s="70">
        <v>400</v>
      </c>
      <c r="F48" s="14"/>
      <c r="G48" s="9"/>
      <c r="H48" s="77"/>
      <c r="I48" s="10" t="s">
        <v>20</v>
      </c>
      <c r="J48" s="53">
        <v>13918</v>
      </c>
      <c r="K48" s="72">
        <v>500</v>
      </c>
      <c r="L48" s="51" t="s">
        <v>177</v>
      </c>
      <c r="M48" s="75"/>
      <c r="N48" s="73"/>
      <c r="O48" s="15"/>
    </row>
    <row r="49" spans="1:15" x14ac:dyDescent="0.25">
      <c r="A49" s="16"/>
      <c r="B49" s="49"/>
      <c r="C49" s="17" t="s">
        <v>16</v>
      </c>
      <c r="D49" s="13">
        <v>13829</v>
      </c>
      <c r="E49" s="70">
        <v>1000</v>
      </c>
      <c r="F49" s="14" t="s">
        <v>151</v>
      </c>
      <c r="G49" s="9">
        <v>13874</v>
      </c>
      <c r="H49" s="77">
        <v>200</v>
      </c>
      <c r="I49" s="10" t="s">
        <v>128</v>
      </c>
      <c r="J49" s="53"/>
      <c r="K49" s="72"/>
      <c r="L49" s="54" t="s">
        <v>173</v>
      </c>
      <c r="M49" s="75"/>
      <c r="N49" s="73"/>
      <c r="O49" s="15"/>
    </row>
    <row r="50" spans="1:15" x14ac:dyDescent="0.25">
      <c r="A50" s="16">
        <v>13775</v>
      </c>
      <c r="B50" s="49">
        <v>400</v>
      </c>
      <c r="C50" s="17" t="s">
        <v>134</v>
      </c>
      <c r="D50" s="13"/>
      <c r="E50" s="70"/>
      <c r="F50" s="14" t="s">
        <v>152</v>
      </c>
      <c r="G50" s="9">
        <v>13875</v>
      </c>
      <c r="H50" s="77">
        <v>2000</v>
      </c>
      <c r="I50" s="10" t="s">
        <v>167</v>
      </c>
      <c r="J50" s="53">
        <v>13919</v>
      </c>
      <c r="K50" s="72">
        <v>400</v>
      </c>
      <c r="L50" s="51"/>
      <c r="M50" s="75"/>
      <c r="N50" s="73"/>
      <c r="O50" s="15"/>
    </row>
    <row r="51" spans="1:15" x14ac:dyDescent="0.25">
      <c r="A51" s="16">
        <v>13776</v>
      </c>
      <c r="B51" s="49">
        <v>50</v>
      </c>
      <c r="C51" s="17" t="s">
        <v>47</v>
      </c>
      <c r="D51" s="13">
        <v>13830</v>
      </c>
      <c r="E51" s="70">
        <v>400</v>
      </c>
      <c r="F51" s="14" t="s">
        <v>128</v>
      </c>
      <c r="G51" s="9"/>
      <c r="H51" s="77"/>
      <c r="I51" s="10" t="s">
        <v>168</v>
      </c>
      <c r="J51" s="53">
        <v>13920</v>
      </c>
      <c r="K51" s="72">
        <v>100</v>
      </c>
      <c r="L51" s="51" t="s">
        <v>173</v>
      </c>
      <c r="M51" s="75"/>
      <c r="N51" s="73"/>
      <c r="O51" s="15"/>
    </row>
    <row r="52" spans="1:15" x14ac:dyDescent="0.25">
      <c r="A52" s="16">
        <v>13777</v>
      </c>
      <c r="B52" s="49">
        <v>125</v>
      </c>
      <c r="C52" s="17"/>
      <c r="D52" s="13">
        <v>13831</v>
      </c>
      <c r="E52" s="70"/>
      <c r="F52" s="14" t="s">
        <v>153</v>
      </c>
      <c r="G52" s="9">
        <v>13876</v>
      </c>
      <c r="H52" s="77"/>
      <c r="I52" s="10" t="s">
        <v>14</v>
      </c>
      <c r="J52" s="50">
        <v>13921</v>
      </c>
      <c r="K52" s="79">
        <v>1300</v>
      </c>
      <c r="L52" s="51" t="s">
        <v>94</v>
      </c>
      <c r="M52" s="75"/>
      <c r="N52" s="73"/>
      <c r="O52" s="15"/>
    </row>
    <row r="53" spans="1:15" x14ac:dyDescent="0.25">
      <c r="A53" s="16">
        <v>13778</v>
      </c>
      <c r="B53" s="49">
        <v>800</v>
      </c>
      <c r="C53" s="17" t="s">
        <v>22</v>
      </c>
      <c r="D53" s="13"/>
      <c r="E53" s="70"/>
      <c r="F53" s="14" t="s">
        <v>141</v>
      </c>
      <c r="G53" s="9">
        <v>13877</v>
      </c>
      <c r="H53" s="77">
        <v>800</v>
      </c>
      <c r="I53" s="10" t="s">
        <v>38</v>
      </c>
      <c r="J53" s="50"/>
      <c r="K53" s="79"/>
      <c r="L53" s="51" t="s">
        <v>182</v>
      </c>
      <c r="M53" s="75"/>
      <c r="N53" s="73"/>
      <c r="O53" s="15"/>
    </row>
    <row r="54" spans="1:15" x14ac:dyDescent="0.25">
      <c r="A54" s="16"/>
      <c r="B54" s="49"/>
      <c r="C54" s="17" t="s">
        <v>135</v>
      </c>
      <c r="D54" s="13">
        <v>13832</v>
      </c>
      <c r="E54" s="70">
        <v>200</v>
      </c>
      <c r="F54" s="14" t="s">
        <v>121</v>
      </c>
      <c r="G54" s="9"/>
      <c r="H54" s="77"/>
      <c r="I54" s="10" t="s">
        <v>16</v>
      </c>
      <c r="J54" s="50"/>
      <c r="K54" s="79"/>
      <c r="L54" s="51" t="s">
        <v>173</v>
      </c>
      <c r="M54" s="75"/>
      <c r="N54" s="73"/>
      <c r="O54" s="15"/>
    </row>
    <row r="55" spans="1:15" x14ac:dyDescent="0.25">
      <c r="A55" s="16">
        <v>13779</v>
      </c>
      <c r="B55" s="49">
        <v>300</v>
      </c>
      <c r="C55" s="17"/>
      <c r="D55" s="13">
        <v>13833</v>
      </c>
      <c r="E55" s="70">
        <v>400</v>
      </c>
      <c r="F55" s="23"/>
      <c r="G55" s="9">
        <v>13878</v>
      </c>
      <c r="H55" s="77">
        <v>900</v>
      </c>
      <c r="I55" s="10" t="s">
        <v>169</v>
      </c>
      <c r="J55" s="50">
        <v>13922</v>
      </c>
      <c r="K55" s="79">
        <v>400</v>
      </c>
      <c r="L55" s="51" t="s">
        <v>183</v>
      </c>
      <c r="M55" s="75"/>
      <c r="N55" s="73"/>
      <c r="O55" s="15"/>
    </row>
    <row r="56" spans="1:15" x14ac:dyDescent="0.25">
      <c r="A56" s="16">
        <v>13780</v>
      </c>
      <c r="B56" s="49">
        <v>1000</v>
      </c>
      <c r="C56" s="17" t="s">
        <v>32</v>
      </c>
      <c r="D56" s="13">
        <v>13834</v>
      </c>
      <c r="E56" s="70">
        <v>200</v>
      </c>
      <c r="F56" s="23"/>
      <c r="G56" s="9"/>
      <c r="H56" s="77"/>
      <c r="I56" s="10" t="s">
        <v>17</v>
      </c>
      <c r="J56" s="50"/>
      <c r="K56" s="79"/>
      <c r="L56" s="88" t="s">
        <v>173</v>
      </c>
      <c r="M56" s="75"/>
      <c r="N56" s="73"/>
      <c r="O56" s="15"/>
    </row>
    <row r="57" spans="1:15" x14ac:dyDescent="0.25">
      <c r="A57" s="16"/>
      <c r="B57" s="49"/>
      <c r="C57" s="17" t="s">
        <v>33</v>
      </c>
      <c r="D57" s="13">
        <v>13835</v>
      </c>
      <c r="E57" s="70">
        <v>400</v>
      </c>
      <c r="F57" s="69"/>
      <c r="G57" s="9">
        <v>13879</v>
      </c>
      <c r="H57" s="77">
        <v>800</v>
      </c>
      <c r="I57" s="10" t="s">
        <v>38</v>
      </c>
      <c r="J57" s="50">
        <v>13923</v>
      </c>
      <c r="K57" s="79">
        <v>1000</v>
      </c>
      <c r="L57" s="51" t="s">
        <v>184</v>
      </c>
      <c r="M57" s="75"/>
      <c r="N57" s="73"/>
      <c r="O57" s="15"/>
    </row>
    <row r="58" spans="1:15" x14ac:dyDescent="0.25">
      <c r="A58" s="16">
        <v>13781</v>
      </c>
      <c r="B58" s="49">
        <v>400</v>
      </c>
      <c r="C58" s="17" t="s">
        <v>128</v>
      </c>
      <c r="D58" s="13">
        <v>13836</v>
      </c>
      <c r="E58" s="70">
        <v>600</v>
      </c>
      <c r="F58" s="14" t="s">
        <v>38</v>
      </c>
      <c r="G58" s="9"/>
      <c r="H58" s="77"/>
      <c r="I58" s="10" t="s">
        <v>16</v>
      </c>
      <c r="J58" s="53"/>
      <c r="K58" s="72"/>
      <c r="L58" s="54" t="s">
        <v>185</v>
      </c>
      <c r="M58" s="75"/>
      <c r="N58" s="73"/>
      <c r="O58" s="15"/>
    </row>
    <row r="59" spans="1:15" x14ac:dyDescent="0.25">
      <c r="A59" s="16">
        <v>13782</v>
      </c>
      <c r="B59" s="49">
        <v>250</v>
      </c>
      <c r="C59" s="17"/>
      <c r="D59" s="13"/>
      <c r="E59" s="70"/>
      <c r="F59" s="23" t="s">
        <v>17</v>
      </c>
      <c r="G59" s="9">
        <v>13880</v>
      </c>
      <c r="H59" s="77">
        <v>400</v>
      </c>
      <c r="I59" s="10"/>
      <c r="J59" s="53"/>
      <c r="K59" s="72"/>
      <c r="L59" s="54" t="s">
        <v>173</v>
      </c>
      <c r="M59" s="75"/>
      <c r="N59" s="73"/>
      <c r="O59" s="15"/>
    </row>
    <row r="60" spans="1:15" x14ac:dyDescent="0.25">
      <c r="A60" s="16">
        <v>13783</v>
      </c>
      <c r="B60" s="49">
        <v>400</v>
      </c>
      <c r="C60" s="17" t="s">
        <v>23</v>
      </c>
      <c r="D60" s="13">
        <v>13837</v>
      </c>
      <c r="E60" s="70">
        <v>1200</v>
      </c>
      <c r="F60" s="14" t="s">
        <v>79</v>
      </c>
      <c r="G60" s="9">
        <v>13881</v>
      </c>
      <c r="H60" s="77">
        <v>300</v>
      </c>
      <c r="I60" s="10" t="s">
        <v>128</v>
      </c>
      <c r="J60" s="53">
        <v>13924</v>
      </c>
      <c r="K60" s="79">
        <v>900</v>
      </c>
      <c r="L60" s="51" t="s">
        <v>38</v>
      </c>
      <c r="M60" s="75"/>
      <c r="N60" s="73"/>
      <c r="O60" s="15"/>
    </row>
    <row r="61" spans="1:15" x14ac:dyDescent="0.25">
      <c r="A61" s="16">
        <v>13784</v>
      </c>
      <c r="B61" s="49">
        <v>400</v>
      </c>
      <c r="C61" s="17" t="s">
        <v>136</v>
      </c>
      <c r="D61" s="13"/>
      <c r="E61" s="70"/>
      <c r="F61" s="14" t="s">
        <v>16</v>
      </c>
      <c r="G61" s="9">
        <v>13882</v>
      </c>
      <c r="H61" s="77">
        <v>400</v>
      </c>
      <c r="I61" s="10" t="s">
        <v>23</v>
      </c>
      <c r="J61" s="53"/>
      <c r="K61" s="72"/>
      <c r="L61" s="51" t="s">
        <v>16</v>
      </c>
      <c r="M61" s="75"/>
      <c r="N61" s="73"/>
      <c r="O61" s="15"/>
    </row>
    <row r="62" spans="1:15" x14ac:dyDescent="0.25">
      <c r="A62" s="16"/>
      <c r="B62" s="49"/>
      <c r="C62" s="21" t="s">
        <v>18</v>
      </c>
      <c r="D62" s="13">
        <v>13838</v>
      </c>
      <c r="E62" s="70">
        <v>200</v>
      </c>
      <c r="F62" s="14" t="s">
        <v>128</v>
      </c>
      <c r="G62" s="9">
        <v>13883</v>
      </c>
      <c r="H62" s="77">
        <v>50</v>
      </c>
      <c r="I62" s="10" t="s">
        <v>72</v>
      </c>
      <c r="J62" s="53"/>
      <c r="K62" s="72"/>
      <c r="L62" s="54" t="s">
        <v>173</v>
      </c>
      <c r="M62" s="75"/>
      <c r="N62" s="73"/>
      <c r="O62" s="15"/>
    </row>
    <row r="63" spans="1:15" x14ac:dyDescent="0.25">
      <c r="A63" s="16">
        <v>13785</v>
      </c>
      <c r="B63" s="49">
        <v>400</v>
      </c>
      <c r="C63" s="17"/>
      <c r="D63" s="13">
        <v>13839</v>
      </c>
      <c r="E63" s="70">
        <v>160</v>
      </c>
      <c r="F63" s="14" t="s">
        <v>19</v>
      </c>
      <c r="G63" s="9">
        <v>13884</v>
      </c>
      <c r="H63" s="77">
        <v>600</v>
      </c>
      <c r="I63" s="10" t="s">
        <v>170</v>
      </c>
      <c r="J63" s="53">
        <v>13925</v>
      </c>
      <c r="K63" s="72">
        <v>100</v>
      </c>
      <c r="L63" s="54" t="s">
        <v>173</v>
      </c>
      <c r="M63" s="75"/>
      <c r="N63" s="73"/>
      <c r="O63" s="15"/>
    </row>
    <row r="64" spans="1:15" x14ac:dyDescent="0.25">
      <c r="A64" s="16">
        <v>13786</v>
      </c>
      <c r="B64" s="49">
        <v>400</v>
      </c>
      <c r="C64" s="17"/>
      <c r="D64" s="13">
        <v>13840</v>
      </c>
      <c r="E64" s="70">
        <v>800</v>
      </c>
      <c r="F64" s="14" t="s">
        <v>38</v>
      </c>
      <c r="G64" s="9"/>
      <c r="H64" s="77"/>
      <c r="I64" s="10" t="s">
        <v>17</v>
      </c>
      <c r="J64" s="53">
        <v>13926</v>
      </c>
      <c r="K64" s="72">
        <v>1000</v>
      </c>
      <c r="L64" s="54" t="s">
        <v>94</v>
      </c>
      <c r="M64" s="75"/>
      <c r="N64" s="73"/>
      <c r="O64" s="15"/>
    </row>
    <row r="65" spans="1:15" x14ac:dyDescent="0.25">
      <c r="A65" s="16">
        <v>13787</v>
      </c>
      <c r="B65" s="49">
        <v>400</v>
      </c>
      <c r="C65" s="17" t="s">
        <v>137</v>
      </c>
      <c r="D65" s="13"/>
      <c r="E65" s="70"/>
      <c r="F65" s="14" t="s">
        <v>16</v>
      </c>
      <c r="G65" s="9">
        <v>13885</v>
      </c>
      <c r="H65" s="77">
        <v>400</v>
      </c>
      <c r="I65" s="10" t="s">
        <v>23</v>
      </c>
      <c r="J65" s="53"/>
      <c r="K65" s="72"/>
      <c r="L65" s="54" t="s">
        <v>185</v>
      </c>
      <c r="M65" s="75"/>
      <c r="N65" s="73"/>
      <c r="O65" s="15"/>
    </row>
    <row r="66" spans="1:15" x14ac:dyDescent="0.25">
      <c r="A66" s="16">
        <v>13788</v>
      </c>
      <c r="B66" s="49">
        <v>400</v>
      </c>
      <c r="C66" s="17"/>
      <c r="D66" s="13">
        <v>13841</v>
      </c>
      <c r="E66" s="70">
        <v>300</v>
      </c>
      <c r="F66" s="14"/>
      <c r="G66" s="9">
        <v>13886</v>
      </c>
      <c r="H66" s="77">
        <v>1200</v>
      </c>
      <c r="I66" s="10" t="s">
        <v>56</v>
      </c>
      <c r="J66" s="53"/>
      <c r="K66" s="72"/>
      <c r="L66" s="54" t="s">
        <v>173</v>
      </c>
      <c r="M66" s="75"/>
      <c r="N66" s="73"/>
      <c r="O66" s="15"/>
    </row>
    <row r="67" spans="1:15" x14ac:dyDescent="0.25">
      <c r="A67" s="16">
        <v>13789</v>
      </c>
      <c r="B67" s="49">
        <v>400</v>
      </c>
      <c r="C67" s="17" t="s">
        <v>128</v>
      </c>
      <c r="D67" s="13">
        <v>13842</v>
      </c>
      <c r="E67" s="70">
        <v>700</v>
      </c>
      <c r="F67" s="14" t="s">
        <v>150</v>
      </c>
      <c r="G67" s="9">
        <v>13887</v>
      </c>
      <c r="H67" s="77">
        <v>1200</v>
      </c>
      <c r="I67" s="10" t="s">
        <v>56</v>
      </c>
      <c r="J67" s="53">
        <v>13927</v>
      </c>
      <c r="K67" s="72">
        <v>500</v>
      </c>
      <c r="L67" s="54" t="s">
        <v>186</v>
      </c>
      <c r="M67" s="75"/>
      <c r="N67" s="73"/>
      <c r="O67" s="15"/>
    </row>
    <row r="68" spans="1:15" x14ac:dyDescent="0.25">
      <c r="A68" s="16">
        <v>13790</v>
      </c>
      <c r="B68" s="49">
        <v>4400</v>
      </c>
      <c r="C68" s="87" t="s">
        <v>77</v>
      </c>
      <c r="D68" s="13"/>
      <c r="E68" s="70"/>
      <c r="F68" s="14" t="s">
        <v>154</v>
      </c>
      <c r="G68" s="9">
        <v>13888</v>
      </c>
      <c r="H68" s="77">
        <v>900</v>
      </c>
      <c r="I68" s="10" t="s">
        <v>94</v>
      </c>
      <c r="J68" s="53"/>
      <c r="K68" s="72"/>
      <c r="L68" s="54" t="s">
        <v>173</v>
      </c>
      <c r="M68" s="75"/>
      <c r="N68" s="73"/>
      <c r="O68" s="15"/>
    </row>
    <row r="69" spans="1:15" x14ac:dyDescent="0.25">
      <c r="A69" s="16"/>
      <c r="B69" s="49"/>
      <c r="C69" s="17" t="s">
        <v>131</v>
      </c>
      <c r="D69" s="13">
        <v>13843</v>
      </c>
      <c r="E69" s="70">
        <v>450</v>
      </c>
      <c r="F69" s="14" t="s">
        <v>50</v>
      </c>
      <c r="G69" s="9"/>
      <c r="H69" s="77"/>
      <c r="I69" s="10" t="s">
        <v>17</v>
      </c>
      <c r="J69" s="53">
        <v>13928</v>
      </c>
      <c r="K69" s="72">
        <v>400</v>
      </c>
      <c r="L69" s="54" t="s">
        <v>177</v>
      </c>
      <c r="M69" s="75"/>
      <c r="N69" s="73"/>
      <c r="O69" s="15"/>
    </row>
    <row r="70" spans="1:15" x14ac:dyDescent="0.25">
      <c r="A70" s="16"/>
      <c r="B70" s="49"/>
      <c r="C70" s="17" t="s">
        <v>16</v>
      </c>
      <c r="D70" s="13"/>
      <c r="E70" s="70"/>
      <c r="F70" s="14" t="s">
        <v>78</v>
      </c>
      <c r="G70" s="9">
        <v>13889</v>
      </c>
      <c r="H70" s="77">
        <v>50</v>
      </c>
      <c r="I70" s="10" t="s">
        <v>72</v>
      </c>
      <c r="J70" s="53"/>
      <c r="K70" s="72"/>
      <c r="L70" s="54" t="s">
        <v>173</v>
      </c>
      <c r="M70" s="75"/>
      <c r="N70" s="73"/>
      <c r="O70" s="15"/>
    </row>
    <row r="71" spans="1:15" x14ac:dyDescent="0.25">
      <c r="A71" s="16">
        <v>13791</v>
      </c>
      <c r="B71" s="49">
        <v>300</v>
      </c>
      <c r="C71" s="22" t="s">
        <v>38</v>
      </c>
      <c r="D71" s="13">
        <v>13844</v>
      </c>
      <c r="E71" s="70">
        <v>50</v>
      </c>
      <c r="F71" s="14" t="s">
        <v>72</v>
      </c>
      <c r="G71" s="9">
        <v>13890</v>
      </c>
      <c r="H71" s="77">
        <v>400</v>
      </c>
      <c r="I71" s="10" t="s">
        <v>171</v>
      </c>
      <c r="J71" s="53">
        <v>13929</v>
      </c>
      <c r="K71" s="72">
        <v>1750</v>
      </c>
      <c r="L71" s="54" t="s">
        <v>187</v>
      </c>
      <c r="M71" s="75"/>
      <c r="N71" s="73"/>
      <c r="O71" s="15"/>
    </row>
    <row r="72" spans="1:15" x14ac:dyDescent="0.25">
      <c r="A72" s="16"/>
      <c r="B72" s="49"/>
      <c r="C72" s="17" t="s">
        <v>78</v>
      </c>
      <c r="D72" s="13">
        <v>13845</v>
      </c>
      <c r="E72" s="70">
        <v>1200</v>
      </c>
      <c r="F72" s="14" t="s">
        <v>79</v>
      </c>
      <c r="G72" s="11">
        <v>13891</v>
      </c>
      <c r="H72" s="67">
        <v>400</v>
      </c>
      <c r="I72" s="12" t="s">
        <v>38</v>
      </c>
      <c r="J72" s="53"/>
      <c r="K72" s="72"/>
      <c r="L72" s="54" t="s">
        <v>188</v>
      </c>
      <c r="M72" s="75"/>
      <c r="N72" s="73"/>
      <c r="O72" s="15"/>
    </row>
    <row r="73" spans="1:15" x14ac:dyDescent="0.25">
      <c r="A73" s="16">
        <v>13792</v>
      </c>
      <c r="B73" s="49">
        <v>400</v>
      </c>
      <c r="C73" s="17"/>
      <c r="D73" s="13"/>
      <c r="E73" s="70"/>
      <c r="F73" s="14" t="s">
        <v>16</v>
      </c>
      <c r="G73" s="11"/>
      <c r="H73" s="67"/>
      <c r="I73" s="12" t="s">
        <v>18</v>
      </c>
      <c r="J73" s="53"/>
      <c r="K73" s="72"/>
      <c r="L73" s="54" t="s">
        <v>173</v>
      </c>
      <c r="M73" s="75"/>
      <c r="N73" s="73"/>
      <c r="O73" s="15"/>
    </row>
    <row r="74" spans="1:15" x14ac:dyDescent="0.25">
      <c r="A74" s="16">
        <v>13793</v>
      </c>
      <c r="B74" s="49">
        <v>800</v>
      </c>
      <c r="C74" s="17" t="s">
        <v>22</v>
      </c>
      <c r="D74" s="13">
        <v>13846</v>
      </c>
      <c r="E74" s="70">
        <v>300</v>
      </c>
      <c r="F74" s="14"/>
      <c r="G74" s="11"/>
      <c r="H74" s="67"/>
      <c r="I74" s="12"/>
      <c r="J74" s="53">
        <v>13930</v>
      </c>
      <c r="K74" s="72">
        <v>200</v>
      </c>
      <c r="L74" s="54" t="s">
        <v>19</v>
      </c>
      <c r="M74" s="75"/>
      <c r="N74" s="73"/>
      <c r="O74" s="15"/>
    </row>
    <row r="75" spans="1:15" x14ac:dyDescent="0.25">
      <c r="A75" s="16"/>
      <c r="B75" s="49"/>
      <c r="C75" s="17" t="s">
        <v>16</v>
      </c>
      <c r="D75" s="13"/>
      <c r="E75" s="70"/>
      <c r="F75" s="14"/>
      <c r="G75" s="11"/>
      <c r="H75" s="67"/>
      <c r="I75" s="12"/>
      <c r="J75" s="53">
        <v>13931</v>
      </c>
      <c r="K75" s="72">
        <v>1300</v>
      </c>
      <c r="L75" s="54" t="s">
        <v>79</v>
      </c>
      <c r="M75" s="75"/>
      <c r="N75" s="73"/>
      <c r="O75" s="15"/>
    </row>
    <row r="76" spans="1:15" x14ac:dyDescent="0.25">
      <c r="A76" s="16">
        <v>13794</v>
      </c>
      <c r="B76" s="49">
        <v>400</v>
      </c>
      <c r="C76" s="17"/>
      <c r="D76" s="13"/>
      <c r="E76" s="70"/>
      <c r="F76" s="14"/>
      <c r="G76" s="11"/>
      <c r="H76" s="67"/>
      <c r="I76" s="12"/>
      <c r="J76" s="53"/>
      <c r="K76" s="72"/>
      <c r="L76" s="54" t="s">
        <v>182</v>
      </c>
      <c r="M76" s="75"/>
      <c r="N76" s="73"/>
      <c r="O76" s="15"/>
    </row>
    <row r="77" spans="1:15" x14ac:dyDescent="0.25">
      <c r="A77" s="16">
        <v>13795</v>
      </c>
      <c r="B77" s="49">
        <v>4400</v>
      </c>
      <c r="C77" s="17" t="s">
        <v>77</v>
      </c>
      <c r="D77" s="13"/>
      <c r="E77" s="70"/>
      <c r="F77" s="14"/>
      <c r="G77" s="11"/>
      <c r="H77" s="67"/>
      <c r="I77" s="12"/>
      <c r="J77" s="53"/>
      <c r="K77" s="72"/>
      <c r="L77" s="54" t="s">
        <v>173</v>
      </c>
      <c r="M77" s="75"/>
      <c r="N77" s="73"/>
      <c r="O77" s="15"/>
    </row>
    <row r="78" spans="1:15" x14ac:dyDescent="0.25">
      <c r="A78" s="16"/>
      <c r="B78" s="49"/>
      <c r="C78" s="17" t="s">
        <v>131</v>
      </c>
      <c r="D78" s="13"/>
      <c r="E78" s="70"/>
      <c r="F78" s="14"/>
      <c r="G78" s="11"/>
      <c r="H78" s="67"/>
      <c r="I78" s="12"/>
      <c r="J78" s="53">
        <v>13932</v>
      </c>
      <c r="K78" s="72">
        <v>600</v>
      </c>
      <c r="L78" s="54" t="s">
        <v>150</v>
      </c>
      <c r="M78" s="75"/>
      <c r="N78" s="73"/>
      <c r="O78" s="15"/>
    </row>
    <row r="79" spans="1:15" x14ac:dyDescent="0.25">
      <c r="A79" s="16"/>
      <c r="B79" s="49"/>
      <c r="C79" s="17" t="s">
        <v>16</v>
      </c>
      <c r="D79" s="13"/>
      <c r="E79" s="70"/>
      <c r="F79" s="14"/>
      <c r="G79" s="11"/>
      <c r="H79" s="67"/>
      <c r="I79" s="12"/>
      <c r="J79" s="53"/>
      <c r="K79" s="72"/>
      <c r="L79" s="54" t="s">
        <v>189</v>
      </c>
      <c r="M79" s="75"/>
      <c r="N79" s="73"/>
      <c r="O79" s="15"/>
    </row>
    <row r="80" spans="1:15" x14ac:dyDescent="0.25">
      <c r="A80" s="16">
        <v>13796</v>
      </c>
      <c r="B80" s="49">
        <v>850</v>
      </c>
      <c r="C80" s="17" t="s">
        <v>138</v>
      </c>
      <c r="D80" s="13"/>
      <c r="E80" s="70"/>
      <c r="F80" s="14"/>
      <c r="G80" s="11"/>
      <c r="H80" s="67"/>
      <c r="I80" s="12"/>
      <c r="J80" s="53">
        <v>13933</v>
      </c>
      <c r="K80" s="72">
        <v>600</v>
      </c>
      <c r="L80" s="54" t="s">
        <v>150</v>
      </c>
      <c r="M80" s="75"/>
      <c r="N80" s="73"/>
      <c r="O80" s="15"/>
    </row>
    <row r="81" spans="1:15" x14ac:dyDescent="0.25">
      <c r="A81" s="16"/>
      <c r="B81" s="49"/>
      <c r="C81" s="17" t="s">
        <v>139</v>
      </c>
      <c r="D81" s="13"/>
      <c r="E81" s="70"/>
      <c r="F81" s="14"/>
      <c r="G81" s="11"/>
      <c r="H81" s="67"/>
      <c r="I81" s="12"/>
      <c r="J81" s="53"/>
      <c r="K81" s="72"/>
      <c r="L81" s="54" t="s">
        <v>190</v>
      </c>
      <c r="M81" s="75"/>
      <c r="N81" s="73"/>
      <c r="O81" s="15"/>
    </row>
    <row r="82" spans="1:15" x14ac:dyDescent="0.25">
      <c r="A82" s="16">
        <v>13797</v>
      </c>
      <c r="B82" s="49">
        <v>400</v>
      </c>
      <c r="C82" s="17"/>
      <c r="D82" s="13"/>
      <c r="E82" s="70"/>
      <c r="F82" s="14"/>
      <c r="G82" s="11"/>
      <c r="H82" s="67"/>
      <c r="I82" s="12"/>
      <c r="J82" s="53"/>
      <c r="K82" s="72"/>
      <c r="L82" s="54" t="s">
        <v>173</v>
      </c>
      <c r="M82" s="75"/>
      <c r="N82" s="73"/>
      <c r="O82" s="15"/>
    </row>
    <row r="83" spans="1:15" x14ac:dyDescent="0.25">
      <c r="A83" s="16">
        <v>13798</v>
      </c>
      <c r="B83" s="49">
        <v>500</v>
      </c>
      <c r="C83" s="17"/>
      <c r="D83" s="13"/>
      <c r="E83" s="70"/>
      <c r="F83" s="14"/>
      <c r="G83" s="11"/>
      <c r="H83" s="67"/>
      <c r="I83" s="12"/>
      <c r="J83" s="53">
        <v>13934</v>
      </c>
      <c r="K83" s="72">
        <v>150</v>
      </c>
      <c r="L83" s="54" t="s">
        <v>173</v>
      </c>
      <c r="M83" s="75"/>
      <c r="N83" s="73"/>
      <c r="O83" s="15"/>
    </row>
    <row r="84" spans="1:15" x14ac:dyDescent="0.25">
      <c r="A84" s="16">
        <v>13802</v>
      </c>
      <c r="B84" s="49"/>
      <c r="C84" s="17" t="s">
        <v>142</v>
      </c>
      <c r="D84" s="13"/>
      <c r="E84" s="70"/>
      <c r="F84" s="14"/>
      <c r="G84" s="11"/>
      <c r="H84" s="67"/>
      <c r="I84" s="12"/>
      <c r="J84" s="53"/>
      <c r="K84" s="72"/>
      <c r="L84" s="54" t="s">
        <v>191</v>
      </c>
      <c r="M84" s="75"/>
      <c r="N84" s="73"/>
      <c r="O84" s="15"/>
    </row>
    <row r="85" spans="1:15" x14ac:dyDescent="0.25">
      <c r="A85" s="16"/>
      <c r="B85" s="49"/>
      <c r="C85" s="17" t="s">
        <v>143</v>
      </c>
      <c r="D85" s="13"/>
      <c r="E85" s="70"/>
      <c r="F85" s="14"/>
      <c r="G85" s="11"/>
      <c r="H85" s="67"/>
      <c r="I85" s="12"/>
      <c r="J85" s="53">
        <v>13935</v>
      </c>
      <c r="K85" s="72">
        <v>100</v>
      </c>
      <c r="L85" s="54" t="s">
        <v>173</v>
      </c>
      <c r="M85" s="75"/>
      <c r="N85" s="73"/>
      <c r="O85" s="15"/>
    </row>
    <row r="86" spans="1:15" x14ac:dyDescent="0.25">
      <c r="A86" s="16">
        <v>13805</v>
      </c>
      <c r="B86" s="49"/>
      <c r="C86" s="17" t="s">
        <v>144</v>
      </c>
      <c r="D86" s="13"/>
      <c r="E86" s="70"/>
      <c r="F86" s="14"/>
      <c r="G86" s="11"/>
      <c r="H86" s="67"/>
      <c r="I86" s="12"/>
      <c r="J86" s="53">
        <v>13936</v>
      </c>
      <c r="K86" s="72">
        <v>400</v>
      </c>
      <c r="L86" s="54"/>
      <c r="M86" s="75"/>
      <c r="N86" s="73"/>
      <c r="O86" s="15"/>
    </row>
    <row r="87" spans="1:15" x14ac:dyDescent="0.25">
      <c r="A87" s="16"/>
      <c r="B87" s="49"/>
      <c r="C87" s="17" t="s">
        <v>146</v>
      </c>
      <c r="D87" s="13"/>
      <c r="E87" s="70"/>
      <c r="F87" s="14"/>
      <c r="G87" s="11"/>
      <c r="H87" s="67"/>
      <c r="I87" s="12"/>
      <c r="J87" s="53">
        <v>13937</v>
      </c>
      <c r="K87" s="72">
        <v>100</v>
      </c>
      <c r="L87" s="54" t="s">
        <v>173</v>
      </c>
      <c r="M87" s="75"/>
      <c r="N87" s="73"/>
      <c r="O87" s="15"/>
    </row>
    <row r="88" spans="1:15" x14ac:dyDescent="0.25">
      <c r="A88" s="16"/>
      <c r="B88" s="49"/>
      <c r="C88" s="17" t="s">
        <v>147</v>
      </c>
      <c r="D88" s="13"/>
      <c r="E88" s="70"/>
      <c r="F88" s="14"/>
      <c r="G88" s="11"/>
      <c r="H88" s="67"/>
      <c r="I88" s="12"/>
      <c r="J88" s="53">
        <v>13938</v>
      </c>
      <c r="K88" s="72">
        <v>700</v>
      </c>
      <c r="L88" s="54" t="s">
        <v>55</v>
      </c>
      <c r="M88" s="75"/>
      <c r="N88" s="73"/>
      <c r="O88" s="15"/>
    </row>
    <row r="89" spans="1:15" x14ac:dyDescent="0.25">
      <c r="A89" s="16">
        <v>13831</v>
      </c>
      <c r="B89" s="49"/>
      <c r="C89" s="17" t="s">
        <v>39</v>
      </c>
      <c r="D89" s="13"/>
      <c r="E89" s="70"/>
      <c r="F89" s="14"/>
      <c r="G89" s="11"/>
      <c r="H89" s="67"/>
      <c r="I89" s="12"/>
      <c r="J89" s="53"/>
      <c r="K89" s="72"/>
      <c r="L89" s="54" t="s">
        <v>192</v>
      </c>
      <c r="M89" s="75"/>
      <c r="N89" s="73"/>
      <c r="O89" s="15"/>
    </row>
    <row r="90" spans="1:15" x14ac:dyDescent="0.25">
      <c r="A90" s="16"/>
      <c r="B90" s="49"/>
      <c r="C90" s="17" t="s">
        <v>18</v>
      </c>
      <c r="D90" s="13"/>
      <c r="E90" s="70"/>
      <c r="F90" s="14"/>
      <c r="G90" s="11"/>
      <c r="H90" s="67"/>
      <c r="I90" s="12"/>
      <c r="J90" s="53"/>
      <c r="K90" s="72"/>
      <c r="L90" s="54" t="s">
        <v>173</v>
      </c>
      <c r="M90" s="75"/>
      <c r="N90" s="73"/>
      <c r="O90" s="15"/>
    </row>
    <row r="91" spans="1:15" x14ac:dyDescent="0.25">
      <c r="A91" s="16"/>
      <c r="B91" s="49"/>
      <c r="C91" s="17" t="s">
        <v>145</v>
      </c>
      <c r="D91" s="13"/>
      <c r="E91" s="70"/>
      <c r="F91" s="14"/>
      <c r="G91" s="11"/>
      <c r="H91" s="67"/>
      <c r="I91" s="12"/>
      <c r="J91" s="53">
        <v>13939</v>
      </c>
      <c r="K91" s="72">
        <v>700</v>
      </c>
      <c r="L91" s="54" t="s">
        <v>79</v>
      </c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53"/>
      <c r="K92" s="72"/>
      <c r="L92" s="54" t="s">
        <v>193</v>
      </c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53"/>
      <c r="K93" s="72"/>
      <c r="L93" s="54" t="s">
        <v>173</v>
      </c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53">
        <v>13940</v>
      </c>
      <c r="K94" s="72">
        <v>750</v>
      </c>
      <c r="L94" s="54" t="s">
        <v>62</v>
      </c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 t="s">
        <v>194</v>
      </c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>
        <v>13941</v>
      </c>
      <c r="K96" s="72">
        <v>100</v>
      </c>
      <c r="L96" s="54" t="s">
        <v>173</v>
      </c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>
        <v>13942</v>
      </c>
      <c r="K97" s="72">
        <v>500</v>
      </c>
      <c r="L97" s="54" t="s">
        <v>186</v>
      </c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 t="s">
        <v>173</v>
      </c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E5" zoomScaleNormal="100" workbookViewId="0">
      <pane ySplit="3" topLeftCell="A8" activePane="bottomLeft" state="frozen"/>
      <selection activeCell="A5" sqref="A5"/>
      <selection pane="bottomLeft" activeCell="M8" sqref="M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27" t="s">
        <v>6</v>
      </c>
      <c r="K5" s="127"/>
      <c r="L5" s="127"/>
      <c r="M5" s="119" t="s">
        <v>12</v>
      </c>
      <c r="N5" s="129"/>
      <c r="O5" s="130"/>
      <c r="Q5" s="128" t="s">
        <v>13</v>
      </c>
      <c r="R5" s="128"/>
    </row>
    <row r="6" spans="1:18" x14ac:dyDescent="0.25">
      <c r="A6" s="8">
        <f>SUBTOTAL(3,A8:A120)</f>
        <v>66</v>
      </c>
      <c r="B6" s="8">
        <f>SUBTOTAL(9,B8:B141)</f>
        <v>40400</v>
      </c>
      <c r="C6" s="35">
        <v>42799</v>
      </c>
      <c r="D6" s="8">
        <f>SUBTOTAL(3,D8:D120)</f>
        <v>28</v>
      </c>
      <c r="E6" s="1">
        <f>SUBTOTAL(9,E8:E120)</f>
        <v>12975</v>
      </c>
      <c r="F6" s="38">
        <v>42806</v>
      </c>
      <c r="G6" s="8">
        <f>SUBTOTAL(3,G8:G120)</f>
        <v>37</v>
      </c>
      <c r="H6" s="1">
        <f>SUBTOTAL(9,H8:H120)</f>
        <v>19350</v>
      </c>
      <c r="I6" s="39">
        <v>42813</v>
      </c>
      <c r="J6" s="8">
        <f>SUBTOTAL(3,J8:J110)</f>
        <v>39</v>
      </c>
      <c r="K6" s="1">
        <f>SUBTOTAL(9,K8:K110)</f>
        <v>25950</v>
      </c>
      <c r="L6" s="83">
        <v>42820</v>
      </c>
      <c r="M6" s="1">
        <f>SUBTOTAL(3,M8:M120)</f>
        <v>0</v>
      </c>
      <c r="N6" s="1">
        <f>SUBTOTAL(9,N8:N120)</f>
        <v>0</v>
      </c>
      <c r="O6" s="85"/>
      <c r="Q6" s="30">
        <f>+A6+D6+G6+J6+M6</f>
        <v>170</v>
      </c>
      <c r="R6" s="34">
        <f>+B6+E6+H6+K6+N6</f>
        <v>98675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8" t="s">
        <v>1</v>
      </c>
      <c r="K7" s="78" t="s">
        <v>3</v>
      </c>
      <c r="L7" s="78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13949</v>
      </c>
      <c r="B8" s="49">
        <v>50</v>
      </c>
      <c r="C8" s="17" t="s">
        <v>47</v>
      </c>
      <c r="D8" s="13">
        <v>14026</v>
      </c>
      <c r="E8" s="70">
        <v>600</v>
      </c>
      <c r="F8" s="14" t="s">
        <v>91</v>
      </c>
      <c r="G8" s="11">
        <v>14054</v>
      </c>
      <c r="H8" s="67">
        <v>400</v>
      </c>
      <c r="I8" s="12"/>
      <c r="J8" s="80">
        <v>14091</v>
      </c>
      <c r="K8" s="81">
        <v>1300</v>
      </c>
      <c r="L8" s="82" t="s">
        <v>79</v>
      </c>
      <c r="M8" s="75"/>
      <c r="N8" s="73"/>
      <c r="O8" s="15"/>
      <c r="Q8" s="32"/>
      <c r="R8" s="32"/>
    </row>
    <row r="9" spans="1:18" x14ac:dyDescent="0.25">
      <c r="A9" s="16">
        <v>13950</v>
      </c>
      <c r="B9" s="49">
        <v>100</v>
      </c>
      <c r="C9" s="17" t="s">
        <v>173</v>
      </c>
      <c r="D9" s="13">
        <v>14027</v>
      </c>
      <c r="E9" s="70">
        <v>100</v>
      </c>
      <c r="F9" s="14" t="s">
        <v>173</v>
      </c>
      <c r="G9" s="11">
        <v>14055</v>
      </c>
      <c r="H9" s="67">
        <v>200</v>
      </c>
      <c r="I9" s="12" t="s">
        <v>19</v>
      </c>
      <c r="J9" s="53"/>
      <c r="K9" s="72"/>
      <c r="L9" s="54" t="s">
        <v>182</v>
      </c>
      <c r="M9" s="75"/>
      <c r="N9" s="73"/>
      <c r="O9" s="15"/>
    </row>
    <row r="10" spans="1:18" x14ac:dyDescent="0.25">
      <c r="A10" s="16">
        <v>13951</v>
      </c>
      <c r="B10" s="49">
        <v>100</v>
      </c>
      <c r="C10" s="17" t="s">
        <v>173</v>
      </c>
      <c r="D10" s="13">
        <v>14028</v>
      </c>
      <c r="E10" s="70">
        <v>200</v>
      </c>
      <c r="F10" s="14"/>
      <c r="G10" s="11">
        <v>14056</v>
      </c>
      <c r="H10" s="67">
        <v>550</v>
      </c>
      <c r="I10" s="12" t="s">
        <v>79</v>
      </c>
      <c r="J10" s="53"/>
      <c r="K10" s="72"/>
      <c r="L10" s="54" t="s">
        <v>261</v>
      </c>
      <c r="M10" s="75"/>
      <c r="N10" s="73"/>
      <c r="O10" s="15"/>
    </row>
    <row r="11" spans="1:18" x14ac:dyDescent="0.25">
      <c r="A11" s="16">
        <v>13952</v>
      </c>
      <c r="B11" s="49">
        <v>100</v>
      </c>
      <c r="C11" s="17" t="s">
        <v>173</v>
      </c>
      <c r="D11" s="13">
        <v>14029</v>
      </c>
      <c r="E11" s="70"/>
      <c r="F11" s="14" t="s">
        <v>231</v>
      </c>
      <c r="G11" s="11"/>
      <c r="H11" s="67"/>
      <c r="I11" s="12" t="s">
        <v>242</v>
      </c>
      <c r="J11" s="53">
        <v>14092</v>
      </c>
      <c r="K11" s="72">
        <v>500</v>
      </c>
      <c r="L11" s="54" t="s">
        <v>262</v>
      </c>
      <c r="M11" s="75"/>
      <c r="N11" s="73"/>
      <c r="O11" s="15"/>
    </row>
    <row r="12" spans="1:18" x14ac:dyDescent="0.25">
      <c r="A12" s="16">
        <v>13953</v>
      </c>
      <c r="B12" s="49">
        <v>400</v>
      </c>
      <c r="C12" s="17" t="s">
        <v>91</v>
      </c>
      <c r="D12" s="13">
        <v>14030</v>
      </c>
      <c r="E12" s="70">
        <v>100</v>
      </c>
      <c r="F12" s="14" t="s">
        <v>30</v>
      </c>
      <c r="G12" s="11"/>
      <c r="H12" s="67"/>
      <c r="I12" s="12" t="s">
        <v>243</v>
      </c>
      <c r="J12" s="53"/>
      <c r="K12" s="72"/>
      <c r="L12" s="54" t="s">
        <v>261</v>
      </c>
      <c r="M12" s="75"/>
      <c r="N12" s="73"/>
      <c r="O12" s="15"/>
    </row>
    <row r="13" spans="1:18" x14ac:dyDescent="0.25">
      <c r="A13" s="16">
        <v>13954</v>
      </c>
      <c r="B13" s="49">
        <v>500</v>
      </c>
      <c r="C13" s="17" t="s">
        <v>196</v>
      </c>
      <c r="D13" s="13">
        <v>14031</v>
      </c>
      <c r="E13" s="70">
        <v>100</v>
      </c>
      <c r="F13" s="14" t="s">
        <v>173</v>
      </c>
      <c r="G13" s="11">
        <v>14057</v>
      </c>
      <c r="H13" s="67">
        <v>1800</v>
      </c>
      <c r="I13" s="12" t="s">
        <v>32</v>
      </c>
      <c r="J13" s="53">
        <v>14093</v>
      </c>
      <c r="K13" s="72">
        <v>500</v>
      </c>
      <c r="L13" s="54" t="s">
        <v>262</v>
      </c>
      <c r="M13" s="75"/>
      <c r="N13" s="73"/>
      <c r="O13" s="15"/>
    </row>
    <row r="14" spans="1:18" x14ac:dyDescent="0.25">
      <c r="A14" s="16"/>
      <c r="B14" s="49"/>
      <c r="C14" s="17" t="s">
        <v>197</v>
      </c>
      <c r="D14" s="13">
        <v>14032</v>
      </c>
      <c r="E14" s="70">
        <v>500</v>
      </c>
      <c r="F14" s="14" t="s">
        <v>232</v>
      </c>
      <c r="G14" s="11"/>
      <c r="H14" s="67"/>
      <c r="I14" s="12" t="s">
        <v>244</v>
      </c>
      <c r="J14" s="53"/>
      <c r="K14" s="72"/>
      <c r="L14" s="54" t="s">
        <v>261</v>
      </c>
      <c r="M14" s="75"/>
      <c r="N14" s="73"/>
      <c r="O14" s="31"/>
    </row>
    <row r="15" spans="1:18" x14ac:dyDescent="0.25">
      <c r="A15" s="16">
        <v>13955</v>
      </c>
      <c r="B15" s="49">
        <v>300</v>
      </c>
      <c r="C15" s="17" t="s">
        <v>198</v>
      </c>
      <c r="D15" s="13"/>
      <c r="E15" s="70"/>
      <c r="F15" s="95" t="s">
        <v>233</v>
      </c>
      <c r="G15" s="11">
        <v>14058</v>
      </c>
      <c r="H15" s="67">
        <v>100</v>
      </c>
      <c r="I15" s="12" t="s">
        <v>173</v>
      </c>
      <c r="J15" s="53">
        <v>14094</v>
      </c>
      <c r="K15" s="72">
        <v>300</v>
      </c>
      <c r="L15" s="54" t="s">
        <v>50</v>
      </c>
      <c r="M15" s="75"/>
      <c r="N15" s="73"/>
      <c r="O15" s="15"/>
    </row>
    <row r="16" spans="1:18" x14ac:dyDescent="0.25">
      <c r="A16" s="16"/>
      <c r="B16" s="49"/>
      <c r="C16" s="17" t="s">
        <v>199</v>
      </c>
      <c r="D16" s="13">
        <v>14033</v>
      </c>
      <c r="E16" s="70">
        <v>500</v>
      </c>
      <c r="F16" s="14" t="s">
        <v>232</v>
      </c>
      <c r="G16" s="11">
        <v>14059</v>
      </c>
      <c r="H16" s="67">
        <v>200</v>
      </c>
      <c r="I16" s="12" t="s">
        <v>19</v>
      </c>
      <c r="J16" s="53"/>
      <c r="K16" s="72"/>
      <c r="L16" s="54" t="s">
        <v>263</v>
      </c>
      <c r="M16" s="75"/>
      <c r="N16" s="73"/>
      <c r="O16" s="15"/>
    </row>
    <row r="17" spans="1:15" x14ac:dyDescent="0.25">
      <c r="A17" s="16">
        <v>13956</v>
      </c>
      <c r="B17" s="49">
        <v>400</v>
      </c>
      <c r="C17" s="17"/>
      <c r="D17" s="13"/>
      <c r="E17" s="70"/>
      <c r="F17" s="14" t="s">
        <v>233</v>
      </c>
      <c r="G17" s="11">
        <v>14060</v>
      </c>
      <c r="H17" s="67">
        <v>300</v>
      </c>
      <c r="I17" s="12"/>
      <c r="J17" s="53">
        <v>14095</v>
      </c>
      <c r="K17" s="72">
        <v>400</v>
      </c>
      <c r="L17" s="54"/>
      <c r="M17" s="75"/>
      <c r="N17" s="73"/>
      <c r="O17" s="15"/>
    </row>
    <row r="18" spans="1:15" x14ac:dyDescent="0.25">
      <c r="A18" s="16">
        <v>13957</v>
      </c>
      <c r="B18" s="49">
        <v>300</v>
      </c>
      <c r="C18" s="17" t="s">
        <v>91</v>
      </c>
      <c r="D18" s="13">
        <v>14034</v>
      </c>
      <c r="E18" s="70">
        <v>100</v>
      </c>
      <c r="F18" s="14" t="s">
        <v>173</v>
      </c>
      <c r="G18" s="11">
        <v>14061</v>
      </c>
      <c r="H18" s="67">
        <v>200</v>
      </c>
      <c r="I18" s="12" t="s">
        <v>19</v>
      </c>
      <c r="J18" s="53">
        <v>14096</v>
      </c>
      <c r="K18" s="72">
        <v>500</v>
      </c>
      <c r="L18" s="54" t="s">
        <v>186</v>
      </c>
      <c r="M18" s="75"/>
      <c r="N18" s="73"/>
      <c r="O18" s="15"/>
    </row>
    <row r="19" spans="1:15" x14ac:dyDescent="0.25">
      <c r="A19" s="16">
        <v>13958</v>
      </c>
      <c r="B19" s="49">
        <v>500</v>
      </c>
      <c r="C19" s="17" t="s">
        <v>198</v>
      </c>
      <c r="D19" s="13">
        <v>14035</v>
      </c>
      <c r="E19" s="70">
        <v>350</v>
      </c>
      <c r="F19" s="14"/>
      <c r="G19" s="11">
        <v>14062</v>
      </c>
      <c r="H19" s="67">
        <v>700</v>
      </c>
      <c r="I19" s="12" t="s">
        <v>211</v>
      </c>
      <c r="J19" s="53"/>
      <c r="K19" s="72"/>
      <c r="L19" s="54" t="s">
        <v>261</v>
      </c>
      <c r="M19" s="75"/>
      <c r="N19" s="73"/>
      <c r="O19" s="15"/>
    </row>
    <row r="20" spans="1:15" x14ac:dyDescent="0.25">
      <c r="A20" s="16"/>
      <c r="B20" s="49"/>
      <c r="C20" s="17" t="s">
        <v>199</v>
      </c>
      <c r="D20" s="13">
        <v>14036</v>
      </c>
      <c r="E20" s="70">
        <v>500</v>
      </c>
      <c r="F20" s="14" t="s">
        <v>232</v>
      </c>
      <c r="G20" s="11"/>
      <c r="H20" s="67"/>
      <c r="I20" s="12" t="s">
        <v>245</v>
      </c>
      <c r="J20" s="53">
        <v>14097</v>
      </c>
      <c r="K20" s="72">
        <v>50</v>
      </c>
      <c r="L20" s="54" t="s">
        <v>264</v>
      </c>
      <c r="M20" s="75"/>
      <c r="N20" s="73"/>
      <c r="O20" s="15"/>
    </row>
    <row r="21" spans="1:15" x14ac:dyDescent="0.25">
      <c r="A21" s="16">
        <v>13959</v>
      </c>
      <c r="B21" s="49">
        <v>350</v>
      </c>
      <c r="C21" s="17" t="s">
        <v>198</v>
      </c>
      <c r="D21" s="13"/>
      <c r="E21" s="70"/>
      <c r="F21" s="14" t="s">
        <v>233</v>
      </c>
      <c r="G21" s="11"/>
      <c r="H21" s="67"/>
      <c r="I21" s="12" t="s">
        <v>173</v>
      </c>
      <c r="J21" s="53">
        <v>14098</v>
      </c>
      <c r="K21" s="72">
        <v>300</v>
      </c>
      <c r="L21" s="54" t="s">
        <v>262</v>
      </c>
      <c r="M21" s="75"/>
      <c r="N21" s="73"/>
      <c r="O21" s="15"/>
    </row>
    <row r="22" spans="1:15" x14ac:dyDescent="0.25">
      <c r="A22" s="16"/>
      <c r="B22" s="49"/>
      <c r="C22" s="17" t="s">
        <v>199</v>
      </c>
      <c r="D22" s="13">
        <v>14037</v>
      </c>
      <c r="E22" s="70">
        <v>900</v>
      </c>
      <c r="F22" s="14" t="s">
        <v>234</v>
      </c>
      <c r="G22" s="11">
        <v>14063</v>
      </c>
      <c r="H22" s="67">
        <v>400</v>
      </c>
      <c r="I22" s="12" t="s">
        <v>91</v>
      </c>
      <c r="J22" s="53"/>
      <c r="K22" s="72"/>
      <c r="L22" s="54" t="s">
        <v>261</v>
      </c>
      <c r="M22" s="75"/>
      <c r="N22" s="73"/>
      <c r="O22" s="15"/>
    </row>
    <row r="23" spans="1:15" x14ac:dyDescent="0.25">
      <c r="A23" s="16">
        <v>13960</v>
      </c>
      <c r="B23" s="49">
        <v>450</v>
      </c>
      <c r="C23" s="17" t="s">
        <v>133</v>
      </c>
      <c r="D23" s="13"/>
      <c r="E23" s="70"/>
      <c r="F23" s="14" t="s">
        <v>233</v>
      </c>
      <c r="G23" s="11">
        <v>14064</v>
      </c>
      <c r="H23" s="67">
        <v>300</v>
      </c>
      <c r="I23" s="12" t="s">
        <v>238</v>
      </c>
      <c r="J23" s="53">
        <v>14099</v>
      </c>
      <c r="K23" s="72">
        <v>300</v>
      </c>
      <c r="L23" s="54"/>
      <c r="M23" s="75"/>
      <c r="N23" s="73"/>
      <c r="O23" s="15"/>
    </row>
    <row r="24" spans="1:15" x14ac:dyDescent="0.25">
      <c r="A24" s="16"/>
      <c r="B24" s="49"/>
      <c r="C24" s="17" t="s">
        <v>78</v>
      </c>
      <c r="D24" s="13"/>
      <c r="E24" s="70"/>
      <c r="F24" s="14" t="s">
        <v>16</v>
      </c>
      <c r="G24" s="11"/>
      <c r="H24" s="67"/>
      <c r="I24" s="12" t="s">
        <v>78</v>
      </c>
      <c r="J24" s="53">
        <v>14100</v>
      </c>
      <c r="K24" s="72">
        <v>800</v>
      </c>
      <c r="L24" s="54" t="s">
        <v>38</v>
      </c>
      <c r="M24" s="75"/>
      <c r="N24" s="73"/>
      <c r="O24" s="15"/>
    </row>
    <row r="25" spans="1:15" x14ac:dyDescent="0.25">
      <c r="A25" s="16">
        <v>13961</v>
      </c>
      <c r="B25" s="49">
        <v>200</v>
      </c>
      <c r="C25" s="17"/>
      <c r="D25" s="13">
        <v>14038</v>
      </c>
      <c r="E25" s="70">
        <v>300</v>
      </c>
      <c r="F25" s="14"/>
      <c r="G25" s="11">
        <v>14065</v>
      </c>
      <c r="H25" s="67">
        <v>300</v>
      </c>
      <c r="I25" s="12" t="s">
        <v>246</v>
      </c>
      <c r="J25" s="53"/>
      <c r="K25" s="72"/>
      <c r="L25" s="54" t="s">
        <v>265</v>
      </c>
      <c r="M25" s="75"/>
      <c r="N25" s="73"/>
      <c r="O25" s="15"/>
    </row>
    <row r="26" spans="1:15" x14ac:dyDescent="0.25">
      <c r="A26" s="16">
        <v>13962</v>
      </c>
      <c r="B26" s="49">
        <v>400</v>
      </c>
      <c r="C26" s="17" t="s">
        <v>196</v>
      </c>
      <c r="D26" s="13">
        <v>14039</v>
      </c>
      <c r="E26" s="70">
        <v>100</v>
      </c>
      <c r="F26" s="14" t="s">
        <v>173</v>
      </c>
      <c r="G26" s="11"/>
      <c r="H26" s="67"/>
      <c r="I26" s="12" t="s">
        <v>173</v>
      </c>
      <c r="J26" s="53">
        <v>14101</v>
      </c>
      <c r="K26" s="72">
        <v>400</v>
      </c>
      <c r="L26" s="54"/>
      <c r="M26" s="75"/>
      <c r="N26" s="73"/>
      <c r="O26" s="15"/>
    </row>
    <row r="27" spans="1:15" x14ac:dyDescent="0.25">
      <c r="A27" s="16"/>
      <c r="B27" s="49"/>
      <c r="C27" s="17" t="s">
        <v>197</v>
      </c>
      <c r="D27" s="13">
        <v>14040</v>
      </c>
      <c r="E27" s="70">
        <v>575</v>
      </c>
      <c r="F27" s="14" t="s">
        <v>235</v>
      </c>
      <c r="G27" s="11">
        <v>14066</v>
      </c>
      <c r="H27" s="67">
        <v>900</v>
      </c>
      <c r="I27" s="12" t="s">
        <v>247</v>
      </c>
      <c r="J27" s="53">
        <v>14102</v>
      </c>
      <c r="K27" s="72">
        <v>2300</v>
      </c>
      <c r="L27" s="54" t="s">
        <v>266</v>
      </c>
      <c r="M27" s="75"/>
      <c r="N27" s="73"/>
      <c r="O27" s="31"/>
    </row>
    <row r="28" spans="1:15" x14ac:dyDescent="0.25">
      <c r="A28" s="16">
        <v>13963</v>
      </c>
      <c r="B28" s="49">
        <v>500</v>
      </c>
      <c r="C28" s="17" t="s">
        <v>198</v>
      </c>
      <c r="D28" s="13"/>
      <c r="E28" s="70"/>
      <c r="F28" s="14" t="s">
        <v>236</v>
      </c>
      <c r="G28" s="11"/>
      <c r="H28" s="67"/>
      <c r="I28" s="12" t="s">
        <v>245</v>
      </c>
      <c r="J28" s="53"/>
      <c r="K28" s="72"/>
      <c r="L28" s="91" t="s">
        <v>261</v>
      </c>
      <c r="M28" s="75"/>
      <c r="N28" s="73"/>
      <c r="O28" s="15"/>
    </row>
    <row r="29" spans="1:15" x14ac:dyDescent="0.25">
      <c r="A29" s="16"/>
      <c r="B29" s="49"/>
      <c r="C29" s="17" t="s">
        <v>199</v>
      </c>
      <c r="D29" s="13">
        <v>14041</v>
      </c>
      <c r="E29" s="70">
        <v>900</v>
      </c>
      <c r="F29" s="14" t="s">
        <v>201</v>
      </c>
      <c r="G29" s="11"/>
      <c r="H29" s="67"/>
      <c r="I29" s="12" t="s">
        <v>173</v>
      </c>
      <c r="J29" s="53">
        <v>14103</v>
      </c>
      <c r="K29" s="72">
        <v>1200</v>
      </c>
      <c r="L29" s="54" t="s">
        <v>267</v>
      </c>
      <c r="M29" s="75"/>
      <c r="N29" s="73"/>
      <c r="O29" s="15"/>
    </row>
    <row r="30" spans="1:15" x14ac:dyDescent="0.25">
      <c r="A30" s="16">
        <v>13964</v>
      </c>
      <c r="B30" s="49">
        <v>400</v>
      </c>
      <c r="C30" s="17" t="s">
        <v>200</v>
      </c>
      <c r="D30" s="13"/>
      <c r="E30" s="70"/>
      <c r="F30" s="14" t="s">
        <v>237</v>
      </c>
      <c r="G30" s="11">
        <v>14067</v>
      </c>
      <c r="H30" s="67">
        <v>500</v>
      </c>
      <c r="I30" s="12" t="s">
        <v>246</v>
      </c>
      <c r="J30" s="53"/>
      <c r="K30" s="72"/>
      <c r="L30" s="54" t="s">
        <v>16</v>
      </c>
      <c r="M30" s="75"/>
      <c r="N30" s="73"/>
      <c r="O30" s="15"/>
    </row>
    <row r="31" spans="1:15" x14ac:dyDescent="0.25">
      <c r="A31" s="16"/>
      <c r="B31" s="49"/>
      <c r="C31" s="17" t="s">
        <v>199</v>
      </c>
      <c r="D31" s="13">
        <v>14042</v>
      </c>
      <c r="E31" s="70">
        <v>200</v>
      </c>
      <c r="F31" s="14" t="s">
        <v>91</v>
      </c>
      <c r="G31" s="11"/>
      <c r="H31" s="67"/>
      <c r="I31" s="12" t="s">
        <v>173</v>
      </c>
      <c r="J31" s="53">
        <v>14104</v>
      </c>
      <c r="K31" s="72">
        <v>400</v>
      </c>
      <c r="L31" s="54"/>
      <c r="M31" s="75"/>
      <c r="N31" s="73"/>
      <c r="O31" s="15"/>
    </row>
    <row r="32" spans="1:15" x14ac:dyDescent="0.25">
      <c r="A32" s="16">
        <v>13965</v>
      </c>
      <c r="B32" s="49">
        <v>950</v>
      </c>
      <c r="C32" s="17" t="s">
        <v>201</v>
      </c>
      <c r="D32" s="13">
        <v>14043</v>
      </c>
      <c r="E32" s="70">
        <v>350</v>
      </c>
      <c r="F32" s="14" t="s">
        <v>232</v>
      </c>
      <c r="G32" s="11">
        <v>14068</v>
      </c>
      <c r="H32" s="67">
        <v>500</v>
      </c>
      <c r="I32" s="12" t="s">
        <v>248</v>
      </c>
      <c r="J32" s="53">
        <v>14105</v>
      </c>
      <c r="K32" s="72">
        <v>200</v>
      </c>
      <c r="L32" s="54" t="s">
        <v>268</v>
      </c>
      <c r="M32" s="75"/>
      <c r="N32" s="73"/>
      <c r="O32" s="15"/>
    </row>
    <row r="33" spans="1:15" x14ac:dyDescent="0.25">
      <c r="A33" s="16"/>
      <c r="B33" s="49"/>
      <c r="C33" s="17" t="s">
        <v>202</v>
      </c>
      <c r="D33" s="13"/>
      <c r="E33" s="70"/>
      <c r="F33" s="14" t="s">
        <v>233</v>
      </c>
      <c r="G33" s="11"/>
      <c r="H33" s="67"/>
      <c r="I33" s="12" t="s">
        <v>173</v>
      </c>
      <c r="J33" s="53">
        <v>14106</v>
      </c>
      <c r="K33" s="72">
        <v>200</v>
      </c>
      <c r="L33" s="54" t="s">
        <v>19</v>
      </c>
      <c r="M33" s="75"/>
      <c r="N33" s="73"/>
      <c r="O33" s="15"/>
    </row>
    <row r="34" spans="1:15" x14ac:dyDescent="0.25">
      <c r="A34" s="16"/>
      <c r="B34" s="49"/>
      <c r="C34" s="17" t="s">
        <v>199</v>
      </c>
      <c r="D34" s="13">
        <v>14044</v>
      </c>
      <c r="E34" s="70">
        <v>500</v>
      </c>
      <c r="F34" s="14" t="s">
        <v>232</v>
      </c>
      <c r="G34" s="11">
        <v>14069</v>
      </c>
      <c r="H34" s="67">
        <v>700</v>
      </c>
      <c r="I34" s="12" t="s">
        <v>211</v>
      </c>
      <c r="J34" s="53">
        <v>14107</v>
      </c>
      <c r="K34" s="72">
        <v>4400</v>
      </c>
      <c r="L34" s="54" t="s">
        <v>269</v>
      </c>
      <c r="M34" s="75"/>
      <c r="N34" s="73"/>
      <c r="O34" s="31"/>
    </row>
    <row r="35" spans="1:15" x14ac:dyDescent="0.25">
      <c r="A35" s="16">
        <v>13966</v>
      </c>
      <c r="B35" s="49">
        <v>900</v>
      </c>
      <c r="C35" s="17" t="s">
        <v>203</v>
      </c>
      <c r="D35" s="13"/>
      <c r="E35" s="70"/>
      <c r="F35" s="14" t="s">
        <v>233</v>
      </c>
      <c r="G35" s="11"/>
      <c r="H35" s="67"/>
      <c r="I35" s="12" t="s">
        <v>245</v>
      </c>
      <c r="J35" s="53"/>
      <c r="K35" s="72"/>
      <c r="L35" s="54" t="s">
        <v>270</v>
      </c>
      <c r="M35" s="75"/>
      <c r="N35" s="73"/>
      <c r="O35" s="15"/>
    </row>
    <row r="36" spans="1:15" x14ac:dyDescent="0.25">
      <c r="A36" s="16"/>
      <c r="B36" s="49"/>
      <c r="C36" s="17" t="s">
        <v>197</v>
      </c>
      <c r="D36" s="13">
        <v>14045</v>
      </c>
      <c r="E36" s="70">
        <v>500</v>
      </c>
      <c r="F36" s="14" t="s">
        <v>232</v>
      </c>
      <c r="G36" s="11"/>
      <c r="H36" s="67"/>
      <c r="I36" s="12" t="s">
        <v>173</v>
      </c>
      <c r="J36" s="53">
        <v>14108</v>
      </c>
      <c r="K36" s="72">
        <v>50</v>
      </c>
      <c r="L36" s="54" t="s">
        <v>264</v>
      </c>
      <c r="M36" s="75"/>
      <c r="N36" s="73"/>
      <c r="O36" s="15"/>
    </row>
    <row r="37" spans="1:15" x14ac:dyDescent="0.25">
      <c r="A37" s="16">
        <v>13967</v>
      </c>
      <c r="B37" s="49">
        <v>500</v>
      </c>
      <c r="C37" s="17" t="s">
        <v>198</v>
      </c>
      <c r="D37" s="13"/>
      <c r="E37" s="70"/>
      <c r="F37" s="14" t="s">
        <v>233</v>
      </c>
      <c r="G37" s="11">
        <v>14070</v>
      </c>
      <c r="H37" s="67">
        <v>500</v>
      </c>
      <c r="I37" s="12" t="s">
        <v>246</v>
      </c>
      <c r="J37" s="53">
        <v>14109</v>
      </c>
      <c r="K37" s="72">
        <v>400</v>
      </c>
      <c r="L37" s="54"/>
      <c r="M37" s="75"/>
      <c r="N37" s="73"/>
      <c r="O37" s="15"/>
    </row>
    <row r="38" spans="1:15" x14ac:dyDescent="0.25">
      <c r="A38" s="16"/>
      <c r="B38" s="49"/>
      <c r="C38" s="17" t="s">
        <v>199</v>
      </c>
      <c r="D38" s="13">
        <v>14046</v>
      </c>
      <c r="E38" s="70">
        <v>900</v>
      </c>
      <c r="F38" s="14" t="s">
        <v>209</v>
      </c>
      <c r="G38" s="11"/>
      <c r="H38" s="67"/>
      <c r="I38" s="12" t="s">
        <v>173</v>
      </c>
      <c r="J38" s="53">
        <v>14110</v>
      </c>
      <c r="K38" s="72">
        <v>100</v>
      </c>
      <c r="L38" s="54" t="s">
        <v>261</v>
      </c>
      <c r="M38" s="75"/>
      <c r="N38" s="73"/>
      <c r="O38" s="15"/>
    </row>
    <row r="39" spans="1:15" x14ac:dyDescent="0.25">
      <c r="A39" s="16">
        <v>13968</v>
      </c>
      <c r="B39" s="49">
        <v>300</v>
      </c>
      <c r="C39" s="17" t="s">
        <v>198</v>
      </c>
      <c r="D39" s="13"/>
      <c r="E39" s="70"/>
      <c r="F39" s="14" t="s">
        <v>237</v>
      </c>
      <c r="G39" s="11">
        <v>14071</v>
      </c>
      <c r="H39" s="67">
        <v>500</v>
      </c>
      <c r="I39" s="12" t="s">
        <v>248</v>
      </c>
      <c r="J39" s="53">
        <v>14111</v>
      </c>
      <c r="K39" s="72">
        <v>400</v>
      </c>
      <c r="L39" s="54" t="s">
        <v>271</v>
      </c>
      <c r="M39" s="75"/>
      <c r="N39" s="73"/>
      <c r="O39" s="15"/>
    </row>
    <row r="40" spans="1:15" x14ac:dyDescent="0.25">
      <c r="A40" s="16"/>
      <c r="B40" s="49"/>
      <c r="C40" s="17" t="s">
        <v>199</v>
      </c>
      <c r="D40" s="13">
        <v>14047</v>
      </c>
      <c r="E40" s="70">
        <v>500</v>
      </c>
      <c r="F40" s="14" t="s">
        <v>232</v>
      </c>
      <c r="G40" s="11"/>
      <c r="H40" s="67"/>
      <c r="I40" s="12" t="s">
        <v>173</v>
      </c>
      <c r="J40" s="53">
        <v>14112</v>
      </c>
      <c r="K40" s="72">
        <v>500</v>
      </c>
      <c r="L40" s="54" t="s">
        <v>186</v>
      </c>
      <c r="M40" s="75"/>
      <c r="N40" s="73"/>
      <c r="O40" s="15"/>
    </row>
    <row r="41" spans="1:15" x14ac:dyDescent="0.25">
      <c r="A41" s="16">
        <v>13969</v>
      </c>
      <c r="B41" s="49">
        <v>200</v>
      </c>
      <c r="C41" s="17" t="s">
        <v>91</v>
      </c>
      <c r="D41" s="13"/>
      <c r="E41" s="70"/>
      <c r="F41" s="14" t="s">
        <v>233</v>
      </c>
      <c r="G41" s="11">
        <v>14072</v>
      </c>
      <c r="H41" s="67">
        <v>400</v>
      </c>
      <c r="I41" s="12" t="s">
        <v>249</v>
      </c>
      <c r="J41" s="53"/>
      <c r="K41" s="72"/>
      <c r="L41" s="54" t="s">
        <v>261</v>
      </c>
      <c r="M41" s="75"/>
      <c r="N41" s="73"/>
      <c r="O41" s="15"/>
    </row>
    <row r="42" spans="1:15" x14ac:dyDescent="0.25">
      <c r="A42" s="16">
        <v>13970</v>
      </c>
      <c r="B42" s="49">
        <v>125</v>
      </c>
      <c r="C42" s="17"/>
      <c r="D42" s="13">
        <v>14048</v>
      </c>
      <c r="E42" s="70">
        <v>300</v>
      </c>
      <c r="F42" s="14"/>
      <c r="G42" s="11">
        <v>14073</v>
      </c>
      <c r="H42" s="67">
        <v>900</v>
      </c>
      <c r="I42" s="12" t="s">
        <v>250</v>
      </c>
      <c r="J42" s="53">
        <v>14113</v>
      </c>
      <c r="K42" s="72">
        <v>400</v>
      </c>
      <c r="L42" s="54"/>
      <c r="M42" s="75"/>
      <c r="N42" s="73"/>
      <c r="O42" s="15"/>
    </row>
    <row r="43" spans="1:15" x14ac:dyDescent="0.25">
      <c r="A43" s="16">
        <v>13971</v>
      </c>
      <c r="B43" s="49">
        <v>275</v>
      </c>
      <c r="C43" s="17" t="s">
        <v>204</v>
      </c>
      <c r="D43" s="13">
        <v>14049</v>
      </c>
      <c r="E43" s="70">
        <v>600</v>
      </c>
      <c r="F43" s="14" t="s">
        <v>238</v>
      </c>
      <c r="G43" s="11"/>
      <c r="H43" s="67"/>
      <c r="I43" s="12" t="s">
        <v>17</v>
      </c>
      <c r="J43" s="53">
        <v>14114</v>
      </c>
      <c r="K43" s="72">
        <v>200</v>
      </c>
      <c r="L43" s="54" t="s">
        <v>30</v>
      </c>
      <c r="M43" s="75"/>
      <c r="N43" s="73"/>
      <c r="O43" s="15"/>
    </row>
    <row r="44" spans="1:15" x14ac:dyDescent="0.25">
      <c r="A44" s="16"/>
      <c r="B44" s="49"/>
      <c r="C44" s="17" t="s">
        <v>205</v>
      </c>
      <c r="D44" s="13"/>
      <c r="E44" s="70"/>
      <c r="F44" s="14" t="s">
        <v>17</v>
      </c>
      <c r="G44" s="11">
        <v>14074</v>
      </c>
      <c r="H44" s="67">
        <v>400</v>
      </c>
      <c r="I44" s="12"/>
      <c r="J44" s="53">
        <v>14115</v>
      </c>
      <c r="K44" s="72">
        <v>400</v>
      </c>
      <c r="L44" s="54"/>
      <c r="M44" s="75"/>
      <c r="N44" s="73"/>
      <c r="O44" s="15"/>
    </row>
    <row r="45" spans="1:15" x14ac:dyDescent="0.25">
      <c r="A45" s="16">
        <v>13972</v>
      </c>
      <c r="B45" s="49">
        <v>500</v>
      </c>
      <c r="C45" s="17" t="s">
        <v>200</v>
      </c>
      <c r="D45" s="13">
        <v>14050</v>
      </c>
      <c r="E45" s="70">
        <v>200</v>
      </c>
      <c r="F45" s="14" t="s">
        <v>239</v>
      </c>
      <c r="G45" s="11">
        <v>14075</v>
      </c>
      <c r="H45" s="67">
        <v>400</v>
      </c>
      <c r="I45" s="12" t="s">
        <v>251</v>
      </c>
      <c r="J45" s="53">
        <v>14116</v>
      </c>
      <c r="K45" s="72">
        <v>300</v>
      </c>
      <c r="L45" s="54" t="s">
        <v>272</v>
      </c>
      <c r="M45" s="75"/>
      <c r="N45" s="73"/>
      <c r="O45" s="15"/>
    </row>
    <row r="46" spans="1:15" x14ac:dyDescent="0.25">
      <c r="A46" s="16"/>
      <c r="B46" s="49"/>
      <c r="C46" s="17" t="s">
        <v>199</v>
      </c>
      <c r="D46" s="13">
        <v>14051</v>
      </c>
      <c r="E46" s="70">
        <v>100</v>
      </c>
      <c r="F46" s="14" t="s">
        <v>173</v>
      </c>
      <c r="G46" s="11"/>
      <c r="H46" s="67"/>
      <c r="I46" s="12" t="s">
        <v>173</v>
      </c>
      <c r="J46" s="53"/>
      <c r="K46" s="72"/>
      <c r="L46" s="54" t="s">
        <v>261</v>
      </c>
      <c r="M46" s="75"/>
      <c r="N46" s="73"/>
      <c r="O46" s="15"/>
    </row>
    <row r="47" spans="1:15" x14ac:dyDescent="0.25">
      <c r="A47" s="16">
        <v>13973</v>
      </c>
      <c r="B47" s="49">
        <v>400</v>
      </c>
      <c r="C47" s="17"/>
      <c r="D47" s="13">
        <v>14052</v>
      </c>
      <c r="E47" s="70">
        <v>2100</v>
      </c>
      <c r="F47" s="14" t="s">
        <v>240</v>
      </c>
      <c r="G47" s="11">
        <v>14076</v>
      </c>
      <c r="H47" s="67">
        <v>300</v>
      </c>
      <c r="I47" s="12"/>
      <c r="J47" s="53">
        <v>14117</v>
      </c>
      <c r="K47" s="72">
        <v>400</v>
      </c>
      <c r="L47" s="54"/>
      <c r="M47" s="75"/>
      <c r="N47" s="73"/>
      <c r="O47" s="15"/>
    </row>
    <row r="48" spans="1:15" x14ac:dyDescent="0.25">
      <c r="A48" s="16">
        <v>13974</v>
      </c>
      <c r="B48" s="49">
        <v>900</v>
      </c>
      <c r="C48" s="17" t="s">
        <v>203</v>
      </c>
      <c r="D48" s="13"/>
      <c r="E48" s="70"/>
      <c r="F48" s="14" t="s">
        <v>241</v>
      </c>
      <c r="G48" s="11">
        <v>14077</v>
      </c>
      <c r="H48" s="67">
        <v>300</v>
      </c>
      <c r="I48" s="12"/>
      <c r="J48" s="53">
        <v>14118</v>
      </c>
      <c r="K48" s="72">
        <v>1500</v>
      </c>
      <c r="L48" s="54" t="s">
        <v>273</v>
      </c>
      <c r="M48" s="75"/>
      <c r="N48" s="73"/>
      <c r="O48" s="15"/>
    </row>
    <row r="49" spans="1:15" x14ac:dyDescent="0.25">
      <c r="A49" s="16"/>
      <c r="B49" s="49"/>
      <c r="C49" s="17" t="s">
        <v>197</v>
      </c>
      <c r="D49" s="13"/>
      <c r="E49" s="70"/>
      <c r="F49" s="14" t="s">
        <v>173</v>
      </c>
      <c r="G49" s="11">
        <v>14078</v>
      </c>
      <c r="H49" s="67">
        <v>600</v>
      </c>
      <c r="I49" s="12" t="s">
        <v>211</v>
      </c>
      <c r="J49" s="53"/>
      <c r="K49" s="72"/>
      <c r="L49" s="54" t="s">
        <v>274</v>
      </c>
      <c r="M49" s="75"/>
      <c r="N49" s="73"/>
      <c r="O49" s="15"/>
    </row>
    <row r="50" spans="1:15" x14ac:dyDescent="0.25">
      <c r="A50" s="16">
        <v>13975</v>
      </c>
      <c r="B50" s="49">
        <v>800</v>
      </c>
      <c r="C50" s="17" t="s">
        <v>201</v>
      </c>
      <c r="D50" s="13">
        <v>14053</v>
      </c>
      <c r="E50" s="70">
        <v>900</v>
      </c>
      <c r="F50" s="14" t="s">
        <v>79</v>
      </c>
      <c r="G50" s="11"/>
      <c r="H50" s="67"/>
      <c r="I50" s="12" t="s">
        <v>252</v>
      </c>
      <c r="J50" s="53">
        <v>14119</v>
      </c>
      <c r="K50" s="72">
        <v>800</v>
      </c>
      <c r="L50" s="54" t="s">
        <v>150</v>
      </c>
      <c r="M50" s="75"/>
      <c r="N50" s="73"/>
      <c r="O50" s="15"/>
    </row>
    <row r="51" spans="1:15" x14ac:dyDescent="0.25">
      <c r="A51" s="16"/>
      <c r="B51" s="49"/>
      <c r="C51" s="17" t="s">
        <v>206</v>
      </c>
      <c r="D51" s="13"/>
      <c r="E51" s="70"/>
      <c r="F51" s="14" t="s">
        <v>17</v>
      </c>
      <c r="G51" s="11">
        <v>14079</v>
      </c>
      <c r="H51" s="67">
        <v>1600</v>
      </c>
      <c r="I51" s="12" t="s">
        <v>253</v>
      </c>
      <c r="J51" s="53"/>
      <c r="K51" s="72"/>
      <c r="L51" s="54" t="s">
        <v>16</v>
      </c>
      <c r="M51" s="75"/>
      <c r="N51" s="73"/>
      <c r="O51" s="15"/>
    </row>
    <row r="52" spans="1:15" x14ac:dyDescent="0.25">
      <c r="A52" s="16">
        <v>13976</v>
      </c>
      <c r="B52" s="49">
        <v>2000</v>
      </c>
      <c r="C52" s="17" t="s">
        <v>207</v>
      </c>
      <c r="D52" s="13"/>
      <c r="E52" s="70"/>
      <c r="F52" s="14"/>
      <c r="G52" s="11"/>
      <c r="H52" s="67"/>
      <c r="I52" s="12" t="s">
        <v>254</v>
      </c>
      <c r="J52" s="53">
        <v>14120</v>
      </c>
      <c r="K52" s="72">
        <v>200</v>
      </c>
      <c r="L52" s="54" t="s">
        <v>275</v>
      </c>
      <c r="M52" s="75"/>
      <c r="N52" s="73"/>
      <c r="O52" s="15"/>
    </row>
    <row r="53" spans="1:15" x14ac:dyDescent="0.25">
      <c r="A53" s="16"/>
      <c r="B53" s="49"/>
      <c r="C53" s="17" t="s">
        <v>208</v>
      </c>
      <c r="D53" s="13"/>
      <c r="E53" s="70"/>
      <c r="F53" s="14"/>
      <c r="G53" s="11">
        <v>14080</v>
      </c>
      <c r="H53" s="67">
        <v>200</v>
      </c>
      <c r="I53" s="12"/>
      <c r="J53" s="53">
        <v>14121</v>
      </c>
      <c r="K53" s="72">
        <v>400</v>
      </c>
      <c r="L53" s="54" t="s">
        <v>262</v>
      </c>
      <c r="M53" s="75"/>
      <c r="N53" s="73"/>
      <c r="O53" s="15"/>
    </row>
    <row r="54" spans="1:15" x14ac:dyDescent="0.25">
      <c r="A54" s="16">
        <v>13977</v>
      </c>
      <c r="B54" s="49">
        <v>300</v>
      </c>
      <c r="C54" s="17" t="s">
        <v>128</v>
      </c>
      <c r="D54" s="13"/>
      <c r="E54" s="70"/>
      <c r="F54" s="69"/>
      <c r="G54" s="11">
        <v>14081</v>
      </c>
      <c r="H54" s="67">
        <v>200</v>
      </c>
      <c r="I54" s="12" t="s">
        <v>19</v>
      </c>
      <c r="J54" s="53"/>
      <c r="K54" s="72"/>
      <c r="L54" s="54" t="s">
        <v>261</v>
      </c>
      <c r="M54" s="75"/>
      <c r="N54" s="73"/>
      <c r="O54" s="15"/>
    </row>
    <row r="55" spans="1:15" x14ac:dyDescent="0.25">
      <c r="A55" s="16">
        <v>13978</v>
      </c>
      <c r="B55" s="49">
        <v>500</v>
      </c>
      <c r="C55" s="17" t="s">
        <v>198</v>
      </c>
      <c r="D55" s="13"/>
      <c r="E55" s="70"/>
      <c r="F55" s="14"/>
      <c r="G55" s="11">
        <v>14082</v>
      </c>
      <c r="H55" s="67">
        <v>800</v>
      </c>
      <c r="I55" s="12" t="s">
        <v>255</v>
      </c>
      <c r="J55" s="53">
        <v>14122</v>
      </c>
      <c r="K55" s="72">
        <v>900</v>
      </c>
      <c r="L55" s="54" t="s">
        <v>38</v>
      </c>
      <c r="M55" s="75"/>
      <c r="N55" s="73"/>
      <c r="O55" s="15"/>
    </row>
    <row r="56" spans="1:15" x14ac:dyDescent="0.25">
      <c r="A56" s="16"/>
      <c r="B56" s="49"/>
      <c r="C56" s="17" t="s">
        <v>199</v>
      </c>
      <c r="D56" s="13"/>
      <c r="E56" s="70"/>
      <c r="F56" s="14"/>
      <c r="G56" s="11"/>
      <c r="H56" s="67"/>
      <c r="I56" s="12" t="s">
        <v>16</v>
      </c>
      <c r="J56" s="53"/>
      <c r="K56" s="72"/>
      <c r="L56" s="54" t="s">
        <v>182</v>
      </c>
      <c r="M56" s="75"/>
      <c r="N56" s="73"/>
      <c r="O56" s="15"/>
    </row>
    <row r="57" spans="1:15" x14ac:dyDescent="0.25">
      <c r="A57" s="16">
        <v>13979</v>
      </c>
      <c r="B57" s="49">
        <v>500</v>
      </c>
      <c r="C57" s="17" t="s">
        <v>198</v>
      </c>
      <c r="D57" s="13"/>
      <c r="E57" s="70"/>
      <c r="F57" s="14"/>
      <c r="G57" s="11">
        <v>14083</v>
      </c>
      <c r="H57" s="67">
        <v>500</v>
      </c>
      <c r="I57" s="12" t="s">
        <v>256</v>
      </c>
      <c r="J57" s="53"/>
      <c r="K57" s="72"/>
      <c r="L57" s="54" t="s">
        <v>261</v>
      </c>
      <c r="M57" s="75"/>
      <c r="N57" s="73"/>
      <c r="O57" s="15"/>
    </row>
    <row r="58" spans="1:15" x14ac:dyDescent="0.25">
      <c r="A58" s="16"/>
      <c r="B58" s="49"/>
      <c r="C58" s="17" t="s">
        <v>199</v>
      </c>
      <c r="D58" s="13"/>
      <c r="E58" s="70"/>
      <c r="F58" s="14"/>
      <c r="G58" s="11"/>
      <c r="H58" s="67"/>
      <c r="I58" s="12" t="s">
        <v>173</v>
      </c>
      <c r="J58" s="53">
        <v>14123</v>
      </c>
      <c r="K58" s="72">
        <v>800</v>
      </c>
      <c r="L58" s="54" t="s">
        <v>150</v>
      </c>
      <c r="M58" s="75"/>
      <c r="N58" s="73"/>
      <c r="O58" s="15"/>
    </row>
    <row r="59" spans="1:15" x14ac:dyDescent="0.25">
      <c r="A59" s="16">
        <v>13980</v>
      </c>
      <c r="B59" s="49">
        <v>500</v>
      </c>
      <c r="C59" s="17" t="s">
        <v>198</v>
      </c>
      <c r="D59" s="13"/>
      <c r="E59" s="70"/>
      <c r="F59" s="14"/>
      <c r="G59" s="11">
        <v>14084</v>
      </c>
      <c r="H59" s="67">
        <v>200</v>
      </c>
      <c r="I59" s="12" t="s">
        <v>19</v>
      </c>
      <c r="J59" s="53"/>
      <c r="K59" s="72"/>
      <c r="L59" s="54" t="s">
        <v>16</v>
      </c>
      <c r="M59" s="75"/>
      <c r="N59" s="73"/>
      <c r="O59" s="15"/>
    </row>
    <row r="60" spans="1:15" x14ac:dyDescent="0.25">
      <c r="A60" s="16"/>
      <c r="B60" s="49"/>
      <c r="C60" s="89" t="s">
        <v>199</v>
      </c>
      <c r="D60" s="13"/>
      <c r="E60" s="70"/>
      <c r="F60" s="14"/>
      <c r="G60" s="11">
        <v>14085</v>
      </c>
      <c r="H60" s="67">
        <v>300</v>
      </c>
      <c r="I60" s="12" t="s">
        <v>246</v>
      </c>
      <c r="J60" s="53">
        <v>14124</v>
      </c>
      <c r="K60" s="72">
        <v>800</v>
      </c>
      <c r="L60" s="54" t="s">
        <v>150</v>
      </c>
      <c r="M60" s="75"/>
      <c r="N60" s="73"/>
      <c r="O60" s="15"/>
    </row>
    <row r="61" spans="1:15" x14ac:dyDescent="0.25">
      <c r="A61" s="16">
        <v>13981</v>
      </c>
      <c r="B61" s="49">
        <v>400</v>
      </c>
      <c r="C61" s="17"/>
      <c r="D61" s="13"/>
      <c r="E61" s="70"/>
      <c r="F61" s="14"/>
      <c r="G61" s="11"/>
      <c r="H61" s="67"/>
      <c r="I61" s="12" t="s">
        <v>173</v>
      </c>
      <c r="J61" s="53"/>
      <c r="K61" s="72"/>
      <c r="L61" s="54" t="s">
        <v>16</v>
      </c>
      <c r="M61" s="75"/>
      <c r="N61" s="73"/>
      <c r="O61" s="15"/>
    </row>
    <row r="62" spans="1:15" x14ac:dyDescent="0.25">
      <c r="A62" s="16">
        <v>13982</v>
      </c>
      <c r="B62" s="49">
        <v>300</v>
      </c>
      <c r="C62" s="17" t="s">
        <v>198</v>
      </c>
      <c r="D62" s="13"/>
      <c r="E62" s="70"/>
      <c r="F62" s="14"/>
      <c r="G62" s="11">
        <v>14086</v>
      </c>
      <c r="H62" s="67">
        <v>200</v>
      </c>
      <c r="I62" s="12" t="s">
        <v>19</v>
      </c>
      <c r="J62" s="53">
        <v>14125</v>
      </c>
      <c r="K62" s="72">
        <v>700</v>
      </c>
      <c r="L62" s="54" t="s">
        <v>276</v>
      </c>
      <c r="M62" s="75"/>
      <c r="N62" s="73"/>
      <c r="O62" s="15"/>
    </row>
    <row r="63" spans="1:15" x14ac:dyDescent="0.25">
      <c r="A63" s="16"/>
      <c r="B63" s="49"/>
      <c r="C63" s="17" t="s">
        <v>199</v>
      </c>
      <c r="D63" s="13"/>
      <c r="E63" s="70"/>
      <c r="F63" s="14"/>
      <c r="G63" s="11">
        <v>14087</v>
      </c>
      <c r="H63" s="67">
        <v>800</v>
      </c>
      <c r="I63" s="12" t="s">
        <v>257</v>
      </c>
      <c r="J63" s="53"/>
      <c r="K63" s="72"/>
      <c r="L63" s="54" t="s">
        <v>17</v>
      </c>
      <c r="M63" s="75"/>
      <c r="N63" s="73"/>
      <c r="O63" s="15"/>
    </row>
    <row r="64" spans="1:15" x14ac:dyDescent="0.25">
      <c r="A64" s="16">
        <v>13983</v>
      </c>
      <c r="B64" s="49">
        <v>100</v>
      </c>
      <c r="C64" s="17" t="s">
        <v>173</v>
      </c>
      <c r="D64" s="13"/>
      <c r="E64" s="70"/>
      <c r="F64" s="14"/>
      <c r="G64" s="11"/>
      <c r="H64" s="67"/>
      <c r="I64" s="12" t="s">
        <v>224</v>
      </c>
      <c r="J64" s="53"/>
      <c r="K64" s="72"/>
      <c r="L64" s="54" t="s">
        <v>261</v>
      </c>
      <c r="M64" s="75"/>
      <c r="N64" s="73"/>
      <c r="O64" s="15"/>
    </row>
    <row r="65" spans="1:15" x14ac:dyDescent="0.25">
      <c r="A65" s="16">
        <v>13984</v>
      </c>
      <c r="B65" s="49">
        <v>400</v>
      </c>
      <c r="C65" s="17"/>
      <c r="D65" s="13"/>
      <c r="E65" s="70"/>
      <c r="F65" s="14"/>
      <c r="G65" s="11">
        <v>14088</v>
      </c>
      <c r="H65" s="67">
        <v>1300</v>
      </c>
      <c r="I65" s="12" t="s">
        <v>258</v>
      </c>
      <c r="J65" s="53">
        <v>14126</v>
      </c>
      <c r="K65" s="72">
        <v>50</v>
      </c>
      <c r="L65" s="54" t="s">
        <v>264</v>
      </c>
      <c r="M65" s="75"/>
      <c r="N65" s="73"/>
      <c r="O65" s="15"/>
    </row>
    <row r="66" spans="1:15" x14ac:dyDescent="0.25">
      <c r="A66" s="16">
        <v>13985</v>
      </c>
      <c r="B66" s="49">
        <v>800</v>
      </c>
      <c r="C66" s="17" t="s">
        <v>209</v>
      </c>
      <c r="D66" s="13"/>
      <c r="E66" s="70"/>
      <c r="F66" s="14"/>
      <c r="G66" s="11"/>
      <c r="H66" s="67"/>
      <c r="I66" s="12" t="s">
        <v>259</v>
      </c>
      <c r="J66" s="53">
        <v>14127</v>
      </c>
      <c r="K66" s="72">
        <v>1500</v>
      </c>
      <c r="L66" s="54" t="s">
        <v>277</v>
      </c>
      <c r="M66" s="75"/>
      <c r="N66" s="73"/>
      <c r="O66" s="15"/>
    </row>
    <row r="67" spans="1:15" x14ac:dyDescent="0.25">
      <c r="A67" s="16"/>
      <c r="B67" s="49"/>
      <c r="C67" s="17" t="s">
        <v>206</v>
      </c>
      <c r="D67" s="13"/>
      <c r="E67" s="70"/>
      <c r="F67" s="14"/>
      <c r="G67" s="11"/>
      <c r="H67" s="67"/>
      <c r="I67" s="12" t="s">
        <v>173</v>
      </c>
      <c r="J67" s="53"/>
      <c r="K67" s="72"/>
      <c r="L67" s="54" t="s">
        <v>17</v>
      </c>
      <c r="M67" s="75"/>
      <c r="N67" s="73"/>
      <c r="O67" s="15"/>
    </row>
    <row r="68" spans="1:15" x14ac:dyDescent="0.25">
      <c r="A68" s="16">
        <v>13986</v>
      </c>
      <c r="B68" s="49">
        <v>250</v>
      </c>
      <c r="C68" s="17" t="s">
        <v>91</v>
      </c>
      <c r="D68" s="13"/>
      <c r="E68" s="70"/>
      <c r="F68" s="14"/>
      <c r="G68" s="11">
        <v>14089</v>
      </c>
      <c r="H68" s="67">
        <v>400</v>
      </c>
      <c r="I68" s="12" t="s">
        <v>91</v>
      </c>
      <c r="J68" s="53">
        <v>14128</v>
      </c>
      <c r="K68" s="72">
        <v>500</v>
      </c>
      <c r="L68" s="54" t="s">
        <v>128</v>
      </c>
      <c r="M68" s="75"/>
      <c r="N68" s="73"/>
      <c r="O68" s="15"/>
    </row>
    <row r="69" spans="1:15" x14ac:dyDescent="0.25">
      <c r="A69" s="16">
        <v>13987</v>
      </c>
      <c r="B69" s="49">
        <v>500</v>
      </c>
      <c r="C69" s="17" t="s">
        <v>210</v>
      </c>
      <c r="D69" s="13"/>
      <c r="E69" s="70"/>
      <c r="F69" s="14"/>
      <c r="G69" s="11">
        <v>14090</v>
      </c>
      <c r="H69" s="67">
        <v>500</v>
      </c>
      <c r="I69" s="12" t="s">
        <v>260</v>
      </c>
      <c r="J69" s="53"/>
      <c r="K69" s="72"/>
      <c r="L69" s="54" t="s">
        <v>261</v>
      </c>
      <c r="M69" s="75"/>
      <c r="N69" s="73"/>
      <c r="O69" s="15"/>
    </row>
    <row r="70" spans="1:15" x14ac:dyDescent="0.25">
      <c r="A70" s="16"/>
      <c r="B70" s="49"/>
      <c r="C70" s="17" t="s">
        <v>199</v>
      </c>
      <c r="D70" s="13"/>
      <c r="E70" s="70"/>
      <c r="F70" s="14"/>
      <c r="G70" s="11"/>
      <c r="H70" s="67"/>
      <c r="I70" s="12" t="s">
        <v>173</v>
      </c>
      <c r="J70" s="53">
        <v>14129</v>
      </c>
      <c r="K70" s="72">
        <v>600</v>
      </c>
      <c r="L70" s="54" t="s">
        <v>79</v>
      </c>
      <c r="M70" s="75"/>
      <c r="N70" s="73"/>
      <c r="O70" s="15"/>
    </row>
    <row r="71" spans="1:15" x14ac:dyDescent="0.25">
      <c r="A71" s="16">
        <v>13988</v>
      </c>
      <c r="B71" s="49">
        <v>100</v>
      </c>
      <c r="C71" s="17" t="s">
        <v>173</v>
      </c>
      <c r="D71" s="13"/>
      <c r="E71" s="70"/>
      <c r="F71" s="14"/>
      <c r="G71" s="11"/>
      <c r="H71" s="67"/>
      <c r="I71" s="12"/>
      <c r="J71" s="53"/>
      <c r="K71" s="72"/>
      <c r="L71" s="54" t="s">
        <v>18</v>
      </c>
      <c r="M71" s="75"/>
      <c r="N71" s="73"/>
      <c r="O71" s="15"/>
    </row>
    <row r="72" spans="1:15" x14ac:dyDescent="0.25">
      <c r="A72" s="16">
        <v>13989</v>
      </c>
      <c r="B72" s="49">
        <v>500</v>
      </c>
      <c r="C72" s="17" t="s">
        <v>198</v>
      </c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 t="s">
        <v>199</v>
      </c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>
        <v>13990</v>
      </c>
      <c r="B74" s="49">
        <v>600</v>
      </c>
      <c r="C74" s="17" t="s">
        <v>211</v>
      </c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 t="s">
        <v>206</v>
      </c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>
        <v>13991</v>
      </c>
      <c r="B76" s="49">
        <v>500</v>
      </c>
      <c r="C76" s="17" t="s">
        <v>200</v>
      </c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 t="s">
        <v>199</v>
      </c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13992</v>
      </c>
      <c r="B78" s="49">
        <v>500</v>
      </c>
      <c r="C78" s="17" t="s">
        <v>198</v>
      </c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 t="s">
        <v>199</v>
      </c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13993</v>
      </c>
      <c r="B80" s="49">
        <v>300</v>
      </c>
      <c r="C80" s="17"/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>
        <v>13994</v>
      </c>
      <c r="B81" s="49">
        <v>400</v>
      </c>
      <c r="C81" s="17" t="s">
        <v>198</v>
      </c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 t="s">
        <v>199</v>
      </c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13995</v>
      </c>
      <c r="B83" s="49">
        <v>500</v>
      </c>
      <c r="C83" s="17" t="s">
        <v>198</v>
      </c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 t="s">
        <v>199</v>
      </c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>
        <v>13996</v>
      </c>
      <c r="B85" s="49">
        <v>400</v>
      </c>
      <c r="C85" s="17"/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13997</v>
      </c>
      <c r="B86" s="49">
        <v>400</v>
      </c>
      <c r="C86" s="17" t="s">
        <v>198</v>
      </c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 t="s">
        <v>199</v>
      </c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>
        <v>13998</v>
      </c>
      <c r="B88" s="49">
        <v>1300</v>
      </c>
      <c r="C88" s="17" t="s">
        <v>79</v>
      </c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 t="s">
        <v>212</v>
      </c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 t="s">
        <v>213</v>
      </c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>
        <v>13999</v>
      </c>
      <c r="B91" s="49">
        <v>400</v>
      </c>
      <c r="C91" s="17" t="s">
        <v>198</v>
      </c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 t="s">
        <v>199</v>
      </c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>
        <v>14000</v>
      </c>
      <c r="B93" s="49">
        <v>500</v>
      </c>
      <c r="C93" s="17" t="s">
        <v>198</v>
      </c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 t="s">
        <v>199</v>
      </c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>
        <v>14001</v>
      </c>
      <c r="B95" s="49">
        <v>500</v>
      </c>
      <c r="C95" s="17" t="s">
        <v>200</v>
      </c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 t="s">
        <v>199</v>
      </c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>
        <v>14002</v>
      </c>
      <c r="B97" s="49">
        <v>850</v>
      </c>
      <c r="C97" s="17" t="s">
        <v>79</v>
      </c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 t="s">
        <v>214</v>
      </c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>
        <v>14003</v>
      </c>
      <c r="B99" s="49">
        <v>500</v>
      </c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>
        <v>14004</v>
      </c>
      <c r="B100" s="49">
        <v>500</v>
      </c>
      <c r="C100" s="17" t="s">
        <v>198</v>
      </c>
      <c r="D100" s="13"/>
      <c r="E100" s="70"/>
      <c r="F100" s="14"/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/>
      <c r="B101" s="49"/>
      <c r="C101" s="17" t="s">
        <v>199</v>
      </c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>
        <v>14005</v>
      </c>
      <c r="B102" s="49">
        <v>500</v>
      </c>
      <c r="C102" s="17" t="s">
        <v>198</v>
      </c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 t="s">
        <v>199</v>
      </c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>
        <v>14006</v>
      </c>
      <c r="B104" s="49">
        <v>500</v>
      </c>
      <c r="C104" s="17" t="s">
        <v>198</v>
      </c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16"/>
      <c r="B105" s="49"/>
      <c r="C105" s="17" t="s">
        <v>199</v>
      </c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16">
        <v>14007</v>
      </c>
      <c r="B106" s="49">
        <v>200</v>
      </c>
      <c r="C106" s="17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16">
        <v>14008</v>
      </c>
      <c r="B107" s="49">
        <v>500</v>
      </c>
      <c r="C107" s="17" t="s">
        <v>198</v>
      </c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16"/>
      <c r="B108" s="49"/>
      <c r="C108" s="17" t="s">
        <v>199</v>
      </c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16">
        <v>14009</v>
      </c>
      <c r="B109" s="49">
        <v>1300</v>
      </c>
      <c r="C109" s="17" t="s">
        <v>215</v>
      </c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16"/>
      <c r="B110" s="49"/>
      <c r="C110" s="17" t="s">
        <v>212</v>
      </c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16"/>
      <c r="B111" s="49"/>
      <c r="C111" s="17" t="s">
        <v>199</v>
      </c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16">
        <v>14010</v>
      </c>
      <c r="B112" s="49">
        <v>500</v>
      </c>
      <c r="C112" s="17" t="s">
        <v>196</v>
      </c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16"/>
      <c r="B113" s="49"/>
      <c r="C113" s="17" t="s">
        <v>197</v>
      </c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16">
        <v>14011</v>
      </c>
      <c r="B114" s="49">
        <v>500</v>
      </c>
      <c r="C114" s="17" t="s">
        <v>216</v>
      </c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16"/>
      <c r="B115" s="49"/>
      <c r="C115" s="17" t="s">
        <v>199</v>
      </c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16">
        <v>14012</v>
      </c>
      <c r="B116" s="49">
        <v>200</v>
      </c>
      <c r="C116" s="17" t="s">
        <v>217</v>
      </c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16">
        <v>14013</v>
      </c>
      <c r="B117" s="49">
        <v>500</v>
      </c>
      <c r="C117" s="17" t="s">
        <v>198</v>
      </c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16"/>
      <c r="B118" s="49"/>
      <c r="C118" s="17" t="s">
        <v>199</v>
      </c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16">
        <v>14014</v>
      </c>
      <c r="B119" s="49">
        <v>2800</v>
      </c>
      <c r="C119" s="17" t="s">
        <v>218</v>
      </c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16"/>
      <c r="B120" s="49"/>
      <c r="C120" s="17" t="s">
        <v>219</v>
      </c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16"/>
      <c r="B121" s="49"/>
      <c r="C121" s="17" t="s">
        <v>220</v>
      </c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16">
        <v>14015</v>
      </c>
      <c r="B122" s="49">
        <v>300</v>
      </c>
      <c r="C122" s="17" t="s">
        <v>221</v>
      </c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16"/>
      <c r="B123" s="49"/>
      <c r="C123" s="17" t="s">
        <v>199</v>
      </c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16">
        <v>14016</v>
      </c>
      <c r="B124" s="49">
        <v>600</v>
      </c>
      <c r="C124" s="17" t="s">
        <v>196</v>
      </c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16"/>
      <c r="B125" s="49"/>
      <c r="C125" s="17" t="s">
        <v>222</v>
      </c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16">
        <v>14017</v>
      </c>
      <c r="B126" s="49">
        <v>400</v>
      </c>
      <c r="C126" s="17" t="s">
        <v>223</v>
      </c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16"/>
      <c r="B127" s="49"/>
      <c r="C127" s="17" t="s">
        <v>224</v>
      </c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16">
        <v>14018</v>
      </c>
      <c r="B128" s="49">
        <v>500</v>
      </c>
      <c r="C128" s="17" t="s">
        <v>225</v>
      </c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16"/>
      <c r="B129" s="49"/>
      <c r="C129" s="17" t="s">
        <v>197</v>
      </c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16">
        <v>14019</v>
      </c>
      <c r="B130" s="49">
        <v>500</v>
      </c>
      <c r="C130" s="17" t="s">
        <v>225</v>
      </c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16"/>
      <c r="B131" s="49"/>
      <c r="C131" s="17" t="s">
        <v>197</v>
      </c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16">
        <v>14020</v>
      </c>
      <c r="B132" s="49">
        <v>100</v>
      </c>
      <c r="C132" s="17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16">
        <v>14021</v>
      </c>
      <c r="B133" s="49">
        <v>400</v>
      </c>
      <c r="C133" s="17" t="s">
        <v>91</v>
      </c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16">
        <v>14022</v>
      </c>
      <c r="B134" s="49">
        <v>700</v>
      </c>
      <c r="C134" s="17" t="s">
        <v>226</v>
      </c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16"/>
      <c r="B135" s="49"/>
      <c r="C135" s="17" t="s">
        <v>227</v>
      </c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16">
        <v>14023</v>
      </c>
      <c r="B136" s="49">
        <v>2200</v>
      </c>
      <c r="C136" s="17" t="s">
        <v>228</v>
      </c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16"/>
      <c r="B137" s="49"/>
      <c r="C137" s="17" t="s">
        <v>229</v>
      </c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16">
        <v>14024</v>
      </c>
      <c r="B138" s="49">
        <v>500</v>
      </c>
      <c r="C138" s="17" t="s">
        <v>198</v>
      </c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16"/>
      <c r="B139" s="49"/>
      <c r="C139" s="17" t="s">
        <v>199</v>
      </c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16">
        <v>14025</v>
      </c>
      <c r="B140" s="49">
        <v>500</v>
      </c>
      <c r="C140" s="17" t="s">
        <v>198</v>
      </c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16"/>
      <c r="B141" s="49"/>
      <c r="C141" s="17" t="s">
        <v>199</v>
      </c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16"/>
      <c r="B142" s="49"/>
      <c r="C142" s="17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16"/>
      <c r="B143" s="49"/>
      <c r="C143" s="17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16"/>
      <c r="B144" s="49"/>
      <c r="C144" s="17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16"/>
      <c r="B145" s="49"/>
      <c r="C145" s="17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16"/>
      <c r="B146" s="49"/>
      <c r="C146" s="17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D5" workbookViewId="0">
      <pane ySplit="3" topLeftCell="A64" activePane="bottomLeft" state="frozen"/>
      <selection activeCell="A5" sqref="A5"/>
      <selection pane="bottomLeft" activeCell="N80" sqref="N8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SUBTOTAL(3,A8:A120)</f>
        <v>51</v>
      </c>
      <c r="B6" s="8">
        <f>SUBTOTAL(9,B8:B120)</f>
        <v>28400</v>
      </c>
      <c r="C6" s="35">
        <v>42827</v>
      </c>
      <c r="D6" s="8">
        <f>SUBTOTAL(3,D8:D121)</f>
        <v>56</v>
      </c>
      <c r="E6" s="1">
        <f>SUBTOTAL(9,E8:E121)</f>
        <v>25079</v>
      </c>
      <c r="F6" s="38">
        <v>42834</v>
      </c>
      <c r="G6" s="8">
        <f>SUBTOTAL(3,G8:G120)</f>
        <v>27</v>
      </c>
      <c r="H6" s="1">
        <f>SUBTOTAL(9,H8:H120)</f>
        <v>9750</v>
      </c>
      <c r="I6" s="39">
        <v>42841</v>
      </c>
      <c r="J6" s="8">
        <f>SUBTOTAL(3,J8:J110)</f>
        <v>32</v>
      </c>
      <c r="K6" s="1">
        <f>SUBTOTAL(9,K8:K110)</f>
        <v>14150</v>
      </c>
      <c r="L6" s="63">
        <v>42849</v>
      </c>
      <c r="M6" s="1">
        <f>SUBTOTAL(3,M8:M120)</f>
        <v>46</v>
      </c>
      <c r="N6" s="1">
        <f>SUBTOTAL(9,N8:N120)</f>
        <v>24750</v>
      </c>
      <c r="O6" s="86">
        <v>42855</v>
      </c>
      <c r="Q6" s="30">
        <f>+A6+D6+G6+J6+M6</f>
        <v>212</v>
      </c>
      <c r="R6" s="29">
        <f>+B6+E6+H6+K6+N6</f>
        <v>102129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14148</v>
      </c>
      <c r="B8" s="49">
        <v>300</v>
      </c>
      <c r="C8" s="17"/>
      <c r="D8" s="13">
        <v>14199</v>
      </c>
      <c r="E8" s="70">
        <v>950</v>
      </c>
      <c r="F8" s="14" t="s">
        <v>289</v>
      </c>
      <c r="G8" s="11">
        <v>14255</v>
      </c>
      <c r="H8" s="67">
        <v>400</v>
      </c>
      <c r="I8" s="12"/>
      <c r="J8" s="61">
        <v>14282</v>
      </c>
      <c r="K8" s="71">
        <v>200</v>
      </c>
      <c r="L8" s="62" t="s">
        <v>19</v>
      </c>
      <c r="M8" s="15">
        <v>14314</v>
      </c>
      <c r="N8" s="112">
        <v>250</v>
      </c>
      <c r="O8" s="15" t="s">
        <v>326</v>
      </c>
      <c r="Q8" s="32"/>
      <c r="R8" s="32"/>
    </row>
    <row r="9" spans="1:18" x14ac:dyDescent="0.25">
      <c r="A9" s="16">
        <v>14149</v>
      </c>
      <c r="B9" s="49">
        <v>100</v>
      </c>
      <c r="C9" s="17" t="s">
        <v>173</v>
      </c>
      <c r="D9" s="13"/>
      <c r="E9" s="70"/>
      <c r="F9" s="14" t="s">
        <v>290</v>
      </c>
      <c r="G9" s="11">
        <v>14256</v>
      </c>
      <c r="H9" s="67">
        <v>400</v>
      </c>
      <c r="I9" s="12" t="s">
        <v>303</v>
      </c>
      <c r="J9" s="61">
        <v>14283</v>
      </c>
      <c r="K9" s="71">
        <v>100</v>
      </c>
      <c r="L9" s="62" t="s">
        <v>311</v>
      </c>
      <c r="M9" s="15">
        <v>14315</v>
      </c>
      <c r="N9" s="73">
        <v>200</v>
      </c>
      <c r="O9" s="15" t="s">
        <v>136</v>
      </c>
    </row>
    <row r="10" spans="1:18" x14ac:dyDescent="0.25">
      <c r="A10" s="16">
        <v>14150</v>
      </c>
      <c r="B10" s="49">
        <v>400</v>
      </c>
      <c r="C10" s="17"/>
      <c r="D10" s="13"/>
      <c r="E10" s="70"/>
      <c r="F10" s="14" t="s">
        <v>173</v>
      </c>
      <c r="G10" s="11">
        <v>14257</v>
      </c>
      <c r="H10" s="67">
        <v>400</v>
      </c>
      <c r="I10" s="12"/>
      <c r="J10" s="61">
        <v>14284</v>
      </c>
      <c r="K10" s="71">
        <v>200</v>
      </c>
      <c r="L10" s="62" t="s">
        <v>19</v>
      </c>
      <c r="M10" s="15"/>
      <c r="N10" s="73"/>
      <c r="O10" s="15" t="s">
        <v>263</v>
      </c>
    </row>
    <row r="11" spans="1:18" x14ac:dyDescent="0.25">
      <c r="A11" s="16">
        <v>14151</v>
      </c>
      <c r="B11" s="49">
        <v>400</v>
      </c>
      <c r="C11" s="17"/>
      <c r="D11" s="13">
        <v>14200</v>
      </c>
      <c r="E11" s="70">
        <v>100</v>
      </c>
      <c r="F11" s="14" t="s">
        <v>173</v>
      </c>
      <c r="G11" s="11">
        <v>14258</v>
      </c>
      <c r="H11" s="67">
        <v>200</v>
      </c>
      <c r="I11" s="12" t="s">
        <v>304</v>
      </c>
      <c r="J11" s="61">
        <v>14285</v>
      </c>
      <c r="K11" s="71">
        <v>600</v>
      </c>
      <c r="L11" s="62" t="s">
        <v>312</v>
      </c>
      <c r="M11" s="15">
        <v>14316</v>
      </c>
      <c r="N11" s="73">
        <v>1500</v>
      </c>
      <c r="O11" s="15" t="s">
        <v>305</v>
      </c>
    </row>
    <row r="12" spans="1:18" x14ac:dyDescent="0.25">
      <c r="A12" s="16">
        <v>14152</v>
      </c>
      <c r="B12" s="49">
        <v>400</v>
      </c>
      <c r="C12" s="17" t="s">
        <v>91</v>
      </c>
      <c r="D12" s="13">
        <v>14201</v>
      </c>
      <c r="E12" s="70">
        <v>600</v>
      </c>
      <c r="F12" s="14" t="s">
        <v>278</v>
      </c>
      <c r="G12" s="11">
        <v>14259</v>
      </c>
      <c r="H12" s="67">
        <v>400</v>
      </c>
      <c r="I12" s="12" t="s">
        <v>278</v>
      </c>
      <c r="J12" s="61"/>
      <c r="K12" s="71"/>
      <c r="L12" s="62" t="s">
        <v>16</v>
      </c>
      <c r="M12" s="15"/>
      <c r="N12" s="73"/>
      <c r="O12" s="15" t="s">
        <v>327</v>
      </c>
    </row>
    <row r="13" spans="1:18" x14ac:dyDescent="0.25">
      <c r="A13" s="16">
        <v>14153</v>
      </c>
      <c r="B13" s="49">
        <v>50</v>
      </c>
      <c r="C13" s="17" t="s">
        <v>47</v>
      </c>
      <c r="D13" s="13">
        <v>14202</v>
      </c>
      <c r="E13" s="70">
        <v>4004</v>
      </c>
      <c r="F13" s="14" t="s">
        <v>291</v>
      </c>
      <c r="G13" s="11">
        <v>14260</v>
      </c>
      <c r="H13" s="67">
        <v>600</v>
      </c>
      <c r="I13" s="12" t="s">
        <v>305</v>
      </c>
      <c r="J13" s="61">
        <v>14286</v>
      </c>
      <c r="K13" s="71">
        <v>400</v>
      </c>
      <c r="L13" s="62"/>
      <c r="M13" s="15"/>
      <c r="N13" s="73"/>
      <c r="O13" s="15" t="s">
        <v>261</v>
      </c>
    </row>
    <row r="14" spans="1:18" x14ac:dyDescent="0.25">
      <c r="A14" s="16">
        <v>14154</v>
      </c>
      <c r="B14" s="49">
        <v>800</v>
      </c>
      <c r="C14" s="17" t="s">
        <v>150</v>
      </c>
      <c r="D14" s="13"/>
      <c r="E14" s="70"/>
      <c r="F14" s="14" t="s">
        <v>292</v>
      </c>
      <c r="G14" s="11"/>
      <c r="H14" s="67"/>
      <c r="I14" s="12" t="s">
        <v>18</v>
      </c>
      <c r="J14" s="61">
        <v>14287</v>
      </c>
      <c r="K14" s="71">
        <v>300</v>
      </c>
      <c r="L14" s="62" t="s">
        <v>62</v>
      </c>
      <c r="M14" s="15">
        <v>14317</v>
      </c>
      <c r="N14" s="73">
        <v>300</v>
      </c>
      <c r="O14" s="31"/>
    </row>
    <row r="15" spans="1:18" x14ac:dyDescent="0.25">
      <c r="A15" s="16"/>
      <c r="B15" s="49"/>
      <c r="C15" s="17" t="s">
        <v>16</v>
      </c>
      <c r="D15" s="13">
        <v>14203</v>
      </c>
      <c r="E15" s="70">
        <v>100</v>
      </c>
      <c r="F15" s="14" t="s">
        <v>173</v>
      </c>
      <c r="G15" s="11">
        <v>14261</v>
      </c>
      <c r="H15" s="67">
        <v>650</v>
      </c>
      <c r="I15" s="12" t="s">
        <v>79</v>
      </c>
      <c r="J15" s="61"/>
      <c r="K15" s="71"/>
      <c r="L15" s="92" t="s">
        <v>263</v>
      </c>
      <c r="M15" s="15">
        <v>14318</v>
      </c>
      <c r="N15" s="73">
        <v>1300</v>
      </c>
      <c r="O15" s="15" t="s">
        <v>184</v>
      </c>
    </row>
    <row r="16" spans="1:18" x14ac:dyDescent="0.25">
      <c r="A16" s="16">
        <v>14155</v>
      </c>
      <c r="B16" s="49">
        <v>400</v>
      </c>
      <c r="C16" s="17" t="s">
        <v>278</v>
      </c>
      <c r="D16" s="13">
        <v>14204</v>
      </c>
      <c r="E16" s="70">
        <v>100</v>
      </c>
      <c r="F16" s="14" t="s">
        <v>173</v>
      </c>
      <c r="G16" s="11"/>
      <c r="H16" s="67"/>
      <c r="I16" s="12" t="s">
        <v>306</v>
      </c>
      <c r="J16" s="61">
        <v>14288</v>
      </c>
      <c r="K16" s="71">
        <v>400</v>
      </c>
      <c r="L16" s="62"/>
      <c r="M16" s="15"/>
      <c r="N16" s="73"/>
      <c r="O16" s="15" t="s">
        <v>182</v>
      </c>
    </row>
    <row r="17" spans="1:15" x14ac:dyDescent="0.25">
      <c r="A17" s="16">
        <v>14156</v>
      </c>
      <c r="B17" s="49">
        <v>500</v>
      </c>
      <c r="C17" s="17"/>
      <c r="D17" s="13">
        <v>14205</v>
      </c>
      <c r="E17" s="70">
        <v>100</v>
      </c>
      <c r="F17" s="14" t="s">
        <v>173</v>
      </c>
      <c r="G17" s="11">
        <v>14262</v>
      </c>
      <c r="H17" s="67">
        <v>250</v>
      </c>
      <c r="I17" s="12" t="s">
        <v>307</v>
      </c>
      <c r="J17" s="61">
        <v>14289</v>
      </c>
      <c r="K17" s="71">
        <v>400</v>
      </c>
      <c r="L17" s="62"/>
      <c r="M17" s="15"/>
      <c r="N17" s="73"/>
      <c r="O17" s="15" t="s">
        <v>261</v>
      </c>
    </row>
    <row r="18" spans="1:15" x14ac:dyDescent="0.25">
      <c r="A18" s="16">
        <v>14157</v>
      </c>
      <c r="B18" s="49">
        <v>200</v>
      </c>
      <c r="C18" s="17" t="s">
        <v>278</v>
      </c>
      <c r="D18" s="13">
        <v>14206</v>
      </c>
      <c r="E18" s="70">
        <v>100</v>
      </c>
      <c r="F18" s="14" t="s">
        <v>173</v>
      </c>
      <c r="G18" s="11"/>
      <c r="H18" s="67"/>
      <c r="I18" s="12" t="s">
        <v>261</v>
      </c>
      <c r="J18" s="61">
        <v>14290</v>
      </c>
      <c r="K18" s="71">
        <v>400</v>
      </c>
      <c r="L18" s="62" t="s">
        <v>278</v>
      </c>
      <c r="M18" s="15">
        <v>14319</v>
      </c>
      <c r="N18" s="73">
        <v>400</v>
      </c>
      <c r="O18" s="15"/>
    </row>
    <row r="19" spans="1:15" x14ac:dyDescent="0.25">
      <c r="A19" s="16">
        <v>14158</v>
      </c>
      <c r="B19" s="49">
        <v>200</v>
      </c>
      <c r="C19" s="17"/>
      <c r="D19" s="13">
        <v>14207</v>
      </c>
      <c r="E19" s="70">
        <v>100</v>
      </c>
      <c r="F19" s="33" t="s">
        <v>173</v>
      </c>
      <c r="G19" s="11">
        <v>14263</v>
      </c>
      <c r="H19" s="67">
        <v>600</v>
      </c>
      <c r="I19" s="12" t="s">
        <v>62</v>
      </c>
      <c r="J19" s="61">
        <v>14291</v>
      </c>
      <c r="K19" s="71">
        <v>350</v>
      </c>
      <c r="L19" s="62"/>
      <c r="M19" s="15">
        <v>14320</v>
      </c>
      <c r="N19" s="73">
        <v>200</v>
      </c>
      <c r="O19" s="15" t="s">
        <v>19</v>
      </c>
    </row>
    <row r="20" spans="1:15" x14ac:dyDescent="0.25">
      <c r="A20" s="16">
        <v>14159</v>
      </c>
      <c r="B20" s="49">
        <v>400</v>
      </c>
      <c r="C20" s="17"/>
      <c r="D20" s="13">
        <v>14208</v>
      </c>
      <c r="E20" s="70">
        <v>100</v>
      </c>
      <c r="F20" s="14" t="s">
        <v>173</v>
      </c>
      <c r="G20" s="11"/>
      <c r="H20" s="67"/>
      <c r="I20" s="12" t="s">
        <v>18</v>
      </c>
      <c r="J20" s="61">
        <v>14292</v>
      </c>
      <c r="K20" s="71">
        <v>600</v>
      </c>
      <c r="L20" s="62" t="s">
        <v>313</v>
      </c>
      <c r="M20" s="15">
        <v>14321</v>
      </c>
      <c r="N20" s="73">
        <v>400</v>
      </c>
      <c r="O20" s="15" t="s">
        <v>310</v>
      </c>
    </row>
    <row r="21" spans="1:15" x14ac:dyDescent="0.25">
      <c r="A21" s="16">
        <v>14160</v>
      </c>
      <c r="B21" s="49">
        <v>400</v>
      </c>
      <c r="C21" s="17"/>
      <c r="D21" s="13">
        <v>14209</v>
      </c>
      <c r="E21" s="70">
        <v>100</v>
      </c>
      <c r="F21" s="14" t="s">
        <v>173</v>
      </c>
      <c r="G21" s="11">
        <v>14264</v>
      </c>
      <c r="H21" s="67">
        <v>400</v>
      </c>
      <c r="I21" s="12"/>
      <c r="J21" s="61"/>
      <c r="K21" s="71"/>
      <c r="L21" s="62" t="s">
        <v>314</v>
      </c>
      <c r="M21" s="15">
        <v>14322</v>
      </c>
      <c r="N21" s="73">
        <v>400</v>
      </c>
      <c r="O21" s="15" t="s">
        <v>310</v>
      </c>
    </row>
    <row r="22" spans="1:15" x14ac:dyDescent="0.25">
      <c r="A22" s="16">
        <v>14161</v>
      </c>
      <c r="B22" s="49">
        <v>300</v>
      </c>
      <c r="C22" s="17" t="s">
        <v>278</v>
      </c>
      <c r="D22" s="13">
        <v>14210</v>
      </c>
      <c r="E22" s="70">
        <v>100</v>
      </c>
      <c r="F22" s="14" t="s">
        <v>173</v>
      </c>
      <c r="G22" s="11">
        <v>14265</v>
      </c>
      <c r="H22" s="67">
        <v>400</v>
      </c>
      <c r="I22" s="12" t="s">
        <v>278</v>
      </c>
      <c r="J22" s="61"/>
      <c r="K22" s="71"/>
      <c r="L22" s="62" t="s">
        <v>315</v>
      </c>
      <c r="M22" s="15">
        <v>14323</v>
      </c>
      <c r="N22" s="73">
        <v>200</v>
      </c>
      <c r="O22" s="15"/>
    </row>
    <row r="23" spans="1:15" x14ac:dyDescent="0.25">
      <c r="A23" s="16">
        <v>14162</v>
      </c>
      <c r="B23" s="49">
        <v>400</v>
      </c>
      <c r="C23" s="17" t="s">
        <v>150</v>
      </c>
      <c r="D23" s="13">
        <v>14211</v>
      </c>
      <c r="E23" s="70">
        <v>100</v>
      </c>
      <c r="F23" s="14" t="s">
        <v>173</v>
      </c>
      <c r="G23" s="11">
        <v>14266</v>
      </c>
      <c r="H23" s="67">
        <v>200</v>
      </c>
      <c r="I23" s="12"/>
      <c r="J23" s="61">
        <v>14293</v>
      </c>
      <c r="K23" s="71">
        <v>200</v>
      </c>
      <c r="L23" s="62"/>
      <c r="M23" s="15">
        <v>14324</v>
      </c>
      <c r="N23" s="73">
        <v>400</v>
      </c>
      <c r="O23" s="15"/>
    </row>
    <row r="24" spans="1:15" x14ac:dyDescent="0.25">
      <c r="A24" s="16"/>
      <c r="B24" s="49"/>
      <c r="C24" s="17" t="s">
        <v>18</v>
      </c>
      <c r="D24" s="13">
        <v>14212</v>
      </c>
      <c r="E24" s="70" t="s">
        <v>293</v>
      </c>
      <c r="F24" s="14" t="s">
        <v>142</v>
      </c>
      <c r="G24" s="11">
        <v>14267</v>
      </c>
      <c r="H24" s="67">
        <v>600</v>
      </c>
      <c r="I24" s="12" t="s">
        <v>308</v>
      </c>
      <c r="J24" s="61">
        <v>14294</v>
      </c>
      <c r="K24" s="71">
        <v>250</v>
      </c>
      <c r="L24" s="62" t="s">
        <v>316</v>
      </c>
      <c r="M24" s="15">
        <v>14325</v>
      </c>
      <c r="N24" s="73">
        <v>800</v>
      </c>
      <c r="O24" s="15" t="s">
        <v>281</v>
      </c>
    </row>
    <row r="25" spans="1:15" x14ac:dyDescent="0.25">
      <c r="A25" s="16">
        <v>14163</v>
      </c>
      <c r="B25" s="49">
        <v>300</v>
      </c>
      <c r="C25" s="17"/>
      <c r="D25" s="13"/>
      <c r="E25" s="70"/>
      <c r="F25" s="14" t="s">
        <v>294</v>
      </c>
      <c r="G25" s="11">
        <v>14268</v>
      </c>
      <c r="H25" s="67">
        <v>400</v>
      </c>
      <c r="I25" s="12"/>
      <c r="J25" s="61"/>
      <c r="K25" s="71"/>
      <c r="L25" s="62" t="s">
        <v>317</v>
      </c>
      <c r="M25" s="15"/>
      <c r="N25" s="73"/>
      <c r="O25" s="15" t="s">
        <v>265</v>
      </c>
    </row>
    <row r="26" spans="1:15" x14ac:dyDescent="0.25">
      <c r="A26" s="16">
        <v>14164</v>
      </c>
      <c r="B26" s="49">
        <v>4500</v>
      </c>
      <c r="C26" s="17" t="s">
        <v>279</v>
      </c>
      <c r="D26" s="13">
        <v>14213</v>
      </c>
      <c r="E26" s="70"/>
      <c r="F26" s="14" t="s">
        <v>142</v>
      </c>
      <c r="G26" s="11">
        <v>14269</v>
      </c>
      <c r="H26" s="67">
        <v>400</v>
      </c>
      <c r="I26" s="12" t="s">
        <v>128</v>
      </c>
      <c r="J26" s="61">
        <v>14295</v>
      </c>
      <c r="K26" s="71">
        <v>500</v>
      </c>
      <c r="L26" s="62" t="s">
        <v>136</v>
      </c>
      <c r="M26" s="15">
        <v>14326</v>
      </c>
      <c r="N26" s="73">
        <v>1300</v>
      </c>
      <c r="O26" s="15" t="s">
        <v>79</v>
      </c>
    </row>
    <row r="27" spans="1:15" x14ac:dyDescent="0.25">
      <c r="A27" s="16"/>
      <c r="B27" s="49"/>
      <c r="C27" s="17" t="s">
        <v>280</v>
      </c>
      <c r="D27" s="13"/>
      <c r="E27" s="70"/>
      <c r="F27" s="14" t="s">
        <v>294</v>
      </c>
      <c r="G27" s="11">
        <v>14270</v>
      </c>
      <c r="H27" s="67">
        <v>50</v>
      </c>
      <c r="I27" s="12" t="s">
        <v>309</v>
      </c>
      <c r="J27" s="61"/>
      <c r="K27" s="71"/>
      <c r="L27" s="62" t="s">
        <v>36</v>
      </c>
      <c r="M27" s="15"/>
      <c r="N27" s="73"/>
      <c r="O27" s="31" t="s">
        <v>182</v>
      </c>
    </row>
    <row r="28" spans="1:15" x14ac:dyDescent="0.25">
      <c r="A28" s="16"/>
      <c r="B28" s="49"/>
      <c r="C28" s="17" t="s">
        <v>173</v>
      </c>
      <c r="D28" s="13">
        <v>14214</v>
      </c>
      <c r="E28" s="70"/>
      <c r="F28" s="14" t="s">
        <v>142</v>
      </c>
      <c r="G28" s="11">
        <v>14271</v>
      </c>
      <c r="H28" s="67">
        <v>400</v>
      </c>
      <c r="I28" s="12"/>
      <c r="J28" s="61"/>
      <c r="K28" s="71"/>
      <c r="L28" s="62" t="s">
        <v>173</v>
      </c>
      <c r="M28" s="15"/>
      <c r="N28" s="73"/>
      <c r="O28" s="15" t="s">
        <v>261</v>
      </c>
    </row>
    <row r="29" spans="1:15" x14ac:dyDescent="0.25">
      <c r="A29" s="16">
        <v>14165</v>
      </c>
      <c r="B29" s="49">
        <v>600</v>
      </c>
      <c r="C29" s="17" t="s">
        <v>281</v>
      </c>
      <c r="D29" s="13"/>
      <c r="E29" s="70"/>
      <c r="F29" s="14" t="s">
        <v>294</v>
      </c>
      <c r="G29" s="11">
        <v>14272</v>
      </c>
      <c r="H29" s="67">
        <v>500</v>
      </c>
      <c r="I29" s="12" t="s">
        <v>278</v>
      </c>
      <c r="J29" s="61">
        <v>14296</v>
      </c>
      <c r="K29" s="71">
        <v>350</v>
      </c>
      <c r="L29" s="62" t="s">
        <v>318</v>
      </c>
      <c r="M29" s="15">
        <v>14327</v>
      </c>
      <c r="N29" s="73">
        <v>400</v>
      </c>
      <c r="O29" s="15" t="s">
        <v>310</v>
      </c>
    </row>
    <row r="30" spans="1:15" x14ac:dyDescent="0.25">
      <c r="A30" s="16"/>
      <c r="B30" s="49"/>
      <c r="C30" s="17" t="s">
        <v>17</v>
      </c>
      <c r="D30" s="13">
        <v>14215</v>
      </c>
      <c r="E30" s="70">
        <v>600</v>
      </c>
      <c r="F30" s="14" t="s">
        <v>281</v>
      </c>
      <c r="G30" s="11"/>
      <c r="H30" s="67"/>
      <c r="I30" s="12" t="s">
        <v>261</v>
      </c>
      <c r="J30" s="61"/>
      <c r="K30" s="71"/>
      <c r="L30" s="62" t="s">
        <v>319</v>
      </c>
      <c r="M30" s="15">
        <v>14328</v>
      </c>
      <c r="N30" s="73">
        <v>300</v>
      </c>
      <c r="O30" s="15"/>
    </row>
    <row r="31" spans="1:15" x14ac:dyDescent="0.25">
      <c r="A31" s="16">
        <v>14166</v>
      </c>
      <c r="B31" s="49">
        <v>1200</v>
      </c>
      <c r="C31" s="17" t="s">
        <v>282</v>
      </c>
      <c r="D31" s="13"/>
      <c r="E31" s="70"/>
      <c r="F31" s="14" t="s">
        <v>17</v>
      </c>
      <c r="G31" s="11">
        <v>14273</v>
      </c>
      <c r="H31" s="67">
        <v>400</v>
      </c>
      <c r="I31" s="12"/>
      <c r="J31" s="61">
        <v>14297</v>
      </c>
      <c r="K31" s="71">
        <v>800</v>
      </c>
      <c r="L31" s="62" t="s">
        <v>281</v>
      </c>
      <c r="M31" s="15">
        <v>14329</v>
      </c>
      <c r="N31" s="73">
        <v>200</v>
      </c>
      <c r="O31" s="15" t="s">
        <v>310</v>
      </c>
    </row>
    <row r="32" spans="1:15" x14ac:dyDescent="0.25">
      <c r="A32" s="16"/>
      <c r="B32" s="49"/>
      <c r="C32" s="17" t="s">
        <v>16</v>
      </c>
      <c r="D32" s="13">
        <v>14216</v>
      </c>
      <c r="E32" s="70">
        <v>400</v>
      </c>
      <c r="F32" s="14"/>
      <c r="G32" s="11">
        <v>14274</v>
      </c>
      <c r="H32" s="67">
        <v>300</v>
      </c>
      <c r="I32" s="12"/>
      <c r="J32" s="61"/>
      <c r="K32" s="71"/>
      <c r="L32" s="62" t="s">
        <v>16</v>
      </c>
      <c r="M32" s="15">
        <v>14330</v>
      </c>
      <c r="N32" s="73">
        <v>400</v>
      </c>
      <c r="O32" s="15" t="s">
        <v>136</v>
      </c>
    </row>
    <row r="33" spans="1:15" x14ac:dyDescent="0.25">
      <c r="A33" s="16">
        <v>14167</v>
      </c>
      <c r="B33" s="49">
        <v>100</v>
      </c>
      <c r="C33" s="17" t="s">
        <v>173</v>
      </c>
      <c r="D33" s="13">
        <v>14217</v>
      </c>
      <c r="E33" s="70">
        <v>100</v>
      </c>
      <c r="F33" s="14" t="s">
        <v>173</v>
      </c>
      <c r="G33" s="11">
        <v>14275</v>
      </c>
      <c r="H33" s="67">
        <v>300</v>
      </c>
      <c r="I33" s="12" t="s">
        <v>310</v>
      </c>
      <c r="J33" s="61">
        <v>14298</v>
      </c>
      <c r="K33" s="71">
        <v>1200</v>
      </c>
      <c r="L33" s="62" t="s">
        <v>305</v>
      </c>
      <c r="M33" s="15"/>
      <c r="N33" s="73"/>
      <c r="O33" s="15" t="s">
        <v>18</v>
      </c>
    </row>
    <row r="34" spans="1:15" x14ac:dyDescent="0.25">
      <c r="A34" s="16">
        <v>14168</v>
      </c>
      <c r="B34" s="49">
        <v>400</v>
      </c>
      <c r="C34" s="17" t="s">
        <v>278</v>
      </c>
      <c r="D34" s="13">
        <v>14218</v>
      </c>
      <c r="E34" s="70">
        <v>300</v>
      </c>
      <c r="F34" s="14" t="s">
        <v>136</v>
      </c>
      <c r="G34" s="11">
        <v>14276</v>
      </c>
      <c r="H34" s="67">
        <v>400</v>
      </c>
      <c r="I34" s="12"/>
      <c r="J34" s="61"/>
      <c r="K34" s="71"/>
      <c r="L34" s="62" t="s">
        <v>17</v>
      </c>
      <c r="M34" s="15">
        <v>14331</v>
      </c>
      <c r="N34" s="73">
        <v>400</v>
      </c>
      <c r="O34" s="31"/>
    </row>
    <row r="35" spans="1:15" x14ac:dyDescent="0.25">
      <c r="A35" s="16">
        <v>14169</v>
      </c>
      <c r="B35" s="49">
        <v>400</v>
      </c>
      <c r="C35" s="17" t="s">
        <v>278</v>
      </c>
      <c r="D35" s="13"/>
      <c r="E35" s="70"/>
      <c r="F35" s="14" t="s">
        <v>78</v>
      </c>
      <c r="G35" s="11">
        <v>14277</v>
      </c>
      <c r="H35" s="67">
        <v>400</v>
      </c>
      <c r="I35" s="12"/>
      <c r="J35" s="61">
        <v>14299</v>
      </c>
      <c r="K35" s="71">
        <v>400</v>
      </c>
      <c r="L35" s="62" t="s">
        <v>320</v>
      </c>
      <c r="M35" s="15">
        <v>14332</v>
      </c>
      <c r="N35" s="73">
        <v>1200</v>
      </c>
      <c r="O35" s="15" t="s">
        <v>328</v>
      </c>
    </row>
    <row r="36" spans="1:15" x14ac:dyDescent="0.25">
      <c r="A36" s="16">
        <v>14170</v>
      </c>
      <c r="B36" s="49">
        <v>400</v>
      </c>
      <c r="C36" s="17" t="s">
        <v>278</v>
      </c>
      <c r="D36" s="13">
        <v>14219</v>
      </c>
      <c r="E36" s="70">
        <v>200</v>
      </c>
      <c r="F36" s="14" t="s">
        <v>134</v>
      </c>
      <c r="G36" s="11">
        <v>14278</v>
      </c>
      <c r="H36" s="67">
        <v>200</v>
      </c>
      <c r="I36" s="12" t="s">
        <v>91</v>
      </c>
      <c r="J36" s="61"/>
      <c r="K36" s="71"/>
      <c r="L36" s="62" t="s">
        <v>36</v>
      </c>
      <c r="M36" s="15"/>
      <c r="N36" s="73"/>
      <c r="O36" s="15" t="s">
        <v>18</v>
      </c>
    </row>
    <row r="37" spans="1:15" x14ac:dyDescent="0.25">
      <c r="A37" s="16">
        <v>14171</v>
      </c>
      <c r="B37" s="49">
        <v>100</v>
      </c>
      <c r="C37" s="17" t="s">
        <v>173</v>
      </c>
      <c r="D37" s="13">
        <v>14220</v>
      </c>
      <c r="E37" s="70">
        <v>400</v>
      </c>
      <c r="F37" s="14"/>
      <c r="G37" s="11">
        <v>14279</v>
      </c>
      <c r="H37" s="67">
        <v>400</v>
      </c>
      <c r="I37" s="12"/>
      <c r="J37" s="61">
        <v>14300</v>
      </c>
      <c r="K37" s="71">
        <v>500</v>
      </c>
      <c r="L37" s="62" t="s">
        <v>136</v>
      </c>
      <c r="M37" s="15">
        <v>14333</v>
      </c>
      <c r="N37" s="73">
        <v>800</v>
      </c>
      <c r="O37" s="15" t="s">
        <v>281</v>
      </c>
    </row>
    <row r="38" spans="1:15" x14ac:dyDescent="0.25">
      <c r="A38" s="16">
        <v>14172</v>
      </c>
      <c r="B38" s="49">
        <v>400</v>
      </c>
      <c r="C38" s="17" t="s">
        <v>278</v>
      </c>
      <c r="D38" s="13">
        <v>14221</v>
      </c>
      <c r="E38" s="70">
        <v>500</v>
      </c>
      <c r="F38" s="14" t="s">
        <v>295</v>
      </c>
      <c r="G38" s="11">
        <v>14280</v>
      </c>
      <c r="H38" s="67">
        <v>50</v>
      </c>
      <c r="I38" s="12" t="s">
        <v>309</v>
      </c>
      <c r="J38" s="61"/>
      <c r="K38" s="71"/>
      <c r="L38" s="62" t="s">
        <v>36</v>
      </c>
      <c r="M38" s="15"/>
      <c r="N38" s="73"/>
      <c r="O38" s="15" t="s">
        <v>16</v>
      </c>
    </row>
    <row r="39" spans="1:15" x14ac:dyDescent="0.25">
      <c r="A39" s="16">
        <v>14173</v>
      </c>
      <c r="B39" s="49">
        <v>500</v>
      </c>
      <c r="C39" s="17" t="s">
        <v>278</v>
      </c>
      <c r="D39" s="13"/>
      <c r="E39" s="70"/>
      <c r="F39" s="14" t="s">
        <v>173</v>
      </c>
      <c r="G39" s="11">
        <v>14281</v>
      </c>
      <c r="H39" s="67">
        <v>50</v>
      </c>
      <c r="I39" s="12" t="s">
        <v>309</v>
      </c>
      <c r="J39" s="61"/>
      <c r="K39" s="71"/>
      <c r="L39" s="62" t="s">
        <v>173</v>
      </c>
      <c r="M39" s="15">
        <v>14334</v>
      </c>
      <c r="N39" s="73">
        <v>200</v>
      </c>
      <c r="O39" s="15" t="s">
        <v>310</v>
      </c>
    </row>
    <row r="40" spans="1:15" x14ac:dyDescent="0.25">
      <c r="A40" s="16"/>
      <c r="B40" s="49"/>
      <c r="C40" s="17" t="s">
        <v>173</v>
      </c>
      <c r="D40" s="13">
        <v>14222</v>
      </c>
      <c r="E40" s="70">
        <v>1300</v>
      </c>
      <c r="F40" s="14" t="s">
        <v>79</v>
      </c>
      <c r="G40" s="11"/>
      <c r="H40" s="67"/>
      <c r="I40" s="12"/>
      <c r="J40" s="61">
        <v>14301</v>
      </c>
      <c r="K40" s="71">
        <v>1000</v>
      </c>
      <c r="L40" s="62" t="s">
        <v>136</v>
      </c>
      <c r="M40" s="15">
        <v>14335</v>
      </c>
      <c r="N40" s="73">
        <v>600</v>
      </c>
      <c r="O40" s="15" t="s">
        <v>150</v>
      </c>
    </row>
    <row r="41" spans="1:15" x14ac:dyDescent="0.25">
      <c r="A41" s="16">
        <v>14174</v>
      </c>
      <c r="B41" s="49">
        <v>400</v>
      </c>
      <c r="C41" s="17"/>
      <c r="D41" s="13"/>
      <c r="E41" s="70"/>
      <c r="F41" s="14" t="s">
        <v>16</v>
      </c>
      <c r="G41" s="11"/>
      <c r="H41" s="67"/>
      <c r="I41" s="12"/>
      <c r="J41" s="61"/>
      <c r="K41" s="71"/>
      <c r="L41" s="62" t="s">
        <v>16</v>
      </c>
      <c r="M41" s="15"/>
      <c r="N41" s="73"/>
      <c r="O41" s="15" t="s">
        <v>17</v>
      </c>
    </row>
    <row r="42" spans="1:15" x14ac:dyDescent="0.25">
      <c r="A42" s="16">
        <v>14175</v>
      </c>
      <c r="B42" s="49">
        <v>400</v>
      </c>
      <c r="C42" s="17"/>
      <c r="D42" s="13"/>
      <c r="E42" s="70"/>
      <c r="F42" s="14" t="s">
        <v>173</v>
      </c>
      <c r="G42" s="11"/>
      <c r="H42" s="67"/>
      <c r="I42" s="12"/>
      <c r="J42" s="61"/>
      <c r="K42" s="71"/>
      <c r="L42" s="62" t="s">
        <v>321</v>
      </c>
      <c r="M42" s="15">
        <v>14336</v>
      </c>
      <c r="N42" s="73">
        <v>200</v>
      </c>
      <c r="O42" s="15" t="s">
        <v>19</v>
      </c>
    </row>
    <row r="43" spans="1:15" x14ac:dyDescent="0.25">
      <c r="A43" s="16">
        <v>14176</v>
      </c>
      <c r="B43" s="49">
        <v>800</v>
      </c>
      <c r="C43" s="17" t="s">
        <v>283</v>
      </c>
      <c r="D43" s="13">
        <v>14223</v>
      </c>
      <c r="E43" s="70">
        <v>400</v>
      </c>
      <c r="F43" s="14"/>
      <c r="G43" s="11"/>
      <c r="H43" s="67"/>
      <c r="I43" s="12"/>
      <c r="J43" s="61">
        <v>14302</v>
      </c>
      <c r="K43" s="71">
        <v>850</v>
      </c>
      <c r="L43" s="62" t="s">
        <v>322</v>
      </c>
      <c r="M43" s="15">
        <v>14337</v>
      </c>
      <c r="N43" s="73">
        <v>100</v>
      </c>
      <c r="O43" s="15" t="s">
        <v>261</v>
      </c>
    </row>
    <row r="44" spans="1:15" x14ac:dyDescent="0.25">
      <c r="A44" s="16"/>
      <c r="B44" s="49"/>
      <c r="C44" s="17" t="s">
        <v>16</v>
      </c>
      <c r="D44" s="13">
        <v>14224</v>
      </c>
      <c r="E44" s="70">
        <v>1200</v>
      </c>
      <c r="F44" s="14" t="s">
        <v>32</v>
      </c>
      <c r="G44" s="11"/>
      <c r="H44" s="67"/>
      <c r="I44" s="12"/>
      <c r="J44" s="61"/>
      <c r="K44" s="71"/>
      <c r="L44" s="62" t="s">
        <v>323</v>
      </c>
      <c r="M44" s="15">
        <v>14338</v>
      </c>
      <c r="N44" s="73">
        <v>900</v>
      </c>
      <c r="O44" s="15" t="s">
        <v>136</v>
      </c>
    </row>
    <row r="45" spans="1:15" x14ac:dyDescent="0.25">
      <c r="A45" s="16">
        <v>14177</v>
      </c>
      <c r="B45" s="49">
        <v>400</v>
      </c>
      <c r="C45" s="17"/>
      <c r="D45" s="13"/>
      <c r="E45" s="70"/>
      <c r="F45" s="14" t="s">
        <v>296</v>
      </c>
      <c r="G45" s="11"/>
      <c r="H45" s="67"/>
      <c r="I45" s="12"/>
      <c r="J45" s="61"/>
      <c r="K45" s="71"/>
      <c r="L45" s="62" t="s">
        <v>324</v>
      </c>
      <c r="M45" s="15"/>
      <c r="N45" s="73"/>
      <c r="O45" s="15" t="s">
        <v>182</v>
      </c>
    </row>
    <row r="46" spans="1:15" x14ac:dyDescent="0.25">
      <c r="A46" s="16">
        <v>14178</v>
      </c>
      <c r="B46" s="49">
        <v>800</v>
      </c>
      <c r="C46" s="17" t="s">
        <v>283</v>
      </c>
      <c r="D46" s="13">
        <v>14225</v>
      </c>
      <c r="E46" s="70">
        <v>500</v>
      </c>
      <c r="F46" s="14" t="s">
        <v>297</v>
      </c>
      <c r="G46" s="11"/>
      <c r="H46" s="67"/>
      <c r="I46" s="12"/>
      <c r="J46" s="61">
        <v>14303</v>
      </c>
      <c r="K46" s="71">
        <v>800</v>
      </c>
      <c r="L46" s="62" t="s">
        <v>136</v>
      </c>
      <c r="M46" s="15"/>
      <c r="N46" s="73"/>
      <c r="O46" s="15" t="s">
        <v>261</v>
      </c>
    </row>
    <row r="47" spans="1:15" x14ac:dyDescent="0.25">
      <c r="A47" s="16"/>
      <c r="B47" s="49"/>
      <c r="C47" s="17" t="s">
        <v>16</v>
      </c>
      <c r="D47" s="13"/>
      <c r="E47" s="70"/>
      <c r="F47" s="14" t="s">
        <v>18</v>
      </c>
      <c r="G47" s="11"/>
      <c r="H47" s="67"/>
      <c r="I47" s="12"/>
      <c r="J47" s="61"/>
      <c r="K47" s="71"/>
      <c r="L47" s="62" t="s">
        <v>16</v>
      </c>
      <c r="M47" s="15">
        <v>14339</v>
      </c>
      <c r="N47" s="73">
        <v>1050</v>
      </c>
      <c r="O47" s="15" t="s">
        <v>184</v>
      </c>
    </row>
    <row r="48" spans="1:15" x14ac:dyDescent="0.25">
      <c r="A48" s="16">
        <v>14179</v>
      </c>
      <c r="B48" s="49">
        <v>200</v>
      </c>
      <c r="C48" s="17" t="s">
        <v>278</v>
      </c>
      <c r="D48" s="13"/>
      <c r="E48" s="70"/>
      <c r="F48" s="14" t="s">
        <v>173</v>
      </c>
      <c r="G48" s="11"/>
      <c r="H48" s="67"/>
      <c r="I48" s="12"/>
      <c r="J48" s="61">
        <v>14304</v>
      </c>
      <c r="K48" s="71">
        <v>400</v>
      </c>
      <c r="L48" s="62" t="s">
        <v>310</v>
      </c>
      <c r="M48" s="15"/>
      <c r="N48" s="73"/>
      <c r="O48" s="15" t="s">
        <v>329</v>
      </c>
    </row>
    <row r="49" spans="1:15" x14ac:dyDescent="0.25">
      <c r="A49" s="16">
        <v>14180</v>
      </c>
      <c r="B49" s="49">
        <v>100</v>
      </c>
      <c r="C49" s="17" t="s">
        <v>173</v>
      </c>
      <c r="D49" s="13">
        <v>14226</v>
      </c>
      <c r="E49" s="70">
        <v>400</v>
      </c>
      <c r="F49" s="14"/>
      <c r="G49" s="11"/>
      <c r="H49" s="67"/>
      <c r="I49" s="12"/>
      <c r="J49" s="61">
        <v>14305</v>
      </c>
      <c r="K49" s="71">
        <v>600</v>
      </c>
      <c r="L49" s="62" t="s">
        <v>238</v>
      </c>
      <c r="M49" s="15"/>
      <c r="N49" s="73"/>
      <c r="O49" s="15" t="s">
        <v>330</v>
      </c>
    </row>
    <row r="50" spans="1:15" x14ac:dyDescent="0.25">
      <c r="A50" s="16">
        <v>14181</v>
      </c>
      <c r="B50" s="49">
        <v>1100</v>
      </c>
      <c r="C50" s="17" t="s">
        <v>284</v>
      </c>
      <c r="D50" s="13">
        <v>14227</v>
      </c>
      <c r="E50" s="70">
        <v>300</v>
      </c>
      <c r="F50" s="14" t="s">
        <v>278</v>
      </c>
      <c r="G50" s="11"/>
      <c r="H50" s="67"/>
      <c r="I50" s="12"/>
      <c r="J50" s="61"/>
      <c r="K50" s="71"/>
      <c r="L50" s="62" t="s">
        <v>17</v>
      </c>
      <c r="M50" s="15">
        <v>14340</v>
      </c>
      <c r="N50" s="73">
        <v>800</v>
      </c>
      <c r="O50" s="15" t="s">
        <v>331</v>
      </c>
    </row>
    <row r="51" spans="1:15" x14ac:dyDescent="0.25">
      <c r="A51" s="16"/>
      <c r="B51" s="49"/>
      <c r="C51" s="17" t="s">
        <v>285</v>
      </c>
      <c r="D51" s="13">
        <v>14228</v>
      </c>
      <c r="E51" s="70">
        <v>400</v>
      </c>
      <c r="F51" s="14"/>
      <c r="G51" s="11"/>
      <c r="H51" s="67"/>
      <c r="I51" s="12"/>
      <c r="J51" s="61">
        <v>14306</v>
      </c>
      <c r="K51" s="71">
        <v>400</v>
      </c>
      <c r="L51" s="62" t="s">
        <v>281</v>
      </c>
      <c r="M51" s="15"/>
      <c r="N51" s="73"/>
      <c r="O51" s="15" t="s">
        <v>16</v>
      </c>
    </row>
    <row r="52" spans="1:15" x14ac:dyDescent="0.25">
      <c r="A52" s="16"/>
      <c r="B52" s="49"/>
      <c r="C52" s="17" t="s">
        <v>173</v>
      </c>
      <c r="D52" s="13">
        <v>14229</v>
      </c>
      <c r="E52" s="70">
        <v>400</v>
      </c>
      <c r="F52" s="14"/>
      <c r="G52" s="11"/>
      <c r="H52" s="67"/>
      <c r="I52" s="12"/>
      <c r="J52" s="61"/>
      <c r="K52" s="71"/>
      <c r="L52" s="62" t="s">
        <v>36</v>
      </c>
      <c r="M52" s="15">
        <v>14341</v>
      </c>
      <c r="N52" s="73">
        <v>300</v>
      </c>
      <c r="O52" s="15"/>
    </row>
    <row r="53" spans="1:15" x14ac:dyDescent="0.25">
      <c r="A53" s="16">
        <v>14182</v>
      </c>
      <c r="B53" s="49">
        <v>200</v>
      </c>
      <c r="C53" s="17"/>
      <c r="D53" s="13">
        <v>14230</v>
      </c>
      <c r="E53" s="70">
        <v>200</v>
      </c>
      <c r="F53" s="14"/>
      <c r="G53" s="11"/>
      <c r="H53" s="67"/>
      <c r="I53" s="12"/>
      <c r="J53" s="61">
        <v>14307</v>
      </c>
      <c r="K53" s="71">
        <v>700</v>
      </c>
      <c r="L53" s="62" t="s">
        <v>62</v>
      </c>
      <c r="M53" s="15">
        <v>14342</v>
      </c>
      <c r="N53" s="73">
        <v>400</v>
      </c>
      <c r="O53" s="15" t="s">
        <v>91</v>
      </c>
    </row>
    <row r="54" spans="1:15" x14ac:dyDescent="0.25">
      <c r="A54" s="16">
        <v>14183</v>
      </c>
      <c r="B54" s="49">
        <v>400</v>
      </c>
      <c r="C54" s="17" t="s">
        <v>91</v>
      </c>
      <c r="D54" s="13">
        <v>14231</v>
      </c>
      <c r="E54" s="70">
        <v>700</v>
      </c>
      <c r="F54" s="14" t="s">
        <v>298</v>
      </c>
      <c r="G54" s="11"/>
      <c r="H54" s="67"/>
      <c r="I54" s="12"/>
      <c r="J54" s="61"/>
      <c r="K54" s="71"/>
      <c r="L54" s="62" t="s">
        <v>36</v>
      </c>
      <c r="M54" s="15">
        <v>14343</v>
      </c>
      <c r="N54" s="73">
        <v>500</v>
      </c>
      <c r="O54" s="15" t="s">
        <v>281</v>
      </c>
    </row>
    <row r="55" spans="1:15" x14ac:dyDescent="0.25">
      <c r="A55" s="16">
        <v>14184</v>
      </c>
      <c r="B55" s="49">
        <v>1600</v>
      </c>
      <c r="C55" s="17" t="s">
        <v>32</v>
      </c>
      <c r="D55" s="13"/>
      <c r="E55" s="70"/>
      <c r="F55" s="14" t="s">
        <v>299</v>
      </c>
      <c r="G55" s="11"/>
      <c r="H55" s="67"/>
      <c r="I55" s="12"/>
      <c r="J55" s="61"/>
      <c r="K55" s="71"/>
      <c r="L55" s="62" t="s">
        <v>173</v>
      </c>
      <c r="M55" s="15"/>
      <c r="N55" s="73"/>
      <c r="O55" s="15" t="s">
        <v>20</v>
      </c>
    </row>
    <row r="56" spans="1:15" x14ac:dyDescent="0.25">
      <c r="A56" s="16"/>
      <c r="B56" s="49"/>
      <c r="C56" s="17" t="s">
        <v>16</v>
      </c>
      <c r="D56" s="13">
        <v>14232</v>
      </c>
      <c r="E56" s="70">
        <v>125</v>
      </c>
      <c r="F56" s="14"/>
      <c r="G56" s="11"/>
      <c r="H56" s="67"/>
      <c r="I56" s="12"/>
      <c r="J56" s="61">
        <v>14308</v>
      </c>
      <c r="K56" s="71">
        <v>50</v>
      </c>
      <c r="L56" s="62" t="s">
        <v>47</v>
      </c>
      <c r="M56" s="15">
        <v>14344</v>
      </c>
      <c r="N56" s="73">
        <v>400</v>
      </c>
      <c r="O56" s="15" t="s">
        <v>310</v>
      </c>
    </row>
    <row r="57" spans="1:15" x14ac:dyDescent="0.25">
      <c r="A57" s="16">
        <v>14185</v>
      </c>
      <c r="B57" s="49">
        <v>300</v>
      </c>
      <c r="C57" s="17" t="s">
        <v>278</v>
      </c>
      <c r="D57" s="13">
        <v>14233</v>
      </c>
      <c r="E57" s="70">
        <v>400</v>
      </c>
      <c r="F57" s="14"/>
      <c r="G57" s="11"/>
      <c r="H57" s="67"/>
      <c r="I57" s="12"/>
      <c r="J57" s="61">
        <v>14309</v>
      </c>
      <c r="K57" s="71">
        <v>300</v>
      </c>
      <c r="L57" s="62" t="s">
        <v>91</v>
      </c>
      <c r="M57" s="15">
        <v>14345</v>
      </c>
      <c r="N57" s="73">
        <v>400</v>
      </c>
      <c r="O57" s="15"/>
    </row>
    <row r="58" spans="1:15" x14ac:dyDescent="0.25">
      <c r="A58" s="16">
        <v>14186</v>
      </c>
      <c r="B58" s="49">
        <v>200</v>
      </c>
      <c r="C58" s="17"/>
      <c r="D58" s="13">
        <v>14234</v>
      </c>
      <c r="E58" s="70">
        <v>200</v>
      </c>
      <c r="F58" s="14" t="s">
        <v>19</v>
      </c>
      <c r="G58" s="11"/>
      <c r="H58" s="67"/>
      <c r="I58" s="12"/>
      <c r="J58" s="61">
        <v>14310</v>
      </c>
      <c r="K58" s="71">
        <v>250</v>
      </c>
      <c r="L58" s="62" t="s">
        <v>325</v>
      </c>
      <c r="M58" s="15">
        <v>14346</v>
      </c>
      <c r="N58" s="73">
        <v>400</v>
      </c>
      <c r="O58" s="15" t="s">
        <v>136</v>
      </c>
    </row>
    <row r="59" spans="1:15" x14ac:dyDescent="0.25">
      <c r="A59" s="16">
        <v>14187</v>
      </c>
      <c r="B59" s="49">
        <v>250</v>
      </c>
      <c r="C59" s="17"/>
      <c r="D59" s="13">
        <v>14235</v>
      </c>
      <c r="E59" s="70">
        <v>400</v>
      </c>
      <c r="F59" s="14"/>
      <c r="G59" s="11"/>
      <c r="H59" s="67"/>
      <c r="I59" s="12"/>
      <c r="J59" s="61">
        <v>14311</v>
      </c>
      <c r="K59" s="71">
        <v>150</v>
      </c>
      <c r="L59" s="62" t="s">
        <v>47</v>
      </c>
      <c r="M59" s="15"/>
      <c r="N59" s="73"/>
      <c r="O59" s="15" t="s">
        <v>18</v>
      </c>
    </row>
    <row r="60" spans="1:15" x14ac:dyDescent="0.25">
      <c r="A60" s="16">
        <v>14188</v>
      </c>
      <c r="B60" s="49">
        <v>50</v>
      </c>
      <c r="C60" s="17" t="s">
        <v>286</v>
      </c>
      <c r="D60" s="13">
        <v>14236</v>
      </c>
      <c r="E60" s="70">
        <v>400</v>
      </c>
      <c r="F60" s="14"/>
      <c r="G60" s="11"/>
      <c r="H60" s="67"/>
      <c r="I60" s="12"/>
      <c r="J60" s="61"/>
      <c r="K60" s="71"/>
      <c r="L60" s="62" t="s">
        <v>173</v>
      </c>
      <c r="M60" s="15">
        <v>14347</v>
      </c>
      <c r="N60" s="73">
        <v>600</v>
      </c>
      <c r="O60" s="15" t="s">
        <v>281</v>
      </c>
    </row>
    <row r="61" spans="1:15" x14ac:dyDescent="0.25">
      <c r="A61" s="16">
        <v>14189</v>
      </c>
      <c r="B61" s="49">
        <v>400</v>
      </c>
      <c r="C61" s="17"/>
      <c r="D61" s="13">
        <v>14237</v>
      </c>
      <c r="E61" s="70">
        <v>200</v>
      </c>
      <c r="F61" s="14"/>
      <c r="G61" s="11"/>
      <c r="H61" s="67"/>
      <c r="I61" s="12"/>
      <c r="J61" s="61">
        <v>14312</v>
      </c>
      <c r="K61" s="71">
        <v>100</v>
      </c>
      <c r="L61" s="62" t="s">
        <v>173</v>
      </c>
      <c r="M61" s="15"/>
      <c r="N61" s="73"/>
      <c r="O61" s="15" t="s">
        <v>17</v>
      </c>
    </row>
    <row r="62" spans="1:15" x14ac:dyDescent="0.25">
      <c r="A62" s="16">
        <v>14190</v>
      </c>
      <c r="B62" s="49">
        <v>250</v>
      </c>
      <c r="C62" s="17" t="s">
        <v>278</v>
      </c>
      <c r="D62" s="13">
        <v>14238</v>
      </c>
      <c r="E62" s="70">
        <v>300</v>
      </c>
      <c r="F62" s="14" t="s">
        <v>278</v>
      </c>
      <c r="G62" s="11"/>
      <c r="H62" s="67"/>
      <c r="I62" s="12"/>
      <c r="J62" s="61">
        <v>14313</v>
      </c>
      <c r="K62" s="71">
        <v>400</v>
      </c>
      <c r="L62" s="62"/>
      <c r="M62" s="15">
        <v>14348</v>
      </c>
      <c r="N62" s="73">
        <v>300</v>
      </c>
      <c r="O62" s="15"/>
    </row>
    <row r="63" spans="1:15" x14ac:dyDescent="0.25">
      <c r="A63" s="16">
        <v>14191</v>
      </c>
      <c r="B63" s="49">
        <v>400</v>
      </c>
      <c r="C63" s="17" t="s">
        <v>278</v>
      </c>
      <c r="D63" s="13">
        <v>14239</v>
      </c>
      <c r="E63" s="70">
        <v>200</v>
      </c>
      <c r="F63" s="14" t="s">
        <v>300</v>
      </c>
      <c r="G63" s="11"/>
      <c r="H63" s="67"/>
      <c r="I63" s="12"/>
      <c r="J63" s="61"/>
      <c r="K63" s="71"/>
      <c r="L63" s="62"/>
      <c r="M63" s="15">
        <v>14349</v>
      </c>
      <c r="N63" s="73">
        <v>400</v>
      </c>
      <c r="O63" s="15"/>
    </row>
    <row r="64" spans="1:15" x14ac:dyDescent="0.25">
      <c r="A64" s="16">
        <v>14192</v>
      </c>
      <c r="B64" s="49">
        <v>2400</v>
      </c>
      <c r="C64" s="17" t="s">
        <v>89</v>
      </c>
      <c r="D64" s="13">
        <v>14240</v>
      </c>
      <c r="E64" s="70">
        <v>1300</v>
      </c>
      <c r="F64" s="14" t="s">
        <v>62</v>
      </c>
      <c r="G64" s="11"/>
      <c r="H64" s="67"/>
      <c r="I64" s="12"/>
      <c r="J64" s="61"/>
      <c r="K64" s="71"/>
      <c r="L64" s="62"/>
      <c r="M64" s="15">
        <v>14350</v>
      </c>
      <c r="N64" s="73">
        <v>900</v>
      </c>
      <c r="O64" s="15" t="s">
        <v>62</v>
      </c>
    </row>
    <row r="65" spans="1:15" x14ac:dyDescent="0.25">
      <c r="A65" s="16"/>
      <c r="B65" s="49"/>
      <c r="C65" s="17" t="s">
        <v>287</v>
      </c>
      <c r="D65" s="13"/>
      <c r="E65" s="70"/>
      <c r="F65" s="14" t="s">
        <v>16</v>
      </c>
      <c r="G65" s="11"/>
      <c r="H65" s="67"/>
      <c r="I65" s="12"/>
      <c r="J65" s="61"/>
      <c r="K65" s="71"/>
      <c r="L65" s="62"/>
      <c r="M65" s="15"/>
      <c r="N65" s="73"/>
      <c r="O65" s="15" t="s">
        <v>17</v>
      </c>
    </row>
    <row r="66" spans="1:15" x14ac:dyDescent="0.25">
      <c r="A66" s="16"/>
      <c r="B66" s="49"/>
      <c r="C66" s="17" t="s">
        <v>16</v>
      </c>
      <c r="D66" s="13">
        <v>14241</v>
      </c>
      <c r="E66" s="70">
        <v>300</v>
      </c>
      <c r="F66" s="14"/>
      <c r="G66" s="11"/>
      <c r="H66" s="67"/>
      <c r="I66" s="12"/>
      <c r="J66" s="61"/>
      <c r="K66" s="71"/>
      <c r="L66" s="62"/>
      <c r="M66" s="15">
        <v>14351</v>
      </c>
      <c r="N66" s="73">
        <v>400</v>
      </c>
      <c r="O66" s="15" t="s">
        <v>332</v>
      </c>
    </row>
    <row r="67" spans="1:15" x14ac:dyDescent="0.25">
      <c r="A67" s="16"/>
      <c r="B67" s="49"/>
      <c r="C67" s="17" t="s">
        <v>288</v>
      </c>
      <c r="D67" s="13">
        <v>14242</v>
      </c>
      <c r="E67" s="70">
        <v>100</v>
      </c>
      <c r="F67" s="14"/>
      <c r="G67" s="11"/>
      <c r="H67" s="67"/>
      <c r="I67" s="12"/>
      <c r="J67" s="61"/>
      <c r="K67" s="71"/>
      <c r="L67" s="62"/>
      <c r="M67" s="15">
        <v>14352</v>
      </c>
      <c r="N67" s="73">
        <v>400</v>
      </c>
      <c r="O67" s="15" t="s">
        <v>91</v>
      </c>
    </row>
    <row r="68" spans="1:15" x14ac:dyDescent="0.25">
      <c r="A68" s="16">
        <v>14193</v>
      </c>
      <c r="B68" s="49">
        <v>400</v>
      </c>
      <c r="C68" s="17"/>
      <c r="D68" s="13">
        <v>14243</v>
      </c>
      <c r="E68" s="70">
        <v>800</v>
      </c>
      <c r="F68" s="14" t="s">
        <v>136</v>
      </c>
      <c r="G68" s="11"/>
      <c r="H68" s="67"/>
      <c r="I68" s="12"/>
      <c r="J68" s="61"/>
      <c r="K68" s="71"/>
      <c r="L68" s="62"/>
      <c r="M68" s="15">
        <v>14353</v>
      </c>
      <c r="N68" s="73">
        <v>800</v>
      </c>
      <c r="O68" s="15" t="s">
        <v>320</v>
      </c>
    </row>
    <row r="69" spans="1:15" x14ac:dyDescent="0.25">
      <c r="A69" s="16">
        <v>14194</v>
      </c>
      <c r="B69" s="49">
        <v>400</v>
      </c>
      <c r="C69" s="17"/>
      <c r="D69" s="13"/>
      <c r="E69" s="70"/>
      <c r="F69" s="14" t="s">
        <v>16</v>
      </c>
      <c r="G69" s="11"/>
      <c r="H69" s="67"/>
      <c r="I69" s="12"/>
      <c r="J69" s="61"/>
      <c r="K69" s="71"/>
      <c r="L69" s="62"/>
      <c r="M69" s="15"/>
      <c r="N69" s="73"/>
      <c r="O69" s="15" t="s">
        <v>16</v>
      </c>
    </row>
    <row r="70" spans="1:15" x14ac:dyDescent="0.25">
      <c r="A70" s="16">
        <v>14195</v>
      </c>
      <c r="B70" s="49">
        <v>400</v>
      </c>
      <c r="C70" s="17" t="s">
        <v>281</v>
      </c>
      <c r="D70" s="13">
        <v>14244</v>
      </c>
      <c r="E70" s="70">
        <v>400</v>
      </c>
      <c r="F70" s="14" t="s">
        <v>150</v>
      </c>
      <c r="G70" s="11"/>
      <c r="H70" s="67"/>
      <c r="I70" s="12"/>
      <c r="J70" s="61"/>
      <c r="K70" s="71"/>
      <c r="L70" s="62"/>
      <c r="M70" s="15">
        <v>14354</v>
      </c>
      <c r="N70" s="73">
        <v>300</v>
      </c>
      <c r="O70" s="15" t="s">
        <v>278</v>
      </c>
    </row>
    <row r="71" spans="1:15" x14ac:dyDescent="0.25">
      <c r="A71" s="16"/>
      <c r="B71" s="49"/>
      <c r="C71" s="17" t="s">
        <v>18</v>
      </c>
      <c r="D71" s="13"/>
      <c r="E71" s="70"/>
      <c r="F71" s="14" t="s">
        <v>18</v>
      </c>
      <c r="G71" s="11"/>
      <c r="H71" s="67"/>
      <c r="I71" s="12"/>
      <c r="J71" s="61"/>
      <c r="K71" s="71"/>
      <c r="L71" s="62"/>
      <c r="M71" s="15">
        <v>14355</v>
      </c>
      <c r="N71" s="73">
        <v>450</v>
      </c>
      <c r="O71" s="15" t="s">
        <v>282</v>
      </c>
    </row>
    <row r="72" spans="1:15" x14ac:dyDescent="0.25">
      <c r="A72" s="16">
        <v>14196</v>
      </c>
      <c r="B72" s="49">
        <v>800</v>
      </c>
      <c r="C72" s="17" t="s">
        <v>136</v>
      </c>
      <c r="D72" s="13">
        <v>14245</v>
      </c>
      <c r="E72" s="70">
        <v>400</v>
      </c>
      <c r="F72" s="14" t="s">
        <v>278</v>
      </c>
      <c r="G72" s="11"/>
      <c r="H72" s="67"/>
      <c r="I72" s="12"/>
      <c r="J72" s="61"/>
      <c r="K72" s="71"/>
      <c r="L72" s="62"/>
      <c r="M72" s="15"/>
      <c r="N72" s="73"/>
      <c r="O72" s="15" t="s">
        <v>78</v>
      </c>
    </row>
    <row r="73" spans="1:15" x14ac:dyDescent="0.25">
      <c r="A73" s="16"/>
      <c r="B73" s="49"/>
      <c r="C73" s="17" t="s">
        <v>16</v>
      </c>
      <c r="D73" s="13">
        <v>14246</v>
      </c>
      <c r="E73" s="70">
        <v>800</v>
      </c>
      <c r="F73" s="14" t="s">
        <v>281</v>
      </c>
      <c r="G73" s="11"/>
      <c r="H73" s="67"/>
      <c r="I73" s="12"/>
      <c r="J73" s="61"/>
      <c r="K73" s="71"/>
      <c r="L73" s="62"/>
      <c r="M73" s="15">
        <v>14356</v>
      </c>
      <c r="N73" s="73">
        <v>400</v>
      </c>
      <c r="O73" s="15" t="s">
        <v>310</v>
      </c>
    </row>
    <row r="74" spans="1:15" x14ac:dyDescent="0.25">
      <c r="A74" s="16">
        <v>14197</v>
      </c>
      <c r="B74" s="49">
        <v>1200</v>
      </c>
      <c r="C74" s="17" t="s">
        <v>79</v>
      </c>
      <c r="D74" s="13"/>
      <c r="E74" s="70"/>
      <c r="F74" s="14" t="s">
        <v>301</v>
      </c>
      <c r="G74" s="11"/>
      <c r="H74" s="67"/>
      <c r="I74" s="12"/>
      <c r="J74" s="61"/>
      <c r="K74" s="71"/>
      <c r="L74" s="62"/>
      <c r="M74" s="15">
        <v>14357</v>
      </c>
      <c r="N74" s="73">
        <v>900</v>
      </c>
      <c r="O74" s="15" t="s">
        <v>136</v>
      </c>
    </row>
    <row r="75" spans="1:15" x14ac:dyDescent="0.25">
      <c r="A75" s="16"/>
      <c r="B75" s="49"/>
      <c r="C75" s="17" t="s">
        <v>16</v>
      </c>
      <c r="D75" s="13"/>
      <c r="E75" s="70"/>
      <c r="F75" s="14" t="s">
        <v>173</v>
      </c>
      <c r="G75" s="11"/>
      <c r="H75" s="67"/>
      <c r="I75" s="12"/>
      <c r="J75" s="61"/>
      <c r="K75" s="71"/>
      <c r="L75" s="62"/>
      <c r="M75" s="15"/>
      <c r="N75" s="73"/>
      <c r="O75" s="15" t="s">
        <v>182</v>
      </c>
    </row>
    <row r="76" spans="1:15" x14ac:dyDescent="0.25">
      <c r="A76" s="16">
        <v>14198</v>
      </c>
      <c r="B76" s="49">
        <v>400</v>
      </c>
      <c r="C76" s="17" t="s">
        <v>22</v>
      </c>
      <c r="D76" s="13">
        <v>14247</v>
      </c>
      <c r="E76" s="70">
        <v>400</v>
      </c>
      <c r="F76" s="14"/>
      <c r="G76" s="11"/>
      <c r="H76" s="67"/>
      <c r="I76" s="12"/>
      <c r="J76" s="61"/>
      <c r="K76" s="71"/>
      <c r="L76" s="62"/>
      <c r="M76" s="15"/>
      <c r="N76" s="73"/>
      <c r="O76" s="15" t="s">
        <v>261</v>
      </c>
    </row>
    <row r="77" spans="1:15" x14ac:dyDescent="0.25">
      <c r="A77" s="16"/>
      <c r="B77" s="49"/>
      <c r="C77" s="17" t="s">
        <v>18</v>
      </c>
      <c r="D77" s="13">
        <v>14248</v>
      </c>
      <c r="E77" s="70">
        <v>400</v>
      </c>
      <c r="F77" s="14"/>
      <c r="G77" s="11"/>
      <c r="H77" s="67"/>
      <c r="I77" s="12"/>
      <c r="J77" s="61"/>
      <c r="K77" s="71"/>
      <c r="L77" s="62"/>
      <c r="M77" s="15">
        <v>14358</v>
      </c>
      <c r="N77" s="73">
        <v>800</v>
      </c>
      <c r="O77" s="15" t="s">
        <v>136</v>
      </c>
    </row>
    <row r="78" spans="1:15" x14ac:dyDescent="0.25">
      <c r="A78" s="16"/>
      <c r="B78" s="49"/>
      <c r="C78" s="17"/>
      <c r="D78" s="13">
        <v>14249</v>
      </c>
      <c r="E78" s="70">
        <v>300</v>
      </c>
      <c r="F78" s="14"/>
      <c r="G78" s="11"/>
      <c r="H78" s="67"/>
      <c r="I78" s="12"/>
      <c r="J78" s="61"/>
      <c r="K78" s="71"/>
      <c r="L78" s="62"/>
      <c r="M78" s="15"/>
      <c r="N78" s="73"/>
      <c r="O78" s="15" t="s">
        <v>16</v>
      </c>
    </row>
    <row r="79" spans="1:15" x14ac:dyDescent="0.25">
      <c r="A79" s="16"/>
      <c r="B79" s="49"/>
      <c r="C79" s="17"/>
      <c r="D79" s="13">
        <v>14250</v>
      </c>
      <c r="E79" s="70">
        <v>400</v>
      </c>
      <c r="F79" s="14" t="s">
        <v>302</v>
      </c>
      <c r="G79" s="11"/>
      <c r="H79" s="67"/>
      <c r="I79" s="12"/>
      <c r="J79" s="61"/>
      <c r="K79" s="71"/>
      <c r="L79" s="62"/>
      <c r="M79" s="15">
        <v>14359</v>
      </c>
      <c r="N79" s="73">
        <v>500</v>
      </c>
      <c r="O79" s="15" t="s">
        <v>310</v>
      </c>
    </row>
    <row r="80" spans="1:15" x14ac:dyDescent="0.25">
      <c r="A80" s="16"/>
      <c r="B80" s="49"/>
      <c r="C80" s="17"/>
      <c r="D80" s="13">
        <v>14251</v>
      </c>
      <c r="E80" s="70">
        <v>400</v>
      </c>
      <c r="F80" s="14" t="s">
        <v>278</v>
      </c>
      <c r="G80" s="11"/>
      <c r="H80" s="67"/>
      <c r="I80" s="12"/>
      <c r="J80" s="61"/>
      <c r="K80" s="71"/>
      <c r="L80" s="62"/>
      <c r="M80" s="15"/>
      <c r="N80" s="73"/>
      <c r="O80" s="15"/>
    </row>
    <row r="81" spans="1:15" x14ac:dyDescent="0.25">
      <c r="A81" s="16"/>
      <c r="B81" s="49"/>
      <c r="C81" s="17"/>
      <c r="D81" s="13">
        <v>14252</v>
      </c>
      <c r="E81" s="70">
        <v>1300</v>
      </c>
      <c r="F81" s="14" t="s">
        <v>282</v>
      </c>
      <c r="G81" s="11"/>
      <c r="H81" s="67"/>
      <c r="I81" s="12"/>
      <c r="J81" s="61"/>
      <c r="K81" s="71"/>
      <c r="L81" s="62"/>
      <c r="M81" s="15"/>
      <c r="N81" s="73"/>
      <c r="O81" s="15"/>
    </row>
    <row r="82" spans="1:15" x14ac:dyDescent="0.25">
      <c r="A82" s="16"/>
      <c r="B82" s="49"/>
      <c r="C82" s="17"/>
      <c r="D82" s="13"/>
      <c r="E82" s="70"/>
      <c r="F82" s="14" t="s">
        <v>16</v>
      </c>
      <c r="G82" s="11"/>
      <c r="H82" s="67"/>
      <c r="I82" s="12"/>
      <c r="J82" s="61"/>
      <c r="K82" s="71"/>
      <c r="L82" s="62"/>
      <c r="M82" s="15"/>
      <c r="N82" s="73"/>
      <c r="O82" s="15"/>
    </row>
    <row r="83" spans="1:15" x14ac:dyDescent="0.25">
      <c r="A83" s="16"/>
      <c r="B83" s="49"/>
      <c r="C83" s="17"/>
      <c r="D83" s="13"/>
      <c r="E83" s="70"/>
      <c r="F83" s="14" t="s">
        <v>173</v>
      </c>
      <c r="G83" s="11"/>
      <c r="H83" s="67"/>
      <c r="I83" s="12"/>
      <c r="J83" s="61"/>
      <c r="K83" s="71"/>
      <c r="L83" s="62"/>
      <c r="M83" s="15"/>
      <c r="N83" s="73"/>
      <c r="O83" s="15"/>
    </row>
    <row r="84" spans="1:15" x14ac:dyDescent="0.25">
      <c r="A84" s="16"/>
      <c r="B84" s="49"/>
      <c r="C84" s="17"/>
      <c r="D84" s="13">
        <v>14253</v>
      </c>
      <c r="E84" s="70">
        <v>400</v>
      </c>
      <c r="F84" s="14"/>
      <c r="G84" s="11"/>
      <c r="H84" s="67"/>
      <c r="I84" s="12"/>
      <c r="J84" s="61"/>
      <c r="K84" s="71"/>
      <c r="L84" s="62"/>
      <c r="M84" s="15"/>
      <c r="N84" s="73"/>
      <c r="O84" s="15"/>
    </row>
    <row r="85" spans="1:15" x14ac:dyDescent="0.25">
      <c r="A85" s="16"/>
      <c r="B85" s="49"/>
      <c r="C85" s="17"/>
      <c r="D85" s="13">
        <v>14254</v>
      </c>
      <c r="E85" s="70">
        <v>300</v>
      </c>
      <c r="F85" s="14"/>
      <c r="G85" s="11"/>
      <c r="H85" s="67"/>
      <c r="I85" s="12"/>
      <c r="J85" s="61"/>
      <c r="K85" s="71"/>
      <c r="L85" s="62"/>
      <c r="M85" s="1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73"/>
      <c r="O89" s="15"/>
    </row>
    <row r="90" spans="1:15" x14ac:dyDescent="0.25">
      <c r="A90" s="26"/>
      <c r="B90" s="26"/>
      <c r="C90" s="58"/>
      <c r="D90" s="13"/>
      <c r="E90" s="70"/>
      <c r="F90" s="14"/>
      <c r="G90" s="26"/>
      <c r="H90" s="58"/>
      <c r="I90" s="58"/>
      <c r="J90" s="26"/>
      <c r="K90" s="58"/>
      <c r="L90" s="58"/>
      <c r="M90" s="58"/>
      <c r="N90" s="58"/>
      <c r="O90" s="58"/>
    </row>
    <row r="91" spans="1:15" x14ac:dyDescent="0.25">
      <c r="A91" s="26"/>
      <c r="B91" s="26"/>
      <c r="C91" s="58"/>
      <c r="D91" s="26"/>
      <c r="E91" s="58"/>
      <c r="F91" s="58"/>
      <c r="G91" s="26"/>
      <c r="H91" s="58"/>
      <c r="I91" s="58"/>
      <c r="J91" s="26"/>
      <c r="K91" s="58"/>
      <c r="L91" s="58"/>
      <c r="M91" s="58"/>
      <c r="N91" s="58"/>
      <c r="O91" s="58"/>
    </row>
    <row r="92" spans="1:15" x14ac:dyDescent="0.25">
      <c r="A92" s="26"/>
      <c r="B92" s="26"/>
      <c r="C92" s="58"/>
      <c r="D92" s="26"/>
      <c r="E92" s="58"/>
      <c r="F92" s="58"/>
      <c r="G92" s="26"/>
      <c r="H92" s="58"/>
      <c r="I92" s="58"/>
      <c r="J92" s="26"/>
      <c r="K92" s="58"/>
      <c r="L92" s="58"/>
      <c r="M92" s="58"/>
      <c r="N92" s="58"/>
      <c r="O92" s="58"/>
    </row>
    <row r="93" spans="1:15" x14ac:dyDescent="0.25">
      <c r="A93" s="26"/>
      <c r="B93" s="26"/>
      <c r="C93" s="58"/>
      <c r="D93" s="26"/>
      <c r="E93" s="58"/>
      <c r="F93" s="58"/>
      <c r="G93" s="26"/>
      <c r="H93" s="58"/>
      <c r="I93" s="58"/>
      <c r="J93" s="26"/>
      <c r="K93" s="58"/>
      <c r="L93" s="58"/>
      <c r="M93" s="58"/>
      <c r="N93" s="58"/>
      <c r="O93" s="58"/>
    </row>
    <row r="94" spans="1:15" x14ac:dyDescent="0.25">
      <c r="A94" s="26"/>
      <c r="B94" s="26"/>
      <c r="C94" s="58"/>
      <c r="D94" s="26"/>
      <c r="E94" s="58"/>
      <c r="F94" s="58"/>
      <c r="G94" s="26"/>
      <c r="H94" s="58"/>
      <c r="I94" s="58"/>
      <c r="J94" s="26"/>
      <c r="K94" s="58"/>
      <c r="L94" s="58"/>
      <c r="M94" s="58"/>
      <c r="N94" s="58"/>
      <c r="O94" s="58"/>
    </row>
    <row r="95" spans="1:15" x14ac:dyDescent="0.25">
      <c r="A95" s="26"/>
      <c r="B95" s="26"/>
      <c r="C95" s="58"/>
      <c r="D95" s="26"/>
      <c r="E95" s="58"/>
      <c r="F95" s="58"/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26"/>
      <c r="B96" s="2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2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2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2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2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2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2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2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2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2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A5" zoomScale="98" zoomScaleNormal="98" workbookViewId="0">
      <pane ySplit="3" topLeftCell="A12" activePane="bottomLeft" state="frozen"/>
      <selection activeCell="A5" sqref="A5"/>
      <selection pane="bottomLeft" activeCell="D17" sqref="D1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2" t="s">
        <v>0</v>
      </c>
      <c r="B5" s="132"/>
      <c r="C5" s="132"/>
      <c r="D5" s="133" t="s">
        <v>4</v>
      </c>
      <c r="E5" s="133"/>
      <c r="F5" s="133"/>
      <c r="G5" s="134" t="s">
        <v>5</v>
      </c>
      <c r="H5" s="134"/>
      <c r="I5" s="134"/>
      <c r="J5" s="135" t="s">
        <v>6</v>
      </c>
      <c r="K5" s="135"/>
      <c r="L5" s="135"/>
      <c r="M5" s="136" t="s">
        <v>12</v>
      </c>
      <c r="N5" s="136"/>
      <c r="O5" s="136"/>
      <c r="Q5" s="128" t="s">
        <v>13</v>
      </c>
      <c r="R5" s="128"/>
    </row>
    <row r="6" spans="1:18" x14ac:dyDescent="0.25">
      <c r="A6" s="8">
        <f>SUBTOTAL(3,A8:A121)</f>
        <v>44</v>
      </c>
      <c r="B6" s="8">
        <f>SUBTOTAL(9,B8:B121)</f>
        <v>21075</v>
      </c>
      <c r="C6" s="35">
        <v>42862</v>
      </c>
      <c r="D6" s="8">
        <f>SUBTOTAL(3,D8:D119)</f>
        <v>50</v>
      </c>
      <c r="E6" s="1">
        <f>SUBTOTAL(9,E8:E119)</f>
        <v>26700</v>
      </c>
      <c r="F6" s="38">
        <v>42869</v>
      </c>
      <c r="G6" s="8">
        <f>SUBTOTAL(3,G8:G120)</f>
        <v>37</v>
      </c>
      <c r="H6" s="1">
        <f>SUBTOTAL(9,H8:H120)</f>
        <v>19900</v>
      </c>
      <c r="I6" s="39">
        <v>42876</v>
      </c>
      <c r="J6" s="8">
        <f>SUBTOTAL(3,J8:J110)</f>
        <v>27</v>
      </c>
      <c r="K6" s="1">
        <f>SUBTOTAL(9,K8:K110)</f>
        <v>15500</v>
      </c>
      <c r="L6" s="63">
        <v>42883</v>
      </c>
      <c r="M6" s="8">
        <f>SUBTOTAL(3,M8:M110)</f>
        <v>0</v>
      </c>
      <c r="N6" s="1">
        <f>SUBTOTAL(9,N8:N110)</f>
        <v>0</v>
      </c>
      <c r="O6" s="85"/>
      <c r="Q6" s="30">
        <f>+A6+D6+G6+J6+M6</f>
        <v>158</v>
      </c>
      <c r="R6" s="29">
        <f>+B6+E6+H6+K6+N6</f>
        <v>83175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7" t="s">
        <v>1</v>
      </c>
      <c r="N7" s="97" t="s">
        <v>3</v>
      </c>
      <c r="O7" s="97" t="s">
        <v>2</v>
      </c>
      <c r="Q7" s="28" t="s">
        <v>9</v>
      </c>
      <c r="R7" s="28" t="s">
        <v>3</v>
      </c>
    </row>
    <row r="8" spans="1:18" x14ac:dyDescent="0.25">
      <c r="A8" s="16">
        <v>14360</v>
      </c>
      <c r="B8" s="49">
        <v>200</v>
      </c>
      <c r="C8" s="17" t="s">
        <v>19</v>
      </c>
      <c r="D8" s="13">
        <v>144402</v>
      </c>
      <c r="E8" s="70"/>
      <c r="F8" s="14" t="s">
        <v>341</v>
      </c>
      <c r="G8" s="11">
        <v>14451</v>
      </c>
      <c r="H8" s="67">
        <v>250</v>
      </c>
      <c r="I8" s="12" t="s">
        <v>349</v>
      </c>
      <c r="J8" s="61">
        <v>14488</v>
      </c>
      <c r="K8" s="71">
        <v>450</v>
      </c>
      <c r="L8" s="62" t="s">
        <v>367</v>
      </c>
      <c r="M8" s="75"/>
      <c r="N8" s="73"/>
      <c r="O8" s="15"/>
      <c r="Q8" s="32"/>
      <c r="R8" s="32"/>
    </row>
    <row r="9" spans="1:18" x14ac:dyDescent="0.25">
      <c r="A9" s="16">
        <v>14361</v>
      </c>
      <c r="B9" s="49"/>
      <c r="C9" s="17" t="s">
        <v>14</v>
      </c>
      <c r="D9" s="13">
        <v>14403</v>
      </c>
      <c r="E9" s="70"/>
      <c r="F9" s="14" t="s">
        <v>341</v>
      </c>
      <c r="G9" s="11">
        <v>14452</v>
      </c>
      <c r="H9" s="67">
        <v>200</v>
      </c>
      <c r="I9" s="12"/>
      <c r="J9" s="61"/>
      <c r="K9" s="71"/>
      <c r="L9" s="62" t="s">
        <v>78</v>
      </c>
      <c r="M9" s="75"/>
      <c r="N9" s="73"/>
      <c r="O9" s="15"/>
    </row>
    <row r="10" spans="1:18" x14ac:dyDescent="0.25">
      <c r="A10" s="16">
        <v>14362</v>
      </c>
      <c r="B10" s="49">
        <v>600</v>
      </c>
      <c r="C10" s="17" t="s">
        <v>271</v>
      </c>
      <c r="D10" s="13">
        <v>14404</v>
      </c>
      <c r="E10" s="70">
        <v>400</v>
      </c>
      <c r="F10" s="14" t="s">
        <v>281</v>
      </c>
      <c r="G10" s="11">
        <v>14453</v>
      </c>
      <c r="H10" s="67">
        <v>650</v>
      </c>
      <c r="I10" s="12" t="s">
        <v>350</v>
      </c>
      <c r="J10" s="61">
        <v>14489</v>
      </c>
      <c r="K10" s="71">
        <v>300</v>
      </c>
      <c r="L10" s="62" t="s">
        <v>136</v>
      </c>
      <c r="M10" s="75"/>
      <c r="N10" s="73"/>
      <c r="O10" s="15"/>
    </row>
    <row r="11" spans="1:18" x14ac:dyDescent="0.25">
      <c r="A11" s="16">
        <v>14363</v>
      </c>
      <c r="B11" s="49">
        <v>400</v>
      </c>
      <c r="C11" s="17" t="s">
        <v>271</v>
      </c>
      <c r="D11" s="13"/>
      <c r="E11" s="70"/>
      <c r="F11" s="14" t="s">
        <v>18</v>
      </c>
      <c r="G11" s="11"/>
      <c r="H11" s="67"/>
      <c r="I11" s="12" t="s">
        <v>352</v>
      </c>
      <c r="J11" s="61"/>
      <c r="K11" s="71"/>
      <c r="L11" s="62" t="s">
        <v>78</v>
      </c>
      <c r="M11" s="75"/>
      <c r="N11" s="73"/>
      <c r="O11" s="15"/>
    </row>
    <row r="12" spans="1:18" x14ac:dyDescent="0.25">
      <c r="A12" s="16">
        <v>14364</v>
      </c>
      <c r="B12" s="49">
        <v>800</v>
      </c>
      <c r="C12" s="17" t="s">
        <v>320</v>
      </c>
      <c r="D12" s="13">
        <v>14405</v>
      </c>
      <c r="E12" s="70">
        <v>400</v>
      </c>
      <c r="F12" s="14"/>
      <c r="G12" s="11">
        <v>14454</v>
      </c>
      <c r="H12" s="67">
        <v>500</v>
      </c>
      <c r="I12" s="12" t="s">
        <v>351</v>
      </c>
      <c r="J12" s="61">
        <v>14490</v>
      </c>
      <c r="K12" s="71">
        <v>1750</v>
      </c>
      <c r="L12" s="62" t="s">
        <v>15</v>
      </c>
      <c r="M12" s="75"/>
      <c r="N12" s="73"/>
      <c r="O12" s="15"/>
    </row>
    <row r="13" spans="1:18" x14ac:dyDescent="0.25">
      <c r="A13" s="16"/>
      <c r="B13" s="49"/>
      <c r="C13" s="17" t="s">
        <v>16</v>
      </c>
      <c r="D13" s="13">
        <v>14406</v>
      </c>
      <c r="E13" s="70">
        <v>600</v>
      </c>
      <c r="F13" s="14" t="s">
        <v>281</v>
      </c>
      <c r="G13" s="11"/>
      <c r="H13" s="67"/>
      <c r="I13" s="12" t="s">
        <v>353</v>
      </c>
      <c r="J13" s="61"/>
      <c r="K13" s="71"/>
      <c r="L13" s="62" t="s">
        <v>78</v>
      </c>
      <c r="M13" s="75"/>
      <c r="N13" s="73"/>
      <c r="O13" s="15"/>
    </row>
    <row r="14" spans="1:18" x14ac:dyDescent="0.25">
      <c r="A14" s="16">
        <v>14365</v>
      </c>
      <c r="B14" s="49">
        <v>600</v>
      </c>
      <c r="C14" s="17" t="s">
        <v>281</v>
      </c>
      <c r="D14" s="13"/>
      <c r="E14" s="70"/>
      <c r="F14" s="14" t="s">
        <v>17</v>
      </c>
      <c r="G14" s="11">
        <v>14455</v>
      </c>
      <c r="H14" s="67">
        <v>600</v>
      </c>
      <c r="I14" s="12" t="s">
        <v>281</v>
      </c>
      <c r="J14" s="61"/>
      <c r="K14" s="71"/>
      <c r="L14" s="62" t="s">
        <v>368</v>
      </c>
      <c r="M14" s="75"/>
      <c r="N14" s="73"/>
      <c r="O14" s="15"/>
    </row>
    <row r="15" spans="1:18" x14ac:dyDescent="0.25">
      <c r="A15" s="16"/>
      <c r="B15" s="49"/>
      <c r="C15" s="17" t="s">
        <v>17</v>
      </c>
      <c r="D15" s="13">
        <v>14407</v>
      </c>
      <c r="E15" s="70"/>
      <c r="F15" s="14" t="s">
        <v>342</v>
      </c>
      <c r="G15" s="11"/>
      <c r="H15" s="67"/>
      <c r="I15" s="12" t="s">
        <v>17</v>
      </c>
      <c r="J15" s="61"/>
      <c r="K15" s="71"/>
      <c r="L15" s="62" t="s">
        <v>344</v>
      </c>
      <c r="M15" s="75"/>
      <c r="N15" s="73"/>
      <c r="O15" s="98"/>
    </row>
    <row r="16" spans="1:18" x14ac:dyDescent="0.25">
      <c r="A16" s="16">
        <v>14366</v>
      </c>
      <c r="B16" s="49">
        <v>200</v>
      </c>
      <c r="C16" s="17"/>
      <c r="D16" s="13">
        <v>14408</v>
      </c>
      <c r="E16" s="70">
        <v>400</v>
      </c>
      <c r="F16" s="14"/>
      <c r="G16" s="11">
        <v>14456</v>
      </c>
      <c r="H16" s="67">
        <v>600</v>
      </c>
      <c r="I16" s="12" t="s">
        <v>281</v>
      </c>
      <c r="J16" s="61">
        <v>14491</v>
      </c>
      <c r="K16" s="71">
        <v>1000</v>
      </c>
      <c r="L16" s="62" t="s">
        <v>369</v>
      </c>
      <c r="M16" s="75"/>
      <c r="N16" s="73"/>
      <c r="O16" s="15"/>
    </row>
    <row r="17" spans="1:15" x14ac:dyDescent="0.25">
      <c r="A17" s="16">
        <v>14367</v>
      </c>
      <c r="B17" s="49">
        <v>500</v>
      </c>
      <c r="C17" s="17" t="s">
        <v>333</v>
      </c>
      <c r="D17" s="13">
        <v>14409</v>
      </c>
      <c r="E17" s="70">
        <v>400</v>
      </c>
      <c r="F17" s="33"/>
      <c r="G17" s="11"/>
      <c r="H17" s="67"/>
      <c r="I17" s="12" t="s">
        <v>17</v>
      </c>
      <c r="J17" s="61"/>
      <c r="K17" s="71"/>
      <c r="L17" s="62" t="s">
        <v>18</v>
      </c>
      <c r="M17" s="75"/>
      <c r="N17" s="73"/>
      <c r="O17" s="15"/>
    </row>
    <row r="18" spans="1:15" x14ac:dyDescent="0.25">
      <c r="A18" s="16"/>
      <c r="B18" s="49"/>
      <c r="C18" s="17" t="s">
        <v>261</v>
      </c>
      <c r="D18" s="13">
        <v>14410</v>
      </c>
      <c r="E18" s="70">
        <v>400</v>
      </c>
      <c r="F18" s="14"/>
      <c r="G18" s="11">
        <v>14457</v>
      </c>
      <c r="H18" s="67">
        <v>1100</v>
      </c>
      <c r="I18" s="99" t="s">
        <v>354</v>
      </c>
      <c r="J18" s="61">
        <v>14492</v>
      </c>
      <c r="K18" s="71">
        <v>100</v>
      </c>
      <c r="L18" s="62" t="s">
        <v>344</v>
      </c>
      <c r="M18" s="75"/>
      <c r="N18" s="73"/>
      <c r="O18" s="15"/>
    </row>
    <row r="19" spans="1:15" x14ac:dyDescent="0.25">
      <c r="A19" s="16">
        <v>14368</v>
      </c>
      <c r="B19" s="49">
        <v>300</v>
      </c>
      <c r="C19" s="17"/>
      <c r="D19" s="13">
        <v>14411</v>
      </c>
      <c r="E19" s="70">
        <v>400</v>
      </c>
      <c r="F19" s="14"/>
      <c r="G19" s="11"/>
      <c r="H19" s="67"/>
      <c r="I19" s="12" t="s">
        <v>355</v>
      </c>
      <c r="J19" s="61">
        <v>14493</v>
      </c>
      <c r="K19" s="71">
        <v>350</v>
      </c>
      <c r="L19" s="62" t="s">
        <v>370</v>
      </c>
      <c r="M19" s="75"/>
      <c r="N19" s="73"/>
      <c r="O19" s="15"/>
    </row>
    <row r="20" spans="1:15" x14ac:dyDescent="0.25">
      <c r="A20" s="16">
        <v>14369</v>
      </c>
      <c r="B20" s="49">
        <v>400</v>
      </c>
      <c r="C20" s="17"/>
      <c r="D20" s="13">
        <v>14412</v>
      </c>
      <c r="E20" s="70">
        <v>300</v>
      </c>
      <c r="F20" s="14" t="s">
        <v>271</v>
      </c>
      <c r="G20" s="11"/>
      <c r="H20" s="67"/>
      <c r="I20" s="12" t="s">
        <v>344</v>
      </c>
      <c r="J20" s="61">
        <v>14494</v>
      </c>
      <c r="K20" s="71">
        <v>600</v>
      </c>
      <c r="L20" s="62" t="s">
        <v>281</v>
      </c>
      <c r="M20" s="75"/>
      <c r="N20" s="73"/>
      <c r="O20" s="15"/>
    </row>
    <row r="21" spans="1:15" x14ac:dyDescent="0.25">
      <c r="A21" s="16">
        <v>14370</v>
      </c>
      <c r="B21" s="49">
        <v>600</v>
      </c>
      <c r="C21" s="17" t="s">
        <v>312</v>
      </c>
      <c r="D21" s="13">
        <v>14413</v>
      </c>
      <c r="E21" s="70">
        <v>300</v>
      </c>
      <c r="F21" s="14"/>
      <c r="G21" s="11">
        <v>14458</v>
      </c>
      <c r="H21" s="67">
        <v>400</v>
      </c>
      <c r="I21" s="12"/>
      <c r="J21" s="61"/>
      <c r="K21" s="71"/>
      <c r="L21" s="62" t="s">
        <v>17</v>
      </c>
      <c r="M21" s="75"/>
      <c r="N21" s="73"/>
      <c r="O21" s="15"/>
    </row>
    <row r="22" spans="1:15" x14ac:dyDescent="0.25">
      <c r="A22" s="16">
        <v>14371</v>
      </c>
      <c r="B22" s="49"/>
      <c r="C22" s="17" t="s">
        <v>14</v>
      </c>
      <c r="D22" s="13">
        <v>14414</v>
      </c>
      <c r="E22" s="70">
        <v>450</v>
      </c>
      <c r="F22" s="14" t="s">
        <v>343</v>
      </c>
      <c r="G22" s="11">
        <v>14459</v>
      </c>
      <c r="H22" s="67">
        <v>1200</v>
      </c>
      <c r="I22" s="12" t="s">
        <v>184</v>
      </c>
      <c r="J22" s="61">
        <v>14495</v>
      </c>
      <c r="K22" s="71">
        <v>500</v>
      </c>
      <c r="L22" s="62" t="s">
        <v>371</v>
      </c>
      <c r="M22" s="75"/>
      <c r="N22" s="73"/>
      <c r="O22" s="15"/>
    </row>
    <row r="23" spans="1:15" x14ac:dyDescent="0.25">
      <c r="A23" s="16">
        <v>14372</v>
      </c>
      <c r="B23" s="49">
        <v>850</v>
      </c>
      <c r="C23" s="17" t="s">
        <v>320</v>
      </c>
      <c r="D23" s="13">
        <v>14415</v>
      </c>
      <c r="E23" s="70">
        <v>400</v>
      </c>
      <c r="F23" s="14" t="s">
        <v>271</v>
      </c>
      <c r="G23" s="11"/>
      <c r="H23" s="67"/>
      <c r="I23" s="12" t="s">
        <v>16</v>
      </c>
      <c r="J23" s="61">
        <v>14496</v>
      </c>
      <c r="K23" s="71">
        <v>200</v>
      </c>
      <c r="L23" s="62" t="s">
        <v>371</v>
      </c>
      <c r="M23" s="75"/>
      <c r="N23" s="73"/>
      <c r="O23" s="15"/>
    </row>
    <row r="24" spans="1:15" x14ac:dyDescent="0.25">
      <c r="A24" s="16"/>
      <c r="B24" s="49"/>
      <c r="C24" s="17" t="s">
        <v>139</v>
      </c>
      <c r="D24" s="13"/>
      <c r="E24" s="70"/>
      <c r="F24" s="14" t="s">
        <v>344</v>
      </c>
      <c r="G24" s="11">
        <v>14460</v>
      </c>
      <c r="H24" s="67">
        <v>1300</v>
      </c>
      <c r="I24" s="12" t="s">
        <v>282</v>
      </c>
      <c r="J24" s="61">
        <v>14497</v>
      </c>
      <c r="K24" s="71">
        <v>800</v>
      </c>
      <c r="L24" s="62" t="s">
        <v>136</v>
      </c>
      <c r="M24" s="75"/>
      <c r="N24" s="73"/>
      <c r="O24" s="15"/>
    </row>
    <row r="25" spans="1:15" x14ac:dyDescent="0.25">
      <c r="A25" s="16">
        <v>14373</v>
      </c>
      <c r="B25" s="49">
        <v>125</v>
      </c>
      <c r="C25" s="17"/>
      <c r="D25" s="13">
        <v>14416</v>
      </c>
      <c r="E25" s="70">
        <v>800</v>
      </c>
      <c r="F25" s="14" t="s">
        <v>281</v>
      </c>
      <c r="G25" s="11"/>
      <c r="H25" s="67"/>
      <c r="I25" s="12" t="s">
        <v>16</v>
      </c>
      <c r="J25" s="61"/>
      <c r="K25" s="71"/>
      <c r="L25" s="62" t="s">
        <v>16</v>
      </c>
      <c r="M25" s="75"/>
      <c r="N25" s="73"/>
      <c r="O25" s="15"/>
    </row>
    <row r="26" spans="1:15" x14ac:dyDescent="0.25">
      <c r="A26" s="16">
        <v>14374</v>
      </c>
      <c r="B26" s="49">
        <v>400</v>
      </c>
      <c r="C26" s="17"/>
      <c r="D26" s="13"/>
      <c r="E26" s="70"/>
      <c r="F26" s="14" t="s">
        <v>16</v>
      </c>
      <c r="G26" s="11"/>
      <c r="H26" s="67"/>
      <c r="I26" s="12" t="s">
        <v>344</v>
      </c>
      <c r="J26" s="61">
        <v>14498</v>
      </c>
      <c r="K26" s="71">
        <v>400</v>
      </c>
      <c r="L26" s="62" t="s">
        <v>278</v>
      </c>
      <c r="M26" s="75"/>
      <c r="N26" s="73"/>
      <c r="O26" s="15"/>
    </row>
    <row r="27" spans="1:15" x14ac:dyDescent="0.25">
      <c r="A27" s="16">
        <v>14375</v>
      </c>
      <c r="B27" s="49">
        <v>50</v>
      </c>
      <c r="C27" s="17" t="s">
        <v>47</v>
      </c>
      <c r="D27" s="13">
        <v>14417</v>
      </c>
      <c r="E27" s="70">
        <v>350</v>
      </c>
      <c r="F27" s="14"/>
      <c r="G27" s="11">
        <v>14461</v>
      </c>
      <c r="H27" s="67">
        <v>200</v>
      </c>
      <c r="I27" s="12"/>
      <c r="J27" s="61">
        <v>14499</v>
      </c>
      <c r="K27" s="71">
        <v>300</v>
      </c>
      <c r="L27" s="62" t="s">
        <v>310</v>
      </c>
      <c r="M27" s="75"/>
      <c r="N27" s="73"/>
      <c r="O27" s="15"/>
    </row>
    <row r="28" spans="1:15" x14ac:dyDescent="0.25">
      <c r="A28" s="16">
        <v>14376</v>
      </c>
      <c r="B28" s="49">
        <v>1200</v>
      </c>
      <c r="C28" s="17" t="s">
        <v>184</v>
      </c>
      <c r="D28" s="13">
        <v>14418</v>
      </c>
      <c r="E28" s="70">
        <v>300</v>
      </c>
      <c r="F28" s="14" t="s">
        <v>62</v>
      </c>
      <c r="G28" s="11">
        <v>14462</v>
      </c>
      <c r="H28" s="67">
        <v>400</v>
      </c>
      <c r="I28" s="12"/>
      <c r="J28" s="61">
        <v>14500</v>
      </c>
      <c r="K28" s="71">
        <v>400</v>
      </c>
      <c r="L28" s="62" t="s">
        <v>38</v>
      </c>
      <c r="M28" s="75"/>
      <c r="N28" s="73"/>
      <c r="O28" s="15"/>
    </row>
    <row r="29" spans="1:15" x14ac:dyDescent="0.25">
      <c r="A29" s="16"/>
      <c r="B29" s="49"/>
      <c r="C29" s="17" t="s">
        <v>16</v>
      </c>
      <c r="D29" s="13"/>
      <c r="E29" s="70"/>
      <c r="F29" s="14" t="s">
        <v>263</v>
      </c>
      <c r="G29" s="11">
        <v>14463</v>
      </c>
      <c r="H29" s="67">
        <v>1600</v>
      </c>
      <c r="I29" s="12" t="s">
        <v>356</v>
      </c>
      <c r="J29" s="61"/>
      <c r="K29" s="71"/>
      <c r="L29" s="62" t="s">
        <v>18</v>
      </c>
      <c r="M29" s="75"/>
      <c r="N29" s="73"/>
      <c r="O29" s="15"/>
    </row>
    <row r="30" spans="1:15" x14ac:dyDescent="0.25">
      <c r="A30" s="16">
        <v>14377</v>
      </c>
      <c r="B30" s="49">
        <v>800</v>
      </c>
      <c r="C30" s="17" t="s">
        <v>136</v>
      </c>
      <c r="D30" s="13">
        <v>14419</v>
      </c>
      <c r="E30" s="70">
        <v>350</v>
      </c>
      <c r="F30" s="14" t="s">
        <v>62</v>
      </c>
      <c r="G30" s="11"/>
      <c r="H30" s="67"/>
      <c r="I30" s="12" t="s">
        <v>16</v>
      </c>
      <c r="J30" s="61">
        <v>14501</v>
      </c>
      <c r="K30" s="71"/>
      <c r="L30" s="62" t="s">
        <v>372</v>
      </c>
      <c r="M30" s="75"/>
      <c r="N30" s="73"/>
      <c r="O30" s="15"/>
    </row>
    <row r="31" spans="1:15" x14ac:dyDescent="0.25">
      <c r="A31" s="16"/>
      <c r="B31" s="49"/>
      <c r="C31" s="17" t="s">
        <v>16</v>
      </c>
      <c r="D31" s="13"/>
      <c r="E31" s="70"/>
      <c r="F31" s="14" t="s">
        <v>345</v>
      </c>
      <c r="G31" s="11">
        <v>14464</v>
      </c>
      <c r="H31" s="67">
        <v>500</v>
      </c>
      <c r="I31" s="12" t="s">
        <v>320</v>
      </c>
      <c r="J31" s="61">
        <v>14502</v>
      </c>
      <c r="K31" s="71">
        <v>400</v>
      </c>
      <c r="L31" s="62"/>
      <c r="M31" s="75"/>
      <c r="N31" s="73"/>
      <c r="O31" s="15"/>
    </row>
    <row r="32" spans="1:15" x14ac:dyDescent="0.25">
      <c r="A32" s="16">
        <v>14378</v>
      </c>
      <c r="B32" s="49">
        <v>400</v>
      </c>
      <c r="C32" s="17"/>
      <c r="D32" s="13">
        <v>14420</v>
      </c>
      <c r="E32" s="70">
        <v>600</v>
      </c>
      <c r="F32" s="14" t="s">
        <v>281</v>
      </c>
      <c r="G32" s="11"/>
      <c r="H32" s="67"/>
      <c r="I32" s="12" t="s">
        <v>20</v>
      </c>
      <c r="J32" s="61">
        <v>14503</v>
      </c>
      <c r="K32" s="71">
        <v>250</v>
      </c>
      <c r="L32" s="62"/>
      <c r="M32" s="75"/>
      <c r="N32" s="73"/>
      <c r="O32" s="15"/>
    </row>
    <row r="33" spans="1:15" x14ac:dyDescent="0.25">
      <c r="A33" s="16">
        <v>14379</v>
      </c>
      <c r="B33" s="49">
        <v>400</v>
      </c>
      <c r="C33" s="17"/>
      <c r="D33" s="13"/>
      <c r="E33" s="70"/>
      <c r="F33" s="14" t="s">
        <v>17</v>
      </c>
      <c r="G33" s="11">
        <v>14465</v>
      </c>
      <c r="H33" s="67">
        <v>800</v>
      </c>
      <c r="I33" s="12" t="s">
        <v>357</v>
      </c>
      <c r="J33" s="61">
        <v>14504</v>
      </c>
      <c r="K33" s="71">
        <v>200</v>
      </c>
      <c r="L33" s="62" t="s">
        <v>373</v>
      </c>
      <c r="M33" s="75"/>
      <c r="N33" s="73"/>
      <c r="O33" s="15"/>
    </row>
    <row r="34" spans="1:15" x14ac:dyDescent="0.25">
      <c r="A34" s="16">
        <v>14380</v>
      </c>
      <c r="B34" s="49">
        <v>400</v>
      </c>
      <c r="C34" s="17"/>
      <c r="D34" s="13">
        <v>14421</v>
      </c>
      <c r="E34" s="70">
        <v>800</v>
      </c>
      <c r="F34" s="14" t="s">
        <v>281</v>
      </c>
      <c r="G34" s="11"/>
      <c r="H34" s="67"/>
      <c r="I34" s="12" t="s">
        <v>358</v>
      </c>
      <c r="J34" s="61">
        <v>14505</v>
      </c>
      <c r="K34" s="71">
        <v>600</v>
      </c>
      <c r="L34" s="62" t="s">
        <v>320</v>
      </c>
      <c r="M34" s="75"/>
      <c r="N34" s="73"/>
      <c r="O34" s="15"/>
    </row>
    <row r="35" spans="1:15" x14ac:dyDescent="0.25">
      <c r="A35" s="16">
        <v>14381</v>
      </c>
      <c r="B35" s="49">
        <v>400</v>
      </c>
      <c r="C35" s="17" t="s">
        <v>334</v>
      </c>
      <c r="D35" s="13"/>
      <c r="E35" s="70"/>
      <c r="F35" s="14" t="s">
        <v>16</v>
      </c>
      <c r="G35" s="11">
        <v>14466</v>
      </c>
      <c r="H35" s="67">
        <v>800</v>
      </c>
      <c r="I35" s="12" t="s">
        <v>359</v>
      </c>
      <c r="J35" s="61"/>
      <c r="K35" s="71"/>
      <c r="L35" s="62" t="s">
        <v>17</v>
      </c>
      <c r="M35" s="75"/>
      <c r="N35" s="73"/>
      <c r="O35" s="15"/>
    </row>
    <row r="36" spans="1:15" x14ac:dyDescent="0.25">
      <c r="A36" s="16"/>
      <c r="B36" s="49"/>
      <c r="C36" s="17" t="s">
        <v>335</v>
      </c>
      <c r="D36" s="13">
        <v>14422</v>
      </c>
      <c r="E36" s="70">
        <v>400</v>
      </c>
      <c r="F36" s="14"/>
      <c r="G36" s="11"/>
      <c r="H36" s="67"/>
      <c r="I36" s="12" t="s">
        <v>16</v>
      </c>
      <c r="J36" s="61">
        <v>14506</v>
      </c>
      <c r="K36" s="71">
        <v>400</v>
      </c>
      <c r="L36" s="62" t="s">
        <v>320</v>
      </c>
      <c r="M36" s="75"/>
      <c r="N36" s="73"/>
      <c r="O36" s="15"/>
    </row>
    <row r="37" spans="1:15" x14ac:dyDescent="0.25">
      <c r="A37" s="16">
        <v>14382</v>
      </c>
      <c r="B37" s="49">
        <v>100</v>
      </c>
      <c r="C37" s="17" t="s">
        <v>336</v>
      </c>
      <c r="D37" s="13">
        <v>14423</v>
      </c>
      <c r="E37" s="70">
        <v>1200</v>
      </c>
      <c r="F37" s="14" t="s">
        <v>282</v>
      </c>
      <c r="G37" s="11">
        <v>14467</v>
      </c>
      <c r="H37" s="67">
        <v>400</v>
      </c>
      <c r="I37" s="12"/>
      <c r="J37" s="61"/>
      <c r="K37" s="71"/>
      <c r="L37" s="62" t="s">
        <v>18</v>
      </c>
      <c r="M37" s="75"/>
      <c r="N37" s="73"/>
      <c r="O37" s="15"/>
    </row>
    <row r="38" spans="1:15" x14ac:dyDescent="0.25">
      <c r="A38" s="16">
        <v>14383</v>
      </c>
      <c r="B38" s="49">
        <v>600</v>
      </c>
      <c r="C38" s="17" t="s">
        <v>337</v>
      </c>
      <c r="D38" s="13"/>
      <c r="E38" s="70"/>
      <c r="F38" s="14" t="s">
        <v>16</v>
      </c>
      <c r="G38" s="11">
        <v>14468</v>
      </c>
      <c r="H38" s="67">
        <v>700</v>
      </c>
      <c r="I38" s="12" t="s">
        <v>360</v>
      </c>
      <c r="J38" s="61">
        <v>14507</v>
      </c>
      <c r="K38" s="71">
        <v>400</v>
      </c>
      <c r="L38" s="62"/>
      <c r="M38" s="75"/>
      <c r="N38" s="73"/>
      <c r="O38" s="15"/>
    </row>
    <row r="39" spans="1:15" x14ac:dyDescent="0.25">
      <c r="A39" s="16"/>
      <c r="B39" s="49"/>
      <c r="C39" s="17" t="s">
        <v>18</v>
      </c>
      <c r="D39" s="13">
        <v>14424</v>
      </c>
      <c r="E39" s="70">
        <v>400</v>
      </c>
      <c r="F39" s="14"/>
      <c r="G39" s="11"/>
      <c r="H39" s="67"/>
      <c r="I39" s="12" t="s">
        <v>361</v>
      </c>
      <c r="J39" s="61">
        <v>14508</v>
      </c>
      <c r="K39" s="71">
        <v>1200</v>
      </c>
      <c r="L39" s="62" t="s">
        <v>184</v>
      </c>
      <c r="M39" s="75"/>
      <c r="N39" s="73"/>
      <c r="O39" s="15"/>
    </row>
    <row r="40" spans="1:15" x14ac:dyDescent="0.25">
      <c r="A40" s="16">
        <v>14384</v>
      </c>
      <c r="B40" s="49">
        <v>2800</v>
      </c>
      <c r="C40" s="17" t="s">
        <v>338</v>
      </c>
      <c r="D40" s="13">
        <v>14425</v>
      </c>
      <c r="E40" s="70">
        <v>400</v>
      </c>
      <c r="F40" s="14" t="s">
        <v>281</v>
      </c>
      <c r="G40" s="11">
        <v>14469</v>
      </c>
      <c r="H40" s="67">
        <v>600</v>
      </c>
      <c r="I40" s="12" t="s">
        <v>184</v>
      </c>
      <c r="J40" s="61"/>
      <c r="K40" s="71"/>
      <c r="L40" s="62" t="s">
        <v>16</v>
      </c>
      <c r="M40" s="75"/>
      <c r="N40" s="73"/>
      <c r="O40" s="15"/>
    </row>
    <row r="41" spans="1:15" x14ac:dyDescent="0.25">
      <c r="A41" s="16"/>
      <c r="B41" s="49"/>
      <c r="C41" s="17" t="s">
        <v>339</v>
      </c>
      <c r="D41" s="13"/>
      <c r="E41" s="70"/>
      <c r="F41" s="14" t="s">
        <v>18</v>
      </c>
      <c r="G41" s="11"/>
      <c r="H41" s="67"/>
      <c r="I41" s="12" t="s">
        <v>36</v>
      </c>
      <c r="J41" s="61">
        <v>14509</v>
      </c>
      <c r="K41" s="71">
        <v>900</v>
      </c>
      <c r="L41" s="62" t="s">
        <v>374</v>
      </c>
      <c r="M41" s="75"/>
      <c r="N41" s="73"/>
      <c r="O41" s="15"/>
    </row>
    <row r="42" spans="1:15" x14ac:dyDescent="0.25">
      <c r="A42" s="16"/>
      <c r="B42" s="49"/>
      <c r="C42" s="17" t="s">
        <v>16</v>
      </c>
      <c r="D42" s="13">
        <v>14426</v>
      </c>
      <c r="E42" s="70">
        <v>400</v>
      </c>
      <c r="F42" s="14" t="s">
        <v>271</v>
      </c>
      <c r="G42" s="11">
        <v>14470</v>
      </c>
      <c r="H42" s="67">
        <v>250</v>
      </c>
      <c r="I42" s="12" t="s">
        <v>271</v>
      </c>
      <c r="J42" s="61"/>
      <c r="K42" s="71"/>
      <c r="L42" s="62" t="s">
        <v>237</v>
      </c>
      <c r="M42" s="75"/>
      <c r="N42" s="73"/>
      <c r="O42" s="15"/>
    </row>
    <row r="43" spans="1:15" x14ac:dyDescent="0.25">
      <c r="A43" s="16">
        <v>14385</v>
      </c>
      <c r="B43" s="49">
        <v>400</v>
      </c>
      <c r="C43" s="17" t="s">
        <v>305</v>
      </c>
      <c r="D43" s="13">
        <v>14427</v>
      </c>
      <c r="E43" s="70">
        <v>400</v>
      </c>
      <c r="F43" s="14" t="s">
        <v>271</v>
      </c>
      <c r="G43" s="11">
        <v>14471</v>
      </c>
      <c r="H43" s="67">
        <v>400</v>
      </c>
      <c r="I43" s="12"/>
      <c r="J43" s="61">
        <v>14510</v>
      </c>
      <c r="K43" s="71">
        <v>1600</v>
      </c>
      <c r="L43" s="62" t="s">
        <v>375</v>
      </c>
      <c r="M43" s="75"/>
      <c r="N43" s="73"/>
      <c r="O43" s="15"/>
    </row>
    <row r="44" spans="1:15" x14ac:dyDescent="0.25">
      <c r="A44" s="16"/>
      <c r="B44" s="49"/>
      <c r="C44" s="17" t="s">
        <v>263</v>
      </c>
      <c r="D44" s="13">
        <v>14428</v>
      </c>
      <c r="E44" s="70">
        <v>1200</v>
      </c>
      <c r="F44" s="14" t="s">
        <v>184</v>
      </c>
      <c r="G44" s="11">
        <v>14472</v>
      </c>
      <c r="H44" s="67">
        <v>500</v>
      </c>
      <c r="I44" s="12" t="s">
        <v>281</v>
      </c>
      <c r="J44" s="61"/>
      <c r="K44" s="71"/>
      <c r="L44" s="62" t="s">
        <v>16</v>
      </c>
      <c r="M44" s="75"/>
      <c r="N44" s="73"/>
      <c r="O44" s="15"/>
    </row>
    <row r="45" spans="1:15" x14ac:dyDescent="0.25">
      <c r="A45" s="16">
        <v>14386</v>
      </c>
      <c r="B45" s="49">
        <v>300</v>
      </c>
      <c r="C45" s="17"/>
      <c r="D45" s="13"/>
      <c r="E45" s="70"/>
      <c r="F45" s="14" t="s">
        <v>16</v>
      </c>
      <c r="G45" s="11"/>
      <c r="H45" s="67"/>
      <c r="I45" s="12" t="s">
        <v>20</v>
      </c>
      <c r="J45" s="61"/>
      <c r="K45" s="71"/>
      <c r="L45" s="62" t="s">
        <v>376</v>
      </c>
      <c r="M45" s="75"/>
      <c r="N45" s="73"/>
      <c r="O45" s="15"/>
    </row>
    <row r="46" spans="1:15" x14ac:dyDescent="0.25">
      <c r="A46" s="16">
        <v>14387</v>
      </c>
      <c r="B46" s="49">
        <v>200</v>
      </c>
      <c r="C46" s="17"/>
      <c r="D46" s="13">
        <v>14429</v>
      </c>
      <c r="E46" s="70">
        <v>250</v>
      </c>
      <c r="F46" s="14"/>
      <c r="G46" s="11">
        <v>14473</v>
      </c>
      <c r="H46" s="67">
        <v>400</v>
      </c>
      <c r="I46" s="12"/>
      <c r="J46" s="61">
        <v>14511</v>
      </c>
      <c r="K46" s="71">
        <v>600</v>
      </c>
      <c r="L46" s="62" t="s">
        <v>377</v>
      </c>
      <c r="M46" s="75"/>
      <c r="N46" s="73"/>
      <c r="O46" s="15"/>
    </row>
    <row r="47" spans="1:15" x14ac:dyDescent="0.25">
      <c r="A47" s="16">
        <v>14388</v>
      </c>
      <c r="B47" s="49">
        <v>500</v>
      </c>
      <c r="C47" s="17" t="s">
        <v>281</v>
      </c>
      <c r="D47" s="13">
        <v>14430</v>
      </c>
      <c r="E47" s="70">
        <v>1600</v>
      </c>
      <c r="F47" s="14" t="s">
        <v>284</v>
      </c>
      <c r="G47" s="11">
        <v>14474</v>
      </c>
      <c r="H47" s="67">
        <v>400</v>
      </c>
      <c r="I47" s="12" t="s">
        <v>281</v>
      </c>
      <c r="J47" s="61">
        <v>14512</v>
      </c>
      <c r="K47" s="71">
        <v>800</v>
      </c>
      <c r="L47" s="62" t="s">
        <v>281</v>
      </c>
      <c r="M47" s="75"/>
      <c r="N47" s="73"/>
      <c r="O47" s="15"/>
    </row>
    <row r="48" spans="1:15" x14ac:dyDescent="0.25">
      <c r="A48" s="16"/>
      <c r="B48" s="49"/>
      <c r="C48" s="17" t="s">
        <v>20</v>
      </c>
      <c r="D48" s="13"/>
      <c r="E48" s="70"/>
      <c r="F48" s="14" t="s">
        <v>16</v>
      </c>
      <c r="G48" s="11"/>
      <c r="H48" s="67"/>
      <c r="I48" s="12" t="s">
        <v>362</v>
      </c>
      <c r="J48" s="61"/>
      <c r="K48" s="71"/>
      <c r="L48" s="62" t="s">
        <v>16</v>
      </c>
      <c r="M48" s="75"/>
      <c r="N48" s="73"/>
      <c r="O48" s="15"/>
    </row>
    <row r="49" spans="1:15" x14ac:dyDescent="0.25">
      <c r="A49" s="16">
        <v>14389</v>
      </c>
      <c r="B49" s="49">
        <v>400</v>
      </c>
      <c r="C49" s="17" t="s">
        <v>271</v>
      </c>
      <c r="D49" s="13">
        <v>14431</v>
      </c>
      <c r="E49" s="70">
        <v>400</v>
      </c>
      <c r="F49" s="14"/>
      <c r="G49" s="11">
        <v>14475</v>
      </c>
      <c r="H49" s="67">
        <v>600</v>
      </c>
      <c r="I49" s="12" t="s">
        <v>136</v>
      </c>
      <c r="J49" s="61">
        <v>14513</v>
      </c>
      <c r="K49" s="71">
        <v>400</v>
      </c>
      <c r="L49" s="62" t="s">
        <v>371</v>
      </c>
      <c r="M49" s="75"/>
      <c r="N49" s="73"/>
      <c r="O49" s="15"/>
    </row>
    <row r="50" spans="1:15" x14ac:dyDescent="0.25">
      <c r="A50" s="16">
        <v>14390</v>
      </c>
      <c r="B50" s="49">
        <v>400</v>
      </c>
      <c r="C50" s="17" t="s">
        <v>271</v>
      </c>
      <c r="D50" s="13">
        <v>14432</v>
      </c>
      <c r="E50" s="70">
        <v>600</v>
      </c>
      <c r="F50" s="14" t="s">
        <v>281</v>
      </c>
      <c r="G50" s="11"/>
      <c r="H50" s="67"/>
      <c r="I50" s="12" t="s">
        <v>17</v>
      </c>
      <c r="J50" s="61">
        <v>14514</v>
      </c>
      <c r="K50" s="71">
        <v>600</v>
      </c>
      <c r="L50" s="62" t="s">
        <v>281</v>
      </c>
      <c r="M50" s="75"/>
      <c r="N50" s="73"/>
      <c r="O50" s="15"/>
    </row>
    <row r="51" spans="1:15" x14ac:dyDescent="0.25">
      <c r="A51" s="16">
        <v>14391</v>
      </c>
      <c r="B51" s="49">
        <v>900</v>
      </c>
      <c r="C51" s="17" t="s">
        <v>184</v>
      </c>
      <c r="D51" s="13"/>
      <c r="E51" s="70"/>
      <c r="F51" s="14" t="s">
        <v>17</v>
      </c>
      <c r="G51" s="11">
        <v>14476</v>
      </c>
      <c r="H51" s="67">
        <v>200</v>
      </c>
      <c r="I51" s="12" t="s">
        <v>278</v>
      </c>
      <c r="J51" s="61"/>
      <c r="K51" s="71"/>
      <c r="L51" s="62" t="s">
        <v>17</v>
      </c>
      <c r="M51" s="75"/>
      <c r="N51" s="73"/>
      <c r="O51" s="15"/>
    </row>
    <row r="52" spans="1:15" x14ac:dyDescent="0.25">
      <c r="A52" s="16"/>
      <c r="B52" s="49"/>
      <c r="C52" s="17" t="s">
        <v>17</v>
      </c>
      <c r="D52" s="13">
        <v>14433</v>
      </c>
      <c r="E52" s="70">
        <v>400</v>
      </c>
      <c r="F52" s="14"/>
      <c r="G52" s="11">
        <v>14477</v>
      </c>
      <c r="H52" s="67">
        <v>400</v>
      </c>
      <c r="I52" s="12"/>
      <c r="J52" s="61"/>
      <c r="K52" s="71"/>
      <c r="L52" s="62"/>
      <c r="M52" s="75"/>
      <c r="N52" s="73"/>
      <c r="O52" s="15"/>
    </row>
    <row r="53" spans="1:15" x14ac:dyDescent="0.25">
      <c r="A53" s="16">
        <v>14392</v>
      </c>
      <c r="B53" s="49">
        <v>400</v>
      </c>
      <c r="C53" s="17"/>
      <c r="D53" s="13">
        <v>14434</v>
      </c>
      <c r="E53" s="70">
        <v>800</v>
      </c>
      <c r="F53" s="14" t="s">
        <v>136</v>
      </c>
      <c r="G53" s="11">
        <v>14478</v>
      </c>
      <c r="H53" s="67">
        <v>250</v>
      </c>
      <c r="I53" s="12" t="s">
        <v>363</v>
      </c>
      <c r="J53" s="61"/>
      <c r="K53" s="71"/>
      <c r="L53" s="62"/>
      <c r="M53" s="75"/>
      <c r="N53" s="73"/>
      <c r="O53" s="15"/>
    </row>
    <row r="54" spans="1:15" x14ac:dyDescent="0.25">
      <c r="A54" s="16">
        <v>14393</v>
      </c>
      <c r="B54" s="49">
        <v>800</v>
      </c>
      <c r="C54" s="17" t="s">
        <v>136</v>
      </c>
      <c r="D54" s="13"/>
      <c r="E54" s="70"/>
      <c r="F54" s="14" t="s">
        <v>16</v>
      </c>
      <c r="G54" s="11">
        <v>14479</v>
      </c>
      <c r="H54" s="67"/>
      <c r="I54" s="12" t="s">
        <v>44</v>
      </c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 t="s">
        <v>16</v>
      </c>
      <c r="D55" s="13">
        <v>14435</v>
      </c>
      <c r="E55" s="70">
        <v>200</v>
      </c>
      <c r="F55" s="14" t="s">
        <v>346</v>
      </c>
      <c r="G55" s="11">
        <v>14480</v>
      </c>
      <c r="H55" s="67">
        <v>100</v>
      </c>
      <c r="I55" s="12" t="s">
        <v>344</v>
      </c>
      <c r="J55" s="61"/>
      <c r="K55" s="71"/>
      <c r="L55" s="62"/>
      <c r="M55" s="75"/>
      <c r="N55" s="73"/>
      <c r="O55" s="15"/>
    </row>
    <row r="56" spans="1:15" x14ac:dyDescent="0.25">
      <c r="A56" s="16">
        <v>14394</v>
      </c>
      <c r="B56" s="49">
        <v>300</v>
      </c>
      <c r="C56" s="17"/>
      <c r="D56" s="13">
        <v>14436</v>
      </c>
      <c r="E56" s="70"/>
      <c r="F56" s="14" t="s">
        <v>342</v>
      </c>
      <c r="G56" s="11">
        <v>14481</v>
      </c>
      <c r="H56" s="67">
        <v>800</v>
      </c>
      <c r="I56" s="12" t="s">
        <v>136</v>
      </c>
      <c r="J56" s="61"/>
      <c r="K56" s="71"/>
      <c r="L56" s="62"/>
      <c r="M56" s="75"/>
      <c r="N56" s="73"/>
      <c r="O56" s="15"/>
    </row>
    <row r="57" spans="1:15" x14ac:dyDescent="0.25">
      <c r="A57" s="16">
        <v>14395</v>
      </c>
      <c r="B57" s="49">
        <v>400</v>
      </c>
      <c r="C57" s="17" t="s">
        <v>281</v>
      </c>
      <c r="D57" s="13">
        <v>14437</v>
      </c>
      <c r="E57" s="70">
        <v>1200</v>
      </c>
      <c r="F57" s="14" t="s">
        <v>347</v>
      </c>
      <c r="G57" s="11"/>
      <c r="H57" s="67"/>
      <c r="I57" s="12" t="s">
        <v>16</v>
      </c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 t="s">
        <v>18</v>
      </c>
      <c r="D58" s="13"/>
      <c r="E58" s="70"/>
      <c r="F58" s="14" t="s">
        <v>16</v>
      </c>
      <c r="G58" s="11">
        <v>14482</v>
      </c>
      <c r="H58" s="67">
        <v>300</v>
      </c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14396</v>
      </c>
      <c r="B59" s="49">
        <v>400</v>
      </c>
      <c r="C59" s="17"/>
      <c r="D59" s="13">
        <v>14438</v>
      </c>
      <c r="E59" s="70">
        <v>1200</v>
      </c>
      <c r="F59" s="14" t="s">
        <v>184</v>
      </c>
      <c r="G59" s="11">
        <v>14483</v>
      </c>
      <c r="H59" s="67">
        <v>400</v>
      </c>
      <c r="I59" s="12" t="s">
        <v>136</v>
      </c>
      <c r="J59" s="61"/>
      <c r="K59" s="71"/>
      <c r="L59" s="62"/>
      <c r="M59" s="75"/>
      <c r="N59" s="73"/>
      <c r="O59" s="15"/>
    </row>
    <row r="60" spans="1:15" x14ac:dyDescent="0.25">
      <c r="A60" s="16">
        <v>14397</v>
      </c>
      <c r="B60" s="49">
        <v>400</v>
      </c>
      <c r="C60" s="17"/>
      <c r="D60" s="13"/>
      <c r="E60" s="70"/>
      <c r="F60" s="14" t="s">
        <v>16</v>
      </c>
      <c r="G60" s="11"/>
      <c r="H60" s="67"/>
      <c r="I60" s="12" t="s">
        <v>18</v>
      </c>
      <c r="J60" s="61"/>
      <c r="K60" s="71"/>
      <c r="L60" s="62"/>
      <c r="M60" s="75"/>
      <c r="N60" s="73"/>
      <c r="O60" s="15"/>
    </row>
    <row r="61" spans="1:15" x14ac:dyDescent="0.25">
      <c r="A61" s="16">
        <v>14398</v>
      </c>
      <c r="B61" s="49">
        <v>300</v>
      </c>
      <c r="C61" s="17" t="s">
        <v>281</v>
      </c>
      <c r="D61" s="13">
        <v>14439</v>
      </c>
      <c r="E61" s="70">
        <v>400</v>
      </c>
      <c r="F61" s="14" t="s">
        <v>348</v>
      </c>
      <c r="G61" s="11">
        <v>14484</v>
      </c>
      <c r="H61" s="67">
        <v>400</v>
      </c>
      <c r="I61" s="12" t="s">
        <v>281</v>
      </c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 t="s">
        <v>78</v>
      </c>
      <c r="D62" s="13"/>
      <c r="E62" s="70"/>
      <c r="F62" s="14" t="s">
        <v>18</v>
      </c>
      <c r="G62" s="11"/>
      <c r="H62" s="67"/>
      <c r="I62" s="12" t="s">
        <v>18</v>
      </c>
      <c r="J62" s="61"/>
      <c r="K62" s="71"/>
      <c r="L62" s="62"/>
      <c r="M62" s="75"/>
      <c r="N62" s="73"/>
      <c r="O62" s="15"/>
    </row>
    <row r="63" spans="1:15" x14ac:dyDescent="0.25">
      <c r="A63" s="16">
        <v>14399</v>
      </c>
      <c r="B63" s="49">
        <v>450</v>
      </c>
      <c r="C63" s="17" t="s">
        <v>333</v>
      </c>
      <c r="D63" s="13">
        <v>14440</v>
      </c>
      <c r="E63" s="70">
        <v>800</v>
      </c>
      <c r="F63" s="14" t="s">
        <v>281</v>
      </c>
      <c r="G63" s="11">
        <v>14485</v>
      </c>
      <c r="H63" s="67">
        <v>800</v>
      </c>
      <c r="I63" s="12" t="s">
        <v>320</v>
      </c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 t="s">
        <v>340</v>
      </c>
      <c r="D64" s="13"/>
      <c r="E64" s="70"/>
      <c r="F64" s="14" t="s">
        <v>16</v>
      </c>
      <c r="G64" s="11"/>
      <c r="H64" s="67"/>
      <c r="I64" s="12" t="s">
        <v>16</v>
      </c>
      <c r="J64" s="61"/>
      <c r="K64" s="71"/>
      <c r="L64" s="62"/>
      <c r="M64" s="75"/>
      <c r="N64" s="73"/>
      <c r="O64" s="15"/>
    </row>
    <row r="65" spans="1:15" x14ac:dyDescent="0.25">
      <c r="A65" s="16">
        <v>14400</v>
      </c>
      <c r="B65" s="49">
        <v>400</v>
      </c>
      <c r="C65" s="17"/>
      <c r="D65" s="13">
        <v>14441</v>
      </c>
      <c r="E65" s="70">
        <v>800</v>
      </c>
      <c r="F65" s="14" t="s">
        <v>136</v>
      </c>
      <c r="G65" s="11">
        <v>14486</v>
      </c>
      <c r="H65" s="67">
        <v>500</v>
      </c>
      <c r="I65" s="12" t="s">
        <v>364</v>
      </c>
      <c r="J65" s="61"/>
      <c r="K65" s="71"/>
      <c r="L65" s="62"/>
      <c r="M65" s="75"/>
      <c r="N65" s="73"/>
      <c r="O65" s="15"/>
    </row>
    <row r="66" spans="1:15" x14ac:dyDescent="0.25">
      <c r="A66" s="16">
        <v>14401</v>
      </c>
      <c r="B66" s="49">
        <v>300</v>
      </c>
      <c r="C66" s="17" t="s">
        <v>271</v>
      </c>
      <c r="D66" s="13"/>
      <c r="E66" s="70"/>
      <c r="F66" s="14" t="s">
        <v>16</v>
      </c>
      <c r="G66" s="11"/>
      <c r="H66" s="67"/>
      <c r="I66" s="12" t="s">
        <v>365</v>
      </c>
      <c r="J66" s="61"/>
      <c r="K66" s="71"/>
      <c r="L66" s="62"/>
      <c r="M66" s="75"/>
      <c r="N66" s="73"/>
      <c r="O66" s="15"/>
    </row>
    <row r="67" spans="1:15" x14ac:dyDescent="0.25">
      <c r="A67" s="16">
        <v>14402</v>
      </c>
      <c r="B67" s="49">
        <v>300</v>
      </c>
      <c r="C67" s="17" t="s">
        <v>271</v>
      </c>
      <c r="D67" s="13">
        <v>14442</v>
      </c>
      <c r="E67" s="70">
        <v>600</v>
      </c>
      <c r="F67" s="14" t="s">
        <v>136</v>
      </c>
      <c r="G67" s="11">
        <v>14487</v>
      </c>
      <c r="H67" s="67">
        <v>400</v>
      </c>
      <c r="I67" s="12" t="s">
        <v>366</v>
      </c>
      <c r="J67" s="61"/>
      <c r="K67" s="71"/>
      <c r="L67" s="62"/>
      <c r="M67" s="75"/>
      <c r="N67" s="73"/>
      <c r="O67" s="15"/>
    </row>
    <row r="68" spans="1:15" x14ac:dyDescent="0.25">
      <c r="A68" s="16">
        <v>14403</v>
      </c>
      <c r="B68" s="49">
        <v>400</v>
      </c>
      <c r="C68" s="17" t="s">
        <v>271</v>
      </c>
      <c r="D68" s="13"/>
      <c r="E68" s="70"/>
      <c r="F68" s="14" t="s">
        <v>17</v>
      </c>
      <c r="G68" s="11"/>
      <c r="H68" s="67"/>
      <c r="I68" s="113">
        <v>39016</v>
      </c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>
        <v>14443</v>
      </c>
      <c r="E69" s="70">
        <v>800</v>
      </c>
      <c r="F69" s="14" t="s">
        <v>320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 t="s">
        <v>16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>
        <v>14444</v>
      </c>
      <c r="E71" s="70">
        <v>300</v>
      </c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>
        <v>14445</v>
      </c>
      <c r="E72" s="70">
        <v>400</v>
      </c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>
        <v>14446</v>
      </c>
      <c r="E73" s="70">
        <v>400</v>
      </c>
      <c r="F73" s="14" t="s">
        <v>91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>
        <v>14447</v>
      </c>
      <c r="E74" s="70">
        <v>900</v>
      </c>
      <c r="F74" s="14" t="s">
        <v>184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 t="s">
        <v>17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>
        <v>14448</v>
      </c>
      <c r="E76" s="70">
        <v>400</v>
      </c>
      <c r="F76" s="14" t="s">
        <v>271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>
        <v>14449</v>
      </c>
      <c r="E77" s="70">
        <v>400</v>
      </c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>
        <v>14450</v>
      </c>
      <c r="E78" s="70">
        <v>200</v>
      </c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>
        <v>14501</v>
      </c>
      <c r="E79" s="70">
        <v>1600</v>
      </c>
      <c r="F79" s="14" t="s">
        <v>284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 t="s">
        <v>16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64"/>
      <c r="E93" s="65"/>
      <c r="F93" s="65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64"/>
      <c r="B94" s="64"/>
      <c r="C94" s="65"/>
      <c r="D94" s="64"/>
      <c r="E94" s="65"/>
      <c r="F94" s="65"/>
      <c r="G94" s="64"/>
      <c r="H94" s="65"/>
      <c r="I94" s="65"/>
      <c r="J94" s="64"/>
      <c r="K94" s="65"/>
      <c r="L94" s="65"/>
      <c r="M94" s="64"/>
      <c r="N94" s="65"/>
      <c r="O94" s="65"/>
    </row>
    <row r="95" spans="1:15" x14ac:dyDescent="0.25">
      <c r="A95" s="64"/>
      <c r="B95" s="64"/>
      <c r="C95" s="65"/>
      <c r="D95" s="64"/>
      <c r="E95" s="65"/>
      <c r="F95" s="65"/>
      <c r="G95" s="64"/>
      <c r="H95" s="65"/>
      <c r="I95" s="65"/>
      <c r="J95" s="64"/>
      <c r="K95" s="65"/>
      <c r="L95" s="65"/>
      <c r="M95" s="64"/>
      <c r="N95" s="65"/>
      <c r="O95" s="65"/>
    </row>
    <row r="96" spans="1:15" x14ac:dyDescent="0.25">
      <c r="A96" s="64"/>
      <c r="B96" s="64"/>
      <c r="C96" s="65"/>
      <c r="D96" s="64"/>
      <c r="E96" s="65"/>
      <c r="F96" s="65"/>
      <c r="G96" s="64"/>
      <c r="H96" s="65"/>
      <c r="I96" s="65"/>
      <c r="J96" s="64"/>
      <c r="K96" s="65"/>
      <c r="L96" s="65"/>
      <c r="M96" s="64"/>
      <c r="N96" s="65"/>
      <c r="O96" s="65"/>
    </row>
    <row r="97" spans="1:15" x14ac:dyDescent="0.25">
      <c r="A97" s="64"/>
      <c r="B97" s="64"/>
      <c r="C97" s="65"/>
      <c r="D97" s="64"/>
      <c r="E97" s="65"/>
      <c r="F97" s="65"/>
      <c r="G97" s="64"/>
      <c r="H97" s="65"/>
      <c r="I97" s="65"/>
      <c r="J97" s="64"/>
      <c r="K97" s="65"/>
      <c r="L97" s="65"/>
      <c r="M97" s="64"/>
      <c r="N97" s="65"/>
      <c r="O97" s="65"/>
    </row>
    <row r="98" spans="1:15" x14ac:dyDescent="0.25">
      <c r="A98" s="64"/>
      <c r="B98" s="64"/>
      <c r="C98" s="65"/>
      <c r="D98" s="64"/>
      <c r="E98" s="65"/>
      <c r="F98" s="65"/>
      <c r="G98" s="64"/>
      <c r="H98" s="65"/>
      <c r="I98" s="65"/>
      <c r="J98" s="64"/>
      <c r="K98" s="65"/>
      <c r="L98" s="65"/>
      <c r="M98" s="64"/>
      <c r="N98" s="65"/>
      <c r="O98" s="65"/>
    </row>
    <row r="99" spans="1:15" x14ac:dyDescent="0.25">
      <c r="A99" s="64"/>
      <c r="B99" s="64"/>
      <c r="C99" s="65"/>
      <c r="D99" s="64"/>
      <c r="E99" s="65"/>
      <c r="F99" s="65"/>
      <c r="G99" s="64"/>
      <c r="H99" s="65"/>
      <c r="I99" s="65"/>
      <c r="J99" s="64"/>
      <c r="K99" s="65"/>
      <c r="L99" s="65"/>
      <c r="M99" s="64"/>
      <c r="N99" s="65"/>
      <c r="O99" s="65"/>
    </row>
    <row r="100" spans="1:15" x14ac:dyDescent="0.25">
      <c r="A100" s="64"/>
      <c r="B100" s="64"/>
      <c r="C100" s="65"/>
      <c r="D100" s="64"/>
      <c r="E100" s="65"/>
      <c r="F100" s="65"/>
      <c r="G100" s="64"/>
      <c r="H100" s="65"/>
      <c r="I100" s="65"/>
      <c r="J100" s="64"/>
      <c r="K100" s="65"/>
      <c r="L100" s="65"/>
      <c r="M100" s="64"/>
      <c r="N100" s="65"/>
      <c r="O100" s="65"/>
    </row>
    <row r="101" spans="1:15" x14ac:dyDescent="0.25">
      <c r="A101" s="64"/>
      <c r="B101" s="64"/>
      <c r="C101" s="65"/>
      <c r="D101" s="64"/>
      <c r="E101" s="65"/>
      <c r="F101" s="65"/>
      <c r="G101" s="64"/>
      <c r="H101" s="65"/>
      <c r="I101" s="65"/>
      <c r="J101" s="64"/>
      <c r="K101" s="65"/>
      <c r="L101" s="65"/>
      <c r="M101" s="64"/>
      <c r="N101" s="65"/>
      <c r="O101" s="65"/>
    </row>
    <row r="102" spans="1:15" x14ac:dyDescent="0.25">
      <c r="A102" s="64"/>
      <c r="B102" s="64"/>
      <c r="C102" s="65"/>
      <c r="D102" s="64"/>
      <c r="E102" s="65"/>
      <c r="F102" s="65"/>
      <c r="G102" s="64"/>
      <c r="H102" s="65"/>
      <c r="I102" s="65"/>
      <c r="J102" s="64"/>
      <c r="K102" s="65"/>
      <c r="L102" s="65"/>
      <c r="M102" s="64"/>
      <c r="N102" s="65"/>
      <c r="O102" s="65"/>
    </row>
    <row r="103" spans="1:15" x14ac:dyDescent="0.25">
      <c r="A103" s="64"/>
      <c r="B103" s="64"/>
      <c r="C103" s="65"/>
      <c r="D103" s="64"/>
      <c r="E103" s="65"/>
      <c r="F103" s="65"/>
      <c r="G103" s="64"/>
      <c r="H103" s="65"/>
      <c r="I103" s="65"/>
      <c r="J103" s="64"/>
      <c r="K103" s="65"/>
      <c r="L103" s="65"/>
      <c r="M103" s="64"/>
      <c r="N103" s="65"/>
      <c r="O103" s="65"/>
    </row>
    <row r="104" spans="1:15" x14ac:dyDescent="0.25">
      <c r="A104" s="64"/>
      <c r="B104" s="64"/>
      <c r="C104" s="65"/>
      <c r="D104" s="64"/>
      <c r="E104" s="65"/>
      <c r="F104" s="65"/>
      <c r="G104" s="64"/>
      <c r="H104" s="65"/>
      <c r="I104" s="65"/>
      <c r="J104" s="64"/>
      <c r="K104" s="65"/>
      <c r="L104" s="65"/>
      <c r="M104" s="64"/>
      <c r="N104" s="65"/>
      <c r="O104" s="65"/>
    </row>
    <row r="105" spans="1:15" x14ac:dyDescent="0.25">
      <c r="A105" s="64"/>
      <c r="B105" s="64"/>
      <c r="C105" s="65"/>
      <c r="D105" s="64"/>
      <c r="E105" s="65"/>
      <c r="F105" s="65"/>
      <c r="G105" s="64"/>
      <c r="H105" s="65"/>
      <c r="I105" s="65"/>
      <c r="J105" s="64"/>
      <c r="K105" s="65"/>
      <c r="L105" s="65"/>
      <c r="M105" s="64"/>
      <c r="N105" s="65"/>
      <c r="O105" s="65"/>
    </row>
    <row r="106" spans="1:15" x14ac:dyDescent="0.25">
      <c r="A106" s="64"/>
      <c r="B106" s="64"/>
      <c r="C106" s="65"/>
      <c r="D106" s="64"/>
      <c r="E106" s="65"/>
      <c r="F106" s="65"/>
      <c r="G106" s="64"/>
      <c r="H106" s="65"/>
      <c r="I106" s="65"/>
      <c r="J106" s="64"/>
      <c r="K106" s="65"/>
      <c r="L106" s="65"/>
      <c r="M106" s="64"/>
      <c r="N106" s="65"/>
      <c r="O106" s="65"/>
    </row>
    <row r="107" spans="1:15" x14ac:dyDescent="0.25">
      <c r="A107" s="64"/>
      <c r="B107" s="64"/>
      <c r="C107" s="65"/>
      <c r="D107" s="64"/>
      <c r="E107" s="65"/>
      <c r="F107" s="65"/>
      <c r="G107" s="64"/>
      <c r="H107" s="65"/>
      <c r="I107" s="65"/>
      <c r="J107" s="64"/>
      <c r="K107" s="65"/>
      <c r="L107" s="65"/>
      <c r="M107" s="64"/>
      <c r="N107" s="65"/>
      <c r="O107" s="65"/>
    </row>
    <row r="108" spans="1:15" x14ac:dyDescent="0.25">
      <c r="A108" s="64"/>
      <c r="B108" s="64"/>
      <c r="C108" s="65"/>
      <c r="D108" s="64"/>
      <c r="E108" s="65"/>
      <c r="F108" s="65"/>
      <c r="G108" s="64"/>
      <c r="H108" s="65"/>
      <c r="I108" s="65"/>
      <c r="J108" s="64"/>
      <c r="K108" s="65"/>
      <c r="L108" s="65"/>
      <c r="M108" s="64"/>
      <c r="N108" s="65"/>
      <c r="O108" s="65"/>
    </row>
    <row r="109" spans="1:15" x14ac:dyDescent="0.25">
      <c r="A109" s="64"/>
      <c r="B109" s="64"/>
      <c r="C109" s="65"/>
      <c r="D109" s="64"/>
      <c r="E109" s="65"/>
      <c r="F109" s="65"/>
      <c r="G109" s="64"/>
      <c r="H109" s="65"/>
      <c r="I109" s="65"/>
      <c r="J109" s="64"/>
      <c r="K109" s="65"/>
      <c r="L109" s="65"/>
      <c r="M109" s="64"/>
      <c r="N109" s="65"/>
      <c r="O109" s="65"/>
    </row>
    <row r="110" spans="1:15" x14ac:dyDescent="0.25">
      <c r="A110" s="64"/>
      <c r="B110" s="64"/>
      <c r="C110" s="65"/>
      <c r="D110" s="64"/>
      <c r="E110" s="65"/>
      <c r="F110" s="65"/>
      <c r="G110" s="64"/>
      <c r="H110" s="65"/>
      <c r="I110" s="65"/>
      <c r="J110" s="64"/>
      <c r="K110" s="65"/>
      <c r="L110" s="65"/>
      <c r="M110" s="64"/>
      <c r="N110" s="65"/>
      <c r="O110" s="65"/>
    </row>
    <row r="111" spans="1:15" x14ac:dyDescent="0.25">
      <c r="A111" s="64"/>
      <c r="B111" s="64"/>
      <c r="C111" s="65"/>
      <c r="D111" s="64"/>
      <c r="E111" s="65"/>
      <c r="F111" s="65"/>
      <c r="G111" s="64"/>
      <c r="H111" s="65"/>
      <c r="I111" s="65"/>
      <c r="J111" s="64"/>
      <c r="K111" s="65"/>
      <c r="L111" s="65"/>
      <c r="M111" s="64"/>
      <c r="N111" s="65"/>
      <c r="O111" s="65"/>
    </row>
    <row r="112" spans="1:15" x14ac:dyDescent="0.25">
      <c r="A112" s="64"/>
      <c r="B112" s="64"/>
      <c r="C112" s="65"/>
      <c r="D112" s="64"/>
      <c r="E112" s="65"/>
      <c r="F112" s="65"/>
      <c r="G112" s="64"/>
      <c r="H112" s="65"/>
      <c r="I112" s="65"/>
      <c r="J112" s="64"/>
      <c r="K112" s="65"/>
      <c r="L112" s="65"/>
      <c r="M112" s="64"/>
      <c r="N112" s="65"/>
      <c r="O112" s="65"/>
    </row>
    <row r="113" spans="1:15" x14ac:dyDescent="0.25">
      <c r="A113" s="64"/>
      <c r="B113" s="64"/>
      <c r="C113" s="65"/>
      <c r="D113" s="64"/>
      <c r="E113" s="65"/>
      <c r="F113" s="65"/>
      <c r="G113" s="64"/>
      <c r="H113" s="65"/>
      <c r="I113" s="65"/>
      <c r="J113" s="64"/>
      <c r="K113" s="65"/>
      <c r="L113" s="65"/>
      <c r="M113" s="64"/>
      <c r="N113" s="65"/>
      <c r="O113" s="65"/>
    </row>
    <row r="114" spans="1:15" x14ac:dyDescent="0.25">
      <c r="A114" s="64"/>
      <c r="B114" s="64"/>
      <c r="C114" s="65"/>
      <c r="D114" s="64"/>
      <c r="E114" s="65"/>
      <c r="F114" s="65"/>
      <c r="G114" s="64"/>
      <c r="H114" s="65"/>
      <c r="I114" s="65"/>
      <c r="J114" s="64"/>
      <c r="K114" s="65"/>
      <c r="L114" s="65"/>
      <c r="M114" s="64"/>
      <c r="N114" s="65"/>
      <c r="O114" s="65"/>
    </row>
    <row r="115" spans="1:15" x14ac:dyDescent="0.25">
      <c r="A115" s="64"/>
      <c r="B115" s="64"/>
      <c r="C115" s="65"/>
      <c r="D115" s="64"/>
      <c r="E115" s="65"/>
      <c r="F115" s="65"/>
      <c r="G115" s="64"/>
      <c r="H115" s="65"/>
      <c r="I115" s="65"/>
      <c r="J115" s="64"/>
      <c r="K115" s="65"/>
      <c r="L115" s="65"/>
      <c r="M115" s="64"/>
      <c r="N115" s="65"/>
      <c r="O115" s="65"/>
    </row>
    <row r="116" spans="1:15" x14ac:dyDescent="0.25">
      <c r="A116" s="64"/>
      <c r="B116" s="64"/>
      <c r="C116" s="65"/>
      <c r="D116" s="64"/>
      <c r="E116" s="65"/>
      <c r="F116" s="65"/>
      <c r="G116" s="64"/>
      <c r="H116" s="65"/>
      <c r="I116" s="65"/>
      <c r="J116" s="64"/>
      <c r="K116" s="65"/>
      <c r="L116" s="65"/>
      <c r="M116" s="64"/>
      <c r="N116" s="65"/>
      <c r="O116" s="65"/>
    </row>
    <row r="117" spans="1:15" x14ac:dyDescent="0.25">
      <c r="A117" s="64"/>
      <c r="B117" s="64"/>
      <c r="C117" s="65"/>
      <c r="D117" s="64"/>
      <c r="E117" s="65"/>
      <c r="F117" s="65"/>
      <c r="G117" s="64"/>
      <c r="H117" s="65"/>
      <c r="I117" s="65"/>
      <c r="J117" s="64"/>
      <c r="K117" s="65"/>
      <c r="L117" s="65"/>
      <c r="M117" s="64"/>
      <c r="N117" s="65"/>
      <c r="O117" s="65"/>
    </row>
    <row r="118" spans="1:15" x14ac:dyDescent="0.25">
      <c r="A118" s="64"/>
      <c r="B118" s="64"/>
      <c r="C118" s="65"/>
      <c r="D118" s="64"/>
      <c r="E118" s="65"/>
      <c r="F118" s="65"/>
      <c r="G118" s="64"/>
      <c r="H118" s="65"/>
      <c r="I118" s="65"/>
      <c r="J118" s="64"/>
      <c r="K118" s="65"/>
      <c r="L118" s="65"/>
      <c r="M118" s="64"/>
      <c r="N118" s="65"/>
      <c r="O118" s="65"/>
    </row>
    <row r="119" spans="1:15" x14ac:dyDescent="0.25">
      <c r="A119" s="64"/>
      <c r="B119" s="64"/>
      <c r="C119" s="65"/>
      <c r="D119" s="64"/>
      <c r="E119" s="65"/>
      <c r="F119" s="65"/>
      <c r="G119" s="64"/>
      <c r="H119" s="65"/>
      <c r="I119" s="65"/>
      <c r="J119" s="64"/>
      <c r="K119" s="65"/>
      <c r="L119" s="65"/>
      <c r="M119" s="64"/>
      <c r="N119" s="65"/>
      <c r="O119" s="65"/>
    </row>
    <row r="120" spans="1:15" x14ac:dyDescent="0.25">
      <c r="A120" s="64"/>
      <c r="B120" s="64"/>
      <c r="C120" s="65"/>
      <c r="D120" s="64"/>
      <c r="E120" s="65"/>
      <c r="F120" s="65"/>
      <c r="G120" s="64"/>
      <c r="H120" s="65"/>
      <c r="I120" s="65"/>
      <c r="J120" s="64"/>
      <c r="K120" s="65"/>
      <c r="L120" s="65"/>
      <c r="M120" s="64"/>
      <c r="N120" s="65"/>
      <c r="O120" s="6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topLeftCell="C1" zoomScaleNormal="100" workbookViewId="0">
      <pane ySplit="4" topLeftCell="A5" activePane="bottomLeft" state="frozen"/>
      <selection pane="bottomLeft" activeCell="O9" sqref="O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x14ac:dyDescent="0.25">
      <c r="A2" s="124" t="s">
        <v>0</v>
      </c>
      <c r="B2" s="124"/>
      <c r="C2" s="124"/>
      <c r="D2" s="125" t="s">
        <v>4</v>
      </c>
      <c r="E2" s="125"/>
      <c r="F2" s="125"/>
      <c r="G2" s="126" t="s">
        <v>5</v>
      </c>
      <c r="H2" s="126"/>
      <c r="I2" s="126"/>
      <c r="J2" s="131" t="s">
        <v>6</v>
      </c>
      <c r="K2" s="131"/>
      <c r="L2" s="131"/>
      <c r="M2" s="119" t="s">
        <v>12</v>
      </c>
      <c r="N2" s="119"/>
      <c r="O2" s="119"/>
      <c r="Q2" s="128" t="s">
        <v>13</v>
      </c>
      <c r="R2" s="128"/>
    </row>
    <row r="3" spans="1:18" x14ac:dyDescent="0.25">
      <c r="A3" s="8">
        <f>SUBTOTAL(3,A5:A118)</f>
        <v>50</v>
      </c>
      <c r="B3" s="8">
        <f>SUBTOTAL(9,B5:B118)</f>
        <v>24675</v>
      </c>
      <c r="C3" s="35">
        <v>42890</v>
      </c>
      <c r="D3" s="8">
        <f>SUBTOTAL(3,D5:D117)</f>
        <v>34</v>
      </c>
      <c r="E3" s="1">
        <f>SUBTOTAL(9,E5:E155)</f>
        <v>16150</v>
      </c>
      <c r="F3" s="38">
        <v>42897</v>
      </c>
      <c r="G3" s="8">
        <f>SUBTOTAL(3,G5:G117)</f>
        <v>28</v>
      </c>
      <c r="H3" s="1">
        <f>SUBTOTAL(9,H5:H158)</f>
        <v>16850</v>
      </c>
      <c r="I3" s="39">
        <v>42904</v>
      </c>
      <c r="J3" s="8">
        <f>SUBTOTAL(3,J5:J107)</f>
        <v>26</v>
      </c>
      <c r="K3" s="1">
        <f>SUBTOTAL(9,K5:K107)</f>
        <v>15650</v>
      </c>
      <c r="L3" s="63">
        <v>42911</v>
      </c>
      <c r="M3" s="1">
        <f>SUBTOTAL(3,M5:M117)</f>
        <v>3</v>
      </c>
      <c r="N3" s="1">
        <f>SUBTOTAL(9,N5:N117)</f>
        <v>1500</v>
      </c>
      <c r="O3" s="85"/>
      <c r="Q3" s="30">
        <f>+A3+D3+G3+J3+M3</f>
        <v>141</v>
      </c>
      <c r="R3" s="29">
        <f>+B3+E3+H3+K3+N3</f>
        <v>74825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14515</v>
      </c>
      <c r="B5" s="49">
        <v>400</v>
      </c>
      <c r="C5" s="17" t="s">
        <v>310</v>
      </c>
      <c r="D5" s="13">
        <v>14565</v>
      </c>
      <c r="E5" s="70"/>
      <c r="F5" s="14" t="s">
        <v>142</v>
      </c>
      <c r="G5" s="11">
        <v>14599</v>
      </c>
      <c r="H5" s="67">
        <v>600</v>
      </c>
      <c r="I5" s="12" t="s">
        <v>297</v>
      </c>
      <c r="J5" s="61">
        <v>14627</v>
      </c>
      <c r="K5" s="71">
        <v>400</v>
      </c>
      <c r="L5" s="62" t="s">
        <v>394</v>
      </c>
      <c r="M5" s="15">
        <v>14653</v>
      </c>
      <c r="N5" s="73">
        <v>200</v>
      </c>
      <c r="O5" s="15"/>
      <c r="Q5" s="32"/>
      <c r="R5" s="32"/>
    </row>
    <row r="6" spans="1:18" x14ac:dyDescent="0.25">
      <c r="A6" s="16">
        <v>14516</v>
      </c>
      <c r="B6" s="49"/>
      <c r="C6" s="17" t="s">
        <v>378</v>
      </c>
      <c r="D6" s="13"/>
      <c r="E6" s="70"/>
      <c r="F6" s="14" t="s">
        <v>380</v>
      </c>
      <c r="G6" s="11"/>
      <c r="H6" s="67"/>
      <c r="I6" s="12" t="s">
        <v>17</v>
      </c>
      <c r="J6" s="61">
        <v>14628</v>
      </c>
      <c r="K6" s="71">
        <v>400</v>
      </c>
      <c r="L6" s="62" t="s">
        <v>281</v>
      </c>
      <c r="M6" s="15">
        <v>14654</v>
      </c>
      <c r="N6" s="73">
        <v>500</v>
      </c>
      <c r="O6" s="15" t="s">
        <v>400</v>
      </c>
    </row>
    <row r="7" spans="1:18" x14ac:dyDescent="0.25">
      <c r="A7" s="16"/>
      <c r="B7" s="49"/>
      <c r="C7" s="114">
        <v>42856</v>
      </c>
      <c r="D7" s="13">
        <v>14566</v>
      </c>
      <c r="E7" s="70"/>
      <c r="F7" s="14" t="s">
        <v>142</v>
      </c>
      <c r="G7" s="11">
        <v>14600</v>
      </c>
      <c r="H7" s="67">
        <v>100</v>
      </c>
      <c r="I7" s="12"/>
      <c r="J7" s="61"/>
      <c r="K7" s="71"/>
      <c r="L7" s="62" t="s">
        <v>18</v>
      </c>
      <c r="M7" s="15">
        <v>14655</v>
      </c>
      <c r="N7" s="73">
        <v>800</v>
      </c>
      <c r="O7" s="15" t="s">
        <v>297</v>
      </c>
    </row>
    <row r="8" spans="1:18" x14ac:dyDescent="0.25">
      <c r="A8" s="16">
        <v>14517</v>
      </c>
      <c r="B8" s="49">
        <v>800</v>
      </c>
      <c r="C8" s="17" t="s">
        <v>281</v>
      </c>
      <c r="D8" s="13"/>
      <c r="E8" s="70"/>
      <c r="F8" s="14" t="s">
        <v>380</v>
      </c>
      <c r="G8" s="11" t="s">
        <v>385</v>
      </c>
      <c r="H8" s="67">
        <v>300</v>
      </c>
      <c r="I8" s="12" t="s">
        <v>310</v>
      </c>
      <c r="J8" s="61">
        <v>14629</v>
      </c>
      <c r="K8" s="71">
        <v>400</v>
      </c>
      <c r="L8" s="62"/>
      <c r="M8" s="15"/>
      <c r="N8" s="73"/>
      <c r="O8" s="15" t="s">
        <v>16</v>
      </c>
    </row>
    <row r="9" spans="1:18" x14ac:dyDescent="0.25">
      <c r="A9" s="16"/>
      <c r="B9" s="49"/>
      <c r="C9" s="17" t="s">
        <v>16</v>
      </c>
      <c r="D9" s="13">
        <v>14567</v>
      </c>
      <c r="E9" s="70">
        <v>50</v>
      </c>
      <c r="F9" s="14" t="s">
        <v>47</v>
      </c>
      <c r="G9" s="11">
        <v>14602</v>
      </c>
      <c r="H9" s="67">
        <v>1500</v>
      </c>
      <c r="I9" s="12" t="s">
        <v>277</v>
      </c>
      <c r="J9" s="61">
        <v>14630</v>
      </c>
      <c r="K9" s="71">
        <v>600</v>
      </c>
      <c r="L9" s="62" t="s">
        <v>395</v>
      </c>
      <c r="M9" s="15"/>
      <c r="N9" s="73"/>
      <c r="O9" s="15"/>
    </row>
    <row r="10" spans="1:18" x14ac:dyDescent="0.25">
      <c r="A10" s="16">
        <v>14518</v>
      </c>
      <c r="B10" s="49">
        <v>900</v>
      </c>
      <c r="C10" s="17" t="s">
        <v>282</v>
      </c>
      <c r="D10" s="13">
        <v>14568</v>
      </c>
      <c r="E10" s="70">
        <v>50</v>
      </c>
      <c r="F10" s="14" t="s">
        <v>47</v>
      </c>
      <c r="G10" s="11"/>
      <c r="H10" s="67"/>
      <c r="I10" s="12" t="s">
        <v>17</v>
      </c>
      <c r="J10" s="61">
        <v>14631</v>
      </c>
      <c r="K10" s="71">
        <v>400</v>
      </c>
      <c r="L10" s="62" t="s">
        <v>320</v>
      </c>
      <c r="M10" s="15"/>
      <c r="N10" s="73"/>
      <c r="O10" s="15"/>
    </row>
    <row r="11" spans="1:18" x14ac:dyDescent="0.25">
      <c r="A11" s="16"/>
      <c r="B11" s="49"/>
      <c r="C11" s="17" t="s">
        <v>17</v>
      </c>
      <c r="D11" s="13">
        <v>14569</v>
      </c>
      <c r="E11" s="70">
        <v>400</v>
      </c>
      <c r="F11" s="14"/>
      <c r="G11" s="11">
        <v>14603</v>
      </c>
      <c r="H11" s="67">
        <v>400</v>
      </c>
      <c r="I11" s="12" t="s">
        <v>281</v>
      </c>
      <c r="J11" s="61"/>
      <c r="K11" s="71"/>
      <c r="L11" s="62" t="s">
        <v>18</v>
      </c>
      <c r="M11" s="15"/>
      <c r="N11" s="73"/>
      <c r="O11" s="31"/>
    </row>
    <row r="12" spans="1:18" x14ac:dyDescent="0.25">
      <c r="A12" s="16">
        <v>14519</v>
      </c>
      <c r="B12" s="49">
        <v>800</v>
      </c>
      <c r="C12" s="17" t="s">
        <v>320</v>
      </c>
      <c r="D12" s="13">
        <v>14570</v>
      </c>
      <c r="E12" s="70">
        <v>600</v>
      </c>
      <c r="F12" s="14" t="s">
        <v>310</v>
      </c>
      <c r="G12" s="11"/>
      <c r="H12" s="67"/>
      <c r="I12" s="12" t="s">
        <v>18</v>
      </c>
      <c r="J12" s="61">
        <v>14632</v>
      </c>
      <c r="K12" s="71">
        <v>300</v>
      </c>
      <c r="L12" s="62"/>
      <c r="M12" s="15"/>
      <c r="N12" s="73"/>
      <c r="O12" s="15"/>
    </row>
    <row r="13" spans="1:18" x14ac:dyDescent="0.25">
      <c r="A13" s="16"/>
      <c r="B13" s="49"/>
      <c r="C13" s="17" t="s">
        <v>16</v>
      </c>
      <c r="D13" s="13">
        <v>14571</v>
      </c>
      <c r="E13" s="70">
        <v>400</v>
      </c>
      <c r="F13" s="14" t="s">
        <v>136</v>
      </c>
      <c r="G13" s="11">
        <v>14604</v>
      </c>
      <c r="H13" s="67">
        <v>450</v>
      </c>
      <c r="I13" s="12" t="s">
        <v>386</v>
      </c>
      <c r="J13" s="61">
        <v>14633</v>
      </c>
      <c r="K13" s="71">
        <v>800</v>
      </c>
      <c r="L13" s="62" t="s">
        <v>297</v>
      </c>
      <c r="M13" s="15"/>
      <c r="N13" s="73"/>
      <c r="O13" s="15"/>
    </row>
    <row r="14" spans="1:18" x14ac:dyDescent="0.25">
      <c r="A14" s="16">
        <v>14520</v>
      </c>
      <c r="B14" s="49">
        <v>200</v>
      </c>
      <c r="C14" s="17" t="s">
        <v>19</v>
      </c>
      <c r="D14" s="13">
        <v>14572</v>
      </c>
      <c r="E14" s="70">
        <v>1200</v>
      </c>
      <c r="F14" s="14" t="s">
        <v>62</v>
      </c>
      <c r="G14" s="11">
        <v>14605</v>
      </c>
      <c r="H14" s="67">
        <v>800</v>
      </c>
      <c r="I14" s="12" t="s">
        <v>320</v>
      </c>
      <c r="J14" s="61"/>
      <c r="K14" s="71"/>
      <c r="L14" s="62" t="s">
        <v>16</v>
      </c>
      <c r="M14" s="15"/>
      <c r="N14" s="73"/>
      <c r="O14" s="15"/>
    </row>
    <row r="15" spans="1:18" x14ac:dyDescent="0.25">
      <c r="A15" s="16">
        <v>14521</v>
      </c>
      <c r="B15" s="49">
        <v>1200</v>
      </c>
      <c r="C15" s="17" t="s">
        <v>282</v>
      </c>
      <c r="D15" s="13"/>
      <c r="E15" s="70"/>
      <c r="F15" s="33" t="s">
        <v>358</v>
      </c>
      <c r="G15" s="11"/>
      <c r="H15" s="67"/>
      <c r="I15" s="12" t="s">
        <v>16</v>
      </c>
      <c r="J15" s="61">
        <v>14634</v>
      </c>
      <c r="K15" s="71">
        <v>200</v>
      </c>
      <c r="L15" s="62" t="s">
        <v>396</v>
      </c>
      <c r="M15" s="15"/>
      <c r="N15" s="73"/>
      <c r="O15" s="15"/>
    </row>
    <row r="16" spans="1:18" x14ac:dyDescent="0.25">
      <c r="A16" s="16"/>
      <c r="B16" s="49"/>
      <c r="C16" s="17" t="s">
        <v>16</v>
      </c>
      <c r="D16" s="13">
        <v>14573</v>
      </c>
      <c r="E16" s="70">
        <v>400</v>
      </c>
      <c r="F16" s="14"/>
      <c r="G16" s="11">
        <v>14606</v>
      </c>
      <c r="H16" s="67">
        <v>1200</v>
      </c>
      <c r="I16" s="12" t="s">
        <v>387</v>
      </c>
      <c r="J16" s="61">
        <v>14635</v>
      </c>
      <c r="K16" s="71">
        <v>600</v>
      </c>
      <c r="L16" s="62" t="s">
        <v>320</v>
      </c>
      <c r="M16" s="15"/>
      <c r="N16" s="73"/>
      <c r="O16" s="15"/>
    </row>
    <row r="17" spans="1:15" x14ac:dyDescent="0.25">
      <c r="A17" s="16">
        <v>14522</v>
      </c>
      <c r="B17" s="49">
        <v>800</v>
      </c>
      <c r="C17" s="17" t="s">
        <v>320</v>
      </c>
      <c r="D17" s="13">
        <v>14574</v>
      </c>
      <c r="E17" s="70">
        <v>200</v>
      </c>
      <c r="F17" s="14"/>
      <c r="G17" s="11"/>
      <c r="H17" s="67"/>
      <c r="I17" s="12" t="s">
        <v>16</v>
      </c>
      <c r="J17" s="61"/>
      <c r="K17" s="71"/>
      <c r="L17" s="62" t="s">
        <v>17</v>
      </c>
      <c r="M17" s="15"/>
      <c r="N17" s="73"/>
      <c r="O17" s="15"/>
    </row>
    <row r="18" spans="1:15" x14ac:dyDescent="0.25">
      <c r="A18" s="16"/>
      <c r="B18" s="49"/>
      <c r="C18" s="17" t="s">
        <v>16</v>
      </c>
      <c r="D18" s="13">
        <v>14575</v>
      </c>
      <c r="E18" s="70">
        <v>350</v>
      </c>
      <c r="F18" s="14"/>
      <c r="G18" s="11">
        <v>14607</v>
      </c>
      <c r="H18" s="67">
        <v>400</v>
      </c>
      <c r="I18" s="12"/>
      <c r="J18" s="61">
        <v>14636</v>
      </c>
      <c r="K18" s="71">
        <v>400</v>
      </c>
      <c r="L18" s="62" t="s">
        <v>310</v>
      </c>
      <c r="M18" s="15"/>
      <c r="N18" s="73"/>
      <c r="O18" s="15"/>
    </row>
    <row r="19" spans="1:15" x14ac:dyDescent="0.25">
      <c r="A19" s="16">
        <v>14523</v>
      </c>
      <c r="B19" s="49">
        <v>400</v>
      </c>
      <c r="C19" s="17"/>
      <c r="D19" s="13">
        <v>14576</v>
      </c>
      <c r="E19" s="70">
        <v>400</v>
      </c>
      <c r="F19" s="14" t="s">
        <v>381</v>
      </c>
      <c r="G19" s="11">
        <v>14608</v>
      </c>
      <c r="H19" s="67">
        <v>1500</v>
      </c>
      <c r="I19" s="12" t="s">
        <v>388</v>
      </c>
      <c r="J19" s="61">
        <v>14637</v>
      </c>
      <c r="K19" s="71">
        <v>400</v>
      </c>
      <c r="L19" s="62"/>
      <c r="M19" s="15"/>
      <c r="N19" s="73"/>
      <c r="O19" s="15"/>
    </row>
    <row r="20" spans="1:15" x14ac:dyDescent="0.25">
      <c r="A20" s="16">
        <v>14524</v>
      </c>
      <c r="B20" s="49">
        <v>400</v>
      </c>
      <c r="C20" s="17"/>
      <c r="D20" s="13"/>
      <c r="E20" s="70"/>
      <c r="F20" s="14" t="s">
        <v>382</v>
      </c>
      <c r="G20" s="11"/>
      <c r="H20" s="67"/>
      <c r="I20" s="12" t="s">
        <v>389</v>
      </c>
      <c r="J20" s="61">
        <v>14638</v>
      </c>
      <c r="K20" s="71">
        <v>400</v>
      </c>
      <c r="L20" s="62"/>
      <c r="M20" s="15"/>
      <c r="N20" s="73"/>
      <c r="O20" s="15"/>
    </row>
    <row r="21" spans="1:15" x14ac:dyDescent="0.25">
      <c r="A21" s="16">
        <v>14525</v>
      </c>
      <c r="B21" s="49">
        <v>400</v>
      </c>
      <c r="C21" s="17"/>
      <c r="D21" s="13">
        <v>14577</v>
      </c>
      <c r="E21" s="70">
        <v>200</v>
      </c>
      <c r="F21" s="14" t="s">
        <v>310</v>
      </c>
      <c r="G21" s="11">
        <v>14609</v>
      </c>
      <c r="H21" s="67">
        <v>400</v>
      </c>
      <c r="I21" s="12" t="s">
        <v>320</v>
      </c>
      <c r="J21" s="61">
        <v>14639</v>
      </c>
      <c r="K21" s="71">
        <v>800</v>
      </c>
      <c r="L21" s="62" t="s">
        <v>281</v>
      </c>
      <c r="M21" s="15"/>
      <c r="N21" s="73"/>
      <c r="O21" s="15"/>
    </row>
    <row r="22" spans="1:15" x14ac:dyDescent="0.25">
      <c r="A22" s="16">
        <v>14526</v>
      </c>
      <c r="B22" s="49">
        <v>300</v>
      </c>
      <c r="C22" s="17" t="s">
        <v>310</v>
      </c>
      <c r="D22" s="13">
        <v>14578</v>
      </c>
      <c r="E22" s="70">
        <v>400</v>
      </c>
      <c r="F22" s="14"/>
      <c r="G22" s="11"/>
      <c r="H22" s="67"/>
      <c r="I22" s="12" t="s">
        <v>18</v>
      </c>
      <c r="J22" s="61"/>
      <c r="K22" s="71"/>
      <c r="L22" s="62" t="s">
        <v>16</v>
      </c>
      <c r="M22" s="15"/>
      <c r="N22" s="73"/>
      <c r="O22" s="15"/>
    </row>
    <row r="23" spans="1:15" x14ac:dyDescent="0.25">
      <c r="A23" s="16">
        <v>14527</v>
      </c>
      <c r="B23" s="49">
        <v>400</v>
      </c>
      <c r="C23" s="17"/>
      <c r="D23" s="13">
        <v>14579</v>
      </c>
      <c r="E23" s="70">
        <v>400</v>
      </c>
      <c r="F23" s="14" t="s">
        <v>357</v>
      </c>
      <c r="G23" s="11">
        <v>14610</v>
      </c>
      <c r="H23" s="67">
        <v>400</v>
      </c>
      <c r="I23" s="12" t="s">
        <v>297</v>
      </c>
      <c r="J23" s="61">
        <v>14640</v>
      </c>
      <c r="K23" s="71">
        <v>200</v>
      </c>
      <c r="L23" s="62"/>
      <c r="M23" s="15"/>
      <c r="N23" s="73"/>
      <c r="O23" s="15"/>
    </row>
    <row r="24" spans="1:15" x14ac:dyDescent="0.25">
      <c r="A24" s="16">
        <v>14528</v>
      </c>
      <c r="B24" s="49">
        <v>1600</v>
      </c>
      <c r="C24" s="17" t="s">
        <v>375</v>
      </c>
      <c r="D24" s="13"/>
      <c r="E24" s="70"/>
      <c r="F24" s="14" t="s">
        <v>18</v>
      </c>
      <c r="G24" s="11"/>
      <c r="H24" s="67"/>
      <c r="I24" s="12" t="s">
        <v>18</v>
      </c>
      <c r="J24" s="61">
        <v>14641</v>
      </c>
      <c r="K24" s="71">
        <v>250</v>
      </c>
      <c r="L24" s="62" t="s">
        <v>397</v>
      </c>
      <c r="M24" s="15"/>
      <c r="N24" s="73"/>
      <c r="O24" s="31"/>
    </row>
    <row r="25" spans="1:15" x14ac:dyDescent="0.25">
      <c r="A25" s="16"/>
      <c r="B25" s="49"/>
      <c r="C25" s="17" t="s">
        <v>16</v>
      </c>
      <c r="D25" s="13">
        <v>14580</v>
      </c>
      <c r="E25" s="70">
        <v>400</v>
      </c>
      <c r="F25" s="14" t="s">
        <v>310</v>
      </c>
      <c r="G25" s="11">
        <v>14611</v>
      </c>
      <c r="H25" s="67">
        <v>400</v>
      </c>
      <c r="I25" s="12"/>
      <c r="J25" s="61">
        <v>14642</v>
      </c>
      <c r="K25" s="71">
        <v>400</v>
      </c>
      <c r="L25" s="62"/>
      <c r="M25" s="15"/>
      <c r="N25" s="73"/>
      <c r="O25" s="15"/>
    </row>
    <row r="26" spans="1:15" x14ac:dyDescent="0.25">
      <c r="A26" s="16">
        <v>14529</v>
      </c>
      <c r="B26" s="49">
        <v>400</v>
      </c>
      <c r="C26" s="17"/>
      <c r="D26" s="13">
        <v>14581</v>
      </c>
      <c r="E26" s="70">
        <v>200</v>
      </c>
      <c r="F26" s="14" t="s">
        <v>310</v>
      </c>
      <c r="G26" s="11">
        <v>14612</v>
      </c>
      <c r="H26" s="67">
        <v>400</v>
      </c>
      <c r="I26" s="12"/>
      <c r="J26" s="61">
        <v>14643</v>
      </c>
      <c r="K26" s="71">
        <v>2400</v>
      </c>
      <c r="L26" s="62" t="s">
        <v>328</v>
      </c>
      <c r="M26" s="15"/>
      <c r="N26" s="73"/>
      <c r="O26" s="15"/>
    </row>
    <row r="27" spans="1:15" x14ac:dyDescent="0.25">
      <c r="A27" s="16">
        <v>14530</v>
      </c>
      <c r="B27" s="49">
        <v>125</v>
      </c>
      <c r="C27" s="17"/>
      <c r="D27" s="13">
        <v>14582</v>
      </c>
      <c r="E27" s="70">
        <v>800</v>
      </c>
      <c r="F27" s="14" t="s">
        <v>297</v>
      </c>
      <c r="G27" s="11">
        <v>14613</v>
      </c>
      <c r="H27" s="67">
        <v>400</v>
      </c>
      <c r="I27" s="100"/>
      <c r="J27" s="61"/>
      <c r="K27" s="71"/>
      <c r="L27" s="62" t="s">
        <v>398</v>
      </c>
      <c r="M27" s="15"/>
      <c r="N27" s="73"/>
      <c r="O27" s="15"/>
    </row>
    <row r="28" spans="1:15" x14ac:dyDescent="0.25">
      <c r="A28" s="16">
        <v>14531</v>
      </c>
      <c r="B28" s="49">
        <v>400</v>
      </c>
      <c r="C28" s="17"/>
      <c r="D28" s="13"/>
      <c r="E28" s="70"/>
      <c r="F28" s="14" t="s">
        <v>16</v>
      </c>
      <c r="G28" s="11">
        <v>14614</v>
      </c>
      <c r="H28" s="67">
        <v>400</v>
      </c>
      <c r="I28" s="12"/>
      <c r="J28" s="61">
        <v>14644</v>
      </c>
      <c r="K28" s="71">
        <v>300</v>
      </c>
      <c r="L28" s="62"/>
      <c r="M28" s="15"/>
      <c r="N28" s="73"/>
      <c r="O28" s="15"/>
    </row>
    <row r="29" spans="1:15" x14ac:dyDescent="0.25">
      <c r="A29" s="16">
        <v>14532</v>
      </c>
      <c r="B29" s="49">
        <v>400</v>
      </c>
      <c r="C29" s="17" t="s">
        <v>310</v>
      </c>
      <c r="D29" s="13">
        <v>14583</v>
      </c>
      <c r="E29" s="70">
        <v>800</v>
      </c>
      <c r="F29" s="14" t="s">
        <v>383</v>
      </c>
      <c r="G29" s="11">
        <v>14615</v>
      </c>
      <c r="H29" s="67">
        <v>200</v>
      </c>
      <c r="I29" s="12"/>
      <c r="J29" s="61">
        <v>14645</v>
      </c>
      <c r="K29" s="71">
        <v>300</v>
      </c>
      <c r="L29" s="62"/>
      <c r="M29" s="15"/>
      <c r="N29" s="73"/>
      <c r="O29" s="15"/>
    </row>
    <row r="30" spans="1:15" x14ac:dyDescent="0.25">
      <c r="A30" s="16">
        <v>14533</v>
      </c>
      <c r="B30" s="49">
        <v>400</v>
      </c>
      <c r="C30" s="17"/>
      <c r="D30" s="13"/>
      <c r="E30" s="70"/>
      <c r="F30" s="14" t="s">
        <v>16</v>
      </c>
      <c r="G30" s="11">
        <v>14616</v>
      </c>
      <c r="H30" s="67">
        <v>600</v>
      </c>
      <c r="I30" s="12" t="s">
        <v>320</v>
      </c>
      <c r="J30" s="61">
        <v>14646</v>
      </c>
      <c r="K30" s="71">
        <v>400</v>
      </c>
      <c r="L30" s="62" t="s">
        <v>310</v>
      </c>
      <c r="M30" s="15"/>
      <c r="N30" s="73"/>
      <c r="O30" s="15"/>
    </row>
    <row r="31" spans="1:15" x14ac:dyDescent="0.25">
      <c r="A31" s="16">
        <v>14534</v>
      </c>
      <c r="B31" s="49">
        <v>100</v>
      </c>
      <c r="C31" s="17" t="s">
        <v>19</v>
      </c>
      <c r="D31" s="13">
        <v>14584</v>
      </c>
      <c r="E31" s="70">
        <v>400</v>
      </c>
      <c r="F31" s="14"/>
      <c r="G31" s="11"/>
      <c r="H31" s="67"/>
      <c r="I31" s="12" t="s">
        <v>17</v>
      </c>
      <c r="J31" s="61">
        <v>14647</v>
      </c>
      <c r="K31" s="71">
        <v>400</v>
      </c>
      <c r="L31" s="62" t="s">
        <v>399</v>
      </c>
      <c r="M31" s="15"/>
      <c r="N31" s="73"/>
      <c r="O31" s="31"/>
    </row>
    <row r="32" spans="1:15" x14ac:dyDescent="0.25">
      <c r="A32" s="16">
        <v>14535</v>
      </c>
      <c r="B32" s="49">
        <v>800</v>
      </c>
      <c r="C32" s="17" t="s">
        <v>281</v>
      </c>
      <c r="D32" s="13">
        <v>14585</v>
      </c>
      <c r="E32" s="70">
        <v>800</v>
      </c>
      <c r="F32" s="14" t="s">
        <v>281</v>
      </c>
      <c r="G32" s="11">
        <v>14617</v>
      </c>
      <c r="H32" s="67">
        <v>650</v>
      </c>
      <c r="I32" s="12" t="s">
        <v>282</v>
      </c>
      <c r="J32" s="61">
        <v>14648</v>
      </c>
      <c r="K32" s="71">
        <v>600</v>
      </c>
      <c r="L32" s="62" t="s">
        <v>282</v>
      </c>
      <c r="M32" s="15"/>
      <c r="N32" s="73"/>
      <c r="O32" s="15"/>
    </row>
    <row r="33" spans="1:15" x14ac:dyDescent="0.25">
      <c r="A33" s="16"/>
      <c r="B33" s="49"/>
      <c r="C33" s="17" t="s">
        <v>16</v>
      </c>
      <c r="D33" s="13"/>
      <c r="E33" s="70"/>
      <c r="F33" s="14" t="s">
        <v>16</v>
      </c>
      <c r="G33" s="11"/>
      <c r="H33" s="67"/>
      <c r="I33" s="12" t="s">
        <v>390</v>
      </c>
      <c r="J33" s="61"/>
      <c r="K33" s="71"/>
      <c r="L33" s="62" t="s">
        <v>18</v>
      </c>
      <c r="M33" s="15"/>
      <c r="N33" s="73"/>
      <c r="O33" s="15"/>
    </row>
    <row r="34" spans="1:15" x14ac:dyDescent="0.25">
      <c r="A34" s="16">
        <v>14536</v>
      </c>
      <c r="B34" s="49">
        <v>400</v>
      </c>
      <c r="C34" s="17"/>
      <c r="D34" s="13">
        <v>14586</v>
      </c>
      <c r="E34" s="70">
        <v>300</v>
      </c>
      <c r="F34" s="14"/>
      <c r="G34" s="11">
        <v>14618</v>
      </c>
      <c r="H34" s="67">
        <v>450</v>
      </c>
      <c r="I34" s="12" t="s">
        <v>386</v>
      </c>
      <c r="J34" s="61">
        <v>14649</v>
      </c>
      <c r="K34" s="71">
        <v>1200</v>
      </c>
      <c r="L34" s="62" t="s">
        <v>384</v>
      </c>
      <c r="M34" s="15"/>
      <c r="N34" s="73"/>
      <c r="O34" s="15"/>
    </row>
    <row r="35" spans="1:15" x14ac:dyDescent="0.25">
      <c r="A35" s="16">
        <v>14537</v>
      </c>
      <c r="B35" s="49">
        <v>500</v>
      </c>
      <c r="C35" s="17" t="s">
        <v>297</v>
      </c>
      <c r="D35" s="13">
        <v>14587</v>
      </c>
      <c r="E35" s="70">
        <v>400</v>
      </c>
      <c r="F35" s="14"/>
      <c r="G35" s="11">
        <v>14619</v>
      </c>
      <c r="H35" s="67">
        <v>500</v>
      </c>
      <c r="I35" s="12" t="s">
        <v>281</v>
      </c>
      <c r="J35" s="61"/>
      <c r="K35" s="71"/>
      <c r="L35" s="62" t="s">
        <v>16</v>
      </c>
      <c r="M35" s="15"/>
      <c r="N35" s="73"/>
      <c r="O35" s="15"/>
    </row>
    <row r="36" spans="1:15" x14ac:dyDescent="0.25">
      <c r="A36" s="16"/>
      <c r="B36" s="49"/>
      <c r="C36" s="17" t="s">
        <v>20</v>
      </c>
      <c r="D36" s="13">
        <v>14588</v>
      </c>
      <c r="E36" s="70">
        <v>400</v>
      </c>
      <c r="F36" s="14"/>
      <c r="G36" s="11"/>
      <c r="H36" s="67"/>
      <c r="I36" s="12" t="s">
        <v>20</v>
      </c>
      <c r="J36" s="61">
        <v>14650</v>
      </c>
      <c r="K36" s="71">
        <v>2400</v>
      </c>
      <c r="L36" s="62" t="s">
        <v>328</v>
      </c>
      <c r="M36" s="15"/>
      <c r="N36" s="73"/>
      <c r="O36" s="15"/>
    </row>
    <row r="37" spans="1:15" x14ac:dyDescent="0.25">
      <c r="A37" s="16">
        <v>14538</v>
      </c>
      <c r="B37" s="49">
        <v>300</v>
      </c>
      <c r="C37" s="17"/>
      <c r="D37" s="13">
        <v>14589</v>
      </c>
      <c r="E37" s="70">
        <v>200</v>
      </c>
      <c r="F37" s="14"/>
      <c r="G37" s="11">
        <v>14920</v>
      </c>
      <c r="H37" s="67">
        <v>500</v>
      </c>
      <c r="I37" s="12" t="s">
        <v>320</v>
      </c>
      <c r="J37" s="61"/>
      <c r="K37" s="71"/>
      <c r="L37" s="62" t="s">
        <v>16</v>
      </c>
      <c r="M37" s="15"/>
      <c r="N37" s="73"/>
      <c r="O37" s="15"/>
    </row>
    <row r="38" spans="1:15" x14ac:dyDescent="0.25">
      <c r="A38" s="16">
        <v>14539</v>
      </c>
      <c r="B38" s="49">
        <v>200</v>
      </c>
      <c r="C38" s="17"/>
      <c r="D38" s="13">
        <v>14590</v>
      </c>
      <c r="E38" s="70">
        <v>400</v>
      </c>
      <c r="F38" s="14"/>
      <c r="G38" s="11"/>
      <c r="H38" s="67"/>
      <c r="I38" s="12" t="s">
        <v>18</v>
      </c>
      <c r="J38" s="61">
        <v>14651</v>
      </c>
      <c r="K38" s="71">
        <v>400</v>
      </c>
      <c r="L38" s="62" t="s">
        <v>320</v>
      </c>
      <c r="M38" s="15"/>
      <c r="N38" s="73"/>
      <c r="O38" s="15"/>
    </row>
    <row r="39" spans="1:15" x14ac:dyDescent="0.25">
      <c r="A39" s="16">
        <v>14540</v>
      </c>
      <c r="B39" s="49">
        <v>400</v>
      </c>
      <c r="C39" s="17"/>
      <c r="D39" s="13">
        <v>14591</v>
      </c>
      <c r="E39" s="70">
        <v>100</v>
      </c>
      <c r="F39" s="14" t="s">
        <v>173</v>
      </c>
      <c r="G39" s="11"/>
      <c r="H39" s="67"/>
      <c r="I39" s="12" t="s">
        <v>391</v>
      </c>
      <c r="J39" s="61"/>
      <c r="K39" s="71"/>
      <c r="L39" s="62" t="s">
        <v>18</v>
      </c>
      <c r="M39" s="15"/>
      <c r="N39" s="73"/>
      <c r="O39" s="15"/>
    </row>
    <row r="40" spans="1:15" x14ac:dyDescent="0.25">
      <c r="A40" s="16">
        <v>14541</v>
      </c>
      <c r="B40" s="49">
        <v>300</v>
      </c>
      <c r="C40" s="17"/>
      <c r="D40" s="13">
        <v>14592</v>
      </c>
      <c r="E40" s="70">
        <v>300</v>
      </c>
      <c r="F40" s="14"/>
      <c r="G40" s="11">
        <v>14921</v>
      </c>
      <c r="H40" s="67">
        <v>400</v>
      </c>
      <c r="I40" s="12"/>
      <c r="J40" s="61">
        <v>14652</v>
      </c>
      <c r="K40" s="71">
        <v>300</v>
      </c>
      <c r="L40" s="68"/>
      <c r="M40" s="15"/>
      <c r="N40" s="73"/>
      <c r="O40" s="15"/>
    </row>
    <row r="41" spans="1:15" x14ac:dyDescent="0.25">
      <c r="A41" s="16">
        <v>14542</v>
      </c>
      <c r="B41" s="49">
        <v>750</v>
      </c>
      <c r="C41" s="17" t="s">
        <v>282</v>
      </c>
      <c r="D41" s="13">
        <v>14593</v>
      </c>
      <c r="E41" s="70">
        <v>200</v>
      </c>
      <c r="F41" s="14"/>
      <c r="G41" s="11">
        <v>14922</v>
      </c>
      <c r="H41" s="67">
        <v>400</v>
      </c>
      <c r="I41" s="12"/>
      <c r="J41" s="61"/>
      <c r="K41" s="71"/>
      <c r="L41" s="62"/>
      <c r="M41" s="15"/>
      <c r="N41" s="73"/>
      <c r="O41" s="15"/>
    </row>
    <row r="42" spans="1:15" x14ac:dyDescent="0.25">
      <c r="A42" s="16"/>
      <c r="B42" s="49"/>
      <c r="C42" s="89" t="s">
        <v>20</v>
      </c>
      <c r="D42" s="13">
        <v>14594</v>
      </c>
      <c r="E42" s="70">
        <v>1200</v>
      </c>
      <c r="F42" s="14" t="s">
        <v>282</v>
      </c>
      <c r="G42" s="11">
        <v>14923</v>
      </c>
      <c r="H42" s="67">
        <v>2000</v>
      </c>
      <c r="I42" s="12" t="s">
        <v>240</v>
      </c>
      <c r="J42" s="61"/>
      <c r="K42" s="71"/>
      <c r="L42" s="62"/>
      <c r="M42" s="15"/>
      <c r="N42" s="73"/>
      <c r="O42" s="15"/>
    </row>
    <row r="43" spans="1:15" x14ac:dyDescent="0.25">
      <c r="A43" s="16">
        <v>14543</v>
      </c>
      <c r="B43" s="49">
        <v>400</v>
      </c>
      <c r="C43" s="17" t="s">
        <v>271</v>
      </c>
      <c r="D43" s="13"/>
      <c r="E43" s="70"/>
      <c r="F43" s="14" t="s">
        <v>16</v>
      </c>
      <c r="G43" s="11"/>
      <c r="H43" s="67"/>
      <c r="I43" s="12" t="s">
        <v>392</v>
      </c>
      <c r="J43" s="61"/>
      <c r="K43" s="71"/>
      <c r="L43" s="62"/>
      <c r="M43" s="15"/>
      <c r="N43" s="73"/>
      <c r="O43" s="15"/>
    </row>
    <row r="44" spans="1:15" x14ac:dyDescent="0.25">
      <c r="A44" s="16">
        <v>14544</v>
      </c>
      <c r="B44" s="49">
        <v>250</v>
      </c>
      <c r="C44" s="17"/>
      <c r="D44" s="13">
        <v>14595</v>
      </c>
      <c r="E44" s="70">
        <v>400</v>
      </c>
      <c r="F44" s="14" t="s">
        <v>310</v>
      </c>
      <c r="G44" s="11">
        <v>14924</v>
      </c>
      <c r="H44" s="67">
        <v>900</v>
      </c>
      <c r="I44" s="12" t="s">
        <v>282</v>
      </c>
      <c r="J44" s="61"/>
      <c r="K44" s="71"/>
      <c r="L44" s="62"/>
      <c r="M44" s="15"/>
      <c r="N44" s="73"/>
      <c r="O44" s="15"/>
    </row>
    <row r="45" spans="1:15" x14ac:dyDescent="0.25">
      <c r="A45" s="16">
        <v>14545</v>
      </c>
      <c r="B45" s="49">
        <v>400</v>
      </c>
      <c r="C45" s="17" t="s">
        <v>320</v>
      </c>
      <c r="D45" s="13">
        <v>14596</v>
      </c>
      <c r="E45" s="70">
        <v>2400</v>
      </c>
      <c r="F45" s="14" t="s">
        <v>328</v>
      </c>
      <c r="G45" s="11"/>
      <c r="H45" s="67"/>
      <c r="I45" s="12" t="s">
        <v>393</v>
      </c>
      <c r="J45" s="61"/>
      <c r="K45" s="71"/>
      <c r="L45" s="62"/>
      <c r="M45" s="15"/>
      <c r="N45" s="73"/>
      <c r="O45" s="15"/>
    </row>
    <row r="46" spans="1:15" x14ac:dyDescent="0.25">
      <c r="A46" s="16"/>
      <c r="B46" s="49"/>
      <c r="C46" s="17" t="s">
        <v>18</v>
      </c>
      <c r="D46" s="13"/>
      <c r="E46" s="70"/>
      <c r="F46" s="14" t="s">
        <v>16</v>
      </c>
      <c r="G46" s="11">
        <v>14925</v>
      </c>
      <c r="H46" s="67">
        <v>400</v>
      </c>
      <c r="I46" s="12"/>
      <c r="J46" s="61"/>
      <c r="K46" s="71"/>
      <c r="L46" s="62"/>
      <c r="M46" s="15"/>
      <c r="N46" s="73"/>
      <c r="O46" s="15"/>
    </row>
    <row r="47" spans="1:15" x14ac:dyDescent="0.25">
      <c r="A47" s="16">
        <v>14546</v>
      </c>
      <c r="B47" s="49">
        <v>200</v>
      </c>
      <c r="C47" s="17" t="s">
        <v>310</v>
      </c>
      <c r="D47" s="13">
        <v>14597</v>
      </c>
      <c r="E47" s="70">
        <v>1200</v>
      </c>
      <c r="F47" s="14" t="s">
        <v>384</v>
      </c>
      <c r="G47" s="11">
        <v>14926</v>
      </c>
      <c r="H47" s="67">
        <v>200</v>
      </c>
      <c r="I47" s="12"/>
      <c r="J47" s="61"/>
      <c r="K47" s="71"/>
      <c r="L47" s="62"/>
      <c r="M47" s="15"/>
      <c r="N47" s="73"/>
      <c r="O47" s="15"/>
    </row>
    <row r="48" spans="1:15" x14ac:dyDescent="0.25">
      <c r="A48" s="16">
        <v>14547</v>
      </c>
      <c r="B48" s="49">
        <v>400</v>
      </c>
      <c r="C48" s="17" t="s">
        <v>310</v>
      </c>
      <c r="D48" s="13"/>
      <c r="E48" s="70"/>
      <c r="F48" s="14" t="s">
        <v>16</v>
      </c>
      <c r="G48" s="11"/>
      <c r="H48" s="67"/>
      <c r="I48" s="12"/>
      <c r="J48" s="61"/>
      <c r="K48" s="71"/>
      <c r="L48" s="62"/>
      <c r="M48" s="15"/>
      <c r="N48" s="73"/>
      <c r="O48" s="15"/>
    </row>
    <row r="49" spans="1:15" x14ac:dyDescent="0.25">
      <c r="A49" s="16">
        <v>14548</v>
      </c>
      <c r="B49" s="49">
        <v>2400</v>
      </c>
      <c r="C49" s="17" t="s">
        <v>328</v>
      </c>
      <c r="D49" s="13">
        <v>14598</v>
      </c>
      <c r="E49" s="70">
        <v>200</v>
      </c>
      <c r="F49" s="14"/>
      <c r="G49" s="11"/>
      <c r="H49" s="67"/>
      <c r="I49" s="12"/>
      <c r="J49" s="61"/>
      <c r="K49" s="71"/>
      <c r="L49" s="62"/>
      <c r="M49" s="15"/>
      <c r="N49" s="73"/>
      <c r="O49" s="15"/>
    </row>
    <row r="50" spans="1:15" x14ac:dyDescent="0.25">
      <c r="A50" s="16"/>
      <c r="B50" s="49"/>
      <c r="C50" s="17" t="s">
        <v>16</v>
      </c>
      <c r="D50" s="13"/>
      <c r="E50" s="70"/>
      <c r="F50" s="14"/>
      <c r="G50" s="11"/>
      <c r="H50" s="67"/>
      <c r="I50" s="12"/>
      <c r="J50" s="61"/>
      <c r="K50" s="71"/>
      <c r="L50" s="62"/>
      <c r="M50" s="15"/>
      <c r="N50" s="73"/>
      <c r="O50" s="15"/>
    </row>
    <row r="51" spans="1:15" x14ac:dyDescent="0.25">
      <c r="A51" s="16">
        <v>14549</v>
      </c>
      <c r="B51" s="49">
        <v>300</v>
      </c>
      <c r="C51" s="17"/>
      <c r="D51" s="13"/>
      <c r="E51" s="70"/>
      <c r="F51" s="14"/>
      <c r="G51" s="11"/>
      <c r="H51" s="67"/>
      <c r="I51" s="12"/>
      <c r="J51" s="61"/>
      <c r="K51" s="71"/>
      <c r="L51" s="62"/>
      <c r="M51" s="15"/>
      <c r="N51" s="73"/>
      <c r="O51" s="15"/>
    </row>
    <row r="52" spans="1:15" x14ac:dyDescent="0.25">
      <c r="A52" s="16">
        <v>14550</v>
      </c>
      <c r="B52" s="49">
        <v>400</v>
      </c>
      <c r="C52" s="17"/>
      <c r="D52" s="13"/>
      <c r="E52" s="70"/>
      <c r="F52" s="14"/>
      <c r="G52" s="11"/>
      <c r="H52" s="67"/>
      <c r="I52" s="12"/>
      <c r="J52" s="61"/>
      <c r="K52" s="71"/>
      <c r="L52" s="62"/>
      <c r="M52" s="15"/>
      <c r="N52" s="73"/>
      <c r="O52" s="15"/>
    </row>
    <row r="53" spans="1:15" x14ac:dyDescent="0.25">
      <c r="A53" s="16">
        <v>14551</v>
      </c>
      <c r="B53" s="49">
        <v>400</v>
      </c>
      <c r="C53" s="17" t="s">
        <v>310</v>
      </c>
      <c r="D53" s="13"/>
      <c r="E53" s="70"/>
      <c r="F53" s="14"/>
      <c r="G53" s="11"/>
      <c r="H53" s="67"/>
      <c r="I53" s="12"/>
      <c r="J53" s="61"/>
      <c r="K53" s="71"/>
      <c r="L53" s="62"/>
      <c r="M53" s="15"/>
      <c r="N53" s="73"/>
      <c r="O53" s="15"/>
    </row>
    <row r="54" spans="1:15" x14ac:dyDescent="0.25">
      <c r="A54" s="16">
        <v>14552</v>
      </c>
      <c r="B54" s="49">
        <v>300</v>
      </c>
      <c r="C54" s="17"/>
      <c r="D54" s="13"/>
      <c r="E54" s="70"/>
      <c r="F54" s="14"/>
      <c r="G54" s="11"/>
      <c r="H54" s="67"/>
      <c r="I54" s="12"/>
      <c r="J54" s="61"/>
      <c r="K54" s="71"/>
      <c r="L54" s="62"/>
      <c r="M54" s="15"/>
      <c r="N54" s="73"/>
      <c r="O54" s="15"/>
    </row>
    <row r="55" spans="1:15" x14ac:dyDescent="0.25">
      <c r="A55" s="16">
        <v>14553</v>
      </c>
      <c r="B55" s="49">
        <v>400</v>
      </c>
      <c r="C55" s="17"/>
      <c r="D55" s="13"/>
      <c r="E55" s="70"/>
      <c r="F55" s="14"/>
      <c r="G55" s="11"/>
      <c r="H55" s="67"/>
      <c r="I55" s="12"/>
      <c r="J55" s="96"/>
      <c r="K55" s="71"/>
      <c r="L55" s="62"/>
      <c r="M55" s="15"/>
      <c r="N55" s="73"/>
      <c r="O55" s="15"/>
    </row>
    <row r="56" spans="1:15" x14ac:dyDescent="0.25">
      <c r="A56" s="16">
        <v>14554</v>
      </c>
      <c r="B56" s="49">
        <v>400</v>
      </c>
      <c r="C56" s="17" t="s">
        <v>310</v>
      </c>
      <c r="D56" s="13"/>
      <c r="E56" s="70"/>
      <c r="F56" s="14"/>
      <c r="G56" s="11"/>
      <c r="H56" s="67"/>
      <c r="I56" s="12"/>
      <c r="J56" s="61"/>
      <c r="K56" s="71"/>
      <c r="L56" s="62"/>
      <c r="M56" s="15"/>
      <c r="N56" s="73"/>
      <c r="O56" s="15"/>
    </row>
    <row r="57" spans="1:15" x14ac:dyDescent="0.25">
      <c r="A57" s="16">
        <v>14555</v>
      </c>
      <c r="B57" s="49">
        <v>300</v>
      </c>
      <c r="C57" s="17"/>
      <c r="D57" s="13"/>
      <c r="E57" s="70"/>
      <c r="F57" s="14"/>
      <c r="G57" s="11"/>
      <c r="H57" s="67"/>
      <c r="I57" s="12"/>
      <c r="J57" s="61"/>
      <c r="K57" s="71"/>
      <c r="L57" s="62"/>
      <c r="M57" s="15"/>
      <c r="N57" s="73"/>
      <c r="O57" s="15"/>
    </row>
    <row r="58" spans="1:15" x14ac:dyDescent="0.25">
      <c r="A58" s="16">
        <v>14556</v>
      </c>
      <c r="B58" s="49">
        <v>400</v>
      </c>
      <c r="C58" s="17"/>
      <c r="D58" s="13"/>
      <c r="E58" s="70"/>
      <c r="F58" s="14"/>
      <c r="G58" s="11"/>
      <c r="H58" s="67"/>
      <c r="I58" s="12"/>
      <c r="J58" s="61"/>
      <c r="K58" s="71"/>
      <c r="L58" s="62"/>
      <c r="M58" s="15"/>
      <c r="N58" s="73"/>
      <c r="O58" s="15"/>
    </row>
    <row r="59" spans="1:15" x14ac:dyDescent="0.25">
      <c r="A59" s="16">
        <v>14557</v>
      </c>
      <c r="B59" s="49">
        <v>400</v>
      </c>
      <c r="C59" s="17"/>
      <c r="D59" s="13"/>
      <c r="E59" s="70"/>
      <c r="F59" s="14"/>
      <c r="G59" s="11"/>
      <c r="H59" s="67"/>
      <c r="I59" s="12"/>
      <c r="J59" s="61"/>
      <c r="K59" s="71"/>
      <c r="L59" s="62"/>
      <c r="M59" s="15"/>
      <c r="N59" s="73"/>
      <c r="O59" s="15"/>
    </row>
    <row r="60" spans="1:15" x14ac:dyDescent="0.25">
      <c r="A60" s="16">
        <v>14558</v>
      </c>
      <c r="B60" s="49">
        <v>200</v>
      </c>
      <c r="C60" s="17"/>
      <c r="D60" s="13"/>
      <c r="E60" s="70"/>
      <c r="F60" s="14"/>
      <c r="G60" s="11"/>
      <c r="H60" s="67"/>
      <c r="I60" s="12"/>
      <c r="J60" s="61"/>
      <c r="K60" s="71"/>
      <c r="L60" s="62"/>
      <c r="M60" s="15"/>
      <c r="N60" s="73"/>
      <c r="O60" s="15"/>
    </row>
    <row r="61" spans="1:15" x14ac:dyDescent="0.25">
      <c r="A61" s="16">
        <v>14559</v>
      </c>
      <c r="B61" s="49">
        <v>700</v>
      </c>
      <c r="C61" s="17" t="s">
        <v>297</v>
      </c>
      <c r="D61" s="13"/>
      <c r="E61" s="70"/>
      <c r="F61" s="14"/>
      <c r="G61" s="11"/>
      <c r="H61" s="67"/>
      <c r="I61" s="12"/>
      <c r="J61" s="61"/>
      <c r="K61" s="71"/>
      <c r="L61" s="62"/>
      <c r="M61" s="15"/>
      <c r="N61" s="73"/>
      <c r="O61" s="15"/>
    </row>
    <row r="62" spans="1:15" x14ac:dyDescent="0.25">
      <c r="A62" s="16"/>
      <c r="B62" s="49"/>
      <c r="C62" s="17" t="s">
        <v>154</v>
      </c>
      <c r="D62" s="13"/>
      <c r="E62" s="70"/>
      <c r="F62" s="14"/>
      <c r="G62" s="11"/>
      <c r="H62" s="67"/>
      <c r="I62" s="12"/>
      <c r="J62" s="61"/>
      <c r="K62" s="71"/>
      <c r="L62" s="62"/>
      <c r="M62" s="15"/>
      <c r="N62" s="73"/>
      <c r="O62" s="15"/>
    </row>
    <row r="63" spans="1:15" x14ac:dyDescent="0.25">
      <c r="A63" s="16">
        <v>14560</v>
      </c>
      <c r="B63" s="49">
        <v>400</v>
      </c>
      <c r="C63" s="17" t="s">
        <v>281</v>
      </c>
      <c r="D63" s="13"/>
      <c r="E63" s="70"/>
      <c r="F63" s="14"/>
      <c r="G63" s="11"/>
      <c r="H63" s="67"/>
      <c r="I63" s="12"/>
      <c r="J63" s="61"/>
      <c r="K63" s="71"/>
      <c r="L63" s="62"/>
      <c r="M63" s="15"/>
      <c r="N63" s="73"/>
      <c r="O63" s="15"/>
    </row>
    <row r="64" spans="1:15" x14ac:dyDescent="0.25">
      <c r="A64" s="16"/>
      <c r="B64" s="49"/>
      <c r="C64" s="17" t="s">
        <v>18</v>
      </c>
      <c r="D64" s="13"/>
      <c r="E64" s="70"/>
      <c r="F64" s="14"/>
      <c r="G64" s="11"/>
      <c r="H64" s="67"/>
      <c r="I64" s="12"/>
      <c r="J64" s="61"/>
      <c r="K64" s="71"/>
      <c r="L64" s="62"/>
      <c r="M64" s="15"/>
      <c r="N64" s="73"/>
      <c r="O64" s="15"/>
    </row>
    <row r="65" spans="1:15" x14ac:dyDescent="0.25">
      <c r="A65" s="16">
        <v>14561</v>
      </c>
      <c r="B65" s="49">
        <v>400</v>
      </c>
      <c r="C65" s="17" t="s">
        <v>75</v>
      </c>
      <c r="D65" s="13"/>
      <c r="E65" s="70"/>
      <c r="F65" s="14"/>
      <c r="G65" s="11"/>
      <c r="H65" s="67"/>
      <c r="I65" s="12"/>
      <c r="J65" s="61"/>
      <c r="K65" s="71"/>
      <c r="L65" s="62"/>
      <c r="M65" s="15"/>
      <c r="N65" s="73"/>
      <c r="O65" s="15"/>
    </row>
    <row r="66" spans="1:15" x14ac:dyDescent="0.25">
      <c r="A66" s="16">
        <v>14562</v>
      </c>
      <c r="B66" s="49">
        <v>50</v>
      </c>
      <c r="C66" s="17" t="s">
        <v>47</v>
      </c>
      <c r="D66" s="13"/>
      <c r="E66" s="70"/>
      <c r="F66" s="14"/>
      <c r="G66" s="11"/>
      <c r="H66" s="67"/>
      <c r="I66" s="12"/>
      <c r="J66" s="61"/>
      <c r="K66" s="71"/>
      <c r="L66" s="62"/>
      <c r="M66" s="15"/>
      <c r="N66" s="73"/>
      <c r="O66" s="15"/>
    </row>
    <row r="67" spans="1:15" x14ac:dyDescent="0.25">
      <c r="A67" s="16">
        <v>14563</v>
      </c>
      <c r="B67" s="49">
        <v>1200</v>
      </c>
      <c r="C67" s="17" t="s">
        <v>379</v>
      </c>
      <c r="D67" s="13"/>
      <c r="E67" s="70"/>
      <c r="F67" s="14"/>
      <c r="G67" s="11"/>
      <c r="H67" s="67"/>
      <c r="I67" s="12"/>
      <c r="J67" s="61"/>
      <c r="K67" s="71"/>
      <c r="L67" s="62"/>
      <c r="M67" s="15"/>
      <c r="N67" s="73"/>
      <c r="O67" s="15"/>
    </row>
    <row r="68" spans="1:15" x14ac:dyDescent="0.25">
      <c r="A68" s="16"/>
      <c r="B68" s="49"/>
      <c r="C68" s="17" t="s">
        <v>16</v>
      </c>
      <c r="D68" s="13"/>
      <c r="E68" s="70"/>
      <c r="F68" s="14"/>
      <c r="G68" s="11"/>
      <c r="H68" s="67"/>
      <c r="I68" s="12"/>
      <c r="J68" s="61"/>
      <c r="K68" s="71"/>
      <c r="L68" s="62"/>
      <c r="M68" s="15"/>
      <c r="N68" s="73"/>
      <c r="O68" s="15"/>
    </row>
    <row r="69" spans="1:15" x14ac:dyDescent="0.25">
      <c r="A69" s="16">
        <v>14564</v>
      </c>
      <c r="B69" s="49">
        <v>300</v>
      </c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1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1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1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1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1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1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1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1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1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73"/>
      <c r="O85" s="15"/>
    </row>
    <row r="86" spans="1:15" x14ac:dyDescent="0.25">
      <c r="A86" s="26"/>
      <c r="B86" s="66"/>
      <c r="C86" s="58"/>
      <c r="D86" s="13"/>
      <c r="E86" s="70"/>
      <c r="F86" s="14"/>
      <c r="G86" s="11"/>
      <c r="H86" s="67"/>
      <c r="I86" s="12"/>
      <c r="J86" s="61"/>
      <c r="K86" s="71"/>
      <c r="L86" s="62"/>
      <c r="M86" s="58"/>
      <c r="N86" s="58"/>
      <c r="O86" s="58"/>
    </row>
    <row r="87" spans="1:15" x14ac:dyDescent="0.25">
      <c r="A87" s="26"/>
      <c r="B87" s="66"/>
      <c r="C87" s="58"/>
      <c r="D87" s="13"/>
      <c r="E87" s="70"/>
      <c r="F87" s="14"/>
      <c r="G87" s="11"/>
      <c r="H87" s="67"/>
      <c r="I87" s="12"/>
      <c r="J87" s="61"/>
      <c r="K87" s="71"/>
      <c r="L87" s="62"/>
      <c r="M87" s="58"/>
      <c r="N87" s="58"/>
      <c r="O87" s="58"/>
    </row>
    <row r="88" spans="1:15" x14ac:dyDescent="0.25">
      <c r="A88" s="26"/>
      <c r="B88" s="66"/>
      <c r="C88" s="58"/>
      <c r="D88" s="13"/>
      <c r="E88" s="70"/>
      <c r="F88" s="14"/>
      <c r="G88" s="11"/>
      <c r="H88" s="67"/>
      <c r="I88" s="12"/>
      <c r="J88" s="61"/>
      <c r="K88" s="71"/>
      <c r="L88" s="62"/>
      <c r="M88" s="58"/>
      <c r="N88" s="58"/>
      <c r="O88" s="58"/>
    </row>
    <row r="89" spans="1:15" x14ac:dyDescent="0.25">
      <c r="A89" s="26"/>
      <c r="B89" s="66"/>
      <c r="C89" s="58"/>
      <c r="D89" s="13"/>
      <c r="E89" s="70"/>
      <c r="F89" s="14"/>
      <c r="G89" s="11"/>
      <c r="H89" s="67"/>
      <c r="I89" s="12"/>
      <c r="J89" s="61"/>
      <c r="K89" s="71"/>
      <c r="L89" s="62"/>
      <c r="M89" s="58"/>
      <c r="N89" s="58"/>
      <c r="O89" s="58"/>
    </row>
    <row r="90" spans="1:15" x14ac:dyDescent="0.25">
      <c r="A90" s="26"/>
      <c r="B90" s="66"/>
      <c r="C90" s="58"/>
      <c r="D90" s="13"/>
      <c r="E90" s="70"/>
      <c r="F90" s="14"/>
      <c r="G90" s="11"/>
      <c r="H90" s="67"/>
      <c r="I90" s="12"/>
      <c r="J90" s="61"/>
      <c r="K90" s="71"/>
      <c r="L90" s="62"/>
      <c r="M90" s="58"/>
      <c r="N90" s="58"/>
      <c r="O90" s="58"/>
    </row>
    <row r="91" spans="1:15" x14ac:dyDescent="0.25">
      <c r="A91" s="26"/>
      <c r="B91" s="66"/>
      <c r="C91" s="58"/>
      <c r="D91" s="13"/>
      <c r="E91" s="70"/>
      <c r="F91" s="14"/>
      <c r="G91" s="11"/>
      <c r="H91" s="67"/>
      <c r="I91" s="12"/>
      <c r="J91" s="61"/>
      <c r="K91" s="71"/>
      <c r="L91" s="62"/>
      <c r="M91" s="58"/>
      <c r="N91" s="58"/>
      <c r="O91" s="58"/>
    </row>
    <row r="92" spans="1:15" x14ac:dyDescent="0.25">
      <c r="A92" s="26"/>
      <c r="B92" s="66"/>
      <c r="C92" s="58"/>
      <c r="D92" s="13"/>
      <c r="E92" s="70"/>
      <c r="F92" s="14"/>
      <c r="G92" s="11"/>
      <c r="H92" s="67"/>
      <c r="I92" s="12"/>
      <c r="J92" s="61"/>
      <c r="K92" s="71"/>
      <c r="L92" s="62"/>
      <c r="M92" s="58"/>
      <c r="N92" s="58"/>
      <c r="O92" s="58"/>
    </row>
    <row r="93" spans="1:15" x14ac:dyDescent="0.25">
      <c r="A93" s="26"/>
      <c r="B93" s="66"/>
      <c r="C93" s="58"/>
      <c r="D93" s="13"/>
      <c r="E93" s="70"/>
      <c r="F93" s="14"/>
      <c r="G93" s="11"/>
      <c r="H93" s="67"/>
      <c r="I93" s="12"/>
      <c r="J93" s="61"/>
      <c r="K93" s="71"/>
      <c r="L93" s="62"/>
      <c r="M93" s="58"/>
      <c r="N93" s="58"/>
      <c r="O93" s="58"/>
    </row>
    <row r="94" spans="1:15" x14ac:dyDescent="0.25">
      <c r="A94" s="26"/>
      <c r="B94" s="66"/>
      <c r="C94" s="58"/>
      <c r="D94" s="13"/>
      <c r="E94" s="70"/>
      <c r="F94" s="14"/>
      <c r="G94" s="11"/>
      <c r="H94" s="67"/>
      <c r="I94" s="12"/>
      <c r="J94" s="61"/>
      <c r="K94" s="71"/>
      <c r="L94" s="62"/>
      <c r="M94" s="58"/>
      <c r="N94" s="58"/>
      <c r="O94" s="58"/>
    </row>
    <row r="95" spans="1:15" x14ac:dyDescent="0.25">
      <c r="A95" s="26"/>
      <c r="B95" s="66"/>
      <c r="C95" s="58"/>
      <c r="D95" s="13"/>
      <c r="E95" s="70"/>
      <c r="F95" s="14"/>
      <c r="G95" s="11"/>
      <c r="H95" s="67"/>
      <c r="I95" s="12"/>
      <c r="J95" s="61"/>
      <c r="K95" s="71"/>
      <c r="L95" s="62"/>
      <c r="M95" s="58"/>
      <c r="N95" s="58"/>
      <c r="O95" s="58"/>
    </row>
    <row r="96" spans="1:15" x14ac:dyDescent="0.25">
      <c r="A96" s="26"/>
      <c r="B96" s="66"/>
      <c r="C96" s="58"/>
      <c r="D96" s="13"/>
      <c r="E96" s="70"/>
      <c r="F96" s="14"/>
      <c r="G96" s="11"/>
      <c r="H96" s="67"/>
      <c r="I96" s="12"/>
      <c r="J96" s="61"/>
      <c r="K96" s="71"/>
      <c r="L96" s="62"/>
      <c r="M96" s="58"/>
      <c r="N96" s="58"/>
      <c r="O96" s="58"/>
    </row>
    <row r="97" spans="1:15" x14ac:dyDescent="0.25">
      <c r="A97" s="26"/>
      <c r="B97" s="66"/>
      <c r="C97" s="58"/>
      <c r="D97" s="13"/>
      <c r="E97" s="70"/>
      <c r="F97" s="14"/>
      <c r="G97" s="11"/>
      <c r="H97" s="67"/>
      <c r="I97" s="12"/>
      <c r="J97" s="61"/>
      <c r="K97" s="71"/>
      <c r="L97" s="62"/>
      <c r="M97" s="58"/>
      <c r="N97" s="58"/>
      <c r="O97" s="58"/>
    </row>
    <row r="98" spans="1:15" x14ac:dyDescent="0.25">
      <c r="A98" s="26"/>
      <c r="B98" s="66"/>
      <c r="C98" s="58"/>
      <c r="D98" s="13"/>
      <c r="E98" s="70"/>
      <c r="F98" s="14"/>
      <c r="G98" s="11"/>
      <c r="H98" s="67"/>
      <c r="I98" s="12"/>
      <c r="J98" s="61"/>
      <c r="K98" s="71"/>
      <c r="L98" s="62"/>
      <c r="M98" s="58"/>
      <c r="N98" s="58"/>
      <c r="O98" s="58"/>
    </row>
    <row r="99" spans="1:15" x14ac:dyDescent="0.25">
      <c r="A99" s="26"/>
      <c r="B99" s="66"/>
      <c r="C99" s="58"/>
      <c r="D99" s="13"/>
      <c r="E99" s="70"/>
      <c r="F99" s="14"/>
      <c r="G99" s="11"/>
      <c r="H99" s="67"/>
      <c r="I99" s="12"/>
      <c r="J99" s="61"/>
      <c r="K99" s="71"/>
      <c r="L99" s="62"/>
      <c r="M99" s="58"/>
      <c r="N99" s="58"/>
      <c r="O99" s="58"/>
    </row>
    <row r="100" spans="1:15" x14ac:dyDescent="0.25">
      <c r="A100" s="26"/>
      <c r="B100" s="66"/>
      <c r="C100" s="58"/>
      <c r="D100" s="13"/>
      <c r="E100" s="70"/>
      <c r="F100" s="14"/>
      <c r="G100" s="11"/>
      <c r="H100" s="67"/>
      <c r="I100" s="12"/>
      <c r="J100" s="61"/>
      <c r="K100" s="71"/>
      <c r="L100" s="62"/>
      <c r="M100" s="58"/>
      <c r="N100" s="58"/>
      <c r="O100" s="58"/>
    </row>
    <row r="101" spans="1:15" x14ac:dyDescent="0.25">
      <c r="A101" s="26"/>
      <c r="B101" s="66"/>
      <c r="C101" s="58"/>
      <c r="D101" s="13"/>
      <c r="E101" s="70"/>
      <c r="F101" s="14"/>
      <c r="G101" s="11"/>
      <c r="H101" s="67"/>
      <c r="I101" s="12"/>
      <c r="J101" s="61"/>
      <c r="K101" s="71"/>
      <c r="L101" s="62"/>
      <c r="M101" s="58"/>
      <c r="N101" s="58"/>
      <c r="O101" s="58"/>
    </row>
    <row r="102" spans="1:15" x14ac:dyDescent="0.25">
      <c r="A102" s="26"/>
      <c r="B102" s="66"/>
      <c r="C102" s="58"/>
      <c r="D102" s="13"/>
      <c r="E102" s="70"/>
      <c r="F102" s="14"/>
      <c r="G102" s="11"/>
      <c r="H102" s="67"/>
      <c r="I102" s="12"/>
      <c r="J102" s="61"/>
      <c r="K102" s="71"/>
      <c r="L102" s="62"/>
      <c r="M102" s="58"/>
      <c r="N102" s="58"/>
      <c r="O102" s="58"/>
    </row>
    <row r="103" spans="1:15" x14ac:dyDescent="0.25">
      <c r="A103" s="26"/>
      <c r="B103" s="66"/>
      <c r="C103" s="58"/>
      <c r="D103" s="13"/>
      <c r="E103" s="70"/>
      <c r="F103" s="14"/>
      <c r="G103" s="11"/>
      <c r="H103" s="67"/>
      <c r="I103" s="12"/>
      <c r="J103" s="61"/>
      <c r="K103" s="71"/>
      <c r="L103" s="62"/>
      <c r="M103" s="58"/>
      <c r="N103" s="58"/>
      <c r="O103" s="58"/>
    </row>
    <row r="104" spans="1:15" x14ac:dyDescent="0.25">
      <c r="A104" s="26"/>
      <c r="B104" s="66"/>
      <c r="C104" s="58"/>
      <c r="D104" s="13"/>
      <c r="E104" s="70"/>
      <c r="F104" s="14"/>
      <c r="G104" s="11"/>
      <c r="H104" s="67"/>
      <c r="I104" s="12"/>
      <c r="J104" s="61"/>
      <c r="K104" s="71"/>
      <c r="L104" s="62"/>
      <c r="M104" s="58"/>
      <c r="N104" s="58"/>
      <c r="O104" s="58"/>
    </row>
    <row r="105" spans="1:15" x14ac:dyDescent="0.25">
      <c r="A105" s="26"/>
      <c r="B105" s="66"/>
      <c r="C105" s="58"/>
      <c r="D105" s="13"/>
      <c r="E105" s="70"/>
      <c r="F105" s="14"/>
      <c r="G105" s="11"/>
      <c r="H105" s="67"/>
      <c r="I105" s="12"/>
      <c r="J105" s="61"/>
      <c r="K105" s="71"/>
      <c r="L105" s="62"/>
      <c r="M105" s="58"/>
      <c r="N105" s="58"/>
      <c r="O105" s="58"/>
    </row>
    <row r="106" spans="1:15" x14ac:dyDescent="0.25">
      <c r="A106" s="26"/>
      <c r="B106" s="66"/>
      <c r="C106" s="58"/>
      <c r="D106" s="13"/>
      <c r="E106" s="70"/>
      <c r="F106" s="14"/>
      <c r="G106" s="11"/>
      <c r="H106" s="67"/>
      <c r="I106" s="12"/>
      <c r="J106" s="61"/>
      <c r="K106" s="71"/>
      <c r="L106" s="62"/>
      <c r="M106" s="58"/>
      <c r="N106" s="58"/>
      <c r="O106" s="58"/>
    </row>
    <row r="107" spans="1:15" x14ac:dyDescent="0.25">
      <c r="A107" s="26"/>
      <c r="B107" s="66"/>
      <c r="C107" s="58"/>
      <c r="D107" s="13"/>
      <c r="E107" s="70"/>
      <c r="F107" s="14"/>
      <c r="G107" s="11"/>
      <c r="H107" s="67"/>
      <c r="I107" s="12"/>
      <c r="J107" s="61"/>
      <c r="K107" s="71"/>
      <c r="L107" s="62"/>
      <c r="M107" s="58"/>
      <c r="N107" s="58"/>
      <c r="O107" s="58"/>
    </row>
    <row r="108" spans="1:15" x14ac:dyDescent="0.25">
      <c r="A108" s="26"/>
      <c r="B108" s="66"/>
      <c r="C108" s="58"/>
      <c r="D108" s="13"/>
      <c r="E108" s="70"/>
      <c r="F108" s="14"/>
      <c r="G108" s="11"/>
      <c r="H108" s="67"/>
      <c r="I108" s="12"/>
      <c r="J108" s="61"/>
      <c r="K108" s="71"/>
      <c r="L108" s="62"/>
      <c r="M108" s="58"/>
      <c r="N108" s="58"/>
      <c r="O108" s="58"/>
    </row>
    <row r="109" spans="1:15" x14ac:dyDescent="0.25">
      <c r="A109" s="26"/>
      <c r="B109" s="66"/>
      <c r="C109" s="58"/>
      <c r="D109" s="13"/>
      <c r="E109" s="70"/>
      <c r="F109" s="14"/>
      <c r="G109" s="11"/>
      <c r="H109" s="67"/>
      <c r="I109" s="101"/>
      <c r="J109" s="61"/>
      <c r="K109" s="71"/>
      <c r="L109" s="62"/>
      <c r="M109" s="58"/>
      <c r="N109" s="58"/>
      <c r="O109" s="58"/>
    </row>
    <row r="110" spans="1:15" x14ac:dyDescent="0.25">
      <c r="A110" s="26"/>
      <c r="B110" s="66"/>
      <c r="C110" s="58"/>
      <c r="D110" s="13"/>
      <c r="E110" s="70"/>
      <c r="F110" s="14"/>
      <c r="G110" s="11"/>
      <c r="H110" s="67"/>
      <c r="I110" s="12"/>
      <c r="J110" s="61"/>
      <c r="K110" s="71"/>
      <c r="L110" s="62"/>
      <c r="M110" s="58"/>
      <c r="N110" s="58"/>
      <c r="O110" s="58"/>
    </row>
    <row r="111" spans="1:15" x14ac:dyDescent="0.25">
      <c r="A111" s="26"/>
      <c r="B111" s="66"/>
      <c r="C111" s="58"/>
      <c r="D111" s="13"/>
      <c r="E111" s="70"/>
      <c r="F111" s="14"/>
      <c r="G111" s="11"/>
      <c r="H111" s="67"/>
      <c r="I111" s="12"/>
      <c r="J111" s="61"/>
      <c r="K111" s="71"/>
      <c r="L111" s="62"/>
      <c r="M111" s="58"/>
      <c r="N111" s="58"/>
      <c r="O111" s="58"/>
    </row>
    <row r="112" spans="1:15" x14ac:dyDescent="0.25">
      <c r="A112" s="26"/>
      <c r="B112" s="66"/>
      <c r="C112" s="58"/>
      <c r="D112" s="13"/>
      <c r="E112" s="70"/>
      <c r="F112" s="14"/>
      <c r="G112" s="11"/>
      <c r="H112" s="67"/>
      <c r="I112" s="12"/>
      <c r="J112" s="61"/>
      <c r="K112" s="71"/>
      <c r="L112" s="62"/>
      <c r="M112" s="58"/>
      <c r="N112" s="58"/>
      <c r="O112" s="58"/>
    </row>
    <row r="113" spans="1:15" x14ac:dyDescent="0.25">
      <c r="A113" s="26"/>
      <c r="B113" s="66"/>
      <c r="C113" s="58"/>
      <c r="D113" s="13"/>
      <c r="E113" s="70"/>
      <c r="F113" s="14"/>
      <c r="G113" s="11"/>
      <c r="H113" s="67"/>
      <c r="I113" s="12"/>
      <c r="J113" s="61"/>
      <c r="K113" s="71"/>
      <c r="L113" s="62"/>
      <c r="M113" s="58"/>
      <c r="N113" s="58"/>
      <c r="O113" s="58"/>
    </row>
    <row r="114" spans="1:15" x14ac:dyDescent="0.25">
      <c r="A114" s="26"/>
      <c r="B114" s="66"/>
      <c r="C114" s="58"/>
      <c r="D114" s="13"/>
      <c r="E114" s="70"/>
      <c r="F114" s="14"/>
      <c r="G114" s="11"/>
      <c r="H114" s="67"/>
      <c r="I114" s="12"/>
      <c r="J114" s="61"/>
      <c r="K114" s="71"/>
      <c r="L114" s="62"/>
      <c r="M114" s="58"/>
      <c r="N114" s="58"/>
      <c r="O114" s="58"/>
    </row>
    <row r="115" spans="1:15" x14ac:dyDescent="0.25">
      <c r="A115" s="26"/>
      <c r="B115" s="66"/>
      <c r="C115" s="58"/>
      <c r="D115" s="13"/>
      <c r="E115" s="70"/>
      <c r="F115" s="14"/>
      <c r="G115" s="11"/>
      <c r="H115" s="67"/>
      <c r="I115" s="12"/>
      <c r="J115" s="61"/>
      <c r="K115" s="71"/>
      <c r="L115" s="62"/>
      <c r="M115" s="58"/>
      <c r="N115" s="58"/>
      <c r="O115" s="58"/>
    </row>
    <row r="116" spans="1:15" x14ac:dyDescent="0.25">
      <c r="A116" s="26"/>
      <c r="B116" s="66"/>
      <c r="C116" s="58"/>
      <c r="D116" s="13"/>
      <c r="E116" s="70"/>
      <c r="F116" s="14"/>
      <c r="G116" s="11"/>
      <c r="H116" s="67"/>
      <c r="I116" s="12"/>
      <c r="J116" s="61"/>
      <c r="K116" s="71"/>
      <c r="L116" s="62"/>
      <c r="M116" s="58"/>
      <c r="N116" s="58"/>
      <c r="O116" s="58"/>
    </row>
    <row r="117" spans="1:15" x14ac:dyDescent="0.25">
      <c r="A117" s="26"/>
      <c r="B117" s="66"/>
      <c r="C117" s="58"/>
      <c r="D117" s="13"/>
      <c r="E117" s="70"/>
      <c r="F117" s="14"/>
      <c r="G117" s="11"/>
      <c r="H117" s="67"/>
      <c r="I117" s="12"/>
      <c r="J117" s="61"/>
      <c r="K117" s="71"/>
      <c r="L117" s="62"/>
      <c r="M117" s="58"/>
      <c r="N117" s="58"/>
      <c r="O117" s="58"/>
    </row>
    <row r="118" spans="1:15" x14ac:dyDescent="0.25">
      <c r="A118" s="26"/>
      <c r="B118" s="66"/>
      <c r="C118" s="58"/>
      <c r="D118" s="13"/>
      <c r="E118" s="70"/>
      <c r="F118" s="14"/>
      <c r="G118" s="11"/>
      <c r="H118" s="67"/>
      <c r="I118" s="12"/>
      <c r="J118" s="61"/>
      <c r="K118" s="71"/>
      <c r="L118" s="62"/>
      <c r="M118" s="58"/>
      <c r="N118" s="58"/>
      <c r="O118" s="58"/>
    </row>
    <row r="119" spans="1:15" x14ac:dyDescent="0.25">
      <c r="A119" s="26"/>
      <c r="B119" s="66"/>
      <c r="C119" s="58"/>
      <c r="D119" s="13"/>
      <c r="E119" s="70"/>
      <c r="F119" s="14"/>
      <c r="G119" s="11"/>
      <c r="H119" s="67"/>
      <c r="I119" s="12"/>
      <c r="J119" s="61"/>
      <c r="K119" s="71"/>
      <c r="L119" s="62"/>
      <c r="M119" s="58"/>
      <c r="N119" s="58"/>
      <c r="O119" s="58"/>
    </row>
    <row r="120" spans="1:15" x14ac:dyDescent="0.25">
      <c r="A120" s="26"/>
      <c r="B120" s="66"/>
      <c r="C120" s="58"/>
      <c r="D120" s="13"/>
      <c r="E120" s="70"/>
      <c r="F120" s="14"/>
      <c r="G120" s="11"/>
      <c r="H120" s="67"/>
      <c r="I120" s="12"/>
      <c r="J120" s="61"/>
      <c r="K120" s="71"/>
      <c r="L120" s="62"/>
      <c r="M120" s="58"/>
      <c r="N120" s="58"/>
      <c r="O120" s="58"/>
    </row>
    <row r="121" spans="1:15" x14ac:dyDescent="0.25">
      <c r="A121" s="26"/>
      <c r="B121" s="66"/>
      <c r="C121" s="58"/>
      <c r="D121" s="13"/>
      <c r="E121" s="70"/>
      <c r="F121" s="14"/>
      <c r="G121" s="11"/>
      <c r="H121" s="67"/>
      <c r="I121" s="12"/>
      <c r="J121" s="61"/>
      <c r="K121" s="71"/>
      <c r="L121" s="62"/>
      <c r="M121" s="58"/>
      <c r="N121" s="58"/>
      <c r="O121" s="58"/>
    </row>
    <row r="122" spans="1:15" x14ac:dyDescent="0.25">
      <c r="A122" s="26"/>
      <c r="B122" s="66"/>
      <c r="C122" s="58"/>
      <c r="D122" s="13"/>
      <c r="E122" s="70"/>
      <c r="F122" s="14"/>
      <c r="G122" s="11"/>
      <c r="H122" s="67"/>
      <c r="I122" s="12"/>
      <c r="J122" s="61"/>
      <c r="K122" s="71"/>
      <c r="L122" s="62"/>
      <c r="M122" s="58"/>
      <c r="N122" s="58"/>
      <c r="O122" s="58"/>
    </row>
    <row r="123" spans="1:15" x14ac:dyDescent="0.25">
      <c r="A123" s="26"/>
      <c r="B123" s="66"/>
      <c r="C123" s="58"/>
      <c r="D123" s="13"/>
      <c r="E123" s="70"/>
      <c r="F123" s="14"/>
      <c r="G123" s="11"/>
      <c r="H123" s="67"/>
      <c r="I123" s="12"/>
      <c r="J123" s="61"/>
      <c r="K123" s="71"/>
      <c r="L123" s="62"/>
      <c r="M123" s="58"/>
      <c r="N123" s="58"/>
      <c r="O123" s="58"/>
    </row>
    <row r="124" spans="1:15" x14ac:dyDescent="0.25">
      <c r="A124" s="26"/>
      <c r="B124" s="66"/>
      <c r="C124" s="58"/>
      <c r="D124" s="13"/>
      <c r="E124" s="70"/>
      <c r="F124" s="14"/>
      <c r="G124" s="11"/>
      <c r="H124" s="67"/>
      <c r="I124" s="12"/>
      <c r="J124" s="61"/>
      <c r="K124" s="71"/>
      <c r="L124" s="62"/>
      <c r="M124" s="58"/>
      <c r="N124" s="58"/>
      <c r="O124" s="58"/>
    </row>
    <row r="125" spans="1:15" x14ac:dyDescent="0.25">
      <c r="A125" s="26"/>
      <c r="B125" s="66"/>
      <c r="C125" s="58"/>
      <c r="D125" s="13"/>
      <c r="E125" s="70"/>
      <c r="F125" s="14"/>
      <c r="G125" s="11"/>
      <c r="H125" s="67"/>
      <c r="I125" s="12"/>
      <c r="J125" s="61"/>
      <c r="K125" s="71"/>
      <c r="L125" s="62"/>
      <c r="M125" s="58"/>
      <c r="N125" s="58"/>
      <c r="O125" s="58"/>
    </row>
    <row r="126" spans="1:15" x14ac:dyDescent="0.25">
      <c r="A126" s="26"/>
      <c r="B126" s="66"/>
      <c r="C126" s="58"/>
      <c r="D126" s="13"/>
      <c r="E126" s="70"/>
      <c r="F126" s="14"/>
      <c r="G126" s="11"/>
      <c r="H126" s="67"/>
      <c r="I126" s="12"/>
      <c r="J126" s="61"/>
      <c r="K126" s="71"/>
      <c r="L126" s="62"/>
      <c r="M126" s="58"/>
      <c r="N126" s="58"/>
      <c r="O126" s="58"/>
    </row>
    <row r="127" spans="1:15" x14ac:dyDescent="0.25">
      <c r="A127" s="26"/>
      <c r="B127" s="66"/>
      <c r="C127" s="58"/>
      <c r="D127" s="13"/>
      <c r="E127" s="70"/>
      <c r="F127" s="14"/>
      <c r="G127" s="11"/>
      <c r="H127" s="67"/>
      <c r="I127" s="12"/>
      <c r="J127" s="61"/>
      <c r="K127" s="71"/>
      <c r="L127" s="62"/>
      <c r="M127" s="58"/>
      <c r="N127" s="58"/>
      <c r="O127" s="58"/>
    </row>
    <row r="128" spans="1:15" x14ac:dyDescent="0.25">
      <c r="A128" s="26"/>
      <c r="B128" s="66"/>
      <c r="C128" s="58"/>
      <c r="D128" s="13"/>
      <c r="E128" s="70"/>
      <c r="F128" s="14"/>
      <c r="G128" s="11"/>
      <c r="H128" s="67"/>
      <c r="I128" s="12"/>
      <c r="J128" s="61"/>
      <c r="K128" s="71"/>
      <c r="L128" s="62"/>
      <c r="M128" s="58"/>
      <c r="N128" s="58"/>
      <c r="O128" s="58"/>
    </row>
    <row r="129" spans="1:15" x14ac:dyDescent="0.25">
      <c r="A129" s="26"/>
      <c r="B129" s="66"/>
      <c r="C129" s="58"/>
      <c r="D129" s="13"/>
      <c r="E129" s="70"/>
      <c r="F129" s="14"/>
      <c r="G129" s="11"/>
      <c r="H129" s="67"/>
      <c r="I129" s="12"/>
      <c r="J129" s="61"/>
      <c r="K129" s="71"/>
      <c r="L129" s="62"/>
      <c r="M129" s="58"/>
      <c r="N129" s="58"/>
      <c r="O129" s="58"/>
    </row>
    <row r="130" spans="1:15" x14ac:dyDescent="0.25">
      <c r="A130" s="26"/>
      <c r="B130" s="66"/>
      <c r="C130" s="58"/>
      <c r="D130" s="13"/>
      <c r="E130" s="70"/>
      <c r="F130" s="14"/>
      <c r="G130" s="11"/>
      <c r="H130" s="67"/>
      <c r="I130" s="12"/>
      <c r="J130" s="61"/>
      <c r="K130" s="71"/>
      <c r="L130" s="62"/>
      <c r="M130" s="58"/>
      <c r="N130" s="58"/>
      <c r="O130" s="58"/>
    </row>
    <row r="131" spans="1:15" x14ac:dyDescent="0.25">
      <c r="A131" s="26"/>
      <c r="B131" s="66"/>
      <c r="C131" s="58"/>
      <c r="D131" s="13"/>
      <c r="E131" s="70"/>
      <c r="F131" s="14"/>
      <c r="G131" s="11"/>
      <c r="H131" s="67"/>
      <c r="I131" s="12"/>
      <c r="J131" s="61"/>
      <c r="K131" s="71"/>
      <c r="L131" s="62"/>
      <c r="M131" s="58"/>
      <c r="N131" s="58"/>
      <c r="O131" s="58"/>
    </row>
    <row r="132" spans="1:15" x14ac:dyDescent="0.25">
      <c r="A132" s="26"/>
      <c r="B132" s="66"/>
      <c r="C132" s="58"/>
      <c r="D132" s="13"/>
      <c r="E132" s="70"/>
      <c r="F132" s="14"/>
      <c r="G132" s="11"/>
      <c r="H132" s="67"/>
      <c r="I132" s="12"/>
      <c r="J132" s="61"/>
      <c r="K132" s="71"/>
      <c r="L132" s="62"/>
      <c r="M132" s="58"/>
      <c r="N132" s="58"/>
      <c r="O132" s="58"/>
    </row>
    <row r="133" spans="1:15" x14ac:dyDescent="0.25">
      <c r="A133" s="26"/>
      <c r="B133" s="66"/>
      <c r="C133" s="58"/>
      <c r="D133" s="13"/>
      <c r="E133" s="70"/>
      <c r="F133" s="14"/>
      <c r="G133" s="11"/>
      <c r="H133" s="67"/>
      <c r="I133" s="12"/>
      <c r="J133" s="61"/>
      <c r="K133" s="71"/>
      <c r="L133" s="62"/>
      <c r="M133" s="58"/>
      <c r="N133" s="58"/>
      <c r="O133" s="58"/>
    </row>
    <row r="134" spans="1:15" x14ac:dyDescent="0.25">
      <c r="A134" s="26"/>
      <c r="B134" s="66"/>
      <c r="C134" s="58"/>
      <c r="D134" s="13"/>
      <c r="E134" s="70"/>
      <c r="F134" s="14"/>
      <c r="G134" s="11"/>
      <c r="H134" s="67"/>
      <c r="I134" s="12"/>
      <c r="J134" s="61"/>
      <c r="K134" s="71"/>
      <c r="L134" s="62"/>
      <c r="M134" s="58"/>
      <c r="N134" s="58"/>
      <c r="O134" s="58"/>
    </row>
    <row r="135" spans="1:15" x14ac:dyDescent="0.25">
      <c r="A135" s="26"/>
      <c r="B135" s="66"/>
      <c r="C135" s="58"/>
      <c r="D135" s="13"/>
      <c r="E135" s="70"/>
      <c r="F135" s="14"/>
      <c r="G135" s="11"/>
      <c r="H135" s="67"/>
      <c r="I135" s="12"/>
      <c r="J135" s="61"/>
      <c r="K135" s="71"/>
      <c r="L135" s="62"/>
      <c r="M135" s="58"/>
      <c r="N135" s="58"/>
      <c r="O135" s="58"/>
    </row>
    <row r="136" spans="1:15" x14ac:dyDescent="0.25">
      <c r="A136" s="26"/>
      <c r="B136" s="66"/>
      <c r="C136" s="58"/>
      <c r="D136" s="13"/>
      <c r="E136" s="70"/>
      <c r="F136" s="14"/>
      <c r="G136" s="11"/>
      <c r="H136" s="67"/>
      <c r="I136" s="12"/>
      <c r="J136" s="61"/>
      <c r="K136" s="71"/>
      <c r="L136" s="62"/>
      <c r="M136" s="58"/>
      <c r="N136" s="58"/>
      <c r="O136" s="58"/>
    </row>
    <row r="137" spans="1:15" x14ac:dyDescent="0.25">
      <c r="A137" s="26"/>
      <c r="B137" s="66"/>
      <c r="C137" s="58"/>
      <c r="D137" s="13"/>
      <c r="E137" s="70"/>
      <c r="F137" s="14"/>
      <c r="G137" s="11"/>
      <c r="H137" s="67"/>
      <c r="I137" s="12"/>
      <c r="J137" s="61"/>
      <c r="K137" s="71"/>
      <c r="L137" s="62"/>
      <c r="M137" s="58"/>
      <c r="N137" s="58"/>
      <c r="O137" s="58"/>
    </row>
    <row r="138" spans="1:15" x14ac:dyDescent="0.25">
      <c r="A138" s="26"/>
      <c r="B138" s="66"/>
      <c r="C138" s="58"/>
      <c r="D138" s="13"/>
      <c r="E138" s="70"/>
      <c r="F138" s="14"/>
      <c r="G138" s="11"/>
      <c r="H138" s="67"/>
      <c r="I138" s="12"/>
      <c r="J138" s="61"/>
      <c r="K138" s="71"/>
      <c r="L138" s="62"/>
      <c r="M138" s="58"/>
      <c r="N138" s="58"/>
      <c r="O138" s="58"/>
    </row>
    <row r="139" spans="1:15" x14ac:dyDescent="0.25">
      <c r="A139" s="26"/>
      <c r="B139" s="66"/>
      <c r="C139" s="58"/>
      <c r="D139" s="13"/>
      <c r="E139" s="70"/>
      <c r="F139" s="14"/>
      <c r="G139" s="11"/>
      <c r="H139" s="67"/>
      <c r="I139" s="12"/>
      <c r="J139" s="61"/>
      <c r="K139" s="71"/>
      <c r="L139" s="62"/>
      <c r="M139" s="58"/>
      <c r="N139" s="58"/>
      <c r="O139" s="58"/>
    </row>
    <row r="140" spans="1:15" x14ac:dyDescent="0.25">
      <c r="A140" s="26"/>
      <c r="B140" s="66"/>
      <c r="C140" s="58"/>
      <c r="D140" s="13"/>
      <c r="E140" s="70"/>
      <c r="F140" s="14"/>
      <c r="G140" s="11"/>
      <c r="H140" s="67"/>
      <c r="I140" s="12"/>
      <c r="J140" s="61"/>
      <c r="K140" s="71"/>
      <c r="L140" s="62"/>
      <c r="M140" s="58"/>
      <c r="N140" s="58"/>
      <c r="O140" s="58"/>
    </row>
    <row r="141" spans="1:15" x14ac:dyDescent="0.25">
      <c r="A141" s="26"/>
      <c r="B141" s="66"/>
      <c r="C141" s="58"/>
      <c r="D141" s="13"/>
      <c r="E141" s="70"/>
      <c r="F141" s="14"/>
      <c r="G141" s="11"/>
      <c r="H141" s="67"/>
      <c r="I141" s="12"/>
      <c r="J141" s="61"/>
      <c r="K141" s="71"/>
      <c r="L141" s="62"/>
      <c r="M141" s="58"/>
      <c r="N141" s="58"/>
      <c r="O141" s="58"/>
    </row>
    <row r="142" spans="1:15" x14ac:dyDescent="0.25">
      <c r="A142" s="26"/>
      <c r="B142" s="66"/>
      <c r="C142" s="58"/>
      <c r="D142" s="13"/>
      <c r="E142" s="70"/>
      <c r="F142" s="14"/>
      <c r="G142" s="11"/>
      <c r="H142" s="67"/>
      <c r="I142" s="12"/>
      <c r="J142" s="61"/>
      <c r="K142" s="71"/>
      <c r="L142" s="62"/>
      <c r="M142" s="58"/>
      <c r="N142" s="58"/>
      <c r="O142" s="58"/>
    </row>
    <row r="143" spans="1:15" x14ac:dyDescent="0.25">
      <c r="A143" s="26"/>
      <c r="B143" s="66"/>
      <c r="C143" s="58"/>
      <c r="D143" s="13"/>
      <c r="E143" s="70"/>
      <c r="F143" s="14"/>
      <c r="G143" s="11"/>
      <c r="H143" s="67"/>
      <c r="I143" s="12"/>
      <c r="J143" s="61"/>
      <c r="K143" s="71"/>
      <c r="L143" s="62"/>
      <c r="M143" s="58"/>
      <c r="N143" s="58"/>
      <c r="O143" s="58"/>
    </row>
    <row r="144" spans="1:15" x14ac:dyDescent="0.25">
      <c r="A144" s="26"/>
      <c r="B144" s="66"/>
      <c r="C144" s="58"/>
      <c r="D144" s="13"/>
      <c r="E144" s="70"/>
      <c r="F144" s="14"/>
      <c r="G144" s="11"/>
      <c r="H144" s="67"/>
      <c r="I144" s="12"/>
      <c r="J144" s="61"/>
      <c r="K144" s="71"/>
      <c r="L144" s="62"/>
      <c r="M144" s="58"/>
      <c r="N144" s="58"/>
      <c r="O144" s="58"/>
    </row>
    <row r="145" spans="1:15" x14ac:dyDescent="0.25">
      <c r="A145" s="26"/>
      <c r="B145" s="66"/>
      <c r="C145" s="58"/>
      <c r="D145" s="13"/>
      <c r="E145" s="70"/>
      <c r="F145" s="14"/>
      <c r="G145" s="11"/>
      <c r="H145" s="67"/>
      <c r="I145" s="12"/>
      <c r="J145" s="61"/>
      <c r="K145" s="71"/>
      <c r="L145" s="62"/>
      <c r="M145" s="58"/>
      <c r="N145" s="58"/>
      <c r="O145" s="58"/>
    </row>
    <row r="146" spans="1:15" x14ac:dyDescent="0.25">
      <c r="A146" s="26"/>
      <c r="B146" s="66"/>
      <c r="C146" s="58"/>
      <c r="D146" s="13"/>
      <c r="E146" s="70"/>
      <c r="F146" s="14"/>
      <c r="G146" s="11"/>
      <c r="H146" s="67"/>
      <c r="I146" s="12"/>
      <c r="J146" s="61"/>
      <c r="K146" s="71"/>
      <c r="L146" s="62"/>
      <c r="M146" s="58"/>
      <c r="N146" s="58"/>
      <c r="O146" s="58"/>
    </row>
    <row r="147" spans="1:15" x14ac:dyDescent="0.25">
      <c r="A147" s="26"/>
      <c r="B147" s="66"/>
      <c r="C147" s="58"/>
      <c r="D147" s="13"/>
      <c r="E147" s="70"/>
      <c r="F147" s="14"/>
      <c r="G147" s="11"/>
      <c r="H147" s="67"/>
      <c r="I147" s="12"/>
      <c r="J147" s="61"/>
      <c r="K147" s="71"/>
      <c r="L147" s="62"/>
      <c r="M147" s="58"/>
      <c r="N147" s="58"/>
      <c r="O147" s="58"/>
    </row>
    <row r="148" spans="1:15" x14ac:dyDescent="0.25">
      <c r="A148" s="26"/>
      <c r="B148" s="66"/>
      <c r="C148" s="58"/>
      <c r="D148" s="13"/>
      <c r="E148" s="70"/>
      <c r="F148" s="14"/>
      <c r="G148" s="11"/>
      <c r="H148" s="67"/>
      <c r="I148" s="12"/>
      <c r="J148" s="61"/>
      <c r="K148" s="71"/>
      <c r="L148" s="62"/>
      <c r="M148" s="58"/>
      <c r="N148" s="58"/>
      <c r="O148" s="58"/>
    </row>
    <row r="149" spans="1:15" x14ac:dyDescent="0.25">
      <c r="A149" s="26"/>
      <c r="B149" s="66"/>
      <c r="C149" s="58"/>
      <c r="D149" s="13"/>
      <c r="E149" s="70"/>
      <c r="F149" s="14"/>
      <c r="G149" s="11"/>
      <c r="H149" s="67"/>
      <c r="I149" s="12"/>
      <c r="J149" s="61"/>
      <c r="K149" s="71"/>
      <c r="L149" s="62"/>
      <c r="M149" s="58"/>
      <c r="N149" s="58"/>
      <c r="O149" s="58"/>
    </row>
    <row r="150" spans="1:15" x14ac:dyDescent="0.25">
      <c r="A150" s="26"/>
      <c r="B150" s="66"/>
      <c r="C150" s="58"/>
      <c r="D150" s="13"/>
      <c r="E150" s="70"/>
      <c r="F150" s="14"/>
      <c r="G150" s="11"/>
      <c r="H150" s="67"/>
      <c r="I150" s="12"/>
      <c r="J150" s="61"/>
      <c r="K150" s="71"/>
      <c r="L150" s="62"/>
      <c r="M150" s="58"/>
      <c r="N150" s="58"/>
      <c r="O150" s="58"/>
    </row>
    <row r="151" spans="1:15" x14ac:dyDescent="0.25">
      <c r="A151" s="26"/>
      <c r="B151" s="66"/>
      <c r="C151" s="58"/>
      <c r="D151" s="13"/>
      <c r="E151" s="70"/>
      <c r="F151" s="14"/>
      <c r="G151" s="11"/>
      <c r="H151" s="67"/>
      <c r="I151" s="12"/>
      <c r="J151" s="61"/>
      <c r="K151" s="71"/>
      <c r="L151" s="62"/>
      <c r="M151" s="58"/>
      <c r="N151" s="58"/>
      <c r="O151" s="58"/>
    </row>
    <row r="152" spans="1:15" x14ac:dyDescent="0.25">
      <c r="A152" s="26"/>
      <c r="B152" s="66"/>
      <c r="C152" s="58"/>
      <c r="D152" s="13"/>
      <c r="E152" s="70"/>
      <c r="F152" s="14"/>
      <c r="G152" s="11"/>
      <c r="H152" s="67"/>
      <c r="I152" s="12"/>
      <c r="J152" s="61"/>
      <c r="K152" s="71"/>
      <c r="L152" s="62"/>
      <c r="M152" s="58"/>
      <c r="N152" s="58"/>
      <c r="O152" s="58"/>
    </row>
    <row r="153" spans="1:15" x14ac:dyDescent="0.25">
      <c r="A153" s="26"/>
      <c r="B153" s="66"/>
      <c r="C153" s="58"/>
      <c r="D153" s="13"/>
      <c r="E153" s="14"/>
      <c r="F153" s="14"/>
      <c r="G153" s="11"/>
      <c r="H153" s="67"/>
      <c r="I153" s="12"/>
      <c r="J153" s="61"/>
      <c r="K153" s="71"/>
      <c r="L153" s="62"/>
      <c r="M153" s="58"/>
      <c r="N153" s="58"/>
      <c r="O153" s="58"/>
    </row>
    <row r="154" spans="1:15" x14ac:dyDescent="0.25">
      <c r="A154" s="26"/>
      <c r="B154" s="66"/>
      <c r="C154" s="58"/>
      <c r="D154" s="13"/>
      <c r="E154" s="14"/>
      <c r="F154" s="14"/>
      <c r="G154" s="11"/>
      <c r="H154" s="67"/>
      <c r="I154" s="12"/>
      <c r="J154" s="61"/>
      <c r="K154" s="71"/>
      <c r="L154" s="62"/>
      <c r="M154" s="58"/>
      <c r="N154" s="58"/>
      <c r="O154" s="58"/>
    </row>
    <row r="155" spans="1:15" x14ac:dyDescent="0.25">
      <c r="A155" s="26"/>
      <c r="B155" s="66"/>
      <c r="C155" s="58"/>
      <c r="D155" s="13"/>
      <c r="E155" s="70"/>
      <c r="F155" s="14"/>
      <c r="G155" s="11"/>
      <c r="H155" s="67"/>
      <c r="I155" s="12"/>
      <c r="J155" s="61"/>
      <c r="K155" s="71"/>
      <c r="L155" s="62"/>
      <c r="M155" s="58"/>
      <c r="N155" s="58"/>
      <c r="O155" s="58"/>
    </row>
    <row r="156" spans="1:15" x14ac:dyDescent="0.25">
      <c r="A156" s="26"/>
      <c r="B156" s="66"/>
      <c r="C156" s="58"/>
      <c r="D156" s="13"/>
      <c r="E156" s="14"/>
      <c r="F156" s="14"/>
      <c r="G156" s="11"/>
      <c r="H156" s="67"/>
      <c r="I156" s="12"/>
      <c r="J156" s="61"/>
      <c r="K156" s="71"/>
      <c r="L156" s="62"/>
      <c r="M156" s="58"/>
      <c r="N156" s="58"/>
      <c r="O156" s="58"/>
    </row>
    <row r="157" spans="1:15" x14ac:dyDescent="0.25">
      <c r="A157" s="26"/>
      <c r="B157" s="66"/>
      <c r="C157" s="58"/>
      <c r="D157" s="13"/>
      <c r="E157" s="14"/>
      <c r="F157" s="14"/>
      <c r="G157" s="11"/>
      <c r="H157" s="67"/>
      <c r="I157" s="12"/>
      <c r="J157" s="61"/>
      <c r="K157" s="71"/>
      <c r="L157" s="62"/>
      <c r="M157" s="58"/>
      <c r="N157" s="58"/>
      <c r="O157" s="58"/>
    </row>
    <row r="158" spans="1:15" x14ac:dyDescent="0.25">
      <c r="A158" s="26"/>
      <c r="B158" s="66"/>
      <c r="C158" s="58"/>
      <c r="D158" s="13"/>
      <c r="E158" s="14"/>
      <c r="F158" s="14"/>
      <c r="G158" s="11"/>
      <c r="H158" s="67"/>
      <c r="I158" s="12"/>
      <c r="J158" s="61"/>
      <c r="K158" s="71"/>
      <c r="L158" s="62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C5" workbookViewId="0">
      <pane ySplit="3" topLeftCell="A40" activePane="bottomLeft" state="frozen"/>
      <selection activeCell="A5" sqref="A5"/>
      <selection pane="bottomLeft" activeCell="F40" sqref="F4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SUBTOTAL(3,A8:A121)</f>
        <v>47</v>
      </c>
      <c r="B6" s="8">
        <f>SUBTOTAL(9,B8:B135)</f>
        <v>23025</v>
      </c>
      <c r="C6" s="35">
        <v>42918</v>
      </c>
      <c r="D6" s="8">
        <f>SUBTOTAL(3,D8:D120)</f>
        <v>39</v>
      </c>
      <c r="E6" s="1">
        <f>SUBTOTAL(9,E8:E120)</f>
        <v>23100</v>
      </c>
      <c r="F6" s="38">
        <v>42925</v>
      </c>
      <c r="G6" s="8">
        <f>SUBTOTAL(3,G8:G121)</f>
        <v>31</v>
      </c>
      <c r="H6" s="1">
        <f>SUBTOTAL(9,H8:H121)</f>
        <v>13200</v>
      </c>
      <c r="I6" s="39">
        <v>42932</v>
      </c>
      <c r="J6" s="8">
        <f>SUBTOTAL(3,J8:J110)</f>
        <v>22</v>
      </c>
      <c r="K6" s="1">
        <f>SUBTOTAL(9,K8:K110)</f>
        <v>8050</v>
      </c>
      <c r="L6" s="63">
        <v>42939</v>
      </c>
      <c r="M6" s="1">
        <f>SUBTOTAL(3,M8:M120)</f>
        <v>30</v>
      </c>
      <c r="N6" s="1">
        <f>SUBTOTAL(9,N8:N120)</f>
        <v>19800</v>
      </c>
      <c r="O6" s="85">
        <v>42946</v>
      </c>
      <c r="P6" s="15"/>
      <c r="Q6" s="30">
        <f>+A6+D6+G6+J6+M6</f>
        <v>169</v>
      </c>
      <c r="R6" s="29">
        <f>+B6+E6+H6+K6+N6</f>
        <v>87175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14656</v>
      </c>
      <c r="B8" s="49">
        <v>100</v>
      </c>
      <c r="C8" s="17" t="s">
        <v>30</v>
      </c>
      <c r="D8" s="13">
        <v>14703</v>
      </c>
      <c r="E8" s="70">
        <v>600</v>
      </c>
      <c r="F8" s="14" t="s">
        <v>371</v>
      </c>
      <c r="G8" s="11">
        <v>14742</v>
      </c>
      <c r="H8" s="67">
        <v>400</v>
      </c>
      <c r="I8" s="12"/>
      <c r="J8" s="61">
        <v>14773</v>
      </c>
      <c r="K8" s="71">
        <v>600</v>
      </c>
      <c r="L8" s="62" t="s">
        <v>297</v>
      </c>
      <c r="M8" s="75">
        <v>14795</v>
      </c>
      <c r="N8" s="73">
        <v>200</v>
      </c>
      <c r="O8" s="15" t="s">
        <v>428</v>
      </c>
      <c r="Q8" s="32"/>
      <c r="R8" s="32"/>
    </row>
    <row r="9" spans="1:18" x14ac:dyDescent="0.25">
      <c r="A9" s="16">
        <v>14657</v>
      </c>
      <c r="B9" s="49">
        <v>800</v>
      </c>
      <c r="C9" s="17" t="s">
        <v>320</v>
      </c>
      <c r="D9" s="13">
        <v>14704</v>
      </c>
      <c r="E9" s="70"/>
      <c r="F9" s="14" t="s">
        <v>140</v>
      </c>
      <c r="G9" s="11">
        <v>14743</v>
      </c>
      <c r="H9" s="67">
        <v>100</v>
      </c>
      <c r="I9" s="12"/>
      <c r="J9" s="61"/>
      <c r="K9" s="71"/>
      <c r="L9" s="62" t="s">
        <v>17</v>
      </c>
      <c r="M9" s="75">
        <v>14796</v>
      </c>
      <c r="N9" s="73">
        <v>600</v>
      </c>
      <c r="O9" s="15" t="s">
        <v>297</v>
      </c>
    </row>
    <row r="10" spans="1:18" x14ac:dyDescent="0.25">
      <c r="A10" s="16"/>
      <c r="B10" s="49"/>
      <c r="C10" s="17" t="s">
        <v>16</v>
      </c>
      <c r="D10" s="13"/>
      <c r="E10" s="70"/>
      <c r="F10" s="115">
        <v>42887</v>
      </c>
      <c r="G10" s="11">
        <v>14744</v>
      </c>
      <c r="H10" s="67"/>
      <c r="I10" s="12" t="s">
        <v>14</v>
      </c>
      <c r="J10" s="61">
        <v>14774</v>
      </c>
      <c r="K10" s="71">
        <v>200</v>
      </c>
      <c r="L10" s="62" t="s">
        <v>424</v>
      </c>
      <c r="M10" s="75"/>
      <c r="N10" s="73"/>
      <c r="O10" s="15" t="s">
        <v>17</v>
      </c>
    </row>
    <row r="11" spans="1:18" x14ac:dyDescent="0.25">
      <c r="A11" s="16">
        <v>14658</v>
      </c>
      <c r="B11" s="49">
        <v>300</v>
      </c>
      <c r="C11" s="17"/>
      <c r="D11" s="13">
        <v>14705</v>
      </c>
      <c r="E11" s="70"/>
      <c r="F11" s="14" t="s">
        <v>140</v>
      </c>
      <c r="G11" s="11">
        <v>14745</v>
      </c>
      <c r="H11" s="67">
        <v>400</v>
      </c>
      <c r="I11" s="12"/>
      <c r="J11" s="61">
        <v>14775</v>
      </c>
      <c r="K11" s="71">
        <v>400</v>
      </c>
      <c r="L11" s="62"/>
      <c r="M11" s="75">
        <v>14797</v>
      </c>
      <c r="N11" s="73">
        <v>400</v>
      </c>
      <c r="O11" s="15"/>
    </row>
    <row r="12" spans="1:18" x14ac:dyDescent="0.25">
      <c r="A12" s="16">
        <v>14659</v>
      </c>
      <c r="B12" s="49">
        <v>400</v>
      </c>
      <c r="C12" s="17"/>
      <c r="D12" s="13"/>
      <c r="E12" s="70"/>
      <c r="F12" s="115">
        <v>42887</v>
      </c>
      <c r="G12" s="11">
        <v>14746</v>
      </c>
      <c r="H12" s="67">
        <v>400</v>
      </c>
      <c r="I12" s="12"/>
      <c r="J12" s="61">
        <v>14776</v>
      </c>
      <c r="K12" s="71"/>
      <c r="L12" s="62" t="s">
        <v>44</v>
      </c>
      <c r="M12" s="75">
        <v>14798</v>
      </c>
      <c r="N12" s="73">
        <v>600</v>
      </c>
      <c r="O12" s="15" t="s">
        <v>357</v>
      </c>
    </row>
    <row r="13" spans="1:18" x14ac:dyDescent="0.25">
      <c r="A13" s="16">
        <v>14660</v>
      </c>
      <c r="B13" s="49">
        <v>1250</v>
      </c>
      <c r="C13" s="17" t="s">
        <v>282</v>
      </c>
      <c r="D13" s="13"/>
      <c r="E13" s="70"/>
      <c r="F13" s="14"/>
      <c r="G13" s="11">
        <v>14747</v>
      </c>
      <c r="H13" s="67">
        <v>800</v>
      </c>
      <c r="I13" s="12" t="s">
        <v>418</v>
      </c>
      <c r="J13" s="61">
        <v>14777</v>
      </c>
      <c r="K13" s="71">
        <v>100</v>
      </c>
      <c r="L13" s="62" t="s">
        <v>425</v>
      </c>
      <c r="M13" s="75"/>
      <c r="N13" s="73"/>
      <c r="O13" s="15" t="s">
        <v>17</v>
      </c>
    </row>
    <row r="14" spans="1:18" x14ac:dyDescent="0.25">
      <c r="A14" s="16"/>
      <c r="B14" s="49"/>
      <c r="C14" s="17" t="s">
        <v>139</v>
      </c>
      <c r="D14" s="13">
        <v>14706</v>
      </c>
      <c r="E14" s="70">
        <v>400</v>
      </c>
      <c r="F14" s="14" t="s">
        <v>297</v>
      </c>
      <c r="G14" s="11"/>
      <c r="H14" s="67"/>
      <c r="I14" s="12" t="s">
        <v>16</v>
      </c>
      <c r="J14" s="61">
        <v>14778</v>
      </c>
      <c r="K14" s="71">
        <v>500</v>
      </c>
      <c r="L14" s="62" t="s">
        <v>346</v>
      </c>
      <c r="M14" s="75">
        <v>14799</v>
      </c>
      <c r="N14" s="73">
        <v>400</v>
      </c>
      <c r="O14" s="31" t="s">
        <v>297</v>
      </c>
    </row>
    <row r="15" spans="1:18" x14ac:dyDescent="0.25">
      <c r="A15" s="16">
        <v>14661</v>
      </c>
      <c r="B15" s="49">
        <v>450</v>
      </c>
      <c r="C15" s="17" t="s">
        <v>401</v>
      </c>
      <c r="D15" s="13"/>
      <c r="E15" s="70"/>
      <c r="F15" s="14" t="s">
        <v>18</v>
      </c>
      <c r="G15" s="11">
        <v>14748</v>
      </c>
      <c r="H15" s="67">
        <v>400</v>
      </c>
      <c r="I15" s="12"/>
      <c r="J15" s="61">
        <v>14779</v>
      </c>
      <c r="K15" s="71">
        <v>500</v>
      </c>
      <c r="L15" s="62" t="s">
        <v>357</v>
      </c>
      <c r="M15" s="75"/>
      <c r="N15" s="73"/>
      <c r="O15" s="15" t="s">
        <v>18</v>
      </c>
    </row>
    <row r="16" spans="1:18" x14ac:dyDescent="0.25">
      <c r="A16" s="16">
        <v>14662</v>
      </c>
      <c r="B16" s="49">
        <v>400</v>
      </c>
      <c r="C16" s="17" t="s">
        <v>371</v>
      </c>
      <c r="D16" s="13">
        <v>14707</v>
      </c>
      <c r="E16" s="70">
        <v>400</v>
      </c>
      <c r="F16" s="14" t="s">
        <v>371</v>
      </c>
      <c r="G16" s="11">
        <v>14749</v>
      </c>
      <c r="H16" s="67">
        <v>800</v>
      </c>
      <c r="I16" s="12" t="s">
        <v>419</v>
      </c>
      <c r="J16" s="61"/>
      <c r="K16" s="71"/>
      <c r="L16" s="62" t="s">
        <v>20</v>
      </c>
      <c r="M16" s="75">
        <v>14800</v>
      </c>
      <c r="N16" s="73">
        <v>1200</v>
      </c>
      <c r="O16" s="15" t="s">
        <v>347</v>
      </c>
    </row>
    <row r="17" spans="1:15" x14ac:dyDescent="0.25">
      <c r="A17" s="16">
        <v>14663</v>
      </c>
      <c r="B17" s="49">
        <v>400</v>
      </c>
      <c r="C17" s="17"/>
      <c r="D17" s="13">
        <v>14708</v>
      </c>
      <c r="E17" s="70">
        <v>400</v>
      </c>
      <c r="F17" s="14" t="s">
        <v>320</v>
      </c>
      <c r="G17" s="11"/>
      <c r="H17" s="67"/>
      <c r="I17" s="12" t="s">
        <v>16</v>
      </c>
      <c r="J17" s="61">
        <v>14780</v>
      </c>
      <c r="K17" s="71">
        <v>200</v>
      </c>
      <c r="L17" s="62" t="s">
        <v>19</v>
      </c>
      <c r="M17" s="75"/>
      <c r="N17" s="73"/>
      <c r="O17" s="15" t="s">
        <v>16</v>
      </c>
    </row>
    <row r="18" spans="1:15" x14ac:dyDescent="0.25">
      <c r="A18" s="16">
        <v>14664</v>
      </c>
      <c r="B18" s="49">
        <v>400</v>
      </c>
      <c r="C18" s="17"/>
      <c r="D18" s="13"/>
      <c r="E18" s="70"/>
      <c r="F18" s="33" t="s">
        <v>18</v>
      </c>
      <c r="G18" s="11">
        <v>14750</v>
      </c>
      <c r="H18" s="67">
        <v>50</v>
      </c>
      <c r="I18" s="12" t="s">
        <v>420</v>
      </c>
      <c r="J18" s="61">
        <v>14781</v>
      </c>
      <c r="K18" s="71">
        <v>200</v>
      </c>
      <c r="L18" s="68" t="s">
        <v>19</v>
      </c>
      <c r="M18" s="75">
        <v>14801</v>
      </c>
      <c r="N18" s="73">
        <v>800</v>
      </c>
      <c r="O18" s="15" t="s">
        <v>305</v>
      </c>
    </row>
    <row r="19" spans="1:15" x14ac:dyDescent="0.25">
      <c r="A19" s="16">
        <v>14665</v>
      </c>
      <c r="B19" s="49">
        <v>200</v>
      </c>
      <c r="C19" s="17"/>
      <c r="D19" s="13">
        <v>14709</v>
      </c>
      <c r="E19" s="70">
        <v>800</v>
      </c>
      <c r="F19" s="14" t="s">
        <v>297</v>
      </c>
      <c r="G19" s="11">
        <v>14751</v>
      </c>
      <c r="H19" s="67">
        <v>400</v>
      </c>
      <c r="I19" s="12"/>
      <c r="J19" s="61">
        <v>14782</v>
      </c>
      <c r="K19" s="71">
        <v>300</v>
      </c>
      <c r="L19" s="62"/>
      <c r="M19" s="75"/>
      <c r="N19" s="73"/>
      <c r="O19" s="15" t="s">
        <v>18</v>
      </c>
    </row>
    <row r="20" spans="1:15" x14ac:dyDescent="0.25">
      <c r="A20" s="16">
        <v>14666</v>
      </c>
      <c r="B20" s="49">
        <v>450</v>
      </c>
      <c r="C20" s="17" t="s">
        <v>401</v>
      </c>
      <c r="D20" s="13"/>
      <c r="E20" s="70"/>
      <c r="F20" s="14" t="s">
        <v>16</v>
      </c>
      <c r="G20" s="11">
        <v>14752</v>
      </c>
      <c r="H20" s="67">
        <v>450</v>
      </c>
      <c r="I20" s="12" t="s">
        <v>401</v>
      </c>
      <c r="J20" s="61">
        <v>14783</v>
      </c>
      <c r="K20" s="71">
        <v>600</v>
      </c>
      <c r="L20" s="62" t="s">
        <v>297</v>
      </c>
      <c r="M20" s="75">
        <v>14802</v>
      </c>
      <c r="N20" s="73">
        <v>2000</v>
      </c>
      <c r="O20" s="15" t="s">
        <v>429</v>
      </c>
    </row>
    <row r="21" spans="1:15" x14ac:dyDescent="0.25">
      <c r="A21" s="16">
        <v>14667</v>
      </c>
      <c r="B21" s="49">
        <v>400</v>
      </c>
      <c r="C21" s="17" t="s">
        <v>371</v>
      </c>
      <c r="D21" s="13">
        <v>14710</v>
      </c>
      <c r="E21" s="70">
        <v>300</v>
      </c>
      <c r="F21" s="14"/>
      <c r="G21" s="11">
        <v>14753</v>
      </c>
      <c r="H21" s="67">
        <v>400</v>
      </c>
      <c r="I21" s="12"/>
      <c r="J21" s="61"/>
      <c r="K21" s="71"/>
      <c r="L21" s="62" t="s">
        <v>17</v>
      </c>
      <c r="M21" s="75"/>
      <c r="N21" s="73"/>
      <c r="O21" s="31" t="s">
        <v>430</v>
      </c>
    </row>
    <row r="22" spans="1:15" x14ac:dyDescent="0.25">
      <c r="A22" s="16">
        <v>14668</v>
      </c>
      <c r="B22" s="49">
        <v>125</v>
      </c>
      <c r="C22" s="17"/>
      <c r="D22" s="13">
        <v>14711</v>
      </c>
      <c r="E22" s="70">
        <v>450</v>
      </c>
      <c r="F22" s="14" t="s">
        <v>408</v>
      </c>
      <c r="G22" s="11">
        <v>14754</v>
      </c>
      <c r="H22" s="67">
        <v>800</v>
      </c>
      <c r="I22" s="12" t="s">
        <v>421</v>
      </c>
      <c r="J22" s="61">
        <v>14784</v>
      </c>
      <c r="K22" s="71">
        <v>450</v>
      </c>
      <c r="L22" s="62" t="s">
        <v>347</v>
      </c>
      <c r="M22" s="75">
        <v>14803</v>
      </c>
      <c r="N22" s="73">
        <v>400</v>
      </c>
      <c r="O22" s="15"/>
    </row>
    <row r="23" spans="1:15" x14ac:dyDescent="0.25">
      <c r="A23" s="16">
        <v>14669</v>
      </c>
      <c r="B23" s="49">
        <v>200</v>
      </c>
      <c r="C23" s="17"/>
      <c r="D23" s="13"/>
      <c r="E23" s="70"/>
      <c r="F23" s="14" t="s">
        <v>78</v>
      </c>
      <c r="G23" s="11"/>
      <c r="H23" s="67"/>
      <c r="I23" s="12" t="s">
        <v>16</v>
      </c>
      <c r="J23" s="61"/>
      <c r="K23" s="71"/>
      <c r="L23" s="62" t="s">
        <v>78</v>
      </c>
      <c r="M23" s="75">
        <v>14804</v>
      </c>
      <c r="N23" s="73">
        <v>400</v>
      </c>
      <c r="O23" s="15" t="s">
        <v>297</v>
      </c>
    </row>
    <row r="24" spans="1:15" x14ac:dyDescent="0.25">
      <c r="A24" s="16">
        <v>14670</v>
      </c>
      <c r="B24" s="49">
        <v>400</v>
      </c>
      <c r="C24" s="17"/>
      <c r="D24" s="13">
        <v>14712</v>
      </c>
      <c r="E24" s="70">
        <v>800</v>
      </c>
      <c r="F24" s="14" t="s">
        <v>409</v>
      </c>
      <c r="G24" s="11">
        <v>14755</v>
      </c>
      <c r="H24" s="67">
        <v>300</v>
      </c>
      <c r="I24" s="12"/>
      <c r="J24" s="61">
        <v>14785</v>
      </c>
      <c r="K24" s="71">
        <v>600</v>
      </c>
      <c r="L24" s="62" t="s">
        <v>347</v>
      </c>
      <c r="M24" s="75"/>
      <c r="N24" s="73"/>
      <c r="O24" s="15" t="s">
        <v>18</v>
      </c>
    </row>
    <row r="25" spans="1:15" x14ac:dyDescent="0.25">
      <c r="A25" s="16">
        <v>14671</v>
      </c>
      <c r="B25" s="49">
        <v>800</v>
      </c>
      <c r="C25" s="17" t="s">
        <v>357</v>
      </c>
      <c r="D25" s="13"/>
      <c r="E25" s="70"/>
      <c r="F25" s="14" t="s">
        <v>18</v>
      </c>
      <c r="G25" s="11">
        <v>14756</v>
      </c>
      <c r="H25" s="67">
        <v>400</v>
      </c>
      <c r="I25" s="12" t="s">
        <v>128</v>
      </c>
      <c r="J25" s="61"/>
      <c r="K25" s="71"/>
      <c r="L25" s="62" t="s">
        <v>18</v>
      </c>
      <c r="M25" s="75">
        <v>14805</v>
      </c>
      <c r="N25" s="73">
        <v>450</v>
      </c>
      <c r="O25" s="15" t="s">
        <v>431</v>
      </c>
    </row>
    <row r="26" spans="1:15" x14ac:dyDescent="0.25">
      <c r="A26" s="16"/>
      <c r="B26" s="49"/>
      <c r="C26" s="17" t="s">
        <v>16</v>
      </c>
      <c r="D26" s="13">
        <v>14713</v>
      </c>
      <c r="E26" s="70">
        <v>400</v>
      </c>
      <c r="F26" s="14" t="s">
        <v>371</v>
      </c>
      <c r="G26" s="11">
        <v>14757</v>
      </c>
      <c r="H26" s="67"/>
      <c r="I26" s="12" t="s">
        <v>14</v>
      </c>
      <c r="J26" s="61">
        <v>14786</v>
      </c>
      <c r="K26" s="71">
        <v>200</v>
      </c>
      <c r="L26" s="62" t="s">
        <v>19</v>
      </c>
      <c r="M26" s="75">
        <v>14806</v>
      </c>
      <c r="N26" s="73">
        <v>800</v>
      </c>
      <c r="O26" s="15" t="s">
        <v>320</v>
      </c>
    </row>
    <row r="27" spans="1:15" x14ac:dyDescent="0.25">
      <c r="A27" s="16">
        <v>14672</v>
      </c>
      <c r="B27" s="49">
        <v>800</v>
      </c>
      <c r="C27" s="17" t="s">
        <v>297</v>
      </c>
      <c r="D27" s="13">
        <v>14714</v>
      </c>
      <c r="E27" s="70">
        <v>300</v>
      </c>
      <c r="F27" s="14"/>
      <c r="G27" s="11">
        <v>14758</v>
      </c>
      <c r="H27" s="67">
        <v>50</v>
      </c>
      <c r="I27" s="12" t="s">
        <v>47</v>
      </c>
      <c r="J27" s="61">
        <v>14787</v>
      </c>
      <c r="K27" s="71">
        <v>400</v>
      </c>
      <c r="L27" s="62" t="s">
        <v>371</v>
      </c>
      <c r="M27" s="75"/>
      <c r="N27" s="73"/>
      <c r="O27" s="31" t="s">
        <v>16</v>
      </c>
    </row>
    <row r="28" spans="1:15" x14ac:dyDescent="0.25">
      <c r="A28" s="16"/>
      <c r="B28" s="49"/>
      <c r="C28" s="17" t="s">
        <v>16</v>
      </c>
      <c r="D28" s="13">
        <v>14715</v>
      </c>
      <c r="E28" s="70">
        <v>400</v>
      </c>
      <c r="F28" s="14" t="s">
        <v>346</v>
      </c>
      <c r="G28" s="11">
        <v>14759</v>
      </c>
      <c r="H28" s="67">
        <v>400</v>
      </c>
      <c r="I28" s="12" t="s">
        <v>371</v>
      </c>
      <c r="J28" s="61">
        <v>14788</v>
      </c>
      <c r="K28" s="71">
        <v>200</v>
      </c>
      <c r="L28" s="62" t="s">
        <v>426</v>
      </c>
      <c r="M28" s="75">
        <v>14807</v>
      </c>
      <c r="N28" s="73">
        <v>1200</v>
      </c>
      <c r="O28" s="15" t="s">
        <v>408</v>
      </c>
    </row>
    <row r="29" spans="1:15" x14ac:dyDescent="0.25">
      <c r="A29" s="16">
        <v>14673</v>
      </c>
      <c r="B29" s="49">
        <v>800</v>
      </c>
      <c r="C29" s="17" t="s">
        <v>297</v>
      </c>
      <c r="D29" s="13">
        <v>14716</v>
      </c>
      <c r="E29" s="70">
        <v>400</v>
      </c>
      <c r="F29" s="14"/>
      <c r="G29" s="11">
        <v>14760</v>
      </c>
      <c r="H29" s="67">
        <v>400</v>
      </c>
      <c r="I29" s="12"/>
      <c r="J29" s="61">
        <v>14789</v>
      </c>
      <c r="K29" s="71">
        <v>400</v>
      </c>
      <c r="L29" s="62"/>
      <c r="M29" s="75"/>
      <c r="N29" s="73"/>
      <c r="O29" s="15" t="s">
        <v>16</v>
      </c>
    </row>
    <row r="30" spans="1:15" x14ac:dyDescent="0.25">
      <c r="A30" s="16"/>
      <c r="B30" s="49"/>
      <c r="C30" s="17" t="s">
        <v>16</v>
      </c>
      <c r="D30" s="13">
        <v>14717</v>
      </c>
      <c r="E30" s="70">
        <v>800</v>
      </c>
      <c r="F30" s="14" t="s">
        <v>357</v>
      </c>
      <c r="G30" s="11">
        <v>14761</v>
      </c>
      <c r="H30" s="67">
        <v>300</v>
      </c>
      <c r="I30" s="12" t="s">
        <v>310</v>
      </c>
      <c r="J30" s="61">
        <v>14790</v>
      </c>
      <c r="K30" s="71">
        <v>600</v>
      </c>
      <c r="L30" s="62" t="s">
        <v>427</v>
      </c>
      <c r="M30" s="75">
        <v>14808</v>
      </c>
      <c r="N30" s="73">
        <v>800</v>
      </c>
      <c r="O30" s="15" t="s">
        <v>136</v>
      </c>
    </row>
    <row r="31" spans="1:15" x14ac:dyDescent="0.25">
      <c r="A31" s="16">
        <v>14674</v>
      </c>
      <c r="B31" s="49">
        <v>400</v>
      </c>
      <c r="C31" s="17"/>
      <c r="D31" s="13"/>
      <c r="E31" s="70"/>
      <c r="F31" s="14" t="s">
        <v>16</v>
      </c>
      <c r="G31" s="11">
        <v>14762</v>
      </c>
      <c r="H31" s="67">
        <v>400</v>
      </c>
      <c r="I31" s="12" t="s">
        <v>371</v>
      </c>
      <c r="J31" s="61">
        <v>14791</v>
      </c>
      <c r="K31" s="71">
        <v>400</v>
      </c>
      <c r="L31" s="62"/>
      <c r="M31" s="75"/>
      <c r="N31" s="73"/>
      <c r="O31" s="15" t="s">
        <v>16</v>
      </c>
    </row>
    <row r="32" spans="1:15" x14ac:dyDescent="0.25">
      <c r="A32" s="16">
        <v>14675</v>
      </c>
      <c r="B32" s="49">
        <v>50</v>
      </c>
      <c r="C32" s="17" t="s">
        <v>47</v>
      </c>
      <c r="D32" s="13">
        <v>14718</v>
      </c>
      <c r="E32" s="70">
        <v>1000</v>
      </c>
      <c r="F32" s="14" t="s">
        <v>410</v>
      </c>
      <c r="G32" s="11">
        <v>14763</v>
      </c>
      <c r="H32" s="67">
        <v>600</v>
      </c>
      <c r="I32" s="12" t="s">
        <v>422</v>
      </c>
      <c r="J32" s="61">
        <v>14792</v>
      </c>
      <c r="K32" s="71">
        <v>200</v>
      </c>
      <c r="L32" s="62"/>
      <c r="M32" s="75">
        <v>14809</v>
      </c>
      <c r="N32" s="73">
        <v>200</v>
      </c>
      <c r="O32" s="15" t="s">
        <v>428</v>
      </c>
    </row>
    <row r="33" spans="1:15" x14ac:dyDescent="0.25">
      <c r="A33" s="16">
        <v>14676</v>
      </c>
      <c r="B33" s="49">
        <v>300</v>
      </c>
      <c r="C33" s="17"/>
      <c r="D33" s="13"/>
      <c r="E33" s="70"/>
      <c r="F33" s="14" t="s">
        <v>18</v>
      </c>
      <c r="G33" s="11"/>
      <c r="H33" s="67"/>
      <c r="I33" s="12" t="s">
        <v>423</v>
      </c>
      <c r="J33" s="61">
        <v>14793</v>
      </c>
      <c r="K33" s="71">
        <v>600</v>
      </c>
      <c r="L33" s="62" t="s">
        <v>347</v>
      </c>
      <c r="M33" s="75">
        <v>14810</v>
      </c>
      <c r="N33" s="73">
        <v>1600</v>
      </c>
      <c r="O33" s="15" t="s">
        <v>284</v>
      </c>
    </row>
    <row r="34" spans="1:15" x14ac:dyDescent="0.25">
      <c r="A34" s="16">
        <v>14677</v>
      </c>
      <c r="B34" s="49">
        <v>800</v>
      </c>
      <c r="C34" s="17" t="s">
        <v>357</v>
      </c>
      <c r="D34" s="102">
        <v>14719</v>
      </c>
      <c r="E34" s="70">
        <v>400</v>
      </c>
      <c r="F34" s="14"/>
      <c r="G34" s="11">
        <v>14764</v>
      </c>
      <c r="H34" s="67">
        <v>600</v>
      </c>
      <c r="I34" s="12" t="s">
        <v>422</v>
      </c>
      <c r="J34" s="61"/>
      <c r="K34" s="71"/>
      <c r="L34" s="62" t="s">
        <v>18</v>
      </c>
      <c r="M34" s="75"/>
      <c r="N34" s="73"/>
      <c r="O34" s="31" t="s">
        <v>16</v>
      </c>
    </row>
    <row r="35" spans="1:15" x14ac:dyDescent="0.25">
      <c r="A35" s="16"/>
      <c r="B35" s="49"/>
      <c r="C35" s="17" t="s">
        <v>16</v>
      </c>
      <c r="D35" s="13">
        <v>14720</v>
      </c>
      <c r="E35" s="70">
        <v>400</v>
      </c>
      <c r="F35" s="14"/>
      <c r="G35" s="11"/>
      <c r="H35" s="67"/>
      <c r="I35" s="12" t="s">
        <v>17</v>
      </c>
      <c r="J35" s="61">
        <v>14794</v>
      </c>
      <c r="K35" s="71">
        <v>400</v>
      </c>
      <c r="L35" s="62"/>
      <c r="M35" s="75">
        <v>14811</v>
      </c>
      <c r="N35" s="73">
        <v>400</v>
      </c>
      <c r="O35" s="15" t="s">
        <v>432</v>
      </c>
    </row>
    <row r="36" spans="1:15" x14ac:dyDescent="0.25">
      <c r="A36" s="16">
        <v>14678</v>
      </c>
      <c r="B36" s="49">
        <v>300</v>
      </c>
      <c r="C36" s="17"/>
      <c r="D36" s="13">
        <v>14721</v>
      </c>
      <c r="E36" s="70">
        <v>350</v>
      </c>
      <c r="F36" s="14" t="s">
        <v>411</v>
      </c>
      <c r="G36" s="11">
        <v>14765</v>
      </c>
      <c r="H36" s="67">
        <v>400</v>
      </c>
      <c r="I36" s="12"/>
      <c r="J36" s="61"/>
      <c r="K36" s="71"/>
      <c r="L36" s="62"/>
      <c r="M36" s="75"/>
      <c r="N36" s="73"/>
      <c r="O36" s="15" t="s">
        <v>18</v>
      </c>
    </row>
    <row r="37" spans="1:15" x14ac:dyDescent="0.25">
      <c r="A37" s="16">
        <v>14679</v>
      </c>
      <c r="B37" s="49">
        <v>200</v>
      </c>
      <c r="C37" s="17" t="s">
        <v>19</v>
      </c>
      <c r="D37" s="13"/>
      <c r="E37" s="70"/>
      <c r="F37" s="14" t="s">
        <v>412</v>
      </c>
      <c r="G37" s="11">
        <v>14766</v>
      </c>
      <c r="H37" s="67">
        <v>400</v>
      </c>
      <c r="I37" s="12"/>
      <c r="J37" s="61"/>
      <c r="K37" s="71"/>
      <c r="L37" s="62"/>
      <c r="M37" s="75">
        <v>14812</v>
      </c>
      <c r="N37" s="73">
        <v>400</v>
      </c>
      <c r="O37" s="15" t="s">
        <v>433</v>
      </c>
    </row>
    <row r="38" spans="1:15" x14ac:dyDescent="0.25">
      <c r="A38" s="16">
        <v>14680</v>
      </c>
      <c r="B38" s="49">
        <v>800</v>
      </c>
      <c r="C38" s="17" t="s">
        <v>320</v>
      </c>
      <c r="D38" s="13">
        <v>14722</v>
      </c>
      <c r="E38" s="70">
        <v>600</v>
      </c>
      <c r="F38" s="14" t="s">
        <v>297</v>
      </c>
      <c r="G38" s="11">
        <v>14767</v>
      </c>
      <c r="H38" s="67">
        <v>600</v>
      </c>
      <c r="I38" s="12" t="s">
        <v>421</v>
      </c>
      <c r="J38" s="61"/>
      <c r="K38" s="71"/>
      <c r="L38" s="62"/>
      <c r="M38" s="75">
        <v>14813</v>
      </c>
      <c r="N38" s="73">
        <v>400</v>
      </c>
      <c r="O38" s="15" t="s">
        <v>357</v>
      </c>
    </row>
    <row r="39" spans="1:15" x14ac:dyDescent="0.25">
      <c r="A39" s="16"/>
      <c r="B39" s="49"/>
      <c r="C39" s="17" t="s">
        <v>16</v>
      </c>
      <c r="D39" s="13"/>
      <c r="E39" s="70"/>
      <c r="F39" s="14" t="s">
        <v>17</v>
      </c>
      <c r="G39" s="11"/>
      <c r="H39" s="67"/>
      <c r="I39" s="12" t="s">
        <v>17</v>
      </c>
      <c r="J39" s="61"/>
      <c r="K39" s="71"/>
      <c r="L39" s="62"/>
      <c r="M39" s="75"/>
      <c r="N39" s="73"/>
      <c r="O39" s="15" t="s">
        <v>18</v>
      </c>
    </row>
    <row r="40" spans="1:15" x14ac:dyDescent="0.25">
      <c r="A40" s="16">
        <v>14681</v>
      </c>
      <c r="B40" s="49">
        <v>1200</v>
      </c>
      <c r="C40" s="17" t="s">
        <v>402</v>
      </c>
      <c r="D40" s="13">
        <v>14723</v>
      </c>
      <c r="E40" s="70">
        <v>300</v>
      </c>
      <c r="F40" s="14" t="s">
        <v>371</v>
      </c>
      <c r="G40" s="11">
        <v>14768</v>
      </c>
      <c r="H40" s="67">
        <v>300</v>
      </c>
      <c r="I40" s="12" t="s">
        <v>371</v>
      </c>
      <c r="J40" s="61"/>
      <c r="K40" s="71"/>
      <c r="L40" s="62"/>
      <c r="M40" s="75">
        <v>14814</v>
      </c>
      <c r="N40" s="73">
        <v>400</v>
      </c>
      <c r="O40" s="15" t="s">
        <v>346</v>
      </c>
    </row>
    <row r="41" spans="1:15" x14ac:dyDescent="0.25">
      <c r="A41" s="16"/>
      <c r="B41" s="49"/>
      <c r="C41" s="17" t="s">
        <v>16</v>
      </c>
      <c r="D41" s="13">
        <v>14724</v>
      </c>
      <c r="E41" s="70">
        <v>300</v>
      </c>
      <c r="F41" s="14"/>
      <c r="G41" s="11">
        <v>14769</v>
      </c>
      <c r="H41" s="67">
        <v>400</v>
      </c>
      <c r="I41" s="12" t="s">
        <v>310</v>
      </c>
      <c r="J41" s="61"/>
      <c r="K41" s="71"/>
      <c r="L41" s="62"/>
      <c r="M41" s="75">
        <v>14815</v>
      </c>
      <c r="N41" s="73">
        <v>850</v>
      </c>
      <c r="O41" s="15" t="s">
        <v>138</v>
      </c>
    </row>
    <row r="42" spans="1:15" x14ac:dyDescent="0.25">
      <c r="A42" s="16">
        <v>14682</v>
      </c>
      <c r="B42" s="49">
        <v>300</v>
      </c>
      <c r="C42" s="17"/>
      <c r="D42" s="13">
        <v>14725</v>
      </c>
      <c r="E42" s="70">
        <v>200</v>
      </c>
      <c r="F42" s="14"/>
      <c r="G42" s="11">
        <v>14770</v>
      </c>
      <c r="H42" s="67">
        <v>250</v>
      </c>
      <c r="I42" s="12" t="s">
        <v>371</v>
      </c>
      <c r="J42" s="61"/>
      <c r="K42" s="71"/>
      <c r="L42" s="62"/>
      <c r="M42" s="75"/>
      <c r="N42" s="73"/>
      <c r="O42" s="15" t="s">
        <v>434</v>
      </c>
    </row>
    <row r="43" spans="1:15" x14ac:dyDescent="0.25">
      <c r="A43" s="16">
        <v>14683</v>
      </c>
      <c r="B43" s="49">
        <v>600</v>
      </c>
      <c r="C43" s="17" t="s">
        <v>403</v>
      </c>
      <c r="D43" s="13">
        <v>14726</v>
      </c>
      <c r="E43" s="70">
        <v>400</v>
      </c>
      <c r="F43" s="14"/>
      <c r="G43" s="11">
        <v>14771</v>
      </c>
      <c r="H43" s="67">
        <v>1200</v>
      </c>
      <c r="I43" s="12" t="s">
        <v>408</v>
      </c>
      <c r="J43" s="61"/>
      <c r="K43" s="71"/>
      <c r="L43" s="62"/>
      <c r="M43" s="75">
        <v>14816</v>
      </c>
      <c r="N43" s="73">
        <v>600</v>
      </c>
      <c r="O43" s="15" t="s">
        <v>357</v>
      </c>
    </row>
    <row r="44" spans="1:15" x14ac:dyDescent="0.25">
      <c r="A44" s="16"/>
      <c r="B44" s="49"/>
      <c r="C44" s="17" t="s">
        <v>404</v>
      </c>
      <c r="D44" s="13">
        <v>14727</v>
      </c>
      <c r="E44" s="70">
        <v>500</v>
      </c>
      <c r="F44" s="14" t="s">
        <v>413</v>
      </c>
      <c r="G44" s="11"/>
      <c r="H44" s="67"/>
      <c r="I44" s="12" t="s">
        <v>16</v>
      </c>
      <c r="J44" s="61"/>
      <c r="K44" s="71"/>
      <c r="L44" s="62"/>
      <c r="M44" s="75"/>
      <c r="N44" s="73"/>
      <c r="O44" s="15" t="s">
        <v>17</v>
      </c>
    </row>
    <row r="45" spans="1:15" x14ac:dyDescent="0.25">
      <c r="A45" s="16">
        <v>14684</v>
      </c>
      <c r="B45" s="49">
        <v>400</v>
      </c>
      <c r="C45" s="17"/>
      <c r="D45" s="13">
        <v>14728</v>
      </c>
      <c r="E45" s="70">
        <v>800</v>
      </c>
      <c r="F45" s="14" t="s">
        <v>297</v>
      </c>
      <c r="G45" s="11">
        <v>14772</v>
      </c>
      <c r="H45" s="67">
        <v>800</v>
      </c>
      <c r="I45" s="12" t="s">
        <v>418</v>
      </c>
      <c r="J45" s="61"/>
      <c r="K45" s="71"/>
      <c r="L45" s="62"/>
      <c r="M45" s="75">
        <v>14817</v>
      </c>
      <c r="N45" s="73">
        <v>400</v>
      </c>
      <c r="O45" s="15" t="s">
        <v>371</v>
      </c>
    </row>
    <row r="46" spans="1:15" x14ac:dyDescent="0.25">
      <c r="A46" s="16">
        <v>14685</v>
      </c>
      <c r="B46" s="49">
        <v>800</v>
      </c>
      <c r="C46" s="17" t="s">
        <v>136</v>
      </c>
      <c r="D46" s="13"/>
      <c r="E46" s="70"/>
      <c r="F46" s="14" t="s">
        <v>16</v>
      </c>
      <c r="G46" s="11"/>
      <c r="H46" s="67"/>
      <c r="I46" s="12" t="s">
        <v>16</v>
      </c>
      <c r="J46" s="61"/>
      <c r="K46" s="71"/>
      <c r="L46" s="62"/>
      <c r="M46" s="75">
        <v>14818</v>
      </c>
      <c r="N46" s="73">
        <v>400</v>
      </c>
      <c r="O46" s="15" t="s">
        <v>281</v>
      </c>
    </row>
    <row r="47" spans="1:15" x14ac:dyDescent="0.25">
      <c r="A47" s="16"/>
      <c r="B47" s="49"/>
      <c r="C47" s="17" t="s">
        <v>16</v>
      </c>
      <c r="D47" s="13">
        <v>14729</v>
      </c>
      <c r="E47" s="70">
        <v>400</v>
      </c>
      <c r="F47" s="14" t="s">
        <v>371</v>
      </c>
      <c r="G47" s="11"/>
      <c r="H47" s="67"/>
      <c r="I47" s="12"/>
      <c r="J47" s="61"/>
      <c r="K47" s="71"/>
      <c r="L47" s="62"/>
      <c r="M47" s="75"/>
      <c r="N47" s="73"/>
      <c r="O47" s="15" t="s">
        <v>18</v>
      </c>
    </row>
    <row r="48" spans="1:15" x14ac:dyDescent="0.25">
      <c r="A48" s="16">
        <v>14686</v>
      </c>
      <c r="B48" s="49">
        <v>800</v>
      </c>
      <c r="C48" s="17" t="s">
        <v>320</v>
      </c>
      <c r="D48" s="13">
        <v>14730</v>
      </c>
      <c r="E48" s="70">
        <v>500</v>
      </c>
      <c r="F48" s="14" t="s">
        <v>297</v>
      </c>
      <c r="G48" s="11"/>
      <c r="H48" s="67"/>
      <c r="I48" s="12"/>
      <c r="J48" s="61"/>
      <c r="K48" s="71"/>
      <c r="L48" s="62"/>
      <c r="M48" s="75">
        <v>14819</v>
      </c>
      <c r="N48" s="73">
        <v>400</v>
      </c>
      <c r="O48" s="15" t="s">
        <v>346</v>
      </c>
    </row>
    <row r="49" spans="1:15" x14ac:dyDescent="0.25">
      <c r="A49" s="16"/>
      <c r="B49" s="49"/>
      <c r="C49" s="17" t="s">
        <v>16</v>
      </c>
      <c r="D49" s="13"/>
      <c r="E49" s="70"/>
      <c r="F49" s="14" t="s">
        <v>20</v>
      </c>
      <c r="G49" s="11"/>
      <c r="H49" s="67"/>
      <c r="I49" s="12"/>
      <c r="J49" s="61"/>
      <c r="K49" s="71"/>
      <c r="L49" s="62"/>
      <c r="M49" s="75">
        <v>14820</v>
      </c>
      <c r="N49" s="73">
        <v>400</v>
      </c>
      <c r="O49" s="15"/>
    </row>
    <row r="50" spans="1:15" x14ac:dyDescent="0.25">
      <c r="A50" s="16">
        <v>14687</v>
      </c>
      <c r="B50" s="49">
        <v>1000</v>
      </c>
      <c r="C50" s="17" t="s">
        <v>320</v>
      </c>
      <c r="D50" s="13">
        <v>14731</v>
      </c>
      <c r="E50" s="70">
        <v>1400</v>
      </c>
      <c r="F50" s="14" t="s">
        <v>282</v>
      </c>
      <c r="G50" s="11"/>
      <c r="H50" s="67"/>
      <c r="I50" s="12"/>
      <c r="J50" s="61"/>
      <c r="K50" s="71"/>
      <c r="L50" s="62"/>
      <c r="M50" s="75">
        <v>14821</v>
      </c>
      <c r="N50" s="73">
        <v>700</v>
      </c>
      <c r="O50" s="15" t="s">
        <v>435</v>
      </c>
    </row>
    <row r="51" spans="1:15" x14ac:dyDescent="0.25">
      <c r="A51" s="16"/>
      <c r="B51" s="49"/>
      <c r="C51" s="17" t="s">
        <v>405</v>
      </c>
      <c r="D51" s="13"/>
      <c r="E51" s="70"/>
      <c r="F51" s="14" t="s">
        <v>405</v>
      </c>
      <c r="G51" s="11"/>
      <c r="H51" s="67"/>
      <c r="I51" s="12"/>
      <c r="J51" s="61"/>
      <c r="K51" s="71"/>
      <c r="L51" s="62"/>
      <c r="M51" s="75"/>
      <c r="N51" s="73"/>
      <c r="O51" s="15" t="s">
        <v>154</v>
      </c>
    </row>
    <row r="52" spans="1:15" x14ac:dyDescent="0.25">
      <c r="A52" s="16">
        <v>14688</v>
      </c>
      <c r="B52" s="49">
        <v>400</v>
      </c>
      <c r="C52" s="17"/>
      <c r="D52" s="13">
        <v>14732</v>
      </c>
      <c r="E52" s="70">
        <v>1000</v>
      </c>
      <c r="F52" s="14" t="s">
        <v>414</v>
      </c>
      <c r="G52" s="11"/>
      <c r="H52" s="67"/>
      <c r="I52" s="12"/>
      <c r="J52" s="61"/>
      <c r="K52" s="71"/>
      <c r="L52" s="68"/>
      <c r="M52" s="75">
        <v>14822</v>
      </c>
      <c r="N52" s="73">
        <v>400</v>
      </c>
      <c r="O52" s="15"/>
    </row>
    <row r="53" spans="1:15" x14ac:dyDescent="0.25">
      <c r="A53" s="16">
        <v>14689</v>
      </c>
      <c r="B53" s="49">
        <v>400</v>
      </c>
      <c r="C53" s="17"/>
      <c r="D53" s="13"/>
      <c r="E53" s="70"/>
      <c r="F53" s="14" t="s">
        <v>415</v>
      </c>
      <c r="G53" s="11"/>
      <c r="H53" s="67"/>
      <c r="I53" s="12"/>
      <c r="J53" s="61"/>
      <c r="K53" s="71"/>
      <c r="L53" s="62"/>
      <c r="M53" s="75">
        <v>14823</v>
      </c>
      <c r="N53" s="73">
        <v>1200</v>
      </c>
      <c r="O53" s="15" t="s">
        <v>347</v>
      </c>
    </row>
    <row r="54" spans="1:15" x14ac:dyDescent="0.25">
      <c r="A54" s="16">
        <v>14690</v>
      </c>
      <c r="B54" s="49">
        <v>400</v>
      </c>
      <c r="C54" s="17"/>
      <c r="D54" s="13">
        <v>14733</v>
      </c>
      <c r="E54" s="70">
        <v>400</v>
      </c>
      <c r="F54" s="14" t="s">
        <v>297</v>
      </c>
      <c r="G54" s="11"/>
      <c r="H54" s="67"/>
      <c r="I54" s="12"/>
      <c r="J54" s="61"/>
      <c r="K54" s="71"/>
      <c r="L54" s="62"/>
      <c r="M54" s="75"/>
      <c r="N54" s="73"/>
      <c r="O54" s="15" t="s">
        <v>16</v>
      </c>
    </row>
    <row r="55" spans="1:15" x14ac:dyDescent="0.25">
      <c r="A55" s="16">
        <v>14691</v>
      </c>
      <c r="B55" s="49">
        <v>600</v>
      </c>
      <c r="C55" s="17" t="s">
        <v>406</v>
      </c>
      <c r="D55" s="13"/>
      <c r="E55" s="70"/>
      <c r="F55" s="14" t="s">
        <v>18</v>
      </c>
      <c r="G55" s="11"/>
      <c r="H55" s="67"/>
      <c r="I55" s="12"/>
      <c r="J55" s="61"/>
      <c r="K55" s="71"/>
      <c r="L55" s="62"/>
      <c r="M55" s="75">
        <v>14824</v>
      </c>
      <c r="N55" s="73">
        <v>800</v>
      </c>
      <c r="O55" s="15" t="s">
        <v>297</v>
      </c>
    </row>
    <row r="56" spans="1:15" x14ac:dyDescent="0.25">
      <c r="A56" s="16">
        <v>14692</v>
      </c>
      <c r="B56" s="49">
        <v>400</v>
      </c>
      <c r="C56" s="17"/>
      <c r="D56" s="13">
        <v>14734</v>
      </c>
      <c r="E56" s="70">
        <v>800</v>
      </c>
      <c r="F56" s="14" t="s">
        <v>297</v>
      </c>
      <c r="G56" s="11"/>
      <c r="H56" s="67"/>
      <c r="I56" s="12"/>
      <c r="J56" s="61"/>
      <c r="K56" s="71"/>
      <c r="L56" s="62"/>
      <c r="M56" s="75"/>
      <c r="N56" s="73"/>
      <c r="O56" s="15" t="s">
        <v>16</v>
      </c>
    </row>
    <row r="57" spans="1:15" x14ac:dyDescent="0.25">
      <c r="A57" s="16">
        <v>14693</v>
      </c>
      <c r="B57" s="49">
        <v>400</v>
      </c>
      <c r="C57" s="17" t="s">
        <v>371</v>
      </c>
      <c r="D57" s="13"/>
      <c r="E57" s="70"/>
      <c r="F57" s="14" t="s">
        <v>16</v>
      </c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14694</v>
      </c>
      <c r="B58" s="49">
        <v>400</v>
      </c>
      <c r="C58" s="17" t="s">
        <v>371</v>
      </c>
      <c r="D58" s="13">
        <v>14735</v>
      </c>
      <c r="E58" s="70">
        <v>900</v>
      </c>
      <c r="F58" s="14" t="s">
        <v>79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14695</v>
      </c>
      <c r="B59" s="49">
        <v>400</v>
      </c>
      <c r="C59" s="17"/>
      <c r="D59" s="13"/>
      <c r="E59" s="70"/>
      <c r="F59" s="14" t="s">
        <v>17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14696</v>
      </c>
      <c r="B60" s="49">
        <v>300</v>
      </c>
      <c r="C60" s="17"/>
      <c r="D60" s="13">
        <v>14736</v>
      </c>
      <c r="E60" s="70">
        <v>1200</v>
      </c>
      <c r="F60" s="14" t="s">
        <v>347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14697</v>
      </c>
      <c r="B61" s="49">
        <v>400</v>
      </c>
      <c r="C61" s="17" t="s">
        <v>48</v>
      </c>
      <c r="D61" s="13"/>
      <c r="E61" s="70"/>
      <c r="F61" s="14" t="s">
        <v>16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14698</v>
      </c>
      <c r="B62" s="49">
        <v>1000</v>
      </c>
      <c r="C62" s="17" t="s">
        <v>407</v>
      </c>
      <c r="D62" s="13">
        <v>14737</v>
      </c>
      <c r="E62" s="70">
        <v>400</v>
      </c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 t="s">
        <v>263</v>
      </c>
      <c r="D63" s="13">
        <v>14738</v>
      </c>
      <c r="E63" s="70">
        <v>800</v>
      </c>
      <c r="F63" s="14" t="s">
        <v>297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14699</v>
      </c>
      <c r="B64" s="49">
        <v>300</v>
      </c>
      <c r="C64" s="17" t="s">
        <v>371</v>
      </c>
      <c r="D64" s="13"/>
      <c r="E64" s="70"/>
      <c r="F64" s="14" t="s">
        <v>16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14700</v>
      </c>
      <c r="B65" s="49">
        <v>200</v>
      </c>
      <c r="C65" s="17" t="s">
        <v>371</v>
      </c>
      <c r="D65" s="13">
        <v>14739</v>
      </c>
      <c r="E65" s="70">
        <v>200</v>
      </c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14701</v>
      </c>
      <c r="B66" s="49">
        <v>500</v>
      </c>
      <c r="C66" s="17"/>
      <c r="D66" s="13">
        <v>14740</v>
      </c>
      <c r="E66" s="70">
        <v>3000</v>
      </c>
      <c r="F66" s="14" t="s">
        <v>416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14702</v>
      </c>
      <c r="B67" s="49">
        <v>300</v>
      </c>
      <c r="C67" s="17"/>
      <c r="D67" s="13"/>
      <c r="E67" s="70"/>
      <c r="F67" s="14" t="s">
        <v>417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/>
      <c r="E68" s="70"/>
      <c r="F68" s="14" t="s">
        <v>16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>
        <v>14741</v>
      </c>
      <c r="E69" s="70">
        <v>400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75"/>
      <c r="N136" s="73"/>
      <c r="O136" s="15"/>
    </row>
    <row r="137" spans="1:15" x14ac:dyDescent="0.25">
      <c r="A137" s="26"/>
      <c r="B137" s="58"/>
      <c r="C137" s="58"/>
      <c r="D137" s="26"/>
      <c r="E137" s="58"/>
      <c r="F137" s="58"/>
      <c r="G137" s="26"/>
      <c r="H137" s="58"/>
      <c r="I137" s="58"/>
      <c r="J137" s="58"/>
      <c r="K137" s="58"/>
      <c r="L137" s="58"/>
    </row>
    <row r="138" spans="1:15" x14ac:dyDescent="0.25">
      <c r="A138" s="26"/>
      <c r="B138" s="58"/>
      <c r="C138" s="58"/>
      <c r="D138" s="26"/>
      <c r="E138" s="58"/>
      <c r="F138" s="58"/>
      <c r="G138" s="26"/>
      <c r="H138" s="58"/>
      <c r="I138" s="58"/>
      <c r="J138" s="58"/>
      <c r="K138" s="58"/>
      <c r="L138" s="58"/>
    </row>
    <row r="139" spans="1:15" x14ac:dyDescent="0.25">
      <c r="A139" s="26"/>
      <c r="B139" s="58"/>
      <c r="C139" s="58"/>
      <c r="D139" s="26"/>
      <c r="E139" s="58"/>
      <c r="F139" s="58"/>
      <c r="G139" s="26"/>
      <c r="H139" s="58"/>
      <c r="I139" s="58"/>
      <c r="J139" s="58"/>
      <c r="K139" s="58"/>
      <c r="L139" s="58"/>
    </row>
    <row r="140" spans="1:15" x14ac:dyDescent="0.25">
      <c r="A140" s="26"/>
      <c r="B140" s="58"/>
      <c r="C140" s="58"/>
      <c r="D140" s="26"/>
      <c r="E140" s="58"/>
      <c r="F140" s="58"/>
      <c r="G140" s="26"/>
      <c r="H140" s="58"/>
      <c r="I140" s="58"/>
      <c r="J140" s="58"/>
      <c r="K140" s="58"/>
      <c r="L140" s="58"/>
    </row>
    <row r="141" spans="1:15" x14ac:dyDescent="0.25">
      <c r="A141" s="26"/>
      <c r="B141" s="58"/>
      <c r="C141" s="58"/>
      <c r="D141" s="26"/>
      <c r="E141" s="58"/>
      <c r="F141" s="58"/>
      <c r="G141" s="26"/>
      <c r="H141" s="58"/>
      <c r="I141" s="58"/>
      <c r="J141" s="58"/>
      <c r="K141" s="58"/>
      <c r="L141" s="58"/>
    </row>
    <row r="142" spans="1:15" x14ac:dyDescent="0.25">
      <c r="A142" s="26"/>
      <c r="B142" s="58"/>
      <c r="C142" s="58"/>
      <c r="D142" s="26"/>
      <c r="E142" s="58"/>
      <c r="F142" s="58"/>
      <c r="G142" s="26"/>
      <c r="H142" s="58"/>
      <c r="I142" s="58"/>
      <c r="J142" s="58"/>
      <c r="K142" s="58"/>
      <c r="L142" s="58"/>
    </row>
    <row r="143" spans="1:15" x14ac:dyDescent="0.25">
      <c r="A143" s="26"/>
      <c r="B143" s="58"/>
      <c r="C143" s="58"/>
      <c r="D143" s="26"/>
      <c r="E143" s="58"/>
      <c r="F143" s="58"/>
      <c r="G143" s="26"/>
      <c r="H143" s="58"/>
      <c r="I143" s="58"/>
      <c r="J143" s="58"/>
      <c r="K143" s="58"/>
      <c r="L143" s="58"/>
    </row>
    <row r="144" spans="1:15" x14ac:dyDescent="0.25">
      <c r="A144" s="26"/>
      <c r="B144" s="58"/>
      <c r="C144" s="58"/>
      <c r="D144" s="26"/>
      <c r="E144" s="58"/>
      <c r="F144" s="58"/>
      <c r="G144" s="26"/>
      <c r="H144" s="58"/>
      <c r="I144" s="58"/>
      <c r="J144" s="58"/>
      <c r="K144" s="58"/>
      <c r="L144" s="58"/>
    </row>
    <row r="145" spans="1:12" x14ac:dyDescent="0.25">
      <c r="A145" s="26"/>
      <c r="B145" s="58"/>
      <c r="C145" s="58"/>
      <c r="D145" s="26"/>
      <c r="E145" s="58"/>
      <c r="F145" s="58"/>
      <c r="G145" s="26"/>
      <c r="H145" s="58"/>
      <c r="I145" s="58"/>
      <c r="J145" s="58"/>
      <c r="K145" s="58"/>
      <c r="L145" s="58"/>
    </row>
    <row r="146" spans="1:12" x14ac:dyDescent="0.25">
      <c r="A146" s="26"/>
      <c r="B146" s="58"/>
      <c r="C146" s="58"/>
      <c r="D146" s="26"/>
      <c r="E146" s="58"/>
      <c r="F146" s="58"/>
      <c r="G146" s="26"/>
      <c r="H146" s="58"/>
      <c r="I146" s="58"/>
      <c r="J146" s="58"/>
      <c r="K146" s="58"/>
      <c r="L146" s="58"/>
    </row>
    <row r="147" spans="1:12" x14ac:dyDescent="0.25">
      <c r="A147" s="26"/>
      <c r="B147" s="58"/>
      <c r="C147" s="58"/>
      <c r="D147" s="26"/>
      <c r="E147" s="58"/>
      <c r="F147" s="58"/>
      <c r="G147" s="26"/>
      <c r="H147" s="58"/>
      <c r="I147" s="58"/>
      <c r="J147" s="58"/>
      <c r="K147" s="58"/>
      <c r="L147" s="58"/>
    </row>
    <row r="148" spans="1:12" x14ac:dyDescent="0.25">
      <c r="A148" s="26"/>
      <c r="B148" s="58"/>
      <c r="C148" s="58"/>
      <c r="D148" s="26"/>
      <c r="E148" s="58"/>
      <c r="F148" s="58"/>
      <c r="G148" s="26"/>
      <c r="H148" s="58"/>
      <c r="I148" s="58"/>
      <c r="J148" s="58"/>
      <c r="K148" s="58"/>
      <c r="L148" s="58"/>
    </row>
    <row r="149" spans="1:12" x14ac:dyDescent="0.25">
      <c r="A149" s="26"/>
      <c r="B149" s="58"/>
      <c r="C149" s="58"/>
      <c r="D149" s="26"/>
      <c r="E149" s="58"/>
      <c r="F149" s="58"/>
      <c r="G149" s="26"/>
      <c r="H149" s="58"/>
      <c r="I149" s="58"/>
      <c r="J149" s="58"/>
      <c r="K149" s="58"/>
      <c r="L149" s="58"/>
    </row>
    <row r="150" spans="1:12" x14ac:dyDescent="0.25">
      <c r="A150" s="26"/>
      <c r="B150" s="58"/>
      <c r="C150" s="58"/>
      <c r="D150" s="26"/>
      <c r="E150" s="58"/>
      <c r="F150" s="58"/>
      <c r="G150" s="26"/>
      <c r="H150" s="58"/>
      <c r="I150" s="58"/>
      <c r="J150" s="58"/>
      <c r="K150" s="58"/>
      <c r="L150" s="58"/>
    </row>
    <row r="151" spans="1:12" x14ac:dyDescent="0.25">
      <c r="A151" s="26"/>
      <c r="B151" s="58"/>
      <c r="C151" s="58"/>
      <c r="D151" s="26"/>
      <c r="E151" s="58"/>
      <c r="F151" s="58"/>
      <c r="G151" s="26"/>
      <c r="H151" s="58"/>
      <c r="I151" s="58"/>
      <c r="J151" s="58"/>
      <c r="K151" s="58"/>
      <c r="L151" s="58"/>
    </row>
    <row r="152" spans="1:12" x14ac:dyDescent="0.25">
      <c r="A152" s="26"/>
      <c r="B152" s="58"/>
      <c r="C152" s="58"/>
      <c r="D152" s="26"/>
      <c r="E152" s="58"/>
      <c r="F152" s="58"/>
      <c r="G152" s="26"/>
      <c r="H152" s="58"/>
      <c r="I152" s="58"/>
      <c r="J152" s="58"/>
      <c r="K152" s="58"/>
      <c r="L152" s="58"/>
    </row>
    <row r="153" spans="1:12" x14ac:dyDescent="0.25">
      <c r="A153" s="26"/>
      <c r="B153" s="58"/>
      <c r="C153" s="58"/>
      <c r="D153" s="26"/>
      <c r="E153" s="58"/>
      <c r="F153" s="58"/>
      <c r="G153" s="26"/>
      <c r="H153" s="58"/>
      <c r="I153" s="58"/>
      <c r="J153" s="58"/>
      <c r="K153" s="58"/>
      <c r="L153" s="58"/>
    </row>
    <row r="154" spans="1:12" x14ac:dyDescent="0.25">
      <c r="A154" s="26"/>
      <c r="B154" s="58"/>
      <c r="C154" s="58"/>
      <c r="D154" s="26"/>
      <c r="E154" s="58"/>
      <c r="F154" s="58"/>
      <c r="G154" s="26"/>
      <c r="H154" s="58"/>
      <c r="I154" s="58"/>
      <c r="J154" s="58"/>
      <c r="K154" s="58"/>
      <c r="L154" s="58"/>
    </row>
    <row r="155" spans="1:12" x14ac:dyDescent="0.25">
      <c r="A155" s="26"/>
      <c r="B155" s="58"/>
      <c r="C155" s="58"/>
      <c r="D155" s="26"/>
      <c r="E155" s="58"/>
      <c r="F155" s="58"/>
      <c r="G155" s="26"/>
      <c r="H155" s="58"/>
      <c r="I155" s="58"/>
      <c r="J155" s="58"/>
      <c r="K155" s="58"/>
      <c r="L155" s="58"/>
    </row>
    <row r="156" spans="1:12" x14ac:dyDescent="0.25">
      <c r="A156" s="26"/>
      <c r="B156" s="58"/>
      <c r="C156" s="58"/>
      <c r="D156" s="26"/>
      <c r="E156" s="58"/>
      <c r="F156" s="58"/>
      <c r="G156" s="26"/>
      <c r="H156" s="58"/>
      <c r="I156" s="58"/>
      <c r="J156" s="58"/>
      <c r="K156" s="58"/>
      <c r="L156" s="58"/>
    </row>
    <row r="157" spans="1:12" x14ac:dyDescent="0.25">
      <c r="A157" s="26"/>
      <c r="B157" s="58"/>
      <c r="C157" s="58"/>
      <c r="D157" s="26"/>
      <c r="E157" s="58"/>
      <c r="F157" s="58"/>
      <c r="G157" s="26"/>
      <c r="H157" s="58"/>
      <c r="I157" s="58"/>
      <c r="J157" s="58"/>
      <c r="K157" s="58"/>
      <c r="L157" s="58"/>
    </row>
    <row r="158" spans="1:12" x14ac:dyDescent="0.25">
      <c r="A158" s="26"/>
      <c r="B158" s="58"/>
      <c r="C158" s="58"/>
      <c r="D158" s="26"/>
      <c r="E158" s="58"/>
      <c r="F158" s="58"/>
      <c r="G158" s="26"/>
      <c r="H158" s="58"/>
      <c r="I158" s="58"/>
      <c r="J158" s="58"/>
      <c r="K158" s="58"/>
      <c r="L158" s="58"/>
    </row>
    <row r="159" spans="1:12" x14ac:dyDescent="0.25">
      <c r="A159" s="26"/>
      <c r="B159" s="58"/>
      <c r="C159" s="58"/>
      <c r="D159" s="26"/>
      <c r="E159" s="58"/>
      <c r="F159" s="58"/>
      <c r="G159" s="26"/>
      <c r="H159" s="58"/>
      <c r="I159" s="58"/>
      <c r="J159" s="58"/>
      <c r="K159" s="58"/>
      <c r="L159" s="58"/>
    </row>
    <row r="160" spans="1:12" x14ac:dyDescent="0.25">
      <c r="A160" s="26"/>
      <c r="B160" s="58"/>
      <c r="C160" s="58"/>
      <c r="D160" s="26"/>
      <c r="E160" s="58"/>
      <c r="F160" s="58"/>
      <c r="G160" s="26"/>
      <c r="H160" s="58"/>
      <c r="I160" s="58"/>
      <c r="J160" s="58"/>
      <c r="K160" s="58"/>
      <c r="L160" s="58"/>
    </row>
    <row r="161" spans="1:12" x14ac:dyDescent="0.25">
      <c r="A161" s="26"/>
      <c r="B161" s="58"/>
      <c r="C161" s="58"/>
      <c r="D161" s="26"/>
      <c r="E161" s="58"/>
      <c r="F161" s="58"/>
      <c r="G161" s="26"/>
      <c r="H161" s="58"/>
      <c r="I161" s="58"/>
      <c r="J161" s="58"/>
      <c r="K161" s="58"/>
      <c r="L161" s="58"/>
    </row>
    <row r="162" spans="1:12" x14ac:dyDescent="0.25">
      <c r="A162" s="26"/>
      <c r="B162" s="58"/>
      <c r="C162" s="58"/>
      <c r="D162" s="26"/>
      <c r="E162" s="58"/>
      <c r="F162" s="58"/>
      <c r="G162" s="26"/>
      <c r="H162" s="58"/>
      <c r="I162" s="58"/>
      <c r="J162" s="58"/>
      <c r="K162" s="58"/>
      <c r="L162" s="58"/>
    </row>
    <row r="163" spans="1:12" x14ac:dyDescent="0.25">
      <c r="A163" s="26"/>
      <c r="B163" s="58"/>
      <c r="C163" s="58"/>
      <c r="D163" s="26"/>
      <c r="E163" s="58"/>
      <c r="F163" s="58"/>
      <c r="G163" s="26"/>
      <c r="H163" s="58"/>
      <c r="I163" s="58"/>
      <c r="J163" s="58"/>
      <c r="K163" s="58"/>
      <c r="L163" s="58"/>
    </row>
    <row r="164" spans="1:12" x14ac:dyDescent="0.25">
      <c r="A164" s="26"/>
      <c r="B164" s="58"/>
      <c r="C164" s="58"/>
      <c r="D164" s="26"/>
      <c r="E164" s="58"/>
      <c r="F164" s="58"/>
      <c r="G164" s="26"/>
      <c r="H164" s="58"/>
      <c r="I164" s="58"/>
      <c r="J164" s="58"/>
      <c r="K164" s="58"/>
      <c r="L164" s="58"/>
    </row>
    <row r="165" spans="1:12" x14ac:dyDescent="0.25">
      <c r="A165" s="26"/>
      <c r="B165" s="58"/>
      <c r="C165" s="58"/>
      <c r="D165" s="26"/>
      <c r="E165" s="58"/>
      <c r="F165" s="58"/>
      <c r="G165" s="26"/>
      <c r="H165" s="58"/>
      <c r="I165" s="58"/>
      <c r="J165" s="58"/>
      <c r="K165" s="58"/>
      <c r="L165" s="58"/>
    </row>
    <row r="166" spans="1:12" x14ac:dyDescent="0.25">
      <c r="A166" s="26"/>
      <c r="B166" s="58"/>
      <c r="C166" s="58"/>
      <c r="D166" s="26"/>
      <c r="E166" s="58"/>
      <c r="F166" s="58"/>
      <c r="G166" s="26"/>
      <c r="H166" s="58"/>
      <c r="I166" s="58"/>
      <c r="J166" s="58"/>
      <c r="K166" s="58"/>
      <c r="L166" s="58"/>
    </row>
    <row r="167" spans="1:12" x14ac:dyDescent="0.25">
      <c r="A167" s="26"/>
      <c r="B167" s="58"/>
      <c r="C167" s="58"/>
      <c r="D167" s="26"/>
      <c r="E167" s="58"/>
      <c r="F167" s="58"/>
      <c r="G167" s="26"/>
      <c r="H167" s="58"/>
      <c r="I167" s="58"/>
      <c r="J167" s="58"/>
      <c r="K167" s="58"/>
      <c r="L167" s="58"/>
    </row>
    <row r="168" spans="1:12" x14ac:dyDescent="0.25">
      <c r="A168" s="26"/>
      <c r="B168" s="58"/>
      <c r="C168" s="58"/>
      <c r="D168" s="26"/>
      <c r="E168" s="58"/>
      <c r="F168" s="58"/>
      <c r="G168" s="26"/>
      <c r="H168" s="58"/>
      <c r="I168" s="58"/>
      <c r="J168" s="58"/>
      <c r="K168" s="58"/>
      <c r="L168" s="58"/>
    </row>
    <row r="169" spans="1:12" x14ac:dyDescent="0.25">
      <c r="A169" s="26"/>
      <c r="B169" s="58"/>
      <c r="C169" s="58"/>
      <c r="D169" s="26"/>
      <c r="E169" s="58"/>
      <c r="F169" s="58"/>
      <c r="G169" s="26"/>
      <c r="H169" s="58"/>
      <c r="I169" s="58"/>
      <c r="J169" s="58"/>
      <c r="K169" s="58"/>
      <c r="L169" s="58"/>
    </row>
    <row r="170" spans="1:12" x14ac:dyDescent="0.25">
      <c r="A170" s="26"/>
      <c r="B170" s="58"/>
      <c r="C170" s="58"/>
      <c r="D170" s="26"/>
      <c r="E170" s="58"/>
      <c r="F170" s="58"/>
      <c r="G170" s="26"/>
      <c r="H170" s="58"/>
      <c r="I170" s="58"/>
      <c r="J170" s="58"/>
      <c r="K170" s="58"/>
      <c r="L170" s="58"/>
    </row>
    <row r="171" spans="1:12" x14ac:dyDescent="0.25">
      <c r="A171" s="26"/>
      <c r="B171" s="58"/>
      <c r="C171" s="58"/>
      <c r="D171" s="26"/>
      <c r="E171" s="58"/>
      <c r="F171" s="58"/>
      <c r="G171" s="26"/>
      <c r="H171" s="58"/>
      <c r="I171" s="58"/>
      <c r="J171" s="58"/>
      <c r="K171" s="58"/>
      <c r="L171" s="58"/>
    </row>
    <row r="172" spans="1:12" x14ac:dyDescent="0.25">
      <c r="A172" s="26"/>
      <c r="B172" s="58"/>
      <c r="C172" s="58"/>
      <c r="D172" s="26"/>
      <c r="E172" s="58"/>
      <c r="F172" s="58"/>
      <c r="G172" s="26"/>
      <c r="H172" s="58"/>
      <c r="I172" s="58"/>
      <c r="J172" s="58"/>
      <c r="K172" s="58"/>
      <c r="L172" s="58"/>
    </row>
    <row r="173" spans="1:12" x14ac:dyDescent="0.25">
      <c r="A173" s="26"/>
      <c r="B173" s="58"/>
      <c r="C173" s="58"/>
      <c r="D173" s="26"/>
      <c r="E173" s="58"/>
      <c r="F173" s="58"/>
      <c r="G173" s="26"/>
      <c r="H173" s="58"/>
      <c r="I173" s="58"/>
      <c r="J173" s="58"/>
      <c r="K173" s="58"/>
      <c r="L173" s="58"/>
    </row>
    <row r="174" spans="1:12" x14ac:dyDescent="0.25">
      <c r="A174" s="26"/>
      <c r="B174" s="58"/>
      <c r="C174" s="58"/>
      <c r="D174" s="26"/>
      <c r="E174" s="58"/>
      <c r="F174" s="58"/>
      <c r="G174" s="26"/>
      <c r="H174" s="58"/>
      <c r="I174" s="58"/>
      <c r="J174" s="58"/>
      <c r="K174" s="58"/>
      <c r="L174" s="58"/>
    </row>
    <row r="175" spans="1:12" x14ac:dyDescent="0.25">
      <c r="A175" s="26"/>
      <c r="B175" s="58"/>
      <c r="C175" s="58"/>
      <c r="D175" s="26"/>
      <c r="E175" s="58"/>
      <c r="F175" s="58"/>
      <c r="G175" s="26"/>
      <c r="H175" s="58"/>
      <c r="I175" s="58"/>
      <c r="J175" s="58"/>
      <c r="K175" s="58"/>
      <c r="L175" s="58"/>
    </row>
    <row r="176" spans="1:12" x14ac:dyDescent="0.25">
      <c r="A176" s="26"/>
      <c r="B176" s="58"/>
      <c r="C176" s="58"/>
      <c r="D176" s="26"/>
      <c r="E176" s="58"/>
      <c r="F176" s="58"/>
      <c r="G176" s="26"/>
      <c r="H176" s="58"/>
      <c r="I176" s="58"/>
      <c r="J176" s="58"/>
      <c r="K176" s="58"/>
      <c r="L176" s="58"/>
    </row>
    <row r="177" spans="1:15" x14ac:dyDescent="0.25">
      <c r="A177" s="26"/>
      <c r="B177" s="58"/>
      <c r="C177" s="58"/>
      <c r="D177" s="26"/>
      <c r="E177" s="58"/>
      <c r="F177" s="58"/>
      <c r="G177" s="26"/>
      <c r="H177" s="58"/>
      <c r="I177" s="58"/>
      <c r="J177" s="58"/>
      <c r="K177" s="58"/>
      <c r="L177" s="58"/>
    </row>
    <row r="178" spans="1:15" x14ac:dyDescent="0.25">
      <c r="A178" s="26"/>
      <c r="B178" s="58"/>
      <c r="C178" s="58"/>
      <c r="D178" s="26"/>
      <c r="E178" s="58"/>
      <c r="F178" s="58"/>
      <c r="G178" s="26"/>
      <c r="H178" s="58"/>
      <c r="I178" s="58"/>
      <c r="J178" s="58"/>
      <c r="K178" s="58"/>
      <c r="L178" s="58"/>
    </row>
    <row r="179" spans="1:15" x14ac:dyDescent="0.25">
      <c r="A179" s="26"/>
      <c r="B179" s="58"/>
      <c r="C179" s="58"/>
      <c r="D179" s="26"/>
      <c r="E179" s="58"/>
      <c r="F179" s="58"/>
      <c r="G179" s="26"/>
      <c r="H179" s="58"/>
      <c r="I179" s="58"/>
      <c r="J179" s="58"/>
      <c r="K179" s="58"/>
      <c r="L179" s="58"/>
    </row>
    <row r="180" spans="1:15" x14ac:dyDescent="0.25">
      <c r="A180" s="26"/>
      <c r="B180" s="58"/>
      <c r="C180" s="58"/>
      <c r="D180" s="26"/>
      <c r="E180" s="58"/>
      <c r="F180" s="58"/>
      <c r="G180" s="26"/>
      <c r="H180" s="58"/>
      <c r="I180" s="58"/>
      <c r="J180" s="58"/>
      <c r="K180" s="58"/>
      <c r="L180" s="58"/>
    </row>
    <row r="181" spans="1:15" x14ac:dyDescent="0.25">
      <c r="A181" s="26"/>
      <c r="B181" s="58"/>
      <c r="C181" s="58"/>
      <c r="D181" s="26"/>
      <c r="E181" s="58"/>
      <c r="F181" s="58"/>
      <c r="G181" s="26"/>
      <c r="H181" s="58"/>
      <c r="I181" s="58"/>
      <c r="J181" s="58"/>
      <c r="K181" s="58"/>
      <c r="L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D5" workbookViewId="0">
      <pane ySplit="3" topLeftCell="A8" activePane="bottomLeft" state="frozen"/>
      <selection activeCell="A5" sqref="A5"/>
      <selection pane="bottomLeft" activeCell="O21" sqref="O2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855468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SUBTOTAL(3,A8:A121)</f>
        <v>51</v>
      </c>
      <c r="B6" s="8">
        <f>SUBTOTAL(9,B8:B121)</f>
        <v>22325</v>
      </c>
      <c r="C6" s="35">
        <v>42953</v>
      </c>
      <c r="D6" s="8">
        <f>SUBTOTAL(3,D8:D120)</f>
        <v>40</v>
      </c>
      <c r="E6" s="1">
        <f>SUBTOTAL(9,E8:E120)</f>
        <v>25075</v>
      </c>
      <c r="F6" s="38">
        <v>42960</v>
      </c>
      <c r="G6" s="8">
        <f>SUBTOTAL(3,G8:G120)</f>
        <v>28</v>
      </c>
      <c r="H6" s="1">
        <f>SUBTOTAL(9,H8:H120)</f>
        <v>13650</v>
      </c>
      <c r="I6" s="39">
        <v>42967</v>
      </c>
      <c r="J6" s="8">
        <f>SUBTOTAL(3,J8:J110)</f>
        <v>27</v>
      </c>
      <c r="K6" s="1">
        <f>SUBTOTAL(9,K8:K110)</f>
        <v>19400</v>
      </c>
      <c r="L6" s="63">
        <v>42974</v>
      </c>
      <c r="M6" s="1">
        <f>SUBTOTAL(3,M8:M120)</f>
        <v>8</v>
      </c>
      <c r="N6" s="1">
        <f>SUBTOTAL(9,N8:N120)</f>
        <v>13013</v>
      </c>
      <c r="O6" s="85"/>
      <c r="Q6" s="30">
        <f>+A6+D6+G6+J6+M6</f>
        <v>154</v>
      </c>
      <c r="R6" s="29">
        <f>+B6+E6+H6+K6+N6</f>
        <v>93463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14825</v>
      </c>
      <c r="B8" s="49">
        <v>600</v>
      </c>
      <c r="C8" s="17" t="s">
        <v>436</v>
      </c>
      <c r="D8" s="13">
        <v>14877</v>
      </c>
      <c r="E8" s="70">
        <v>800</v>
      </c>
      <c r="F8" s="14" t="s">
        <v>357</v>
      </c>
      <c r="G8" s="11">
        <v>14917</v>
      </c>
      <c r="H8" s="67">
        <v>900</v>
      </c>
      <c r="I8" s="12" t="s">
        <v>402</v>
      </c>
      <c r="J8" s="61">
        <v>14945</v>
      </c>
      <c r="K8" s="71">
        <v>150</v>
      </c>
      <c r="L8" s="62"/>
      <c r="M8" s="15">
        <v>14972</v>
      </c>
      <c r="N8" s="73">
        <v>400</v>
      </c>
      <c r="O8" s="15"/>
      <c r="Q8" s="32"/>
      <c r="R8" s="32"/>
    </row>
    <row r="9" spans="1:18" x14ac:dyDescent="0.25">
      <c r="A9" s="16">
        <v>14826</v>
      </c>
      <c r="B9" s="49">
        <v>900</v>
      </c>
      <c r="C9" s="17" t="s">
        <v>402</v>
      </c>
      <c r="D9" s="13"/>
      <c r="E9" s="70"/>
      <c r="F9" s="14" t="s">
        <v>16</v>
      </c>
      <c r="G9" s="11"/>
      <c r="H9" s="67"/>
      <c r="I9" s="12" t="s">
        <v>17</v>
      </c>
      <c r="J9" s="61">
        <v>14946</v>
      </c>
      <c r="K9" s="71">
        <v>200</v>
      </c>
      <c r="L9" s="62" t="s">
        <v>19</v>
      </c>
      <c r="M9" s="15">
        <v>14973</v>
      </c>
      <c r="N9" s="73">
        <v>1800</v>
      </c>
      <c r="O9" s="15" t="s">
        <v>444</v>
      </c>
    </row>
    <row r="10" spans="1:18" x14ac:dyDescent="0.25">
      <c r="A10" s="16"/>
      <c r="B10" s="49"/>
      <c r="C10" s="17" t="s">
        <v>17</v>
      </c>
      <c r="D10" s="13">
        <v>14878</v>
      </c>
      <c r="E10" s="70">
        <v>200</v>
      </c>
      <c r="F10" s="14" t="s">
        <v>19</v>
      </c>
      <c r="G10" s="11">
        <v>14918</v>
      </c>
      <c r="H10" s="67">
        <v>1200</v>
      </c>
      <c r="I10" s="12" t="s">
        <v>449</v>
      </c>
      <c r="J10" s="61">
        <v>14947</v>
      </c>
      <c r="K10" s="71">
        <v>200</v>
      </c>
      <c r="L10" s="62"/>
      <c r="M10" s="15"/>
      <c r="N10" s="73"/>
      <c r="O10" s="15" t="s">
        <v>405</v>
      </c>
    </row>
    <row r="11" spans="1:18" x14ac:dyDescent="0.25">
      <c r="A11" s="16">
        <v>14827</v>
      </c>
      <c r="B11" s="49">
        <v>450</v>
      </c>
      <c r="C11" s="17" t="s">
        <v>347</v>
      </c>
      <c r="D11" s="13">
        <v>14879</v>
      </c>
      <c r="E11" s="70"/>
      <c r="F11" s="14" t="s">
        <v>44</v>
      </c>
      <c r="G11" s="11"/>
      <c r="H11" s="67"/>
      <c r="I11" s="12" t="s">
        <v>16</v>
      </c>
      <c r="J11" s="61">
        <v>14948</v>
      </c>
      <c r="K11" s="71">
        <v>400</v>
      </c>
      <c r="L11" s="62"/>
      <c r="M11" s="15">
        <v>14974</v>
      </c>
      <c r="N11" s="73">
        <v>300</v>
      </c>
      <c r="O11" s="15"/>
    </row>
    <row r="12" spans="1:18" x14ac:dyDescent="0.25">
      <c r="A12" s="16"/>
      <c r="B12" s="49"/>
      <c r="C12" s="17" t="s">
        <v>78</v>
      </c>
      <c r="D12" s="13">
        <v>14880</v>
      </c>
      <c r="E12" s="70">
        <v>1600</v>
      </c>
      <c r="F12" s="14" t="s">
        <v>443</v>
      </c>
      <c r="G12" s="11">
        <v>14919</v>
      </c>
      <c r="H12" s="67">
        <v>100</v>
      </c>
      <c r="I12" s="12"/>
      <c r="J12" s="61">
        <v>14949</v>
      </c>
      <c r="K12" s="71">
        <v>3200</v>
      </c>
      <c r="L12" s="62" t="s">
        <v>452</v>
      </c>
      <c r="M12" s="15">
        <v>14975</v>
      </c>
      <c r="N12" s="73">
        <v>400</v>
      </c>
      <c r="O12" s="15"/>
    </row>
    <row r="13" spans="1:18" x14ac:dyDescent="0.25">
      <c r="A13" s="16">
        <v>14828</v>
      </c>
      <c r="B13" s="49">
        <v>800</v>
      </c>
      <c r="C13" s="17" t="s">
        <v>357</v>
      </c>
      <c r="D13" s="13"/>
      <c r="E13" s="70"/>
      <c r="F13" s="14" t="s">
        <v>16</v>
      </c>
      <c r="G13" s="11">
        <v>14920</v>
      </c>
      <c r="H13" s="67">
        <v>400</v>
      </c>
      <c r="I13" s="12" t="s">
        <v>297</v>
      </c>
      <c r="J13" s="61"/>
      <c r="K13" s="71"/>
      <c r="L13" s="62" t="s">
        <v>453</v>
      </c>
      <c r="M13" s="15">
        <v>14976</v>
      </c>
      <c r="N13" s="73">
        <v>400</v>
      </c>
      <c r="O13" s="15"/>
    </row>
    <row r="14" spans="1:18" x14ac:dyDescent="0.25">
      <c r="A14" s="16"/>
      <c r="B14" s="49"/>
      <c r="C14" s="17" t="s">
        <v>16</v>
      </c>
      <c r="D14" s="13">
        <v>14881</v>
      </c>
      <c r="E14" s="70">
        <v>250</v>
      </c>
      <c r="F14" s="14" t="s">
        <v>399</v>
      </c>
      <c r="G14" s="11"/>
      <c r="H14" s="67"/>
      <c r="I14" s="12" t="s">
        <v>18</v>
      </c>
      <c r="J14" s="61"/>
      <c r="K14" s="71"/>
      <c r="L14" s="62" t="s">
        <v>454</v>
      </c>
      <c r="M14" s="15">
        <v>14977</v>
      </c>
      <c r="N14" s="73">
        <v>600</v>
      </c>
      <c r="O14" s="31" t="s">
        <v>408</v>
      </c>
    </row>
    <row r="15" spans="1:18" x14ac:dyDescent="0.25">
      <c r="A15" s="16">
        <v>14829</v>
      </c>
      <c r="B15" s="49">
        <v>400</v>
      </c>
      <c r="C15" s="17"/>
      <c r="D15" s="13">
        <v>14882</v>
      </c>
      <c r="E15" s="70">
        <v>300</v>
      </c>
      <c r="F15" s="14"/>
      <c r="G15" s="11">
        <v>14921</v>
      </c>
      <c r="H15" s="67">
        <v>200</v>
      </c>
      <c r="I15" s="12"/>
      <c r="J15" s="61"/>
      <c r="K15" s="71"/>
      <c r="L15" s="62" t="s">
        <v>16</v>
      </c>
      <c r="M15" s="15"/>
      <c r="N15" s="73"/>
      <c r="O15" s="15" t="s">
        <v>18</v>
      </c>
    </row>
    <row r="16" spans="1:18" x14ac:dyDescent="0.25">
      <c r="A16" s="16">
        <v>14830</v>
      </c>
      <c r="B16" s="49"/>
      <c r="C16" s="17" t="s">
        <v>140</v>
      </c>
      <c r="D16" s="13">
        <v>14883</v>
      </c>
      <c r="E16" s="70">
        <v>1600</v>
      </c>
      <c r="F16" s="14" t="s">
        <v>444</v>
      </c>
      <c r="G16" s="11">
        <v>14922</v>
      </c>
      <c r="H16" s="67">
        <v>400</v>
      </c>
      <c r="I16" s="12"/>
      <c r="J16" s="61">
        <v>14950</v>
      </c>
      <c r="K16" s="71">
        <v>4400</v>
      </c>
      <c r="L16" s="62" t="s">
        <v>455</v>
      </c>
      <c r="M16" s="15">
        <v>14978</v>
      </c>
      <c r="N16" s="73">
        <v>8073</v>
      </c>
      <c r="O16" s="15" t="s">
        <v>462</v>
      </c>
    </row>
    <row r="17" spans="1:15" x14ac:dyDescent="0.25">
      <c r="A17" s="16">
        <v>14831</v>
      </c>
      <c r="B17" s="49"/>
      <c r="C17" s="17" t="s">
        <v>140</v>
      </c>
      <c r="D17" s="13"/>
      <c r="E17" s="70"/>
      <c r="F17" s="14" t="s">
        <v>16</v>
      </c>
      <c r="G17" s="11">
        <v>14923</v>
      </c>
      <c r="H17" s="67">
        <v>200</v>
      </c>
      <c r="I17" s="12"/>
      <c r="J17" s="61"/>
      <c r="K17" s="71"/>
      <c r="L17" s="62" t="s">
        <v>453</v>
      </c>
      <c r="M17" s="15"/>
      <c r="N17" s="73"/>
      <c r="O17" s="15" t="s">
        <v>463</v>
      </c>
    </row>
    <row r="18" spans="1:15" x14ac:dyDescent="0.25">
      <c r="A18" s="16">
        <v>14832</v>
      </c>
      <c r="B18" s="49">
        <v>300</v>
      </c>
      <c r="C18" s="17" t="s">
        <v>310</v>
      </c>
      <c r="D18" s="13">
        <v>14884</v>
      </c>
      <c r="E18" s="70">
        <v>750</v>
      </c>
      <c r="F18" s="33" t="s">
        <v>402</v>
      </c>
      <c r="G18" s="11">
        <v>14924</v>
      </c>
      <c r="H18" s="67">
        <v>250</v>
      </c>
      <c r="I18" s="12"/>
      <c r="J18" s="61"/>
      <c r="K18" s="71"/>
      <c r="L18" s="62" t="s">
        <v>454</v>
      </c>
      <c r="M18" s="15"/>
      <c r="N18" s="73"/>
      <c r="O18" s="15" t="s">
        <v>464</v>
      </c>
    </row>
    <row r="19" spans="1:15" x14ac:dyDescent="0.25">
      <c r="A19" s="16">
        <v>14833</v>
      </c>
      <c r="B19" s="49">
        <v>400</v>
      </c>
      <c r="C19" s="17"/>
      <c r="D19" s="13"/>
      <c r="E19" s="70"/>
      <c r="F19" s="14" t="s">
        <v>20</v>
      </c>
      <c r="G19" s="11">
        <v>14925</v>
      </c>
      <c r="H19" s="67">
        <v>400</v>
      </c>
      <c r="I19" s="12"/>
      <c r="J19" s="61">
        <v>14951</v>
      </c>
      <c r="K19" s="71">
        <v>1000</v>
      </c>
      <c r="L19" s="62" t="s">
        <v>357</v>
      </c>
      <c r="M19" s="15">
        <v>14979</v>
      </c>
      <c r="N19" s="73">
        <v>1040</v>
      </c>
      <c r="O19" s="15" t="s">
        <v>465</v>
      </c>
    </row>
    <row r="20" spans="1:15" x14ac:dyDescent="0.25">
      <c r="A20" s="16">
        <v>14834</v>
      </c>
      <c r="B20" s="49">
        <v>50</v>
      </c>
      <c r="C20" s="17" t="s">
        <v>47</v>
      </c>
      <c r="D20" s="13">
        <v>14885</v>
      </c>
      <c r="E20" s="70">
        <v>2400</v>
      </c>
      <c r="F20" s="14" t="s">
        <v>443</v>
      </c>
      <c r="G20" s="11">
        <v>14926</v>
      </c>
      <c r="H20" s="67">
        <v>800</v>
      </c>
      <c r="I20" s="12" t="s">
        <v>357</v>
      </c>
      <c r="J20" s="61"/>
      <c r="K20" s="71"/>
      <c r="L20" s="62" t="s">
        <v>16</v>
      </c>
      <c r="M20" s="15"/>
      <c r="N20" s="73"/>
      <c r="O20" s="15" t="s">
        <v>466</v>
      </c>
    </row>
    <row r="21" spans="1:15" x14ac:dyDescent="0.25">
      <c r="A21" s="16">
        <v>14835</v>
      </c>
      <c r="B21" s="49">
        <v>300</v>
      </c>
      <c r="C21" s="17"/>
      <c r="D21" s="13"/>
      <c r="E21" s="70"/>
      <c r="F21" s="14" t="s">
        <v>16</v>
      </c>
      <c r="G21" s="11"/>
      <c r="H21" s="67"/>
      <c r="I21" s="12" t="s">
        <v>16</v>
      </c>
      <c r="J21" s="61"/>
      <c r="K21" s="71"/>
      <c r="L21" s="62" t="s">
        <v>456</v>
      </c>
      <c r="M21" s="15"/>
      <c r="N21" s="73"/>
      <c r="O21" s="15"/>
    </row>
    <row r="22" spans="1:15" x14ac:dyDescent="0.25">
      <c r="A22" s="16">
        <v>14836</v>
      </c>
      <c r="B22" s="49">
        <v>400</v>
      </c>
      <c r="C22" s="17"/>
      <c r="D22" s="13"/>
      <c r="E22" s="70"/>
      <c r="F22" s="14" t="s">
        <v>445</v>
      </c>
      <c r="G22" s="11">
        <v>14927</v>
      </c>
      <c r="H22" s="67"/>
      <c r="I22" s="12" t="s">
        <v>44</v>
      </c>
      <c r="J22" s="61">
        <v>14952</v>
      </c>
      <c r="K22" s="71">
        <v>1200</v>
      </c>
      <c r="L22" s="62" t="s">
        <v>449</v>
      </c>
      <c r="M22" s="15"/>
      <c r="N22" s="73"/>
      <c r="O22" s="15"/>
    </row>
    <row r="23" spans="1:15" x14ac:dyDescent="0.25">
      <c r="A23" s="16">
        <v>14837</v>
      </c>
      <c r="B23" s="49">
        <v>600</v>
      </c>
      <c r="C23" s="17" t="s">
        <v>357</v>
      </c>
      <c r="D23" s="13">
        <v>14886</v>
      </c>
      <c r="E23" s="70">
        <v>2000</v>
      </c>
      <c r="F23" s="14" t="s">
        <v>156</v>
      </c>
      <c r="G23" s="11">
        <v>14928</v>
      </c>
      <c r="H23" s="67">
        <v>400</v>
      </c>
      <c r="I23" s="12"/>
      <c r="J23" s="61"/>
      <c r="K23" s="71"/>
      <c r="L23" s="62" t="s">
        <v>16</v>
      </c>
      <c r="M23" s="15"/>
      <c r="N23" s="73"/>
      <c r="O23" s="15"/>
    </row>
    <row r="24" spans="1:15" x14ac:dyDescent="0.25">
      <c r="A24" s="16"/>
      <c r="B24" s="49"/>
      <c r="C24" s="17" t="s">
        <v>17</v>
      </c>
      <c r="D24" s="13"/>
      <c r="E24" s="70"/>
      <c r="F24" s="14" t="s">
        <v>16</v>
      </c>
      <c r="G24" s="11">
        <v>14929</v>
      </c>
      <c r="H24" s="67">
        <v>800</v>
      </c>
      <c r="I24" s="12" t="s">
        <v>357</v>
      </c>
      <c r="J24" s="61">
        <v>14953</v>
      </c>
      <c r="K24" s="71">
        <v>800</v>
      </c>
      <c r="L24" s="62" t="s">
        <v>357</v>
      </c>
      <c r="M24" s="15"/>
      <c r="N24" s="73"/>
      <c r="O24" s="15"/>
    </row>
    <row r="25" spans="1:15" x14ac:dyDescent="0.25">
      <c r="A25" s="16">
        <v>14838</v>
      </c>
      <c r="B25" s="49">
        <v>400</v>
      </c>
      <c r="C25" s="17"/>
      <c r="D25" s="13"/>
      <c r="E25" s="70"/>
      <c r="F25" s="14" t="s">
        <v>445</v>
      </c>
      <c r="G25" s="11"/>
      <c r="H25" s="67"/>
      <c r="I25" s="12" t="s">
        <v>16</v>
      </c>
      <c r="J25" s="61"/>
      <c r="K25" s="71"/>
      <c r="L25" s="62" t="s">
        <v>16</v>
      </c>
      <c r="M25" s="15"/>
      <c r="N25" s="73"/>
      <c r="O25" s="15"/>
    </row>
    <row r="26" spans="1:15" x14ac:dyDescent="0.25">
      <c r="A26" s="16">
        <v>14839</v>
      </c>
      <c r="B26" s="49">
        <v>200</v>
      </c>
      <c r="C26" s="17"/>
      <c r="D26" s="13">
        <v>14887</v>
      </c>
      <c r="E26" s="70">
        <v>400</v>
      </c>
      <c r="F26" s="14"/>
      <c r="G26" s="11">
        <v>14930</v>
      </c>
      <c r="H26" s="67">
        <v>200</v>
      </c>
      <c r="I26" s="12" t="s">
        <v>19</v>
      </c>
      <c r="J26" s="61">
        <v>14954</v>
      </c>
      <c r="K26" s="71">
        <v>100</v>
      </c>
      <c r="L26" s="62" t="s">
        <v>457</v>
      </c>
      <c r="M26" s="15"/>
      <c r="N26" s="73"/>
      <c r="O26" s="15"/>
    </row>
    <row r="27" spans="1:15" x14ac:dyDescent="0.25">
      <c r="A27" s="16">
        <v>14840</v>
      </c>
      <c r="B27" s="49">
        <v>400</v>
      </c>
      <c r="C27" s="17" t="s">
        <v>357</v>
      </c>
      <c r="D27" s="13">
        <v>14888</v>
      </c>
      <c r="E27" s="70">
        <v>1200</v>
      </c>
      <c r="F27" s="69" t="s">
        <v>408</v>
      </c>
      <c r="G27" s="11">
        <v>14931</v>
      </c>
      <c r="H27" s="67">
        <v>800</v>
      </c>
      <c r="I27" s="101" t="s">
        <v>281</v>
      </c>
      <c r="J27" s="61">
        <v>14955</v>
      </c>
      <c r="K27" s="71">
        <v>800</v>
      </c>
      <c r="L27" s="62" t="s">
        <v>435</v>
      </c>
      <c r="M27" s="15"/>
      <c r="N27" s="73"/>
      <c r="O27" s="31"/>
    </row>
    <row r="28" spans="1:15" x14ac:dyDescent="0.25">
      <c r="A28" s="16"/>
      <c r="B28" s="49"/>
      <c r="C28" s="17" t="s">
        <v>18</v>
      </c>
      <c r="D28" s="13"/>
      <c r="E28" s="70"/>
      <c r="F28" s="14" t="s">
        <v>16</v>
      </c>
      <c r="G28" s="11"/>
      <c r="H28" s="67"/>
      <c r="I28" s="12" t="s">
        <v>16</v>
      </c>
      <c r="J28" s="61"/>
      <c r="K28" s="71"/>
      <c r="L28" s="62" t="s">
        <v>16</v>
      </c>
      <c r="M28" s="15"/>
      <c r="N28" s="73"/>
      <c r="O28" s="15"/>
    </row>
    <row r="29" spans="1:15" x14ac:dyDescent="0.25">
      <c r="A29" s="16">
        <v>14841</v>
      </c>
      <c r="B29" s="49">
        <v>500</v>
      </c>
      <c r="C29" s="17" t="s">
        <v>357</v>
      </c>
      <c r="D29" s="13">
        <v>14889</v>
      </c>
      <c r="E29" s="70">
        <v>200</v>
      </c>
      <c r="F29" s="14" t="s">
        <v>19</v>
      </c>
      <c r="G29" s="11">
        <v>14932</v>
      </c>
      <c r="H29" s="67">
        <v>1200</v>
      </c>
      <c r="I29" s="12" t="s">
        <v>402</v>
      </c>
      <c r="J29" s="61">
        <v>14956</v>
      </c>
      <c r="K29" s="71">
        <v>400</v>
      </c>
      <c r="L29" s="62"/>
      <c r="M29" s="15"/>
      <c r="N29" s="73"/>
      <c r="O29" s="15"/>
    </row>
    <row r="30" spans="1:15" x14ac:dyDescent="0.25">
      <c r="A30" s="16"/>
      <c r="B30" s="49"/>
      <c r="C30" s="17" t="s">
        <v>20</v>
      </c>
      <c r="D30" s="13">
        <v>14890</v>
      </c>
      <c r="E30" s="70">
        <v>300</v>
      </c>
      <c r="F30" s="14"/>
      <c r="G30" s="11"/>
      <c r="H30" s="67"/>
      <c r="I30" s="12" t="s">
        <v>16</v>
      </c>
      <c r="J30" s="61">
        <v>14957</v>
      </c>
      <c r="K30" s="71">
        <v>800</v>
      </c>
      <c r="L30" s="62" t="s">
        <v>435</v>
      </c>
      <c r="M30" s="15"/>
      <c r="N30" s="73"/>
      <c r="O30" s="15"/>
    </row>
    <row r="31" spans="1:15" x14ac:dyDescent="0.25">
      <c r="A31" s="16">
        <v>14842</v>
      </c>
      <c r="B31" s="49">
        <v>400</v>
      </c>
      <c r="C31" s="17" t="s">
        <v>399</v>
      </c>
      <c r="D31" s="13">
        <v>14891</v>
      </c>
      <c r="E31" s="70">
        <v>400</v>
      </c>
      <c r="F31" s="14"/>
      <c r="G31" s="11">
        <v>14933</v>
      </c>
      <c r="H31" s="67">
        <v>400</v>
      </c>
      <c r="I31" s="12"/>
      <c r="J31" s="61"/>
      <c r="K31" s="71"/>
      <c r="L31" s="62" t="s">
        <v>16</v>
      </c>
      <c r="M31" s="15"/>
      <c r="N31" s="73"/>
      <c r="O31" s="15"/>
    </row>
    <row r="32" spans="1:15" x14ac:dyDescent="0.25">
      <c r="A32" s="16">
        <v>14843</v>
      </c>
      <c r="B32" s="49">
        <v>300</v>
      </c>
      <c r="C32" s="17" t="s">
        <v>399</v>
      </c>
      <c r="D32" s="13">
        <v>14892</v>
      </c>
      <c r="E32" s="70">
        <v>300</v>
      </c>
      <c r="F32" s="14" t="s">
        <v>371</v>
      </c>
      <c r="G32" s="11">
        <v>14934</v>
      </c>
      <c r="H32" s="67">
        <v>250</v>
      </c>
      <c r="I32" s="12"/>
      <c r="J32" s="61">
        <v>14958</v>
      </c>
      <c r="K32" s="71">
        <v>800</v>
      </c>
      <c r="L32" s="62" t="s">
        <v>435</v>
      </c>
      <c r="M32" s="15"/>
      <c r="N32" s="73"/>
      <c r="O32" s="15"/>
    </row>
    <row r="33" spans="1:15" x14ac:dyDescent="0.25">
      <c r="A33" s="16">
        <v>14844</v>
      </c>
      <c r="B33" s="49">
        <v>400</v>
      </c>
      <c r="C33" s="17" t="s">
        <v>437</v>
      </c>
      <c r="D33" s="13">
        <v>14893</v>
      </c>
      <c r="E33" s="70">
        <v>200</v>
      </c>
      <c r="F33" s="14" t="s">
        <v>19</v>
      </c>
      <c r="G33" s="11">
        <v>14935</v>
      </c>
      <c r="H33" s="67">
        <v>600</v>
      </c>
      <c r="I33" s="12" t="s">
        <v>450</v>
      </c>
      <c r="J33" s="61"/>
      <c r="K33" s="71"/>
      <c r="L33" s="62" t="s">
        <v>16</v>
      </c>
      <c r="M33" s="15"/>
      <c r="N33" s="73"/>
      <c r="O33" s="15"/>
    </row>
    <row r="34" spans="1:15" x14ac:dyDescent="0.25">
      <c r="A34" s="16"/>
      <c r="B34" s="49"/>
      <c r="C34" s="17" t="s">
        <v>438</v>
      </c>
      <c r="D34" s="13">
        <v>14894</v>
      </c>
      <c r="E34" s="70">
        <v>350</v>
      </c>
      <c r="F34" s="14" t="s">
        <v>446</v>
      </c>
      <c r="G34" s="11"/>
      <c r="H34" s="67"/>
      <c r="I34" s="12" t="s">
        <v>18</v>
      </c>
      <c r="J34" s="61">
        <v>14959</v>
      </c>
      <c r="K34" s="71">
        <v>200</v>
      </c>
      <c r="L34" s="62" t="s">
        <v>458</v>
      </c>
      <c r="M34" s="15"/>
      <c r="N34" s="73"/>
      <c r="O34" s="31"/>
    </row>
    <row r="35" spans="1:15" x14ac:dyDescent="0.25">
      <c r="A35" s="16">
        <v>14845</v>
      </c>
      <c r="B35" s="49">
        <v>125</v>
      </c>
      <c r="C35" s="17"/>
      <c r="D35" s="13">
        <v>14895</v>
      </c>
      <c r="E35" s="70">
        <v>300</v>
      </c>
      <c r="F35" s="14"/>
      <c r="G35" s="11">
        <v>14936</v>
      </c>
      <c r="H35" s="67">
        <v>800</v>
      </c>
      <c r="I35" s="12" t="s">
        <v>357</v>
      </c>
      <c r="J35" s="61">
        <v>14960</v>
      </c>
      <c r="K35" s="71">
        <v>400</v>
      </c>
      <c r="L35" s="62" t="s">
        <v>399</v>
      </c>
      <c r="M35" s="15"/>
      <c r="N35" s="73"/>
      <c r="O35" s="15"/>
    </row>
    <row r="36" spans="1:15" x14ac:dyDescent="0.25">
      <c r="A36" s="16">
        <v>14846</v>
      </c>
      <c r="B36" s="49">
        <v>1650</v>
      </c>
      <c r="C36" s="17" t="s">
        <v>356</v>
      </c>
      <c r="D36" s="13">
        <v>14896</v>
      </c>
      <c r="E36" s="70">
        <v>400</v>
      </c>
      <c r="F36" s="14" t="s">
        <v>399</v>
      </c>
      <c r="G36" s="11"/>
      <c r="H36" s="67"/>
      <c r="I36" s="12" t="s">
        <v>16</v>
      </c>
      <c r="J36" s="61">
        <v>14961</v>
      </c>
      <c r="K36" s="71">
        <v>50</v>
      </c>
      <c r="L36" s="62" t="s">
        <v>47</v>
      </c>
      <c r="M36" s="15"/>
      <c r="N36" s="73"/>
      <c r="O36" s="15"/>
    </row>
    <row r="37" spans="1:15" x14ac:dyDescent="0.25">
      <c r="A37" s="16"/>
      <c r="B37" s="49"/>
      <c r="C37" s="17" t="s">
        <v>139</v>
      </c>
      <c r="D37" s="13">
        <v>14897</v>
      </c>
      <c r="E37" s="70">
        <v>400</v>
      </c>
      <c r="F37" s="14"/>
      <c r="G37" s="11">
        <v>14937</v>
      </c>
      <c r="H37" s="67">
        <v>50</v>
      </c>
      <c r="I37" s="12" t="s">
        <v>47</v>
      </c>
      <c r="J37" s="61">
        <v>14962</v>
      </c>
      <c r="K37" s="71">
        <v>800</v>
      </c>
      <c r="L37" s="62" t="s">
        <v>357</v>
      </c>
      <c r="M37" s="15"/>
      <c r="N37" s="73"/>
      <c r="O37" s="15"/>
    </row>
    <row r="38" spans="1:15" x14ac:dyDescent="0.25">
      <c r="A38" s="16">
        <v>14847</v>
      </c>
      <c r="B38" s="49">
        <v>300</v>
      </c>
      <c r="C38" s="17"/>
      <c r="D38" s="13">
        <v>14898</v>
      </c>
      <c r="E38" s="70">
        <v>400</v>
      </c>
      <c r="F38" s="14"/>
      <c r="G38" s="11">
        <v>14938</v>
      </c>
      <c r="H38" s="67">
        <v>800</v>
      </c>
      <c r="I38" s="12" t="s">
        <v>451</v>
      </c>
      <c r="J38" s="61"/>
      <c r="K38" s="71"/>
      <c r="L38" s="62" t="s">
        <v>16</v>
      </c>
      <c r="M38" s="15"/>
      <c r="N38" s="73"/>
      <c r="O38" s="15"/>
    </row>
    <row r="39" spans="1:15" x14ac:dyDescent="0.25">
      <c r="A39" s="16">
        <v>14848</v>
      </c>
      <c r="B39" s="49">
        <v>900</v>
      </c>
      <c r="C39" s="17" t="s">
        <v>402</v>
      </c>
      <c r="D39" s="13">
        <v>14899</v>
      </c>
      <c r="E39" s="70">
        <v>400</v>
      </c>
      <c r="F39" s="14"/>
      <c r="G39" s="11"/>
      <c r="H39" s="67"/>
      <c r="I39" s="12" t="s">
        <v>16</v>
      </c>
      <c r="J39" s="61">
        <v>14963</v>
      </c>
      <c r="K39" s="71">
        <v>800</v>
      </c>
      <c r="L39" s="62" t="s">
        <v>38</v>
      </c>
      <c r="M39" s="15"/>
      <c r="N39" s="73"/>
      <c r="O39" s="15"/>
    </row>
    <row r="40" spans="1:15" x14ac:dyDescent="0.25">
      <c r="A40" s="16"/>
      <c r="B40" s="49"/>
      <c r="C40" s="17" t="s">
        <v>17</v>
      </c>
      <c r="D40" s="13">
        <v>14900</v>
      </c>
      <c r="E40" s="70">
        <v>400</v>
      </c>
      <c r="F40" s="14" t="s">
        <v>399</v>
      </c>
      <c r="G40" s="11">
        <v>14939</v>
      </c>
      <c r="H40" s="67">
        <v>400</v>
      </c>
      <c r="I40" s="12"/>
      <c r="J40" s="61"/>
      <c r="K40" s="71"/>
      <c r="L40" s="62" t="s">
        <v>16</v>
      </c>
      <c r="M40" s="15"/>
      <c r="N40" s="73"/>
      <c r="O40" s="15"/>
    </row>
    <row r="41" spans="1:15" x14ac:dyDescent="0.25">
      <c r="A41" s="16">
        <v>14849</v>
      </c>
      <c r="B41" s="49">
        <v>400</v>
      </c>
      <c r="C41" s="17"/>
      <c r="D41" s="13">
        <v>14901</v>
      </c>
      <c r="E41" s="70">
        <v>300</v>
      </c>
      <c r="F41" s="14" t="s">
        <v>371</v>
      </c>
      <c r="G41" s="11">
        <v>14940</v>
      </c>
      <c r="H41" s="67">
        <v>200</v>
      </c>
      <c r="I41" s="12"/>
      <c r="J41" s="61">
        <v>14964</v>
      </c>
      <c r="K41" s="71">
        <v>400</v>
      </c>
      <c r="L41" s="62" t="s">
        <v>399</v>
      </c>
      <c r="M41" s="15"/>
      <c r="N41" s="73"/>
      <c r="O41" s="15"/>
    </row>
    <row r="42" spans="1:15" x14ac:dyDescent="0.25">
      <c r="A42" s="16">
        <v>14850</v>
      </c>
      <c r="B42" s="49">
        <v>350</v>
      </c>
      <c r="C42" s="17" t="s">
        <v>439</v>
      </c>
      <c r="D42" s="13">
        <v>14902</v>
      </c>
      <c r="E42" s="70">
        <v>350</v>
      </c>
      <c r="F42" s="14"/>
      <c r="G42" s="11">
        <v>14941</v>
      </c>
      <c r="H42" s="67">
        <v>400</v>
      </c>
      <c r="I42" s="12"/>
      <c r="J42" s="61">
        <v>14965</v>
      </c>
      <c r="K42" s="71">
        <v>400</v>
      </c>
      <c r="L42" s="62"/>
      <c r="M42" s="15"/>
      <c r="N42" s="73"/>
      <c r="O42" s="15"/>
    </row>
    <row r="43" spans="1:15" x14ac:dyDescent="0.25">
      <c r="A43" s="16"/>
      <c r="B43" s="49"/>
      <c r="C43" s="17" t="s">
        <v>440</v>
      </c>
      <c r="D43" s="13">
        <v>14903</v>
      </c>
      <c r="E43" s="70">
        <v>800</v>
      </c>
      <c r="F43" s="14" t="s">
        <v>435</v>
      </c>
      <c r="G43" s="11">
        <v>14942</v>
      </c>
      <c r="H43" s="67">
        <v>400</v>
      </c>
      <c r="I43" s="12"/>
      <c r="J43" s="61">
        <v>14966</v>
      </c>
      <c r="K43" s="71">
        <v>50</v>
      </c>
      <c r="L43" s="62" t="s">
        <v>459</v>
      </c>
      <c r="M43" s="15"/>
      <c r="N43" s="73"/>
      <c r="O43" s="15"/>
    </row>
    <row r="44" spans="1:15" x14ac:dyDescent="0.25">
      <c r="A44" s="16"/>
      <c r="B44" s="49"/>
      <c r="C44" s="109">
        <v>100</v>
      </c>
      <c r="D44" s="13"/>
      <c r="E44" s="70"/>
      <c r="F44" s="14" t="s">
        <v>16</v>
      </c>
      <c r="G44" s="11">
        <v>14943</v>
      </c>
      <c r="H44" s="67">
        <v>300</v>
      </c>
      <c r="I44" s="12"/>
      <c r="J44" s="61">
        <v>14967</v>
      </c>
      <c r="K44" s="71">
        <v>400</v>
      </c>
      <c r="L44" s="62" t="s">
        <v>357</v>
      </c>
      <c r="M44" s="15"/>
      <c r="N44" s="73"/>
      <c r="O44" s="15"/>
    </row>
    <row r="45" spans="1:15" x14ac:dyDescent="0.25">
      <c r="A45" s="16">
        <v>14851</v>
      </c>
      <c r="B45" s="49">
        <v>400</v>
      </c>
      <c r="C45" s="17"/>
      <c r="D45" s="13">
        <v>14904</v>
      </c>
      <c r="E45" s="70">
        <v>400</v>
      </c>
      <c r="F45" s="14"/>
      <c r="G45" s="11">
        <v>14944</v>
      </c>
      <c r="H45" s="67">
        <v>800</v>
      </c>
      <c r="I45" s="12" t="s">
        <v>357</v>
      </c>
      <c r="J45" s="61"/>
      <c r="K45" s="71"/>
      <c r="L45" s="62" t="s">
        <v>18</v>
      </c>
      <c r="M45" s="15"/>
      <c r="N45" s="73"/>
      <c r="O45" s="15"/>
    </row>
    <row r="46" spans="1:15" x14ac:dyDescent="0.25">
      <c r="A46" s="16">
        <v>14852</v>
      </c>
      <c r="B46" s="49">
        <v>1200</v>
      </c>
      <c r="C46" s="17" t="s">
        <v>441</v>
      </c>
      <c r="D46" s="13">
        <v>14905</v>
      </c>
      <c r="E46" s="70">
        <v>400</v>
      </c>
      <c r="F46" s="14" t="s">
        <v>371</v>
      </c>
      <c r="G46" s="11"/>
      <c r="H46" s="67"/>
      <c r="I46" s="12" t="s">
        <v>16</v>
      </c>
      <c r="J46" s="61">
        <v>14968</v>
      </c>
      <c r="K46" s="71">
        <v>400</v>
      </c>
      <c r="L46" s="62"/>
      <c r="M46" s="15"/>
      <c r="N46" s="73"/>
      <c r="O46" s="15"/>
    </row>
    <row r="47" spans="1:15" x14ac:dyDescent="0.25">
      <c r="A47" s="16"/>
      <c r="B47" s="49"/>
      <c r="C47" s="17" t="s">
        <v>16</v>
      </c>
      <c r="D47" s="13">
        <v>14906</v>
      </c>
      <c r="E47" s="70">
        <v>800</v>
      </c>
      <c r="F47" s="14" t="s">
        <v>357</v>
      </c>
      <c r="G47" s="11"/>
      <c r="H47" s="67"/>
      <c r="I47" s="12"/>
      <c r="J47" s="61">
        <v>14969</v>
      </c>
      <c r="K47" s="71">
        <v>400</v>
      </c>
      <c r="L47" s="62"/>
      <c r="M47" s="15"/>
      <c r="N47" s="73"/>
      <c r="O47" s="15"/>
    </row>
    <row r="48" spans="1:15" x14ac:dyDescent="0.25">
      <c r="A48" s="16">
        <v>14853</v>
      </c>
      <c r="B48" s="49"/>
      <c r="C48" s="17" t="s">
        <v>44</v>
      </c>
      <c r="D48" s="13"/>
      <c r="E48" s="70"/>
      <c r="F48" s="14" t="s">
        <v>16</v>
      </c>
      <c r="G48" s="11"/>
      <c r="H48" s="67"/>
      <c r="I48" s="12"/>
      <c r="J48" s="61">
        <v>14970</v>
      </c>
      <c r="K48" s="71">
        <v>600</v>
      </c>
      <c r="L48" s="62" t="s">
        <v>357</v>
      </c>
      <c r="M48" s="15"/>
      <c r="N48" s="73"/>
      <c r="O48" s="15"/>
    </row>
    <row r="49" spans="1:15" x14ac:dyDescent="0.25">
      <c r="A49" s="16">
        <v>14854</v>
      </c>
      <c r="B49" s="49">
        <v>600</v>
      </c>
      <c r="C49" s="17" t="s">
        <v>297</v>
      </c>
      <c r="D49" s="13">
        <v>14907</v>
      </c>
      <c r="E49" s="70">
        <v>600</v>
      </c>
      <c r="F49" s="14" t="s">
        <v>357</v>
      </c>
      <c r="G49" s="11"/>
      <c r="H49" s="67"/>
      <c r="I49" s="12"/>
      <c r="J49" s="61"/>
      <c r="K49" s="71"/>
      <c r="L49" s="62" t="s">
        <v>460</v>
      </c>
      <c r="M49" s="15"/>
      <c r="N49" s="73"/>
      <c r="O49" s="15"/>
    </row>
    <row r="50" spans="1:15" x14ac:dyDescent="0.25">
      <c r="A50" s="16"/>
      <c r="B50" s="49"/>
      <c r="C50" s="17" t="s">
        <v>17</v>
      </c>
      <c r="D50" s="13"/>
      <c r="E50" s="70"/>
      <c r="F50" s="14" t="s">
        <v>17</v>
      </c>
      <c r="G50" s="11"/>
      <c r="H50" s="67"/>
      <c r="I50" s="12"/>
      <c r="J50" s="61"/>
      <c r="K50" s="71"/>
      <c r="L50" s="62" t="s">
        <v>461</v>
      </c>
      <c r="M50" s="15"/>
      <c r="N50" s="73"/>
      <c r="O50" s="15"/>
    </row>
    <row r="51" spans="1:15" x14ac:dyDescent="0.25">
      <c r="A51" s="16">
        <v>14855</v>
      </c>
      <c r="B51" s="49">
        <v>400</v>
      </c>
      <c r="C51" s="17" t="s">
        <v>399</v>
      </c>
      <c r="D51" s="13">
        <v>14908</v>
      </c>
      <c r="E51" s="70">
        <v>800</v>
      </c>
      <c r="F51" s="14" t="s">
        <v>297</v>
      </c>
      <c r="G51" s="11"/>
      <c r="H51" s="67"/>
      <c r="I51" s="12"/>
      <c r="J51" s="61">
        <v>14971</v>
      </c>
      <c r="K51" s="71">
        <v>50</v>
      </c>
      <c r="L51" s="62" t="s">
        <v>37</v>
      </c>
      <c r="M51" s="15"/>
      <c r="N51" s="73"/>
      <c r="O51" s="15"/>
    </row>
    <row r="52" spans="1:15" x14ac:dyDescent="0.25">
      <c r="A52" s="16">
        <v>14856</v>
      </c>
      <c r="B52" s="49">
        <v>600</v>
      </c>
      <c r="C52" s="17" t="s">
        <v>442</v>
      </c>
      <c r="D52" s="13"/>
      <c r="E52" s="70"/>
      <c r="F52" s="14" t="s">
        <v>16</v>
      </c>
      <c r="G52" s="11"/>
      <c r="H52" s="67"/>
      <c r="I52" s="12"/>
      <c r="J52" s="61"/>
      <c r="K52" s="71"/>
      <c r="L52" s="62"/>
      <c r="M52" s="15"/>
      <c r="N52" s="73"/>
      <c r="O52" s="15"/>
    </row>
    <row r="53" spans="1:15" x14ac:dyDescent="0.25">
      <c r="A53" s="16"/>
      <c r="B53" s="49"/>
      <c r="C53" s="17" t="s">
        <v>17</v>
      </c>
      <c r="D53" s="13">
        <v>14909</v>
      </c>
      <c r="E53" s="70">
        <v>400</v>
      </c>
      <c r="F53" s="14" t="s">
        <v>310</v>
      </c>
      <c r="G53" s="11"/>
      <c r="H53" s="67"/>
      <c r="I53" s="12"/>
      <c r="J53" s="61"/>
      <c r="K53" s="71"/>
      <c r="L53" s="62"/>
      <c r="M53" s="15"/>
      <c r="N53" s="73"/>
      <c r="O53" s="15"/>
    </row>
    <row r="54" spans="1:15" x14ac:dyDescent="0.25">
      <c r="A54" s="16">
        <v>14857</v>
      </c>
      <c r="B54" s="49">
        <v>300</v>
      </c>
      <c r="C54" s="17"/>
      <c r="D54" s="13">
        <v>14910</v>
      </c>
      <c r="E54" s="70">
        <v>400</v>
      </c>
      <c r="F54" s="14"/>
      <c r="G54" s="11"/>
      <c r="H54" s="67"/>
      <c r="I54" s="12"/>
      <c r="J54" s="61"/>
      <c r="K54" s="71"/>
      <c r="L54" s="62"/>
      <c r="M54" s="15"/>
      <c r="N54" s="73"/>
      <c r="O54" s="15"/>
    </row>
    <row r="55" spans="1:15" x14ac:dyDescent="0.25">
      <c r="A55" s="16">
        <v>14858</v>
      </c>
      <c r="B55" s="49">
        <v>400</v>
      </c>
      <c r="C55" s="17" t="s">
        <v>357</v>
      </c>
      <c r="D55" s="13">
        <v>14911</v>
      </c>
      <c r="E55" s="70">
        <v>800</v>
      </c>
      <c r="F55" s="14" t="s">
        <v>357</v>
      </c>
      <c r="G55" s="11"/>
      <c r="H55" s="67"/>
      <c r="I55" s="12"/>
      <c r="J55" s="61"/>
      <c r="K55" s="71"/>
      <c r="L55" s="62"/>
      <c r="M55" s="15"/>
      <c r="N55" s="73"/>
      <c r="O55" s="15"/>
    </row>
    <row r="56" spans="1:15" x14ac:dyDescent="0.25">
      <c r="A56" s="16"/>
      <c r="B56" s="49"/>
      <c r="C56" s="17" t="s">
        <v>18</v>
      </c>
      <c r="D56" s="13"/>
      <c r="E56" s="70"/>
      <c r="F56" s="14" t="s">
        <v>16</v>
      </c>
      <c r="G56" s="11"/>
      <c r="H56" s="67"/>
      <c r="I56" s="12"/>
      <c r="J56" s="61"/>
      <c r="K56" s="71"/>
      <c r="L56" s="62"/>
      <c r="M56" s="15"/>
      <c r="N56" s="73"/>
      <c r="O56" s="15"/>
    </row>
    <row r="57" spans="1:15" x14ac:dyDescent="0.25">
      <c r="A57" s="16">
        <v>14859</v>
      </c>
      <c r="B57" s="49">
        <v>400</v>
      </c>
      <c r="C57" s="17"/>
      <c r="D57" s="13">
        <v>14912</v>
      </c>
      <c r="E57" s="70">
        <v>1400</v>
      </c>
      <c r="F57" s="14" t="s">
        <v>240</v>
      </c>
      <c r="G57" s="11"/>
      <c r="H57" s="67"/>
      <c r="I57" s="12"/>
      <c r="J57" s="61"/>
      <c r="K57" s="71"/>
      <c r="L57" s="62"/>
      <c r="M57" s="15"/>
      <c r="N57" s="73"/>
      <c r="O57" s="15"/>
    </row>
    <row r="58" spans="1:15" x14ac:dyDescent="0.25">
      <c r="A58" s="16">
        <v>14860</v>
      </c>
      <c r="B58" s="49">
        <v>400</v>
      </c>
      <c r="C58" s="17"/>
      <c r="D58" s="13"/>
      <c r="E58" s="70"/>
      <c r="F58" s="14" t="s">
        <v>447</v>
      </c>
      <c r="G58" s="11"/>
      <c r="H58" s="67"/>
      <c r="I58" s="12"/>
      <c r="J58" s="61"/>
      <c r="K58" s="71"/>
      <c r="L58" s="62"/>
      <c r="M58" s="15"/>
      <c r="N58" s="73"/>
      <c r="O58" s="15"/>
    </row>
    <row r="59" spans="1:15" x14ac:dyDescent="0.25">
      <c r="A59" s="16"/>
      <c r="B59" s="49"/>
      <c r="C59" s="17"/>
      <c r="D59" s="13"/>
      <c r="E59" s="70"/>
      <c r="F59" s="14" t="s">
        <v>18</v>
      </c>
      <c r="G59" s="11"/>
      <c r="H59" s="67"/>
      <c r="I59" s="12"/>
      <c r="J59" s="61"/>
      <c r="K59" s="71"/>
      <c r="L59" s="62"/>
      <c r="M59" s="15"/>
      <c r="N59" s="73"/>
      <c r="O59" s="15"/>
    </row>
    <row r="60" spans="1:15" x14ac:dyDescent="0.25">
      <c r="A60" s="16">
        <v>14861</v>
      </c>
      <c r="B60" s="49">
        <v>300</v>
      </c>
      <c r="C60" s="17"/>
      <c r="D60" s="13">
        <v>14913</v>
      </c>
      <c r="E60" s="70">
        <v>200</v>
      </c>
      <c r="F60" s="14" t="s">
        <v>19</v>
      </c>
      <c r="G60" s="11"/>
      <c r="H60" s="67"/>
      <c r="I60" s="12"/>
      <c r="J60" s="61"/>
      <c r="K60" s="71"/>
      <c r="L60" s="62"/>
      <c r="M60" s="15"/>
      <c r="N60" s="73"/>
      <c r="O60" s="15"/>
    </row>
    <row r="61" spans="1:15" x14ac:dyDescent="0.25">
      <c r="A61" s="16">
        <v>14862</v>
      </c>
      <c r="B61" s="49">
        <v>300</v>
      </c>
      <c r="C61" s="17"/>
      <c r="D61" s="13">
        <v>14914</v>
      </c>
      <c r="E61" s="70">
        <v>1600</v>
      </c>
      <c r="F61" s="14" t="s">
        <v>444</v>
      </c>
      <c r="G61" s="11"/>
      <c r="H61" s="67"/>
      <c r="I61" s="12"/>
      <c r="J61" s="61"/>
      <c r="K61" s="71"/>
      <c r="L61" s="62"/>
      <c r="M61" s="15"/>
      <c r="N61" s="73"/>
      <c r="O61" s="15"/>
    </row>
    <row r="62" spans="1:15" x14ac:dyDescent="0.25">
      <c r="A62" s="16">
        <v>14863</v>
      </c>
      <c r="B62" s="49">
        <v>200</v>
      </c>
      <c r="C62" s="17" t="s">
        <v>399</v>
      </c>
      <c r="D62" s="13"/>
      <c r="E62" s="70"/>
      <c r="F62" s="14" t="s">
        <v>16</v>
      </c>
      <c r="G62" s="11"/>
      <c r="H62" s="67"/>
      <c r="I62" s="12"/>
      <c r="J62" s="61"/>
      <c r="K62" s="71"/>
      <c r="L62" s="62"/>
      <c r="M62" s="15"/>
      <c r="N62" s="73"/>
      <c r="O62" s="15"/>
    </row>
    <row r="63" spans="1:15" x14ac:dyDescent="0.25">
      <c r="A63" s="16">
        <v>14864</v>
      </c>
      <c r="B63" s="49">
        <v>400</v>
      </c>
      <c r="C63" s="17"/>
      <c r="D63" s="13">
        <v>14915</v>
      </c>
      <c r="E63" s="70">
        <v>225</v>
      </c>
      <c r="F63" s="14" t="s">
        <v>448</v>
      </c>
      <c r="G63" s="11"/>
      <c r="H63" s="67"/>
      <c r="I63" s="12"/>
      <c r="J63" s="61"/>
      <c r="K63" s="71"/>
      <c r="L63" s="62"/>
      <c r="M63" s="15"/>
      <c r="N63" s="73"/>
      <c r="O63" s="15"/>
    </row>
    <row r="64" spans="1:15" x14ac:dyDescent="0.25">
      <c r="A64" s="16">
        <v>14865</v>
      </c>
      <c r="B64" s="49">
        <v>400</v>
      </c>
      <c r="C64" s="17" t="s">
        <v>399</v>
      </c>
      <c r="D64" s="13">
        <v>14916</v>
      </c>
      <c r="E64" s="70">
        <v>50</v>
      </c>
      <c r="F64" s="14" t="s">
        <v>47</v>
      </c>
      <c r="G64" s="11"/>
      <c r="H64" s="67"/>
      <c r="I64" s="12"/>
      <c r="J64" s="61"/>
      <c r="K64" s="71"/>
      <c r="L64" s="62"/>
      <c r="M64" s="15"/>
      <c r="N64" s="73"/>
      <c r="O64" s="15"/>
    </row>
    <row r="65" spans="1:15" x14ac:dyDescent="0.25">
      <c r="A65" s="16">
        <v>14866</v>
      </c>
      <c r="B65" s="49">
        <v>800</v>
      </c>
      <c r="C65" s="17" t="s">
        <v>357</v>
      </c>
      <c r="D65" s="13"/>
      <c r="E65" s="70"/>
      <c r="F65" s="14"/>
      <c r="G65" s="11"/>
      <c r="H65" s="67"/>
      <c r="I65" s="12"/>
      <c r="J65" s="61"/>
      <c r="K65" s="71"/>
      <c r="L65" s="62"/>
      <c r="M65" s="15"/>
      <c r="N65" s="73"/>
      <c r="O65" s="15"/>
    </row>
    <row r="66" spans="1:15" x14ac:dyDescent="0.25">
      <c r="A66" s="16"/>
      <c r="B66" s="49"/>
      <c r="C66" s="17" t="s">
        <v>16</v>
      </c>
      <c r="D66" s="13"/>
      <c r="E66" s="70"/>
      <c r="F66" s="14"/>
      <c r="G66" s="11"/>
      <c r="H66" s="67"/>
      <c r="I66" s="12"/>
      <c r="J66" s="61"/>
      <c r="K66" s="71"/>
      <c r="L66" s="62"/>
      <c r="M66" s="15"/>
      <c r="N66" s="73"/>
      <c r="O66" s="15"/>
    </row>
    <row r="67" spans="1:15" x14ac:dyDescent="0.25">
      <c r="A67" s="16">
        <v>14867</v>
      </c>
      <c r="B67" s="49">
        <v>400</v>
      </c>
      <c r="C67" s="17" t="s">
        <v>320</v>
      </c>
      <c r="D67" s="13"/>
      <c r="E67" s="70"/>
      <c r="F67" s="14"/>
      <c r="G67" s="11"/>
      <c r="H67" s="67"/>
      <c r="I67" s="12"/>
      <c r="J67" s="61"/>
      <c r="K67" s="71"/>
      <c r="L67" s="62"/>
      <c r="M67" s="15"/>
      <c r="N67" s="73"/>
      <c r="O67" s="15"/>
    </row>
    <row r="68" spans="1:15" x14ac:dyDescent="0.25">
      <c r="A68" s="16"/>
      <c r="B68" s="49"/>
      <c r="C68" s="17" t="s">
        <v>18</v>
      </c>
      <c r="D68" s="13"/>
      <c r="E68" s="70"/>
      <c r="F68" s="14"/>
      <c r="G68" s="11"/>
      <c r="H68" s="67"/>
      <c r="I68" s="12"/>
      <c r="J68" s="61"/>
      <c r="K68" s="71"/>
      <c r="L68" s="62"/>
      <c r="M68" s="15"/>
      <c r="N68" s="73"/>
      <c r="O68" s="15"/>
    </row>
    <row r="69" spans="1:15" x14ac:dyDescent="0.25">
      <c r="A69" s="16">
        <v>14868</v>
      </c>
      <c r="B69" s="49">
        <v>400</v>
      </c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15"/>
      <c r="N69" s="73"/>
      <c r="O69" s="15"/>
    </row>
    <row r="70" spans="1:15" x14ac:dyDescent="0.25">
      <c r="A70" s="16">
        <v>14869</v>
      </c>
      <c r="B70" s="49">
        <v>600</v>
      </c>
      <c r="C70" s="17" t="s">
        <v>402</v>
      </c>
      <c r="D70" s="13"/>
      <c r="E70" s="70"/>
      <c r="F70" s="14"/>
      <c r="G70" s="11"/>
      <c r="H70" s="67"/>
      <c r="I70" s="12"/>
      <c r="J70" s="61"/>
      <c r="K70" s="71"/>
      <c r="L70" s="62"/>
      <c r="M70" s="15"/>
      <c r="N70" s="73"/>
      <c r="O70" s="15"/>
    </row>
    <row r="71" spans="1:15" x14ac:dyDescent="0.25">
      <c r="A71" s="16"/>
      <c r="B71" s="49"/>
      <c r="C71" s="17" t="s">
        <v>18</v>
      </c>
      <c r="D71" s="13"/>
      <c r="E71" s="70"/>
      <c r="F71" s="14"/>
      <c r="G71" s="11"/>
      <c r="H71" s="67"/>
      <c r="I71" s="12"/>
      <c r="J71" s="61"/>
      <c r="K71" s="71"/>
      <c r="L71" s="62"/>
      <c r="M71" s="15"/>
      <c r="N71" s="73"/>
      <c r="O71" s="15"/>
    </row>
    <row r="72" spans="1:15" x14ac:dyDescent="0.25">
      <c r="A72" s="16">
        <v>14870</v>
      </c>
      <c r="B72" s="49">
        <v>200</v>
      </c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15"/>
      <c r="N72" s="73"/>
      <c r="O72" s="15"/>
    </row>
    <row r="73" spans="1:15" x14ac:dyDescent="0.25">
      <c r="A73" s="16">
        <v>14871</v>
      </c>
      <c r="B73" s="49">
        <v>400</v>
      </c>
      <c r="C73" s="17" t="s">
        <v>399</v>
      </c>
      <c r="D73" s="13"/>
      <c r="E73" s="70"/>
      <c r="F73" s="14"/>
      <c r="G73" s="11"/>
      <c r="H73" s="67"/>
      <c r="I73" s="12"/>
      <c r="J73" s="61"/>
      <c r="K73" s="71"/>
      <c r="L73" s="62"/>
      <c r="M73" s="15"/>
      <c r="N73" s="73"/>
      <c r="O73" s="15"/>
    </row>
    <row r="74" spans="1:15" x14ac:dyDescent="0.25">
      <c r="A74" s="16">
        <v>14872</v>
      </c>
      <c r="B74" s="49">
        <v>300</v>
      </c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15"/>
      <c r="N74" s="73"/>
      <c r="O74" s="15"/>
    </row>
    <row r="75" spans="1:15" x14ac:dyDescent="0.25">
      <c r="A75" s="16">
        <v>14873</v>
      </c>
      <c r="B75" s="49"/>
      <c r="C75" s="17" t="s">
        <v>44</v>
      </c>
      <c r="D75" s="13"/>
      <c r="E75" s="70"/>
      <c r="F75" s="14"/>
      <c r="G75" s="11"/>
      <c r="H75" s="67"/>
      <c r="I75" s="12"/>
      <c r="J75" s="61"/>
      <c r="K75" s="71"/>
      <c r="L75" s="62"/>
      <c r="M75" s="15"/>
      <c r="N75" s="73"/>
      <c r="O75" s="15"/>
    </row>
    <row r="76" spans="1:15" x14ac:dyDescent="0.25">
      <c r="A76" s="16">
        <v>14874</v>
      </c>
      <c r="B76" s="49">
        <v>1000</v>
      </c>
      <c r="C76" s="17" t="s">
        <v>375</v>
      </c>
      <c r="D76" s="13"/>
      <c r="E76" s="70"/>
      <c r="F76" s="14"/>
      <c r="G76" s="11"/>
      <c r="H76" s="67"/>
      <c r="I76" s="12"/>
      <c r="J76" s="61"/>
      <c r="K76" s="71"/>
      <c r="L76" s="62"/>
      <c r="M76" s="15"/>
      <c r="N76" s="73"/>
      <c r="O76" s="15"/>
    </row>
    <row r="77" spans="1:15" x14ac:dyDescent="0.25">
      <c r="A77" s="16"/>
      <c r="B77" s="49"/>
      <c r="C77" s="17" t="s">
        <v>20</v>
      </c>
      <c r="D77" s="13"/>
      <c r="E77" s="70"/>
      <c r="F77" s="14"/>
      <c r="G77" s="11"/>
      <c r="H77" s="67"/>
      <c r="I77" s="12"/>
      <c r="J77" s="61"/>
      <c r="K77" s="71"/>
      <c r="L77" s="62"/>
      <c r="M77" s="15"/>
      <c r="N77" s="73"/>
      <c r="O77" s="15"/>
    </row>
    <row r="78" spans="1:15" x14ac:dyDescent="0.25">
      <c r="A78" s="16">
        <v>14875</v>
      </c>
      <c r="B78" s="49">
        <v>400</v>
      </c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1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1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1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1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15"/>
      <c r="N94" s="73"/>
      <c r="O94" s="15"/>
    </row>
    <row r="95" spans="1:15" x14ac:dyDescent="0.25">
      <c r="A95" s="26"/>
      <c r="B95" s="66"/>
      <c r="C95" s="58"/>
      <c r="D95" s="26"/>
      <c r="E95" s="58"/>
      <c r="F95" s="58"/>
      <c r="G95" s="26"/>
      <c r="H95" s="58"/>
      <c r="I95" s="58"/>
      <c r="J95" s="26"/>
      <c r="K95" s="58"/>
      <c r="L95" s="62"/>
      <c r="M95" s="58"/>
      <c r="N95" s="58"/>
      <c r="O95" s="58"/>
    </row>
    <row r="96" spans="1:15" x14ac:dyDescent="0.25">
      <c r="A96" s="26"/>
      <c r="B96" s="6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20" activePane="bottomLeft" state="frozen"/>
      <selection activeCell="A5" sqref="A5"/>
      <selection pane="bottomLeft" activeCell="L36" sqref="L3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4257812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SUBTOTAL(3,A8:A121)</f>
        <v>46</v>
      </c>
      <c r="B6" s="8">
        <f>SUBTOTAL(9,B8:B121)</f>
        <v>28125</v>
      </c>
      <c r="C6" s="35">
        <v>42981</v>
      </c>
      <c r="D6" s="8">
        <f>SUBTOTAL(3,D8:D120)</f>
        <v>39</v>
      </c>
      <c r="E6" s="1">
        <f>SUBTOTAL(9,E8:E126)</f>
        <v>26250</v>
      </c>
      <c r="F6" s="38">
        <v>42988</v>
      </c>
      <c r="G6" s="8">
        <f>SUBTOTAL(3,G8:G120)</f>
        <v>34</v>
      </c>
      <c r="H6" s="1">
        <f>SUBTOTAL(9,H8:H126)</f>
        <v>17950</v>
      </c>
      <c r="I6" s="39">
        <v>42995</v>
      </c>
      <c r="J6" s="8">
        <f>SUBTOTAL(3,J8:J111)</f>
        <v>21</v>
      </c>
      <c r="K6" s="1">
        <f>SUBTOTAL(9,K8:K111)</f>
        <v>10250</v>
      </c>
      <c r="L6" s="63">
        <v>43002</v>
      </c>
      <c r="M6" s="1">
        <f>SUBTOTAL(3,M8:M120)</f>
        <v>0</v>
      </c>
      <c r="N6" s="1">
        <f>SUBTOTAL(9,N8:N120)</f>
        <v>0</v>
      </c>
      <c r="O6" s="85"/>
      <c r="Q6" s="30">
        <f>+A6+D6+G6+J6+M6</f>
        <v>140</v>
      </c>
      <c r="R6" s="29">
        <f>+B6+E6+H6+K6+N6</f>
        <v>82575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14980</v>
      </c>
      <c r="B8" s="49">
        <v>300</v>
      </c>
      <c r="C8" s="17" t="s">
        <v>346</v>
      </c>
      <c r="D8" s="13">
        <v>15026</v>
      </c>
      <c r="E8" s="70">
        <v>600</v>
      </c>
      <c r="F8" s="14" t="s">
        <v>346</v>
      </c>
      <c r="G8" s="11">
        <v>15065</v>
      </c>
      <c r="H8" s="67"/>
      <c r="I8" s="12" t="s">
        <v>14</v>
      </c>
      <c r="J8" s="61">
        <v>15099</v>
      </c>
      <c r="K8" s="71">
        <v>800</v>
      </c>
      <c r="L8" s="62" t="s">
        <v>495</v>
      </c>
      <c r="M8" s="15"/>
      <c r="N8" s="15"/>
      <c r="O8" s="15"/>
      <c r="Q8" s="32"/>
      <c r="R8" s="32"/>
    </row>
    <row r="9" spans="1:18" x14ac:dyDescent="0.25">
      <c r="A9" s="16">
        <v>14981</v>
      </c>
      <c r="B9" s="49">
        <v>500</v>
      </c>
      <c r="C9" s="17" t="s">
        <v>467</v>
      </c>
      <c r="D9" s="13">
        <v>15027</v>
      </c>
      <c r="E9" s="70">
        <v>2200</v>
      </c>
      <c r="F9" s="14" t="s">
        <v>477</v>
      </c>
      <c r="G9" s="11">
        <v>15066</v>
      </c>
      <c r="H9" s="67">
        <v>1200</v>
      </c>
      <c r="I9" s="12" t="s">
        <v>408</v>
      </c>
      <c r="J9" s="61" t="s">
        <v>497</v>
      </c>
      <c r="K9" s="71">
        <v>400</v>
      </c>
      <c r="L9" s="62"/>
      <c r="M9" s="15"/>
      <c r="N9" s="15"/>
      <c r="O9" s="15"/>
    </row>
    <row r="10" spans="1:18" x14ac:dyDescent="0.25">
      <c r="A10" s="16"/>
      <c r="B10" s="49"/>
      <c r="C10" s="17" t="s">
        <v>263</v>
      </c>
      <c r="D10" s="13"/>
      <c r="E10" s="70"/>
      <c r="F10" s="14" t="s">
        <v>18</v>
      </c>
      <c r="G10" s="11"/>
      <c r="H10" s="67"/>
      <c r="I10" s="12" t="s">
        <v>16</v>
      </c>
      <c r="J10" s="61">
        <v>15101</v>
      </c>
      <c r="K10" s="71">
        <v>800</v>
      </c>
      <c r="L10" s="62" t="s">
        <v>435</v>
      </c>
      <c r="M10" s="15"/>
      <c r="N10" s="15"/>
      <c r="O10" s="15"/>
    </row>
    <row r="11" spans="1:18" x14ac:dyDescent="0.25">
      <c r="A11" s="16">
        <v>14982</v>
      </c>
      <c r="B11" s="49">
        <v>300</v>
      </c>
      <c r="C11" s="17"/>
      <c r="D11" s="13"/>
      <c r="E11" s="70"/>
      <c r="F11" s="14" t="s">
        <v>478</v>
      </c>
      <c r="G11" s="11">
        <v>15067</v>
      </c>
      <c r="H11" s="67">
        <v>250</v>
      </c>
      <c r="I11" s="12" t="s">
        <v>491</v>
      </c>
      <c r="J11" s="61"/>
      <c r="K11" s="71"/>
      <c r="L11" s="62" t="s">
        <v>16</v>
      </c>
      <c r="M11" s="15"/>
      <c r="N11" s="15"/>
      <c r="O11" s="15"/>
    </row>
    <row r="12" spans="1:18" x14ac:dyDescent="0.25">
      <c r="A12" s="16">
        <v>14983</v>
      </c>
      <c r="B12" s="49">
        <v>4450</v>
      </c>
      <c r="C12" s="17" t="s">
        <v>15</v>
      </c>
      <c r="D12" s="13"/>
      <c r="E12" s="70"/>
      <c r="F12" s="14" t="s">
        <v>479</v>
      </c>
      <c r="G12" s="11"/>
      <c r="H12" s="67"/>
      <c r="I12" s="12" t="s">
        <v>340</v>
      </c>
      <c r="J12" s="61">
        <v>15102</v>
      </c>
      <c r="K12" s="71">
        <v>300</v>
      </c>
      <c r="L12" s="62"/>
      <c r="M12" s="15"/>
      <c r="N12" s="15"/>
      <c r="O12" s="15"/>
    </row>
    <row r="13" spans="1:18" x14ac:dyDescent="0.25">
      <c r="A13" s="16"/>
      <c r="B13" s="49"/>
      <c r="C13" s="17" t="s">
        <v>468</v>
      </c>
      <c r="D13" s="13">
        <v>15028</v>
      </c>
      <c r="E13" s="70">
        <v>2000</v>
      </c>
      <c r="F13" s="14" t="s">
        <v>480</v>
      </c>
      <c r="G13" s="11">
        <v>15068</v>
      </c>
      <c r="H13" s="67">
        <v>400</v>
      </c>
      <c r="I13" s="12" t="s">
        <v>357</v>
      </c>
      <c r="J13" s="61">
        <v>15103</v>
      </c>
      <c r="K13" s="71">
        <v>400</v>
      </c>
      <c r="L13" s="62" t="s">
        <v>496</v>
      </c>
      <c r="M13" s="15"/>
      <c r="N13" s="15"/>
      <c r="O13" s="15"/>
    </row>
    <row r="14" spans="1:18" x14ac:dyDescent="0.25">
      <c r="A14" s="16"/>
      <c r="B14" s="49"/>
      <c r="C14" s="17" t="s">
        <v>469</v>
      </c>
      <c r="D14" s="13"/>
      <c r="E14" s="70"/>
      <c r="F14" s="14" t="s">
        <v>392</v>
      </c>
      <c r="G14" s="11"/>
      <c r="H14" s="67"/>
      <c r="I14" s="12" t="s">
        <v>18</v>
      </c>
      <c r="J14" s="61">
        <v>15104</v>
      </c>
      <c r="K14" s="71">
        <v>400</v>
      </c>
      <c r="L14" s="62" t="s">
        <v>435</v>
      </c>
      <c r="M14" s="15"/>
      <c r="N14" s="15"/>
      <c r="O14" s="31"/>
    </row>
    <row r="15" spans="1:18" x14ac:dyDescent="0.25">
      <c r="A15" s="16"/>
      <c r="B15" s="49"/>
      <c r="C15" s="17" t="s">
        <v>470</v>
      </c>
      <c r="D15" s="13">
        <v>15029</v>
      </c>
      <c r="E15" s="70">
        <v>1600</v>
      </c>
      <c r="F15" s="14" t="s">
        <v>481</v>
      </c>
      <c r="G15" s="11">
        <v>15069</v>
      </c>
      <c r="H15" s="67">
        <v>800</v>
      </c>
      <c r="I15" s="12" t="s">
        <v>474</v>
      </c>
      <c r="J15" s="61"/>
      <c r="K15" s="71"/>
      <c r="L15" s="68" t="s">
        <v>18</v>
      </c>
      <c r="M15" s="15"/>
      <c r="N15" s="15"/>
      <c r="O15" s="15"/>
    </row>
    <row r="16" spans="1:18" x14ac:dyDescent="0.25">
      <c r="A16" s="16"/>
      <c r="B16" s="49"/>
      <c r="C16" s="17" t="s">
        <v>471</v>
      </c>
      <c r="D16" s="13"/>
      <c r="E16" s="70"/>
      <c r="F16" s="14" t="s">
        <v>16</v>
      </c>
      <c r="G16" s="11"/>
      <c r="H16" s="67"/>
      <c r="I16" s="12" t="s">
        <v>16</v>
      </c>
      <c r="J16" s="61">
        <v>15105</v>
      </c>
      <c r="K16" s="71">
        <v>400</v>
      </c>
      <c r="L16" s="62"/>
      <c r="M16" s="15"/>
      <c r="N16" s="15"/>
      <c r="O16" s="15"/>
    </row>
    <row r="17" spans="1:15" x14ac:dyDescent="0.25">
      <c r="A17" s="16">
        <v>14984</v>
      </c>
      <c r="B17" s="49"/>
      <c r="C17" s="17" t="s">
        <v>14</v>
      </c>
      <c r="D17" s="13">
        <v>15030</v>
      </c>
      <c r="E17" s="70">
        <v>400</v>
      </c>
      <c r="F17" s="14"/>
      <c r="G17" s="11">
        <v>15070</v>
      </c>
      <c r="H17" s="67">
        <v>50</v>
      </c>
      <c r="I17" s="12" t="s">
        <v>47</v>
      </c>
      <c r="J17" s="61">
        <v>15106</v>
      </c>
      <c r="K17" s="71">
        <v>400</v>
      </c>
      <c r="L17" s="62" t="s">
        <v>371</v>
      </c>
      <c r="M17" s="15"/>
      <c r="N17" s="15"/>
      <c r="O17" s="15"/>
    </row>
    <row r="18" spans="1:15" x14ac:dyDescent="0.25">
      <c r="A18" s="16">
        <v>14985</v>
      </c>
      <c r="B18" s="49">
        <v>400</v>
      </c>
      <c r="C18" s="17"/>
      <c r="D18" s="13">
        <v>15031</v>
      </c>
      <c r="E18" s="70">
        <v>400</v>
      </c>
      <c r="F18" s="33"/>
      <c r="G18" s="11">
        <v>15071</v>
      </c>
      <c r="H18" s="67">
        <v>200</v>
      </c>
      <c r="I18" s="12"/>
      <c r="J18" s="61">
        <v>15107</v>
      </c>
      <c r="K18" s="71">
        <v>300</v>
      </c>
      <c r="L18" s="62"/>
      <c r="M18" s="15"/>
      <c r="N18" s="15"/>
      <c r="O18" s="15"/>
    </row>
    <row r="19" spans="1:15" x14ac:dyDescent="0.25">
      <c r="A19" s="16">
        <v>14986</v>
      </c>
      <c r="B19" s="49">
        <v>300</v>
      </c>
      <c r="C19" s="17" t="s">
        <v>346</v>
      </c>
      <c r="D19" s="13">
        <v>15032</v>
      </c>
      <c r="E19" s="70">
        <v>200</v>
      </c>
      <c r="F19" s="14"/>
      <c r="G19" s="11">
        <v>15072</v>
      </c>
      <c r="H19" s="67">
        <v>400</v>
      </c>
      <c r="I19" s="12"/>
      <c r="J19" s="61">
        <v>15108</v>
      </c>
      <c r="K19" s="71">
        <v>600</v>
      </c>
      <c r="L19" s="62" t="s">
        <v>402</v>
      </c>
      <c r="M19" s="15"/>
      <c r="N19" s="15"/>
      <c r="O19" s="15"/>
    </row>
    <row r="20" spans="1:15" x14ac:dyDescent="0.25">
      <c r="A20" s="16">
        <v>14987</v>
      </c>
      <c r="B20" s="49">
        <v>800</v>
      </c>
      <c r="C20" s="17" t="s">
        <v>435</v>
      </c>
      <c r="D20" s="13">
        <v>15033</v>
      </c>
      <c r="E20" s="70">
        <v>800</v>
      </c>
      <c r="F20" s="14" t="s">
        <v>474</v>
      </c>
      <c r="G20" s="11">
        <v>15073</v>
      </c>
      <c r="H20" s="67">
        <v>1000</v>
      </c>
      <c r="I20" s="12" t="s">
        <v>435</v>
      </c>
      <c r="J20" s="61"/>
      <c r="K20" s="71"/>
      <c r="L20" s="62" t="s">
        <v>18</v>
      </c>
      <c r="M20" s="15"/>
      <c r="N20" s="15"/>
      <c r="O20" s="15"/>
    </row>
    <row r="21" spans="1:15" x14ac:dyDescent="0.25">
      <c r="A21" s="16"/>
      <c r="B21" s="49"/>
      <c r="C21" s="17" t="s">
        <v>472</v>
      </c>
      <c r="D21" s="13"/>
      <c r="E21" s="70"/>
      <c r="F21" s="14" t="s">
        <v>16</v>
      </c>
      <c r="G21" s="11"/>
      <c r="H21" s="67"/>
      <c r="I21" s="12" t="s">
        <v>405</v>
      </c>
      <c r="J21" s="61">
        <v>15109</v>
      </c>
      <c r="K21" s="71">
        <v>600</v>
      </c>
      <c r="L21" s="62" t="s">
        <v>449</v>
      </c>
      <c r="M21" s="15"/>
      <c r="N21" s="15"/>
      <c r="O21" s="15"/>
    </row>
    <row r="22" spans="1:15" x14ac:dyDescent="0.25">
      <c r="A22" s="16">
        <v>14988</v>
      </c>
      <c r="B22" s="49">
        <v>800</v>
      </c>
      <c r="C22" s="17" t="s">
        <v>320</v>
      </c>
      <c r="D22" s="13">
        <v>15034</v>
      </c>
      <c r="E22" s="70">
        <v>400</v>
      </c>
      <c r="F22" s="14"/>
      <c r="G22" s="11">
        <v>15074</v>
      </c>
      <c r="H22" s="67">
        <v>850</v>
      </c>
      <c r="I22" s="12" t="s">
        <v>474</v>
      </c>
      <c r="J22" s="61"/>
      <c r="K22" s="71"/>
      <c r="L22" s="62" t="s">
        <v>18</v>
      </c>
      <c r="M22" s="15"/>
      <c r="N22" s="15"/>
      <c r="O22" s="15"/>
    </row>
    <row r="23" spans="1:15" x14ac:dyDescent="0.25">
      <c r="A23" s="16"/>
      <c r="B23" s="49"/>
      <c r="C23" s="17" t="s">
        <v>16</v>
      </c>
      <c r="D23" s="13">
        <v>15035</v>
      </c>
      <c r="E23" s="70">
        <v>1600</v>
      </c>
      <c r="F23" s="14" t="s">
        <v>482</v>
      </c>
      <c r="G23" s="11"/>
      <c r="H23" s="67"/>
      <c r="I23" s="12" t="s">
        <v>139</v>
      </c>
      <c r="J23" s="61">
        <v>15110</v>
      </c>
      <c r="K23" s="71">
        <v>50</v>
      </c>
      <c r="L23" s="62" t="s">
        <v>309</v>
      </c>
      <c r="M23" s="15"/>
      <c r="N23" s="15"/>
      <c r="O23" s="15"/>
    </row>
    <row r="24" spans="1:15" x14ac:dyDescent="0.25">
      <c r="A24" s="16">
        <v>14989</v>
      </c>
      <c r="B24" s="49">
        <v>600</v>
      </c>
      <c r="C24" s="17" t="s">
        <v>408</v>
      </c>
      <c r="D24" s="13"/>
      <c r="E24" s="70"/>
      <c r="F24" s="14" t="s">
        <v>16</v>
      </c>
      <c r="G24" s="11">
        <v>15075</v>
      </c>
      <c r="H24" s="67">
        <v>800</v>
      </c>
      <c r="I24" s="12" t="s">
        <v>357</v>
      </c>
      <c r="J24" s="61">
        <v>15111</v>
      </c>
      <c r="K24" s="71">
        <v>400</v>
      </c>
      <c r="L24" s="62"/>
      <c r="M24" s="15"/>
      <c r="N24" s="15"/>
      <c r="O24" s="15"/>
    </row>
    <row r="25" spans="1:15" x14ac:dyDescent="0.25">
      <c r="A25" s="16"/>
      <c r="B25" s="49"/>
      <c r="C25" s="17" t="s">
        <v>18</v>
      </c>
      <c r="D25" s="13">
        <v>15036</v>
      </c>
      <c r="E25" s="70">
        <v>400</v>
      </c>
      <c r="F25" s="14"/>
      <c r="G25" s="11"/>
      <c r="H25" s="67"/>
      <c r="I25" s="12" t="s">
        <v>16</v>
      </c>
      <c r="J25" s="61">
        <v>15112</v>
      </c>
      <c r="K25" s="71">
        <v>400</v>
      </c>
      <c r="L25" s="62" t="s">
        <v>371</v>
      </c>
      <c r="M25" s="15"/>
      <c r="N25" s="15"/>
      <c r="O25" s="15"/>
    </row>
    <row r="26" spans="1:15" x14ac:dyDescent="0.25">
      <c r="A26" s="16">
        <v>14990</v>
      </c>
      <c r="B26" s="49">
        <v>400</v>
      </c>
      <c r="C26" s="17"/>
      <c r="D26" s="13">
        <v>15037</v>
      </c>
      <c r="E26" s="70">
        <v>400</v>
      </c>
      <c r="F26" s="14"/>
      <c r="G26" s="11">
        <v>15076</v>
      </c>
      <c r="H26" s="67">
        <v>200</v>
      </c>
      <c r="I26" s="12" t="s">
        <v>19</v>
      </c>
      <c r="J26" s="61">
        <v>15113</v>
      </c>
      <c r="K26" s="71">
        <v>400</v>
      </c>
      <c r="L26" s="62"/>
      <c r="M26" s="15"/>
      <c r="N26" s="15"/>
      <c r="O26" s="15"/>
    </row>
    <row r="27" spans="1:15" x14ac:dyDescent="0.25">
      <c r="A27" s="16">
        <v>14991</v>
      </c>
      <c r="B27" s="49">
        <v>1200</v>
      </c>
      <c r="C27" s="17" t="s">
        <v>408</v>
      </c>
      <c r="D27" s="13">
        <v>15038</v>
      </c>
      <c r="E27" s="70">
        <v>400</v>
      </c>
      <c r="F27" s="14"/>
      <c r="G27" s="11">
        <v>15077</v>
      </c>
      <c r="H27" s="67">
        <v>800</v>
      </c>
      <c r="I27" s="12" t="s">
        <v>474</v>
      </c>
      <c r="J27" s="61">
        <v>15114</v>
      </c>
      <c r="K27" s="71">
        <v>1600</v>
      </c>
      <c r="L27" s="62" t="s">
        <v>76</v>
      </c>
      <c r="M27" s="15"/>
      <c r="N27" s="15"/>
      <c r="O27" s="31"/>
    </row>
    <row r="28" spans="1:15" x14ac:dyDescent="0.25">
      <c r="A28" s="16"/>
      <c r="B28" s="49"/>
      <c r="C28" s="17" t="s">
        <v>16</v>
      </c>
      <c r="D28" s="13">
        <v>15039</v>
      </c>
      <c r="E28" s="70">
        <v>400</v>
      </c>
      <c r="F28" s="14" t="s">
        <v>483</v>
      </c>
      <c r="G28" s="11"/>
      <c r="H28" s="67"/>
      <c r="I28" s="12" t="s">
        <v>16</v>
      </c>
      <c r="J28" s="61"/>
      <c r="K28" s="71"/>
      <c r="L28" s="62" t="s">
        <v>16</v>
      </c>
      <c r="M28" s="15"/>
      <c r="N28" s="15"/>
      <c r="O28" s="15"/>
    </row>
    <row r="29" spans="1:15" x14ac:dyDescent="0.25">
      <c r="A29" s="16">
        <v>14992</v>
      </c>
      <c r="B29" s="49">
        <v>300</v>
      </c>
      <c r="C29" s="17"/>
      <c r="D29" s="13">
        <v>15040</v>
      </c>
      <c r="E29" s="70">
        <v>1200</v>
      </c>
      <c r="F29" s="14" t="s">
        <v>484</v>
      </c>
      <c r="G29" s="11">
        <v>15078</v>
      </c>
      <c r="H29" s="67">
        <v>400</v>
      </c>
      <c r="I29" s="12" t="s">
        <v>399</v>
      </c>
      <c r="J29" s="61">
        <v>15115</v>
      </c>
      <c r="K29" s="71">
        <v>300</v>
      </c>
      <c r="L29" s="62"/>
      <c r="M29" s="15"/>
      <c r="N29" s="15"/>
      <c r="O29" s="15"/>
    </row>
    <row r="30" spans="1:15" x14ac:dyDescent="0.25">
      <c r="A30" s="16">
        <v>14993</v>
      </c>
      <c r="B30" s="49">
        <v>400</v>
      </c>
      <c r="C30" s="17"/>
      <c r="D30" s="13"/>
      <c r="E30" s="70"/>
      <c r="F30" s="14" t="s">
        <v>16</v>
      </c>
      <c r="G30" s="11">
        <v>15079</v>
      </c>
      <c r="H30" s="67">
        <v>250</v>
      </c>
      <c r="I30" s="12" t="s">
        <v>457</v>
      </c>
      <c r="J30" s="61">
        <v>15116</v>
      </c>
      <c r="K30" s="71">
        <v>200</v>
      </c>
      <c r="L30" s="62" t="s">
        <v>19</v>
      </c>
      <c r="M30" s="15"/>
      <c r="N30" s="15"/>
      <c r="O30" s="15"/>
    </row>
    <row r="31" spans="1:15" x14ac:dyDescent="0.25">
      <c r="A31" s="16">
        <v>14994</v>
      </c>
      <c r="B31" s="49">
        <v>400</v>
      </c>
      <c r="C31" s="17"/>
      <c r="D31" s="13">
        <v>15041</v>
      </c>
      <c r="E31" s="70">
        <v>350</v>
      </c>
      <c r="F31" s="14"/>
      <c r="G31" s="11">
        <v>15080</v>
      </c>
      <c r="H31" s="67">
        <v>800</v>
      </c>
      <c r="I31" s="12" t="s">
        <v>418</v>
      </c>
      <c r="J31" s="61">
        <v>15117</v>
      </c>
      <c r="K31" s="71">
        <v>400</v>
      </c>
      <c r="L31" s="62"/>
      <c r="M31" s="15"/>
      <c r="N31" s="15"/>
      <c r="O31" s="15"/>
    </row>
    <row r="32" spans="1:15" x14ac:dyDescent="0.25">
      <c r="A32" s="16">
        <v>14995</v>
      </c>
      <c r="B32" s="49">
        <v>400</v>
      </c>
      <c r="C32" s="17" t="s">
        <v>399</v>
      </c>
      <c r="D32" s="13">
        <v>15042</v>
      </c>
      <c r="E32" s="70">
        <v>200</v>
      </c>
      <c r="F32" s="14"/>
      <c r="G32" s="11">
        <v>15081</v>
      </c>
      <c r="H32" s="67">
        <v>400</v>
      </c>
      <c r="I32" s="12"/>
      <c r="J32" s="61">
        <v>15118</v>
      </c>
      <c r="K32" s="71">
        <v>300</v>
      </c>
      <c r="L32" s="62"/>
      <c r="M32" s="15"/>
      <c r="N32" s="15"/>
      <c r="O32" s="15"/>
    </row>
    <row r="33" spans="1:15" x14ac:dyDescent="0.25">
      <c r="A33" s="16">
        <v>14996</v>
      </c>
      <c r="B33" s="49">
        <v>2400</v>
      </c>
      <c r="C33" s="17" t="s">
        <v>473</v>
      </c>
      <c r="D33" s="13">
        <v>15043</v>
      </c>
      <c r="E33" s="70">
        <v>1200</v>
      </c>
      <c r="F33" s="14" t="s">
        <v>485</v>
      </c>
      <c r="G33" s="11">
        <v>15082</v>
      </c>
      <c r="H33" s="67">
        <v>400</v>
      </c>
      <c r="I33" s="12" t="s">
        <v>297</v>
      </c>
      <c r="J33" s="61">
        <v>15173</v>
      </c>
      <c r="K33" s="71">
        <v>800</v>
      </c>
      <c r="L33" s="62" t="s">
        <v>507</v>
      </c>
      <c r="M33" s="15"/>
      <c r="N33" s="15"/>
      <c r="O33" s="15"/>
    </row>
    <row r="34" spans="1:15" x14ac:dyDescent="0.25">
      <c r="A34" s="16"/>
      <c r="B34" s="49"/>
      <c r="C34" s="17" t="s">
        <v>16</v>
      </c>
      <c r="D34" s="13"/>
      <c r="E34" s="70"/>
      <c r="F34" s="14" t="s">
        <v>16</v>
      </c>
      <c r="G34" s="11"/>
      <c r="H34" s="67"/>
      <c r="I34" s="12" t="s">
        <v>18</v>
      </c>
      <c r="J34" s="61"/>
      <c r="K34" s="71"/>
      <c r="L34" s="62" t="s">
        <v>508</v>
      </c>
      <c r="M34" s="15"/>
      <c r="N34" s="15"/>
      <c r="O34" s="31"/>
    </row>
    <row r="35" spans="1:15" x14ac:dyDescent="0.25">
      <c r="A35" s="16">
        <v>14997</v>
      </c>
      <c r="B35" s="49">
        <v>800</v>
      </c>
      <c r="C35" s="17" t="s">
        <v>435</v>
      </c>
      <c r="D35" s="13">
        <v>15044</v>
      </c>
      <c r="E35" s="70">
        <v>300</v>
      </c>
      <c r="F35" s="14"/>
      <c r="G35" s="11">
        <v>15083</v>
      </c>
      <c r="H35" s="67">
        <v>200</v>
      </c>
      <c r="I35" s="12"/>
      <c r="J35" s="61"/>
      <c r="K35" s="71"/>
      <c r="L35" s="62" t="s">
        <v>16</v>
      </c>
      <c r="M35" s="15"/>
      <c r="N35" s="15"/>
      <c r="O35" s="15"/>
    </row>
    <row r="36" spans="1:15" x14ac:dyDescent="0.25">
      <c r="A36" s="16"/>
      <c r="B36" s="49"/>
      <c r="C36" s="17" t="s">
        <v>16</v>
      </c>
      <c r="D36" s="13">
        <v>15045</v>
      </c>
      <c r="E36" s="70">
        <v>200</v>
      </c>
      <c r="F36" s="14" t="s">
        <v>19</v>
      </c>
      <c r="G36" s="11">
        <v>15084</v>
      </c>
      <c r="H36" s="67">
        <v>1200</v>
      </c>
      <c r="I36" s="12" t="s">
        <v>408</v>
      </c>
      <c r="J36" s="61"/>
      <c r="K36" s="71"/>
      <c r="L36" s="62"/>
      <c r="M36" s="15"/>
      <c r="N36" s="15"/>
      <c r="O36" s="15"/>
    </row>
    <row r="37" spans="1:15" x14ac:dyDescent="0.25">
      <c r="A37" s="16">
        <v>14998</v>
      </c>
      <c r="B37" s="49">
        <v>800</v>
      </c>
      <c r="C37" s="17" t="s">
        <v>474</v>
      </c>
      <c r="D37" s="13">
        <v>15046</v>
      </c>
      <c r="E37" s="70">
        <v>400</v>
      </c>
      <c r="F37" s="14"/>
      <c r="G37" s="11"/>
      <c r="H37" s="67"/>
      <c r="I37" s="12" t="s">
        <v>16</v>
      </c>
      <c r="J37" s="61"/>
      <c r="K37" s="71"/>
      <c r="L37" s="62"/>
      <c r="M37" s="15"/>
      <c r="N37" s="15"/>
      <c r="O37" s="15"/>
    </row>
    <row r="38" spans="1:15" x14ac:dyDescent="0.25">
      <c r="A38" s="16"/>
      <c r="B38" s="49"/>
      <c r="C38" s="17" t="s">
        <v>16</v>
      </c>
      <c r="D38" s="13">
        <v>15047</v>
      </c>
      <c r="E38" s="70">
        <v>400</v>
      </c>
      <c r="F38" s="14"/>
      <c r="G38" s="11"/>
      <c r="H38" s="67"/>
      <c r="I38" s="12" t="s">
        <v>492</v>
      </c>
      <c r="J38" s="61"/>
      <c r="K38" s="71"/>
      <c r="L38" s="62"/>
      <c r="M38" s="15"/>
      <c r="N38" s="15"/>
      <c r="O38" s="15"/>
    </row>
    <row r="39" spans="1:15" x14ac:dyDescent="0.25">
      <c r="A39" s="16">
        <v>14999</v>
      </c>
      <c r="B39" s="49">
        <v>125</v>
      </c>
      <c r="C39" s="17"/>
      <c r="D39" s="13">
        <v>15048</v>
      </c>
      <c r="E39" s="70">
        <v>400</v>
      </c>
      <c r="F39" s="14"/>
      <c r="G39" s="11">
        <v>15085</v>
      </c>
      <c r="H39" s="67">
        <v>800</v>
      </c>
      <c r="I39" s="12" t="s">
        <v>435</v>
      </c>
      <c r="J39" s="61"/>
      <c r="K39" s="71"/>
      <c r="L39" s="62"/>
      <c r="M39" s="15"/>
      <c r="N39" s="15"/>
      <c r="O39" s="15"/>
    </row>
    <row r="40" spans="1:15" x14ac:dyDescent="0.25">
      <c r="A40" s="16">
        <v>15000</v>
      </c>
      <c r="B40" s="49">
        <v>600</v>
      </c>
      <c r="C40" s="17" t="s">
        <v>437</v>
      </c>
      <c r="D40" s="13">
        <v>15049</v>
      </c>
      <c r="E40" s="70">
        <v>400</v>
      </c>
      <c r="F40" s="14"/>
      <c r="G40" s="11"/>
      <c r="H40" s="67"/>
      <c r="I40" s="12" t="s">
        <v>16</v>
      </c>
      <c r="J40" s="61"/>
      <c r="K40" s="71"/>
      <c r="L40" s="62"/>
      <c r="M40" s="15"/>
      <c r="N40" s="15"/>
      <c r="O40" s="15"/>
    </row>
    <row r="41" spans="1:15" x14ac:dyDescent="0.25">
      <c r="A41" s="16"/>
      <c r="B41" s="49"/>
      <c r="C41" s="17" t="s">
        <v>475</v>
      </c>
      <c r="D41" s="13">
        <v>15050</v>
      </c>
      <c r="E41" s="70">
        <v>800</v>
      </c>
      <c r="F41" s="14" t="s">
        <v>486</v>
      </c>
      <c r="G41" s="11">
        <v>15086</v>
      </c>
      <c r="H41" s="67">
        <v>900</v>
      </c>
      <c r="I41" s="12" t="s">
        <v>347</v>
      </c>
      <c r="J41" s="61"/>
      <c r="K41" s="71"/>
      <c r="L41" s="62"/>
      <c r="M41" s="15"/>
      <c r="N41" s="15"/>
      <c r="O41" s="15"/>
    </row>
    <row r="42" spans="1:15" x14ac:dyDescent="0.25">
      <c r="A42" s="16">
        <v>15001</v>
      </c>
      <c r="B42" s="49">
        <v>600</v>
      </c>
      <c r="C42" s="17" t="s">
        <v>357</v>
      </c>
      <c r="D42" s="13"/>
      <c r="E42" s="70"/>
      <c r="F42" s="14" t="s">
        <v>16</v>
      </c>
      <c r="G42" s="11"/>
      <c r="H42" s="67"/>
      <c r="I42" s="12" t="s">
        <v>17</v>
      </c>
      <c r="J42" s="61"/>
      <c r="K42" s="71"/>
      <c r="L42" s="62"/>
      <c r="M42" s="15"/>
      <c r="N42" s="15"/>
      <c r="O42" s="15"/>
    </row>
    <row r="43" spans="1:15" x14ac:dyDescent="0.25">
      <c r="A43" s="16"/>
      <c r="B43" s="49"/>
      <c r="C43" s="17" t="s">
        <v>17</v>
      </c>
      <c r="D43" s="13">
        <v>15051</v>
      </c>
      <c r="E43" s="70">
        <v>200</v>
      </c>
      <c r="F43" s="14"/>
      <c r="G43" s="11">
        <v>15087</v>
      </c>
      <c r="H43" s="67">
        <v>900</v>
      </c>
      <c r="I43" s="12" t="s">
        <v>408</v>
      </c>
      <c r="J43" s="61"/>
      <c r="K43" s="71"/>
      <c r="L43" s="62"/>
      <c r="M43" s="15"/>
      <c r="N43" s="15"/>
      <c r="O43" s="15"/>
    </row>
    <row r="44" spans="1:15" x14ac:dyDescent="0.25">
      <c r="A44" s="16">
        <v>15002</v>
      </c>
      <c r="B44" s="49">
        <v>400</v>
      </c>
      <c r="C44" s="17" t="s">
        <v>346</v>
      </c>
      <c r="D44" s="13">
        <v>15052</v>
      </c>
      <c r="E44" s="70">
        <v>800</v>
      </c>
      <c r="F44" s="14" t="s">
        <v>474</v>
      </c>
      <c r="G44" s="11"/>
      <c r="H44" s="67"/>
      <c r="I44" s="12" t="s">
        <v>17</v>
      </c>
      <c r="J44" s="61"/>
      <c r="K44" s="71"/>
      <c r="L44" s="62"/>
      <c r="M44" s="15"/>
      <c r="N44" s="15"/>
      <c r="O44" s="15"/>
    </row>
    <row r="45" spans="1:15" x14ac:dyDescent="0.25">
      <c r="A45" s="16">
        <v>15003</v>
      </c>
      <c r="B45" s="49">
        <v>200</v>
      </c>
      <c r="C45" s="17"/>
      <c r="D45" s="13"/>
      <c r="E45" s="70"/>
      <c r="F45" s="14" t="s">
        <v>16</v>
      </c>
      <c r="G45" s="11">
        <v>15088</v>
      </c>
      <c r="H45" s="67">
        <v>200</v>
      </c>
      <c r="I45" s="12" t="s">
        <v>493</v>
      </c>
      <c r="J45" s="61"/>
      <c r="K45" s="71"/>
      <c r="L45" s="62"/>
      <c r="M45" s="15"/>
      <c r="N45" s="15"/>
      <c r="O45" s="15"/>
    </row>
    <row r="46" spans="1:15" x14ac:dyDescent="0.25">
      <c r="A46" s="16">
        <v>15004</v>
      </c>
      <c r="B46" s="49">
        <v>300</v>
      </c>
      <c r="C46" s="17"/>
      <c r="D46" s="13">
        <v>15053</v>
      </c>
      <c r="E46" s="70">
        <v>200</v>
      </c>
      <c r="F46" s="14" t="s">
        <v>487</v>
      </c>
      <c r="G46" s="11">
        <v>15089</v>
      </c>
      <c r="H46" s="67">
        <v>800</v>
      </c>
      <c r="I46" s="12" t="s">
        <v>435</v>
      </c>
      <c r="J46" s="61"/>
      <c r="K46" s="71"/>
      <c r="L46" s="62"/>
      <c r="M46" s="15"/>
      <c r="N46" s="15"/>
      <c r="O46" s="15"/>
    </row>
    <row r="47" spans="1:15" x14ac:dyDescent="0.25">
      <c r="A47" s="16">
        <v>15005</v>
      </c>
      <c r="B47" s="49">
        <v>400</v>
      </c>
      <c r="C47" s="17" t="s">
        <v>357</v>
      </c>
      <c r="D47" s="13">
        <v>15054</v>
      </c>
      <c r="E47" s="70">
        <v>400</v>
      </c>
      <c r="F47" s="14" t="s">
        <v>488</v>
      </c>
      <c r="G47" s="11"/>
      <c r="H47" s="67"/>
      <c r="I47" s="12" t="s">
        <v>16</v>
      </c>
      <c r="J47" s="61"/>
      <c r="K47" s="71"/>
      <c r="L47" s="62"/>
      <c r="M47" s="15"/>
      <c r="N47" s="15"/>
      <c r="O47" s="15"/>
    </row>
    <row r="48" spans="1:15" x14ac:dyDescent="0.25">
      <c r="A48" s="16"/>
      <c r="B48" s="49"/>
      <c r="C48" s="17" t="s">
        <v>18</v>
      </c>
      <c r="D48" s="13"/>
      <c r="E48" s="70"/>
      <c r="F48" s="14" t="s">
        <v>18</v>
      </c>
      <c r="G48" s="11">
        <v>15090</v>
      </c>
      <c r="H48" s="67">
        <v>350</v>
      </c>
      <c r="I48" s="12" t="s">
        <v>494</v>
      </c>
      <c r="J48" s="61"/>
      <c r="K48" s="71"/>
      <c r="L48" s="62"/>
      <c r="M48" s="15"/>
      <c r="N48" s="15"/>
      <c r="O48" s="15"/>
    </row>
    <row r="49" spans="1:15" x14ac:dyDescent="0.25">
      <c r="A49" s="16">
        <v>15006</v>
      </c>
      <c r="B49" s="49">
        <v>400</v>
      </c>
      <c r="C49" s="17"/>
      <c r="D49" s="13">
        <v>15055</v>
      </c>
      <c r="E49" s="70">
        <v>2800</v>
      </c>
      <c r="F49" s="14" t="s">
        <v>489</v>
      </c>
      <c r="G49" s="11">
        <v>15091</v>
      </c>
      <c r="H49" s="67">
        <v>300</v>
      </c>
      <c r="I49" s="12"/>
      <c r="J49" s="61"/>
      <c r="K49" s="71"/>
      <c r="L49" s="62"/>
      <c r="M49" s="15"/>
      <c r="N49" s="15"/>
      <c r="O49" s="15"/>
    </row>
    <row r="50" spans="1:15" x14ac:dyDescent="0.25">
      <c r="A50" s="16">
        <v>15007</v>
      </c>
      <c r="B50" s="49">
        <v>750</v>
      </c>
      <c r="C50" s="17" t="s">
        <v>408</v>
      </c>
      <c r="D50" s="13"/>
      <c r="E50" s="70"/>
      <c r="F50" s="14" t="s">
        <v>16</v>
      </c>
      <c r="G50" s="11">
        <v>15092</v>
      </c>
      <c r="H50" s="67">
        <v>250</v>
      </c>
      <c r="I50" s="12" t="s">
        <v>363</v>
      </c>
      <c r="J50" s="61"/>
      <c r="K50" s="71"/>
      <c r="L50" s="62"/>
      <c r="M50" s="15"/>
      <c r="N50" s="15"/>
      <c r="O50" s="15"/>
    </row>
    <row r="51" spans="1:15" x14ac:dyDescent="0.25">
      <c r="A51" s="16"/>
      <c r="B51" s="49"/>
      <c r="C51" s="17" t="s">
        <v>20</v>
      </c>
      <c r="D51" s="13">
        <v>15056</v>
      </c>
      <c r="E51" s="70">
        <v>1000</v>
      </c>
      <c r="F51" s="14" t="s">
        <v>20</v>
      </c>
      <c r="G51" s="11">
        <v>15093</v>
      </c>
      <c r="H51" s="67">
        <v>800</v>
      </c>
      <c r="I51" s="12" t="s">
        <v>297</v>
      </c>
      <c r="J51" s="61"/>
      <c r="K51" s="71"/>
      <c r="L51" s="62"/>
      <c r="M51" s="15"/>
      <c r="N51" s="15"/>
      <c r="O51" s="15"/>
    </row>
    <row r="52" spans="1:15" x14ac:dyDescent="0.25">
      <c r="A52" s="16">
        <v>15008</v>
      </c>
      <c r="B52" s="49">
        <v>300</v>
      </c>
      <c r="C52" s="17"/>
      <c r="D52" s="13">
        <v>15057</v>
      </c>
      <c r="E52" s="70">
        <v>200</v>
      </c>
      <c r="F52" s="14" t="s">
        <v>483</v>
      </c>
      <c r="G52" s="11"/>
      <c r="H52" s="67"/>
      <c r="I52" s="12" t="s">
        <v>16</v>
      </c>
      <c r="J52" s="61"/>
      <c r="K52" s="71"/>
      <c r="L52" s="62"/>
      <c r="M52" s="15"/>
      <c r="N52" s="15"/>
      <c r="O52" s="15"/>
    </row>
    <row r="53" spans="1:15" x14ac:dyDescent="0.25">
      <c r="A53" s="16">
        <v>15009</v>
      </c>
      <c r="B53" s="49">
        <v>400</v>
      </c>
      <c r="C53" s="17"/>
      <c r="D53" s="13">
        <v>15058</v>
      </c>
      <c r="E53" s="70">
        <v>400</v>
      </c>
      <c r="F53" s="14" t="s">
        <v>483</v>
      </c>
      <c r="G53" s="11">
        <v>15094</v>
      </c>
      <c r="H53" s="67">
        <v>200</v>
      </c>
      <c r="I53" s="12"/>
      <c r="J53" s="61"/>
      <c r="K53" s="71"/>
      <c r="L53" s="62"/>
      <c r="M53" s="15"/>
      <c r="N53" s="15"/>
      <c r="O53" s="15"/>
    </row>
    <row r="54" spans="1:15" x14ac:dyDescent="0.25">
      <c r="A54" s="16">
        <v>15010</v>
      </c>
      <c r="B54" s="49">
        <v>400</v>
      </c>
      <c r="C54" s="17"/>
      <c r="D54" s="13">
        <v>15059</v>
      </c>
      <c r="E54" s="70">
        <v>400</v>
      </c>
      <c r="F54" s="14"/>
      <c r="G54" s="11">
        <v>15095</v>
      </c>
      <c r="H54" s="67">
        <v>600</v>
      </c>
      <c r="I54" s="12" t="s">
        <v>435</v>
      </c>
      <c r="J54" s="61"/>
      <c r="K54" s="71"/>
      <c r="L54" s="62"/>
      <c r="M54" s="15"/>
      <c r="N54" s="15"/>
      <c r="O54" s="15"/>
    </row>
    <row r="55" spans="1:15" x14ac:dyDescent="0.25">
      <c r="A55" s="16">
        <v>15011</v>
      </c>
      <c r="B55" s="49">
        <v>500</v>
      </c>
      <c r="C55" s="17"/>
      <c r="D55" s="13">
        <v>15060</v>
      </c>
      <c r="E55" s="70">
        <v>800</v>
      </c>
      <c r="F55" s="14" t="s">
        <v>486</v>
      </c>
      <c r="G55" s="11"/>
      <c r="H55" s="67"/>
      <c r="I55" s="12" t="s">
        <v>17</v>
      </c>
      <c r="J55" s="61"/>
      <c r="K55" s="71"/>
      <c r="L55" s="62"/>
      <c r="M55" s="15"/>
      <c r="N55" s="15"/>
      <c r="O55" s="15"/>
    </row>
    <row r="56" spans="1:15" x14ac:dyDescent="0.25">
      <c r="A56" s="16">
        <v>15012</v>
      </c>
      <c r="B56" s="49">
        <v>800</v>
      </c>
      <c r="C56" s="17" t="s">
        <v>435</v>
      </c>
      <c r="D56" s="13"/>
      <c r="E56" s="70"/>
      <c r="F56" s="14" t="s">
        <v>16</v>
      </c>
      <c r="G56" s="11">
        <v>15096</v>
      </c>
      <c r="H56" s="67">
        <v>600</v>
      </c>
      <c r="I56" s="12" t="s">
        <v>435</v>
      </c>
      <c r="J56" s="61"/>
      <c r="K56" s="71"/>
      <c r="L56" s="62"/>
      <c r="M56" s="15"/>
      <c r="N56" s="15"/>
      <c r="O56" s="15"/>
    </row>
    <row r="57" spans="1:15" x14ac:dyDescent="0.25">
      <c r="A57" s="16"/>
      <c r="B57" s="49"/>
      <c r="C57" s="17" t="s">
        <v>16</v>
      </c>
      <c r="D57" s="13">
        <v>15061</v>
      </c>
      <c r="E57" s="70">
        <v>400</v>
      </c>
      <c r="F57" s="14"/>
      <c r="G57" s="11"/>
      <c r="H57" s="67"/>
      <c r="I57" s="12" t="s">
        <v>17</v>
      </c>
      <c r="J57" s="61"/>
      <c r="K57" s="71"/>
      <c r="L57" s="62"/>
      <c r="M57" s="15"/>
      <c r="N57" s="15"/>
      <c r="O57" s="15"/>
    </row>
    <row r="58" spans="1:15" x14ac:dyDescent="0.25">
      <c r="A58" s="16">
        <v>15013</v>
      </c>
      <c r="B58" s="49">
        <v>400</v>
      </c>
      <c r="C58" s="17"/>
      <c r="D58" s="13">
        <v>15062</v>
      </c>
      <c r="E58" s="70">
        <v>50</v>
      </c>
      <c r="F58" s="14"/>
      <c r="G58" s="11">
        <v>15097</v>
      </c>
      <c r="H58" s="67">
        <v>250</v>
      </c>
      <c r="I58" s="12"/>
      <c r="J58" s="61"/>
      <c r="K58" s="71"/>
      <c r="L58" s="62"/>
      <c r="M58" s="15"/>
      <c r="N58" s="15"/>
      <c r="O58" s="15"/>
    </row>
    <row r="59" spans="1:15" x14ac:dyDescent="0.25">
      <c r="A59" s="16">
        <v>15014</v>
      </c>
      <c r="B59" s="49">
        <v>400</v>
      </c>
      <c r="C59" s="17"/>
      <c r="D59" s="13">
        <v>15063</v>
      </c>
      <c r="E59" s="70">
        <v>900</v>
      </c>
      <c r="F59" s="14" t="s">
        <v>490</v>
      </c>
      <c r="G59" s="11">
        <v>15098</v>
      </c>
      <c r="H59" s="67">
        <v>400</v>
      </c>
      <c r="I59" s="12" t="s">
        <v>297</v>
      </c>
      <c r="J59" s="61"/>
      <c r="K59" s="71"/>
      <c r="L59" s="62"/>
      <c r="M59" s="15"/>
      <c r="N59" s="15"/>
      <c r="O59" s="15"/>
    </row>
    <row r="60" spans="1:15" x14ac:dyDescent="0.25">
      <c r="A60" s="16">
        <v>15015</v>
      </c>
      <c r="B60" s="49">
        <v>400</v>
      </c>
      <c r="C60" s="17"/>
      <c r="D60" s="13"/>
      <c r="E60" s="70"/>
      <c r="F60" s="14" t="s">
        <v>17</v>
      </c>
      <c r="G60" s="11"/>
      <c r="H60" s="67"/>
      <c r="I60" s="12" t="s">
        <v>18</v>
      </c>
      <c r="J60" s="61"/>
      <c r="K60" s="71"/>
      <c r="L60" s="62"/>
      <c r="M60" s="15"/>
      <c r="N60" s="15"/>
      <c r="O60" s="15"/>
    </row>
    <row r="61" spans="1:15" x14ac:dyDescent="0.25">
      <c r="A61" s="16">
        <v>15016</v>
      </c>
      <c r="B61" s="49">
        <v>400</v>
      </c>
      <c r="C61" s="17" t="s">
        <v>346</v>
      </c>
      <c r="D61" s="13">
        <v>15064</v>
      </c>
      <c r="E61" s="70">
        <v>50</v>
      </c>
      <c r="F61" s="14" t="s">
        <v>309</v>
      </c>
      <c r="G61" s="11"/>
      <c r="H61" s="67"/>
      <c r="I61" s="12"/>
      <c r="J61" s="61"/>
      <c r="K61" s="71"/>
      <c r="L61" s="62"/>
      <c r="M61" s="15"/>
      <c r="N61" s="15"/>
      <c r="O61" s="15"/>
    </row>
    <row r="62" spans="1:15" x14ac:dyDescent="0.25">
      <c r="A62" s="16">
        <v>15017</v>
      </c>
      <c r="B62" s="49">
        <v>300</v>
      </c>
      <c r="C62" s="17"/>
      <c r="D62" s="13"/>
      <c r="E62" s="70"/>
      <c r="F62" s="14"/>
      <c r="G62" s="11"/>
      <c r="H62" s="67"/>
      <c r="I62" s="12"/>
      <c r="J62" s="61"/>
      <c r="K62" s="71"/>
      <c r="L62" s="62"/>
      <c r="M62" s="15"/>
      <c r="N62" s="15"/>
      <c r="O62" s="15"/>
    </row>
    <row r="63" spans="1:15" x14ac:dyDescent="0.25">
      <c r="A63" s="16">
        <v>15018</v>
      </c>
      <c r="B63" s="49">
        <v>400</v>
      </c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15"/>
      <c r="N63" s="15"/>
      <c r="O63" s="15"/>
    </row>
    <row r="64" spans="1:15" x14ac:dyDescent="0.25">
      <c r="A64" s="16">
        <v>15019</v>
      </c>
      <c r="B64" s="49">
        <v>300</v>
      </c>
      <c r="C64" s="17"/>
      <c r="D64" s="13"/>
      <c r="E64" s="70"/>
      <c r="F64" s="14"/>
      <c r="G64" s="11"/>
      <c r="H64" s="67"/>
      <c r="I64" s="12"/>
      <c r="J64" s="61"/>
      <c r="K64" s="71"/>
      <c r="L64" s="62"/>
      <c r="M64" s="15"/>
      <c r="N64" s="15"/>
      <c r="O64" s="15"/>
    </row>
    <row r="65" spans="1:15" x14ac:dyDescent="0.25">
      <c r="A65" s="16">
        <v>15020</v>
      </c>
      <c r="B65" s="49">
        <v>400</v>
      </c>
      <c r="C65" s="17" t="s">
        <v>357</v>
      </c>
      <c r="D65" s="13"/>
      <c r="E65" s="70"/>
      <c r="F65" s="14"/>
      <c r="G65" s="11"/>
      <c r="H65" s="67"/>
      <c r="I65" s="12"/>
      <c r="J65" s="61"/>
      <c r="K65" s="71"/>
      <c r="L65" s="62"/>
      <c r="M65" s="15"/>
      <c r="N65" s="15"/>
      <c r="O65" s="15"/>
    </row>
    <row r="66" spans="1:15" x14ac:dyDescent="0.25">
      <c r="A66" s="16"/>
      <c r="B66" s="49"/>
      <c r="C66" s="17" t="s">
        <v>18</v>
      </c>
      <c r="D66" s="13"/>
      <c r="E66" s="70"/>
      <c r="F66" s="14"/>
      <c r="G66" s="11"/>
      <c r="H66" s="67"/>
      <c r="I66" s="12"/>
      <c r="J66" s="61"/>
      <c r="K66" s="71"/>
      <c r="L66" s="62"/>
      <c r="M66" s="15"/>
      <c r="N66" s="15"/>
      <c r="O66" s="15"/>
    </row>
    <row r="67" spans="1:15" x14ac:dyDescent="0.25">
      <c r="A67" s="16">
        <v>15021</v>
      </c>
      <c r="B67" s="49">
        <v>400</v>
      </c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15"/>
      <c r="N67" s="15"/>
      <c r="O67" s="15"/>
    </row>
    <row r="68" spans="1:15" x14ac:dyDescent="0.25">
      <c r="A68" s="16">
        <v>15022</v>
      </c>
      <c r="B68" s="49">
        <v>400</v>
      </c>
      <c r="C68" s="17" t="s">
        <v>346</v>
      </c>
      <c r="D68" s="13"/>
      <c r="E68" s="70"/>
      <c r="F68" s="14"/>
      <c r="G68" s="11"/>
      <c r="H68" s="67"/>
      <c r="I68" s="12"/>
      <c r="J68" s="61"/>
      <c r="K68" s="71"/>
      <c r="L68" s="62"/>
      <c r="M68" s="15"/>
      <c r="N68" s="15"/>
      <c r="O68" s="15"/>
    </row>
    <row r="69" spans="1:15" x14ac:dyDescent="0.25">
      <c r="A69" s="16">
        <v>15023</v>
      </c>
      <c r="B69" s="49">
        <v>400</v>
      </c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15"/>
      <c r="N69" s="15"/>
      <c r="O69" s="15"/>
    </row>
    <row r="70" spans="1:15" x14ac:dyDescent="0.25">
      <c r="A70" s="16">
        <v>15024</v>
      </c>
      <c r="B70" s="49">
        <v>1600</v>
      </c>
      <c r="C70" s="17" t="s">
        <v>476</v>
      </c>
      <c r="D70" s="13"/>
      <c r="E70" s="70"/>
      <c r="F70" s="14"/>
      <c r="G70" s="11"/>
      <c r="H70" s="67"/>
      <c r="I70" s="12"/>
      <c r="J70" s="61"/>
      <c r="K70" s="71"/>
      <c r="L70" s="62"/>
      <c r="M70" s="15"/>
      <c r="N70" s="15"/>
      <c r="O70" s="15"/>
    </row>
    <row r="71" spans="1:15" x14ac:dyDescent="0.25">
      <c r="A71" s="16"/>
      <c r="B71" s="49"/>
      <c r="C71" s="17" t="s">
        <v>16</v>
      </c>
      <c r="D71" s="13"/>
      <c r="E71" s="70"/>
      <c r="F71" s="14"/>
      <c r="G71" s="11"/>
      <c r="H71" s="67"/>
      <c r="I71" s="12"/>
      <c r="J71" s="61"/>
      <c r="K71" s="71"/>
      <c r="L71" s="62"/>
      <c r="M71" s="15"/>
      <c r="N71" s="15"/>
      <c r="O71" s="15"/>
    </row>
    <row r="72" spans="1:15" x14ac:dyDescent="0.25">
      <c r="A72" s="16">
        <v>15025</v>
      </c>
      <c r="B72" s="49">
        <v>600</v>
      </c>
      <c r="C72" s="17" t="s">
        <v>357</v>
      </c>
      <c r="D72" s="13"/>
      <c r="E72" s="70"/>
      <c r="F72" s="14"/>
      <c r="G72" s="11"/>
      <c r="H72" s="67"/>
      <c r="I72" s="12"/>
      <c r="J72" s="61"/>
      <c r="K72" s="71"/>
      <c r="L72" s="62"/>
      <c r="M72" s="15"/>
      <c r="N72" s="15"/>
      <c r="O72" s="15"/>
    </row>
    <row r="73" spans="1:15" x14ac:dyDescent="0.25">
      <c r="A73" s="16"/>
      <c r="B73" s="49"/>
      <c r="C73" s="17" t="s">
        <v>17</v>
      </c>
      <c r="D73" s="13"/>
      <c r="E73" s="70"/>
      <c r="F73" s="14"/>
      <c r="G73" s="11"/>
      <c r="H73" s="67"/>
      <c r="I73" s="12"/>
      <c r="J73" s="61"/>
      <c r="K73" s="71"/>
      <c r="L73" s="62"/>
      <c r="M73" s="15"/>
      <c r="N73" s="15"/>
      <c r="O73" s="15"/>
    </row>
    <row r="74" spans="1:15" x14ac:dyDescent="0.25">
      <c r="A74" s="16"/>
      <c r="B74" s="49"/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15"/>
      <c r="N74" s="15"/>
      <c r="O74" s="15"/>
    </row>
    <row r="75" spans="1:15" x14ac:dyDescent="0.25">
      <c r="A75" s="16"/>
      <c r="B75" s="49"/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15"/>
      <c r="N75" s="15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15"/>
      <c r="N76" s="15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15"/>
      <c r="N77" s="15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15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15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15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15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15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15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15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15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15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15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15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15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15"/>
      <c r="N90" s="15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15"/>
      <c r="N91" s="15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15"/>
      <c r="N92" s="15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15"/>
      <c r="N93" s="15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15"/>
      <c r="N94" s="15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15"/>
      <c r="N95" s="15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15"/>
      <c r="N96" s="15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15"/>
      <c r="N97" s="15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15"/>
      <c r="N98" s="15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15"/>
      <c r="N99" s="15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15"/>
      <c r="N100" s="15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15"/>
      <c r="N101" s="15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15"/>
      <c r="N102" s="15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15"/>
      <c r="N103" s="15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15"/>
      <c r="N104" s="15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15"/>
      <c r="N105" s="15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15"/>
      <c r="N106" s="15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15"/>
      <c r="N107" s="15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15"/>
      <c r="N108" s="15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15"/>
      <c r="N109" s="15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15"/>
      <c r="N110" s="15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15"/>
      <c r="N111" s="15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15"/>
      <c r="N112" s="15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15"/>
      <c r="N113" s="15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15"/>
      <c r="N114" s="15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15"/>
      <c r="N115" s="15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15"/>
      <c r="N116" s="15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15"/>
      <c r="N117" s="15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15"/>
      <c r="N118" s="15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15"/>
      <c r="N119" s="15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15"/>
      <c r="N120" s="15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15"/>
      <c r="N121" s="15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15"/>
      <c r="N122" s="15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15"/>
      <c r="N123" s="15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15"/>
      <c r="N124" s="15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15"/>
      <c r="N125" s="15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15"/>
      <c r="N126" s="15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15"/>
      <c r="N127" s="15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15"/>
      <c r="N128" s="15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15"/>
      <c r="N129" s="15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15"/>
      <c r="N130" s="15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15"/>
      <c r="N131" s="15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15"/>
      <c r="N132" s="15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15"/>
      <c r="N133" s="15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15"/>
      <c r="N134" s="15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15"/>
      <c r="N135" s="15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15"/>
      <c r="N136" s="15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61"/>
      <c r="K137" s="71"/>
      <c r="L137" s="62"/>
      <c r="M137" s="15"/>
      <c r="N137" s="15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61"/>
      <c r="K138" s="71"/>
      <c r="L138" s="62"/>
      <c r="M138" s="15"/>
      <c r="N138" s="15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61"/>
      <c r="K139" s="71"/>
      <c r="L139" s="62"/>
      <c r="M139" s="15"/>
      <c r="N139" s="15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61"/>
      <c r="K140" s="71"/>
      <c r="L140" s="62"/>
      <c r="M140" s="15"/>
      <c r="N140" s="15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61"/>
      <c r="K141" s="71"/>
      <c r="L141" s="62"/>
      <c r="M141" s="15"/>
      <c r="N141" s="15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61"/>
      <c r="K142" s="71"/>
      <c r="L142" s="62"/>
      <c r="M142" s="15"/>
      <c r="N142" s="15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61"/>
      <c r="K143" s="71"/>
      <c r="L143" s="62"/>
      <c r="M143" s="15"/>
      <c r="N143" s="15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61"/>
      <c r="K144" s="71"/>
      <c r="L144" s="62"/>
      <c r="M144" s="15"/>
      <c r="N144" s="15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61"/>
      <c r="K145" s="71"/>
      <c r="L145" s="62"/>
      <c r="M145" s="15"/>
      <c r="N145" s="15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61"/>
      <c r="K146" s="71"/>
      <c r="L146" s="62"/>
      <c r="M146" s="15"/>
      <c r="N146" s="15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61"/>
      <c r="K147" s="71"/>
      <c r="L147" s="62"/>
      <c r="M147" s="15"/>
      <c r="N147" s="15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61"/>
      <c r="K148" s="71"/>
      <c r="L148" s="62"/>
      <c r="M148" s="15"/>
      <c r="N148" s="15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61"/>
      <c r="K149" s="71"/>
      <c r="L149" s="62"/>
      <c r="M149" s="15"/>
      <c r="N149" s="15"/>
      <c r="O149" s="15"/>
    </row>
    <row r="150" spans="1:15" x14ac:dyDescent="0.25">
      <c r="A150" s="16"/>
      <c r="B150" s="49"/>
      <c r="C150" s="17"/>
      <c r="D150" s="13"/>
      <c r="E150" s="70"/>
      <c r="F150" s="14"/>
      <c r="G150" s="11"/>
      <c r="H150" s="67"/>
      <c r="I150" s="12"/>
      <c r="J150" s="61"/>
      <c r="K150" s="71"/>
      <c r="L150" s="62"/>
      <c r="M150" s="15"/>
      <c r="N150" s="15"/>
      <c r="O150" s="15"/>
    </row>
    <row r="151" spans="1:15" x14ac:dyDescent="0.25">
      <c r="A151" s="16"/>
      <c r="B151" s="49"/>
      <c r="C151" s="17"/>
      <c r="D151" s="13"/>
      <c r="E151" s="70"/>
      <c r="F151" s="14"/>
      <c r="G151" s="11"/>
      <c r="H151" s="67"/>
      <c r="I151" s="12"/>
      <c r="J151" s="61"/>
      <c r="K151" s="71"/>
      <c r="L151" s="62"/>
      <c r="M151" s="15"/>
      <c r="N151" s="15"/>
      <c r="O151" s="15"/>
    </row>
    <row r="152" spans="1:15" x14ac:dyDescent="0.25">
      <c r="A152" s="16"/>
      <c r="B152" s="49"/>
      <c r="C152" s="17"/>
      <c r="D152" s="13"/>
      <c r="E152" s="70"/>
      <c r="F152" s="14"/>
      <c r="G152" s="11"/>
      <c r="H152" s="67"/>
      <c r="I152" s="12"/>
      <c r="J152" s="61"/>
      <c r="K152" s="71"/>
      <c r="L152" s="62"/>
      <c r="M152" s="15"/>
      <c r="N152" s="15"/>
      <c r="O152" s="15"/>
    </row>
    <row r="153" spans="1:15" x14ac:dyDescent="0.25">
      <c r="A153" s="16"/>
      <c r="B153" s="49"/>
      <c r="C153" s="17"/>
      <c r="D153" s="13"/>
      <c r="E153" s="70"/>
      <c r="F153" s="14"/>
      <c r="G153" s="11"/>
      <c r="H153" s="67"/>
      <c r="I153" s="12"/>
      <c r="J153" s="61"/>
      <c r="K153" s="71"/>
      <c r="L153" s="62"/>
      <c r="M153" s="15"/>
      <c r="N153" s="15"/>
      <c r="O153" s="15"/>
    </row>
    <row r="154" spans="1:15" x14ac:dyDescent="0.25">
      <c r="A154" s="16"/>
      <c r="B154" s="49"/>
      <c r="C154" s="17"/>
      <c r="D154" s="13"/>
      <c r="E154" s="70"/>
      <c r="F154" s="14"/>
      <c r="G154" s="11"/>
      <c r="H154" s="67"/>
      <c r="I154" s="12"/>
      <c r="J154" s="61"/>
      <c r="K154" s="71"/>
      <c r="L154" s="62"/>
      <c r="M154" s="15"/>
      <c r="N154" s="15"/>
      <c r="O154" s="15"/>
    </row>
    <row r="155" spans="1:15" x14ac:dyDescent="0.25">
      <c r="A155" s="16"/>
      <c r="B155" s="49"/>
      <c r="C155" s="17"/>
      <c r="D155" s="13"/>
      <c r="E155" s="70"/>
      <c r="F155" s="14"/>
      <c r="G155" s="11"/>
      <c r="H155" s="67"/>
      <c r="I155" s="12"/>
      <c r="J155" s="61"/>
      <c r="K155" s="71"/>
      <c r="L155" s="62"/>
      <c r="M155" s="15"/>
      <c r="N155" s="15"/>
      <c r="O155" s="15"/>
    </row>
    <row r="156" spans="1:15" x14ac:dyDescent="0.25">
      <c r="A156" s="16"/>
      <c r="B156" s="49"/>
      <c r="C156" s="17"/>
      <c r="D156" s="13"/>
      <c r="E156" s="70"/>
      <c r="F156" s="14"/>
      <c r="G156" s="11"/>
      <c r="H156" s="67"/>
      <c r="I156" s="12"/>
      <c r="J156" s="61"/>
      <c r="K156" s="71"/>
      <c r="L156" s="62"/>
      <c r="M156" s="15"/>
      <c r="N156" s="15"/>
      <c r="O156" s="15"/>
    </row>
    <row r="157" spans="1:15" x14ac:dyDescent="0.25">
      <c r="A157" s="16"/>
      <c r="B157" s="49"/>
      <c r="C157" s="17"/>
      <c r="D157" s="13"/>
      <c r="E157" s="70"/>
      <c r="F157" s="14"/>
      <c r="G157" s="11"/>
      <c r="H157" s="67"/>
      <c r="I157" s="12"/>
      <c r="J157" s="61"/>
      <c r="K157" s="71"/>
      <c r="L157" s="62"/>
      <c r="M157" s="15"/>
      <c r="N157" s="15"/>
      <c r="O157" s="15"/>
    </row>
    <row r="158" spans="1:15" x14ac:dyDescent="0.25">
      <c r="A158" s="16"/>
      <c r="B158" s="49"/>
      <c r="C158" s="17"/>
      <c r="D158" s="13"/>
      <c r="E158" s="70"/>
      <c r="F158" s="14"/>
      <c r="G158" s="11"/>
      <c r="H158" s="67"/>
      <c r="I158" s="12"/>
      <c r="J158" s="61"/>
      <c r="K158" s="71"/>
      <c r="L158" s="62"/>
      <c r="M158" s="15"/>
      <c r="N158" s="15"/>
      <c r="O158" s="15"/>
    </row>
    <row r="159" spans="1:15" x14ac:dyDescent="0.25">
      <c r="A159" s="16"/>
      <c r="B159" s="49"/>
      <c r="C159" s="17"/>
      <c r="D159" s="13"/>
      <c r="E159" s="70"/>
      <c r="F159" s="14"/>
      <c r="G159" s="11"/>
      <c r="H159" s="67"/>
      <c r="I159" s="12"/>
      <c r="J159" s="61"/>
      <c r="K159" s="71"/>
      <c r="L159" s="62"/>
      <c r="M159" s="15"/>
      <c r="N159" s="15"/>
      <c r="O159" s="15"/>
    </row>
    <row r="160" spans="1:15" x14ac:dyDescent="0.25">
      <c r="A160" s="16"/>
      <c r="B160" s="49"/>
      <c r="C160" s="17"/>
      <c r="D160" s="13"/>
      <c r="E160" s="70"/>
      <c r="F160" s="14"/>
      <c r="G160" s="11"/>
      <c r="H160" s="67"/>
      <c r="I160" s="12"/>
      <c r="J160" s="61"/>
      <c r="K160" s="71"/>
      <c r="L160" s="62"/>
      <c r="M160" s="15"/>
      <c r="N160" s="15"/>
      <c r="O160" s="15"/>
    </row>
    <row r="161" spans="1:15" x14ac:dyDescent="0.25">
      <c r="A161" s="16"/>
      <c r="B161" s="49"/>
      <c r="C161" s="17"/>
      <c r="D161" s="13"/>
      <c r="E161" s="70"/>
      <c r="F161" s="14"/>
      <c r="G161" s="11"/>
      <c r="H161" s="67"/>
      <c r="I161" s="12"/>
      <c r="J161" s="61"/>
      <c r="K161" s="71"/>
      <c r="L161" s="62"/>
      <c r="M161" s="15"/>
      <c r="N161" s="15"/>
      <c r="O161" s="15"/>
    </row>
    <row r="162" spans="1:15" x14ac:dyDescent="0.25">
      <c r="A162" s="16"/>
      <c r="B162" s="49"/>
      <c r="C162" s="17"/>
      <c r="D162" s="13"/>
      <c r="E162" s="70"/>
      <c r="F162" s="14"/>
      <c r="G162" s="11"/>
      <c r="H162" s="67"/>
      <c r="I162" s="12"/>
      <c r="J162" s="61"/>
      <c r="K162" s="71"/>
      <c r="L162" s="62"/>
      <c r="M162" s="15"/>
      <c r="N162" s="15"/>
      <c r="O162" s="15"/>
    </row>
    <row r="163" spans="1:15" x14ac:dyDescent="0.25">
      <c r="A163" s="16"/>
      <c r="B163" s="49"/>
      <c r="C163" s="17"/>
      <c r="D163" s="13"/>
      <c r="E163" s="70"/>
      <c r="F163" s="14"/>
      <c r="G163" s="11"/>
      <c r="H163" s="67"/>
      <c r="I163" s="12"/>
      <c r="J163" s="61"/>
      <c r="K163" s="71"/>
      <c r="L163" s="62"/>
      <c r="M163" s="15"/>
      <c r="N163" s="15"/>
      <c r="O163" s="15"/>
    </row>
    <row r="164" spans="1:15" x14ac:dyDescent="0.25">
      <c r="A164" s="16"/>
      <c r="B164" s="49"/>
      <c r="C164" s="17"/>
      <c r="D164" s="13"/>
      <c r="E164" s="70"/>
      <c r="F164" s="14"/>
      <c r="G164" s="11"/>
      <c r="H164" s="67"/>
      <c r="I164" s="12"/>
      <c r="J164" s="61"/>
      <c r="K164" s="71"/>
      <c r="L164" s="62"/>
      <c r="M164" s="15"/>
      <c r="N164" s="15"/>
      <c r="O164" s="15"/>
    </row>
    <row r="165" spans="1:15" x14ac:dyDescent="0.25">
      <c r="A165" s="16"/>
      <c r="B165" s="49"/>
      <c r="C165" s="17"/>
      <c r="D165" s="13"/>
      <c r="E165" s="70"/>
      <c r="F165" s="14"/>
      <c r="G165" s="11"/>
      <c r="H165" s="67"/>
      <c r="I165" s="12"/>
      <c r="J165" s="61"/>
      <c r="K165" s="71"/>
      <c r="L165" s="62"/>
      <c r="M165" s="15"/>
      <c r="N165" s="15"/>
      <c r="O165" s="15"/>
    </row>
    <row r="166" spans="1:15" x14ac:dyDescent="0.25">
      <c r="A166" s="16"/>
      <c r="B166" s="49"/>
      <c r="C166" s="17"/>
      <c r="D166" s="13"/>
      <c r="E166" s="70"/>
      <c r="F166" s="14"/>
      <c r="G166" s="11"/>
      <c r="H166" s="67"/>
      <c r="I166" s="12"/>
      <c r="J166" s="61"/>
      <c r="K166" s="71"/>
      <c r="L166" s="62"/>
      <c r="M166" s="15"/>
      <c r="N166" s="15"/>
      <c r="O166" s="15"/>
    </row>
    <row r="167" spans="1:15" x14ac:dyDescent="0.25">
      <c r="A167" s="16"/>
      <c r="B167" s="49"/>
      <c r="C167" s="17"/>
      <c r="D167" s="13"/>
      <c r="E167" s="70"/>
      <c r="F167" s="14"/>
      <c r="G167" s="11"/>
      <c r="H167" s="67"/>
      <c r="I167" s="12"/>
      <c r="J167" s="61"/>
      <c r="K167" s="71"/>
      <c r="L167" s="62"/>
      <c r="M167" s="15"/>
      <c r="N167" s="15"/>
      <c r="O167" s="15"/>
    </row>
    <row r="168" spans="1:15" x14ac:dyDescent="0.25">
      <c r="A168" s="16"/>
      <c r="B168" s="49"/>
      <c r="C168" s="17"/>
      <c r="D168" s="13"/>
      <c r="E168" s="70"/>
      <c r="F168" s="14"/>
      <c r="G168" s="11"/>
      <c r="H168" s="67"/>
      <c r="I168" s="12"/>
      <c r="J168" s="61"/>
      <c r="K168" s="71"/>
      <c r="L168" s="62"/>
      <c r="M168" s="15"/>
      <c r="N168" s="15"/>
      <c r="O168" s="15"/>
    </row>
    <row r="169" spans="1:15" x14ac:dyDescent="0.25">
      <c r="A169" s="16"/>
      <c r="B169" s="49"/>
      <c r="C169" s="17"/>
      <c r="D169" s="13"/>
      <c r="E169" s="70"/>
      <c r="F169" s="14"/>
      <c r="G169" s="11"/>
      <c r="H169" s="67"/>
      <c r="I169" s="12"/>
      <c r="J169" s="61"/>
      <c r="K169" s="71"/>
      <c r="L169" s="62"/>
      <c r="M169" s="15"/>
      <c r="N169" s="15"/>
      <c r="O169" s="15"/>
    </row>
    <row r="170" spans="1:15" x14ac:dyDescent="0.25">
      <c r="A170" s="16"/>
      <c r="B170" s="49"/>
      <c r="C170" s="17"/>
      <c r="D170" s="13"/>
      <c r="E170" s="70"/>
      <c r="F170" s="14"/>
      <c r="G170" s="11"/>
      <c r="H170" s="67"/>
      <c r="I170" s="12"/>
      <c r="J170" s="61"/>
      <c r="K170" s="71"/>
      <c r="L170" s="62"/>
      <c r="M170" s="15"/>
      <c r="N170" s="15"/>
      <c r="O170" s="15"/>
    </row>
    <row r="171" spans="1:15" x14ac:dyDescent="0.25">
      <c r="A171" s="16"/>
      <c r="B171" s="49"/>
      <c r="C171" s="17"/>
      <c r="D171" s="13"/>
      <c r="E171" s="70"/>
      <c r="F171" s="14"/>
      <c r="G171" s="11"/>
      <c r="H171" s="67"/>
      <c r="I171" s="12"/>
      <c r="J171" s="61"/>
      <c r="K171" s="71"/>
      <c r="L171" s="62"/>
      <c r="M171" s="15"/>
      <c r="N171" s="15"/>
      <c r="O171" s="15"/>
    </row>
    <row r="172" spans="1:15" x14ac:dyDescent="0.25">
      <c r="A172" s="16"/>
      <c r="B172" s="49"/>
      <c r="C172" s="17"/>
      <c r="D172" s="13"/>
      <c r="E172" s="70"/>
      <c r="F172" s="14"/>
      <c r="G172" s="11"/>
      <c r="H172" s="67"/>
      <c r="I172" s="12"/>
      <c r="J172" s="61"/>
      <c r="K172" s="71"/>
      <c r="L172" s="62"/>
      <c r="M172" s="15"/>
      <c r="N172" s="15"/>
      <c r="O172" s="15"/>
    </row>
    <row r="173" spans="1:15" x14ac:dyDescent="0.25">
      <c r="A173" s="16"/>
      <c r="B173" s="49"/>
      <c r="C173" s="17"/>
      <c r="D173" s="13"/>
      <c r="E173" s="70"/>
      <c r="F173" s="14"/>
      <c r="G173" s="11"/>
      <c r="H173" s="67"/>
      <c r="I173" s="12"/>
      <c r="J173" s="61"/>
      <c r="K173" s="71"/>
      <c r="L173" s="62"/>
      <c r="M173" s="15"/>
      <c r="N173" s="15"/>
      <c r="O173" s="15"/>
    </row>
    <row r="174" spans="1:15" x14ac:dyDescent="0.25">
      <c r="A174" s="16"/>
      <c r="B174" s="49"/>
      <c r="C174" s="17"/>
      <c r="D174" s="13"/>
      <c r="E174" s="70"/>
      <c r="F174" s="14"/>
      <c r="G174" s="11"/>
      <c r="H174" s="67"/>
      <c r="I174" s="12"/>
      <c r="J174" s="61"/>
      <c r="K174" s="71"/>
      <c r="L174" s="62"/>
      <c r="M174" s="15"/>
      <c r="N174" s="15"/>
      <c r="O174" s="15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61"/>
      <c r="K175" s="71"/>
      <c r="L175" s="62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8" activePane="bottomLeft" state="frozen"/>
      <selection activeCell="A5" sqref="A5"/>
      <selection pane="bottomLeft" sqref="A1:K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SUBTOTAL(3,A8:A121)</f>
        <v>54</v>
      </c>
      <c r="B6" s="8">
        <f>SUBTOTAL(9,B8:B121)</f>
        <v>25475</v>
      </c>
      <c r="C6" s="35">
        <v>43009</v>
      </c>
      <c r="D6" s="8">
        <f>SUBTOTAL(3,D8:D90)</f>
        <v>50</v>
      </c>
      <c r="E6" s="1">
        <f>SUBTOTAL(9,E8:E90)</f>
        <v>27200</v>
      </c>
      <c r="F6" s="38">
        <v>43016</v>
      </c>
      <c r="G6" s="8">
        <f>SUBTOTAL(3,G8:G120)</f>
        <v>20</v>
      </c>
      <c r="H6" s="1">
        <f>SUBTOTAL(9,H8:H120)</f>
        <v>14850</v>
      </c>
      <c r="I6" s="39">
        <v>43023</v>
      </c>
      <c r="J6" s="8">
        <f>SUBTOTAL(3,J8:J111)</f>
        <v>37</v>
      </c>
      <c r="K6" s="1">
        <f>SUBTOTAL(9,K8:K111)</f>
        <v>25550</v>
      </c>
      <c r="L6" s="63">
        <v>43030</v>
      </c>
      <c r="M6" s="8">
        <f>SUBTOTAL(3,M8:M120)</f>
        <v>0</v>
      </c>
      <c r="N6" s="1">
        <f>SUBTOTAL(9,N8:N120)</f>
        <v>0</v>
      </c>
      <c r="O6" s="85">
        <v>43037</v>
      </c>
      <c r="Q6" s="30">
        <f>+A6+D6+G6+J6+M6</f>
        <v>161</v>
      </c>
      <c r="R6" s="29">
        <f>+B6+E6+H6+K6+N6</f>
        <v>93075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103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15119</v>
      </c>
      <c r="B8" s="49">
        <v>400</v>
      </c>
      <c r="C8" s="17"/>
      <c r="D8" s="13">
        <v>15173</v>
      </c>
      <c r="E8" s="70"/>
      <c r="F8" s="14" t="s">
        <v>509</v>
      </c>
      <c r="G8" s="11">
        <v>15223</v>
      </c>
      <c r="H8" s="12">
        <v>1800</v>
      </c>
      <c r="I8" s="12" t="s">
        <v>525</v>
      </c>
      <c r="J8" s="61">
        <v>15265</v>
      </c>
      <c r="K8" s="71">
        <v>400</v>
      </c>
      <c r="L8" s="62"/>
      <c r="M8" s="75"/>
      <c r="N8" s="73"/>
      <c r="O8" s="15"/>
      <c r="Q8" s="32"/>
      <c r="R8" s="32"/>
    </row>
    <row r="9" spans="1:18" x14ac:dyDescent="0.25">
      <c r="A9" s="16">
        <v>15120</v>
      </c>
      <c r="B9" s="49">
        <v>450</v>
      </c>
      <c r="C9" s="17" t="s">
        <v>498</v>
      </c>
      <c r="D9" s="13">
        <v>15174</v>
      </c>
      <c r="E9" s="70">
        <v>300</v>
      </c>
      <c r="F9" s="14" t="s">
        <v>457</v>
      </c>
      <c r="G9" s="11"/>
      <c r="H9" s="67"/>
      <c r="I9" s="12" t="s">
        <v>17</v>
      </c>
      <c r="J9" s="61">
        <v>15266</v>
      </c>
      <c r="K9" s="71">
        <v>400</v>
      </c>
      <c r="L9" s="62"/>
      <c r="M9" s="75"/>
      <c r="N9" s="73"/>
      <c r="O9" s="15"/>
    </row>
    <row r="10" spans="1:18" x14ac:dyDescent="0.25">
      <c r="A10" s="16">
        <v>15121</v>
      </c>
      <c r="B10" s="49">
        <v>400</v>
      </c>
      <c r="C10" s="17"/>
      <c r="D10" s="13">
        <v>15175</v>
      </c>
      <c r="E10" s="70">
        <v>1500</v>
      </c>
      <c r="F10" s="14" t="s">
        <v>510</v>
      </c>
      <c r="G10" s="11">
        <v>15224</v>
      </c>
      <c r="H10" s="67">
        <v>800</v>
      </c>
      <c r="I10" s="12" t="s">
        <v>526</v>
      </c>
      <c r="J10" s="61">
        <v>15267</v>
      </c>
      <c r="K10" s="71">
        <v>3600</v>
      </c>
      <c r="L10" s="62" t="s">
        <v>531</v>
      </c>
      <c r="M10" s="75"/>
      <c r="N10" s="73"/>
      <c r="O10" s="15"/>
    </row>
    <row r="11" spans="1:18" x14ac:dyDescent="0.25">
      <c r="A11" s="16">
        <v>15122</v>
      </c>
      <c r="B11" s="49">
        <v>500</v>
      </c>
      <c r="C11" s="17" t="s">
        <v>499</v>
      </c>
      <c r="D11" s="13"/>
      <c r="E11" s="70"/>
      <c r="F11" s="14" t="s">
        <v>511</v>
      </c>
      <c r="G11" s="11"/>
      <c r="H11" s="67"/>
      <c r="I11" s="12" t="s">
        <v>18</v>
      </c>
      <c r="J11" s="61"/>
      <c r="K11" s="71"/>
      <c r="L11" s="62" t="s">
        <v>17</v>
      </c>
      <c r="M11" s="75"/>
      <c r="N11" s="73"/>
      <c r="O11" s="15"/>
    </row>
    <row r="12" spans="1:18" x14ac:dyDescent="0.25">
      <c r="A12" s="16"/>
      <c r="B12" s="49"/>
      <c r="C12" s="17" t="s">
        <v>306</v>
      </c>
      <c r="D12" s="13">
        <v>15176</v>
      </c>
      <c r="E12" s="70">
        <v>400</v>
      </c>
      <c r="F12" s="14" t="s">
        <v>474</v>
      </c>
      <c r="G12" s="11">
        <v>15225</v>
      </c>
      <c r="H12" s="67">
        <v>1500</v>
      </c>
      <c r="I12" s="12" t="s">
        <v>527</v>
      </c>
      <c r="J12" s="61">
        <v>15268</v>
      </c>
      <c r="K12" s="71"/>
      <c r="L12" s="62" t="s">
        <v>44</v>
      </c>
      <c r="M12" s="75"/>
      <c r="N12" s="73"/>
      <c r="O12" s="15"/>
    </row>
    <row r="13" spans="1:18" x14ac:dyDescent="0.25">
      <c r="A13" s="16">
        <v>15123</v>
      </c>
      <c r="B13" s="49">
        <v>400</v>
      </c>
      <c r="C13" s="17"/>
      <c r="D13" s="13"/>
      <c r="E13" s="70"/>
      <c r="F13" s="14" t="s">
        <v>18</v>
      </c>
      <c r="G13" s="11"/>
      <c r="H13" s="67"/>
      <c r="I13" s="12" t="s">
        <v>17</v>
      </c>
      <c r="J13" s="61">
        <v>15269</v>
      </c>
      <c r="K13" s="71">
        <v>600</v>
      </c>
      <c r="L13" s="62" t="s">
        <v>449</v>
      </c>
      <c r="M13" s="75"/>
      <c r="N13" s="73"/>
      <c r="O13" s="15"/>
    </row>
    <row r="14" spans="1:18" x14ac:dyDescent="0.25">
      <c r="A14" s="16">
        <v>15124</v>
      </c>
      <c r="B14" s="49">
        <v>600</v>
      </c>
      <c r="C14" s="17" t="s">
        <v>500</v>
      </c>
      <c r="D14" s="13">
        <v>15177</v>
      </c>
      <c r="E14" s="70">
        <v>600</v>
      </c>
      <c r="F14" s="14" t="s">
        <v>457</v>
      </c>
      <c r="G14" s="11">
        <v>15226</v>
      </c>
      <c r="H14" s="67">
        <v>400</v>
      </c>
      <c r="I14" s="12"/>
      <c r="J14" s="61"/>
      <c r="K14" s="71"/>
      <c r="L14" s="93" t="s">
        <v>17</v>
      </c>
      <c r="M14" s="75"/>
      <c r="N14" s="73"/>
      <c r="O14" s="31"/>
    </row>
    <row r="15" spans="1:18" x14ac:dyDescent="0.25">
      <c r="A15" s="16">
        <v>15125</v>
      </c>
      <c r="B15" s="49">
        <v>350</v>
      </c>
      <c r="C15" s="17"/>
      <c r="D15" s="13">
        <v>15178</v>
      </c>
      <c r="E15" s="70">
        <v>200</v>
      </c>
      <c r="F15" s="14" t="s">
        <v>512</v>
      </c>
      <c r="G15" s="11">
        <v>15227</v>
      </c>
      <c r="H15" s="67">
        <v>600</v>
      </c>
      <c r="I15" s="12" t="s">
        <v>357</v>
      </c>
      <c r="J15" s="61">
        <v>15270</v>
      </c>
      <c r="K15" s="71">
        <v>200</v>
      </c>
      <c r="L15" s="93"/>
      <c r="M15" s="75"/>
      <c r="N15" s="73"/>
      <c r="O15" s="15"/>
    </row>
    <row r="16" spans="1:18" x14ac:dyDescent="0.25">
      <c r="A16" s="16">
        <v>15126</v>
      </c>
      <c r="B16" s="49">
        <v>400</v>
      </c>
      <c r="C16" s="17" t="s">
        <v>457</v>
      </c>
      <c r="D16" s="13">
        <v>15179</v>
      </c>
      <c r="E16" s="70">
        <v>300</v>
      </c>
      <c r="F16" s="14"/>
      <c r="G16" s="11"/>
      <c r="H16" s="67"/>
      <c r="I16" s="12" t="s">
        <v>17</v>
      </c>
      <c r="J16" s="61">
        <v>15271</v>
      </c>
      <c r="K16" s="71">
        <v>4400</v>
      </c>
      <c r="L16" s="62" t="s">
        <v>532</v>
      </c>
      <c r="M16" s="75"/>
      <c r="N16" s="73"/>
      <c r="O16" s="15"/>
    </row>
    <row r="17" spans="1:15" x14ac:dyDescent="0.25">
      <c r="A17" s="16">
        <v>15127</v>
      </c>
      <c r="B17" s="49">
        <v>2450</v>
      </c>
      <c r="C17" s="17" t="s">
        <v>501</v>
      </c>
      <c r="D17" s="13">
        <v>15180</v>
      </c>
      <c r="E17" s="70">
        <v>500</v>
      </c>
      <c r="F17" s="14" t="s">
        <v>513</v>
      </c>
      <c r="G17" s="11">
        <v>15228</v>
      </c>
      <c r="H17" s="67">
        <v>600</v>
      </c>
      <c r="I17" s="12" t="s">
        <v>449</v>
      </c>
      <c r="J17" s="61"/>
      <c r="K17" s="71"/>
      <c r="L17" s="62" t="s">
        <v>16</v>
      </c>
      <c r="M17" s="75"/>
      <c r="N17" s="73"/>
      <c r="O17" s="15"/>
    </row>
    <row r="18" spans="1:15" x14ac:dyDescent="0.25">
      <c r="A18" s="16"/>
      <c r="B18" s="49"/>
      <c r="C18" s="17" t="s">
        <v>502</v>
      </c>
      <c r="D18" s="13"/>
      <c r="E18" s="70"/>
      <c r="F18" s="14" t="s">
        <v>514</v>
      </c>
      <c r="G18" s="11"/>
      <c r="H18" s="67"/>
      <c r="I18" s="12" t="s">
        <v>18</v>
      </c>
      <c r="J18" s="61">
        <v>15272</v>
      </c>
      <c r="K18" s="71">
        <v>250</v>
      </c>
      <c r="L18" s="62"/>
      <c r="M18" s="75"/>
      <c r="N18" s="73"/>
      <c r="O18" s="15"/>
    </row>
    <row r="19" spans="1:15" x14ac:dyDescent="0.25">
      <c r="A19" s="16"/>
      <c r="B19" s="49"/>
      <c r="C19" s="17" t="s">
        <v>503</v>
      </c>
      <c r="D19" s="13">
        <v>15181</v>
      </c>
      <c r="E19" s="70">
        <v>400</v>
      </c>
      <c r="F19" s="14" t="s">
        <v>457</v>
      </c>
      <c r="G19" s="11">
        <v>15229</v>
      </c>
      <c r="H19" s="67">
        <v>800</v>
      </c>
      <c r="I19" s="12" t="s">
        <v>528</v>
      </c>
      <c r="J19" s="61">
        <v>15273</v>
      </c>
      <c r="K19" s="71">
        <v>1200</v>
      </c>
      <c r="L19" s="62" t="s">
        <v>505</v>
      </c>
      <c r="M19" s="75"/>
      <c r="N19" s="73"/>
      <c r="O19" s="15"/>
    </row>
    <row r="20" spans="1:15" x14ac:dyDescent="0.25">
      <c r="A20" s="16">
        <v>15128</v>
      </c>
      <c r="B20" s="49">
        <v>400</v>
      </c>
      <c r="C20" s="17"/>
      <c r="D20" s="13">
        <v>15182</v>
      </c>
      <c r="E20" s="70">
        <v>600</v>
      </c>
      <c r="F20" s="14" t="s">
        <v>515</v>
      </c>
      <c r="G20" s="11"/>
      <c r="H20" s="67"/>
      <c r="I20" s="12" t="s">
        <v>16</v>
      </c>
      <c r="J20" s="61"/>
      <c r="K20" s="71"/>
      <c r="L20" s="62" t="s">
        <v>16</v>
      </c>
      <c r="M20" s="75"/>
      <c r="N20" s="73"/>
      <c r="O20" s="15"/>
    </row>
    <row r="21" spans="1:15" x14ac:dyDescent="0.25">
      <c r="A21" s="16">
        <v>15129</v>
      </c>
      <c r="B21" s="49">
        <v>300</v>
      </c>
      <c r="C21" s="17"/>
      <c r="D21" s="13"/>
      <c r="E21" s="70"/>
      <c r="F21" s="14" t="s">
        <v>516</v>
      </c>
      <c r="G21" s="11">
        <v>15230</v>
      </c>
      <c r="H21" s="67">
        <v>200</v>
      </c>
      <c r="I21" s="12" t="s">
        <v>19</v>
      </c>
      <c r="J21" s="61">
        <v>15274</v>
      </c>
      <c r="K21" s="71">
        <v>900</v>
      </c>
      <c r="L21" s="62" t="s">
        <v>533</v>
      </c>
      <c r="M21" s="75"/>
      <c r="N21" s="73"/>
      <c r="O21" s="15"/>
    </row>
    <row r="22" spans="1:15" x14ac:dyDescent="0.25">
      <c r="A22" s="16">
        <v>15130</v>
      </c>
      <c r="B22" s="49">
        <v>400</v>
      </c>
      <c r="C22" s="17" t="s">
        <v>255</v>
      </c>
      <c r="D22" s="13">
        <v>15183</v>
      </c>
      <c r="E22" s="70">
        <v>300</v>
      </c>
      <c r="F22" s="14" t="s">
        <v>457</v>
      </c>
      <c r="G22" s="11">
        <v>15231</v>
      </c>
      <c r="H22" s="67">
        <v>600</v>
      </c>
      <c r="I22" s="12" t="s">
        <v>474</v>
      </c>
      <c r="J22" s="61"/>
      <c r="K22" s="71"/>
      <c r="L22" s="62" t="s">
        <v>534</v>
      </c>
      <c r="M22" s="75"/>
      <c r="N22" s="73"/>
      <c r="O22" s="15"/>
    </row>
    <row r="23" spans="1:15" x14ac:dyDescent="0.25">
      <c r="A23" s="16"/>
      <c r="B23" s="49"/>
      <c r="C23" s="17" t="s">
        <v>18</v>
      </c>
      <c r="D23" s="13">
        <v>15184</v>
      </c>
      <c r="E23" s="70">
        <v>400</v>
      </c>
      <c r="F23" s="14" t="s">
        <v>457</v>
      </c>
      <c r="G23" s="11"/>
      <c r="H23" s="67"/>
      <c r="I23" s="12" t="s">
        <v>17</v>
      </c>
      <c r="J23" s="61">
        <v>15275</v>
      </c>
      <c r="K23" s="71">
        <v>400</v>
      </c>
      <c r="L23" s="62" t="s">
        <v>435</v>
      </c>
      <c r="M23" s="75"/>
      <c r="N23" s="73"/>
      <c r="O23" s="15"/>
    </row>
    <row r="24" spans="1:15" x14ac:dyDescent="0.25">
      <c r="A24" s="16">
        <v>15131</v>
      </c>
      <c r="B24" s="49">
        <v>400</v>
      </c>
      <c r="C24" s="17" t="s">
        <v>474</v>
      </c>
      <c r="D24" s="13">
        <v>15185</v>
      </c>
      <c r="E24" s="70">
        <v>1200</v>
      </c>
      <c r="F24" s="14" t="s">
        <v>517</v>
      </c>
      <c r="G24" s="11">
        <v>15232</v>
      </c>
      <c r="H24" s="67">
        <v>400</v>
      </c>
      <c r="I24" s="12" t="s">
        <v>457</v>
      </c>
      <c r="J24" s="61"/>
      <c r="K24" s="71"/>
      <c r="L24" s="62" t="s">
        <v>18</v>
      </c>
      <c r="M24" s="75"/>
      <c r="N24" s="73"/>
      <c r="O24" s="15"/>
    </row>
    <row r="25" spans="1:15" x14ac:dyDescent="0.25">
      <c r="A25" s="16"/>
      <c r="B25" s="49"/>
      <c r="C25" s="17" t="s">
        <v>18</v>
      </c>
      <c r="D25" s="13"/>
      <c r="E25" s="70"/>
      <c r="F25" s="14" t="s">
        <v>18</v>
      </c>
      <c r="G25" s="11">
        <v>15233</v>
      </c>
      <c r="H25" s="67">
        <v>850</v>
      </c>
      <c r="I25" s="12" t="s">
        <v>474</v>
      </c>
      <c r="J25" s="61">
        <v>15276</v>
      </c>
      <c r="K25" s="71">
        <v>200</v>
      </c>
      <c r="L25" s="62"/>
      <c r="M25" s="75"/>
      <c r="N25" s="73"/>
      <c r="O25" s="15"/>
    </row>
    <row r="26" spans="1:15" x14ac:dyDescent="0.25">
      <c r="A26" s="16">
        <v>15132</v>
      </c>
      <c r="B26" s="49">
        <v>800</v>
      </c>
      <c r="C26" s="17" t="s">
        <v>435</v>
      </c>
      <c r="D26" s="13">
        <v>15186</v>
      </c>
      <c r="E26" s="70">
        <v>1200</v>
      </c>
      <c r="F26" s="14" t="s">
        <v>449</v>
      </c>
      <c r="G26" s="11"/>
      <c r="H26" s="67"/>
      <c r="I26" s="12" t="s">
        <v>139</v>
      </c>
      <c r="J26" s="61">
        <v>15277</v>
      </c>
      <c r="K26" s="71">
        <v>300</v>
      </c>
      <c r="L26" s="62" t="s">
        <v>535</v>
      </c>
      <c r="M26" s="75"/>
      <c r="N26" s="73"/>
      <c r="O26" s="15"/>
    </row>
    <row r="27" spans="1:15" x14ac:dyDescent="0.25">
      <c r="A27" s="16"/>
      <c r="B27" s="49"/>
      <c r="C27" s="17" t="s">
        <v>16</v>
      </c>
      <c r="D27" s="13"/>
      <c r="E27" s="70"/>
      <c r="F27" s="14" t="s">
        <v>16</v>
      </c>
      <c r="G27" s="11">
        <v>15234</v>
      </c>
      <c r="H27" s="67">
        <v>1200</v>
      </c>
      <c r="I27" s="12" t="s">
        <v>282</v>
      </c>
      <c r="J27" s="61">
        <v>15278</v>
      </c>
      <c r="K27" s="71">
        <v>800</v>
      </c>
      <c r="L27" s="62" t="s">
        <v>536</v>
      </c>
      <c r="M27" s="75"/>
      <c r="N27" s="73"/>
      <c r="O27" s="31"/>
    </row>
    <row r="28" spans="1:15" x14ac:dyDescent="0.25">
      <c r="A28" s="16">
        <v>15133</v>
      </c>
      <c r="B28" s="49">
        <v>400</v>
      </c>
      <c r="C28" s="17" t="s">
        <v>457</v>
      </c>
      <c r="D28" s="13">
        <v>15187</v>
      </c>
      <c r="E28" s="70">
        <v>400</v>
      </c>
      <c r="F28" s="14"/>
      <c r="G28" s="11"/>
      <c r="H28" s="67"/>
      <c r="I28" s="12" t="s">
        <v>16</v>
      </c>
      <c r="J28" s="61"/>
      <c r="K28" s="71"/>
      <c r="L28" s="62" t="s">
        <v>16</v>
      </c>
      <c r="M28" s="75"/>
      <c r="N28" s="73"/>
      <c r="O28" s="15"/>
    </row>
    <row r="29" spans="1:15" x14ac:dyDescent="0.25">
      <c r="A29" s="16">
        <v>15134</v>
      </c>
      <c r="B29" s="49">
        <v>800</v>
      </c>
      <c r="C29" s="17" t="s">
        <v>297</v>
      </c>
      <c r="D29" s="13">
        <v>15188</v>
      </c>
      <c r="E29" s="70">
        <v>400</v>
      </c>
      <c r="F29" s="14" t="s">
        <v>474</v>
      </c>
      <c r="G29" s="11">
        <v>15235</v>
      </c>
      <c r="H29" s="67">
        <v>400</v>
      </c>
      <c r="I29" s="12" t="s">
        <v>346</v>
      </c>
      <c r="J29" s="61">
        <v>15279</v>
      </c>
      <c r="K29" s="71">
        <v>800</v>
      </c>
      <c r="L29" s="62" t="s">
        <v>443</v>
      </c>
      <c r="M29" s="75"/>
      <c r="N29" s="73"/>
      <c r="O29" s="15"/>
    </row>
    <row r="30" spans="1:15" x14ac:dyDescent="0.25">
      <c r="A30" s="16"/>
      <c r="B30" s="49"/>
      <c r="C30" s="17" t="s">
        <v>16</v>
      </c>
      <c r="D30" s="13"/>
      <c r="E30" s="70"/>
      <c r="F30" s="14" t="s">
        <v>18</v>
      </c>
      <c r="G30" s="11">
        <v>15236</v>
      </c>
      <c r="H30" s="67">
        <v>300</v>
      </c>
      <c r="I30" s="12" t="s">
        <v>346</v>
      </c>
      <c r="J30" s="61"/>
      <c r="K30" s="71"/>
      <c r="L30" s="62" t="s">
        <v>18</v>
      </c>
      <c r="M30" s="75"/>
      <c r="N30" s="73"/>
      <c r="O30" s="15"/>
    </row>
    <row r="31" spans="1:15" x14ac:dyDescent="0.25">
      <c r="A31" s="16">
        <v>15135</v>
      </c>
      <c r="B31" s="49">
        <v>125</v>
      </c>
      <c r="C31" s="17"/>
      <c r="D31" s="13">
        <v>15189</v>
      </c>
      <c r="E31" s="70">
        <v>400</v>
      </c>
      <c r="F31" s="14"/>
      <c r="G31" s="11">
        <v>15237</v>
      </c>
      <c r="H31" s="67">
        <v>400</v>
      </c>
      <c r="I31" s="12"/>
      <c r="J31" s="61">
        <v>15280</v>
      </c>
      <c r="K31" s="71">
        <v>400</v>
      </c>
      <c r="L31" s="62" t="s">
        <v>255</v>
      </c>
      <c r="M31" s="75"/>
      <c r="N31" s="73"/>
      <c r="O31" s="15"/>
    </row>
    <row r="32" spans="1:15" x14ac:dyDescent="0.25">
      <c r="A32" s="16">
        <v>15136</v>
      </c>
      <c r="B32" s="49">
        <v>200</v>
      </c>
      <c r="C32" s="17" t="s">
        <v>19</v>
      </c>
      <c r="D32" s="13">
        <v>15190</v>
      </c>
      <c r="E32" s="70">
        <v>200</v>
      </c>
      <c r="F32" s="14"/>
      <c r="G32" s="11">
        <v>15238</v>
      </c>
      <c r="H32" s="67">
        <v>400</v>
      </c>
      <c r="I32" s="12" t="s">
        <v>457</v>
      </c>
      <c r="J32" s="61"/>
      <c r="K32" s="71"/>
      <c r="L32" s="62" t="s">
        <v>18</v>
      </c>
      <c r="M32" s="75"/>
      <c r="N32" s="73"/>
      <c r="O32" s="15"/>
    </row>
    <row r="33" spans="1:15" x14ac:dyDescent="0.25">
      <c r="A33" s="16">
        <v>15137</v>
      </c>
      <c r="B33" s="49">
        <v>1200</v>
      </c>
      <c r="C33" s="17" t="s">
        <v>449</v>
      </c>
      <c r="D33" s="13">
        <v>15191</v>
      </c>
      <c r="E33" s="70">
        <v>400</v>
      </c>
      <c r="F33" s="14"/>
      <c r="G33" s="11">
        <v>15239</v>
      </c>
      <c r="H33" s="67">
        <v>800</v>
      </c>
      <c r="I33" s="12" t="s">
        <v>435</v>
      </c>
      <c r="J33" s="61">
        <v>15281</v>
      </c>
      <c r="K33" s="71">
        <v>800</v>
      </c>
      <c r="L33" s="62" t="s">
        <v>474</v>
      </c>
      <c r="M33" s="75"/>
      <c r="N33" s="73"/>
      <c r="O33" s="15"/>
    </row>
    <row r="34" spans="1:15" x14ac:dyDescent="0.25">
      <c r="A34" s="16"/>
      <c r="B34" s="49"/>
      <c r="C34" s="17" t="s">
        <v>16</v>
      </c>
      <c r="D34" s="13">
        <v>15192</v>
      </c>
      <c r="E34" s="70">
        <v>400</v>
      </c>
      <c r="F34" s="14"/>
      <c r="G34" s="11"/>
      <c r="H34" s="67"/>
      <c r="I34" s="12" t="s">
        <v>16</v>
      </c>
      <c r="J34" s="61"/>
      <c r="K34" s="71"/>
      <c r="L34" s="62" t="s">
        <v>16</v>
      </c>
      <c r="M34" s="75"/>
      <c r="N34" s="73"/>
      <c r="O34" s="31"/>
    </row>
    <row r="35" spans="1:15" x14ac:dyDescent="0.25">
      <c r="A35" s="16">
        <v>15138</v>
      </c>
      <c r="B35" s="49">
        <v>300</v>
      </c>
      <c r="C35" s="17"/>
      <c r="D35" s="13">
        <v>15193</v>
      </c>
      <c r="E35" s="70">
        <v>200</v>
      </c>
      <c r="F35" s="14"/>
      <c r="G35" s="11">
        <v>15240</v>
      </c>
      <c r="H35" s="67">
        <v>800</v>
      </c>
      <c r="I35" s="12" t="s">
        <v>255</v>
      </c>
      <c r="J35" s="61">
        <v>15282</v>
      </c>
      <c r="K35" s="71">
        <v>50</v>
      </c>
      <c r="L35" s="62" t="s">
        <v>47</v>
      </c>
      <c r="M35" s="75"/>
      <c r="N35" s="73"/>
      <c r="O35" s="15"/>
    </row>
    <row r="36" spans="1:15" x14ac:dyDescent="0.25">
      <c r="A36" s="16">
        <v>15139</v>
      </c>
      <c r="B36" s="49">
        <v>800</v>
      </c>
      <c r="C36" s="17" t="s">
        <v>409</v>
      </c>
      <c r="D36" s="13">
        <v>15194</v>
      </c>
      <c r="E36" s="70">
        <v>600</v>
      </c>
      <c r="F36" s="14" t="s">
        <v>518</v>
      </c>
      <c r="G36" s="11"/>
      <c r="H36" s="67"/>
      <c r="I36" s="12" t="s">
        <v>16</v>
      </c>
      <c r="J36" s="61">
        <v>15283</v>
      </c>
      <c r="K36" s="71">
        <v>200</v>
      </c>
      <c r="L36" s="62" t="s">
        <v>535</v>
      </c>
      <c r="M36" s="75"/>
      <c r="N36" s="73"/>
      <c r="O36" s="15"/>
    </row>
    <row r="37" spans="1:15" x14ac:dyDescent="0.25">
      <c r="A37" s="16"/>
      <c r="B37" s="49"/>
      <c r="C37" s="17" t="s">
        <v>18</v>
      </c>
      <c r="D37" s="13"/>
      <c r="E37" s="70"/>
      <c r="F37" s="14" t="s">
        <v>17</v>
      </c>
      <c r="G37" s="11">
        <v>15241</v>
      </c>
      <c r="H37" s="67">
        <v>300</v>
      </c>
      <c r="I37" s="12"/>
      <c r="J37" s="61">
        <v>15284</v>
      </c>
      <c r="K37" s="71">
        <v>800</v>
      </c>
      <c r="L37" s="62" t="s">
        <v>255</v>
      </c>
      <c r="M37" s="75"/>
      <c r="N37" s="73"/>
      <c r="O37" s="15"/>
    </row>
    <row r="38" spans="1:15" x14ac:dyDescent="0.25">
      <c r="A38" s="16">
        <v>15140</v>
      </c>
      <c r="B38" s="49">
        <v>400</v>
      </c>
      <c r="C38" s="17" t="s">
        <v>357</v>
      </c>
      <c r="D38" s="13">
        <v>15195</v>
      </c>
      <c r="E38" s="70">
        <v>300</v>
      </c>
      <c r="F38" s="14"/>
      <c r="G38" s="11">
        <v>15242</v>
      </c>
      <c r="H38" s="67">
        <v>1700</v>
      </c>
      <c r="I38" s="12" t="s">
        <v>529</v>
      </c>
      <c r="J38" s="61"/>
      <c r="K38" s="71"/>
      <c r="L38" s="62" t="s">
        <v>16</v>
      </c>
      <c r="M38" s="75"/>
      <c r="N38" s="73"/>
      <c r="O38" s="15"/>
    </row>
    <row r="39" spans="1:15" x14ac:dyDescent="0.25">
      <c r="A39" s="16"/>
      <c r="B39" s="49"/>
      <c r="C39" s="17" t="s">
        <v>18</v>
      </c>
      <c r="D39" s="13">
        <v>15196</v>
      </c>
      <c r="E39" s="70">
        <v>400</v>
      </c>
      <c r="F39" s="14" t="s">
        <v>457</v>
      </c>
      <c r="G39" s="11"/>
      <c r="H39" s="67"/>
      <c r="I39" s="12" t="s">
        <v>530</v>
      </c>
      <c r="J39" s="61">
        <v>15285</v>
      </c>
      <c r="K39" s="71">
        <v>600</v>
      </c>
      <c r="L39" s="62" t="s">
        <v>537</v>
      </c>
      <c r="M39" s="75"/>
      <c r="N39" s="73"/>
      <c r="O39" s="15"/>
    </row>
    <row r="40" spans="1:15" x14ac:dyDescent="0.25">
      <c r="A40" s="16">
        <v>15141</v>
      </c>
      <c r="B40" s="49">
        <v>200</v>
      </c>
      <c r="C40" s="17" t="s">
        <v>19</v>
      </c>
      <c r="D40" s="13">
        <v>15197</v>
      </c>
      <c r="E40" s="70">
        <v>400</v>
      </c>
      <c r="F40" s="14"/>
      <c r="G40" s="11"/>
      <c r="H40" s="67"/>
      <c r="I40" s="12"/>
      <c r="J40" s="61"/>
      <c r="K40" s="71"/>
      <c r="L40" s="62" t="s">
        <v>538</v>
      </c>
      <c r="M40" s="75"/>
      <c r="N40" s="73"/>
      <c r="O40" s="15"/>
    </row>
    <row r="41" spans="1:15" x14ac:dyDescent="0.25">
      <c r="A41" s="16">
        <v>15142</v>
      </c>
      <c r="B41" s="49">
        <v>400</v>
      </c>
      <c r="C41" s="17"/>
      <c r="D41" s="13">
        <v>15198</v>
      </c>
      <c r="E41" s="70">
        <v>1200</v>
      </c>
      <c r="F41" s="14" t="s">
        <v>519</v>
      </c>
      <c r="G41" s="11"/>
      <c r="H41" s="67"/>
      <c r="I41" s="12"/>
      <c r="J41" s="61">
        <v>15286</v>
      </c>
      <c r="K41" s="71">
        <v>600</v>
      </c>
      <c r="L41" s="62" t="s">
        <v>537</v>
      </c>
      <c r="M41" s="75"/>
      <c r="N41" s="73"/>
      <c r="O41" s="15"/>
    </row>
    <row r="42" spans="1:15" x14ac:dyDescent="0.25">
      <c r="A42" s="16">
        <v>15143</v>
      </c>
      <c r="B42" s="49">
        <v>200</v>
      </c>
      <c r="C42" s="17"/>
      <c r="D42" s="13"/>
      <c r="E42" s="70"/>
      <c r="F42" s="14" t="s">
        <v>17</v>
      </c>
      <c r="G42" s="11"/>
      <c r="H42" s="67"/>
      <c r="I42" s="12"/>
      <c r="J42" s="61"/>
      <c r="K42" s="71"/>
      <c r="L42" s="62" t="s">
        <v>538</v>
      </c>
      <c r="M42" s="75"/>
      <c r="N42" s="73"/>
      <c r="O42" s="15"/>
    </row>
    <row r="43" spans="1:15" x14ac:dyDescent="0.25">
      <c r="A43" s="16">
        <v>15144</v>
      </c>
      <c r="B43" s="49">
        <v>400</v>
      </c>
      <c r="C43" s="17" t="s">
        <v>457</v>
      </c>
      <c r="D43" s="13">
        <v>15199</v>
      </c>
      <c r="E43" s="70">
        <v>400</v>
      </c>
      <c r="F43" s="14" t="s">
        <v>346</v>
      </c>
      <c r="G43" s="11"/>
      <c r="H43" s="67"/>
      <c r="I43" s="12"/>
      <c r="J43" s="61">
        <v>15287</v>
      </c>
      <c r="K43" s="71">
        <v>100</v>
      </c>
      <c r="L43" s="62" t="s">
        <v>539</v>
      </c>
      <c r="M43" s="75"/>
      <c r="N43" s="73"/>
      <c r="O43" s="15"/>
    </row>
    <row r="44" spans="1:15" x14ac:dyDescent="0.25">
      <c r="A44" s="16">
        <v>15145</v>
      </c>
      <c r="B44" s="49">
        <v>200</v>
      </c>
      <c r="C44" s="17"/>
      <c r="D44" s="13">
        <v>15200</v>
      </c>
      <c r="E44" s="70">
        <v>800</v>
      </c>
      <c r="F44" s="14" t="s">
        <v>255</v>
      </c>
      <c r="G44" s="11"/>
      <c r="H44" s="67"/>
      <c r="I44" s="12"/>
      <c r="J44" s="61">
        <v>15288</v>
      </c>
      <c r="K44" s="71">
        <v>400</v>
      </c>
      <c r="L44" s="62" t="s">
        <v>399</v>
      </c>
      <c r="M44" s="75"/>
      <c r="N44" s="73"/>
      <c r="O44" s="15"/>
    </row>
    <row r="45" spans="1:15" x14ac:dyDescent="0.25">
      <c r="A45" s="16">
        <v>15146</v>
      </c>
      <c r="B45" s="49">
        <v>200</v>
      </c>
      <c r="C45" s="17" t="s">
        <v>19</v>
      </c>
      <c r="D45" s="13"/>
      <c r="E45" s="70"/>
      <c r="F45" s="14" t="s">
        <v>16</v>
      </c>
      <c r="G45" s="11"/>
      <c r="H45" s="67"/>
      <c r="I45" s="12"/>
      <c r="J45" s="61">
        <v>15289</v>
      </c>
      <c r="K45" s="71">
        <v>900</v>
      </c>
      <c r="L45" s="62" t="s">
        <v>449</v>
      </c>
      <c r="M45" s="75"/>
      <c r="N45" s="73"/>
      <c r="O45" s="15"/>
    </row>
    <row r="46" spans="1:15" x14ac:dyDescent="0.25">
      <c r="A46" s="16">
        <v>15147</v>
      </c>
      <c r="B46" s="49">
        <v>300</v>
      </c>
      <c r="C46" s="17" t="s">
        <v>399</v>
      </c>
      <c r="D46" s="13">
        <v>15201</v>
      </c>
      <c r="E46" s="70">
        <v>400</v>
      </c>
      <c r="F46" s="14"/>
      <c r="G46" s="11"/>
      <c r="H46" s="67"/>
      <c r="I46" s="12"/>
      <c r="J46" s="61"/>
      <c r="K46" s="71"/>
      <c r="L46" s="62" t="s">
        <v>17</v>
      </c>
      <c r="M46" s="75"/>
      <c r="N46" s="73"/>
      <c r="O46" s="15"/>
    </row>
    <row r="47" spans="1:15" x14ac:dyDescent="0.25">
      <c r="A47" s="16">
        <v>15148</v>
      </c>
      <c r="B47" s="49">
        <v>50</v>
      </c>
      <c r="C47" s="17" t="s">
        <v>47</v>
      </c>
      <c r="D47" s="13">
        <v>15202</v>
      </c>
      <c r="E47" s="70">
        <v>400</v>
      </c>
      <c r="F47" s="14"/>
      <c r="G47" s="11"/>
      <c r="H47" s="67"/>
      <c r="I47" s="12"/>
      <c r="J47" s="61">
        <v>15290</v>
      </c>
      <c r="K47" s="71">
        <v>200</v>
      </c>
      <c r="L47" s="62"/>
      <c r="M47" s="75"/>
      <c r="N47" s="73"/>
      <c r="O47" s="15"/>
    </row>
    <row r="48" spans="1:15" x14ac:dyDescent="0.25">
      <c r="A48" s="16">
        <v>15149</v>
      </c>
      <c r="B48" s="49">
        <v>300</v>
      </c>
      <c r="C48" s="17"/>
      <c r="D48" s="13">
        <v>15203</v>
      </c>
      <c r="E48" s="70">
        <v>400</v>
      </c>
      <c r="F48" s="14"/>
      <c r="G48" s="11"/>
      <c r="H48" s="67"/>
      <c r="I48" s="12"/>
      <c r="J48" s="61">
        <v>15291</v>
      </c>
      <c r="K48" s="71">
        <v>400</v>
      </c>
      <c r="L48" s="62" t="s">
        <v>540</v>
      </c>
      <c r="M48" s="75"/>
      <c r="N48" s="73"/>
      <c r="O48" s="15"/>
    </row>
    <row r="49" spans="1:15" x14ac:dyDescent="0.25">
      <c r="A49" s="16">
        <v>15150</v>
      </c>
      <c r="B49" s="49">
        <v>300</v>
      </c>
      <c r="C49" s="17"/>
      <c r="D49" s="13">
        <v>15204</v>
      </c>
      <c r="E49" s="70">
        <v>400</v>
      </c>
      <c r="F49" s="14"/>
      <c r="G49" s="11"/>
      <c r="H49" s="67"/>
      <c r="I49" s="12"/>
      <c r="J49" s="61"/>
      <c r="K49" s="71"/>
      <c r="L49" s="62" t="s">
        <v>541</v>
      </c>
      <c r="M49" s="75"/>
      <c r="N49" s="73"/>
      <c r="O49" s="15"/>
    </row>
    <row r="50" spans="1:15" x14ac:dyDescent="0.25">
      <c r="A50" s="16">
        <v>15151</v>
      </c>
      <c r="B50" s="49">
        <v>400</v>
      </c>
      <c r="C50" s="17"/>
      <c r="D50" s="13">
        <v>15205</v>
      </c>
      <c r="E50" s="70">
        <v>400</v>
      </c>
      <c r="F50" s="14"/>
      <c r="G50" s="11"/>
      <c r="H50" s="67"/>
      <c r="I50" s="12"/>
      <c r="J50" s="61">
        <v>15292</v>
      </c>
      <c r="K50" s="71">
        <v>800</v>
      </c>
      <c r="L50" s="62" t="s">
        <v>255</v>
      </c>
      <c r="M50" s="75"/>
      <c r="N50" s="73"/>
      <c r="O50" s="15"/>
    </row>
    <row r="51" spans="1:15" x14ac:dyDescent="0.25">
      <c r="A51" s="16">
        <v>15152</v>
      </c>
      <c r="B51" s="49">
        <v>500</v>
      </c>
      <c r="C51" s="17"/>
      <c r="D51" s="13">
        <v>15206</v>
      </c>
      <c r="E51" s="70">
        <v>400</v>
      </c>
      <c r="F51" s="14"/>
      <c r="G51" s="11"/>
      <c r="H51" s="67"/>
      <c r="I51" s="12"/>
      <c r="J51" s="61"/>
      <c r="K51" s="71"/>
      <c r="L51" s="62" t="s">
        <v>16</v>
      </c>
      <c r="M51" s="75"/>
      <c r="N51" s="73"/>
      <c r="O51" s="15"/>
    </row>
    <row r="52" spans="1:15" x14ac:dyDescent="0.25">
      <c r="A52" s="16">
        <v>15153</v>
      </c>
      <c r="B52" s="49">
        <v>200</v>
      </c>
      <c r="C52" s="17" t="s">
        <v>19</v>
      </c>
      <c r="D52" s="13">
        <v>15207</v>
      </c>
      <c r="E52" s="70">
        <v>400</v>
      </c>
      <c r="F52" s="14" t="s">
        <v>346</v>
      </c>
      <c r="G52" s="11"/>
      <c r="H52" s="67"/>
      <c r="I52" s="12"/>
      <c r="J52" s="61">
        <v>15293</v>
      </c>
      <c r="K52" s="71">
        <v>400</v>
      </c>
      <c r="L52" s="62"/>
      <c r="M52" s="75"/>
      <c r="N52" s="73"/>
      <c r="O52" s="15"/>
    </row>
    <row r="53" spans="1:15" x14ac:dyDescent="0.25">
      <c r="A53" s="16">
        <v>15154</v>
      </c>
      <c r="B53" s="49">
        <v>400</v>
      </c>
      <c r="C53" s="17"/>
      <c r="D53" s="13">
        <v>15208</v>
      </c>
      <c r="E53" s="70">
        <v>400</v>
      </c>
      <c r="F53" s="14"/>
      <c r="G53" s="11"/>
      <c r="H53" s="67"/>
      <c r="I53" s="12"/>
      <c r="J53" s="61">
        <v>15294</v>
      </c>
      <c r="K53" s="71">
        <v>400</v>
      </c>
      <c r="L53" s="62"/>
      <c r="M53" s="75"/>
      <c r="N53" s="73"/>
      <c r="O53" s="15"/>
    </row>
    <row r="54" spans="1:15" x14ac:dyDescent="0.25">
      <c r="A54" s="16">
        <v>15155</v>
      </c>
      <c r="B54" s="49">
        <v>750</v>
      </c>
      <c r="C54" s="17" t="s">
        <v>408</v>
      </c>
      <c r="D54" s="13">
        <v>15209</v>
      </c>
      <c r="E54" s="70">
        <v>300</v>
      </c>
      <c r="F54" s="14"/>
      <c r="G54" s="11"/>
      <c r="H54" s="67"/>
      <c r="I54" s="12"/>
      <c r="J54" s="61">
        <v>15295</v>
      </c>
      <c r="K54" s="71">
        <v>800</v>
      </c>
      <c r="L54" s="62" t="s">
        <v>542</v>
      </c>
      <c r="M54" s="75"/>
      <c r="N54" s="73"/>
      <c r="O54" s="15"/>
    </row>
    <row r="55" spans="1:15" x14ac:dyDescent="0.25">
      <c r="A55" s="16"/>
      <c r="B55" s="49"/>
      <c r="C55" s="17" t="s">
        <v>20</v>
      </c>
      <c r="D55" s="13">
        <v>15210</v>
      </c>
      <c r="E55" s="70">
        <v>400</v>
      </c>
      <c r="F55" s="14"/>
      <c r="G55" s="11"/>
      <c r="H55" s="67"/>
      <c r="I55" s="12"/>
      <c r="J55" s="61"/>
      <c r="K55" s="71"/>
      <c r="L55" s="62" t="s">
        <v>16</v>
      </c>
      <c r="M55" s="75"/>
      <c r="N55" s="73"/>
      <c r="O55" s="15"/>
    </row>
    <row r="56" spans="1:15" x14ac:dyDescent="0.25">
      <c r="A56" s="16">
        <v>15156</v>
      </c>
      <c r="B56" s="49">
        <v>450</v>
      </c>
      <c r="C56" s="17" t="s">
        <v>504</v>
      </c>
      <c r="D56" s="13">
        <v>15211</v>
      </c>
      <c r="E56" s="70">
        <v>700</v>
      </c>
      <c r="F56" s="14" t="s">
        <v>255</v>
      </c>
      <c r="G56" s="11"/>
      <c r="H56" s="67"/>
      <c r="I56" s="12"/>
      <c r="J56" s="61">
        <v>15296</v>
      </c>
      <c r="K56" s="71">
        <v>400</v>
      </c>
      <c r="L56" s="62"/>
      <c r="M56" s="75"/>
      <c r="N56" s="73"/>
      <c r="O56" s="15"/>
    </row>
    <row r="57" spans="1:15" x14ac:dyDescent="0.25">
      <c r="A57" s="16">
        <v>15157</v>
      </c>
      <c r="B57" s="49">
        <v>600</v>
      </c>
      <c r="C57" s="17" t="s">
        <v>474</v>
      </c>
      <c r="D57" s="13"/>
      <c r="E57" s="70"/>
      <c r="F57" s="14" t="s">
        <v>154</v>
      </c>
      <c r="G57" s="11"/>
      <c r="H57" s="67"/>
      <c r="I57" s="12"/>
      <c r="J57" s="61">
        <v>15297</v>
      </c>
      <c r="K57" s="71">
        <v>400</v>
      </c>
      <c r="L57" s="62" t="s">
        <v>457</v>
      </c>
      <c r="M57" s="75"/>
      <c r="N57" s="73"/>
      <c r="O57" s="15"/>
    </row>
    <row r="58" spans="1:15" x14ac:dyDescent="0.25">
      <c r="A58" s="16"/>
      <c r="B58" s="49"/>
      <c r="C58" s="17" t="s">
        <v>17</v>
      </c>
      <c r="D58" s="13">
        <v>15212</v>
      </c>
      <c r="E58" s="70">
        <v>200</v>
      </c>
      <c r="F58" s="14"/>
      <c r="G58" s="11"/>
      <c r="H58" s="67"/>
      <c r="I58" s="12"/>
      <c r="J58" s="61">
        <v>15298</v>
      </c>
      <c r="K58" s="71">
        <v>600</v>
      </c>
      <c r="L58" s="62" t="s">
        <v>543</v>
      </c>
      <c r="M58" s="75"/>
      <c r="N58" s="73"/>
      <c r="O58" s="15"/>
    </row>
    <row r="59" spans="1:15" x14ac:dyDescent="0.25">
      <c r="A59" s="16">
        <v>15158</v>
      </c>
      <c r="B59" s="49">
        <v>400</v>
      </c>
      <c r="C59" s="17"/>
      <c r="D59" s="13">
        <v>15213</v>
      </c>
      <c r="E59" s="70">
        <v>400</v>
      </c>
      <c r="F59" s="14"/>
      <c r="G59" s="11"/>
      <c r="H59" s="67"/>
      <c r="I59" s="12"/>
      <c r="J59" s="61"/>
      <c r="K59" s="71"/>
      <c r="L59" s="62" t="s">
        <v>18</v>
      </c>
      <c r="M59" s="75"/>
      <c r="N59" s="73"/>
      <c r="O59" s="15"/>
    </row>
    <row r="60" spans="1:15" x14ac:dyDescent="0.25">
      <c r="A60" s="16">
        <v>15159</v>
      </c>
      <c r="B60" s="49">
        <v>800</v>
      </c>
      <c r="C60" s="17" t="s">
        <v>474</v>
      </c>
      <c r="D60" s="13">
        <v>15214</v>
      </c>
      <c r="E60" s="70">
        <v>200</v>
      </c>
      <c r="F60" s="14"/>
      <c r="G60" s="11"/>
      <c r="H60" s="67"/>
      <c r="I60" s="12"/>
      <c r="J60" s="61">
        <v>15299</v>
      </c>
      <c r="K60" s="71">
        <v>600</v>
      </c>
      <c r="L60" s="62" t="s">
        <v>474</v>
      </c>
      <c r="M60" s="75"/>
      <c r="N60" s="73"/>
      <c r="O60" s="15"/>
    </row>
    <row r="61" spans="1:15" x14ac:dyDescent="0.25">
      <c r="A61" s="16"/>
      <c r="B61" s="49"/>
      <c r="C61" s="17" t="s">
        <v>16</v>
      </c>
      <c r="D61" s="13">
        <v>15215</v>
      </c>
      <c r="E61" s="70">
        <v>1500</v>
      </c>
      <c r="F61" s="14" t="s">
        <v>474</v>
      </c>
      <c r="G61" s="11"/>
      <c r="H61" s="67"/>
      <c r="I61" s="12"/>
      <c r="J61" s="61"/>
      <c r="K61" s="71"/>
      <c r="L61" s="62" t="s">
        <v>17</v>
      </c>
      <c r="M61" s="75"/>
      <c r="N61" s="73"/>
      <c r="O61" s="15"/>
    </row>
    <row r="62" spans="1:15" x14ac:dyDescent="0.25">
      <c r="A62" s="16">
        <v>15160</v>
      </c>
      <c r="B62" s="49">
        <v>400</v>
      </c>
      <c r="C62" s="17" t="s">
        <v>435</v>
      </c>
      <c r="D62" s="13"/>
      <c r="E62" s="70"/>
      <c r="F62" s="14" t="s">
        <v>520</v>
      </c>
      <c r="G62" s="11"/>
      <c r="H62" s="67"/>
      <c r="I62" s="12"/>
      <c r="J62" s="61">
        <v>15300</v>
      </c>
      <c r="K62" s="71">
        <v>400</v>
      </c>
      <c r="L62" s="62"/>
      <c r="M62" s="75"/>
      <c r="N62" s="73"/>
      <c r="O62" s="15"/>
    </row>
    <row r="63" spans="1:15" x14ac:dyDescent="0.25">
      <c r="A63" s="16"/>
      <c r="B63" s="49"/>
      <c r="C63" s="17" t="s">
        <v>18</v>
      </c>
      <c r="D63" s="13"/>
      <c r="E63" s="70"/>
      <c r="F63" s="14" t="s">
        <v>521</v>
      </c>
      <c r="G63" s="11"/>
      <c r="H63" s="67"/>
      <c r="I63" s="12"/>
      <c r="J63" s="61">
        <v>15301</v>
      </c>
      <c r="K63" s="71">
        <v>850</v>
      </c>
      <c r="L63" s="62" t="s">
        <v>544</v>
      </c>
      <c r="M63" s="75"/>
      <c r="N63" s="73"/>
      <c r="O63" s="15"/>
    </row>
    <row r="64" spans="1:15" x14ac:dyDescent="0.25">
      <c r="A64" s="16">
        <v>15161</v>
      </c>
      <c r="B64" s="49">
        <v>500</v>
      </c>
      <c r="C64" s="17" t="s">
        <v>435</v>
      </c>
      <c r="D64" s="13"/>
      <c r="E64" s="70"/>
      <c r="F64" s="14" t="s">
        <v>514</v>
      </c>
      <c r="G64" s="11"/>
      <c r="H64" s="67"/>
      <c r="I64" s="12"/>
      <c r="J64" s="61"/>
      <c r="K64" s="71"/>
      <c r="L64" s="62" t="s">
        <v>545</v>
      </c>
      <c r="M64" s="75"/>
      <c r="N64" s="73"/>
      <c r="O64" s="15"/>
    </row>
    <row r="65" spans="1:15" x14ac:dyDescent="0.25">
      <c r="A65" s="16"/>
      <c r="B65" s="49"/>
      <c r="C65" s="17" t="s">
        <v>20</v>
      </c>
      <c r="D65" s="13">
        <v>15216</v>
      </c>
      <c r="E65" s="70">
        <v>2400</v>
      </c>
      <c r="F65" s="14" t="s">
        <v>522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15162</v>
      </c>
      <c r="B66" s="49">
        <v>800</v>
      </c>
      <c r="C66" s="17" t="s">
        <v>357</v>
      </c>
      <c r="D66" s="13"/>
      <c r="E66" s="70"/>
      <c r="F66" s="14" t="s">
        <v>16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 t="s">
        <v>16</v>
      </c>
      <c r="D67" s="13">
        <v>15217</v>
      </c>
      <c r="E67" s="70">
        <v>400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15163</v>
      </c>
      <c r="B68" s="49">
        <v>400</v>
      </c>
      <c r="C68" s="17" t="s">
        <v>457</v>
      </c>
      <c r="D68" s="13">
        <v>15218</v>
      </c>
      <c r="E68" s="70">
        <v>1200</v>
      </c>
      <c r="F68" s="14" t="s">
        <v>449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15164</v>
      </c>
      <c r="B69" s="49">
        <v>400</v>
      </c>
      <c r="C69" s="17" t="s">
        <v>457</v>
      </c>
      <c r="D69" s="13"/>
      <c r="E69" s="70"/>
      <c r="F69" s="14" t="s">
        <v>16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15165</v>
      </c>
      <c r="B70" s="49">
        <v>400</v>
      </c>
      <c r="C70" s="17"/>
      <c r="D70" s="13">
        <v>15219</v>
      </c>
      <c r="E70" s="70">
        <v>400</v>
      </c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15166</v>
      </c>
      <c r="B71" s="49">
        <v>300</v>
      </c>
      <c r="C71" s="17" t="s">
        <v>457</v>
      </c>
      <c r="D71" s="13">
        <v>15220</v>
      </c>
      <c r="E71" s="70">
        <v>500</v>
      </c>
      <c r="F71" s="14" t="s">
        <v>474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15167</v>
      </c>
      <c r="B72" s="49">
        <v>300</v>
      </c>
      <c r="C72" s="17"/>
      <c r="D72" s="13"/>
      <c r="E72" s="70"/>
      <c r="F72" s="14" t="s">
        <v>20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15168</v>
      </c>
      <c r="B73" s="49">
        <v>600</v>
      </c>
      <c r="C73" s="17" t="s">
        <v>435</v>
      </c>
      <c r="D73" s="13">
        <v>15221</v>
      </c>
      <c r="E73" s="70">
        <v>200</v>
      </c>
      <c r="F73" s="14" t="s">
        <v>19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 t="s">
        <v>17</v>
      </c>
      <c r="D74" s="13">
        <v>15222</v>
      </c>
      <c r="E74" s="70">
        <v>800</v>
      </c>
      <c r="F74" s="14" t="s">
        <v>523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15169</v>
      </c>
      <c r="B75" s="49">
        <v>400</v>
      </c>
      <c r="C75" s="17"/>
      <c r="D75" s="13"/>
      <c r="E75" s="70"/>
      <c r="F75" s="14" t="s">
        <v>524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15170</v>
      </c>
      <c r="B76" s="49">
        <v>450</v>
      </c>
      <c r="C76" s="17" t="s">
        <v>505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 t="s">
        <v>506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15171</v>
      </c>
      <c r="B78" s="49">
        <v>750</v>
      </c>
      <c r="C78" s="17" t="s">
        <v>402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20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15172</v>
      </c>
      <c r="B80" s="49">
        <v>250</v>
      </c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61"/>
      <c r="K115" s="71"/>
      <c r="L115" s="62"/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topLeftCell="D1" zoomScale="112" zoomScaleNormal="112" workbookViewId="0">
      <pane ySplit="4" topLeftCell="A32" activePane="bottomLeft" state="frozen"/>
      <selection pane="bottomLeft" activeCell="L48" sqref="L4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 t="s">
        <v>10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x14ac:dyDescent="0.25">
      <c r="A2" s="124" t="s">
        <v>0</v>
      </c>
      <c r="B2" s="124"/>
      <c r="C2" s="124"/>
      <c r="D2" s="125" t="s">
        <v>4</v>
      </c>
      <c r="E2" s="125"/>
      <c r="F2" s="125"/>
      <c r="G2" s="126" t="s">
        <v>5</v>
      </c>
      <c r="H2" s="126"/>
      <c r="I2" s="126"/>
      <c r="J2" s="131" t="s">
        <v>6</v>
      </c>
      <c r="K2" s="131"/>
      <c r="L2" s="131"/>
      <c r="M2" s="119" t="s">
        <v>12</v>
      </c>
      <c r="N2" s="119"/>
      <c r="O2" s="119"/>
      <c r="Q2" s="128" t="s">
        <v>13</v>
      </c>
      <c r="R2" s="128"/>
    </row>
    <row r="3" spans="1:18" x14ac:dyDescent="0.25">
      <c r="A3" s="8">
        <f>SUBTOTAL(3,A5:A118)</f>
        <v>63</v>
      </c>
      <c r="B3" s="8">
        <f>SUBTOTAL(9,B5:B118)</f>
        <v>34875</v>
      </c>
      <c r="C3" s="35">
        <v>43044</v>
      </c>
      <c r="D3" s="8">
        <f>SUBTOTAL(3,D5:D117)</f>
        <v>47</v>
      </c>
      <c r="E3" s="1">
        <f>SUBTOTAL(9,E5:E117)</f>
        <v>25275</v>
      </c>
      <c r="F3" s="38">
        <v>43051</v>
      </c>
      <c r="G3" s="8">
        <f>SUBTOTAL(3,G5:G117)</f>
        <v>28</v>
      </c>
      <c r="H3" s="1">
        <f>SUBTOTAL(9,H5:H117)</f>
        <v>24150</v>
      </c>
      <c r="I3" s="39">
        <v>43058</v>
      </c>
      <c r="J3" s="8">
        <f>SUBTOTAL(3,J5:J107)</f>
        <v>31</v>
      </c>
      <c r="K3" s="1">
        <f>SUBTOTAL(9,K5:K107)</f>
        <v>18600</v>
      </c>
      <c r="L3" s="63">
        <v>43065</v>
      </c>
      <c r="M3" s="1">
        <f>SUBTOTAL(3,M5:M117)</f>
        <v>0</v>
      </c>
      <c r="N3" s="1">
        <f>SUBTOTAL(9,N5:N117)</f>
        <v>0</v>
      </c>
      <c r="O3" s="85"/>
      <c r="Q3" s="30">
        <f>+A3+D3+G3+J3+M3</f>
        <v>169</v>
      </c>
      <c r="R3" s="29">
        <f>+B3+E3+H3+K3+N3</f>
        <v>102900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15302</v>
      </c>
      <c r="B5" s="49"/>
      <c r="C5" s="17" t="s">
        <v>44</v>
      </c>
      <c r="D5" s="13">
        <v>15365</v>
      </c>
      <c r="E5" s="70">
        <v>400</v>
      </c>
      <c r="F5" s="14" t="s">
        <v>474</v>
      </c>
      <c r="G5" s="11">
        <v>15412</v>
      </c>
      <c r="H5" s="67">
        <v>300</v>
      </c>
      <c r="I5" s="12" t="s">
        <v>546</v>
      </c>
      <c r="J5" s="61">
        <v>15440</v>
      </c>
      <c r="K5" s="71">
        <v>250</v>
      </c>
      <c r="L5" s="62" t="s">
        <v>549</v>
      </c>
      <c r="M5" s="75"/>
      <c r="N5" s="73"/>
      <c r="O5" s="15"/>
      <c r="Q5" s="32"/>
      <c r="R5" s="32"/>
    </row>
    <row r="6" spans="1:18" x14ac:dyDescent="0.25">
      <c r="A6" s="16">
        <v>15303</v>
      </c>
      <c r="B6" s="49">
        <v>400</v>
      </c>
      <c r="C6" s="17" t="s">
        <v>255</v>
      </c>
      <c r="D6" s="13"/>
      <c r="E6" s="70"/>
      <c r="F6" s="14" t="s">
        <v>18</v>
      </c>
      <c r="G6" s="11">
        <v>15413</v>
      </c>
      <c r="H6" s="67">
        <v>450</v>
      </c>
      <c r="I6" s="12" t="s">
        <v>551</v>
      </c>
      <c r="J6" s="61"/>
      <c r="K6" s="71"/>
      <c r="L6" s="62"/>
      <c r="M6" s="75"/>
      <c r="N6" s="73"/>
      <c r="O6" s="15"/>
    </row>
    <row r="7" spans="1:18" x14ac:dyDescent="0.25">
      <c r="A7" s="16"/>
      <c r="B7" s="49"/>
      <c r="C7" s="17" t="s">
        <v>18</v>
      </c>
      <c r="D7" s="13">
        <v>15366</v>
      </c>
      <c r="E7" s="70">
        <v>600</v>
      </c>
      <c r="F7" s="14" t="s">
        <v>546</v>
      </c>
      <c r="G7" s="11"/>
      <c r="H7" s="67"/>
      <c r="I7" s="12" t="s">
        <v>78</v>
      </c>
      <c r="J7" s="61">
        <v>15441</v>
      </c>
      <c r="K7" s="71">
        <v>200</v>
      </c>
      <c r="L7" s="62" t="s">
        <v>19</v>
      </c>
      <c r="M7" s="75"/>
      <c r="N7" s="73"/>
      <c r="O7" s="15"/>
    </row>
    <row r="8" spans="1:18" x14ac:dyDescent="0.25">
      <c r="A8" s="16">
        <v>15304</v>
      </c>
      <c r="B8" s="49">
        <v>300</v>
      </c>
      <c r="C8" s="17"/>
      <c r="D8" s="13">
        <v>15367</v>
      </c>
      <c r="E8" s="70">
        <v>250</v>
      </c>
      <c r="F8" s="14" t="s">
        <v>363</v>
      </c>
      <c r="G8" s="11">
        <v>15414</v>
      </c>
      <c r="H8" s="67">
        <v>600</v>
      </c>
      <c r="I8" s="12" t="s">
        <v>474</v>
      </c>
      <c r="J8" s="61">
        <v>15442</v>
      </c>
      <c r="K8" s="71">
        <v>400</v>
      </c>
      <c r="L8" s="62" t="s">
        <v>549</v>
      </c>
      <c r="M8" s="75"/>
      <c r="N8" s="73"/>
      <c r="O8" s="15"/>
    </row>
    <row r="9" spans="1:18" x14ac:dyDescent="0.25">
      <c r="A9" s="16">
        <v>15305</v>
      </c>
      <c r="B9" s="49"/>
      <c r="C9" s="17" t="s">
        <v>44</v>
      </c>
      <c r="D9" s="13">
        <v>15368</v>
      </c>
      <c r="E9" s="70">
        <v>600</v>
      </c>
      <c r="F9" s="14" t="s">
        <v>408</v>
      </c>
      <c r="G9" s="11"/>
      <c r="H9" s="12"/>
      <c r="I9" s="12" t="s">
        <v>556</v>
      </c>
      <c r="J9" s="61">
        <v>15443</v>
      </c>
      <c r="K9" s="71">
        <v>1200</v>
      </c>
      <c r="L9" s="62" t="s">
        <v>505</v>
      </c>
      <c r="M9" s="75"/>
      <c r="N9" s="73"/>
      <c r="O9" s="15"/>
    </row>
    <row r="10" spans="1:18" x14ac:dyDescent="0.25">
      <c r="A10" s="16">
        <v>15306</v>
      </c>
      <c r="B10" s="49">
        <v>600</v>
      </c>
      <c r="C10" s="17" t="s">
        <v>548</v>
      </c>
      <c r="D10" s="13"/>
      <c r="E10" s="70"/>
      <c r="F10" s="14" t="s">
        <v>18</v>
      </c>
      <c r="G10" s="11">
        <v>15415</v>
      </c>
      <c r="H10" s="67">
        <v>400</v>
      </c>
      <c r="I10" s="12" t="s">
        <v>457</v>
      </c>
      <c r="J10" s="61"/>
      <c r="K10" s="71"/>
      <c r="L10" s="62" t="s">
        <v>16</v>
      </c>
      <c r="M10" s="75"/>
      <c r="N10" s="73"/>
      <c r="O10" s="15"/>
    </row>
    <row r="11" spans="1:18" x14ac:dyDescent="0.25">
      <c r="A11" s="16"/>
      <c r="B11" s="49"/>
      <c r="C11" s="17" t="s">
        <v>78</v>
      </c>
      <c r="D11" s="13">
        <v>15369</v>
      </c>
      <c r="E11" s="70">
        <v>800</v>
      </c>
      <c r="F11" s="14" t="s">
        <v>255</v>
      </c>
      <c r="G11" s="11">
        <v>15416</v>
      </c>
      <c r="H11" s="67">
        <v>400</v>
      </c>
      <c r="I11" s="12"/>
      <c r="J11" s="61">
        <v>15444</v>
      </c>
      <c r="K11" s="71">
        <v>800</v>
      </c>
      <c r="L11" s="62" t="s">
        <v>542</v>
      </c>
      <c r="M11" s="75"/>
      <c r="N11" s="73"/>
      <c r="O11" s="31"/>
    </row>
    <row r="12" spans="1:18" x14ac:dyDescent="0.25">
      <c r="A12" s="16">
        <v>15307</v>
      </c>
      <c r="B12" s="49">
        <v>650</v>
      </c>
      <c r="C12" s="17" t="s">
        <v>255</v>
      </c>
      <c r="D12" s="13"/>
      <c r="E12" s="70"/>
      <c r="F12" s="104" t="s">
        <v>16</v>
      </c>
      <c r="G12" s="11">
        <v>15417</v>
      </c>
      <c r="H12" s="67">
        <v>800</v>
      </c>
      <c r="I12" s="12" t="s">
        <v>542</v>
      </c>
      <c r="J12" s="61"/>
      <c r="K12" s="71"/>
      <c r="L12" s="62" t="s">
        <v>16</v>
      </c>
      <c r="M12" s="75"/>
      <c r="N12" s="73"/>
      <c r="O12" s="15"/>
    </row>
    <row r="13" spans="1:18" x14ac:dyDescent="0.25">
      <c r="A13" s="16"/>
      <c r="B13" s="49"/>
      <c r="C13" s="17" t="s">
        <v>580</v>
      </c>
      <c r="D13" s="13">
        <v>15370</v>
      </c>
      <c r="E13" s="70">
        <v>400</v>
      </c>
      <c r="F13" s="14" t="s">
        <v>546</v>
      </c>
      <c r="G13" s="11"/>
      <c r="H13" s="67"/>
      <c r="I13" s="12" t="s">
        <v>16</v>
      </c>
      <c r="J13" s="61">
        <v>15445</v>
      </c>
      <c r="K13" s="71">
        <v>500</v>
      </c>
      <c r="L13" s="62" t="s">
        <v>542</v>
      </c>
      <c r="M13" s="75"/>
      <c r="N13" s="73"/>
      <c r="O13" s="15"/>
    </row>
    <row r="14" spans="1:18" x14ac:dyDescent="0.25">
      <c r="A14" s="16">
        <v>15308</v>
      </c>
      <c r="B14" s="49">
        <v>400</v>
      </c>
      <c r="C14" s="17"/>
      <c r="D14" s="13">
        <v>15371</v>
      </c>
      <c r="E14" s="70">
        <v>200</v>
      </c>
      <c r="F14" s="14"/>
      <c r="G14" s="11">
        <v>15418</v>
      </c>
      <c r="H14" s="67">
        <v>400</v>
      </c>
      <c r="I14" s="12"/>
      <c r="J14" s="61"/>
      <c r="K14" s="71"/>
      <c r="L14" s="62" t="s">
        <v>20</v>
      </c>
      <c r="M14" s="75"/>
      <c r="N14" s="73"/>
      <c r="O14" s="15"/>
    </row>
    <row r="15" spans="1:18" x14ac:dyDescent="0.25">
      <c r="A15" s="16">
        <v>15309</v>
      </c>
      <c r="B15" s="49">
        <v>250</v>
      </c>
      <c r="C15" s="17"/>
      <c r="D15" s="13">
        <v>15372</v>
      </c>
      <c r="E15" s="70">
        <v>500</v>
      </c>
      <c r="F15" s="33" t="s">
        <v>547</v>
      </c>
      <c r="G15" s="11">
        <v>15419</v>
      </c>
      <c r="H15" s="67">
        <v>200</v>
      </c>
      <c r="I15" s="12"/>
      <c r="J15" s="61">
        <v>15446</v>
      </c>
      <c r="K15" s="71">
        <v>400</v>
      </c>
      <c r="L15" s="62" t="s">
        <v>546</v>
      </c>
      <c r="M15" s="75"/>
      <c r="N15" s="73"/>
      <c r="O15" s="15"/>
    </row>
    <row r="16" spans="1:18" x14ac:dyDescent="0.25">
      <c r="A16" s="16">
        <v>15310</v>
      </c>
      <c r="B16" s="49">
        <v>800</v>
      </c>
      <c r="C16" s="17" t="s">
        <v>255</v>
      </c>
      <c r="D16" s="13">
        <v>15373</v>
      </c>
      <c r="E16" s="70">
        <v>400</v>
      </c>
      <c r="F16" s="14" t="s">
        <v>546</v>
      </c>
      <c r="G16" s="11">
        <v>15420</v>
      </c>
      <c r="H16" s="67">
        <v>200</v>
      </c>
      <c r="I16" s="12"/>
      <c r="J16" s="61">
        <v>15447</v>
      </c>
      <c r="K16" s="71">
        <v>400</v>
      </c>
      <c r="L16" s="62" t="s">
        <v>474</v>
      </c>
      <c r="M16" s="75"/>
      <c r="N16" s="73"/>
      <c r="O16" s="15"/>
    </row>
    <row r="17" spans="1:15" x14ac:dyDescent="0.25">
      <c r="A17" s="16"/>
      <c r="B17" s="49"/>
      <c r="C17" s="17" t="s">
        <v>16</v>
      </c>
      <c r="D17" s="13">
        <v>15374</v>
      </c>
      <c r="E17" s="70">
        <v>400</v>
      </c>
      <c r="F17" s="14"/>
      <c r="G17" s="11">
        <v>15421</v>
      </c>
      <c r="H17" s="67">
        <v>250</v>
      </c>
      <c r="I17" s="12" t="s">
        <v>557</v>
      </c>
      <c r="J17" s="61"/>
      <c r="K17" s="71"/>
      <c r="L17" s="62" t="s">
        <v>18</v>
      </c>
      <c r="M17" s="75"/>
      <c r="N17" s="73"/>
      <c r="O17" s="15"/>
    </row>
    <row r="18" spans="1:15" x14ac:dyDescent="0.25">
      <c r="A18" s="16">
        <v>15311</v>
      </c>
      <c r="B18" s="49">
        <v>1250</v>
      </c>
      <c r="C18" s="17" t="s">
        <v>551</v>
      </c>
      <c r="D18" s="13">
        <v>15375</v>
      </c>
      <c r="E18" s="70">
        <v>200</v>
      </c>
      <c r="F18" s="14" t="s">
        <v>278</v>
      </c>
      <c r="G18" s="11">
        <v>15422</v>
      </c>
      <c r="H18" s="67">
        <v>400</v>
      </c>
      <c r="I18" s="12"/>
      <c r="J18" s="61">
        <v>15448</v>
      </c>
      <c r="K18" s="71">
        <v>200</v>
      </c>
      <c r="L18" s="62" t="s">
        <v>546</v>
      </c>
      <c r="M18" s="75"/>
      <c r="N18" s="73"/>
      <c r="O18" s="15"/>
    </row>
    <row r="19" spans="1:15" x14ac:dyDescent="0.25">
      <c r="A19" s="16"/>
      <c r="B19" s="49"/>
      <c r="C19" s="17" t="s">
        <v>139</v>
      </c>
      <c r="D19" s="13">
        <v>15376</v>
      </c>
      <c r="E19" s="70">
        <v>400</v>
      </c>
      <c r="F19" s="14"/>
      <c r="G19" s="11">
        <v>15423</v>
      </c>
      <c r="H19" s="67">
        <v>500</v>
      </c>
      <c r="I19" s="12" t="s">
        <v>535</v>
      </c>
      <c r="J19" s="61">
        <v>15449</v>
      </c>
      <c r="K19" s="71">
        <v>400</v>
      </c>
      <c r="L19" s="62" t="s">
        <v>546</v>
      </c>
      <c r="M19" s="75"/>
      <c r="N19" s="73"/>
      <c r="O19" s="15"/>
    </row>
    <row r="20" spans="1:15" x14ac:dyDescent="0.25">
      <c r="A20" s="16">
        <v>15312</v>
      </c>
      <c r="B20" s="49">
        <v>200</v>
      </c>
      <c r="C20" s="17" t="s">
        <v>19</v>
      </c>
      <c r="D20" s="13">
        <v>15377</v>
      </c>
      <c r="E20" s="70">
        <v>800</v>
      </c>
      <c r="F20" s="14" t="s">
        <v>474</v>
      </c>
      <c r="G20" s="11"/>
      <c r="H20" s="67"/>
      <c r="I20" s="12" t="s">
        <v>558</v>
      </c>
      <c r="J20" s="61">
        <v>15450</v>
      </c>
      <c r="K20" s="71">
        <v>1200</v>
      </c>
      <c r="L20" s="62" t="s">
        <v>505</v>
      </c>
      <c r="M20" s="75"/>
      <c r="N20" s="73"/>
      <c r="O20" s="15"/>
    </row>
    <row r="21" spans="1:15" x14ac:dyDescent="0.25">
      <c r="A21" s="16">
        <v>15313</v>
      </c>
      <c r="B21" s="49">
        <v>600</v>
      </c>
      <c r="C21" s="17" t="s">
        <v>551</v>
      </c>
      <c r="D21" s="13"/>
      <c r="E21" s="70"/>
      <c r="F21" s="14" t="s">
        <v>16</v>
      </c>
      <c r="G21" s="11">
        <v>15424</v>
      </c>
      <c r="H21" s="67">
        <v>800</v>
      </c>
      <c r="I21" s="12" t="s">
        <v>255</v>
      </c>
      <c r="J21" s="61"/>
      <c r="K21" s="71"/>
      <c r="L21" s="62" t="s">
        <v>16</v>
      </c>
      <c r="M21" s="75"/>
      <c r="N21" s="73"/>
      <c r="O21" s="15"/>
    </row>
    <row r="22" spans="1:15" x14ac:dyDescent="0.25">
      <c r="A22" s="16"/>
      <c r="B22" s="49"/>
      <c r="C22" s="17" t="s">
        <v>18</v>
      </c>
      <c r="D22" s="13">
        <v>15378</v>
      </c>
      <c r="E22" s="70">
        <v>400</v>
      </c>
      <c r="F22" s="14"/>
      <c r="G22" s="11"/>
      <c r="H22" s="67"/>
      <c r="I22" s="12" t="s">
        <v>16</v>
      </c>
      <c r="J22" s="61">
        <v>15451</v>
      </c>
      <c r="K22" s="71">
        <v>1200</v>
      </c>
      <c r="L22" s="62" t="s">
        <v>551</v>
      </c>
      <c r="M22" s="75"/>
      <c r="N22" s="73"/>
      <c r="O22" s="15"/>
    </row>
    <row r="23" spans="1:15" x14ac:dyDescent="0.25">
      <c r="A23" s="16">
        <v>15314</v>
      </c>
      <c r="B23" s="49">
        <v>400</v>
      </c>
      <c r="C23" s="17"/>
      <c r="D23" s="13">
        <v>15379</v>
      </c>
      <c r="E23" s="70">
        <v>1600</v>
      </c>
      <c r="F23" s="14" t="s">
        <v>548</v>
      </c>
      <c r="G23" s="11">
        <v>15425</v>
      </c>
      <c r="H23" s="67">
        <v>2200</v>
      </c>
      <c r="I23" s="12" t="s">
        <v>559</v>
      </c>
      <c r="J23" s="61"/>
      <c r="K23" s="71"/>
      <c r="L23" s="62" t="s">
        <v>16</v>
      </c>
      <c r="M23" s="75"/>
      <c r="N23" s="73"/>
      <c r="O23" s="15"/>
    </row>
    <row r="24" spans="1:15" x14ac:dyDescent="0.25">
      <c r="A24" s="16">
        <v>15315</v>
      </c>
      <c r="B24" s="49">
        <v>400</v>
      </c>
      <c r="C24" s="17"/>
      <c r="D24" s="13"/>
      <c r="E24" s="70"/>
      <c r="F24" s="14" t="s">
        <v>16</v>
      </c>
      <c r="G24" s="11"/>
      <c r="H24" s="67"/>
      <c r="I24" s="12" t="s">
        <v>560</v>
      </c>
      <c r="J24" s="61">
        <v>15452</v>
      </c>
      <c r="K24" s="71">
        <v>200</v>
      </c>
      <c r="L24" s="62" t="s">
        <v>549</v>
      </c>
      <c r="M24" s="75"/>
      <c r="N24" s="73"/>
      <c r="O24" s="31"/>
    </row>
    <row r="25" spans="1:15" x14ac:dyDescent="0.25">
      <c r="A25" s="16">
        <v>15316</v>
      </c>
      <c r="B25" s="49">
        <v>400</v>
      </c>
      <c r="C25" s="17"/>
      <c r="D25" s="13">
        <v>15380</v>
      </c>
      <c r="E25" s="70">
        <v>400</v>
      </c>
      <c r="F25" s="14" t="s">
        <v>549</v>
      </c>
      <c r="G25" s="11">
        <v>15426</v>
      </c>
      <c r="H25" s="67">
        <v>400</v>
      </c>
      <c r="I25" s="12" t="s">
        <v>546</v>
      </c>
      <c r="J25" s="61">
        <v>15453</v>
      </c>
      <c r="K25" s="71">
        <v>250</v>
      </c>
      <c r="L25" s="62"/>
      <c r="M25" s="75"/>
      <c r="N25" s="73"/>
      <c r="O25" s="15"/>
    </row>
    <row r="26" spans="1:15" x14ac:dyDescent="0.25">
      <c r="A26" s="16">
        <v>15317</v>
      </c>
      <c r="B26" s="49">
        <v>2000</v>
      </c>
      <c r="C26" s="17" t="s">
        <v>581</v>
      </c>
      <c r="D26" s="13">
        <v>15381</v>
      </c>
      <c r="E26" s="70">
        <v>200</v>
      </c>
      <c r="F26" s="14"/>
      <c r="G26" s="11">
        <v>15427</v>
      </c>
      <c r="H26" s="67">
        <v>4400</v>
      </c>
      <c r="I26" s="12" t="s">
        <v>561</v>
      </c>
      <c r="J26" s="61">
        <v>15454</v>
      </c>
      <c r="K26" s="71">
        <v>400</v>
      </c>
      <c r="L26" s="62"/>
      <c r="M26" s="75"/>
      <c r="N26" s="73"/>
      <c r="O26" s="15"/>
    </row>
    <row r="27" spans="1:15" x14ac:dyDescent="0.25">
      <c r="A27" s="16"/>
      <c r="B27" s="49"/>
      <c r="C27" s="17" t="s">
        <v>16</v>
      </c>
      <c r="D27" s="13">
        <v>15382</v>
      </c>
      <c r="E27" s="70">
        <v>200</v>
      </c>
      <c r="F27" s="14" t="s">
        <v>363</v>
      </c>
      <c r="G27" s="11"/>
      <c r="H27" s="67"/>
      <c r="I27" s="12" t="s">
        <v>562</v>
      </c>
      <c r="J27" s="61">
        <v>15455</v>
      </c>
      <c r="K27" s="71">
        <v>800</v>
      </c>
      <c r="L27" s="62" t="s">
        <v>357</v>
      </c>
      <c r="M27" s="75"/>
      <c r="N27" s="73"/>
      <c r="O27" s="15"/>
    </row>
    <row r="28" spans="1:15" x14ac:dyDescent="0.25">
      <c r="A28" s="16">
        <v>15318</v>
      </c>
      <c r="B28" s="49">
        <v>400</v>
      </c>
      <c r="C28" s="17" t="s">
        <v>255</v>
      </c>
      <c r="D28" s="13">
        <v>15383</v>
      </c>
      <c r="E28" s="70">
        <v>400</v>
      </c>
      <c r="F28" s="14" t="s">
        <v>542</v>
      </c>
      <c r="G28" s="11">
        <v>15428</v>
      </c>
      <c r="H28" s="67">
        <v>400</v>
      </c>
      <c r="I28" s="12"/>
      <c r="J28" s="61"/>
      <c r="K28" s="71"/>
      <c r="L28" s="62" t="s">
        <v>16</v>
      </c>
      <c r="M28" s="75"/>
      <c r="N28" s="73"/>
      <c r="O28" s="15"/>
    </row>
    <row r="29" spans="1:15" x14ac:dyDescent="0.25">
      <c r="A29" s="16"/>
      <c r="B29" s="49"/>
      <c r="C29" s="17" t="s">
        <v>18</v>
      </c>
      <c r="D29" s="13"/>
      <c r="E29" s="70"/>
      <c r="F29" s="14" t="s">
        <v>18</v>
      </c>
      <c r="G29" s="11">
        <v>15429</v>
      </c>
      <c r="H29" s="67">
        <v>900</v>
      </c>
      <c r="I29" s="12" t="s">
        <v>474</v>
      </c>
      <c r="J29" s="61">
        <v>15456</v>
      </c>
      <c r="K29" s="71">
        <v>400</v>
      </c>
      <c r="L29" s="62"/>
      <c r="M29" s="75"/>
      <c r="N29" s="73"/>
      <c r="O29" s="15"/>
    </row>
    <row r="30" spans="1:15" x14ac:dyDescent="0.25">
      <c r="A30" s="16">
        <v>15319</v>
      </c>
      <c r="B30" s="49">
        <v>1200</v>
      </c>
      <c r="C30" s="17" t="s">
        <v>402</v>
      </c>
      <c r="D30" s="13">
        <v>15384</v>
      </c>
      <c r="E30" s="70">
        <v>400</v>
      </c>
      <c r="F30" s="14"/>
      <c r="G30" s="11"/>
      <c r="H30" s="67"/>
      <c r="I30" s="12" t="s">
        <v>563</v>
      </c>
      <c r="J30" s="61">
        <v>15457</v>
      </c>
      <c r="K30" s="71">
        <v>600</v>
      </c>
      <c r="L30" s="62" t="s">
        <v>542</v>
      </c>
      <c r="M30" s="75"/>
      <c r="N30" s="73"/>
      <c r="O30" s="15"/>
    </row>
    <row r="31" spans="1:15" x14ac:dyDescent="0.25">
      <c r="A31" s="16"/>
      <c r="B31" s="49"/>
      <c r="C31" s="17" t="s">
        <v>16</v>
      </c>
      <c r="D31" s="13">
        <v>15385</v>
      </c>
      <c r="E31" s="70">
        <v>400</v>
      </c>
      <c r="F31" s="14"/>
      <c r="G31" s="11"/>
      <c r="H31" s="67"/>
      <c r="I31" s="12" t="s">
        <v>564</v>
      </c>
      <c r="J31" s="61"/>
      <c r="K31" s="71"/>
      <c r="L31" s="62" t="s">
        <v>17</v>
      </c>
      <c r="M31" s="75"/>
      <c r="N31" s="73"/>
      <c r="O31" s="31"/>
    </row>
    <row r="32" spans="1:15" x14ac:dyDescent="0.25">
      <c r="A32" s="16">
        <v>15320</v>
      </c>
      <c r="B32" s="49">
        <v>300</v>
      </c>
      <c r="C32" s="17" t="s">
        <v>546</v>
      </c>
      <c r="D32" s="13">
        <v>15386</v>
      </c>
      <c r="E32" s="70">
        <v>400</v>
      </c>
      <c r="F32" s="14"/>
      <c r="G32" s="11">
        <v>15430</v>
      </c>
      <c r="H32" s="67">
        <v>4400</v>
      </c>
      <c r="I32" s="12" t="s">
        <v>561</v>
      </c>
      <c r="J32" s="61">
        <v>15458</v>
      </c>
      <c r="K32" s="71">
        <v>400</v>
      </c>
      <c r="L32" s="62" t="s">
        <v>549</v>
      </c>
      <c r="M32" s="75"/>
      <c r="N32" s="73"/>
      <c r="O32" s="15"/>
    </row>
    <row r="33" spans="1:15" x14ac:dyDescent="0.25">
      <c r="A33" s="16">
        <v>15321</v>
      </c>
      <c r="B33" s="49">
        <v>400</v>
      </c>
      <c r="C33" s="17"/>
      <c r="D33" s="13">
        <v>15387</v>
      </c>
      <c r="E33" s="70">
        <v>350</v>
      </c>
      <c r="F33" s="14"/>
      <c r="G33" s="11"/>
      <c r="H33" s="67"/>
      <c r="I33" s="12" t="s">
        <v>562</v>
      </c>
      <c r="J33" s="61">
        <v>15459</v>
      </c>
      <c r="K33" s="71">
        <v>600</v>
      </c>
      <c r="L33" s="62" t="s">
        <v>565</v>
      </c>
      <c r="M33" s="75"/>
      <c r="N33" s="73"/>
      <c r="O33" s="15"/>
    </row>
    <row r="34" spans="1:15" x14ac:dyDescent="0.25">
      <c r="A34" s="16">
        <v>15322</v>
      </c>
      <c r="B34" s="49">
        <v>800</v>
      </c>
      <c r="C34" s="17" t="s">
        <v>582</v>
      </c>
      <c r="D34" s="13">
        <v>15388</v>
      </c>
      <c r="E34" s="70">
        <v>400</v>
      </c>
      <c r="F34" s="14" t="s">
        <v>457</v>
      </c>
      <c r="G34" s="11">
        <v>15431</v>
      </c>
      <c r="H34" s="67">
        <v>400</v>
      </c>
      <c r="I34" s="12"/>
      <c r="J34" s="61"/>
      <c r="K34" s="71"/>
      <c r="L34" s="62" t="s">
        <v>17</v>
      </c>
      <c r="M34" s="75"/>
      <c r="N34" s="73"/>
      <c r="O34" s="15"/>
    </row>
    <row r="35" spans="1:15" x14ac:dyDescent="0.25">
      <c r="A35" s="16"/>
      <c r="B35" s="49"/>
      <c r="C35" s="17" t="s">
        <v>206</v>
      </c>
      <c r="D35" s="13">
        <v>15389</v>
      </c>
      <c r="E35" s="70">
        <v>800</v>
      </c>
      <c r="F35" s="14" t="s">
        <v>542</v>
      </c>
      <c r="G35" s="11">
        <v>15432</v>
      </c>
      <c r="H35" s="67">
        <v>800</v>
      </c>
      <c r="I35" s="12" t="s">
        <v>435</v>
      </c>
      <c r="J35" s="61">
        <v>15460</v>
      </c>
      <c r="K35" s="71">
        <v>400</v>
      </c>
      <c r="L35" s="62"/>
      <c r="M35" s="75"/>
      <c r="N35" s="73"/>
      <c r="O35" s="15"/>
    </row>
    <row r="36" spans="1:15" x14ac:dyDescent="0.25">
      <c r="A36" s="16">
        <v>15323</v>
      </c>
      <c r="B36" s="49">
        <v>400</v>
      </c>
      <c r="C36" s="17"/>
      <c r="D36" s="13"/>
      <c r="E36" s="70"/>
      <c r="F36" s="14" t="s">
        <v>16</v>
      </c>
      <c r="G36" s="11"/>
      <c r="H36" s="67"/>
      <c r="I36" s="12" t="s">
        <v>16</v>
      </c>
      <c r="J36" s="61">
        <v>15461</v>
      </c>
      <c r="K36" s="71">
        <v>400</v>
      </c>
      <c r="L36" s="62" t="s">
        <v>549</v>
      </c>
      <c r="M36" s="75"/>
      <c r="N36" s="73"/>
      <c r="O36" s="15"/>
    </row>
    <row r="37" spans="1:15" x14ac:dyDescent="0.25">
      <c r="A37" s="16">
        <v>15324</v>
      </c>
      <c r="B37" s="49">
        <v>125</v>
      </c>
      <c r="C37" s="17"/>
      <c r="D37" s="13">
        <v>15390</v>
      </c>
      <c r="E37" s="70">
        <v>400</v>
      </c>
      <c r="F37" s="14"/>
      <c r="G37" s="11">
        <v>15433</v>
      </c>
      <c r="H37" s="67">
        <v>1600</v>
      </c>
      <c r="I37" s="12" t="s">
        <v>548</v>
      </c>
      <c r="J37" s="61">
        <v>15462</v>
      </c>
      <c r="K37" s="71"/>
      <c r="L37" s="62" t="s">
        <v>44</v>
      </c>
      <c r="M37" s="75"/>
      <c r="N37" s="73"/>
      <c r="O37" s="15"/>
    </row>
    <row r="38" spans="1:15" x14ac:dyDescent="0.25">
      <c r="A38" s="16">
        <v>15325</v>
      </c>
      <c r="B38" s="49">
        <v>400</v>
      </c>
      <c r="C38" s="17"/>
      <c r="D38" s="13">
        <v>15391</v>
      </c>
      <c r="E38" s="70">
        <v>600</v>
      </c>
      <c r="F38" s="14" t="s">
        <v>255</v>
      </c>
      <c r="G38" s="11"/>
      <c r="H38" s="67"/>
      <c r="I38" s="12" t="s">
        <v>16</v>
      </c>
      <c r="J38" s="61">
        <v>15463</v>
      </c>
      <c r="K38" s="71">
        <v>400</v>
      </c>
      <c r="L38" s="62"/>
      <c r="M38" s="75"/>
      <c r="N38" s="73"/>
      <c r="O38" s="15"/>
    </row>
    <row r="39" spans="1:15" x14ac:dyDescent="0.25">
      <c r="A39" s="16">
        <v>15326</v>
      </c>
      <c r="B39" s="49">
        <v>800</v>
      </c>
      <c r="C39" s="17" t="s">
        <v>582</v>
      </c>
      <c r="D39" s="13"/>
      <c r="E39" s="70"/>
      <c r="F39" s="14" t="s">
        <v>17</v>
      </c>
      <c r="G39" s="11">
        <v>15434</v>
      </c>
      <c r="H39" s="67">
        <v>400</v>
      </c>
      <c r="I39" s="12" t="s">
        <v>435</v>
      </c>
      <c r="J39" s="61">
        <v>15464</v>
      </c>
      <c r="K39" s="71">
        <v>400</v>
      </c>
      <c r="L39" s="62"/>
      <c r="M39" s="75"/>
      <c r="N39" s="73"/>
      <c r="O39" s="15"/>
    </row>
    <row r="40" spans="1:15" x14ac:dyDescent="0.25">
      <c r="A40" s="16"/>
      <c r="B40" s="49"/>
      <c r="C40" s="17" t="s">
        <v>206</v>
      </c>
      <c r="D40" s="13">
        <v>15392</v>
      </c>
      <c r="E40" s="70">
        <v>400</v>
      </c>
      <c r="F40" s="14"/>
      <c r="G40" s="11"/>
      <c r="H40" s="67"/>
      <c r="I40" s="12" t="s">
        <v>18</v>
      </c>
      <c r="J40" s="61">
        <v>15465</v>
      </c>
      <c r="K40" s="71">
        <v>200</v>
      </c>
      <c r="L40" s="62" t="s">
        <v>19</v>
      </c>
      <c r="M40" s="75"/>
      <c r="N40" s="73"/>
      <c r="O40" s="15"/>
    </row>
    <row r="41" spans="1:15" x14ac:dyDescent="0.25">
      <c r="A41" s="16">
        <v>15327</v>
      </c>
      <c r="B41" s="49">
        <v>400</v>
      </c>
      <c r="C41" s="17" t="s">
        <v>457</v>
      </c>
      <c r="D41" s="13">
        <v>15393</v>
      </c>
      <c r="E41" s="70">
        <v>200</v>
      </c>
      <c r="F41" s="14"/>
      <c r="G41" s="11">
        <v>15435</v>
      </c>
      <c r="H41" s="67">
        <v>200</v>
      </c>
      <c r="I41" s="12" t="s">
        <v>19</v>
      </c>
      <c r="J41" s="61">
        <v>15466</v>
      </c>
      <c r="K41" s="71">
        <v>600</v>
      </c>
      <c r="L41" s="62" t="s">
        <v>589</v>
      </c>
      <c r="M41" s="75"/>
      <c r="N41" s="73"/>
      <c r="O41" s="15"/>
    </row>
    <row r="42" spans="1:15" x14ac:dyDescent="0.25">
      <c r="A42" s="16">
        <v>15328</v>
      </c>
      <c r="B42" s="49">
        <v>200</v>
      </c>
      <c r="C42" s="17"/>
      <c r="D42" s="13">
        <v>15394</v>
      </c>
      <c r="E42" s="70">
        <v>400</v>
      </c>
      <c r="F42" s="14"/>
      <c r="G42" s="11">
        <v>15436</v>
      </c>
      <c r="H42" s="67">
        <v>150</v>
      </c>
      <c r="I42" s="12" t="s">
        <v>549</v>
      </c>
      <c r="J42" s="61"/>
      <c r="K42" s="71"/>
      <c r="L42" s="62" t="s">
        <v>224</v>
      </c>
      <c r="M42" s="75"/>
      <c r="N42" s="73"/>
      <c r="O42" s="15"/>
    </row>
    <row r="43" spans="1:15" x14ac:dyDescent="0.25">
      <c r="A43" s="16">
        <v>15329</v>
      </c>
      <c r="B43" s="49">
        <v>400</v>
      </c>
      <c r="C43" s="17"/>
      <c r="D43" s="13">
        <v>15395</v>
      </c>
      <c r="E43" s="70">
        <v>25</v>
      </c>
      <c r="F43" s="14" t="s">
        <v>550</v>
      </c>
      <c r="G43" s="11">
        <v>15437</v>
      </c>
      <c r="H43" s="67">
        <v>400</v>
      </c>
      <c r="I43" s="12" t="s">
        <v>542</v>
      </c>
      <c r="J43" s="61">
        <v>15467</v>
      </c>
      <c r="K43" s="71">
        <v>400</v>
      </c>
      <c r="L43" s="62"/>
      <c r="M43" s="75"/>
      <c r="N43" s="73"/>
      <c r="O43" s="15"/>
    </row>
    <row r="44" spans="1:15" x14ac:dyDescent="0.25">
      <c r="A44" s="16">
        <v>15330</v>
      </c>
      <c r="B44" s="49">
        <v>400</v>
      </c>
      <c r="C44" s="17"/>
      <c r="D44" s="13">
        <v>15396</v>
      </c>
      <c r="E44" s="70">
        <v>400</v>
      </c>
      <c r="F44" s="14"/>
      <c r="G44" s="11"/>
      <c r="H44" s="67"/>
      <c r="I44" s="12" t="s">
        <v>18</v>
      </c>
      <c r="J44" s="61">
        <v>15468</v>
      </c>
      <c r="K44" s="71">
        <v>4400</v>
      </c>
      <c r="L44" s="62" t="s">
        <v>561</v>
      </c>
      <c r="M44" s="75"/>
      <c r="N44" s="73"/>
      <c r="O44" s="15"/>
    </row>
    <row r="45" spans="1:15" x14ac:dyDescent="0.25">
      <c r="A45" s="16">
        <v>15331</v>
      </c>
      <c r="B45" s="49">
        <v>400</v>
      </c>
      <c r="C45" s="17" t="s">
        <v>457</v>
      </c>
      <c r="D45" s="13">
        <v>15397</v>
      </c>
      <c r="E45" s="70">
        <v>750</v>
      </c>
      <c r="F45" s="14" t="s">
        <v>551</v>
      </c>
      <c r="G45" s="11">
        <v>15438</v>
      </c>
      <c r="H45" s="67">
        <v>1200</v>
      </c>
      <c r="I45" s="12" t="s">
        <v>408</v>
      </c>
      <c r="J45" s="61"/>
      <c r="K45" s="71"/>
      <c r="L45" s="62" t="s">
        <v>220</v>
      </c>
      <c r="M45" s="75"/>
      <c r="N45" s="73"/>
      <c r="O45" s="15"/>
    </row>
    <row r="46" spans="1:15" x14ac:dyDescent="0.25">
      <c r="A46" s="16">
        <v>15332</v>
      </c>
      <c r="B46" s="49">
        <v>400</v>
      </c>
      <c r="C46" s="17"/>
      <c r="D46" s="13"/>
      <c r="E46" s="70"/>
      <c r="F46" s="14" t="s">
        <v>20</v>
      </c>
      <c r="G46" s="11"/>
      <c r="H46" s="67"/>
      <c r="I46" s="12" t="s">
        <v>16</v>
      </c>
      <c r="J46" s="61">
        <v>15469</v>
      </c>
      <c r="K46" s="71">
        <v>300</v>
      </c>
      <c r="L46" s="62" t="s">
        <v>546</v>
      </c>
      <c r="M46" s="75"/>
      <c r="N46" s="73"/>
      <c r="O46" s="15"/>
    </row>
    <row r="47" spans="1:15" x14ac:dyDescent="0.25">
      <c r="A47" s="16">
        <v>15333</v>
      </c>
      <c r="B47" s="49">
        <v>1250</v>
      </c>
      <c r="C47" s="17" t="s">
        <v>583</v>
      </c>
      <c r="D47" s="13">
        <v>15398</v>
      </c>
      <c r="E47" s="70">
        <v>800</v>
      </c>
      <c r="F47" s="14" t="s">
        <v>542</v>
      </c>
      <c r="G47" s="11">
        <v>15439</v>
      </c>
      <c r="H47" s="67">
        <v>600</v>
      </c>
      <c r="I47" s="12" t="s">
        <v>255</v>
      </c>
      <c r="J47" s="61">
        <v>15470</v>
      </c>
      <c r="K47" s="71">
        <v>300</v>
      </c>
      <c r="L47" s="62" t="s">
        <v>535</v>
      </c>
      <c r="M47" s="75"/>
      <c r="N47" s="73"/>
      <c r="O47" s="15"/>
    </row>
    <row r="48" spans="1:15" x14ac:dyDescent="0.25">
      <c r="A48" s="16"/>
      <c r="B48" s="49"/>
      <c r="C48" s="17" t="s">
        <v>20</v>
      </c>
      <c r="D48" s="13"/>
      <c r="E48" s="70"/>
      <c r="F48" s="14" t="s">
        <v>16</v>
      </c>
      <c r="G48" s="11"/>
      <c r="H48" s="67"/>
      <c r="I48" s="12" t="s">
        <v>17</v>
      </c>
      <c r="J48" s="61"/>
      <c r="K48" s="71"/>
      <c r="L48" s="62"/>
      <c r="M48" s="75"/>
      <c r="N48" s="73"/>
      <c r="O48" s="15"/>
    </row>
    <row r="49" spans="1:15" x14ac:dyDescent="0.25">
      <c r="A49" s="16">
        <v>15334</v>
      </c>
      <c r="B49" s="49">
        <v>1200</v>
      </c>
      <c r="C49" s="17" t="s">
        <v>551</v>
      </c>
      <c r="D49" s="13">
        <v>15399</v>
      </c>
      <c r="E49" s="70">
        <v>800</v>
      </c>
      <c r="F49" s="14" t="s">
        <v>255</v>
      </c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/>
      <c r="B50" s="49"/>
      <c r="C50" s="17" t="s">
        <v>16</v>
      </c>
      <c r="D50" s="13"/>
      <c r="E50" s="70"/>
      <c r="F50" s="14" t="s">
        <v>16</v>
      </c>
      <c r="G50" s="11"/>
      <c r="H50" s="67"/>
      <c r="I50" s="12"/>
      <c r="J50" s="61"/>
      <c r="K50" s="71"/>
      <c r="L50" s="68"/>
      <c r="M50" s="75"/>
      <c r="N50" s="73"/>
      <c r="O50" s="15"/>
    </row>
    <row r="51" spans="1:15" x14ac:dyDescent="0.25">
      <c r="A51" s="16">
        <v>15335</v>
      </c>
      <c r="B51" s="49">
        <v>300</v>
      </c>
      <c r="C51" s="17"/>
      <c r="D51" s="13">
        <v>15400</v>
      </c>
      <c r="E51" s="70">
        <v>400</v>
      </c>
      <c r="F51" s="14" t="s">
        <v>546</v>
      </c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>
        <v>15336</v>
      </c>
      <c r="B52" s="49">
        <v>400</v>
      </c>
      <c r="C52" s="17" t="s">
        <v>546</v>
      </c>
      <c r="D52" s="13">
        <v>15401</v>
      </c>
      <c r="E52" s="70">
        <v>1200</v>
      </c>
      <c r="F52" s="14" t="s">
        <v>505</v>
      </c>
      <c r="G52" s="11"/>
      <c r="H52" s="67"/>
      <c r="I52" s="12"/>
      <c r="J52" s="61"/>
      <c r="K52" s="71"/>
      <c r="L52" s="62"/>
      <c r="M52" s="75"/>
      <c r="N52" s="73"/>
      <c r="O52" s="15"/>
    </row>
    <row r="53" spans="1:15" x14ac:dyDescent="0.25">
      <c r="A53" s="16">
        <v>15337</v>
      </c>
      <c r="B53" s="49">
        <v>300</v>
      </c>
      <c r="C53" s="17"/>
      <c r="D53" s="13"/>
      <c r="E53" s="70"/>
      <c r="F53" s="14" t="s">
        <v>16</v>
      </c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>
        <v>15338</v>
      </c>
      <c r="B54" s="49">
        <v>800</v>
      </c>
      <c r="C54" s="17" t="s">
        <v>474</v>
      </c>
      <c r="D54" s="13">
        <v>15402</v>
      </c>
      <c r="E54" s="70">
        <v>300</v>
      </c>
      <c r="F54" s="14" t="s">
        <v>457</v>
      </c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 t="s">
        <v>16</v>
      </c>
      <c r="D55" s="13">
        <v>15403</v>
      </c>
      <c r="E55" s="70">
        <v>400</v>
      </c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>
        <v>15339</v>
      </c>
      <c r="B56" s="49">
        <v>300</v>
      </c>
      <c r="C56" s="17"/>
      <c r="D56" s="13">
        <v>15404</v>
      </c>
      <c r="E56" s="70">
        <v>900</v>
      </c>
      <c r="F56" s="14" t="s">
        <v>505</v>
      </c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>
        <v>15340</v>
      </c>
      <c r="B57" s="49">
        <v>400</v>
      </c>
      <c r="C57" s="17"/>
      <c r="D57" s="13"/>
      <c r="E57" s="70"/>
      <c r="F57" s="14" t="s">
        <v>17</v>
      </c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15341</v>
      </c>
      <c r="B58" s="49">
        <v>800</v>
      </c>
      <c r="C58" s="17" t="s">
        <v>582</v>
      </c>
      <c r="D58" s="13">
        <v>15405</v>
      </c>
      <c r="E58" s="70">
        <v>1300</v>
      </c>
      <c r="F58" s="14" t="s">
        <v>551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 t="s">
        <v>206</v>
      </c>
      <c r="D59" s="13"/>
      <c r="E59" s="70"/>
      <c r="F59" s="14" t="s">
        <v>552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15342</v>
      </c>
      <c r="B60" s="49">
        <v>800</v>
      </c>
      <c r="C60" s="17" t="s">
        <v>255</v>
      </c>
      <c r="D60" s="13">
        <v>15406</v>
      </c>
      <c r="E60" s="70">
        <v>50</v>
      </c>
      <c r="F60" s="14" t="s">
        <v>47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 t="s">
        <v>16</v>
      </c>
      <c r="D61" s="13">
        <v>15407</v>
      </c>
      <c r="E61" s="70">
        <v>600</v>
      </c>
      <c r="F61" s="14" t="s">
        <v>474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15343</v>
      </c>
      <c r="B62" s="49">
        <v>200</v>
      </c>
      <c r="C62" s="17" t="s">
        <v>19</v>
      </c>
      <c r="D62" s="13"/>
      <c r="E62" s="70"/>
      <c r="F62" s="14" t="s">
        <v>17</v>
      </c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15344</v>
      </c>
      <c r="B63" s="49">
        <v>400</v>
      </c>
      <c r="C63" s="17"/>
      <c r="D63" s="13">
        <v>15408</v>
      </c>
      <c r="E63" s="70">
        <v>200</v>
      </c>
      <c r="F63" s="14" t="s">
        <v>128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15345</v>
      </c>
      <c r="B64" s="49">
        <v>800</v>
      </c>
      <c r="C64" s="17" t="s">
        <v>255</v>
      </c>
      <c r="D64" s="13">
        <v>15409</v>
      </c>
      <c r="E64" s="70">
        <v>400</v>
      </c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16</v>
      </c>
      <c r="D65" s="13">
        <v>15410</v>
      </c>
      <c r="E65" s="70">
        <v>750</v>
      </c>
      <c r="F65" s="14" t="s">
        <v>553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15346</v>
      </c>
      <c r="B66" s="49">
        <v>200</v>
      </c>
      <c r="C66" s="17"/>
      <c r="D66" s="13"/>
      <c r="E66" s="70"/>
      <c r="F66" s="14" t="s">
        <v>78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15347</v>
      </c>
      <c r="B67" s="49">
        <v>1050</v>
      </c>
      <c r="C67" s="17" t="s">
        <v>474</v>
      </c>
      <c r="D67" s="13">
        <v>15411</v>
      </c>
      <c r="E67" s="70">
        <v>2100</v>
      </c>
      <c r="F67" s="14" t="s">
        <v>554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584</v>
      </c>
      <c r="D68" s="13"/>
      <c r="E68" s="70"/>
      <c r="F68" s="14" t="s">
        <v>555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 t="s">
        <v>438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15348</v>
      </c>
      <c r="B70" s="49">
        <v>2400</v>
      </c>
      <c r="C70" s="17" t="s">
        <v>585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16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15349</v>
      </c>
      <c r="B72" s="49">
        <v>400</v>
      </c>
      <c r="C72" s="17"/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15350</v>
      </c>
      <c r="B73" s="49">
        <v>300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15351</v>
      </c>
      <c r="B74" s="49"/>
      <c r="C74" s="17" t="s">
        <v>588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15352</v>
      </c>
      <c r="B75" s="49">
        <v>600</v>
      </c>
      <c r="C75" s="17" t="s">
        <v>435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 t="s">
        <v>17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15353</v>
      </c>
      <c r="B77" s="49">
        <v>400</v>
      </c>
      <c r="C77" s="17" t="s">
        <v>546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15354</v>
      </c>
      <c r="B78" s="49">
        <v>500</v>
      </c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15355</v>
      </c>
      <c r="B79" s="49">
        <v>400</v>
      </c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15356</v>
      </c>
      <c r="B80" s="49">
        <v>1200</v>
      </c>
      <c r="C80" s="17" t="s">
        <v>586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 t="s">
        <v>16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15357</v>
      </c>
      <c r="B82" s="49">
        <v>600</v>
      </c>
      <c r="C82" s="17" t="s">
        <v>474</v>
      </c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 t="s">
        <v>17</v>
      </c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15358</v>
      </c>
      <c r="B84" s="49">
        <v>400</v>
      </c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15359</v>
      </c>
      <c r="B85" s="49">
        <v>1200</v>
      </c>
      <c r="C85" s="17" t="s">
        <v>587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 t="s">
        <v>17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15360</v>
      </c>
      <c r="B87" s="49">
        <v>400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15361</v>
      </c>
      <c r="B88" s="49">
        <v>200</v>
      </c>
      <c r="C88" s="17" t="s">
        <v>457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15362</v>
      </c>
      <c r="B89" s="49">
        <v>300</v>
      </c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15363</v>
      </c>
      <c r="B90" s="49">
        <v>500</v>
      </c>
      <c r="C90" s="17" t="s">
        <v>255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 t="s">
        <v>20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15364</v>
      </c>
      <c r="B92" s="49">
        <v>200</v>
      </c>
      <c r="C92" s="17" t="s">
        <v>457</v>
      </c>
      <c r="D92" s="26"/>
      <c r="E92" s="58"/>
      <c r="F92" s="58"/>
      <c r="G92" s="26"/>
      <c r="H92" s="74"/>
      <c r="I92" s="58"/>
      <c r="J92" s="26"/>
      <c r="K92" s="58"/>
      <c r="L92" s="58"/>
      <c r="M92" s="58"/>
      <c r="N92" s="58"/>
      <c r="O92" s="58"/>
    </row>
    <row r="93" spans="1:15" x14ac:dyDescent="0.25">
      <c r="A93" s="16"/>
      <c r="B93" s="49"/>
      <c r="C93" s="17"/>
      <c r="D93" s="26"/>
      <c r="E93" s="58"/>
      <c r="F93" s="58"/>
      <c r="G93" s="26"/>
      <c r="H93" s="74"/>
      <c r="I93" s="58"/>
      <c r="J93" s="26"/>
      <c r="K93" s="58"/>
      <c r="L93" s="58"/>
      <c r="M93" s="58"/>
      <c r="N93" s="58"/>
      <c r="O93" s="58"/>
    </row>
    <row r="94" spans="1:15" x14ac:dyDescent="0.25">
      <c r="A94" s="16"/>
      <c r="B94" s="49"/>
      <c r="C94" s="17"/>
      <c r="D94" s="26"/>
      <c r="E94" s="58"/>
      <c r="F94" s="58"/>
      <c r="G94" s="26"/>
      <c r="H94" s="74"/>
      <c r="I94" s="58"/>
      <c r="J94" s="26"/>
      <c r="K94" s="58"/>
      <c r="L94" s="58"/>
      <c r="M94" s="58"/>
      <c r="N94" s="58"/>
      <c r="O94" s="58"/>
    </row>
    <row r="95" spans="1:15" x14ac:dyDescent="0.25">
      <c r="A95" s="16"/>
      <c r="B95" s="49"/>
      <c r="C95" s="17"/>
      <c r="D95" s="26"/>
      <c r="E95" s="58"/>
      <c r="F95" s="58"/>
      <c r="G95" s="26"/>
      <c r="H95" s="74"/>
      <c r="I95" s="58"/>
      <c r="J95" s="26"/>
      <c r="K95" s="58"/>
      <c r="L95" s="58"/>
      <c r="M95" s="58"/>
      <c r="N95" s="58"/>
      <c r="O95" s="58"/>
    </row>
    <row r="96" spans="1:15" x14ac:dyDescent="0.25">
      <c r="A96" s="26"/>
      <c r="B96" s="66"/>
      <c r="C96" s="58"/>
      <c r="D96" s="26"/>
      <c r="E96" s="58"/>
      <c r="F96" s="58"/>
      <c r="G96" s="26"/>
      <c r="H96" s="74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74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74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74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74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74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74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74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74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74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74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74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74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74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74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74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74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74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74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74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74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74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74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74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74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74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74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abSelected="1" topLeftCell="C5" workbookViewId="0">
      <pane ySplit="3" topLeftCell="A12" activePane="bottomLeft" state="frozen"/>
      <selection activeCell="A5" sqref="A5"/>
      <selection pane="bottomLeft" activeCell="M32" sqref="M32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0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 t="s">
        <v>11</v>
      </c>
      <c r="M1" s="122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3" t="s">
        <v>8</v>
      </c>
      <c r="D3" s="123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4" t="s">
        <v>0</v>
      </c>
      <c r="B5" s="124"/>
      <c r="C5" s="124"/>
      <c r="D5" s="125" t="s">
        <v>4</v>
      </c>
      <c r="E5" s="125"/>
      <c r="F5" s="125"/>
      <c r="G5" s="126" t="s">
        <v>5</v>
      </c>
      <c r="H5" s="126"/>
      <c r="I5" s="126"/>
      <c r="J5" s="131" t="s">
        <v>6</v>
      </c>
      <c r="K5" s="131"/>
      <c r="L5" s="131"/>
      <c r="M5" s="119" t="s">
        <v>12</v>
      </c>
      <c r="N5" s="119"/>
      <c r="O5" s="119"/>
      <c r="Q5" s="128" t="s">
        <v>13</v>
      </c>
      <c r="R5" s="128"/>
    </row>
    <row r="6" spans="1:18" x14ac:dyDescent="0.25">
      <c r="A6" s="8">
        <f>SUBTOTAL(3,A8:A121)</f>
        <v>52</v>
      </c>
      <c r="B6" s="8">
        <f>SUBTOTAL(9,B8:B121)</f>
        <v>39775</v>
      </c>
      <c r="C6" s="35">
        <v>43072</v>
      </c>
      <c r="D6" s="8">
        <f>SUBTOTAL(3,D8:D120)</f>
        <v>43</v>
      </c>
      <c r="E6" s="1">
        <f>SUBTOTAL(9,E8:E120)</f>
        <v>35250</v>
      </c>
      <c r="F6" s="38">
        <v>43079</v>
      </c>
      <c r="G6" s="8">
        <f>SUBTOTAL(3,G8:G121)</f>
        <v>52</v>
      </c>
      <c r="H6" s="1">
        <f>SUBTOTAL(9,H8:H121)</f>
        <v>45400</v>
      </c>
      <c r="I6" s="39">
        <v>43086</v>
      </c>
      <c r="J6" s="8">
        <f>SUBTOTAL(3,J8:J110)</f>
        <v>24</v>
      </c>
      <c r="K6" s="1">
        <f>SUBTOTAL(9,K8:K110)</f>
        <v>35250</v>
      </c>
      <c r="L6" s="63">
        <v>43093</v>
      </c>
      <c r="M6" s="1">
        <f>SUBTOTAL(3,M8:M120)</f>
        <v>15</v>
      </c>
      <c r="N6" s="1">
        <f>SUBTOTAL(9,N8:N120)</f>
        <v>11400</v>
      </c>
      <c r="O6" s="85">
        <v>43100</v>
      </c>
      <c r="Q6" s="30">
        <f>+A6+D6+G6+J6+M6</f>
        <v>186</v>
      </c>
      <c r="R6" s="29">
        <f>+B6+E6+H6+K6+N6</f>
        <v>167075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15471</v>
      </c>
      <c r="B8" s="49">
        <v>400</v>
      </c>
      <c r="C8" s="17" t="s">
        <v>457</v>
      </c>
      <c r="D8" s="13">
        <v>15523</v>
      </c>
      <c r="E8" s="105">
        <v>4400</v>
      </c>
      <c r="F8" s="14" t="s">
        <v>561</v>
      </c>
      <c r="G8" s="11">
        <v>15566</v>
      </c>
      <c r="H8" s="67">
        <v>100</v>
      </c>
      <c r="I8" s="12" t="s">
        <v>30</v>
      </c>
      <c r="J8" s="61">
        <v>15618</v>
      </c>
      <c r="K8" s="71">
        <v>200</v>
      </c>
      <c r="L8" s="62" t="s">
        <v>19</v>
      </c>
      <c r="M8" s="75">
        <v>15642</v>
      </c>
      <c r="N8" s="73">
        <v>400</v>
      </c>
      <c r="O8" s="15" t="s">
        <v>625</v>
      </c>
      <c r="Q8" s="32"/>
      <c r="R8" s="32"/>
    </row>
    <row r="9" spans="1:18" x14ac:dyDescent="0.25">
      <c r="A9" s="16">
        <v>15472</v>
      </c>
      <c r="B9" s="49">
        <v>400</v>
      </c>
      <c r="C9" s="17"/>
      <c r="D9" s="13"/>
      <c r="E9" s="105"/>
      <c r="F9" s="14" t="s">
        <v>590</v>
      </c>
      <c r="G9" s="11">
        <v>15567</v>
      </c>
      <c r="H9" s="67">
        <v>400</v>
      </c>
      <c r="I9" s="12"/>
      <c r="J9" s="61">
        <v>15619</v>
      </c>
      <c r="K9" s="71">
        <v>300</v>
      </c>
      <c r="L9" s="62"/>
      <c r="M9" s="75">
        <v>15643</v>
      </c>
      <c r="N9" s="73">
        <v>800</v>
      </c>
      <c r="O9" s="15" t="s">
        <v>627</v>
      </c>
    </row>
    <row r="10" spans="1:18" x14ac:dyDescent="0.25">
      <c r="A10" s="16">
        <v>15473</v>
      </c>
      <c r="B10" s="49">
        <v>400</v>
      </c>
      <c r="C10" s="17"/>
      <c r="D10" s="13">
        <v>15524</v>
      </c>
      <c r="E10" s="105">
        <v>600</v>
      </c>
      <c r="F10" s="14" t="s">
        <v>535</v>
      </c>
      <c r="G10" s="11">
        <v>15568</v>
      </c>
      <c r="H10" s="67">
        <v>200</v>
      </c>
      <c r="I10" s="12" t="s">
        <v>605</v>
      </c>
      <c r="J10" s="61">
        <v>15920</v>
      </c>
      <c r="K10" s="71">
        <v>400</v>
      </c>
      <c r="L10" s="62" t="s">
        <v>542</v>
      </c>
      <c r="M10" s="75"/>
      <c r="N10" s="73"/>
      <c r="O10" s="15" t="s">
        <v>18</v>
      </c>
    </row>
    <row r="11" spans="1:18" x14ac:dyDescent="0.25">
      <c r="A11" s="16">
        <v>15474</v>
      </c>
      <c r="B11" s="49">
        <v>1200</v>
      </c>
      <c r="C11" s="17" t="s">
        <v>408</v>
      </c>
      <c r="D11" s="13">
        <v>15525</v>
      </c>
      <c r="E11" s="105">
        <v>300</v>
      </c>
      <c r="F11" s="14"/>
      <c r="G11" s="11">
        <v>15569</v>
      </c>
      <c r="H11" s="67">
        <v>600</v>
      </c>
      <c r="I11" s="12"/>
      <c r="J11" s="61"/>
      <c r="K11" s="62"/>
      <c r="L11" s="62" t="s">
        <v>18</v>
      </c>
      <c r="M11" s="75">
        <v>15644</v>
      </c>
      <c r="N11" s="73">
        <v>200</v>
      </c>
      <c r="O11" s="15" t="s">
        <v>626</v>
      </c>
    </row>
    <row r="12" spans="1:18" x14ac:dyDescent="0.25">
      <c r="A12" s="16"/>
      <c r="B12" s="49"/>
      <c r="C12" s="17" t="s">
        <v>16</v>
      </c>
      <c r="D12" s="13">
        <v>15526</v>
      </c>
      <c r="E12" s="105">
        <v>300</v>
      </c>
      <c r="F12" s="14" t="s">
        <v>535</v>
      </c>
      <c r="G12" s="11">
        <v>15570</v>
      </c>
      <c r="H12" s="67">
        <v>200</v>
      </c>
      <c r="I12" s="12" t="s">
        <v>19</v>
      </c>
      <c r="J12" s="61">
        <v>15921</v>
      </c>
      <c r="K12" s="71">
        <v>900</v>
      </c>
      <c r="L12" s="62" t="s">
        <v>619</v>
      </c>
      <c r="M12" s="75">
        <v>15645</v>
      </c>
      <c r="N12" s="73">
        <v>800</v>
      </c>
      <c r="O12" s="15" t="s">
        <v>627</v>
      </c>
    </row>
    <row r="13" spans="1:18" x14ac:dyDescent="0.25">
      <c r="A13" s="16">
        <v>15475</v>
      </c>
      <c r="B13" s="49">
        <v>600</v>
      </c>
      <c r="C13" s="17" t="s">
        <v>542</v>
      </c>
      <c r="D13" s="13">
        <v>15527</v>
      </c>
      <c r="E13" s="105"/>
      <c r="F13" s="14" t="s">
        <v>14</v>
      </c>
      <c r="G13" s="11">
        <v>15571</v>
      </c>
      <c r="H13" s="67">
        <v>2400</v>
      </c>
      <c r="I13" s="12" t="s">
        <v>606</v>
      </c>
      <c r="J13" s="61">
        <v>15922</v>
      </c>
      <c r="K13" s="71">
        <v>400</v>
      </c>
      <c r="L13" s="62"/>
      <c r="M13" s="75"/>
      <c r="N13" s="73"/>
      <c r="O13" s="31" t="s">
        <v>18</v>
      </c>
    </row>
    <row r="14" spans="1:18" x14ac:dyDescent="0.25">
      <c r="A14" s="16"/>
      <c r="B14" s="49"/>
      <c r="C14" s="17" t="s">
        <v>17</v>
      </c>
      <c r="D14" s="13">
        <v>15528</v>
      </c>
      <c r="E14" s="105">
        <v>1200</v>
      </c>
      <c r="F14" s="14" t="s">
        <v>592</v>
      </c>
      <c r="G14" s="11"/>
      <c r="H14" s="67"/>
      <c r="I14" s="12" t="s">
        <v>607</v>
      </c>
      <c r="J14" s="61">
        <v>15923</v>
      </c>
      <c r="K14" s="118">
        <v>1850</v>
      </c>
      <c r="L14" s="62" t="s">
        <v>620</v>
      </c>
      <c r="M14" s="75">
        <v>15646</v>
      </c>
      <c r="N14" s="73">
        <v>350</v>
      </c>
      <c r="O14" s="15" t="s">
        <v>628</v>
      </c>
    </row>
    <row r="15" spans="1:18" x14ac:dyDescent="0.25">
      <c r="A15" s="16">
        <v>15476</v>
      </c>
      <c r="B15" s="49">
        <v>400</v>
      </c>
      <c r="C15" s="17"/>
      <c r="D15" s="13"/>
      <c r="E15" s="105"/>
      <c r="F15" s="14" t="s">
        <v>591</v>
      </c>
      <c r="G15" s="11"/>
      <c r="H15" s="67"/>
      <c r="I15" s="12" t="s">
        <v>608</v>
      </c>
      <c r="J15" s="61"/>
      <c r="K15" s="71"/>
      <c r="L15" s="62" t="s">
        <v>78</v>
      </c>
      <c r="M15" s="75"/>
      <c r="N15" s="73"/>
      <c r="O15" s="15" t="s">
        <v>317</v>
      </c>
    </row>
    <row r="16" spans="1:18" x14ac:dyDescent="0.25">
      <c r="A16" s="16">
        <v>15477</v>
      </c>
      <c r="B16" s="49">
        <v>400</v>
      </c>
      <c r="C16" s="17" t="s">
        <v>542</v>
      </c>
      <c r="D16" s="13"/>
      <c r="E16" s="105"/>
      <c r="F16" s="95" t="s">
        <v>593</v>
      </c>
      <c r="G16" s="11"/>
      <c r="H16" s="67"/>
      <c r="I16" s="12" t="s">
        <v>609</v>
      </c>
      <c r="J16" s="61"/>
      <c r="K16" s="71"/>
      <c r="L16" s="62" t="s">
        <v>220</v>
      </c>
      <c r="M16" s="75">
        <v>15647</v>
      </c>
      <c r="N16" s="73">
        <v>400</v>
      </c>
      <c r="O16" s="15"/>
    </row>
    <row r="17" spans="1:15" x14ac:dyDescent="0.25">
      <c r="A17" s="16"/>
      <c r="B17" s="49"/>
      <c r="C17" s="17" t="s">
        <v>18</v>
      </c>
      <c r="D17" s="13">
        <v>15529</v>
      </c>
      <c r="E17" s="105">
        <v>250</v>
      </c>
      <c r="F17" s="14" t="s">
        <v>594</v>
      </c>
      <c r="G17" s="11">
        <v>15572</v>
      </c>
      <c r="H17" s="67">
        <v>400</v>
      </c>
      <c r="I17" s="12"/>
      <c r="J17" s="61"/>
      <c r="K17" s="71"/>
      <c r="L17" s="62" t="s">
        <v>621</v>
      </c>
      <c r="M17" s="75">
        <v>15648</v>
      </c>
      <c r="N17" s="73">
        <v>400</v>
      </c>
      <c r="O17" s="15"/>
    </row>
    <row r="18" spans="1:15" x14ac:dyDescent="0.25">
      <c r="A18" s="16">
        <v>15478</v>
      </c>
      <c r="B18" s="49">
        <v>200</v>
      </c>
      <c r="C18" s="17"/>
      <c r="D18" s="13"/>
      <c r="E18" s="105"/>
      <c r="F18" s="33" t="s">
        <v>317</v>
      </c>
      <c r="G18" s="11">
        <v>15573</v>
      </c>
      <c r="H18" s="67">
        <v>1600</v>
      </c>
      <c r="I18" s="12" t="s">
        <v>76</v>
      </c>
      <c r="J18" s="61">
        <v>15924</v>
      </c>
      <c r="K18" s="71">
        <v>800</v>
      </c>
      <c r="L18" s="62" t="s">
        <v>255</v>
      </c>
      <c r="M18" s="75">
        <v>15649</v>
      </c>
      <c r="N18" s="73">
        <v>3300</v>
      </c>
      <c r="O18" s="15" t="s">
        <v>561</v>
      </c>
    </row>
    <row r="19" spans="1:15" x14ac:dyDescent="0.25">
      <c r="A19" s="16">
        <v>15479</v>
      </c>
      <c r="B19" s="49">
        <v>800</v>
      </c>
      <c r="C19" s="17" t="s">
        <v>566</v>
      </c>
      <c r="D19" s="13">
        <v>15530</v>
      </c>
      <c r="E19" s="105">
        <v>200</v>
      </c>
      <c r="F19" s="14"/>
      <c r="G19" s="11"/>
      <c r="H19" s="67"/>
      <c r="I19" s="12" t="s">
        <v>472</v>
      </c>
      <c r="J19" s="61"/>
      <c r="K19" s="71"/>
      <c r="L19" s="62" t="s">
        <v>16</v>
      </c>
      <c r="M19" s="75"/>
      <c r="N19" s="73"/>
      <c r="O19" s="15" t="s">
        <v>41</v>
      </c>
    </row>
    <row r="20" spans="1:15" x14ac:dyDescent="0.25">
      <c r="A20" s="16"/>
      <c r="B20" s="49"/>
      <c r="C20" s="17" t="s">
        <v>16</v>
      </c>
      <c r="D20" s="13">
        <v>15531</v>
      </c>
      <c r="E20" s="105">
        <v>400</v>
      </c>
      <c r="F20" s="14" t="s">
        <v>595</v>
      </c>
      <c r="G20" s="11">
        <v>15574</v>
      </c>
      <c r="H20" s="67">
        <v>400</v>
      </c>
      <c r="I20" s="12"/>
      <c r="J20" s="61">
        <v>15925</v>
      </c>
      <c r="K20" s="71">
        <v>400</v>
      </c>
      <c r="L20" s="62"/>
      <c r="M20" s="75"/>
      <c r="N20" s="73"/>
      <c r="O20" s="15" t="s">
        <v>629</v>
      </c>
    </row>
    <row r="21" spans="1:15" x14ac:dyDescent="0.25">
      <c r="A21" s="16">
        <v>15480</v>
      </c>
      <c r="B21" s="49">
        <v>400</v>
      </c>
      <c r="C21" s="17"/>
      <c r="D21" s="13">
        <v>15532</v>
      </c>
      <c r="E21" s="105">
        <v>400</v>
      </c>
      <c r="F21" s="14"/>
      <c r="G21" s="11">
        <v>15575</v>
      </c>
      <c r="H21" s="67">
        <v>200</v>
      </c>
      <c r="I21" s="12" t="s">
        <v>567</v>
      </c>
      <c r="J21" s="61">
        <v>15626</v>
      </c>
      <c r="K21" s="71">
        <v>400</v>
      </c>
      <c r="L21" s="62"/>
      <c r="M21" s="75">
        <v>15650</v>
      </c>
      <c r="N21" s="73">
        <v>400</v>
      </c>
      <c r="O21" s="15"/>
    </row>
    <row r="22" spans="1:15" x14ac:dyDescent="0.25">
      <c r="A22" s="16">
        <v>15481</v>
      </c>
      <c r="B22" s="49">
        <v>400</v>
      </c>
      <c r="C22" s="17" t="s">
        <v>535</v>
      </c>
      <c r="D22" s="13">
        <v>15533</v>
      </c>
      <c r="E22" s="105">
        <v>200</v>
      </c>
      <c r="F22" s="14" t="s">
        <v>19</v>
      </c>
      <c r="G22" s="11">
        <v>15576</v>
      </c>
      <c r="H22" s="67">
        <v>400</v>
      </c>
      <c r="I22" s="12" t="s">
        <v>457</v>
      </c>
      <c r="J22" s="61">
        <v>15627</v>
      </c>
      <c r="K22" s="71">
        <v>4400</v>
      </c>
      <c r="L22" s="62" t="s">
        <v>561</v>
      </c>
      <c r="M22" s="75">
        <v>15651</v>
      </c>
      <c r="N22" s="73">
        <v>400</v>
      </c>
      <c r="O22" s="15" t="s">
        <v>542</v>
      </c>
    </row>
    <row r="23" spans="1:15" x14ac:dyDescent="0.25">
      <c r="A23" s="16">
        <v>15482</v>
      </c>
      <c r="B23" s="49">
        <v>200</v>
      </c>
      <c r="C23" s="17" t="s">
        <v>19</v>
      </c>
      <c r="D23" s="13">
        <v>15534</v>
      </c>
      <c r="E23" s="105">
        <v>400</v>
      </c>
      <c r="F23" s="14"/>
      <c r="G23" s="11">
        <v>15577</v>
      </c>
      <c r="H23" s="67">
        <v>4450</v>
      </c>
      <c r="I23" s="12" t="s">
        <v>561</v>
      </c>
      <c r="J23" s="61"/>
      <c r="K23" s="71"/>
      <c r="L23" s="62" t="s">
        <v>16</v>
      </c>
      <c r="M23" s="75"/>
      <c r="N23" s="73"/>
      <c r="O23" s="15" t="s">
        <v>18</v>
      </c>
    </row>
    <row r="24" spans="1:15" x14ac:dyDescent="0.25">
      <c r="A24" s="16">
        <v>15483</v>
      </c>
      <c r="B24" s="49">
        <v>400</v>
      </c>
      <c r="C24" s="17"/>
      <c r="D24" s="13">
        <v>15535</v>
      </c>
      <c r="E24" s="105">
        <v>400</v>
      </c>
      <c r="F24" s="14"/>
      <c r="G24" s="11"/>
      <c r="H24" s="67"/>
      <c r="I24" s="12" t="s">
        <v>610</v>
      </c>
      <c r="J24" s="61"/>
      <c r="K24" s="71"/>
      <c r="L24" s="62" t="s">
        <v>220</v>
      </c>
      <c r="M24" s="75">
        <v>15652</v>
      </c>
      <c r="N24" s="73">
        <v>50</v>
      </c>
      <c r="O24" s="15" t="s">
        <v>47</v>
      </c>
    </row>
    <row r="25" spans="1:15" x14ac:dyDescent="0.25">
      <c r="A25" s="16">
        <v>15484</v>
      </c>
      <c r="B25" s="49">
        <v>200</v>
      </c>
      <c r="C25" s="17" t="s">
        <v>567</v>
      </c>
      <c r="D25" s="13">
        <v>15536</v>
      </c>
      <c r="E25" s="105">
        <v>800</v>
      </c>
      <c r="F25" s="14" t="s">
        <v>582</v>
      </c>
      <c r="G25" s="11">
        <v>15578</v>
      </c>
      <c r="H25" s="67">
        <v>1200</v>
      </c>
      <c r="I25" s="12" t="s">
        <v>611</v>
      </c>
      <c r="J25" s="61">
        <v>15628</v>
      </c>
      <c r="K25" s="71">
        <v>4800</v>
      </c>
      <c r="L25" s="62" t="s">
        <v>561</v>
      </c>
      <c r="M25" s="75">
        <v>15653</v>
      </c>
      <c r="N25" s="73">
        <v>600</v>
      </c>
      <c r="O25" s="15" t="s">
        <v>505</v>
      </c>
    </row>
    <row r="26" spans="1:15" x14ac:dyDescent="0.25">
      <c r="A26" s="16">
        <v>15485</v>
      </c>
      <c r="B26" s="49">
        <v>400</v>
      </c>
      <c r="C26" s="17"/>
      <c r="D26" s="13"/>
      <c r="E26" s="105"/>
      <c r="F26" s="14" t="s">
        <v>252</v>
      </c>
      <c r="G26" s="11"/>
      <c r="H26" s="67"/>
      <c r="I26" s="12" t="s">
        <v>612</v>
      </c>
      <c r="J26" s="61">
        <v>15629</v>
      </c>
      <c r="K26" s="71">
        <v>1200</v>
      </c>
      <c r="L26" s="62" t="s">
        <v>505</v>
      </c>
      <c r="M26" s="75"/>
      <c r="N26" s="73"/>
      <c r="O26" s="15" t="s">
        <v>18</v>
      </c>
    </row>
    <row r="27" spans="1:15" x14ac:dyDescent="0.25">
      <c r="A27" s="16">
        <v>15486</v>
      </c>
      <c r="B27" s="49">
        <v>200</v>
      </c>
      <c r="C27" s="17"/>
      <c r="D27" s="13">
        <v>15537</v>
      </c>
      <c r="E27" s="105">
        <v>400</v>
      </c>
      <c r="F27" s="14"/>
      <c r="G27" s="11">
        <v>15579</v>
      </c>
      <c r="H27" s="67">
        <v>400</v>
      </c>
      <c r="I27" s="12" t="s">
        <v>535</v>
      </c>
      <c r="J27" s="61"/>
      <c r="K27" s="71"/>
      <c r="L27" s="62" t="s">
        <v>16</v>
      </c>
      <c r="M27" s="75">
        <v>15654</v>
      </c>
      <c r="N27" s="73"/>
      <c r="O27" s="31" t="s">
        <v>44</v>
      </c>
    </row>
    <row r="28" spans="1:15" x14ac:dyDescent="0.25">
      <c r="A28" s="16">
        <v>15487</v>
      </c>
      <c r="B28" s="49">
        <v>400</v>
      </c>
      <c r="C28" s="17"/>
      <c r="D28" s="13">
        <v>15538</v>
      </c>
      <c r="E28" s="105">
        <v>350</v>
      </c>
      <c r="F28" s="95"/>
      <c r="G28" s="11">
        <v>15580</v>
      </c>
      <c r="H28" s="67">
        <v>300</v>
      </c>
      <c r="I28" s="12" t="s">
        <v>546</v>
      </c>
      <c r="J28" s="61">
        <v>15930</v>
      </c>
      <c r="K28" s="71">
        <v>900</v>
      </c>
      <c r="L28" s="62" t="s">
        <v>505</v>
      </c>
      <c r="M28" s="75">
        <v>15655</v>
      </c>
      <c r="N28" s="73"/>
      <c r="O28" s="15" t="s">
        <v>44</v>
      </c>
    </row>
    <row r="29" spans="1:15" x14ac:dyDescent="0.25">
      <c r="A29" s="16">
        <v>15488</v>
      </c>
      <c r="B29" s="49">
        <v>50</v>
      </c>
      <c r="C29" s="17" t="s">
        <v>309</v>
      </c>
      <c r="D29" s="13">
        <v>15539</v>
      </c>
      <c r="E29" s="105">
        <v>200</v>
      </c>
      <c r="F29" s="14"/>
      <c r="G29" s="11">
        <v>15581</v>
      </c>
      <c r="H29" s="67">
        <v>800</v>
      </c>
      <c r="I29" s="12" t="s">
        <v>613</v>
      </c>
      <c r="J29" s="61"/>
      <c r="K29" s="71"/>
      <c r="L29" s="62" t="s">
        <v>17</v>
      </c>
      <c r="M29" s="75">
        <v>15656</v>
      </c>
      <c r="N29" s="73">
        <v>3300</v>
      </c>
      <c r="O29" s="15" t="s">
        <v>561</v>
      </c>
    </row>
    <row r="30" spans="1:15" x14ac:dyDescent="0.25">
      <c r="A30" s="16">
        <v>15489</v>
      </c>
      <c r="B30" s="49">
        <v>200</v>
      </c>
      <c r="C30" s="17"/>
      <c r="D30" s="13">
        <v>15540</v>
      </c>
      <c r="E30" s="105">
        <v>400</v>
      </c>
      <c r="F30" s="14" t="s">
        <v>596</v>
      </c>
      <c r="G30" s="11"/>
      <c r="H30" s="67"/>
      <c r="I30" s="12" t="s">
        <v>16</v>
      </c>
      <c r="J30" s="61">
        <v>15931</v>
      </c>
      <c r="K30" s="71">
        <v>300</v>
      </c>
      <c r="L30" s="62"/>
      <c r="M30" s="75"/>
      <c r="N30" s="73"/>
      <c r="O30" s="15" t="s">
        <v>41</v>
      </c>
    </row>
    <row r="31" spans="1:15" x14ac:dyDescent="0.25">
      <c r="A31" s="16">
        <v>15490</v>
      </c>
      <c r="B31" s="49">
        <v>300</v>
      </c>
      <c r="C31" s="17" t="s">
        <v>535</v>
      </c>
      <c r="D31" s="13"/>
      <c r="E31" s="105"/>
      <c r="F31" s="14" t="s">
        <v>18</v>
      </c>
      <c r="G31" s="11">
        <v>15582</v>
      </c>
      <c r="H31" s="67">
        <v>300</v>
      </c>
      <c r="I31" s="12"/>
      <c r="J31" s="61">
        <v>15932</v>
      </c>
      <c r="K31" s="71">
        <v>4400</v>
      </c>
      <c r="L31" s="62" t="s">
        <v>561</v>
      </c>
      <c r="M31" s="75"/>
      <c r="N31" s="73"/>
      <c r="O31" s="15" t="s">
        <v>629</v>
      </c>
    </row>
    <row r="32" spans="1:15" x14ac:dyDescent="0.25">
      <c r="A32" s="16">
        <v>15491</v>
      </c>
      <c r="B32" s="49">
        <v>125</v>
      </c>
      <c r="C32" s="17"/>
      <c r="D32" s="13">
        <v>15541</v>
      </c>
      <c r="E32" s="105">
        <v>400</v>
      </c>
      <c r="F32" s="14"/>
      <c r="G32" s="11">
        <v>15583</v>
      </c>
      <c r="H32" s="67">
        <v>1400</v>
      </c>
      <c r="I32" s="12" t="s">
        <v>76</v>
      </c>
      <c r="J32" s="61"/>
      <c r="K32" s="71"/>
      <c r="L32" s="62" t="s">
        <v>16</v>
      </c>
      <c r="M32" s="75"/>
      <c r="N32" s="73"/>
      <c r="O32" s="15"/>
    </row>
    <row r="33" spans="1:15" x14ac:dyDescent="0.25">
      <c r="A33" s="16">
        <v>15492</v>
      </c>
      <c r="B33" s="49">
        <v>500</v>
      </c>
      <c r="C33" s="17" t="s">
        <v>535</v>
      </c>
      <c r="D33" s="13">
        <v>15542</v>
      </c>
      <c r="E33" s="105">
        <v>200</v>
      </c>
      <c r="F33" s="14" t="s">
        <v>567</v>
      </c>
      <c r="G33" s="11"/>
      <c r="H33" s="67"/>
      <c r="I33" s="12" t="s">
        <v>530</v>
      </c>
      <c r="J33" s="61"/>
      <c r="K33" s="71"/>
      <c r="L33" s="62" t="s">
        <v>220</v>
      </c>
      <c r="M33" s="75"/>
      <c r="N33" s="73"/>
      <c r="O33" s="15"/>
    </row>
    <row r="34" spans="1:15" x14ac:dyDescent="0.25">
      <c r="A34" s="16"/>
      <c r="B34" s="49"/>
      <c r="C34" s="17" t="s">
        <v>568</v>
      </c>
      <c r="D34" s="13">
        <v>15543</v>
      </c>
      <c r="E34" s="105">
        <v>400</v>
      </c>
      <c r="F34" s="14"/>
      <c r="G34" s="11">
        <v>15584</v>
      </c>
      <c r="H34" s="67">
        <v>400</v>
      </c>
      <c r="I34" s="12"/>
      <c r="J34" s="61">
        <v>15933</v>
      </c>
      <c r="K34" s="71"/>
      <c r="L34" s="62" t="s">
        <v>44</v>
      </c>
      <c r="M34" s="75"/>
      <c r="N34" s="73"/>
      <c r="O34" s="31"/>
    </row>
    <row r="35" spans="1:15" x14ac:dyDescent="0.25">
      <c r="A35" s="16">
        <v>15493</v>
      </c>
      <c r="B35" s="49">
        <v>600</v>
      </c>
      <c r="C35" s="17" t="s">
        <v>569</v>
      </c>
      <c r="D35" s="13">
        <v>15544</v>
      </c>
      <c r="E35" s="105">
        <v>800</v>
      </c>
      <c r="F35" s="14" t="s">
        <v>582</v>
      </c>
      <c r="G35" s="11">
        <v>15585</v>
      </c>
      <c r="H35" s="67">
        <v>400</v>
      </c>
      <c r="I35" s="12"/>
      <c r="J35" s="61">
        <v>15934</v>
      </c>
      <c r="K35" s="71">
        <v>1200</v>
      </c>
      <c r="L35" s="62" t="s">
        <v>505</v>
      </c>
      <c r="M35" s="75"/>
      <c r="N35" s="73"/>
      <c r="O35" s="15"/>
    </row>
    <row r="36" spans="1:15" x14ac:dyDescent="0.25">
      <c r="A36" s="16">
        <v>15494</v>
      </c>
      <c r="B36" s="49">
        <v>4000</v>
      </c>
      <c r="C36" s="17" t="s">
        <v>570</v>
      </c>
      <c r="D36" s="13"/>
      <c r="E36" s="105"/>
      <c r="F36" s="14" t="s">
        <v>206</v>
      </c>
      <c r="G36" s="11">
        <v>15586</v>
      </c>
      <c r="H36" s="67">
        <v>400</v>
      </c>
      <c r="I36" s="12"/>
      <c r="J36" s="61"/>
      <c r="K36" s="71"/>
      <c r="L36" s="62" t="s">
        <v>16</v>
      </c>
      <c r="M36" s="75"/>
      <c r="N36" s="73"/>
      <c r="O36" s="15"/>
    </row>
    <row r="37" spans="1:15" x14ac:dyDescent="0.25">
      <c r="A37" s="16"/>
      <c r="B37" s="49"/>
      <c r="C37" s="17" t="s">
        <v>571</v>
      </c>
      <c r="D37" s="13">
        <v>15545</v>
      </c>
      <c r="E37" s="105">
        <v>600</v>
      </c>
      <c r="F37" s="14" t="s">
        <v>255</v>
      </c>
      <c r="G37" s="11">
        <v>15587</v>
      </c>
      <c r="H37" s="67">
        <v>400</v>
      </c>
      <c r="I37" s="12"/>
      <c r="J37" s="61">
        <v>15935</v>
      </c>
      <c r="K37" s="71">
        <v>800</v>
      </c>
      <c r="L37" s="62" t="s">
        <v>255</v>
      </c>
      <c r="M37" s="75"/>
      <c r="N37" s="73"/>
      <c r="O37" s="15"/>
    </row>
    <row r="38" spans="1:15" x14ac:dyDescent="0.25">
      <c r="A38" s="16">
        <v>15495</v>
      </c>
      <c r="B38" s="49">
        <v>400</v>
      </c>
      <c r="C38" s="17" t="s">
        <v>535</v>
      </c>
      <c r="D38" s="13"/>
      <c r="E38" s="105"/>
      <c r="F38" s="14" t="s">
        <v>17</v>
      </c>
      <c r="G38" s="11">
        <v>15588</v>
      </c>
      <c r="H38" s="67">
        <v>400</v>
      </c>
      <c r="I38" s="12"/>
      <c r="J38" s="61"/>
      <c r="K38" s="71"/>
      <c r="L38" s="62" t="s">
        <v>16</v>
      </c>
      <c r="M38" s="75"/>
      <c r="N38" s="73"/>
      <c r="O38" s="15"/>
    </row>
    <row r="39" spans="1:15" x14ac:dyDescent="0.25">
      <c r="A39" s="16">
        <v>15496</v>
      </c>
      <c r="B39" s="49">
        <v>1000</v>
      </c>
      <c r="C39" s="17" t="s">
        <v>572</v>
      </c>
      <c r="D39" s="13">
        <v>15546</v>
      </c>
      <c r="E39" s="105">
        <v>300</v>
      </c>
      <c r="F39" s="14"/>
      <c r="G39" s="11">
        <v>15589</v>
      </c>
      <c r="H39" s="67">
        <v>2200</v>
      </c>
      <c r="I39" s="12" t="s">
        <v>561</v>
      </c>
      <c r="J39" s="61">
        <v>15936</v>
      </c>
      <c r="K39" s="71">
        <v>400</v>
      </c>
      <c r="L39" s="62"/>
      <c r="M39" s="75"/>
      <c r="N39" s="73"/>
      <c r="O39" s="15"/>
    </row>
    <row r="40" spans="1:15" x14ac:dyDescent="0.25">
      <c r="A40" s="16"/>
      <c r="B40" s="49"/>
      <c r="C40" s="116" t="s">
        <v>573</v>
      </c>
      <c r="D40" s="13">
        <v>15547</v>
      </c>
      <c r="E40" s="105">
        <v>2000</v>
      </c>
      <c r="F40" s="14" t="s">
        <v>597</v>
      </c>
      <c r="G40" s="11"/>
      <c r="H40" s="67"/>
      <c r="I40" s="12" t="s">
        <v>18</v>
      </c>
      <c r="J40" s="61">
        <v>15937</v>
      </c>
      <c r="K40" s="71">
        <v>400</v>
      </c>
      <c r="L40" s="62" t="s">
        <v>622</v>
      </c>
      <c r="M40" s="75"/>
      <c r="N40" s="73"/>
      <c r="O40" s="15"/>
    </row>
    <row r="41" spans="1:15" x14ac:dyDescent="0.25">
      <c r="A41" s="16">
        <v>15497</v>
      </c>
      <c r="B41" s="49">
        <v>400</v>
      </c>
      <c r="C41" s="17"/>
      <c r="D41" s="13"/>
      <c r="E41" s="105"/>
      <c r="F41" s="14" t="s">
        <v>598</v>
      </c>
      <c r="G41" s="11"/>
      <c r="H41" s="67"/>
      <c r="I41" s="12" t="s">
        <v>614</v>
      </c>
      <c r="J41" s="61">
        <v>15938</v>
      </c>
      <c r="K41" s="71">
        <v>1500</v>
      </c>
      <c r="L41" s="62" t="s">
        <v>623</v>
      </c>
      <c r="M41" s="75"/>
      <c r="N41" s="73"/>
      <c r="O41" s="15"/>
    </row>
    <row r="42" spans="1:15" x14ac:dyDescent="0.25">
      <c r="A42" s="16">
        <v>15498</v>
      </c>
      <c r="B42" s="49">
        <v>400</v>
      </c>
      <c r="C42" s="17" t="s">
        <v>535</v>
      </c>
      <c r="D42" s="13">
        <v>15548</v>
      </c>
      <c r="E42" s="105">
        <v>600</v>
      </c>
      <c r="F42" s="14" t="s">
        <v>599</v>
      </c>
      <c r="G42" s="11">
        <v>15590</v>
      </c>
      <c r="H42" s="67">
        <v>1200</v>
      </c>
      <c r="I42" s="12" t="s">
        <v>505</v>
      </c>
      <c r="J42" s="61"/>
      <c r="K42" s="71"/>
      <c r="L42" s="62" t="s">
        <v>78</v>
      </c>
      <c r="M42" s="75"/>
      <c r="N42" s="73"/>
      <c r="O42" s="15"/>
    </row>
    <row r="43" spans="1:15" x14ac:dyDescent="0.25">
      <c r="A43" s="16">
        <v>15499</v>
      </c>
      <c r="B43" s="49">
        <v>300</v>
      </c>
      <c r="C43" s="17"/>
      <c r="D43" s="13"/>
      <c r="E43" s="105"/>
      <c r="F43" s="14" t="s">
        <v>206</v>
      </c>
      <c r="G43" s="11"/>
      <c r="H43" s="67"/>
      <c r="I43" s="12" t="s">
        <v>16</v>
      </c>
      <c r="J43" s="61">
        <v>15939</v>
      </c>
      <c r="K43" s="71">
        <v>4800</v>
      </c>
      <c r="L43" s="62" t="s">
        <v>624</v>
      </c>
      <c r="M43" s="75"/>
      <c r="N43" s="73"/>
      <c r="O43" s="15"/>
    </row>
    <row r="44" spans="1:15" x14ac:dyDescent="0.25">
      <c r="A44" s="16">
        <v>15500</v>
      </c>
      <c r="B44" s="49">
        <v>400</v>
      </c>
      <c r="C44" s="17"/>
      <c r="D44" s="13">
        <v>15549</v>
      </c>
      <c r="E44" s="105">
        <v>400</v>
      </c>
      <c r="F44" s="14"/>
      <c r="G44" s="11">
        <v>15591</v>
      </c>
      <c r="H44" s="67">
        <v>400</v>
      </c>
      <c r="I44" s="12" t="s">
        <v>567</v>
      </c>
      <c r="J44" s="61"/>
      <c r="K44" s="71"/>
      <c r="L44" s="62" t="s">
        <v>576</v>
      </c>
      <c r="M44" s="75"/>
      <c r="N44" s="73"/>
      <c r="O44" s="15"/>
    </row>
    <row r="45" spans="1:15" x14ac:dyDescent="0.25">
      <c r="A45" s="16">
        <v>15501</v>
      </c>
      <c r="B45" s="49">
        <v>4400</v>
      </c>
      <c r="C45" s="17" t="s">
        <v>561</v>
      </c>
      <c r="D45" s="13">
        <v>15550</v>
      </c>
      <c r="E45" s="105">
        <v>400</v>
      </c>
      <c r="F45" s="14" t="s">
        <v>600</v>
      </c>
      <c r="G45" s="11">
        <v>15592</v>
      </c>
      <c r="H45" s="67">
        <v>2200</v>
      </c>
      <c r="I45" s="12" t="s">
        <v>561</v>
      </c>
      <c r="J45" s="61"/>
      <c r="K45" s="71"/>
      <c r="L45" s="62" t="s">
        <v>16</v>
      </c>
      <c r="M45" s="75"/>
      <c r="N45" s="73"/>
      <c r="O45" s="15"/>
    </row>
    <row r="46" spans="1:15" x14ac:dyDescent="0.25">
      <c r="A46" s="16"/>
      <c r="B46" s="49"/>
      <c r="C46" s="17" t="s">
        <v>574</v>
      </c>
      <c r="D46" s="13"/>
      <c r="E46" s="105"/>
      <c r="F46" s="14" t="s">
        <v>206</v>
      </c>
      <c r="G46" s="11"/>
      <c r="H46" s="67"/>
      <c r="I46" s="12" t="s">
        <v>18</v>
      </c>
      <c r="J46" s="61">
        <v>15940</v>
      </c>
      <c r="K46" s="71">
        <v>4400</v>
      </c>
      <c r="L46" s="62" t="s">
        <v>561</v>
      </c>
      <c r="M46" s="75"/>
      <c r="N46" s="73"/>
      <c r="O46" s="15"/>
    </row>
    <row r="47" spans="1:15" x14ac:dyDescent="0.25">
      <c r="A47" s="16">
        <v>15502</v>
      </c>
      <c r="B47" s="49">
        <v>4400</v>
      </c>
      <c r="C47" s="17" t="s">
        <v>561</v>
      </c>
      <c r="D47" s="13">
        <v>15551</v>
      </c>
      <c r="E47" s="105">
        <v>750</v>
      </c>
      <c r="F47" s="14" t="s">
        <v>601</v>
      </c>
      <c r="G47" s="11"/>
      <c r="H47" s="67"/>
      <c r="I47" s="12" t="s">
        <v>614</v>
      </c>
      <c r="J47" s="61"/>
      <c r="K47" s="71"/>
      <c r="L47" s="62" t="s">
        <v>16</v>
      </c>
      <c r="M47" s="75"/>
      <c r="N47" s="73"/>
      <c r="O47" s="15"/>
    </row>
    <row r="48" spans="1:15" x14ac:dyDescent="0.25">
      <c r="A48" s="16"/>
      <c r="B48" s="49"/>
      <c r="C48" s="17" t="s">
        <v>574</v>
      </c>
      <c r="D48" s="13"/>
      <c r="E48" s="105"/>
      <c r="F48" s="14" t="s">
        <v>20</v>
      </c>
      <c r="G48" s="11">
        <v>15593</v>
      </c>
      <c r="H48" s="67">
        <v>400</v>
      </c>
      <c r="I48" s="12" t="s">
        <v>615</v>
      </c>
      <c r="J48" s="61"/>
      <c r="K48" s="71"/>
      <c r="L48" s="62" t="s">
        <v>220</v>
      </c>
      <c r="M48" s="75"/>
      <c r="N48" s="73"/>
      <c r="O48" s="15"/>
    </row>
    <row r="49" spans="1:15" x14ac:dyDescent="0.25">
      <c r="A49" s="16">
        <v>15503</v>
      </c>
      <c r="B49" s="49">
        <v>400</v>
      </c>
      <c r="C49" s="17"/>
      <c r="D49" s="13">
        <v>15552</v>
      </c>
      <c r="E49" s="105">
        <v>200</v>
      </c>
      <c r="F49" s="14"/>
      <c r="G49" s="11">
        <v>15594</v>
      </c>
      <c r="H49" s="67">
        <v>800</v>
      </c>
      <c r="I49" s="12" t="s">
        <v>542</v>
      </c>
      <c r="J49" s="61">
        <v>15941</v>
      </c>
      <c r="K49" s="71">
        <v>100</v>
      </c>
      <c r="L49" s="62" t="s">
        <v>30</v>
      </c>
      <c r="M49" s="75"/>
      <c r="N49" s="73"/>
      <c r="O49" s="15"/>
    </row>
    <row r="50" spans="1:15" x14ac:dyDescent="0.25">
      <c r="A50" s="16">
        <v>15504</v>
      </c>
      <c r="B50" s="49">
        <v>400</v>
      </c>
      <c r="C50" s="17"/>
      <c r="D50" s="13">
        <v>15553</v>
      </c>
      <c r="E50" s="105">
        <v>400</v>
      </c>
      <c r="F50" s="14"/>
      <c r="G50" s="11"/>
      <c r="H50" s="67"/>
      <c r="I50" s="12" t="s">
        <v>16</v>
      </c>
      <c r="J50" s="61"/>
      <c r="K50" s="71"/>
      <c r="L50" s="62"/>
      <c r="M50" s="75"/>
      <c r="N50" s="73"/>
      <c r="O50" s="15"/>
    </row>
    <row r="51" spans="1:15" x14ac:dyDescent="0.25">
      <c r="A51" s="16">
        <v>15505</v>
      </c>
      <c r="B51" s="49">
        <v>300</v>
      </c>
      <c r="C51" s="17"/>
      <c r="D51" s="13">
        <v>15554</v>
      </c>
      <c r="E51" s="105">
        <v>2200</v>
      </c>
      <c r="F51" s="14" t="s">
        <v>561</v>
      </c>
      <c r="G51" s="11">
        <v>15595</v>
      </c>
      <c r="H51" s="67">
        <v>1200</v>
      </c>
      <c r="I51" s="12" t="s">
        <v>505</v>
      </c>
      <c r="J51" s="61"/>
      <c r="K51" s="71"/>
      <c r="L51" s="62"/>
      <c r="M51" s="75"/>
      <c r="N51" s="73"/>
      <c r="O51" s="15"/>
    </row>
    <row r="52" spans="1:15" x14ac:dyDescent="0.25">
      <c r="A52" s="16">
        <v>15506</v>
      </c>
      <c r="B52" s="49">
        <v>600</v>
      </c>
      <c r="C52" s="17" t="s">
        <v>474</v>
      </c>
      <c r="D52" s="13"/>
      <c r="E52" s="105"/>
      <c r="F52" s="14" t="s">
        <v>36</v>
      </c>
      <c r="G52" s="11"/>
      <c r="H52" s="67"/>
      <c r="I52" s="12" t="s">
        <v>16</v>
      </c>
      <c r="J52" s="61"/>
      <c r="K52" s="71"/>
      <c r="L52" s="62"/>
      <c r="M52" s="75"/>
      <c r="N52" s="73"/>
      <c r="O52" s="15"/>
    </row>
    <row r="53" spans="1:15" x14ac:dyDescent="0.25">
      <c r="A53" s="16"/>
      <c r="B53" s="49"/>
      <c r="C53" s="17" t="s">
        <v>17</v>
      </c>
      <c r="D53" s="13"/>
      <c r="E53" s="105"/>
      <c r="F53" s="14" t="s">
        <v>166</v>
      </c>
      <c r="G53" s="11">
        <v>15596</v>
      </c>
      <c r="H53" s="67">
        <v>1200</v>
      </c>
      <c r="I53" s="12" t="s">
        <v>76</v>
      </c>
      <c r="J53" s="61"/>
      <c r="K53" s="71"/>
      <c r="L53" s="62"/>
      <c r="M53" s="75"/>
      <c r="N53" s="73"/>
      <c r="O53" s="15"/>
    </row>
    <row r="54" spans="1:15" x14ac:dyDescent="0.25">
      <c r="A54" s="16">
        <v>15507</v>
      </c>
      <c r="B54" s="49">
        <v>400</v>
      </c>
      <c r="C54" s="17"/>
      <c r="D54" s="13">
        <v>15555</v>
      </c>
      <c r="E54" s="105">
        <v>800</v>
      </c>
      <c r="F54" s="14" t="s">
        <v>542</v>
      </c>
      <c r="G54" s="11"/>
      <c r="H54" s="67"/>
      <c r="I54" s="12" t="s">
        <v>616</v>
      </c>
      <c r="J54" s="61"/>
      <c r="K54" s="71"/>
      <c r="L54" s="62"/>
      <c r="M54" s="75"/>
      <c r="N54" s="73"/>
      <c r="O54" s="15"/>
    </row>
    <row r="55" spans="1:15" x14ac:dyDescent="0.25">
      <c r="A55" s="16">
        <v>15508</v>
      </c>
      <c r="B55" s="49">
        <v>250</v>
      </c>
      <c r="C55" s="17"/>
      <c r="D55" s="13"/>
      <c r="E55" s="105"/>
      <c r="F55" s="14" t="s">
        <v>16</v>
      </c>
      <c r="G55" s="11">
        <v>15597</v>
      </c>
      <c r="H55" s="67">
        <v>4400</v>
      </c>
      <c r="I55" s="12" t="s">
        <v>561</v>
      </c>
      <c r="J55" s="61"/>
      <c r="K55" s="71"/>
      <c r="L55" s="62"/>
      <c r="M55" s="75"/>
      <c r="N55" s="73"/>
      <c r="O55" s="15"/>
    </row>
    <row r="56" spans="1:15" x14ac:dyDescent="0.25">
      <c r="A56" s="16">
        <v>15509</v>
      </c>
      <c r="B56" s="49">
        <v>400</v>
      </c>
      <c r="C56" s="17"/>
      <c r="D56" s="13">
        <v>15556</v>
      </c>
      <c r="E56" s="105">
        <v>2000</v>
      </c>
      <c r="F56" s="14" t="s">
        <v>597</v>
      </c>
      <c r="G56" s="11"/>
      <c r="H56" s="67"/>
      <c r="I56" s="12" t="s">
        <v>16</v>
      </c>
      <c r="J56" s="61"/>
      <c r="K56" s="71"/>
      <c r="L56" s="62"/>
      <c r="M56" s="75"/>
      <c r="N56" s="73"/>
      <c r="O56" s="15"/>
    </row>
    <row r="57" spans="1:15" x14ac:dyDescent="0.25">
      <c r="A57" s="16">
        <v>15510</v>
      </c>
      <c r="B57" s="49">
        <v>50</v>
      </c>
      <c r="C57" s="17" t="s">
        <v>309</v>
      </c>
      <c r="D57" s="13"/>
      <c r="E57" s="105"/>
      <c r="F57" s="14" t="s">
        <v>598</v>
      </c>
      <c r="G57" s="11"/>
      <c r="H57" s="67"/>
      <c r="I57" s="12" t="s">
        <v>614</v>
      </c>
      <c r="J57" s="61"/>
      <c r="K57" s="71"/>
      <c r="L57" s="62"/>
      <c r="M57" s="75"/>
      <c r="N57" s="73"/>
      <c r="O57" s="15"/>
    </row>
    <row r="58" spans="1:15" x14ac:dyDescent="0.25">
      <c r="A58" s="16">
        <v>15511</v>
      </c>
      <c r="B58" s="49">
        <v>400</v>
      </c>
      <c r="C58" s="17"/>
      <c r="D58" s="13">
        <v>15557</v>
      </c>
      <c r="E58" s="105">
        <v>400</v>
      </c>
      <c r="F58" s="14"/>
      <c r="G58" s="11">
        <v>15598</v>
      </c>
      <c r="H58" s="67">
        <v>400</v>
      </c>
      <c r="I58" s="12" t="s">
        <v>535</v>
      </c>
      <c r="J58" s="61"/>
      <c r="K58" s="71"/>
      <c r="L58" s="62"/>
      <c r="M58" s="75"/>
      <c r="N58" s="73"/>
      <c r="O58" s="15"/>
    </row>
    <row r="59" spans="1:15" x14ac:dyDescent="0.25">
      <c r="A59" s="16">
        <v>15512</v>
      </c>
      <c r="B59" s="49">
        <v>500</v>
      </c>
      <c r="C59" s="17"/>
      <c r="D59" s="13">
        <v>15558</v>
      </c>
      <c r="E59" s="105">
        <v>400</v>
      </c>
      <c r="F59" s="14"/>
      <c r="G59" s="11">
        <v>15599</v>
      </c>
      <c r="H59" s="67">
        <v>200</v>
      </c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15513</v>
      </c>
      <c r="B60" s="49"/>
      <c r="C60" s="17" t="s">
        <v>44</v>
      </c>
      <c r="D60" s="13">
        <v>15559</v>
      </c>
      <c r="E60" s="105">
        <v>50</v>
      </c>
      <c r="F60" s="14" t="s">
        <v>47</v>
      </c>
      <c r="G60" s="11">
        <v>15600</v>
      </c>
      <c r="H60" s="67">
        <v>50</v>
      </c>
      <c r="I60" s="12" t="s">
        <v>72</v>
      </c>
      <c r="J60" s="61"/>
      <c r="K60" s="71"/>
      <c r="L60" s="62"/>
      <c r="M60" s="75"/>
      <c r="N60" s="73"/>
      <c r="O60" s="15"/>
    </row>
    <row r="61" spans="1:15" x14ac:dyDescent="0.25">
      <c r="A61" s="16">
        <v>15514</v>
      </c>
      <c r="B61" s="49">
        <v>800</v>
      </c>
      <c r="C61" s="17" t="s">
        <v>542</v>
      </c>
      <c r="D61" s="13">
        <v>15560</v>
      </c>
      <c r="E61" s="105">
        <v>800</v>
      </c>
      <c r="F61" s="14" t="s">
        <v>602</v>
      </c>
      <c r="G61" s="11">
        <v>15601</v>
      </c>
      <c r="H61" s="67">
        <v>50</v>
      </c>
      <c r="I61" s="12" t="s">
        <v>72</v>
      </c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 t="s">
        <v>16</v>
      </c>
      <c r="D62" s="13"/>
      <c r="E62" s="105"/>
      <c r="F62" s="14" t="s">
        <v>16</v>
      </c>
      <c r="G62" s="11">
        <v>15602</v>
      </c>
      <c r="H62" s="67">
        <v>600</v>
      </c>
      <c r="I62" s="12" t="s">
        <v>542</v>
      </c>
      <c r="J62" s="61"/>
      <c r="K62" s="71"/>
      <c r="L62" s="62"/>
      <c r="M62" s="75"/>
      <c r="N62" s="73"/>
      <c r="O62" s="15"/>
    </row>
    <row r="63" spans="1:15" x14ac:dyDescent="0.25">
      <c r="A63" s="16">
        <v>15515</v>
      </c>
      <c r="B63" s="49">
        <v>1200</v>
      </c>
      <c r="C63" s="17" t="s">
        <v>408</v>
      </c>
      <c r="D63" s="13">
        <v>15561</v>
      </c>
      <c r="E63" s="105">
        <v>450</v>
      </c>
      <c r="F63" s="14" t="s">
        <v>603</v>
      </c>
      <c r="G63" s="11"/>
      <c r="H63" s="67"/>
      <c r="I63" s="12" t="s">
        <v>17</v>
      </c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 t="s">
        <v>16</v>
      </c>
      <c r="D64" s="13"/>
      <c r="E64" s="105"/>
      <c r="F64" s="14" t="s">
        <v>604</v>
      </c>
      <c r="G64" s="11">
        <v>15603</v>
      </c>
      <c r="H64" s="67">
        <v>800</v>
      </c>
      <c r="I64" s="12" t="s">
        <v>76</v>
      </c>
      <c r="J64" s="61"/>
      <c r="K64" s="71"/>
      <c r="L64" s="62"/>
      <c r="M64" s="75"/>
      <c r="N64" s="73"/>
      <c r="O64" s="15"/>
    </row>
    <row r="65" spans="1:15" x14ac:dyDescent="0.25">
      <c r="A65" s="16">
        <v>15516</v>
      </c>
      <c r="B65" s="49">
        <v>800</v>
      </c>
      <c r="C65" s="17" t="s">
        <v>542</v>
      </c>
      <c r="D65" s="13">
        <v>15562</v>
      </c>
      <c r="E65" s="105">
        <v>4400</v>
      </c>
      <c r="F65" s="14" t="s">
        <v>561</v>
      </c>
      <c r="G65" s="11"/>
      <c r="H65" s="67"/>
      <c r="I65" s="12" t="s">
        <v>18</v>
      </c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 t="s">
        <v>16</v>
      </c>
      <c r="D66" s="13"/>
      <c r="E66" s="105"/>
      <c r="F66" s="14" t="s">
        <v>16</v>
      </c>
      <c r="G66" s="11">
        <v>15604</v>
      </c>
      <c r="H66" s="67">
        <v>400</v>
      </c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15517</v>
      </c>
      <c r="B67" s="49">
        <v>400</v>
      </c>
      <c r="C67" s="17" t="s">
        <v>255</v>
      </c>
      <c r="D67" s="13"/>
      <c r="E67" s="105"/>
      <c r="F67" s="14" t="s">
        <v>590</v>
      </c>
      <c r="G67" s="11">
        <v>15605</v>
      </c>
      <c r="H67" s="67">
        <v>600</v>
      </c>
      <c r="I67" s="12" t="s">
        <v>542</v>
      </c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18</v>
      </c>
      <c r="D68" s="13">
        <v>15563</v>
      </c>
      <c r="E68" s="105">
        <v>400</v>
      </c>
      <c r="F68" s="14" t="s">
        <v>535</v>
      </c>
      <c r="G68" s="11"/>
      <c r="H68" s="67"/>
      <c r="I68" s="12" t="s">
        <v>17</v>
      </c>
      <c r="J68" s="61"/>
      <c r="K68" s="71"/>
      <c r="L68" s="62"/>
      <c r="M68" s="75"/>
      <c r="N68" s="73"/>
      <c r="O68" s="15"/>
    </row>
    <row r="69" spans="1:15" x14ac:dyDescent="0.25">
      <c r="A69" s="16">
        <v>15518</v>
      </c>
      <c r="B69" s="49">
        <v>400</v>
      </c>
      <c r="C69" s="17"/>
      <c r="D69" s="13">
        <v>15564</v>
      </c>
      <c r="E69" s="105">
        <v>4400</v>
      </c>
      <c r="F69" s="14" t="s">
        <v>561</v>
      </c>
      <c r="G69" s="11">
        <v>15606</v>
      </c>
      <c r="H69" s="67">
        <v>600</v>
      </c>
      <c r="I69" s="12" t="s">
        <v>542</v>
      </c>
      <c r="J69" s="61"/>
      <c r="K69" s="71"/>
      <c r="L69" s="62"/>
      <c r="M69" s="75"/>
      <c r="N69" s="73"/>
      <c r="O69" s="15"/>
    </row>
    <row r="70" spans="1:15" x14ac:dyDescent="0.25">
      <c r="A70" s="16">
        <v>15519</v>
      </c>
      <c r="B70" s="49">
        <v>5600</v>
      </c>
      <c r="C70" s="17" t="s">
        <v>505</v>
      </c>
      <c r="D70" s="13"/>
      <c r="E70" s="105"/>
      <c r="F70" s="14" t="s">
        <v>16</v>
      </c>
      <c r="G70" s="11"/>
      <c r="H70" s="67"/>
      <c r="I70" s="12" t="s">
        <v>17</v>
      </c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575</v>
      </c>
      <c r="D71" s="13"/>
      <c r="E71" s="105"/>
      <c r="F71" s="14" t="s">
        <v>166</v>
      </c>
      <c r="G71" s="11">
        <v>15607</v>
      </c>
      <c r="H71" s="67">
        <v>1200</v>
      </c>
      <c r="I71" s="12" t="s">
        <v>505</v>
      </c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576</v>
      </c>
      <c r="D72" s="13">
        <v>15565</v>
      </c>
      <c r="E72" s="105">
        <v>300</v>
      </c>
      <c r="F72" s="14"/>
      <c r="G72" s="11"/>
      <c r="H72" s="67"/>
      <c r="I72" s="12" t="s">
        <v>16</v>
      </c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 t="s">
        <v>574</v>
      </c>
      <c r="D73" s="13"/>
      <c r="E73" s="105"/>
      <c r="F73" s="14"/>
      <c r="G73" s="11">
        <v>15608</v>
      </c>
      <c r="H73" s="67">
        <v>400</v>
      </c>
      <c r="I73" s="12" t="s">
        <v>542</v>
      </c>
      <c r="J73" s="61"/>
      <c r="K73" s="71"/>
      <c r="L73" s="62"/>
      <c r="M73" s="75"/>
      <c r="N73" s="73"/>
      <c r="O73" s="15"/>
    </row>
    <row r="74" spans="1:15" x14ac:dyDescent="0.25">
      <c r="A74" s="16">
        <v>15520</v>
      </c>
      <c r="B74" s="49">
        <v>200</v>
      </c>
      <c r="C74" s="17" t="s">
        <v>535</v>
      </c>
      <c r="D74" s="13"/>
      <c r="E74" s="105"/>
      <c r="F74" s="14"/>
      <c r="G74" s="11"/>
      <c r="H74" s="67"/>
      <c r="I74" s="12" t="s">
        <v>18</v>
      </c>
      <c r="J74" s="61"/>
      <c r="K74" s="71"/>
      <c r="L74" s="62"/>
      <c r="M74" s="75"/>
      <c r="N74" s="73"/>
      <c r="O74" s="15"/>
    </row>
    <row r="75" spans="1:15" x14ac:dyDescent="0.25">
      <c r="A75" s="16">
        <v>15521</v>
      </c>
      <c r="B75" s="49">
        <v>1000</v>
      </c>
      <c r="C75" s="17" t="s">
        <v>578</v>
      </c>
      <c r="D75" s="13"/>
      <c r="E75" s="105"/>
      <c r="F75" s="14"/>
      <c r="G75" s="11">
        <v>15609</v>
      </c>
      <c r="H75" s="67">
        <v>400</v>
      </c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 t="s">
        <v>579</v>
      </c>
      <c r="D76" s="13"/>
      <c r="E76" s="105"/>
      <c r="F76" s="14"/>
      <c r="G76" s="11">
        <v>15610</v>
      </c>
      <c r="H76" s="67">
        <v>800</v>
      </c>
      <c r="I76" s="12" t="s">
        <v>613</v>
      </c>
      <c r="J76" s="61"/>
      <c r="K76" s="71"/>
      <c r="L76" s="62"/>
      <c r="M76" s="75"/>
      <c r="N76" s="73"/>
      <c r="O76" s="15"/>
    </row>
    <row r="77" spans="1:15" x14ac:dyDescent="0.25">
      <c r="A77" s="16">
        <v>15522</v>
      </c>
      <c r="B77" s="49">
        <v>800</v>
      </c>
      <c r="C77" s="17" t="s">
        <v>505</v>
      </c>
      <c r="D77" s="13"/>
      <c r="E77" s="105"/>
      <c r="F77" s="14"/>
      <c r="G77" s="11"/>
      <c r="H77" s="67"/>
      <c r="I77" s="12" t="s">
        <v>16</v>
      </c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577</v>
      </c>
      <c r="D78" s="13"/>
      <c r="E78" s="105"/>
      <c r="F78" s="14"/>
      <c r="G78" s="11">
        <v>15611</v>
      </c>
      <c r="H78" s="67">
        <v>1500</v>
      </c>
      <c r="I78" s="12" t="s">
        <v>551</v>
      </c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14">
        <v>43101</v>
      </c>
      <c r="D79" s="13"/>
      <c r="E79" s="105"/>
      <c r="F79" s="14"/>
      <c r="G79" s="11"/>
      <c r="H79" s="67"/>
      <c r="I79" s="12" t="s">
        <v>617</v>
      </c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105"/>
      <c r="F80" s="14"/>
      <c r="G80" s="11"/>
      <c r="H80" s="67"/>
      <c r="I80" s="117">
        <v>300</v>
      </c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105"/>
      <c r="F81" s="14"/>
      <c r="G81" s="11">
        <v>15612</v>
      </c>
      <c r="H81" s="67">
        <v>750</v>
      </c>
      <c r="I81" s="12" t="s">
        <v>551</v>
      </c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105"/>
      <c r="F82" s="14"/>
      <c r="G82" s="11"/>
      <c r="H82" s="67"/>
      <c r="I82" s="12" t="s">
        <v>20</v>
      </c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105"/>
      <c r="F83" s="14"/>
      <c r="G83" s="11">
        <v>15613</v>
      </c>
      <c r="H83" s="67">
        <v>600</v>
      </c>
      <c r="I83" s="12" t="s">
        <v>542</v>
      </c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105"/>
      <c r="F84" s="14"/>
      <c r="G84" s="11"/>
      <c r="H84" s="67"/>
      <c r="I84" s="12" t="s">
        <v>17</v>
      </c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105"/>
      <c r="F85" s="14"/>
      <c r="G85" s="11">
        <v>15614</v>
      </c>
      <c r="H85" s="67">
        <v>400</v>
      </c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105"/>
      <c r="F86" s="14"/>
      <c r="G86" s="11">
        <v>15615</v>
      </c>
      <c r="H86" s="67">
        <v>3300</v>
      </c>
      <c r="I86" s="12" t="s">
        <v>561</v>
      </c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105"/>
      <c r="F87" s="14"/>
      <c r="G87" s="11"/>
      <c r="H87" s="67"/>
      <c r="I87" s="12" t="s">
        <v>17</v>
      </c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105"/>
      <c r="F88" s="14"/>
      <c r="G88" s="11"/>
      <c r="H88" s="67"/>
      <c r="I88" s="12" t="s">
        <v>614</v>
      </c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105"/>
      <c r="F89" s="14"/>
      <c r="G89" s="11">
        <v>15616</v>
      </c>
      <c r="H89" s="67">
        <v>400</v>
      </c>
      <c r="I89" s="12" t="s">
        <v>618</v>
      </c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105"/>
      <c r="F90" s="14"/>
      <c r="G90" s="11"/>
      <c r="H90" s="67"/>
      <c r="I90" s="12" t="s">
        <v>18</v>
      </c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105"/>
      <c r="F91" s="14"/>
      <c r="G91" s="11">
        <v>15617</v>
      </c>
      <c r="H91" s="67">
        <v>200</v>
      </c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105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105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105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105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105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105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105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105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105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24</vt:i4>
      </vt:variant>
    </vt:vector>
  </HeadingPairs>
  <TitlesOfParts>
    <vt:vector size="39" baseType="lpstr">
      <vt:lpstr>C C Aportaciones ENE 17</vt:lpstr>
      <vt:lpstr>C C Aportaciones FEB 17</vt:lpstr>
      <vt:lpstr>C C Aportaciones MAR 17 </vt:lpstr>
      <vt:lpstr>C C Aportaciones ABR 17   </vt:lpstr>
      <vt:lpstr>C C Aportaciones MAY 17</vt:lpstr>
      <vt:lpstr>CC Aportaciones JUN 17</vt:lpstr>
      <vt:lpstr>C C Aportaciones JUL 17   </vt:lpstr>
      <vt:lpstr>C C Aportaciones AGO 17   </vt:lpstr>
      <vt:lpstr>C C Aportaciones SEP 17</vt:lpstr>
      <vt:lpstr>C C Aportaciones OCT 17 </vt:lpstr>
      <vt:lpstr>C C Aportaciones NOV 17   </vt:lpstr>
      <vt:lpstr>C C Aportaciones DIC 17  </vt:lpstr>
      <vt:lpstr>Hoja1</vt:lpstr>
      <vt:lpstr>Hoja2</vt:lpstr>
      <vt:lpstr>Hoja3</vt:lpstr>
      <vt:lpstr>'C C Aportaciones ABR 17   '!Área_de_impresión</vt:lpstr>
      <vt:lpstr>'C C Aportaciones AGO 17   '!Área_de_impresión</vt:lpstr>
      <vt:lpstr>'C C Aportaciones DIC 17  '!Área_de_impresión</vt:lpstr>
      <vt:lpstr>'C C Aportaciones ENE 17'!Área_de_impresión</vt:lpstr>
      <vt:lpstr>'C C Aportaciones FEB 17'!Área_de_impresión</vt:lpstr>
      <vt:lpstr>'C C Aportaciones JUL 17   '!Área_de_impresión</vt:lpstr>
      <vt:lpstr>'C C Aportaciones MAR 17 '!Área_de_impresión</vt:lpstr>
      <vt:lpstr>'C C Aportaciones MAY 17'!Área_de_impresión</vt:lpstr>
      <vt:lpstr>'C C Aportaciones NOV 17   '!Área_de_impresión</vt:lpstr>
      <vt:lpstr>'C C Aportaciones OCT 17 '!Área_de_impresión</vt:lpstr>
      <vt:lpstr>'C C Aportaciones SEP 17'!Área_de_impresión</vt:lpstr>
      <vt:lpstr>'CC Aportaciones JUN 17'!Área_de_impresión</vt:lpstr>
      <vt:lpstr>'C C Aportaciones ABR 17   '!Títulos_a_imprimir</vt:lpstr>
      <vt:lpstr>'C C Aportaciones AGO 17   '!Títulos_a_imprimir</vt:lpstr>
      <vt:lpstr>'C C Aportaciones DIC 17  '!Títulos_a_imprimir</vt:lpstr>
      <vt:lpstr>'C C Aportaciones ENE 17'!Títulos_a_imprimir</vt:lpstr>
      <vt:lpstr>'C C Aportaciones FEB 17'!Títulos_a_imprimir</vt:lpstr>
      <vt:lpstr>'C C Aportaciones JUL 17   '!Títulos_a_imprimir</vt:lpstr>
      <vt:lpstr>'C C Aportaciones MAR 17 '!Títulos_a_imprimir</vt:lpstr>
      <vt:lpstr>'C C Aportaciones MAY 17'!Títulos_a_imprimir</vt:lpstr>
      <vt:lpstr>'C C Aportaciones NOV 17   '!Títulos_a_imprimir</vt:lpstr>
      <vt:lpstr>'C C Aportaciones OCT 17 '!Títulos_a_imprimir</vt:lpstr>
      <vt:lpstr>'C C Aportaciones SEP 17'!Títulos_a_imprimir</vt:lpstr>
      <vt:lpstr>'CC Aportaciones JUN 17'!Títulos_a_imprimir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Hacienda de Coyoacan</cp:lastModifiedBy>
  <cp:lastPrinted>2016-11-10T23:00:47Z</cp:lastPrinted>
  <dcterms:created xsi:type="dcterms:W3CDTF">2013-12-30T22:30:56Z</dcterms:created>
  <dcterms:modified xsi:type="dcterms:W3CDTF">2018-01-11T21:11:35Z</dcterms:modified>
</cp:coreProperties>
</file>