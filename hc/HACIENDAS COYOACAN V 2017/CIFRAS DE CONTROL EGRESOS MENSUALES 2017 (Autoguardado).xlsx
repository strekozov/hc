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60" windowWidth="20115" windowHeight="6945"/>
  </bookViews>
  <sheets>
    <sheet name="CIBRAS DE CONTROL 2016" sheetId="5" r:id="rId1"/>
  </sheets>
  <definedNames>
    <definedName name="_xlnm.Print_Area" localSheetId="0">'CIBRAS DE CONTROL 2016'!$M$5:$O$100</definedName>
    <definedName name="_xlnm.Print_Titles" localSheetId="0">'CIBRAS DE CONTROL 2016'!$1:$4</definedName>
  </definedNames>
  <calcPr calcId="144525"/>
</workbook>
</file>

<file path=xl/calcChain.xml><?xml version="1.0" encoding="utf-8"?>
<calcChain xmlns="http://schemas.openxmlformats.org/spreadsheetml/2006/main">
  <c r="W3" i="5" l="1"/>
  <c r="V3" i="5"/>
  <c r="K3" i="5" l="1"/>
  <c r="E3" i="5" l="1"/>
  <c r="Z3" i="5" l="1"/>
  <c r="Q3" i="5" l="1"/>
  <c r="A3" i="5" l="1"/>
  <c r="AF3" i="5" l="1"/>
  <c r="AI3" i="5" l="1"/>
  <c r="AH3" i="5"/>
  <c r="AE3" i="5"/>
  <c r="AC3" i="5"/>
  <c r="AB3" i="5"/>
  <c r="Y3" i="5"/>
  <c r="T3" i="5" l="1"/>
  <c r="S3" i="5"/>
  <c r="J3" i="5" l="1"/>
  <c r="P3" i="5"/>
  <c r="N3" i="5"/>
  <c r="M3" i="5"/>
  <c r="B3" i="5" l="1"/>
  <c r="D3" i="5"/>
  <c r="G3" i="5"/>
  <c r="H3" i="5"/>
</calcChain>
</file>

<file path=xl/sharedStrings.xml><?xml version="1.0" encoding="utf-8"?>
<sst xmlns="http://schemas.openxmlformats.org/spreadsheetml/2006/main" count="1430" uniqueCount="1162">
  <si>
    <t>Importe</t>
  </si>
  <si>
    <t>enero</t>
  </si>
  <si>
    <t>Fecha</t>
  </si>
  <si>
    <t>CONTROL DE GASTOS</t>
  </si>
  <si>
    <t>ENERO</t>
  </si>
  <si>
    <t>FEBRERO</t>
  </si>
  <si>
    <t>MARZO</t>
  </si>
  <si>
    <t>ABRIL</t>
  </si>
  <si>
    <t>MAYO</t>
  </si>
  <si>
    <t>JUNIO</t>
  </si>
  <si>
    <t>AGOSTO</t>
  </si>
  <si>
    <t>SEPTIEMBRE</t>
  </si>
  <si>
    <t>OCTUBRE</t>
  </si>
  <si>
    <t>NOVIEMBRE</t>
  </si>
  <si>
    <t>DICIEMBRE</t>
  </si>
  <si>
    <t>JULIO</t>
  </si>
  <si>
    <t>Pedro Bazzan, pago por recolecciòn de basura en fin de semana</t>
  </si>
  <si>
    <t>CIFRAS DE CONTROL DEL 2017</t>
  </si>
  <si>
    <t>Cadena Comercial Oxxo, S.A. de C.V. compra de café para mesa de cobranza y vigilancia domingos</t>
  </si>
  <si>
    <t>Pedro Bazzan, pago por recolecciòn de pasto podado en la semana</t>
  </si>
  <si>
    <t>Electropura, S de R.L. de C.V. compra de 10 garrafones de agua</t>
  </si>
  <si>
    <t>Office Depot de Mèxico, S.A. de C.V. compra de papelerìa para Tesorerìa</t>
  </si>
  <si>
    <t>Italcafe, S.A. de C.V., junta de mesa directiva</t>
  </si>
  <si>
    <t>Estacionamiento Cuemanco, pago de estaciònamiento junta de mesa directiva</t>
  </si>
  <si>
    <t xml:space="preserve">Advanced Servicio CCTV y Còmputo, compra de 30 portatarjetas </t>
  </si>
  <si>
    <t>Advanced Servicio CCTV y Còmputo, pago instalciòn de 1 disco duro en DVR configuraciòn y program</t>
  </si>
  <si>
    <t>Advanced Servicio CCTV y Còmputo, compra de 1 disco duro Thosiba capacidad 1000</t>
  </si>
  <si>
    <t>Nueva Walmar de Mèxico, S. de R.L. de C.V., compra de rosca de reyes para vigilancia</t>
  </si>
  <si>
    <t>Telefonos de Mèxico, S.A.B. de C.V. pago del mes de diciembre/16</t>
  </si>
  <si>
    <t>Ing. Jorge Vàzquez, compra de 1 pila para control de pulma de caseta Zinampa</t>
  </si>
  <si>
    <t>Advanced Servicio CCTV y Còmputo, compra de 1 fuente para DVR H264 de 12 voltios</t>
  </si>
  <si>
    <t>Advanced Servicio CCTV y Còmputo, pago de mano de obra en instalaciòn de Disco duro en DVR CL</t>
  </si>
  <si>
    <t>Luis Hernàndez, pago por arreglo de resbaladilla en el parque</t>
  </si>
  <si>
    <t xml:space="preserve">Luis Hernàndez, pago arreglo puertas peatonales LD, UP, y CL </t>
  </si>
  <si>
    <t xml:space="preserve">Advanced Servicio CCTV y Còmputo, pago por mano de obra en pluma de salida calibraciòn y </t>
  </si>
  <si>
    <t>Roberto Miranda, pago por recolecciòn de pasto en parque</t>
  </si>
  <si>
    <t>Gloria Mazzòn, pago por captura de datos del 02 al 06 de enero/17</t>
  </si>
  <si>
    <t>Asunciòn Gama, compra de refresco para vigilancia</t>
  </si>
  <si>
    <t>Constantino Cabrera, pago por poda de pasto del parque del frac del 03 al 07 de enero/17</t>
  </si>
  <si>
    <t>Asunciòn Gama, compra de tortillas para vigilancia</t>
  </si>
  <si>
    <t>Ferre Electrica Dìaz, compra de 2 focos para caseta de Zianampa</t>
  </si>
  <si>
    <t>Servicio Rodasa, S.A. de C.V. pago de gasolina Grisela Peralta, compras variasç</t>
  </si>
  <si>
    <t>Asunciòn Gama, pago en apoyo extraordinario por investigas si hay vecinos en casa vecinos ambulan</t>
  </si>
  <si>
    <t>Olegagio Gama, pago en apoyo de recortar y podar àrboles en Romeral que tapan camara</t>
  </si>
  <si>
    <t>Advanced Servicio CCTV y Servicio, pago de mano de obra en realizaciòn de 1 video caseta RV</t>
  </si>
  <si>
    <t>Advanced Servicio CCTV y Servicio, Compra de 1 bobina Cabe UTP  para camaras de Landero</t>
  </si>
  <si>
    <t>Advanced Servicio CCTV y Servicio, Compra de 1 Disco Duro de 1000 G</t>
  </si>
  <si>
    <t>Sistemas de Computo, pago por ediciòn y carga de datos en sistema de credenciales servio fracc.</t>
  </si>
  <si>
    <t>Juan Sanchez, pago en apoyo de quitar todos los adornos del kiosco y guardar todo lo de navidad</t>
  </si>
  <si>
    <t>Guardìa y Custodìas Gama, pago de la 1er quincena de enero/17</t>
  </si>
  <si>
    <t>Grisela Peralta Portugal, pago de la 1er quinana de enero/17</t>
  </si>
  <si>
    <t>Camiòn Basura, pago por recoler basura de recovebo y costales de desechos</t>
  </si>
  <si>
    <t>Luis Hernàndez, pago por arreglo de reja estopila y riel del lado izquierdo</t>
  </si>
  <si>
    <t>Gloria Mazzòn, pago por captura de datos del 09 al 13 de enero/17</t>
  </si>
  <si>
    <t>Sistemas de Còmputo, pago de 3 credenciales captura y realizaciòn de las mismas</t>
  </si>
  <si>
    <t>Office Depot de Mèxico, S.A. de C.V., enicado de tres credenciales para personal de servicio</t>
  </si>
  <si>
    <t>Constantino Cabrera, compra de materiales para poda de pasto</t>
  </si>
  <si>
    <t>Constantino Cabrera, pago por poda de pasto del parque del frac del 10 al 14 de enero/17</t>
  </si>
  <si>
    <t>Pedro Bazzan, pago por recolecciòn de basura en todo el frac de lunes a viernes de la 1er quincena</t>
  </si>
  <si>
    <t>Roberto Miranda, pago por recolecciòn y barrer todo el fraccionamiento 1er quincena enero/17</t>
  </si>
  <si>
    <t>Jose Asunciòn Jimenez, pago de varios trabajos realizados en el fraccionamiento.</t>
  </si>
  <si>
    <t>15-001-17</t>
  </si>
  <si>
    <t>Pedro Bazzan, pago por recoleccion de basura en fin de semana</t>
  </si>
  <si>
    <t>Advanced Servicio CCTV y Còmputo, compra de un maletìn para cobranza</t>
  </si>
  <si>
    <t xml:space="preserve">Advanced Servicio CCTV y Còmputo, compra de 10 portatarjetas </t>
  </si>
  <si>
    <t>Office Depot de Mèxico, S.A. de C.V., compra de cartuchos epson para impresora de tesorerìa</t>
  </si>
  <si>
    <t>Papelerìa Colibrì, compra de hojas tamaño oficio para tesorerìa</t>
  </si>
  <si>
    <t>Advanced Servicio CCTV y Còmputo, pago de 1 respaldo de video cuchilla-estopila</t>
  </si>
  <si>
    <t>Cadena Comercial Oxxo, S.A. de C.V., compra de material de limpieza para casetas</t>
  </si>
  <si>
    <t>Sabine Pèrez, pago de comida para personal delegaciòn que puso leteros de no tirar basurA</t>
  </si>
  <si>
    <t>Estacionamiento, visita a contador Siegrist</t>
  </si>
  <si>
    <t>SAT Servicio de Administración Tributaría, pago mes de enero/17</t>
  </si>
  <si>
    <t>Siegrist Contadores Publicos, pago de honorarios mes de enero/17</t>
  </si>
  <si>
    <t>Israel Galan Quintin, compra de 30 llaves para acceso peatonal</t>
  </si>
  <si>
    <t>Servicio Robledo, S.A. de C.V. pago gasolina para presidencia visita al contador Siegrits</t>
  </si>
  <si>
    <t>Centro de Copiado y Papelerìa, pago de 2 lapiz moped y 10 foldes beige</t>
  </si>
  <si>
    <t>Tiendita, compra de botanas para vigilancia</t>
  </si>
  <si>
    <t>Centro de Copiado y Papelerìa, pago de 2,334 copias para entregar al fraccionamientto reporte anual</t>
  </si>
  <si>
    <t>Jovenes del fraccionamiento, compensaciòn en entrega de reporte anual casa por casa</t>
  </si>
  <si>
    <t>Delegaciòn, compra de refrescos a personal delegaciòn que repararòn banquetas</t>
  </si>
  <si>
    <t>Camiòn Basura, pago por recolecciòn de cascajo frente a cuchilla</t>
  </si>
  <si>
    <t>Ing. Jorge Vàzquez, compra de 1 computadora para presidencia</t>
  </si>
  <si>
    <t>Advanced Servicio CCTV y Còmputo, compra de 1 centro de metal para reparar pluma de acceso</t>
  </si>
  <si>
    <t>Papelerìa Colibrì, compra de folders de plastico</t>
  </si>
  <si>
    <t>El Globo, Tradiciòn en Pastelerìas, S.A. de C.V., junta mesa directiva</t>
  </si>
  <si>
    <t>Gloria Mazzòn,  pago por captura de datos del 16 al 20 de enero/17</t>
  </si>
  <si>
    <t>Pedro Bazzan, pago por recolección de pasto del parque de jueves a sabado</t>
  </si>
  <si>
    <t>Imgaen Publicitaria, pago de 1000 recibos c/copia para cobranza</t>
  </si>
  <si>
    <t>Advanced Servicio CCTV y Còmputo, pago por reparaciòn de pluma de salida cambio de placa y acce</t>
  </si>
  <si>
    <t>Advanced Servicio CCTV y Còmputo, pago por desbloquo y boqueo de tarjetas de base de datos</t>
  </si>
  <si>
    <t>Advanced Servicio CCTV y Còmputo, pago por instalaciòn de antivirus a computadora presidencia</t>
  </si>
  <si>
    <t>Advanced Servicio CCTV y Còmputo, pago por 1 paquete para tres equipos de antivirus</t>
  </si>
  <si>
    <t>Constantino Cabrera, pago por poda de pasto del parque del fralcc del 17 al 21 de enero/17</t>
  </si>
  <si>
    <t>Estacionamiento Cuemanco, compra de banco</t>
  </si>
  <si>
    <t>Nueva Walmart de Mèxico, S. de R.L. de C.V., compra de 1 carpeta registro para mesa directiva</t>
  </si>
  <si>
    <t>Nueva Walmart de Mèxico, S. de R.L. de C.V., compra de 1 banco para caseta de cuchilla y estopila</t>
  </si>
  <si>
    <t>Gloria Mazzòn, pago en apoyo cobranza de domingo 22 de enero/17</t>
  </si>
  <si>
    <t>Cadena Comercial Oxxo, S.A. de C.V., compra de regrescos para junta de vigilancia con mesa directi</t>
  </si>
  <si>
    <t>Advanced Servicio CCTV y Còmputo, compra de 5 carcasas para camaras</t>
  </si>
  <si>
    <t>Cadena Comercial Oxxo, S.A. de C.V., compra de refrescos para junta vigilancia y mesa directiva</t>
  </si>
  <si>
    <t>Distribuidora El Bollo Cafetales, S.A. de C.V. compra de bocadillos para evento Gama</t>
  </si>
  <si>
    <t>Roberto Miranda, pago por recoger varios troncos en parque del fraccionamiento</t>
  </si>
  <si>
    <t>Personal Delegación, compra de refrescos y botanas personal de banquetas</t>
  </si>
  <si>
    <t>Grupo Amigos de San Angel, S.A. de C.V. desayuno comité vecinal con mesa directiva</t>
  </si>
  <si>
    <t>Personal Delegación, compensación por tapar hoyo bache en fraccionamiento</t>
  </si>
  <si>
    <t>Sistemas de Computo, pago por captura y enmicado de credencial programa personal de servicio</t>
  </si>
  <si>
    <t>Office Depot de México, S.A. de C.V., compra de papel, boligrafos y enmicado de credenciales</t>
  </si>
  <si>
    <t>Manuel Gama, compra de agua para casetas</t>
  </si>
  <si>
    <t>Grisela Peralta Portugal, aportación voluntaria al padre David por misa de difunto a un vecino</t>
  </si>
  <si>
    <t>Guardìa y Custodìas Gama, pago A/C de 2da quincena de enero/17</t>
  </si>
  <si>
    <t>Gloria Mazzón pago por captura de datos del 23 al 27 de enero/17</t>
  </si>
  <si>
    <t>Gloria Mazzón pago en apoyo a cobranza domingo 29 de enero/17</t>
  </si>
  <si>
    <t>Guardías y Custodías Gama, pago LIQ de la 2da. Quincena de enero/17</t>
  </si>
  <si>
    <t>Grisela Peralta Portuga, pago de la 2da. Quincena de enero/17</t>
  </si>
  <si>
    <t>Jose Asunción Jimenez, compensación en empacar troncos en parque del fraccionamiento</t>
  </si>
  <si>
    <t>Benotto, S.A. de C.V. compra de 1 tapon de camara para bici de vigilancia</t>
  </si>
  <si>
    <t>Constantino Cabrera, pago por poda de pasto del parque fracc. Del 24 al 28 de enero/17</t>
  </si>
  <si>
    <t>Servicio Robledo, S.A. de C.V. pago gasolina para presidencia visita varias</t>
  </si>
  <si>
    <t>Electricista, pago por reconecciòn cable en kiosco parte interna</t>
  </si>
  <si>
    <t>Electropura, S de R.L. de C.V. compra de 8 garrafones de agua</t>
  </si>
  <si>
    <t>Patrulla 007, compensaciòn en apoyo de terreno Estazuela problema supuestos 2 dueños</t>
  </si>
  <si>
    <t xml:space="preserve">Jose Asunciòn Jimenez, compensaciòn en entrega de algunas credenciales que faltaban servico </t>
  </si>
  <si>
    <t>Cuadrilla Delegaciòn, compensaciòn en apoyo personal delegaciòn alumbrado publico</t>
  </si>
  <si>
    <t>Roberto Miranda, pago por barrer todo el fracc de lunes a viernes de la 2da quincena enero/17</t>
  </si>
  <si>
    <t>Pedro Bazzan, pago por recolecciòn de basura en fracc de lunes a viernes 2da quincena enero/17</t>
  </si>
  <si>
    <t>Telefonos de Mèxico, S.A.B. de C.V. pago del mes de enero/17</t>
  </si>
  <si>
    <t>Fantasias Miguel, compra de tablero para colocar credenciales del servico de limpieza por casa</t>
  </si>
  <si>
    <t>Operadora Central de Estacionamientos, SAPI de C.V. compra de tablero</t>
  </si>
  <si>
    <t>Operadora Vips S. de R.L. de C.V. comida por visita a Regristo Pùblico de la Propiedad</t>
  </si>
  <si>
    <t>JB Estacionamientos S.A. de C.V. visita a Registro Pùblico de la Propiedad</t>
  </si>
  <si>
    <t>Consorcio Gasolinero Plus, S.A. de C.V. gasolina presidenta para visita al Registro Pùblico de la P</t>
  </si>
  <si>
    <t>Sr. Noe Tamales, tradiciòn de 2 de febrro con personal de vigilancia y Mesa directiva</t>
  </si>
  <si>
    <t>Josè Asunciòn, compensaciòn por organizaciòn de llaves de cada puerta del fraccionamiento</t>
  </si>
  <si>
    <t>Pedro Bazzan, pago por recolecciòn de basura y troncos que faltaron en el parque</t>
  </si>
  <si>
    <t>Josè Asunciòn, compensaciòn por limpieza de caseta Recoveco, caseta y alrededor</t>
  </si>
  <si>
    <t>Office Depot de Mèxico, S.A. de C.V., compra de papelerìa para tesoreria</t>
  </si>
  <si>
    <t>Office Depot de Mèxico, S.A. de C.V., compra de papelerìa para presidiencia</t>
  </si>
  <si>
    <t>Patrulla 007 compensaciòn en apoyo a patrullae colonia en la noche que no hay luz a medio parque</t>
  </si>
  <si>
    <t>Office Depot de Mèxico, S.A. de C.V. compra de una impesora para presidencia</t>
  </si>
  <si>
    <t>Personal Delegaciòn, pago por reparaciòn y cambio de regulador en parque, cableado nuevo</t>
  </si>
  <si>
    <t>Gestor para Registro de la Propiedad asunto terreno Estanzuela esq. Recoveco</t>
  </si>
  <si>
    <t>Advanced Servicio CCTV y Còmputo, compra de 5 camaras AHD Tecnologìa</t>
  </si>
  <si>
    <t>Niño Jesus de la Colonia, pago de vestimenta y canasta de niño dios</t>
  </si>
  <si>
    <t>Roberto Miranda, pago por ayuda en recolecciòn de ramas en parque y llevarselas al camiòn</t>
  </si>
  <si>
    <t>Gloria Mazzòn, pago por captura de datos del 30 enero al 03 de febrero/17</t>
  </si>
  <si>
    <t>Olegario Vàzquez, compensaciòn por quitar todos lo letreros de la colonia y por fuera</t>
  </si>
  <si>
    <t>Constantino Cabrera, pago por poda de pasto del lparque en fracc. Del 31 ene al 04 febrero/17</t>
  </si>
  <si>
    <t>Patrulla 007, compensaciòn para llevar a juez civico a vecinos de cuchilla por problema de estaciona</t>
  </si>
  <si>
    <t>Cadena Comercial Oxxo, S.A. de C.V. compra de café y refrescos para mesa de cobranza y vigilancia</t>
  </si>
  <si>
    <t>Patrulla 007, compensaciòn por rondines en parque por no haber luz en el parque</t>
  </si>
  <si>
    <t>Electropura, S. de R.L. de C.V., copra de 10 garrafones de agua</t>
  </si>
  <si>
    <t>Cadena Comercial Oxxo, S.A. de C.V., compra de 1 garrafon de agua para casetas</t>
  </si>
  <si>
    <t>Gloria Mazzòn, pago en appoyo de cobranza de domingo 05 de febrero/17</t>
  </si>
  <si>
    <t>Constantino Cabrera, compra de material para poda en parque</t>
  </si>
  <si>
    <t>Josè Manuel Olivares, compensaciòn en apoyo de quitar y podar en Romeral todo el pasto</t>
  </si>
  <si>
    <t xml:space="preserve">Constantino Cabrera, pago en programa de corte de tocones </t>
  </si>
  <si>
    <t>Guardìas y Custodìas Gama, pago a/c de primer quincena de febrero/17</t>
  </si>
  <si>
    <t>Electropura, S. de R.L. de C.V., compra de 3 garrafones de agua</t>
  </si>
  <si>
    <t>Secretarìa de Marina, pago de gasolina para presidencia asuntos varios</t>
  </si>
  <si>
    <t>Padre David, compensaciòn en misa de difunto a familiar de mesa directiva</t>
  </si>
  <si>
    <t>Tienda, compra de café y agua en cepelio de un familiar de mesa directiva</t>
  </si>
  <si>
    <t>Florerìa Alex, compra de arreglo florar para funeral</t>
  </si>
  <si>
    <t>Luis Hernàndez, pago por repraciòn de chapa EP y desarmar y cambiar pieza de EZ mantenimiento</t>
  </si>
  <si>
    <t>Gloria Mazzòn, Pago de honorarios por trabajo de captura de datos del 06 al 10 de febrero/17</t>
  </si>
  <si>
    <t>Pedro Bazzan, pago por recolecciòn de pasto martes, jueves y sabados podado toda la semana</t>
  </si>
  <si>
    <t>05--02-17</t>
  </si>
  <si>
    <t>Regisgro Pùblico de la Propiedad, lote EZ esq. RV, 160 m2</t>
  </si>
  <si>
    <t>Regisgro Pùblico de la Propiedad, lote EZ esq. RV, 355 m2</t>
  </si>
  <si>
    <t>Gestor para pago de derechos para obtner constancia registral de folio real apoyo traslado</t>
  </si>
  <si>
    <t>Advanced Servicio CCTV y Còmputo, compra de 5 eliminadores , 10 transceptores y 5 plug circuito LD</t>
  </si>
  <si>
    <t>Constantino Cabrera, pago por poda de pasto del lparque en fracc. Del 07 al 11 febrero/17</t>
  </si>
  <si>
    <t>Manuel Olivares, compra de material de limpieza</t>
  </si>
  <si>
    <t>Cadena Comercial Oxxo, S.A. de C.V., compra de café mesa de cobranza domingos</t>
  </si>
  <si>
    <t>Pedro Bazzan, pago por recolecciòn de basura fin de semana</t>
  </si>
  <si>
    <t>Cadena Comercial Oxxo, S.A. de C.V., compra de refrescos junta mesa directiva</t>
  </si>
  <si>
    <t>Cuadrilla Delegaciòn, pago por apoyo en arreglo luz del parque cambio de cable quemado</t>
  </si>
  <si>
    <t>Electropura, S. de R.L. de C.V., compra de 10 garrafones de agua para casetas</t>
  </si>
  <si>
    <t>Electropura, S. de R.L. de C.V., compra de 1 garrafon de agua para caseta</t>
  </si>
  <si>
    <t>Advanced Servicio CCTV y Còmputo, compra de 2 botes de aire comprimido para camaras y lectores</t>
  </si>
  <si>
    <t>Cuadrilla Delegaciòn, pago en apoyo de arreglar luz en Cuchilla y Recoveco</t>
  </si>
  <si>
    <t>Cuadrilla Delegaciòn, compra de refrescos por la reparaciòn de fuga de agua salida caseta Zinampa</t>
  </si>
  <si>
    <t>Advanced Servicio CCTV y Còmputo, compra de 2 bolsas de sujetadores y 10 abrazaderas para poste</t>
  </si>
  <si>
    <t>Pastelerìa Bodon, S.A. de C.V. compra de bolsa de paletas para vecinos dia 14/feb/17</t>
  </si>
  <si>
    <t>Cadena Comercial Oxxo, S.A. de C.V. compra de garrafon para caseta Romeral</t>
  </si>
  <si>
    <t>Cadena Comercial Oxxo, S.A. de C.V. compra de refrescos para personal delegaciòn reparaciòn fuga</t>
  </si>
  <si>
    <t>Guardìas y Custodìas Gama, pago Liq de la  primer quincena de febrero/17</t>
  </si>
  <si>
    <t>Grisela Peralta, pago de la primer quincena de febrero/17</t>
  </si>
  <si>
    <t>Roberto Miranda, pago por barrer todo el fraccionamiento de lunes a viernes la 1er quincena febrer</t>
  </si>
  <si>
    <t>Pedro Bazzan, pago por recolecciòn de basura en todo el fraccionamiento de lunes a viernes 1er qui</t>
  </si>
  <si>
    <t>Materiales y Tlapalerìa La Palma, compra de juego de llaves Allen, para reparaciòn de pluma</t>
  </si>
  <si>
    <t>Asunciòn Gama, compra de herrramientas para reparar pluma que derrivo vecino de EZ_61</t>
  </si>
  <si>
    <t>Roberto Arambula, compensaciòn en colocaciòn de pluma con ayuda de otro guardìa</t>
  </si>
  <si>
    <t>Advanced Servicio CCTV y Còmputo, pago de 1 respaldo de video</t>
  </si>
  <si>
    <t>Advanced Servicio CCTV y Còmputo, pago por reparaciòn y ajuste de pluma subida y bajada</t>
  </si>
  <si>
    <t>Advanced Servicio CCTV y Còmputo, compra de 1 eliminador AV 2 amperes</t>
  </si>
  <si>
    <t>Manuel Olivares, compensaciòn en apoyo de varios trabajos en el fraccionamiento</t>
  </si>
  <si>
    <t>Electropura, S. de R.L. de C.V. compra de 10 garrafones de agua para casetas</t>
  </si>
  <si>
    <t>Gloria Mazzòn, pago de honorarios por trabajo de captura de datos del 12 al 17 de febrero/17</t>
  </si>
  <si>
    <t>Constantino Cabrera, pago por poda de pasto del 15 al 18 de febrero/17</t>
  </si>
  <si>
    <t>Abastecedora del Jardìn, compr de 1 sopladora Stihl y 1 Desmalezadora Stihl para poda de parque</t>
  </si>
  <si>
    <t>Cesar Armando Gama, compra de bulto de cemento para tapar bache en Upacuaro</t>
  </si>
  <si>
    <t>Daniel Gama, apoyo para pasajes por doblar turno</t>
  </si>
  <si>
    <t>Jose Asunciòn Dominguez, compensaciòn por reparar pluma en caseta de Zinampa</t>
  </si>
  <si>
    <t>Advanced Servicio CCTV y Còmputo, pago por 2 respaldos de vedo acontecimiento UP_103</t>
  </si>
  <si>
    <t>Ing. Jorge Vàzquez, compra de comida por trabajos extras en respaldos urgentes</t>
  </si>
  <si>
    <t xml:space="preserve">Grisela Peralta, compra de café personal de mesa directiva </t>
  </si>
  <si>
    <t>Administradora Auriga, S.A. de C.V. pago gasolina varias visitas de trabajo</t>
  </si>
  <si>
    <t>Estacionamiento, pago de estacionamiento visita contador Siegrist</t>
  </si>
  <si>
    <t>Empresas Myah, S.A. de C.V. compra de galletas visita contador Siegrist</t>
  </si>
  <si>
    <t>Materiales y Tlapalerìa La Palma, compra de 15 m de piola para colocar manta para miercoles de cen</t>
  </si>
  <si>
    <t>Ferre Electrica Dìaz, compra de manija WC y Sapo para baño caseta Romeral</t>
  </si>
  <si>
    <t>Siegrist Contadores Pùblicos, pago de honorarios del mes de febrero/17</t>
  </si>
  <si>
    <t>SAT Servicios de Administraciòn Tributarìa, pago IVA retenciòn colegio Carmel febrero/17</t>
  </si>
  <si>
    <t>Centro de Copiado y Papelerìa, pago de 910 copias informe al fraccionamiento acontecimientos act</t>
  </si>
  <si>
    <t>Centro de Copiado y Papelerìa, compra de papelerìa para presidencia</t>
  </si>
  <si>
    <t>Sabine Pèrez, pago de comida para personal delegaciòn de dragado y desasolve</t>
  </si>
  <si>
    <t>Advanced Servicio CCTV y Còmputo, reparaciòn de pluma de entrada</t>
  </si>
  <si>
    <t>Luis Hernàndez, pago por mantenimiento de 2 chapas y una compostura de puesta de estanzuela</t>
  </si>
  <si>
    <t>Sistema de Computo, pago por captura de datos en sistemas de personal de servicio del fracciona</t>
  </si>
  <si>
    <t>Grupo Modelo, S.A.B de C.V. compra de refrescos para junta mesa directiva y comité vecinal</t>
  </si>
  <si>
    <t>Ferretarìa, compra de herramientas para el fraccionamiento</t>
  </si>
  <si>
    <t>Herramientas Automotrices, compra de herramientos para el fraccionamiento</t>
  </si>
  <si>
    <t>Office Depot de Mèxico, S.A. de C.V. pago de enmicado de credenciales para personal de servicio</t>
  </si>
  <si>
    <t>Sabina Pèrez, pago de comida para personal delegaciòn desasolve estanzuela</t>
  </si>
  <si>
    <t>Paco Bicis, compra de rin trasero para bicicleta del fraccionamiento</t>
  </si>
  <si>
    <t>Asunciòn Gama, apoyo por arreglar kiosco y guardad adornos del fraccionamiento</t>
  </si>
  <si>
    <t>Asunciòn Gama, apoyo por lavar y limpiar todo el kiosco para las actividades del mismo</t>
  </si>
  <si>
    <t>Roberto Miranda, pago por limpiar desechos que dejaron CFE</t>
  </si>
  <si>
    <t>Manuel Olivares, compra de material de limpieza para casetas</t>
  </si>
  <si>
    <t>Advanced Servicio CCTV y Còmputo, compra de monitor sony para circuito Landero</t>
  </si>
  <si>
    <t>Gloria Mazzòn, compra de cajas para archivo muerto tesorerìa</t>
  </si>
  <si>
    <t>Advanced Servicio CCTV y Còmputo, compra de limpieza de camaras</t>
  </si>
  <si>
    <t>Advanced Servicio CCTV y Còmputo, pago mano de obra en platos</t>
  </si>
  <si>
    <t>Advanced Servicio CCTV y Còmputo, comprar conector tipo canon</t>
  </si>
  <si>
    <t>Sabina Pèrez, pago de comida para vigilancia por estar en escuela noche colonial</t>
  </si>
  <si>
    <t>Gloria Mazzòn, pago de honorarios por captura de recibos y egresos del 20 al 24 de febrero/17</t>
  </si>
  <si>
    <t>Electropura, S. de R.L. de C.V. compra de 8 garrafones para casetas</t>
  </si>
  <si>
    <t>Office Depot de Mèxico, S.A. de C.V. compra de cajas para archivo muerto</t>
  </si>
  <si>
    <t>Constantino Cabrera, pago por poda de pasto parque del 21 al 25 de febero/17</t>
  </si>
  <si>
    <t>Sabine Pèrez, pago de cena para personal de vigilancia por estar en escuela noche colonial</t>
  </si>
  <si>
    <t>Gloria Mazzòn, pago por captura de nuevas listas para cuotas extraordinarias</t>
  </si>
  <si>
    <t>Estacionamiento Galerias Coapa, pago de estacionamiento por buscar lockers para fraccionamiento</t>
  </si>
  <si>
    <t>Pedro Bazzan, pago por recolecciòn de basura en todo el fraccionamiento de lunes a viernes 2da qui</t>
  </si>
  <si>
    <t>Roberto Miranda, pago por barrer todo el fraccionamiento de lunes a viernes la 2da quincena febrer</t>
  </si>
  <si>
    <t>Grisela Peralta, pago de la segunda quincena de febrero/17</t>
  </si>
  <si>
    <t>Guardìas y Custodìas Gama, pago de la segunda quincena de febrero/17</t>
  </si>
  <si>
    <t>Gloria Mazzòn Soto, pago en apoyo coñbranza domingo 26 de febrero/17</t>
  </si>
  <si>
    <t>Office Depto de Mèxico, S.A. de C.V. compra de archivero y papalerìa para presidencia</t>
  </si>
  <si>
    <t>Advanced Servicio CCTV y Còmputo, anticipo de camaras circuito de upacuaro</t>
  </si>
  <si>
    <t>Sr. Noe compra de tamales para personal que estuvo en parque miercoles de ceniza</t>
  </si>
  <si>
    <t>Tlapalerìa y Ferreterìa el Hueso, compra de bola de rafia para colgar varias lonas en parque informa</t>
  </si>
  <si>
    <t>Centro de Copiado y Papelerìa, pago de copias y  folders para presidencia</t>
  </si>
  <si>
    <t>Electropura, S. de R.L. de C.V. compra de 10 garrafones de agua para casetas de vigilancia</t>
  </si>
  <si>
    <t>Jose Asunciòn, compensaciòn en repraciòn de chapas, retiro de lones del parque</t>
  </si>
  <si>
    <t>Cerrajerìa y Plomerìa Azul, pago por compostura de puerta EP de llave trabaja</t>
  </si>
  <si>
    <t>Camiòn basura, pago por recolecciòn de escombros que dejaron los de CFE</t>
  </si>
  <si>
    <t>ES 2095 Servicio Coapa, pago de gasolina para presidencia compras varias</t>
  </si>
  <si>
    <t>El Palacio de Hierro, S.A. de C.V. desayuno entre mesa directiva e ingeniero de camaras acuerdos</t>
  </si>
  <si>
    <t>Juan Sanchez, pago por corte de pasto de Romeral toda la banqueta</t>
  </si>
  <si>
    <t>Gloria Mazzòn, pago de honorarios de captura de datos del fraccionamiento del 27 al 04 febrero/17</t>
  </si>
  <si>
    <t>Cuadrilla Delegaciòn, compensaciòn por arreglao de luminarìas en Upacuaro y Parque</t>
  </si>
  <si>
    <t>Sistemas de Còmputo, pago por captura y elaboraciòn de credenciales urgentes del personal servici</t>
  </si>
  <si>
    <t>Constantino Cabrera, pago por poda de pasto del parque del 28 al 04 de marzo/17</t>
  </si>
  <si>
    <t>Constantino Cabrera, compra de material para poda del pasto en parque del fraccionamiento</t>
  </si>
  <si>
    <t>Pedro Bazzan, pago por recolecciòn de pasto martes, jueves y sabados podado en la semana</t>
  </si>
  <si>
    <t>Pedro Bazzan, pago por recolecciòn de basura en fin de semana en todo el fraccionamiento</t>
  </si>
  <si>
    <t>Office Depot de Mèxico, S.A. de C.V. copra de cordones gafetes, trabajo de guillotina y enmicados</t>
  </si>
  <si>
    <t>Jose Asunciòn Dominguez, compensaciòn en apoyo de tiempo extra trabajado en el fraccionamiento</t>
  </si>
  <si>
    <t>Daniel Gama, pago por quitar àrbol con espinas muy peligroso en parque junto a juegos infantiles</t>
  </si>
  <si>
    <t>Luis Hernàndez, reparaciòn de chapas Estanzuela y Zinampa y de Recoveco mantenimiento</t>
  </si>
  <si>
    <t>Luis Hernàndez, reparaciòn reja con trabajo de soldadura en Recoveco y 3 de Zinampa</t>
  </si>
  <si>
    <t>Cadena Comercial Oxxo, S.A. de C.V., compra de refrescos para vigilancia</t>
  </si>
  <si>
    <t>Advanced Servicio CCTV y Còmputo, compra de material de circuito de upacuaro</t>
  </si>
  <si>
    <t>Electropura, S. de R.L. de C.V., compra de 7 garrafones de agua para casetas</t>
  </si>
  <si>
    <t>Advanced Servicio CCTV y Còmputo, pago e 1 respaldo de video de Estanzuela</t>
  </si>
  <si>
    <t>Office Depot de Mèxico, S.A. de C.V., pago de enmicador de credenciales para personal de servicio</t>
  </si>
  <si>
    <t>Centro de Copiado y Papelerìa, pago de copias para informe del fraccionamiento</t>
  </si>
  <si>
    <t xml:space="preserve">Camiòn basura, pago por recolecciòn de 2 àrboles grandes con espinas </t>
  </si>
  <si>
    <t>Patrulla 007, compensaciòn de mover coches y hablar con vecinos para que respeten rampas</t>
  </si>
  <si>
    <t>Guardìas y Custodìas Gama, pago a/c de 1er quincena del mes de marzo/17</t>
  </si>
  <si>
    <t>Cuadrilla Delegaciòn, compensaciòn por arreglo de luz parque medio circuito</t>
  </si>
  <si>
    <t>Jovenes del fraccionamiento, compensaciòn por doblar y entregar informe a todo el fraccionamient</t>
  </si>
  <si>
    <t>Advanced Servicio CCTV y Còmputo, reparaciòn de plumas por tornillo degollado</t>
  </si>
  <si>
    <t>Manuel Olivares, compensaciòn por recolecciòn de basuta en todo el parque campaña parque limpi</t>
  </si>
  <si>
    <t>Protecciòn y Seguridad Industrial, S.A. de C.V., pago 2 recargas extintor de polvo quimico</t>
  </si>
  <si>
    <t>Telefonos de Mèxico, S.A.B., de C.V.,  pago de telefono de casetas fraccionamiento mes de feb/17</t>
  </si>
  <si>
    <t>Distribuidora E1 Bollo Cafetales S.A. de C.V. compra de pastel para vigilancia</t>
  </si>
  <si>
    <t>Distribuidora El Bollo Cafetales S.A. de C.V. compra de pastel para vigilancia</t>
  </si>
  <si>
    <t>Estacionamiento cuemanco compra de memora USB</t>
  </si>
  <si>
    <t>Office Depot de Mèxico, S.A. de C.V., compra de 1 USB para tesoreria</t>
  </si>
  <si>
    <t>Advanced Servicio CCTV y Còmputo, compra de 30 tarjetas procard ID</t>
  </si>
  <si>
    <t>Gloria Mazzòn, pago de honorarios de captura de datos del fraccionamiento del 06 al 10 de marzo/17</t>
  </si>
  <si>
    <t>Constantino Cabrera, pago por poda de pasto del parque del 07 al 11 de marzo/17</t>
  </si>
  <si>
    <t>Distribuidora Bicicletas Benotto, S.A. de C.V. compra de refacciones para biciclea del fraccionamie</t>
  </si>
  <si>
    <t>Cadena Comercial Oxxo, S.A. de C.V., compra de café y agua para cobranza y vigilancia</t>
  </si>
  <si>
    <t>Gloria Mazzòn, pago en apoyo de cobranza domingo 12 de marzo/17</t>
  </si>
  <si>
    <t>Gloria Mazzòn, pago en apoyo de cobranza domingo 05 de marzo/17</t>
  </si>
  <si>
    <t>Guardìas y Custodìas Gama, pago liq. de 1er quincena del mes de marzo/17</t>
  </si>
  <si>
    <t>Advanced Servicio CCTV y Còmputo, compra de 1 USB de GB</t>
  </si>
  <si>
    <t>Advanced Servicio CCTV y Còmputo, pago de 1 respaldo de video 2 tomas circuito cuchilla</t>
  </si>
  <si>
    <t>Advanced Servicio CCTV y Còmputo, Compra de material para circuito de upacuaro</t>
  </si>
  <si>
    <t>Sr. Mario, compra de refacciones para bicicleta del fraccionamiento</t>
  </si>
  <si>
    <t>Roberto Miranda, pago por barrer todo el fracc de lunes a viernes de la 1er quincena de marzo/18</t>
  </si>
  <si>
    <t>Pedro Bazzan, pago por recolecciòn de basura 1er quincena de marzo de lunes a viernes</t>
  </si>
  <si>
    <t>Grisela Peralta, pago 1er quincena del mes de marzo/17</t>
  </si>
  <si>
    <t>Office Depot de Mèxico, Pago de enmicador para credenciales del personal servicio fraccionamient</t>
  </si>
  <si>
    <t>Advanced Servicio, CCTV y Còmputo, compra de un portafolio Samsonite para lapto mesa directiva</t>
  </si>
  <si>
    <t>Roberto Miranda, pago por recolecciòn especial de toda la hojarasca del parque y barrerlo</t>
  </si>
  <si>
    <t>Comercial City Fresko S. de R.L. de C.V. compra de café en grano para casetas</t>
  </si>
  <si>
    <t>Office Depot de Mèxico, S.A. de C.V., compra de cartuchos epson color negro tesoreria</t>
  </si>
  <si>
    <t>Office Depot de Mèxico, S.A. de C.V., compra de cartuchos epson colores varios para tesoreria</t>
  </si>
  <si>
    <t xml:space="preserve">Ma. Teresa del Pozo, pago por fumigar parque del fraccionamiento </t>
  </si>
  <si>
    <t>Ing. Jorge Vazquez, compra de botones para pluma de salida y entrada</t>
  </si>
  <si>
    <t>Manuel Olivares, compensaciòn por barrer parque zona de caseta ZB</t>
  </si>
  <si>
    <t>Advanced Servicio CCTV y Còmputo, pago de 1 respaldo de video calle Upacuaro</t>
  </si>
  <si>
    <t>Mercado San Judas Tadeo, compra de bolsas para forrar informe para el fraccionamiento</t>
  </si>
  <si>
    <t>Centro de Copiado y Papelerìa, pago de 461 copias para informe al fraccionamiento de visita de bom</t>
  </si>
  <si>
    <t>Centro de Copiado y Papeerìa, compra de 2 tablas sujetadoras tamaño carta para vigilancia</t>
  </si>
  <si>
    <t>Gloria Mazzòn Soto, pago de honorarios por captura de datos del 13 al 17 de marzo/17</t>
  </si>
  <si>
    <t>Camiòn Basura, pago por recolecciòn de escombros y barilla en diferentes lugares del fraccionamien</t>
  </si>
  <si>
    <t>Constantino Cabrera, pago por poda de pasto en parque del 14 al 18 de marzo/17</t>
  </si>
  <si>
    <t>Gloria Mazzòn, pago en apoyo de cobranza domingo 19 de marzo/2017</t>
  </si>
  <si>
    <t>Advanced Servicio CCTV y Còmputo, compra de 2 telefonos para casetas del fraccionamiento</t>
  </si>
  <si>
    <t>Advanced Servicio CCTV y Còmputo, pago por conexiòn a internet de DVR Bytek 4 canales</t>
  </si>
  <si>
    <t>Advanced Servicio CCTV y Còmputo, compra de camara con equipo de videograbaciòn Upacuaro</t>
  </si>
  <si>
    <t>Advanced Servicio CCTV y Còmputo, compra de 2 USB para respaldos del fraccionamiento</t>
  </si>
  <si>
    <t>Luis Hernàndez, pago por reparaciòn de chapa de Estanzuela y revisar puerta ZB y EP</t>
  </si>
  <si>
    <t>Electropura, S. de R.L. de C.V. compra de 7 garrafones de agua para casetas+</t>
  </si>
  <si>
    <t>Advanced Servicio CCTV y Còmputo, configuraciòn de 30 tarjetas procard a sistema</t>
  </si>
  <si>
    <t>Angelina, vecina a la cual se le compraron galletas para evento de Bomberos en el fraccionamiento</t>
  </si>
  <si>
    <t>Advanced Servicio CCTV y Còmputo, pago por verificaciòn de sistema de plumas</t>
  </si>
  <si>
    <t>Cuadrilla Delegaciòn, compensaciòn por arreglar y activar luz en parque</t>
  </si>
  <si>
    <t>Pastelerìa Bodon, S.A. de C.V., compra de botanas para vecinos en evento de Bomberos en fracc.</t>
  </si>
  <si>
    <t>Cadena Comercial Oxxo, S.A. de C.V. compra de agua para personal que ayudo para evento bomber</t>
  </si>
  <si>
    <t>Comercial City Fresko S. de R.L. de C.V. compra de agua para vecinos evento bomberos fracc.</t>
  </si>
  <si>
    <t>Olegario Gama, copemsaciòn por ayuda en todo el evento de los bomberos en fraccionamiento</t>
  </si>
  <si>
    <t>Guardìas y Custodìas Gama, pago a/c de 2da. Quincena de marzo/17</t>
  </si>
  <si>
    <t>Constantino Cabrera, pago por arreglo de pasto zona de mesa de cobranza en caseta Romeral</t>
  </si>
  <si>
    <t>Cuerpo de Bomberos, compensaciòn por dar curso a vecinos del fraccionamiento prevenciòn de acc</t>
  </si>
  <si>
    <t>Constantino Cabrera, pago por barrer pasto en zona de Romeral donde no se mueven coches</t>
  </si>
  <si>
    <t>Cadena Comercial Oxxo, S.A. de C.V. compra de croquetas para perro extraviado y que adoptaron</t>
  </si>
  <si>
    <t>Estacionamiento, visita a contador siegris asuntos del contabilidad del fraccionamiento</t>
  </si>
  <si>
    <t>SAT Servicio de Administraciòn Tributarìa, pago IVA retanciòn colegio Carmel marzo/17</t>
  </si>
  <si>
    <t>Siegrist Contadores Pùblicos, pago de honorarios del mes de marzo/17</t>
  </si>
  <si>
    <t>Gloria Mazzòn Soto, pago de honorarios por captura de datos del 20 al 24 de marzo/17</t>
  </si>
  <si>
    <t>Guardìas Gama, compra de 3 despensas en compensaciòn por todos sus servicios al fraccionamiento</t>
  </si>
  <si>
    <t>Patrulla 007, compensaciòn por patrullaje en todo el fraccionamiento evento y parque sin luz</t>
  </si>
  <si>
    <t>Advanced Servicio CCTV y Còmputo, pago de mano de obra en tendio de cableado de 2 camaras</t>
  </si>
  <si>
    <t>Constantino Cabrera, pago por poda de pasto en parque del 20 al 25 de marzo/17</t>
  </si>
  <si>
    <t>Asunciòn Dominguez, pago por arreglo de puerta peatonal de RV y limpieza de zona de ejercitadore</t>
  </si>
  <si>
    <t>Constantino Cabrera, pago por sopletear parque explanada y kiosco para evento de Bomberos</t>
  </si>
  <si>
    <t>Cadena Comercial Oxxo, S.A. de C.V. compra de refrescos para junta con vigilancia</t>
  </si>
  <si>
    <t>Villafaña Perez Judith, compra de café para mesa de cobranza domingos</t>
  </si>
  <si>
    <t>Nueva Walmart de Mèxico, S. de R.L. de C.V. compra de hojas para presidencia</t>
  </si>
  <si>
    <t>Gloria Mazzòn, pago en apoyo cobranza domingo 26 de marzo/17</t>
  </si>
  <si>
    <t>Elena Osorio, pago en apoyo cobranza domingo 26 de marzo/17</t>
  </si>
  <si>
    <t>Advanced Servicio CCTV y Còmputo, compra equipo de camaras para upacuaro</t>
  </si>
  <si>
    <t>Grisela Peralta, compra de gasolina visita condaro Siegrist y varios asuntos del fraccionamiento</t>
  </si>
  <si>
    <t>Tienda, compra de refrescos para personal de mesa de cobranza visita a vecinos entre semana</t>
  </si>
  <si>
    <t>Cadena Comercial Oxxo, S.A. de C.V. compra de refrescos junta de mesa directiva</t>
  </si>
  <si>
    <t>Advanced Servicio CCTV y Còmputo, compra de material para camaras de Upacuaro</t>
  </si>
  <si>
    <t>Advanced Servicio CCTV y Còmputo, pago por tendido de camaras de 5 camaras</t>
  </si>
  <si>
    <t>Advanced Servicio CCTV y Còmputo, pago por instalaciòn de equipo DVR, Disco duro, monito y sopo</t>
  </si>
  <si>
    <t>Advanced Servicio CCTV y Còmputo, compra de soporte para pantalla macformet de 32" a 60"</t>
  </si>
  <si>
    <t>Cerrajerìa y Plomerìa Azul, pago por compostura de chapa de Zinampa</t>
  </si>
  <si>
    <t>Alfonso Basualda, pago por reparaciòn de WC de caseta Romeral</t>
  </si>
  <si>
    <t>Advanced Servicio CCTV y Còmputo, compra de material de camaras de Upacuaro</t>
  </si>
  <si>
    <t>Gloria Mazzòn Soto, pago de honorarios por captura de datos del 27 al 31 de marzo/17</t>
  </si>
  <si>
    <t>Grisela Peralta Portugal, pago de la 2da. Quincena de marzo/17</t>
  </si>
  <si>
    <t>Guardìas y Custodìas Gama, pago liq. De 2da. Quincena de marzo/17</t>
  </si>
  <si>
    <t>Pedro Bazzan, pago por recolecciòn de basura de lunes a viernes de la 2da. Quincena marzo/17</t>
  </si>
  <si>
    <t>Roberto Miranda, pago por barrer todo el fracc de lunes a viernes de la 2da quincena de marzo/18</t>
  </si>
  <si>
    <t>Roberto Miranda, pago por quitar follaje en Romeral en banqueta de entrada</t>
  </si>
  <si>
    <t>Constantino Cabrera pago por poda de pasto semanal del 27 de marzo al 01 de abril/17</t>
  </si>
  <si>
    <t>Advanced Servicio CCTV y Cómputo, pago por arreglo de pluma sellar gabinnete y limpieza de conec</t>
  </si>
  <si>
    <t>Jorge Ibarra delegación luminarias, compensacion en arreglo de alubrado parque fin de semana</t>
  </si>
  <si>
    <t>Luis Hernández, arreglo chapa de Landero y barrotes de entrada automoviles</t>
  </si>
  <si>
    <t>Roberto Gama, compensación en apoyo en todo el movimiento de cuadrilla kiosco luz parque</t>
  </si>
  <si>
    <t>Electropura S. de R.L. de C.V. copra de 10 garrafones de agua para casetas</t>
  </si>
  <si>
    <t>Office Depot de México, S.A. de C.V, pago de enmicado para credenciales personal de limpieza fracc</t>
  </si>
  <si>
    <t>Cadena Comercial Oxxo, S.A. de C.V. compra de agua para caseta de Romeral</t>
  </si>
  <si>
    <t>Cuadrilla de Luminarias Delegación, compesación por arreglo de luminarías parque fraccionamiento</t>
  </si>
  <si>
    <t>Cadena Comercial Oxxo, S.A. de C.V., compra de agua y café para mesa de cobranza y vigilancia</t>
  </si>
  <si>
    <t>Pedro Bazzan, pago por recoleccón de basura en fin de semana de todo el fraccionamiento</t>
  </si>
  <si>
    <t>Pedro Bazzan, pago por recoleccón de recolección de pasto podado entre semana</t>
  </si>
  <si>
    <t>Distribuidora el Bollo Cafetales, S.A. de C.V. compra de pastel para festejo de tesorería</t>
  </si>
  <si>
    <t>Distribuidora el Bollo Cafetales, S.A. de C.V. compra de velas para pastel</t>
  </si>
  <si>
    <t>Juan Sanchez, pago en apoyo por cortar pasto entrada Romeral en toda la banqueta</t>
  </si>
  <si>
    <t>Gloria Mazzón, pago en apoyo domingo 02 de abril17</t>
  </si>
  <si>
    <t>Sistema de Computo, pago por captura de credenciales para personal de servicio para fraccionamien</t>
  </si>
  <si>
    <t>Telefonos de México S.A.B. de C.V. pago del mes de marzo/17 para casetas del fraccionamiento</t>
  </si>
  <si>
    <t>Advanced Servicio CCTV y Cómputo, compra de material para camaras de upacuaro</t>
  </si>
  <si>
    <t>Office Depot de México, S.A. de C.V., compra de cordon para gafetes credenciales personal de serv</t>
  </si>
  <si>
    <t>Nueva Walmart de México, S. de R.L. de C.V. compra de material de limpieza de casetas fraccionami</t>
  </si>
  <si>
    <t>Patrulla 007, compensación en apoyo de rondines parque por falta de luz</t>
  </si>
  <si>
    <t>Olegario Gama,, compensación en apoyo de quitar todos los leteros de anuncios en todo el fraccc</t>
  </si>
  <si>
    <t>Sabine Pérez, pago de comida para personal delegación fuingación todas las coladeras</t>
  </si>
  <si>
    <t>Advanced Servicio CCTV y Cómputo, pago de 1 respaldo de video zinampa</t>
  </si>
  <si>
    <t>Advanced Servicio CCTV y Cómputo, compra de material para equipo de Upacuaro</t>
  </si>
  <si>
    <t>Advanced Servicio CCRV y Cómputo, compra de material para equipo de Upacuaro</t>
  </si>
  <si>
    <t>Camión de basura, pago por retiraar escombros por llevar ramas y troncos pesados</t>
  </si>
  <si>
    <t>Guardías y Custodías Gama, pago a/c de la primer quincena de abril/17</t>
  </si>
  <si>
    <t>Gloria Mazzón, pago de honorarios de captura de datos del 03 al 17 de abril/17</t>
  </si>
  <si>
    <t>Israel Galan Quintin, compra de 30 llaves para puertas peatonales</t>
  </si>
  <si>
    <t>Pedro Bazzan, pago por recolección de pasto podado entre semana</t>
  </si>
  <si>
    <t>Constantino Cabrera pago por poda del pasto del 01 al 08 de abril/17</t>
  </si>
  <si>
    <t>Pedro Bazzan, pago por recolección de basura entre semana</t>
  </si>
  <si>
    <t>Cadena Comercial Oxxo, S.A. de C.V. compra de café y agua para mesa de cobranza y vigilancia</t>
  </si>
  <si>
    <t>Gloria Mazzón, pago en apoyo domingo 09 de abril/17</t>
  </si>
  <si>
    <t>Advanced Servicio CCTV y Cómputo, compra de equipo para circuito de upacuaro</t>
  </si>
  <si>
    <t>Constantino Cabrera, pago por poda de pasto entre semana</t>
  </si>
  <si>
    <t>Tienda, compra de agua en el proceso de visita al contador Siegris</t>
  </si>
  <si>
    <t>Patrulla 007, compensación  en ayuda a vecino asaltado del fraccionamiento e interveción rapida</t>
  </si>
  <si>
    <t>SAT Servicio de Administración Tributaría, pago de retención de I.V.A. mes de abril</t>
  </si>
  <si>
    <t>Siegrist Contadores Públicos, pago de honorarios del mes de abril/17</t>
  </si>
  <si>
    <t>Cesar Gama, pago por cortar pasto en caseta de romeral y banqueta</t>
  </si>
  <si>
    <t>Camiòn de basura, pago por llevarse escombros de puerta de estanzuela y estopila</t>
  </si>
  <si>
    <t>Advanced Servicio CCTV y Còmputo, compra de dos pares de balum de video pasivos siscam</t>
  </si>
  <si>
    <t>Manuel Olivares, compra de thiner y rodillo para pintar señalamientos entrada Zinanpa</t>
  </si>
  <si>
    <t xml:space="preserve">Advanced Servicio CCTV y Còmputo, pago de respaldo de video de plumas de zinampa </t>
  </si>
  <si>
    <t>Ferre Elèctrica Reyesa, compra de material para arreglo de pluma de zinampa</t>
  </si>
  <si>
    <t>Advanced Servicio CCTV y Còmputo, pago por poner camara nueva en calle Chuchilla</t>
  </si>
  <si>
    <t>Advanced ServIcio CCTV y Còmputo, compra de 1 camara para calle de Chuchilla</t>
  </si>
  <si>
    <t>Compra de materiales para pintar entrada de Zinampa y Banquetas</t>
  </si>
  <si>
    <t>Gloria Mazzòn Soto, pago por captura de datos del 1 al 14 de abril/17</t>
  </si>
  <si>
    <t>Constantino Cabrera, pago por poda de pasto del 11 al 15 de abril/17</t>
  </si>
  <si>
    <t>Pedro Bazzan, pago ppor recolecciòn de basura de lunes a viernes de la 1er quincena abril/17</t>
  </si>
  <si>
    <t>Roberto Miranda, pago por barrer todo el frac de lunes a viernes de la 1er quincena abril/17</t>
  </si>
  <si>
    <t>Grisela Peralta Portugal, pago de la 1er quincena de abril/17</t>
  </si>
  <si>
    <t>Guardías y Custodías Gama, pago liq.  de la primer quincena de abril/17</t>
  </si>
  <si>
    <t>Advanced Servicio CCTV y Còmputo, compra de material para circuito de Upacuaro</t>
  </si>
  <si>
    <t>Pedro Bazzan, pago por recolecciòn de pasto podado entre semana</t>
  </si>
  <si>
    <t>Gloria Mazzòn Soto, pago en apoyo a cobranza del domingo 16 de abril/17</t>
  </si>
  <si>
    <t>Daniel Gama, compensaciòn en apoyo de pintar entrada y banquetas de calle Zinampa</t>
  </si>
  <si>
    <t>Manuel Olivares, compensaciòn en apoyo de pintar entrada y banquetas de calle Zinampa</t>
  </si>
  <si>
    <t>Patrulla 007, compensación en apoyo rondines en semana santa</t>
  </si>
  <si>
    <t>Centro de copiado y papelería Omega, 460 juegos de 5 copias c/u informe al fraccionamiento</t>
  </si>
  <si>
    <t>Distribuidora Bicicletas Benotto, S.A. de C.V. compra de 1 camara para bicicleta del fraccionamiento</t>
  </si>
  <si>
    <t>Sabine Pérez, pago de comida para personal delegación luminarías del parque</t>
  </si>
  <si>
    <t>Asunción Dominguez, compensación en apoyo de estar al pendiente de cuadrilla delegación lumin</t>
  </si>
  <si>
    <t>Olegario Vázquez, compensación en apoyo de cortar árbolito de Romeral</t>
  </si>
  <si>
    <t>Advanced Servicio CCTV y Cómputo, pago de mano de obra en arreglar 10 camaras del fraccionamien</t>
  </si>
  <si>
    <t xml:space="preserve">Advanced Servicio CCTV y Cómputo, compra de material para arreglar 10 camaras afectadas </t>
  </si>
  <si>
    <t>Comercializadora Caspin, S.A. de C.V. compra de material para señalizaciónes del fraccionamiento</t>
  </si>
  <si>
    <t>Ronet, compra de 1 pantalón comando para personal de vigilancia unica ocación</t>
  </si>
  <si>
    <t>Guardías y Custodías Gama, pago a/c de la segunda quincena de abril/17</t>
  </si>
  <si>
    <t>Advanced Servicio CCTV y Cómputo, compra de 1 camara Analoga Dahoa, camara que se quemo rayo</t>
  </si>
  <si>
    <t>Advanced Servicio CCTV y Cómputo, pago por dar de baja en el sistema a vecinos morosos</t>
  </si>
  <si>
    <t xml:space="preserve">Sabine Pérez, pago de comida para personal de camaras </t>
  </si>
  <si>
    <t>Joel Padilla, compra de helados para personal de vigilancia</t>
  </si>
  <si>
    <t>Patrulla 007, compensación en apoyo a vecinos queriendo estorcionarlos, acudieron de inmediato</t>
  </si>
  <si>
    <t>Asunción Dominguez, compensación en apoyo de recolección de escombros cuarto de Zinampa</t>
  </si>
  <si>
    <t>Gloria Mazzón, pago por captura de datos del 17 al 21 de abril/17</t>
  </si>
  <si>
    <t>Advanced Servicio CCTV y Cómputo, compra de 1 camara para interior del parque</t>
  </si>
  <si>
    <t>Advanced Servicio CCTV y Cómputo, pago por colocación de camara en interior del parque</t>
  </si>
  <si>
    <t>Camión de basura, pago por llevarse escombros de cuarto de Zinampa</t>
  </si>
  <si>
    <t>Pedro Bazzan, pago por recolección de basura en fin de semana</t>
  </si>
  <si>
    <t>Constantino Cabrera, pago por poda de pasto del 18 al 22 de abril/17</t>
  </si>
  <si>
    <t>Gloria Mazzón, pago en apoyo a cobranza domingo 23 de abril/17</t>
  </si>
  <si>
    <t>Sistema de Cómputo, pago por realizar credenciales personal de servicio del fraccionamiento</t>
  </si>
  <si>
    <t>Patrulla 007, compensación en patrullaje en vacaciones y domingos de cobranza</t>
  </si>
  <si>
    <t>Estacionamiento Cuemanco, pago por enmicado de credenciales</t>
  </si>
  <si>
    <t>Office Depot de México, S.A. de C.V. pago de enmicado de credenciales personal de servicio fracc</t>
  </si>
  <si>
    <t>Servicio Robledo, S.A. de C.V. pago de gasolina presidencia varios asuntos fuera del fraccionamiento</t>
  </si>
  <si>
    <t>Advanced Servicio CCTV y Cómputo, compra de material para circuito de Upacuaro</t>
  </si>
  <si>
    <t>Cerrajería y Plomería Azúl, pago por arreglo de lavabo de caseta Zinampa</t>
  </si>
  <si>
    <t>Centro de Copiado y Papelería Omega, compra de papelería para presidencia</t>
  </si>
  <si>
    <t>Roberto Miranda, pago por poda de ábol atrás de caseta Zinampa y pasto de Recoveco</t>
  </si>
  <si>
    <t>Cadena Comercial Oxxo, S.A. de C.V. compra de refrescos para vigilancia</t>
  </si>
  <si>
    <t>Advanced Servicio CCTV y Cómputo, compra de 1 respaldo de video Upacuaro</t>
  </si>
  <si>
    <t>Advanced Servicio CCTV y Cómputo, pago de mano de obra por reparación de pluma</t>
  </si>
  <si>
    <t>Pastelería Bodon, S.A. de C.V., compra de botanas para niños en su festejo en parque del fracc</t>
  </si>
  <si>
    <t>Pastelería Bodon, S.A. de C.V., compra de dulce para niños en su festejo en parque del fraccionami</t>
  </si>
  <si>
    <t>Pastelería Bodon, S.A. de C.V., compra de botanas para vigilancia</t>
  </si>
  <si>
    <t>Cerrajería y Plomería Azúl, pago por arreglo de puerta peatonal de Landero</t>
  </si>
  <si>
    <t>Manuel Olivares, compensación en limpiar todos los juegos del parque del fraccionamiento</t>
  </si>
  <si>
    <t>Guardías y Custodías Gama, pago a/c de la 2da. Quincena de abril/17</t>
  </si>
  <si>
    <t>Guardías y Custodías Gama, pago liq. De la 2da. Quincena de abril/17 cheque # 75</t>
  </si>
  <si>
    <t>Advanced Sericio CCTV y Còmputo, compra de material para circuito de camaras Upacuaro</t>
  </si>
  <si>
    <t>Asunciòn Dominguez, compensaciòn en realiza trabajo de limpieza juegos del parque</t>
  </si>
  <si>
    <t>Copyfaz, pago poster para invitaciòn al fraccionamiento evento en parque</t>
  </si>
  <si>
    <t>Copyfaz, compra de 2 paquetes de fichas bibiograficas para presidencia</t>
  </si>
  <si>
    <t>Cuadrilla Delegaciòn, compensaciòn en arreglo de luz en CL y EZ</t>
  </si>
  <si>
    <t xml:space="preserve">Guaradìas Gama, compra de huevos para desayuno </t>
  </si>
  <si>
    <t>Electropura, S. de R.L. de C.V., compra de 2 garrafones de agua para casetas</t>
  </si>
  <si>
    <t>Gloria Mazzòn, pago por caputra de datos del 24 al 28 de abril/17</t>
  </si>
  <si>
    <t>Camiòn de basura, compensaciòn en traer otro camiòn para llevarse toda la basura del fraccio</t>
  </si>
  <si>
    <t>Gamma, compra de helados para guardìas en turno por dìa de mucho calor</t>
  </si>
  <si>
    <t>Grisela Peralta, compra de botanas para junta de mesa directiva</t>
  </si>
  <si>
    <t>Nueva Walmart de Mèxico, S. de R.L. de C.V., compra desechables para evento dìa del niño fracc</t>
  </si>
  <si>
    <t>Nueva Walmart de Mèxico, S. de R.L. de C.V., compra botanas para niños evento parque dìa niño</t>
  </si>
  <si>
    <t>Estacionamiento Cuemanco, pago estacionamiento compra desechables</t>
  </si>
  <si>
    <t>Constantino Cabrera, pago por poda del 23 al 29 de abril y sopletear toda la explanada para eve</t>
  </si>
  <si>
    <t>Cadena Comercial Oxxo, S.A. de C.V., compra de hielo para evento dìa del niño</t>
  </si>
  <si>
    <t>Patrulla 007 compensaciòn en pratullaje SSP Dìa del Niño</t>
  </si>
  <si>
    <t>Gregorio Ticante, compensaciòn para realizar recorte y clareo de àrbol de zinampa</t>
  </si>
  <si>
    <t>Pedro Villegas, compensaciòn en prestar sillas para evento del dìa del niño</t>
  </si>
  <si>
    <t>Roberto Miranda, pago por barrer todo el frac lunes a viernes 2da. Quincena y trabajo urgente</t>
  </si>
  <si>
    <t>Pedro Bazzan, pago por recolecciòn de basura todo fraccionamiento lunes a viernes 2da quinc</t>
  </si>
  <si>
    <t>Pedro Bazzan, pago por recolecciòn basura fin de semana</t>
  </si>
  <si>
    <t>Cadena ComercIal Oxxo, S.A. de C.V., compra de café y refrescos para mesa de cobranza</t>
  </si>
  <si>
    <t>Cuadrilla Delegaciòn, compra de refrescos por trabajos de alumbrado en parque</t>
  </si>
  <si>
    <t>Advanced Servicio CCTV y Còmputo, compra de materiales para circuito de camaras Upacuaro</t>
  </si>
  <si>
    <t>Cadena Comercial Oxxo, S.A. de C.V. compra de refrescos para vigilancia domingo cobranza</t>
  </si>
  <si>
    <t>Grisela Peralta, pago de la 2da. Quincena de abril/17</t>
  </si>
  <si>
    <t>Asunciòn Dominguez, compra de brocra y thiner para pintar entrada de Romeral</t>
  </si>
  <si>
    <t>Asunciòn Dominguez, compensaciòn por pintar entrada de Romeral señalizaciòn y banquetas</t>
  </si>
  <si>
    <t>Manuel Olivares, compensaciòn en quitar todos los anuncios de calz hueso y por dentro</t>
  </si>
  <si>
    <t>Plomerìa Azùl, pago por arreglar lavabo baño caseta Zinampa</t>
  </si>
  <si>
    <t>Electropura S. de R.L. de C.V. compra de 10 garrafones de agua para casetas del fraccionamiento</t>
  </si>
  <si>
    <t>Luis Hernàndez, pago por arreglo de chapa EZ y EP revision LD y CL</t>
  </si>
  <si>
    <t>Advanced Servicio CCTV y Còmputo, pago intalaciòn microfonos en fuente caja hidrobreak</t>
  </si>
  <si>
    <t>Advanced Servicio CCTV y Còmputo, compra de microfonos en fuente caja hidrobreak</t>
  </si>
  <si>
    <t>Advanced Servicio CCTV y Còmputo, pago de 1 respaldo de video en Estanzuela</t>
  </si>
  <si>
    <t>Servicio Robledo, S.A. de C.V. pago de gasolina presidencia, varias diligencias del fraccionamiento</t>
  </si>
  <si>
    <t>Telefonos de Mèxico, S.A.B. de C.V. pago del mes de abril/17</t>
  </si>
  <si>
    <t>Office Depot de Mèxico, S.A. de C.V., compra de papelerìa para tesorerìa</t>
  </si>
  <si>
    <t>Gloria Mazzòn Soto, pago de captura de datos del 01 al 05 de mayo/17</t>
  </si>
  <si>
    <t>Camiòn de basura, propina por llevarse costa de desechos  desasolve del fraccionamiento</t>
  </si>
  <si>
    <t>Cadena Comercial Oxxo, S.A. de C.V. refrescos para trabajadores delegaciòn dragado</t>
  </si>
  <si>
    <t>Personal Delegaciòn, compensaciòn en apoyo de desasolve en todo el fraccionamiento</t>
  </si>
  <si>
    <t>Sabene Perèz, pago comida para brigada delegaciòn desasolve</t>
  </si>
  <si>
    <t>Constantino Cabrera, pago por poda de pasto del 01 al 06 de mayo/17</t>
  </si>
  <si>
    <t>Constantino Cabrera, compra de material para poda de pasto del fraccionamiento</t>
  </si>
  <si>
    <t>Cadena Comercial Oxxo, S.A. de C.V., compra de refrescos para cuerpo de bomberos</t>
  </si>
  <si>
    <t>Cuartel de Bomberos, compensaciòn en quitar palmeras fracmentadas en Landero</t>
  </si>
  <si>
    <t>Advanced Servicio CCTV y Còmputo, cancelaciòn de WIF de rouer Telmex</t>
  </si>
  <si>
    <t>Cuartel de Bomberos, compensaciòn en quitar pinos en la calle de Estanzuela</t>
  </si>
  <si>
    <t>Advanced Servicio CCTV y Còmputo, respaldo de usb Estanzuela</t>
  </si>
  <si>
    <t>Jony Pizza, compra de pizas para cuartel de Bomberos en compensaciòn por trabajos en el fracciona</t>
  </si>
  <si>
    <t>Advanced Servicio CCTV y Còmputo, compra de fuente de energìa 1a. 2 v a 3 amp</t>
  </si>
  <si>
    <t>Cadena Comercial Oxxo, S.A. de C.V. compra de refrescos para personal de bomberos</t>
  </si>
  <si>
    <t>Advanced Servicio CCTV y Còmputo, pago de mano de obra en monitor caseta Zinampa</t>
  </si>
  <si>
    <t>Personal Gama, compensaciòn en estar al pendiente con personal delegaciòn y bomberos</t>
  </si>
  <si>
    <t>Guardìas y Custodìas Privada Gama, S.A. de C.V. pago a/c de la 1er quincena mayo/17</t>
  </si>
  <si>
    <t>Pedro Bazzan, pago por recolecciòn de pasto podado martes, jueves y viernes</t>
  </si>
  <si>
    <t>Pedro Bazzan, pago por recolecciòn de basura fines de semana en todo el fraccionamiento</t>
  </si>
  <si>
    <t>Cadena Comercial Oxxo, S.A. de C.V. compra de café y refrescos para mesa de cobranza</t>
  </si>
  <si>
    <t>Gloria Mazzòn Soto, pago en apoyo de cobranza domingo 06 mayo/17</t>
  </si>
  <si>
    <t>Cadena Comercial Oxxo, S.A. de C.V. compra de refrescos para cuadrilla delegaciòn</t>
  </si>
  <si>
    <t>Caminiòn de basura, por llevarse todo los restos de pino Estanzuela</t>
  </si>
  <si>
    <t>Advanced Servicio CCTV y Còmputo, compra de silicon y aplicador</t>
  </si>
  <si>
    <t>Advanced Servicio CCTV y Còmputo, compra de 4 memorias USB para respaldos</t>
  </si>
  <si>
    <t>Camiòn de Bomberos, compensaciòn en corte de palmeras y guardar tronco en en lote</t>
  </si>
  <si>
    <t>Sabine Pèrez, pago comida para personal delegacliòn por quitar y partir troncos</t>
  </si>
  <si>
    <t>Cadena Comercial Oxxo, S.A. de C.V. compra de refrescos para cuartel de Bomberos</t>
  </si>
  <si>
    <t>Cadena Comercial Oxxo, S.A. de C.V. compra de refrescos para cuadrilla delegaciòn parques y jardin</t>
  </si>
  <si>
    <t>Autopartes Daytona 2, compra de 1 calavera Voyager, camiòn de bomberos rompio a camioneta frac</t>
  </si>
  <si>
    <t>Contador Siegrist, pago de impresiòn de facturas I.V.A. Colegio Carmel</t>
  </si>
  <si>
    <t>Cuartel Bomberos, coperaciòn para compra de gasolina para motocierra</t>
  </si>
  <si>
    <t>Sabine Pèrez, pago comida personal de bomberos +</t>
  </si>
  <si>
    <t>Servicio El Hueso, S.A. de C.V., compra de gasolina para motosierra del cuartel de bomberos</t>
  </si>
  <si>
    <t>Camiòn de Basura, compensaciòn por barrer cuadra completa de hojarasca Romeral</t>
  </si>
  <si>
    <t>Grisela Peralta, compra de galletas junta contador Siegrist</t>
  </si>
  <si>
    <t>SAT Servicio de Administraciòn Tributarìa, pago de retenciòn I.V.A. Colegio Carmel mes de mayo/17</t>
  </si>
  <si>
    <t>Siegrist Contadores Públicos, pago de honorarios del mes de mayo/17 cheque #76</t>
  </si>
  <si>
    <t>Guardìas y Custodìas Privada Gama, S.A. de C.V. pago Liq. de la 1er quincena mayo/17</t>
  </si>
  <si>
    <t>Costco de Mèxico, S.A. de C.V., compra detalles para las Mamas de la Mesa Directiva</t>
  </si>
  <si>
    <t>Administradora Auriga, S.A. de C.V. pago de gasolina Presedenta varios asuntos fuera del fracciona</t>
  </si>
  <si>
    <t>Asunciòn Dominguez, compensaciòn por poner piso firme en la entrada de Romeral</t>
  </si>
  <si>
    <t>Sanborns, compra detalles para obsequiar en desayuno que ofrece Delegaciòn a mamas del fraccion</t>
  </si>
  <si>
    <t>Copyfaz Digital, compra de 10 folders presidencia</t>
  </si>
  <si>
    <t>Advanced Servicio CCTV y Còmputo, pago por sellado de ventana por filtraciòn de agua en caseta</t>
  </si>
  <si>
    <t>Gloria Mazzòn Soto, pago por captura de datos del 08 al 12 de mayo/17</t>
  </si>
  <si>
    <t>14-0517</t>
  </si>
  <si>
    <t>Luis Hernàndez, pago por arreglo de chapa y barrotes  del fraccionamiento</t>
  </si>
  <si>
    <t>Advanced Servicio CCTV y Còmputo, pago por 1 respaldo de video 3 tomas para la calle de Cuchilla</t>
  </si>
  <si>
    <t>Constantino Cabrera, pago por poda de pasto del 09 al 13 de mayo/17</t>
  </si>
  <si>
    <t>Gloria Mazzòn Soto, pago en apoyo de cobranza domingo 14 de mayo/17</t>
  </si>
  <si>
    <t>Pedro Bazzan, pago por recolecciòn de basura en fracc de lunes a viernes 1er quincena mayo/17</t>
  </si>
  <si>
    <t>Roberto Miranda, pago por barrer todo el fracc de lunes a viernes 1er quincena mayo/17</t>
  </si>
  <si>
    <t>Grisela Peralta, pago 1er quincena de mayo /17</t>
  </si>
  <si>
    <t>Cadena Comercial Oxxo, S.A. de C.V. compra de botanas junta mesa directiva y Gama</t>
  </si>
  <si>
    <t>Roberto Miranda, compensaciòn por consetrada en Landero por lluvias</t>
  </si>
  <si>
    <t>Advanced Servicio CCTV y Còmputo, compra de material para circuito de Recoveco</t>
  </si>
  <si>
    <t>Advanced Servicio CCTV y Còmputo, compra de material para circuito de upacuaro</t>
  </si>
  <si>
    <t>Electropura S. de R.L. de C.V. compra de 7 garrafones de agua para casetas del fraccionamiento</t>
  </si>
  <si>
    <t>Sabine Pèrez, pago de almuerzos para cuadrilla delegaciòn para dragado de Landero</t>
  </si>
  <si>
    <t>Camiòn de Basura, recolecciòn de pasto parque y escombros de Estopila</t>
  </si>
  <si>
    <t>Electropura, S. de R.L. de C.V. compra de 12 garrafones de agua para casetas del fracccionamiento</t>
  </si>
  <si>
    <t xml:space="preserve">Advanced Servicio CCTV y Còmputo, compra de material para mantenimiento de camaras entradas </t>
  </si>
  <si>
    <t>Advanced Servicio CCTV y Còmputo, compra de 2 camaras 4 en 1 carcasas de policarbonato</t>
  </si>
  <si>
    <t>Centro de Copiado y papelerìa Omega, pago de 1,100 copias informe fraccionamiento</t>
  </si>
  <si>
    <t xml:space="preserve">Grisela Peralta, pago a muchachos que apoyan en entregar informe a todo el fraccionamiento </t>
  </si>
  <si>
    <t>Gloria Mazzòn Soto, pago por captura de datos del 15 al 19 de mayo/17</t>
  </si>
  <si>
    <t>Electropura, S. de R.L. de C.V. compra de 7 garrafones de agua para casetas del fraccionamiento</t>
  </si>
  <si>
    <t>Constantino Cabrera, pago poda pasto del parque del 16 al 20 de mayo/17</t>
  </si>
  <si>
    <t>Personal Gama, compensaciòn en poda de pasto detràs caseta Zinampa y àrbolitos aledaños</t>
  </si>
  <si>
    <t>Patrulla 007, compensaciòn en vigilar mesa de cobranza y rondines en fin de semana fraccionamien</t>
  </si>
  <si>
    <t>Office Depot de Mèxico, S.A. de C.V., compra de toner y cartuchos de impresiòn presidencia y tesor</t>
  </si>
  <si>
    <t>Pedro Bazzan, pago por recolecciòn basura fin de semana en todo el fraccionamiento</t>
  </si>
  <si>
    <t>Gloria Mazzòn Soto, pago en apoyo de cobranza domingo 21 de mayo/17</t>
  </si>
  <si>
    <t>Personal Gama, pago en apoyo de limpieza de postes de toda la colonia</t>
  </si>
  <si>
    <t>Cadena Comercial Oxxo, S.A. de C.V. compra de café junta mesa directiva asunto robo en fracc</t>
  </si>
  <si>
    <t>Nueva Walmart de México, S. de R.L. de C.V. compra de materiales de limpieza</t>
  </si>
  <si>
    <t>Advanced Servicio CCTV y Cómputo, pago de mano de obra reparación de DVR</t>
  </si>
  <si>
    <t>Sabine Pérez, pago de almuerzo personal delegación dragado en Upacuaro</t>
  </si>
  <si>
    <t>Advanced Servicio CCTV y Cómputo, compra de 1 destellador de led para pluma de Zinampa</t>
  </si>
  <si>
    <t>Advanced Servicio CCTV y Cómputo, compra de 1 respaldo de video</t>
  </si>
  <si>
    <t>Guardías y Custodías Privadas Gama, pago a/c de la 2da quincena de mayo/17</t>
  </si>
  <si>
    <t>Asunción Dominguez, pago de trabajo de recolección de troncos y ramas del parque</t>
  </si>
  <si>
    <t>Advanced Servicio CCTV y Cómputo, compra de 1 tartjeta de Non-Break de 100 VCH</t>
  </si>
  <si>
    <t>Advanced Servicio CCTV y Cómputo, intalación de tarjeta para Non-Break de 100 VCH</t>
  </si>
  <si>
    <t>Gloria Mazzón Soto, pago honorarios por captura de datos del 22 al 26 de mayo/17</t>
  </si>
  <si>
    <t>Comisión Federal de Electricidad, pago por reconección de luz en Landero</t>
  </si>
  <si>
    <t>Asunción Dominguez, pago por barrer y recolectar toda la basura y sopletear la explanada parque</t>
  </si>
  <si>
    <t>Patrulla 007, compensación por rondines y mover un camión en el fraccionamiento</t>
  </si>
  <si>
    <t>Servicio El Nuevo Pedregal, S.A. de C.V. gasolina presidenta Grisela Peralta</t>
  </si>
  <si>
    <t>Constantino Cabrera, pago por poda de pasto parque del 23 al 27 de mayo del fraccionamiento</t>
  </si>
  <si>
    <t>Advanced Servicio CCTV y Cómputo, pago de mano de obra en Non-break</t>
  </si>
  <si>
    <t>Personal Gama, pago por recolección de ramas en todo el fraccionamiento por tromba que callo día</t>
  </si>
  <si>
    <t>Personal Gama, pago por recolección de pasto en Recoveco y ejercitadores</t>
  </si>
  <si>
    <t>Servicio El Hueso, s.a. DE c.v., compra de gasolina para sopletear explanada parque y ejercitadores</t>
  </si>
  <si>
    <t>Gloria Mazzón Soto, pago en apoyo de cobranza domingo 28 de mayo/17</t>
  </si>
  <si>
    <t>Personal Gama, pago por cortar pasto y ramaje detrás de caseta Zinampa</t>
  </si>
  <si>
    <t>Personal Gama, pago por cortar pasto entrada caseta de Romeral</t>
  </si>
  <si>
    <t>Guardías y Custodías Privadas Gama, pago liq. de la 2da quincena de mayo/17</t>
  </si>
  <si>
    <t>Advanced Servicio CCTV y Cómputo, compra de material circuito camaras de Upacuaro</t>
  </si>
  <si>
    <t>Pedro Bazzan, pago 2da. Quincena de mayo por barrer toda la colonia entre semana</t>
  </si>
  <si>
    <t>Grisela Peralta Portugal, pago de la 2da. Quincena de mayo/17</t>
  </si>
  <si>
    <t>Roberto Miranda, pago por barrrer todo el fraccionamiento de lunes a viernes 2da. Quincena mayo</t>
  </si>
  <si>
    <t>CFE, compensaciòn en apoyo de reconecciòn Cuchilla y prestamo de pluma para quitar ramaje</t>
  </si>
  <si>
    <t>Cuartel de Bombero, compensaciòn por corte de troncos y ramas, dragado en casas indundadas</t>
  </si>
  <si>
    <t>Cadena Comercial Oxxo, S.A. de C.V. compra de refrescos a cuartel de bomberos</t>
  </si>
  <si>
    <t>Cuadrilla Delegaciòn, compensaciòn en camiòn bactor casas inundadas y cadras dragado</t>
  </si>
  <si>
    <t>Cadena Comercial Oxxo, S.A. de C.V. compra de refrescos a cuadrilla delegaciòn</t>
  </si>
  <si>
    <t>Camiòn Basura, pago por recolecciòn basura ramas y troncos del fraccionamiento</t>
  </si>
  <si>
    <t>Tienda, compra de refrescos para personal cuadrilla delegaciòn por varios trabajos en fraccionami</t>
  </si>
  <si>
    <t>Sabine Pèrez, pago de almuerzos para cuadrilla delegaciòn trabajos demelesar coladeras y barrer</t>
  </si>
  <si>
    <t>Cadena Comercial Oxxo, S.A. de C.V. compra de refrescos para personal dragado delegaciòn</t>
  </si>
  <si>
    <t>Advanced Servicio CCTV y Còmputo, compra de material para circuito de camaras Upacuaro</t>
  </si>
  <si>
    <t>Grisela Peralta, compra de helados a personal de vigilancia por su buen desempeño en fraccionam</t>
  </si>
  <si>
    <t>Gloria Mazzòn, pago de honorarios por trabajos de captura de datos del 29 may al 03 de jun/17</t>
  </si>
  <si>
    <t>Roberto Miranda, pago en apoyo de barrer zinampa despues de tromba hojas pegadas al pavimento</t>
  </si>
  <si>
    <t>Personal Gama, compensaciòn en sopletear explanada y ejercitadores despues de tromba</t>
  </si>
  <si>
    <t>Constantino Cabrera, pago por poda de pasto del 30 may al 03 de junio/17</t>
  </si>
  <si>
    <t>Gloria Mazzòn, pago en apoyo de cobranza domingo 04 de junio/17</t>
  </si>
  <si>
    <t>Electropura S de R.L. de C.V. compra de 10 garrafones de agua</t>
  </si>
  <si>
    <t>Cuadrilla Delegaciòn, compensaciòn por reparaciòn de luminarìas en upacuaro</t>
  </si>
  <si>
    <t>CFE, compensaciòn por reparaciòn de transformador en cafetales</t>
  </si>
  <si>
    <t>Telefonos de Mèxico, SAB de C.V. pago telefono del mes de mayo/17</t>
  </si>
  <si>
    <t>SAT Servicio de Administraciòn Tributarìa, pago de retenciòn I.V.A. Colegio Carmel mes de jun/17</t>
  </si>
  <si>
    <t>Siegrist Contadores Públicos, pago de honorarios del mes de jun/17 cheque #77</t>
  </si>
  <si>
    <t>Advanced Servicio CCTV y Còmputo, compra de material de limpieza de lente de camara</t>
  </si>
  <si>
    <t>Advanced Servicio CCTV y Còmputo, compra de botoneera para plumas entrada y salida</t>
  </si>
  <si>
    <t>Estacionamiento, Grisela Peralta, pago de estacionamiento junta con contador Siegrist</t>
  </si>
  <si>
    <t>Tienda, compra de café personal de mesa directiva visita al contador Siegrist</t>
  </si>
  <si>
    <t>Personal Gama, compensaciòn por encontrar a la persona que entrego credencial perdida</t>
  </si>
  <si>
    <t>Taquerìa Carnitas Chela, compra de comida para personal delegaciòn de gama recolecciòn tron</t>
  </si>
  <si>
    <t>Personal Gama, compra de vidrio y corte para ventanas de caseta Recoveco</t>
  </si>
  <si>
    <t>Cadena Comercial Oxxo, S.A. de C.V. compra de refrescos para personal delegaciòn</t>
  </si>
  <si>
    <t>Grupo Gama, compra de helados por su buen desempeño</t>
  </si>
  <si>
    <t>Gloria Mazzòn Soto, pago de honorarios por captura de datos del 05 al 09 de junio/17</t>
  </si>
  <si>
    <t>Cuadrilla Delegaciòn, compensaciòn por llevarse troncos y ramas del parque</t>
  </si>
  <si>
    <t>Constantino Cabrera, pago por poda de pasto del 06 al 09 de junio/17</t>
  </si>
  <si>
    <t>Gloria Mazzòn Soto, pago en apoyo de cobranza domingo 10 de junio/17</t>
  </si>
  <si>
    <t>Cadena Comercial Oxxo, S.A. de C.V. compra de refrescos para personal de mesa directiva</t>
  </si>
  <si>
    <t>Electropura S. de R.L. de C.V. compra de 10 garrafones para casetas</t>
  </si>
  <si>
    <t>Cadena Comercial Oxxo, S.A. de C.V. compra de refrescos para junta de mesa con vigilancia</t>
  </si>
  <si>
    <t>Advanced Servicio CCTV y Còmputo, pago de 1 respaldo de video recoveco</t>
  </si>
  <si>
    <t>Constantino Cabrera, compensaciòn en recorte de pasto</t>
  </si>
  <si>
    <t>Office Depot de Mèxico, S.A. de C.V., compra de engrapadora para tesorerìa</t>
  </si>
  <si>
    <t>RC Operadora de Cafeterias S.A. de C.V. junta de mesa directiva visita a notarìa</t>
  </si>
  <si>
    <t>Fuentes Plaza A.C. pago de estacionamiento visita a notaria mesa directiva</t>
  </si>
  <si>
    <t>Roberto Miranda, compensaciòn por recolecciòn de pasto podado por la delegaciòn</t>
  </si>
  <si>
    <t>Constantino Cabrera, compra de material para para podadora del fraccionamiento</t>
  </si>
  <si>
    <t>Pedro Bazzan, pago por recolecciòn de basura en todo el fracc de lunes a viernes 1er quincena</t>
  </si>
  <si>
    <t>Roberto Miranda, pago por barrer todo el fracc de lunes a viernes de la 1er quincena de junio/17</t>
  </si>
  <si>
    <t>Guardìas y Custodìas Gama, pago a/c de 1er quincena de junio/17</t>
  </si>
  <si>
    <t>Guardìas y Custodìas Gama, pago liq de 1er quincena de junio/17 cheque # 78</t>
  </si>
  <si>
    <t>Grisela Peralta, pago de la 1er quincena de junio/17</t>
  </si>
  <si>
    <t>Gloria Mazzòn Soto, pago de honorarios por captura de datos del 12 al 16 de junio/17</t>
  </si>
  <si>
    <t>Constantino Cabrera, pago por poda de pasto del 13 al 17 de junio/17</t>
  </si>
  <si>
    <t>Electropura, S de R.L. de C.V. compra de 10 garrafones de agua para casetas del fraccionamiento</t>
  </si>
  <si>
    <t>Gloria Mazzòn Soto, pago en apoyo de cobranza domingo 18 de junio/17</t>
  </si>
  <si>
    <t>Roberto Miranda, pago en apoyo de juntar todo el pasto podado porla delegaciòn</t>
  </si>
  <si>
    <t>Patrulla 007, compensaciòn en apoyo de rondines en todo el fraccionamiento</t>
  </si>
  <si>
    <t>Cadena Comercial Oxxo, S.A. de C.V. compra de refrescos para personal delegaciòn poda de pasto</t>
  </si>
  <si>
    <t>Ferreterìa y Tlapalerìa BYN, compra de 1 candado para escalera del fraccionamiento</t>
  </si>
  <si>
    <t>Advanced Servicio CCTV y Còmputo, compra de material para recondicionar 6 camaras en ZB</t>
  </si>
  <si>
    <t>Sra. Yolanda, compra de despensa para Caseta de Romeral</t>
  </si>
  <si>
    <t>Servicio Robledo, S.A. de C.V. pago gasolina para presidenta varias diligencia del fraccionamiento</t>
  </si>
  <si>
    <t>Advanced Servicio CCTV y Còmputo, pago de  instalaciòn y tendido camaras Upacuaro</t>
  </si>
  <si>
    <t>Office Depot de Mèxico, S.A. de C.V., pago de enmicado de credenciales personal de limpieza fracc</t>
  </si>
  <si>
    <t>Office Depot de Mèxico, S.A. de C.V., compra de papeleria para presidencia</t>
  </si>
  <si>
    <t>Personal Gama, compra de material y mano de obra corto en caseta Romeral</t>
  </si>
  <si>
    <t>Guardìas y Custodìas Gama, pago a/c de la 2da quincena de junio/17</t>
  </si>
  <si>
    <t>Cadena Comercial Oxxo, S.A. de C.V. compra de refrescos para personal que recogio pasto del parq</t>
  </si>
  <si>
    <t>Gloria Mazzòn Soto, pago de honorarios por captura de datos del 19 al 23 de junio/17</t>
  </si>
  <si>
    <t>Roberto Miranda, pago por barrer y dejar el pasto en varios montones para que el camiòn se lo lleve</t>
  </si>
  <si>
    <t>Pedro Bazzan, compensaciòn por recolecciòn de basura en fin de semana</t>
  </si>
  <si>
    <t>Guardìas y Custodìas Gama, pago a/c de la 2da. Quincena de junio/17</t>
  </si>
  <si>
    <t>Advanced Servicio CCTV y Còmputo, pago de mano de obra reparaciòn luz y camara Zinamapa</t>
  </si>
  <si>
    <t>Advanced Servicio CCTV y Còmputo, compra de 3 eliminadores, 2 para plumas y 1 camara parque</t>
  </si>
  <si>
    <t>Guardìas y Custodìas Gama, pago a/c de 2da quincena de junio/17</t>
  </si>
  <si>
    <t>Gloria Mazzòn Soto, pago honorarios por captura de datos del 26 al 30 de junio/17</t>
  </si>
  <si>
    <t>Grisela Peralta, pago de la 2da quincena de junio/17</t>
  </si>
  <si>
    <t>Constantino Cabrera, pago poda de pasto parque del 27 de junio al 07 de julio/17</t>
  </si>
  <si>
    <t>Gloria Mazzòn Soto, pago en apoyo cobranza domingo 2 de julio/17</t>
  </si>
  <si>
    <t>Pedro Bazzan, pago por recolecciòn de basura del fraccionamiento en domingo</t>
  </si>
  <si>
    <t>Manuel Olivares, compensaciòn en apoyo de varias labores a bomberos trabajos en fraccionamiento</t>
  </si>
  <si>
    <t>Nueva Walmart de Mèxico, S de R.L. de C.V. compra de material de limpieza para casetas fracc</t>
  </si>
  <si>
    <t>Electropura, S. de R.L. de C.V. compra de 10 garrafones de auga para casetas del fraccionamiento</t>
  </si>
  <si>
    <t>Cadena Comercial Oxxo, S.A. de C.V., compra de refrescos para personal camiòn basura pasto</t>
  </si>
  <si>
    <t>Grisela Peralta, compra de helados a personal de vigilancia por su buen desempeño</t>
  </si>
  <si>
    <t>Guardìas y Custodìas Gama, pago liq. De la segunda quincena de junio/17 cheque # 84</t>
  </si>
  <si>
    <t>Manuel Olivares, compensaciòn en apoyo de varias labores de  trabajos en fraccionamiento</t>
  </si>
  <si>
    <t>Andrea Concepciòn Marquez Villaseñor, compra de 1000 recibos de cobranza para el fraccionamient</t>
  </si>
  <si>
    <t xml:space="preserve">Cerrajerìa y Plomerìa Azul, cambio de llave y manguera en caseta Zinampa </t>
  </si>
  <si>
    <t>Gloria Mazzòn Soto, pago de honorarios del 03 al 07 de julio/17</t>
  </si>
  <si>
    <t>Constantino Cabrera, pago poda de pasto parque del 04 al 08 de julio/17</t>
  </si>
  <si>
    <t>Comercial City Fresko S. de R.L. de C.V. compra de papel Bond para presidencia y tesoreria</t>
  </si>
  <si>
    <t>Advanced Servicio CCTV y Còmputo, reparaciòn de tendidio de cable en calle cuchilla y recoveco</t>
  </si>
  <si>
    <t>Advanced Servicio CCTV Y Còmputo, compra de 1 no-break capacidad de 2,400 vch</t>
  </si>
  <si>
    <t xml:space="preserve">Advanced Servicio CCTV y Còmputo, compra de material para nomitor y colocaciòn de no-break </t>
  </si>
  <si>
    <t>Advanced Servicio CCTV y Còmputo, pago de mano de obra en reparaciòn de monitor y col no-break</t>
  </si>
  <si>
    <t>Advanced Servicio CCTV y Còmputo, pago total de colocaciòn y terminaciòn del circuito camaras UP</t>
  </si>
  <si>
    <t>Felipe Torres, pago por trabajo de herrerìan en puerta de entrada vehicular</t>
  </si>
  <si>
    <t xml:space="preserve">Pedro Bazzan, pago por recolecciòn de pasto podado entre semana del fraccionamiento </t>
  </si>
  <si>
    <t>Gloria Mazzòn Soto, pago en apoyo cobranza domingo 09 de julio/17</t>
  </si>
  <si>
    <t>Office Depot de Mèxico, S.A. de C.V. copra de cartucho para impresiones tesoreria</t>
  </si>
  <si>
    <t xml:space="preserve">Advanced Servicio CCTV y Còmputo, compra de No-break para Cuchilla y Estoppila </t>
  </si>
  <si>
    <t>Patrulla 007, compensaciòn por rondines por las noches en fraccionamiento</t>
  </si>
  <si>
    <t>Advanced Servicio CCTV y Còmputo, compra de contaco de 3 y pilas para contro de pluma</t>
  </si>
  <si>
    <t>Advanced Servicio CCTV y Còmputo, compra de 2 eliminadores que se apagaron en chubasco</t>
  </si>
  <si>
    <t>Advanced ServicIo CCTV y Còmputo, compra de 2 transeptores para circuito Cuchilla</t>
  </si>
  <si>
    <t>Telefonos de Mexico, SAB de C.V. pago de telefono del mes de junio/17</t>
  </si>
  <si>
    <t>SAT Servicios de Administraciòn Tributarìa, pago retenciòn I.V.A. colegio Carmel julio/17 cheq # 86</t>
  </si>
  <si>
    <t>Cerrajerìa y Plomerìa Azul, Instalaciòn y material para iluminaciòn caseta Zinampa</t>
  </si>
  <si>
    <t>Abraham Morales Paz, compra de material y grasa para puertas peatonales</t>
  </si>
  <si>
    <t>Tienda, compra de refrescos para personal de luminarias, trabajos en el fraccionamiento</t>
  </si>
  <si>
    <t>Electropura, S. de R.L. de C.V., compra de 2 garrafones adicionales para casetas</t>
  </si>
  <si>
    <t>Guardìas y Custodìas Gama, S.A. de C.V. pago liq de la 1er quincena de julio/17</t>
  </si>
  <si>
    <t>Guardìas y Custodìas Gama, S.A. de C.V. pago a/c de la 1er quincena de julio/17 cheque # 88</t>
  </si>
  <si>
    <t>Gloria Mazzòn Soto, pago de honorarios del 10 al 14 de julio/17</t>
  </si>
  <si>
    <t>Pedro Bazzan, pago por recoleccion de basura de lunes a vienres de la 1er quincena de julio/17</t>
  </si>
  <si>
    <t>Roberto Miranda, pago por barrer todo el fraccionamiento de lunes a viernes 1er quincena julio/17</t>
  </si>
  <si>
    <t>Constantino Cabrera, pago por poda de pasto del fracc del 11 al 15 de julio/17</t>
  </si>
  <si>
    <t>Grisela Peralta Portugal, pago de la ier quincena del mes de julio/17</t>
  </si>
  <si>
    <t>Gloria Mazzòn Soto, pago en apoyo a cobranza del domingo 16 de julio/17</t>
  </si>
  <si>
    <t>Luis Hernàndez, pago por arreglar puerta colgada de Estanzuela</t>
  </si>
  <si>
    <t>Cadena Comercial Oxxo, S.A. de C.V. compra de cafè y refrescos mesa de cobranza y vigilancia</t>
  </si>
  <si>
    <t>Patrulla 007, compensaciòn por rondines en la noche en todo el fraccionamiento</t>
  </si>
  <si>
    <t>Grisela Peralta, compra de refrescos para personal de CFE trabajo en Upacuaro falta de luz</t>
  </si>
  <si>
    <t>Sistemas de Computo, pago por elaboraciòn de credenciales personal de servicio del fracc</t>
  </si>
  <si>
    <t>Olegario Vàzquez, compensaciòn por poda de àrbol que tapa camra en Romeral</t>
  </si>
  <si>
    <t>Advanced Servicio CCTV y Còmputo, compra de 10 tarjetas porcard ID</t>
  </si>
  <si>
    <t>Advanced Servicio CCTV y Còmputo, compra de 1 camara HD para Landero</t>
  </si>
  <si>
    <t>Advanced Servicio CCTV y Còmputo, pago de mano de obra en tendido corto en Romeral-Landero</t>
  </si>
  <si>
    <t>Advanced Servicio CCTV y Còmputo, compra de Eliminador de RV 2 amp para Cuchilla</t>
  </si>
  <si>
    <t>Distribuidora el Bollo Cafetales, S.A. de C.V. compra de pastel para vigilancia</t>
  </si>
  <si>
    <t>Cadena Comercial Oxxo, S.A. de C.V. compra de platos, ccharas y vasos para vigilancia</t>
  </si>
  <si>
    <t>Guardìas y Custodìas Privadas Gama, pago a/c de la 2da. Quincena de julio/17</t>
  </si>
  <si>
    <t>Grisela Peralta, compra de helados para personal de vigilancia por su buen desempeño</t>
  </si>
  <si>
    <t>Gloria Mazzòn Soto, pago de honorarios por captura del 17 al 21 de julio/17</t>
  </si>
  <si>
    <t>Constantino Cabrera, pago por poda de pasto del 18 al 22 de julio/17</t>
  </si>
  <si>
    <t>Gloria Mazzòn Soto, pago en apoyo a cobranza domingo 23 de julio/17</t>
  </si>
  <si>
    <t>Copyfaz Digital, pago de copias para informes del fraccionamiento</t>
  </si>
  <si>
    <t>Cadena Comercial Oxxo, S.A. de C.V. compra de agua y refrescos junta con Notarìa mesa directiva</t>
  </si>
  <si>
    <t>Fuentes Plaza, A.C. pago de estacionamiento visita a Notaria cambio de mesa directiva</t>
  </si>
  <si>
    <t>Advanced Servicio CCTV y Còmputo, a/c de compra de bobina para camara de Cuchilla</t>
  </si>
  <si>
    <t>Guardìas y Custodìas Privadas Gama, pago a/c de la 2da. Quincena de julio/17 cheque # 90</t>
  </si>
  <si>
    <t>Gloria Mazzón Soto, pago de honorarios de captura de datos del 24 al 28 de julio/17</t>
  </si>
  <si>
    <t>Constantino Cabrera, pago por poda de pasto del frac del 25 al 29 de julio/17</t>
  </si>
  <si>
    <t>Pedro Bazzan, pago por recolección de basura del fracc entre semana de la 2da. Quincena de julio/17</t>
  </si>
  <si>
    <t>Roberto Miranda, pago por barrer todo el fraccionamiento de lunes a viernes 2da quincena julio/17</t>
  </si>
  <si>
    <t>Gloria Mazzón Soto, pago en apoyo en cobranza domingo 30 de julio/17</t>
  </si>
  <si>
    <t>Fantasia Miguel, S.A. de C.V., compra de base de madera para credenciales de personal de limpiez</t>
  </si>
  <si>
    <t>Operadora Central de Estacionamiento SAPI de C.V. pago de estacionamiento compra base madera</t>
  </si>
  <si>
    <t>Tienda, compra de refrescos para personal de vigilancia</t>
  </si>
  <si>
    <t>Distribuidora El Bollo Cafetales, S.A. de C.V., compra de pastel para vigilancia</t>
  </si>
  <si>
    <t>Guardìas y Custodìas Privadas Gama, pago liq. de la 2da. Quincena de julio/17</t>
  </si>
  <si>
    <t>Advanced Servicio CCTV y Còmputo, pago p9or configuraciòn de 10 tarjetas procard dx</t>
  </si>
  <si>
    <t>Advanced Servicio CCTV y Còmputo, compra de 2 eliminadores de 12 volts camaras LD, ZB y RM</t>
  </si>
  <si>
    <t>Personal Gama, compensaciòn en apoyo de corte de pasto en banquetas de RM en casetas</t>
  </si>
  <si>
    <t>Grisela Peralta Portugal, pago de la 2da. Quincena de julio/17</t>
  </si>
  <si>
    <t>Advanced Servicio CCTV y Còmputo, compra de 10 portatarjetas para procard dx</t>
  </si>
  <si>
    <t>Advanced Servicio CCTV y Còmputo, mantenimiento a camaras UP y ambio de tranceptores</t>
  </si>
  <si>
    <t>Advanced Servicio CCTV y Còmputo pago de mano de obra en reparaciòn y colocaciòn de 2 conec</t>
  </si>
  <si>
    <t>Camiòn Basura, pago por llevarse costales de bajo de escaleras de resbaladillas del parque</t>
  </si>
  <si>
    <t>Grisela Peralta, compra de helados a personal de vigilancia por su buen desempeño en fracciona</t>
  </si>
  <si>
    <t>Copyfaz Digital, pago de enmicado de credenciales para personal de servicio del fraccionamiento</t>
  </si>
  <si>
    <t>Jovenes del fraccionamiento, compensaciòn en apoyo de doblar y entregar informe en todo el frac</t>
  </si>
  <si>
    <t>Centro de Copiado y Papelerìa, pago por 1,800 copias para informe del fraccionamiento</t>
  </si>
  <si>
    <t>Advanced Servicio CCTV y Còmputo compa de 1 arquete de 10 tenzores 18 c/u</t>
  </si>
  <si>
    <t>Advanced Servicio CCTV y Còmputo, compra de lente varifocal toshiba de camara profesional RM</t>
  </si>
  <si>
    <t>Patrulla 007, compensaciòn por patrullaje en fraccionamiento en especial por las noches</t>
  </si>
  <si>
    <t>Constantino Cabrera, compra de material para solador y poda del parque del fraccionamiento</t>
  </si>
  <si>
    <t>Istael Galan Quintin, compra de 15 duplicado de llaves acceso peatonal fracciionamiento ch #91</t>
  </si>
  <si>
    <t>Advanced Servicio CCTV y Còmputo compra de cable UTP y 11 tendidio de cable ch. #92</t>
  </si>
  <si>
    <t>Gloria Mazzòn Soto, pago de honorarios por captura de datos del 21 de julio al 04 de agosto/17</t>
  </si>
  <si>
    <t>Electropura, S de R.L. de C.V. compra de 3 garrafones de agua para casetas del fraccionamiento</t>
  </si>
  <si>
    <t>Personal Gama, compensaciòn de recolecciòn basuraa y quitar dodos los posters del fraccionam</t>
  </si>
  <si>
    <t xml:space="preserve">Fuentes Plaza, A.C. pago estacionamiento visista a notarìa </t>
  </si>
  <si>
    <t>Constantino Cabrera, pago por poda de pasto del 01 al 05 de agosto 17</t>
  </si>
  <si>
    <t>Pedro Bazzan, pago por recolecciòn de basura en fines de semana de todo el fraccionamiento</t>
  </si>
  <si>
    <t>Pedro Bazzan, pago por recolecciòn de pasto podado entre semanada</t>
  </si>
  <si>
    <t>Cadena Comercial Oxxo, S.A. de C.V. compra de café y refrescos para mesa de cobranza y vigilanc</t>
  </si>
  <si>
    <t>Nueva Walmart de Mèxico, S. de R.L. de C.V., compra de materiales de limpieza para casetas del fr</t>
  </si>
  <si>
    <t>Guardìas y Custodìas Privadas Gama, pago a/c. de la 1er. Quincena de agosto/17</t>
  </si>
  <si>
    <t>Gloria Mazzòn Soto, pago en apoyo de cobranza domingo 06 de agosto/17</t>
  </si>
  <si>
    <t>Electropura, S. de R.L. de C.V., compra de 10 garrafones de auga para casetas del fraccionamiento</t>
  </si>
  <si>
    <t xml:space="preserve">Advanced Servicio CCTV y Còmputo, pago mano de obra en baja de sistema tarjetas </t>
  </si>
  <si>
    <t>Advanced Servicio CCTV y Còmputo, pago de mano de obra en sustituciòn de camara para LD</t>
  </si>
  <si>
    <t>Advanced Servicio CCTV y Còmputo, compra de camara en material policarbonato  para LD</t>
  </si>
  <si>
    <t>Advanced Servicio CCTV y Còmputo, compra de telefono fijo para caseta RM</t>
  </si>
  <si>
    <t>Advanced Servicio CCTV y Còmputo, compra telefono inalambrico para caseta</t>
  </si>
  <si>
    <t>Advanced Servicio CCTV y Còmputo, recupperaciòn de cuenta de outlook lapto de tesoreria</t>
  </si>
  <si>
    <t>Advanced Servicio CCTV y Còmputo, pago por arreglo de celular de presidencia</t>
  </si>
  <si>
    <t xml:space="preserve">Israel Galan Quintin, compra de 1 chapa nueva con arreglo en conjunto de todas </t>
  </si>
  <si>
    <t>Comercial City Fresko, S. de R.L. DE c.v. compra  pastel  cuartel de bomberos aportaciòn del fracc</t>
  </si>
  <si>
    <t>Personal Gama, compensaciòn por quitar toda la propagandas de afuera del fraccionamiento</t>
  </si>
  <si>
    <t>Comercial City Fresko, S de R.L. de C.V. pago estacionamiento compra de pastel</t>
  </si>
  <si>
    <t>Telefonos de Mexico SAB de C.V. pago del mes de julio/17</t>
  </si>
  <si>
    <t>Roberto Gama, compensaciòn por quitar propaganda por dentro del fraccionamiento</t>
  </si>
  <si>
    <t>Copyfaz Digital, pago de copias para presidencia</t>
  </si>
  <si>
    <t>Sistemas de Còmputo, pago por hacer credenciales de servicio de aseo del fraccionamiento</t>
  </si>
  <si>
    <t>Gloria Mazzòn Soto pago de honorarios por captura de datos del 07 al 11 de agosto/17</t>
  </si>
  <si>
    <t>Radec, compra de gasolina para presidencia varias diligencias del fraccionamiento</t>
  </si>
  <si>
    <t>Constantino Cabrera, pago por poda de pasto del 08 al 12 de agosto/17</t>
  </si>
  <si>
    <t>Office Depot de Mèxico, S.A. de C.V. compra de toner de impresora para presidencia</t>
  </si>
  <si>
    <t>Office Depot de Mèxico, S.A. de C.V. compra de cartuchos para impresora tesoreria</t>
  </si>
  <si>
    <t>Grisela Peralta, compra de refrescos para cuadrilla de luminarias delegaciòn arreglo parque</t>
  </si>
  <si>
    <t>Advanced Servicio CCTV y Còmputo, compra de materiales para colocaciòn camara Estopila</t>
  </si>
  <si>
    <t>Advanced Servicio CCTV y Còmputo, pago por mano de obra de camara en Estopila</t>
  </si>
  <si>
    <t>Gloria Mazzòn Soto, pago en apoyo de cobranza domingo 13 de agosto/17</t>
  </si>
  <si>
    <t>Electropura S. de R.L. de C.V. compra de 5 garrafones de agua para casetas del fraccionamiento</t>
  </si>
  <si>
    <t>Grisela Peralta, pago de la 1er quincena de agosto/17</t>
  </si>
  <si>
    <t>Roberto Miranda pago por barrer fracc de lunes a viernes 1er quincena de agosto/17</t>
  </si>
  <si>
    <t>Pedro Bazzan, pago por recolecciòn basura entre semana 1er quincena</t>
  </si>
  <si>
    <t>Olegario Gama, compensaciòn por recortar pasto de caseta Romeral banquetas</t>
  </si>
  <si>
    <t>Adcoapa, S.A. de C.V. pago estacionamiento para compra de papelerìa</t>
  </si>
  <si>
    <t>Guardìas y Custodìas Privadas Gama, pago liquidaciòn 1er quincena agosto/17 cheque #96</t>
  </si>
  <si>
    <t>Asunciòn Dominguez, pago por barrer y recolecciòn de pasto parque 3 dias</t>
  </si>
  <si>
    <t>Gloria Mazzòn Soto, pago de honorarios por captura de datos del 13 al 18 de agosto/17</t>
  </si>
  <si>
    <t>Apolinar De La Cruz, compra de 1 paraguas para mesa de cobranza</t>
  </si>
  <si>
    <t>Ferre Elèctrica Reyesa, compra de 1 brocha para pintar barda del fraccionamiento</t>
  </si>
  <si>
    <t>Comercializadora Caspin, S.A. de C.V. compra de pintura para barda del fraccionamiento</t>
  </si>
  <si>
    <t>Constantino Cabrera, pago poda de pasto fraccionamiento del 15 al 19 de agosto/17</t>
  </si>
  <si>
    <t>Pedro Bazzan, pago por recolección de basura en fraccionamiento fin de semana</t>
  </si>
  <si>
    <t>Centro de Copiado y Papelelría Omega, pago por impresiones a color y papelería</t>
  </si>
  <si>
    <t>Centro de Copiado y Papelería Omega, pago de 400 copias para informe fraccionamieinto</t>
  </si>
  <si>
    <t>Guardías y Custodías Privadas Gama, S.A. de C.V. pago a/c 2° quincena agosto/17</t>
  </si>
  <si>
    <t xml:space="preserve">Estacionamiento Don Jose, pago estacionamiento visita Notaria </t>
  </si>
  <si>
    <t>Servicio Agua Brava, S.A. de C.V. pago de gasolina para presidencia varias diligencias fraccionami</t>
  </si>
  <si>
    <t>Electropura, S. de R.L. de C.V., compra de 14 garrafones de agua para casetas del fraccionamiento</t>
  </si>
  <si>
    <t>Advanced Servicio CCTV y Cómputo, Compra de materiales para pluma de Recoveco</t>
  </si>
  <si>
    <t>Estacionamiento visita a Bomberos mesa directiva</t>
  </si>
  <si>
    <t>Constantino Cabrera, pago poda de pasto fraccionamiento del 22 al 26 de agosto/17</t>
  </si>
  <si>
    <t>Guardìas y Custodìas Privadas Gama, S.A. de C.V. pago a/c 2ª quincena agosto/17 (2)</t>
  </si>
  <si>
    <t>Personal Gama, compensaciòn en apoyo de corte de arbolitos zona de Zinamapa</t>
  </si>
  <si>
    <t>Manuel Gama, compensaciòn en pintar barda y en quitar promociones de puertas fraccionamien</t>
  </si>
  <si>
    <t xml:space="preserve">Asunciòn Dominguez, compensaciòn en recolecciòn de pasto podado </t>
  </si>
  <si>
    <t>Gloria Mazzòn Soto pago de honorarios por captura de datos del 21 al 25 de agosto/17</t>
  </si>
  <si>
    <t>Personal Gama, compensaciòn por arreglo parque y caseta Romeral, tirar costales de basura</t>
  </si>
  <si>
    <t>Personal Gama, compensaciòn por ayuda a recolecciòn de pasto del parque fraccionamiento</t>
  </si>
  <si>
    <t>Pedro Bazzan , pago por recolecciòn de basura del fraccionamiento de lunes a viernes de la 2ª qn</t>
  </si>
  <si>
    <t>Grisela Peralta, compra de agua para mesa directiva, visita a notaria</t>
  </si>
  <si>
    <t>Centro de Copiado y Papelerìa Omega, pago de copias para informe al fraccionamiento</t>
  </si>
  <si>
    <t>Cadena Comercial Oxxo, S.A. de C.V. compra de garrafones de agua para caseta de Romeral</t>
  </si>
  <si>
    <t>Grisela Peralta, compra de agua para casetas por inventario en ellas</t>
  </si>
  <si>
    <t>Guardìas y Custodìas Privadas Gama, S.A. de C.V. pago a/c 2ª quincena agosto/17 (3)</t>
  </si>
  <si>
    <t>Guardias y Custodìas Prìvadas Gama, S.A. de C.V. pago liq. 2ª quincena agosto/17 (4)</t>
  </si>
  <si>
    <t>Grisela Peralta Portugal, pago de la 2da. Quincena de agosto/17</t>
  </si>
  <si>
    <t>Roberto Miranda pago por barrer fracc de lunes a viernes 2da. quincena de agosto/17</t>
  </si>
  <si>
    <t>Guardías y Custodías Privadas Gama, S.A. de C.V. pago liq. 2° quincena de agosto/17 ch. #97</t>
  </si>
  <si>
    <t>Advanced Servicio CCTV y Cómputo, pago de mano de obra en instalción de cableado aereo frac</t>
  </si>
  <si>
    <t xml:space="preserve">Advanced Servicio CCTV y Cómputo, compra de 1 bobina de cable UTP categoria 6 </t>
  </si>
  <si>
    <t>Proyectos Recperaciones e Inspecciones de Mexico, reparación de pluma de salida del fracc</t>
  </si>
  <si>
    <t>Asunción Dominguez, compensación en apoyo de mantenimiento puerta vehicular Landero</t>
  </si>
  <si>
    <t xml:space="preserve">Advanced Servicio CCTV y Cómputo, compra de lincencia windows 7 para nueva presidenta </t>
  </si>
  <si>
    <t>Advanced Servicio CCTV y Cómputo, pago de instación de software windows 7 para presidencia</t>
  </si>
  <si>
    <t>Gloria Mazzón Soto, pago de honorarios por captura de datos del 28 de agosto al 01 de sep/17</t>
  </si>
  <si>
    <t>Constantino Cabrera, pago poda pasto del parque del 29 de ago al 02 de sep/17</t>
  </si>
  <si>
    <t>Gloria Mazzón Soto, pago en apoyo de junta cambio de mesa directiva sabado 02 sep/17</t>
  </si>
  <si>
    <t>Cadena Comercial Oxxo, S.A. de C.V. compra de café y refrescos para mesa de cobranza y vigilan</t>
  </si>
  <si>
    <t>Pedro Bazzan, pago por recolección de basura en fines de semana</t>
  </si>
  <si>
    <t>Electropura, S. de R.L. de C.V. compra de 8 garrafones de agua para casetas del fraccionamiento</t>
  </si>
  <si>
    <t>Copifaz Digital, pago de 1 enmicado de listo de pagos figos del mes para presidencia</t>
  </si>
  <si>
    <t>Radiomovil Dipsa, S.A. de C.V. compra de telefono para mesa directiva</t>
  </si>
  <si>
    <t>Radiomovil Dipsa, S.A. de C.V. compra de chip para telefono de mesa directiva</t>
  </si>
  <si>
    <t>Estacionamiento Cuemanco, compra de telefono y chip para presidencia</t>
  </si>
  <si>
    <t>Nueva Walmart de México, S. de R.L. de C.V. compra de material de limpieza para casetas</t>
  </si>
  <si>
    <t>Estacionamiento Cuemanco, compra de materiales para limpieza</t>
  </si>
  <si>
    <t>Estacionamiento, reunión de mesa directiva con comité vecinal</t>
  </si>
  <si>
    <t>Nueva Walmart de México, S. de R.L. de C.V. compra de Impresora y 2 tintas para tesoreria</t>
  </si>
  <si>
    <t>Office Depot de México, S. de R.L. de C.V. compra de papelería para Presidencia y Tesoreria</t>
  </si>
  <si>
    <t>Estacionamiento Cuemanco compra de impresora y papapelería</t>
  </si>
  <si>
    <t>Nueva Walmart de México, S. de R.L. de C.V. compra de agua para personal de mesa directiva</t>
  </si>
  <si>
    <t>Advanced Servicio CCTV y Cómputo, pago mano de obra en intalación de cableado aereo UP</t>
  </si>
  <si>
    <t>Guardías y Custodías Prívadas Gama, S.A. de C.V. pago a/c de la 1er quincena de septiembre/17</t>
  </si>
  <si>
    <t>Mercado Villa Coapa, compra de adornos para fraccionamiento fiestas patrías</t>
  </si>
  <si>
    <t>Gloria Mazzón Soto, pago de honorarios por captura de datos del 04 al 08 de septiembre/17</t>
  </si>
  <si>
    <t>El Globlo, pastelerìa tradicional, S.A. de C.V. junta de la nueva mesa directiva</t>
  </si>
  <si>
    <t>Pizza Plaza, compra de pizza para personal de comisiòn federal de electricidad</t>
  </si>
  <si>
    <t>Pedro Bazzan, pago por recolecciòn de basura en fin de semana del fraccionamiento</t>
  </si>
  <si>
    <t>Centro de Copiado y Papelerìa Omega, pago de copias informe al fraccionamiento</t>
  </si>
  <si>
    <t>Estacionamiento, pago de estacionamiento visita Contador Siegrist</t>
  </si>
  <si>
    <t>Patrulla 007, compensaciòn en rondines en el fraccionamiento entre semana</t>
  </si>
  <si>
    <t>Servicio el Hueso, S.A. de C.V., compra de gasolina para personal delegaciòn poda parque</t>
  </si>
  <si>
    <t>Distribuidora el Bollo Cafetales, S.A. de .CV. Compra de bolillo para tortas personal delegaciòn</t>
  </si>
  <si>
    <t xml:space="preserve">Cadena Comercial Oxxo, S.A. de C.V., compra de refrescos y vasos cuadrilla delegaciòn poda </t>
  </si>
  <si>
    <t>Carniceria Xotepinco, S.A. de C.V. compra de jamon y queso para tortas cuadrilla delegaciòn</t>
  </si>
  <si>
    <t>Telefonos de Mèxico, SAB De Mèxico, S.A. de C.V. pago del mes de agosto/17 fraccionamiento</t>
  </si>
  <si>
    <t>Cadena Comercial Oxxo, S.A. de C.V. compra de refrescos para cuadrilla delegaciòn poda pasto</t>
  </si>
  <si>
    <t>Gloria Mazzòn, compra de 1 cangujera para guardar documentos y dinero para presidenta</t>
  </si>
  <si>
    <t>Dolores Mijangos Peralta, compra de tacos de canasta para cuadrilla delegaciòn poda pasto</t>
  </si>
  <si>
    <t>Dolores Mijangos Peralta, compra de gorditas para vigilantes noche del 15 de septiembre</t>
  </si>
  <si>
    <t>Estacionamiento, pago estacionamiento junta mesa directiva y comité vecinal</t>
  </si>
  <si>
    <t>Tienda, compra de vasos de plastico y servilletas para vigilancia 15 de septiembre</t>
  </si>
  <si>
    <t>Servicio El Hueso, S.A. de C.V., pago de gasolina para presidenta varias diligencia del fracciona</t>
  </si>
  <si>
    <t>7 Eleven Mèxico, S.A. de C.V., compra de refrescos para vigilancia 15 de septiembre/17</t>
  </si>
  <si>
    <t xml:space="preserve">Pedro Bazzan, pago 1er quincena por recolecciòn de basura entre semana </t>
  </si>
  <si>
    <t xml:space="preserve">Roberto Miranda, pago 1er quincena por barrer todo el fraccionamiento entre semana </t>
  </si>
  <si>
    <t>Gloria Mazzòn Soto, pago de honorarios del 11 al 15 de septiembre/17</t>
  </si>
  <si>
    <t>Doroles Mijangos Peralta, pago de la 1er quincena del mes de septiembre/17</t>
  </si>
  <si>
    <t>Maria De Lourdes Osorio, pago por varios trabajos realizados en el fraccionamiento</t>
  </si>
  <si>
    <t>Guardìas y Custodìas Privada Gama, S.A. de C.V. pago liq. De la 1er quincena de septiembre/17</t>
  </si>
  <si>
    <t>Cuadrilla Delegaciòn, compra de tacos de canasa por poda de pasto fraccionamiento</t>
  </si>
  <si>
    <t>Advanced Servicio CCTV y Còmputo, compra de material para reparacilòn de camaras y plumas</t>
  </si>
  <si>
    <t>Advanced Servicio CCTV Y Còmputo, pago de mano de obra de reparaciòn de pluma y ajuste</t>
  </si>
  <si>
    <t>Cadena Comercial Oxxo, S.A. de C.V., compra de tiempo aire para telefono tesorera</t>
  </si>
  <si>
    <t>Bicicletas Benotto, S.A. de C.V., compra de camara para bicicleta del fraccionamiento</t>
  </si>
  <si>
    <t>Advanced Servicio CCTV y Còmputo, pago de mano de obra en colocaciòn de luz pluma</t>
  </si>
  <si>
    <t>Gloria Mazzòn, pago de honorarios por captura de datos del 18 al 22 de septiembre</t>
  </si>
  <si>
    <t>Office Depot de México, S. de R.L. de C.V. compra thoner para presidencia</t>
  </si>
  <si>
    <t>Nueva Walmart de Mèxico, S de R.L. de C.V. compra de tambo de plastico para guardad adonornos</t>
  </si>
  <si>
    <t>Estacionamiento Cuemanco, compra de thoner y tambo de plastico</t>
  </si>
  <si>
    <t>Tiendas Chedraui, S.A. de C.V. compra de insecticida para hormigas en poste de camaras</t>
  </si>
  <si>
    <t>Papelerìa El Grillito, pago de 400 copias para informe de telefonos de seguridad del fraccionamient</t>
  </si>
  <si>
    <t>7 Eleven Mèxico, S.A. de C.V., compra de refrescos para personal delegaciòn poda pasto fracc</t>
  </si>
  <si>
    <t>Israel Galan Quintin, compra de 7 llaves para puertas peatonales del fraccionamiento</t>
  </si>
  <si>
    <t xml:space="preserve">Estacionamiento Don Josè,  estacionamiento visita notario </t>
  </si>
  <si>
    <t>Cuadrilla Delegaciòn, compra de comida por poda de pasto fraccionamiento</t>
  </si>
  <si>
    <t>Guardìas y Custodìas Privadas Gama, S.A. de C.V. pago a/c de la 2da. Quincena de septiembre/17</t>
  </si>
  <si>
    <t>Office Depot de Mèxico, S.A. de C.V. pago de enmicado presidencia</t>
  </si>
  <si>
    <t>Gloria Mazzòn, pago de honorarios por captura de datos del 25 al 29 de septiembre</t>
  </si>
  <si>
    <t>Asunciòn Dominguez, copra de camara para cibicleta de vigilancia del fraccionamiento</t>
  </si>
  <si>
    <t>Luis Hernàndez, pago por compostura de puerta de chapa Upacuaro</t>
  </si>
  <si>
    <t>Panerìas La Esperanza, S.A. de C.V. compra de pollos para personal delegaciòn poda pasto</t>
  </si>
  <si>
    <t>Tortillerìa, compra de tortillas para cuadrilla delegaciòn poda pasto</t>
  </si>
  <si>
    <t>Dolores Mijangos Peralta, pago de la 2ª quincena de septiembre</t>
  </si>
  <si>
    <t>Pedro Bazzan, pago de la 2ª quincena poor recoleccliòn de basura fraccionamiento entre seman</t>
  </si>
  <si>
    <t>Roberto Miranda, pago 2ª quincena por barrer todo el fracc entre semana de la 2ª quincena</t>
  </si>
  <si>
    <t>Roberto Miranda pago por trabajos extras en el fraccionamiento</t>
  </si>
  <si>
    <t>Cadena Comercial Oxxo, S.A. de C.V.,compra de café y refrescos para mesa de cobranza y vigilan</t>
  </si>
  <si>
    <t>Cadena Comercial Oxxo, S.A. de C.V., compra de café y refrescos para mes de cobranza y vigilan</t>
  </si>
  <si>
    <t>Guardìas y Custodìas Privadas Gama, S.A. de C.V. pago 1/3 liq. 2da. Quincena mes septiembre/17</t>
  </si>
  <si>
    <t>Estacionamiento, pago de estacionamiento Banco Banorte requerimiento de estado de cuenta</t>
  </si>
  <si>
    <t>Electropura, S. de R.L. de C.V. compra de 5 garrafones de agua</t>
  </si>
  <si>
    <t>7 Eleven Mèxico, S.A. de C.V. compra de refrescos para cuadrilla delegaciòn poda pasto fracc</t>
  </si>
  <si>
    <t>Cuadrilla Delegaciòn, compra de gorditas para personal poda pasto del fraccionamiento</t>
  </si>
  <si>
    <t>Presidencia, compra de gasolina para varias diligencias del fraccionamiento</t>
  </si>
  <si>
    <t>Cuadrilla Delegaciòn, compra de gasolina para maquinas de poda de pasto</t>
  </si>
  <si>
    <t>Premier Cesar`s S.A. de C.V. compra de pizzas para cuadrilla delegaciòn poda pasto fraccionami</t>
  </si>
  <si>
    <t>Israel Gallàn Quintìn compra de 15 llaves para puertas de acceso peatonal del fraccionamiento</t>
  </si>
  <si>
    <t>Sergio Solìs Martìnez, pago por reparaciòn chapa y ajuste de poste puerta Zinampa</t>
  </si>
  <si>
    <t>Cuadrilla Delegaciòn, compra de carnitas personal poda pasto del fraccionamiento</t>
  </si>
  <si>
    <t>Gloria Mazzòn Soto, pago de honorarios por captura de datos del 02 al 06 de octubre/17</t>
  </si>
  <si>
    <t>Patrulla 007, compensaciòn por rondines en fraccionamiento en todoa la semana</t>
  </si>
  <si>
    <t>Ing. De Sistemas, pago por reproducciòn de video a vecino CL_29</t>
  </si>
  <si>
    <t>Grupo Motparnasse, compra de café para mesa de cobranza domingo</t>
  </si>
  <si>
    <t>Nueva Walmart de Mèxico, S. de R.L. de C.V., compra de material de limpieza</t>
  </si>
  <si>
    <t>Estacionamiento Cuemanco, pago de estacionamiento compra de material de limpieza</t>
  </si>
  <si>
    <t>Advanced Servicio CCTV y Còmputo, pago por reparaciòn de 2 camaras caseta Zinampa</t>
  </si>
  <si>
    <t>Telefonos de Mèxico, SAB de C.V. pago de telefono septiembre/17</t>
  </si>
  <si>
    <t>Home Depot Mèxico, S. de R.L. de C.V. compra de mezcladoras de baño para caseta de zinampa</t>
  </si>
  <si>
    <t>Electropura, S. de R.L. de C.V. compra de 4 garrafones de agua</t>
  </si>
  <si>
    <t>SAT Servicio de Administración Tributaría, pago retención IVA colegio Carmel Octubre/17 Ch. # 100</t>
  </si>
  <si>
    <t>Contador Carlos Siegrist Hernández, pago de honorarios del mes de Octubre/17 Ch. # 100</t>
  </si>
  <si>
    <t>SAT Servicio de Administración Tributaría, pago retención IVA colegio Carmel sep/17 Ch. # 98</t>
  </si>
  <si>
    <t>Contador Carlos Siegrist Hernández, pago de honorarios del mes de sep/17 Ch. # 98</t>
  </si>
  <si>
    <t>SAT Servicio de Administración Tributaría, pago retención IVA colegio Carmel ago/17 Ch. # 93</t>
  </si>
  <si>
    <t>Contador Carlos Siegrist Hernández, pago de honorarios del mes de  ago/17 Ch. # 93</t>
  </si>
  <si>
    <t>Siegrist Contadores Pùblicos, pago de honorarios del mes de julio/17 cheque #86</t>
  </si>
  <si>
    <t>Guardìas y Custodìas Privadas Gama, S.A. de C.V. pago 1/1 a/c de la 1er quincena octubre/17</t>
  </si>
  <si>
    <t>Materiales y Tlapalerìa La Palma, compra de pilas para linterna caseta Zinampa</t>
  </si>
  <si>
    <t>Gloria Mazzòn Soto, pago de honorarios por captura de datos del 09 al 13 de octubre/17</t>
  </si>
  <si>
    <t>Materiales y Tlapalerìa La Palma, compra de silicòn para mezclaroda caseta Romeral</t>
  </si>
  <si>
    <t>Roberto Miranda, pago extra por barrer el fraccionamiento</t>
  </si>
  <si>
    <t>Herrero, pago por reparaciòn de chapa puerta Estanzauela y colocaciòn de mezcladora Romeral</t>
  </si>
  <si>
    <t>Floreria, compra de 3 arreglos para misa del fraccionamiento</t>
  </si>
  <si>
    <t>Ingeniro de Sistemas, pago por revisiòn de cableado de camaras del fraccionamiento</t>
  </si>
  <si>
    <t>Pedro Bazzan, pago por recolecciòn de basura primer quincena de octubre/17</t>
  </si>
  <si>
    <t>Roberto Miranda, pago por barrer de lunes a viernes 1er quincena de octubre/17</t>
  </si>
  <si>
    <t>Dolores Mijangos Peralta, pago de 1er quincena de Octubre/17</t>
  </si>
  <si>
    <t>Marìa De Lourdes Osorio, compensaciòn  por diferentes trabajos al fraccionamiento 1er quinc</t>
  </si>
  <si>
    <t>Villafaña Pèrez Judith, compra de café para mesa de cobranza domingos</t>
  </si>
  <si>
    <t>Guardìas y Custodìas Gama, S.A. de C.V. pago 1/2 liq 1er quincena de octubre/17</t>
  </si>
  <si>
    <t>El Globo Tradiciòn en Pastelerìas, S.A. de C.V. desayuno entre mesa directiva y comitel vecinal</t>
  </si>
  <si>
    <t>Pastelerìa Bodon, S.A. de C.V. compra de dulce para evento dìa de Muertos del fraccionamiento</t>
  </si>
  <si>
    <t>Telas Junco, S.A. compra de mantel para mesa del kiosco dìa de Muertos(ofrenda)</t>
  </si>
  <si>
    <t>Plaza Premier, pago estacionamiento compra material para adornos del kiosco</t>
  </si>
  <si>
    <t>Zahuan del Parque, junta de mesa directiva con comité vecinal asuntos del fraccionamiento</t>
  </si>
  <si>
    <t>Gloria Mazzòn Soto, pago de honorarios por captura de datos del 16 al 20 de octubre</t>
  </si>
  <si>
    <t>Distribuidora Bicicletas Benotto, S.A. de C.V. pago de compostura de bicicletas del fraccionamiento</t>
  </si>
  <si>
    <t>Gloria Mazzòn Soto, pago en apoyo de cobranza del domingo 22 de octubre/17</t>
  </si>
  <si>
    <t xml:space="preserve">Centro de Copiado y Papelerìa Omega, pago de copias para informes al fraccionamiento pagos </t>
  </si>
  <si>
    <t>Mercador Del Hueso, compra de adornos para dìa de muertos fraccionamiento</t>
  </si>
  <si>
    <t>Electropura, S. de R.L. de C.V. compra de 7 garrafones de agua para casetas</t>
  </si>
  <si>
    <t>Mercado de Villa Coapa, compra de adorno para caseta día de muertos</t>
  </si>
  <si>
    <t>Guardías y Custodías Privadas, S.A. de C.V. pago 1/1 a/c de la 2da quincena de octubre/17</t>
  </si>
  <si>
    <t>Mercado de Villa Coapa, compra de adornos para ofrenda kiosco del fraccionamiento</t>
  </si>
  <si>
    <t>Mercado de Cuemanco Xochimilco D.F., compra de flor de cempasúchil para ofrenda kiosco</t>
  </si>
  <si>
    <t>Mercado de Villa Coapa, compra de adornos para ofrenda kiosco día de muertos del fraccionamiento</t>
  </si>
  <si>
    <t>Gloria Mazzón Soto, pago de honorarios por captura de datos del día 23 al 27 de octubre/17</t>
  </si>
  <si>
    <t>Copyfaz Digital, pago de 210 copias para invitación visita al kiosco día de muertos kiosco</t>
  </si>
  <si>
    <t>Servicio el Hueso, S.A. de C.V. pago de gasolina para presidencia varias diligencias del fraccionamie</t>
  </si>
  <si>
    <t>Cadena Comercial Oxxo, S.A. de C.V. compra de refresco para personal delegación clareado de árbole</t>
  </si>
  <si>
    <t>Pollo Felíz, compra de pollos para personal delegación clareado de árboles del parque fraccionam</t>
  </si>
  <si>
    <t>Tianguis, compra de fruta para ofrenda del kiosco del fraccionamiento día de muertos</t>
  </si>
  <si>
    <t>Papelería Colibrí Compra de papael crepe para forrar mesa de ofrenda del kiosco</t>
  </si>
  <si>
    <t>Repostería Estrellita, compra de 70 pan de muerto para repartir a niños día de muertos</t>
  </si>
  <si>
    <t>Guardías y Custodías Privadas, S.A. de C.V. pago 1/2 a/c de la 2da quincena de octubre/17</t>
  </si>
  <si>
    <t>Guardías y Custodías Privadas, S.A. de C.V. pago 1/3 liq a/c de la 2da quincena de octubre/17</t>
  </si>
  <si>
    <t>Roberto Miranda, pago por barrer de lunes a viernes 2da quincena de octubre/17</t>
  </si>
  <si>
    <t>Roberto Miranda, pago por trabajos extras de barrer fraccionameinto</t>
  </si>
  <si>
    <t>Pedro Bazzan, pago por recolección de basura de lunes a viernes 2da. Quincena octubre/17</t>
  </si>
  <si>
    <t>Dolores Mijangos Peralta, pago de 2da. quincena de Octubre/17</t>
  </si>
  <si>
    <t>María de Lourdes Osorio, Compensación por varios trabajos realizados en el fraccionamiento</t>
  </si>
  <si>
    <t>Guardìas y Custodìas Privada Gama, S.A. de C.V. pago liq. 2da. Quincena Octubre/17 cheq # 99</t>
  </si>
  <si>
    <t>Sra. Alejandra, pago por limpieza del kiosco parque para colocar ofrenda del fraccionamiento</t>
  </si>
  <si>
    <t>Electropura S. de R.L. de C.V. compra de 3 garrafones de agua para casetas</t>
  </si>
  <si>
    <t>Cerrajerìa Nuevo Mèxico, reparaciòn de cerradura de puerta EP que descompuso vecino</t>
  </si>
  <si>
    <t>Gloria Mazzòn Soto, pago de honorarios de captura de datos del 30 de oct al 03 de nov/17</t>
  </si>
  <si>
    <t>Sistemas de Còmputo, pago por reproducciòn de video para vecino ZB_62</t>
  </si>
  <si>
    <t>Cadena Comercial Oxxo, S.A. de C.V. compra de café y refrescos para mesa de cobranza domingo</t>
  </si>
  <si>
    <t>Pedro Bazzan, pago por recolecciòn de basura en fin de semana en todo el fraccionaiento</t>
  </si>
  <si>
    <t>Electropura, S. de R.L. de C.V. compra de 3 garrafones de agua para casetas del fraccionamiento</t>
  </si>
  <si>
    <t>Sr. Antelmo, por poda de pasto del parque del fraccionamiento y gasolina para desbrozadora</t>
  </si>
  <si>
    <t>Cadena Comercial Oxxo, S.A. de C.V, compra de tiempo aire para celular presidencia</t>
  </si>
  <si>
    <t>SAT Servicio de Administración Tributaría, pago retención IVA colegio Carmel nov/17 Ch. # 102</t>
  </si>
  <si>
    <t>Contador Carlos Siegrist Hernández, pago de honorarios del mes de nov/17 Ch. # 102</t>
  </si>
  <si>
    <t>Costco de Mèxico, S.A. de C.V., compra de refrescos para cuadrilla delegaciòn poda de àrboles</t>
  </si>
  <si>
    <t>Nueva Walmart de Mèxico, S. de R.L. de C.V. compra de cafè para vigilantes del fraccionamiento</t>
  </si>
  <si>
    <t>Lulkacorp S. de R.L. de C.V. compra de baterias alcalinas para control remoto de plumas ZB</t>
  </si>
  <si>
    <t xml:space="preserve">Sr. Antelmo, por poda de pasto del parque del fraccionamiento </t>
  </si>
  <si>
    <t>Patrulla 007, compensaciòn por rondines en fraccionamiento de toda la semana</t>
  </si>
  <si>
    <t>Nueva Walmart de Mèxico, S. de R.L. de C.V. compra de material de limpieza para casetas fracc</t>
  </si>
  <si>
    <t>Estacionamiento Cuemanco, pago de estacionamiento compra de materiales de limpieza</t>
  </si>
  <si>
    <t>Manuel Olivares, compensaciòn por retiro de pasto del parque del fraccionamiento</t>
  </si>
  <si>
    <t>Office Depot de Mèxico, S.A. de C.V. compra de papelerìa para presidencia</t>
  </si>
  <si>
    <t>Gloria Mazzòn Soto, pago de honorarios de captura de datos del 06 al 10 de noviembre/17</t>
  </si>
  <si>
    <t>Materiales y Tlapalerìa La Palma, compra de plastiloka y par de guantes limpieza caseta RM</t>
  </si>
  <si>
    <t xml:space="preserve">Guardías y Custodías Privadas Gama, S.A. de C.V.  Pago 1/2 a/c 1er quincena noviembre/17 </t>
  </si>
  <si>
    <t>Advanced Servicio CCTV y Còmputo,</t>
  </si>
  <si>
    <t>Pedro Bazzan, pago por recolecciòn de pasto del parque podado entre semana del fraccionami</t>
  </si>
  <si>
    <t>Copyfaz Digital, pago de 430 copias carta para informe al fraccionamiento</t>
  </si>
  <si>
    <t>Telefonos de Mèxico, SAB de C.V. pago de telefono de castas del fraccionamiento mes septiembre</t>
  </si>
  <si>
    <t xml:space="preserve">Sr. Antelmo, pago por poda de pasto del parque y gasolina para desbrozadora y cordon </t>
  </si>
  <si>
    <t>Manuel Olivares, compensaciòn por retira publicidad dentro y fuera del fraccionamiento</t>
  </si>
  <si>
    <t>Gloria Mazzòn Soto, pago de honorarios por captura de datos del 10 al 14 de noviembre/17</t>
  </si>
  <si>
    <t>Pedro Bazzan, pago por recolecciòn de basura en fracc de lunes a viernes 1er quincena nov/17</t>
  </si>
  <si>
    <t>Roberto Miranda, pago por barrer todo el fracc de lunes a viernes 1eer quincena noviembre/17</t>
  </si>
  <si>
    <t>Dolores Mijangos Peralta, pago primer quincena de noviembre/17</t>
  </si>
  <si>
    <t>Marìa De Lourdes Osorio, compensaciòn  por diferentes trabajos al fracc 1er quincena nov/17</t>
  </si>
  <si>
    <t>Roberto Miranda, pago por trabajos extras en el fracciionamiento</t>
  </si>
  <si>
    <t>Guardìas y Custodìas Privadas Gama, S.A. de C.V. pago 2/2 liq 1er quincena noviembre/17</t>
  </si>
  <si>
    <t>Manuel Olivares, commpensaciòn por barrer pasto del parque del fraccionamiento</t>
  </si>
  <si>
    <t>Lic. Guadalupe Guerrero Guerrero (notaria 160) pago protocolización de nueva mesa directiva</t>
  </si>
  <si>
    <t xml:space="preserve">La Casa de Rá, compra de café personal mesa directiva, protocolización </t>
  </si>
  <si>
    <t>Estacionamiento Don José, estacionamiento protocolización de la nueva mesa directiva</t>
  </si>
  <si>
    <t>Israel Galán Quintín, compra de 20 llaves para puerta de acceso peatonal</t>
  </si>
  <si>
    <t>Fuentes Plaza, A.C. pago de estacionamiento recoger acta de protocolización mesa directiva</t>
  </si>
  <si>
    <t>Electropura, S. de R.L. de C.V. compra de 2 garrafones de agua para casetas del fraccionamiento</t>
  </si>
  <si>
    <t>Pedro Bazzan, pago por recolección de basura en fin de saman del fraccionamiento</t>
  </si>
  <si>
    <t xml:space="preserve">Pedro Bazzan, pago por recolección podado entre semana </t>
  </si>
  <si>
    <t>Villafaña Pérez Judith, compra de café para mesa de cobranza domingo</t>
  </si>
  <si>
    <t>Electropura, S. de R.L. de C.V. compra de 4 garrafones de agua para casetas del fraccionamiento</t>
  </si>
  <si>
    <t>Tiendas Credraui, S.A. de C.V., compra de bolsas para pasto podado del parque fraccionamien</t>
  </si>
  <si>
    <t>Distribuidora Bicicletas Benotto, S.A. de C.V. compra de camara para bicilceta fraccionamiento</t>
  </si>
  <si>
    <t>Manuel Olivares, compensación en apoyo de barrer pasto podado del parque fraccionamiento</t>
  </si>
  <si>
    <t>Guardìas y Custodìas Privadas Gama, S.A. de C.V. pago 2da  quincena noviembre/17</t>
  </si>
  <si>
    <t>Sr. Antelmo, pago por poda de pasto del parque del fraccionamiento</t>
  </si>
  <si>
    <t>Manuel Olivares, compensación en barrer pasto del parque del fraccionamiento</t>
  </si>
  <si>
    <t>Servicio del Hueso, S.A. de C.V. compra de gasolina para desgrozadora para poda del parque</t>
  </si>
  <si>
    <t>Servicio del Hueso, S.A. de C.V. compra de gasolina para presidenta varia diligencia fraccionam</t>
  </si>
  <si>
    <t>Gloria Mazzón Soto, pago de honorarios por captura de datos del 20 al 24 de noviembre/17</t>
  </si>
  <si>
    <t xml:space="preserve">Advanced Servicio CCTV y Cómputo, compra de arnes con sensores de subida y bajada pluma </t>
  </si>
  <si>
    <t xml:space="preserve">Advanced Servicio CCTV y Cómputo, pago por reparación de pluma de subida y bajada </t>
  </si>
  <si>
    <t xml:space="preserve">Esteban Alvarez compostura de bicicleta,  2 rines, 1 juego de frenos y 2 pedales </t>
  </si>
  <si>
    <t>Papelería Colibrí, pago de copias de protocolicación</t>
  </si>
  <si>
    <t>Papelería Colibrí, compra de hojas oficio para sacar copias de protocolización</t>
  </si>
  <si>
    <t>Papelería Colibrí, compra de 1 folders para copias</t>
  </si>
  <si>
    <t>Sr. Antelmo, pago por poda de pasto entre semana parque del fraccionamiento</t>
  </si>
  <si>
    <t>Servicio del Hueso, S.A. de C.V. gasolina para transpostarse al SAT fira electronica presidencia</t>
  </si>
  <si>
    <t>Roberto Miranda, pago por barrer todo el fracc de lunes a viernes 2da quincena noviembre/17</t>
  </si>
  <si>
    <t>Roberto Miranda, pago de trabajos extras en fraccionamiento de barrer horas extras</t>
  </si>
  <si>
    <t>Pedro Bazzan, pago por recolección de basura de lunes a viernes 2da quincena noviembre/17</t>
  </si>
  <si>
    <t>Ma. De Lourdes Osorio, compensación por varios trabajos en fraccionamiento</t>
  </si>
  <si>
    <t>Israel Galan Quintin, reparaciòn de chapa y combinaciòn puerta Recoveco</t>
  </si>
  <si>
    <t>Herrero, pago de compostura de puerta EP soldadora y colocaciòn de protecciones y CL.ajuste</t>
  </si>
  <si>
    <t>Dolores Mijango Perlata, pago 2da quincena de noviembre/17</t>
  </si>
  <si>
    <t>Office Depto de Mèxico, S.A. de C.V. compra de papaeleria para presidencia</t>
  </si>
  <si>
    <t>Estacionamiento Cuemanco pago de estacionamiento compra de papaeleria presidencia</t>
  </si>
  <si>
    <t>Olegacio Vàzquez, compensaciòn por checar trabajos de puestas del fraccionamiento</t>
  </si>
  <si>
    <t>Manuel Olivares, compensaciòn por barrer pasto podado por varios dias del jardinero</t>
  </si>
  <si>
    <t>Patrulla 007, Compesaciòn por rondines en fraccionamiento todos los dias del la semana</t>
  </si>
  <si>
    <t xml:space="preserve">Antelmo Chàvez. Pago por poda de pasto del parque fracionameinto </t>
  </si>
  <si>
    <t>Tienda, compra de bolsas para recolecciòn de pasto podado del fraccionamiento</t>
  </si>
  <si>
    <t>Gloria Mazzòn Soto, pago por captura de datos del 27 de noviembre al 01 de diciembre/17</t>
  </si>
  <si>
    <t>Mercado de Flores, compra de arreglos floralares altar virgen misa del fraccionamiento</t>
  </si>
  <si>
    <t>Home Dept Mèxico, S. de R.L. de C.V. compra de aceite e hilo para desbrozadora poda fracciona</t>
  </si>
  <si>
    <t>Cadena Comercial Oxxo, S.A. de C.V. compra de café para mesa de cobranza y vigilancia</t>
  </si>
  <si>
    <t>Pedro Bazzan, pago por recolecciòn de basura en fin de semana en fraccionamiento</t>
  </si>
  <si>
    <t>Esteban Alejo compra de refacciones para bicicleta del fraccionameinto</t>
  </si>
  <si>
    <t>Sistemas de Computo, pago de 3 videos requeridos por LD_99, EZ:37 Y UP_60</t>
  </si>
  <si>
    <t>Gloria Mazzòn Soto, pago en apoyo a cobranza del domingo 03 de diciembre/17</t>
  </si>
  <si>
    <t>Articulos de temporada, compra de arreglos para el fraccionamiento epoca navideña</t>
  </si>
  <si>
    <t>Mercado Villa Coapa, compra de piñatas para posada del fraccionamiento</t>
  </si>
  <si>
    <t xml:space="preserve">Mercado Villa Coapa, compra de adornos para fraccionamiento posada </t>
  </si>
  <si>
    <t>Distribuidora Bicibletas Benotto, S.A. de C.V. compra de refacciones para bicicleta del fracc</t>
  </si>
  <si>
    <t>Office Depto de Mèxico, S.A. de C.V. compra de toner para presidencia y tesoreria</t>
  </si>
  <si>
    <t>Servicio Toks, S.A. de C.V. desayuno mesa directiva y comité vecinal</t>
  </si>
  <si>
    <t>Papelerial Flash, pago de 450 copias tamaño carta informe al fraccionamiento</t>
  </si>
  <si>
    <t>Gloria Mazzòn Soto, pago de honorarios por captura de datos del 04 al 08 de diciembre/17</t>
  </si>
  <si>
    <t>SAT Servicio de Administración Tributaría, pago retención IVA colegio Carmel nov/17 Ch. # 103</t>
  </si>
  <si>
    <t>Contador Carlos Siegrist Hernández, pago de honorarios del mes de dic/17 y anualida Ch. # 103</t>
  </si>
  <si>
    <t>Servio del Hueso, S.A. de C.V. pago de gasolina para varias diligencia del fraccionamiento</t>
  </si>
  <si>
    <t>Productos del campo, compra de conc¡dimentos para ponche, posada para el fraccionameito</t>
  </si>
  <si>
    <t>Mercado de Villa Coapa, compra de accesorios para posada del fraccionamiento</t>
  </si>
  <si>
    <t>Tiangui, compra de fruta para ponche posada del fraccionamiento</t>
  </si>
  <si>
    <t>Dulceria Carmelita, compra de dulces para piñatas posada del fraccionamiento</t>
  </si>
  <si>
    <t>Imagen Publiciaria, compra de 1000 recibos para cobranza</t>
  </si>
  <si>
    <t>Telefonos de Mèxicol, S.A.B. de C.V. pago telefono de noviembre/17</t>
  </si>
  <si>
    <t>Advanced Servicio CCTV y Còmputo, pago de honorarios cambio de tranceptores  2 camaras cl</t>
  </si>
  <si>
    <t>Advanced ServicIO CCTV y Còmputo, pago de hnoorarios por respaldo de USV eveto de 10 horas</t>
  </si>
  <si>
    <t>Servicio El Hueso, S.A. de C.V. compra de gasolina para desbrozadora poda de pasto fraccionam</t>
  </si>
  <si>
    <t>Mazjoss, compra de azucal para ponche posada del fraccionamiento</t>
  </si>
  <si>
    <t>Guardìas y Custodìas Privada Gama, S.A. de C.V. pago 1er quincena de diciembre/17</t>
  </si>
  <si>
    <t>Gloria Mazzòn Soto, pago de honorarios por captura del 11 al 5 de diciembre/17</t>
  </si>
  <si>
    <t>Roberto Miranda, pago por barer todo el fraccionamiento de lunes a viernes 1er quincena/</t>
  </si>
  <si>
    <t>Roberto Miranda pago adicional por trabajos estras en fraccionamiento</t>
  </si>
  <si>
    <t xml:space="preserve">Pedro Bazzan, pago por barrer todo el fraccionamiento de lunes a viernes 1er quincena </t>
  </si>
  <si>
    <t>Marìa de Lourdes Elena Osorio, pago 1er quincen de diciembre trabajos varios</t>
  </si>
  <si>
    <t>Dolores Mijango Perlata, pago 1er quincena de diciembre/17</t>
  </si>
  <si>
    <t>Guardìas y Custodìas Privadas Gama, S.A. de C.V. pago gratificaciòn del año 2017</t>
  </si>
  <si>
    <t>Mercado Villa Coapa, compra de articulos para posada del fraccionamieto</t>
  </si>
  <si>
    <t>Mercado Campesinos, compra de velas para posada del fraccionamiento</t>
  </si>
  <si>
    <t>Sabine Perèz, pago por hacer ponche para posada del fraccionamiento</t>
  </si>
  <si>
    <t>Electropura, S de R.L. de C.V. compra de 5 garrafones de agua para casetas del fraccionamiento</t>
  </si>
  <si>
    <t>Advanced Servico CCTV y Còmputo, venta de 30 tarjetas procard</t>
  </si>
  <si>
    <t>Comercial City Fresko, S. de R.L. de C.V. Compra de bolsas y plasticos para posada fraccionamiet</t>
  </si>
  <si>
    <t>Comercial City Fresko, S. de R.L. de C.V. pago de estacionamiento compras varias</t>
  </si>
  <si>
    <t>Advanced Servicio CCTV y Còmputo, pago de mano de obra comfiguraciòn de 30 tarjertas</t>
  </si>
  <si>
    <t>Mercado Villa Coapa, compra de canastas bolsas para presentes mesa directiva</t>
  </si>
  <si>
    <t>Grupo Montparnasse, compra de galletas para canastas navideñas para mesa directiva</t>
  </si>
  <si>
    <t>Operadora Vips S. de R.L. de C.V. desayudo mesa directiva asutno protocolizaciòn MD</t>
  </si>
  <si>
    <t>Mercado Villa Coapa, compra de dulces para canastas navideñas mesa directiva</t>
  </si>
  <si>
    <t>Gloria Mazzòn Soto, pago de honorarios por captura de datos del 18 al 22 de diciembre/17</t>
  </si>
  <si>
    <t>Pedro Bazzan, pago por recolecciòn de basura entre semana de todo el fraccionamiento</t>
  </si>
  <si>
    <t>Distribuidora El Bollo Cafetales S.A. de C.V. compra de pan para mesa de cobranza</t>
  </si>
  <si>
    <t>Pastaleria La Esperanza, S.A. de .C.V. compra de bolillo para cena navidena vibilancia</t>
  </si>
  <si>
    <t>Distribuidora EL bollo Cafetales S.A. de C.V. compra de bolillo para cena navideña vigilancia</t>
  </si>
  <si>
    <t>Mercado Campesinos, compra de cena para personal de vigilancia noche navideña</t>
  </si>
  <si>
    <t xml:space="preserve">Roberto Miranda, gratificaciòn navideña por su buen desempeño en todo el año </t>
  </si>
  <si>
    <t>Gloria Mazzòn Soto, pago en apoyo de cobranza sabado 23 de diciebre/17</t>
  </si>
  <si>
    <t>Pedro Bazzan, pago gratificaciòn de fin de año por su buen desempeño</t>
  </si>
  <si>
    <t>Distribuidora El Bollo Cafetales, S.A. de C.V. compra de pazn para cena de navidad vigilancia</t>
  </si>
  <si>
    <t>Grupo  Motparnase, compra de pan para vigilancia cena de navidad vigilancia</t>
  </si>
  <si>
    <t>Cadena Comercial Oxxo, S.A. de C.V. compra de material de limpieza para caetas del fraccionam</t>
  </si>
  <si>
    <t>Gloria Mazzòn Soto, Pago por captura de datos del 25 al 39 de diciembre/17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</si>
</sst>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-* #,##0_-;\-* #,##0_-;_-* &quot;-&quot;??_-;_-@_-"/>
    <numFmt numFmtId="165" formatCode="dd\-mm\-yy;@"/>
    <numFmt numFmtId="166" formatCode="#,##0.00_ ;\-#,##0.00\ "/>
    <numFmt numFmtId="167" formatCode="d/mm/yy;@"/>
    <numFmt numFmtId="168" formatCode="dd/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9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0EBB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8">
    <xf numFmtId="0" fontId="0" fillId="0" borderId="0" xfId="0"/>
    <xf numFmtId="0" fontId="0" fillId="0" borderId="4" xfId="0" applyBorder="1"/>
    <xf numFmtId="0" fontId="2" fillId="0" borderId="3" xfId="0" applyFont="1" applyBorder="1"/>
    <xf numFmtId="0" fontId="0" fillId="0" borderId="0" xfId="0" applyAlignment="1">
      <alignment horizontal="center"/>
    </xf>
    <xf numFmtId="164" fontId="3" fillId="2" borderId="0" xfId="1" applyNumberFormat="1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49" fontId="0" fillId="5" borderId="0" xfId="0" applyNumberFormat="1" applyFill="1" applyAlignment="1">
      <alignment horizontal="left"/>
    </xf>
    <xf numFmtId="165" fontId="0" fillId="7" borderId="0" xfId="0" applyNumberFormat="1" applyFill="1" applyAlignment="1">
      <alignment horizontal="center"/>
    </xf>
    <xf numFmtId="4" fontId="0" fillId="0" borderId="0" xfId="0" applyNumberForma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" fontId="2" fillId="7" borderId="1" xfId="0" applyNumberFormat="1" applyFont="1" applyFill="1" applyBorder="1" applyAlignment="1">
      <alignment horizontal="center"/>
    </xf>
    <xf numFmtId="39" fontId="3" fillId="2" borderId="0" xfId="1" applyNumberFormat="1" applyFont="1" applyFill="1" applyAlignment="1">
      <alignment vertical="center"/>
    </xf>
    <xf numFmtId="15" fontId="6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0" xfId="0" applyFont="1" applyFill="1"/>
    <xf numFmtId="166" fontId="3" fillId="2" borderId="0" xfId="1" applyNumberFormat="1" applyFont="1" applyFill="1" applyAlignment="1">
      <alignment horizontal="center" vertical="center"/>
    </xf>
    <xf numFmtId="4" fontId="0" fillId="5" borderId="0" xfId="0" applyNumberFormat="1" applyFill="1"/>
    <xf numFmtId="166" fontId="3" fillId="2" borderId="0" xfId="1" applyNumberFormat="1" applyFont="1" applyFill="1" applyAlignment="1">
      <alignment vertical="center"/>
    </xf>
    <xf numFmtId="165" fontId="0" fillId="5" borderId="0" xfId="0" applyNumberFormat="1" applyFill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0" xfId="0" applyFill="1"/>
    <xf numFmtId="15" fontId="2" fillId="9" borderId="1" xfId="0" applyNumberFormat="1" applyFont="1" applyFill="1" applyBorder="1" applyAlignment="1">
      <alignment horizontal="center"/>
    </xf>
    <xf numFmtId="17" fontId="2" fillId="9" borderId="1" xfId="0" applyNumberFormat="1" applyFont="1" applyFill="1" applyBorder="1" applyAlignment="1">
      <alignment horizontal="center"/>
    </xf>
    <xf numFmtId="17" fontId="2" fillId="6" borderId="1" xfId="0" applyNumberFormat="1" applyFont="1" applyFill="1" applyBorder="1" applyAlignment="1">
      <alignment horizontal="center"/>
    </xf>
    <xf numFmtId="15" fontId="2" fillId="8" borderId="1" xfId="0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17" fontId="6" fillId="8" borderId="1" xfId="0" applyNumberFormat="1" applyFont="1" applyFill="1" applyBorder="1" applyAlignment="1">
      <alignment horizontal="center"/>
    </xf>
    <xf numFmtId="165" fontId="4" fillId="8" borderId="0" xfId="0" applyNumberFormat="1" applyFont="1" applyFill="1" applyAlignment="1">
      <alignment horizontal="center"/>
    </xf>
    <xf numFmtId="0" fontId="4" fillId="8" borderId="0" xfId="0" applyFont="1" applyFill="1"/>
    <xf numFmtId="0" fontId="4" fillId="8" borderId="0" xfId="0" applyFont="1" applyFill="1" applyBorder="1"/>
    <xf numFmtId="49" fontId="4" fillId="8" borderId="0" xfId="0" applyNumberFormat="1" applyFont="1" applyFill="1"/>
    <xf numFmtId="167" fontId="4" fillId="8" borderId="0" xfId="0" applyNumberFormat="1" applyFont="1" applyFill="1" applyAlignment="1">
      <alignment horizontal="center"/>
    </xf>
    <xf numFmtId="0" fontId="0" fillId="8" borderId="0" xfId="0" applyFill="1"/>
    <xf numFmtId="49" fontId="0" fillId="8" borderId="0" xfId="0" applyNumberFormat="1" applyFill="1"/>
    <xf numFmtId="0" fontId="0" fillId="0" borderId="0" xfId="0" applyFill="1"/>
    <xf numFmtId="4" fontId="0" fillId="0" borderId="0" xfId="0" applyNumberFormat="1" applyFill="1"/>
    <xf numFmtId="0" fontId="0" fillId="0" borderId="0" xfId="0" applyFill="1" applyAlignment="1">
      <alignment horizontal="center"/>
    </xf>
    <xf numFmtId="4" fontId="0" fillId="0" borderId="0" xfId="0" applyNumberFormat="1" applyFill="1" applyAlignment="1">
      <alignment horizontal="center"/>
    </xf>
    <xf numFmtId="15" fontId="2" fillId="6" borderId="1" xfId="0" applyNumberFormat="1" applyFont="1" applyFill="1" applyBorder="1" applyAlignment="1">
      <alignment horizontal="center"/>
    </xf>
    <xf numFmtId="15" fontId="2" fillId="10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7" fontId="2" fillId="10" borderId="1" xfId="0" applyNumberFormat="1" applyFont="1" applyFill="1" applyBorder="1" applyAlignment="1">
      <alignment horizontal="center"/>
    </xf>
    <xf numFmtId="0" fontId="0" fillId="10" borderId="0" xfId="0" applyFill="1"/>
    <xf numFmtId="15" fontId="2" fillId="11" borderId="1" xfId="0" applyNumberFormat="1" applyFont="1" applyFill="1" applyBorder="1" applyAlignment="1">
      <alignment horizontal="center"/>
    </xf>
    <xf numFmtId="0" fontId="0" fillId="11" borderId="0" xfId="0" applyFill="1"/>
    <xf numFmtId="0" fontId="2" fillId="3" borderId="1" xfId="0" applyFont="1" applyFill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0" fontId="0" fillId="3" borderId="0" xfId="0" applyFill="1"/>
    <xf numFmtId="15" fontId="2" fillId="13" borderId="1" xfId="0" applyNumberFormat="1" applyFont="1" applyFill="1" applyBorder="1" applyAlignment="1">
      <alignment horizontal="center"/>
    </xf>
    <xf numFmtId="0" fontId="0" fillId="13" borderId="0" xfId="0" applyFill="1"/>
    <xf numFmtId="15" fontId="2" fillId="12" borderId="1" xfId="0" applyNumberFormat="1" applyFont="1" applyFill="1" applyBorder="1" applyAlignment="1">
      <alignment horizontal="center"/>
    </xf>
    <xf numFmtId="0" fontId="0" fillId="12" borderId="0" xfId="0" applyFill="1"/>
    <xf numFmtId="4" fontId="0" fillId="9" borderId="0" xfId="0" applyNumberFormat="1" applyFill="1"/>
    <xf numFmtId="165" fontId="0" fillId="4" borderId="0" xfId="0" applyNumberFormat="1" applyFill="1" applyAlignment="1"/>
    <xf numFmtId="4" fontId="0" fillId="4" borderId="0" xfId="0" applyNumberFormat="1" applyFill="1" applyAlignment="1"/>
    <xf numFmtId="0" fontId="0" fillId="4" borderId="0" xfId="0" applyFill="1" applyAlignment="1"/>
    <xf numFmtId="49" fontId="0" fillId="4" borderId="0" xfId="0" applyNumberFormat="1" applyFill="1" applyAlignment="1"/>
    <xf numFmtId="15" fontId="0" fillId="4" borderId="0" xfId="0" applyNumberFormat="1" applyFill="1" applyBorder="1" applyAlignment="1">
      <alignment vertical="center"/>
    </xf>
    <xf numFmtId="2" fontId="0" fillId="4" borderId="0" xfId="0" applyNumberFormat="1" applyFill="1" applyAlignment="1"/>
    <xf numFmtId="14" fontId="0" fillId="10" borderId="0" xfId="0" applyNumberFormat="1" applyFill="1"/>
    <xf numFmtId="4" fontId="0" fillId="10" borderId="0" xfId="0" applyNumberFormat="1" applyFill="1"/>
    <xf numFmtId="0" fontId="0" fillId="10" borderId="0" xfId="0" applyFill="1" applyBorder="1"/>
    <xf numFmtId="0" fontId="4" fillId="7" borderId="0" xfId="0" applyFont="1" applyFill="1"/>
    <xf numFmtId="0" fontId="4" fillId="5" borderId="0" xfId="0" applyFont="1" applyFill="1"/>
    <xf numFmtId="14" fontId="0" fillId="8" borderId="0" xfId="0" applyNumberFormat="1" applyFill="1"/>
    <xf numFmtId="4" fontId="0" fillId="8" borderId="0" xfId="0" applyNumberFormat="1" applyFill="1"/>
    <xf numFmtId="0" fontId="0" fillId="14" borderId="0" xfId="0" applyFill="1"/>
    <xf numFmtId="4" fontId="0" fillId="12" borderId="0" xfId="0" applyNumberFormat="1" applyFill="1"/>
    <xf numFmtId="14" fontId="0" fillId="11" borderId="0" xfId="0" applyNumberFormat="1" applyFill="1"/>
    <xf numFmtId="4" fontId="0" fillId="11" borderId="0" xfId="0" applyNumberFormat="1" applyFill="1"/>
    <xf numFmtId="14" fontId="0" fillId="3" borderId="0" xfId="0" applyNumberFormat="1" applyFill="1"/>
    <xf numFmtId="4" fontId="0" fillId="3" borderId="0" xfId="0" applyNumberFormat="1" applyFill="1"/>
    <xf numFmtId="14" fontId="0" fillId="3" borderId="0" xfId="0" applyNumberFormat="1" applyFont="1" applyFill="1" applyBorder="1" applyAlignment="1">
      <alignment horizontal="center"/>
    </xf>
    <xf numFmtId="4" fontId="0" fillId="3" borderId="0" xfId="0" applyNumberFormat="1" applyFont="1" applyFill="1" applyBorder="1" applyAlignment="1">
      <alignment horizontal="right"/>
    </xf>
    <xf numFmtId="4" fontId="0" fillId="7" borderId="0" xfId="0" applyNumberFormat="1" applyFill="1" applyAlignment="1">
      <alignment horizontal="right"/>
    </xf>
    <xf numFmtId="165" fontId="0" fillId="6" borderId="0" xfId="0" applyNumberFormat="1" applyFill="1" applyAlignment="1">
      <alignment horizontal="center"/>
    </xf>
    <xf numFmtId="4" fontId="4" fillId="8" borderId="0" xfId="0" applyNumberFormat="1" applyFont="1" applyFill="1" applyAlignment="1">
      <alignment horizontal="right"/>
    </xf>
    <xf numFmtId="2" fontId="4" fillId="8" borderId="0" xfId="0" applyNumberFormat="1" applyFont="1" applyFill="1" applyAlignment="1">
      <alignment horizontal="right"/>
    </xf>
    <xf numFmtId="4" fontId="0" fillId="6" borderId="0" xfId="0" applyNumberFormat="1" applyFill="1" applyAlignment="1">
      <alignment horizontal="right"/>
    </xf>
    <xf numFmtId="2" fontId="0" fillId="6" borderId="0" xfId="0" applyNumberFormat="1" applyFill="1" applyAlignment="1">
      <alignment horizontal="right"/>
    </xf>
    <xf numFmtId="0" fontId="0" fillId="6" borderId="0" xfId="0" applyFill="1" applyAlignment="1"/>
    <xf numFmtId="168" fontId="0" fillId="9" borderId="0" xfId="0" applyNumberFormat="1" applyFill="1"/>
    <xf numFmtId="0" fontId="4" fillId="10" borderId="0" xfId="0" applyFont="1" applyFill="1"/>
    <xf numFmtId="0" fontId="4" fillId="6" borderId="0" xfId="0" applyFont="1" applyFill="1"/>
    <xf numFmtId="4" fontId="0" fillId="12" borderId="0" xfId="0" applyNumberFormat="1" applyFill="1" applyBorder="1" applyAlignment="1">
      <alignment horizontal="right"/>
    </xf>
    <xf numFmtId="0" fontId="0" fillId="12" borderId="0" xfId="0" applyFill="1" applyBorder="1"/>
    <xf numFmtId="15" fontId="0" fillId="11" borderId="0" xfId="0" applyNumberFormat="1" applyFill="1" applyBorder="1" applyAlignment="1">
      <alignment vertical="center"/>
    </xf>
    <xf numFmtId="15" fontId="0" fillId="3" borderId="0" xfId="0" applyNumberFormat="1" applyFill="1" applyBorder="1" applyAlignment="1">
      <alignment vertical="center"/>
    </xf>
    <xf numFmtId="15" fontId="0" fillId="7" borderId="0" xfId="0" applyNumberFormat="1" applyFill="1" applyBorder="1" applyAlignment="1">
      <alignment vertical="center"/>
    </xf>
    <xf numFmtId="4" fontId="0" fillId="5" borderId="0" xfId="0" applyNumberFormat="1" applyFill="1" applyAlignment="1">
      <alignment horizontal="right"/>
    </xf>
    <xf numFmtId="0" fontId="0" fillId="16" borderId="0" xfId="0" applyFill="1"/>
    <xf numFmtId="165" fontId="0" fillId="16" borderId="0" xfId="0" applyNumberFormat="1" applyFill="1" applyAlignment="1"/>
    <xf numFmtId="4" fontId="0" fillId="16" borderId="0" xfId="0" applyNumberFormat="1" applyFill="1" applyAlignment="1">
      <alignment horizontal="right"/>
    </xf>
    <xf numFmtId="4" fontId="4" fillId="8" borderId="0" xfId="0" applyNumberFormat="1" applyFont="1" applyFill="1" applyAlignment="1"/>
    <xf numFmtId="0" fontId="4" fillId="8" borderId="0" xfId="0" applyFont="1" applyFill="1" applyAlignment="1"/>
    <xf numFmtId="4" fontId="0" fillId="15" borderId="0" xfId="0" applyNumberFormat="1" applyFill="1"/>
    <xf numFmtId="14" fontId="0" fillId="12" borderId="0" xfId="0" applyNumberFormat="1" applyFill="1" applyAlignment="1"/>
    <xf numFmtId="0" fontId="0" fillId="12" borderId="0" xfId="0" applyFill="1" applyAlignment="1"/>
    <xf numFmtId="0" fontId="0" fillId="0" borderId="0" xfId="0" applyAlignment="1"/>
    <xf numFmtId="4" fontId="0" fillId="13" borderId="0" xfId="0" applyNumberFormat="1" applyFill="1"/>
    <xf numFmtId="165" fontId="0" fillId="17" borderId="0" xfId="0" applyNumberFormat="1" applyFill="1" applyAlignment="1"/>
    <xf numFmtId="4" fontId="0" fillId="17" borderId="0" xfId="0" applyNumberFormat="1" applyFill="1" applyAlignment="1"/>
    <xf numFmtId="0" fontId="0" fillId="17" borderId="0" xfId="0" applyFill="1" applyAlignment="1"/>
    <xf numFmtId="4" fontId="0" fillId="14" borderId="0" xfId="0" applyNumberFormat="1" applyFill="1" applyBorder="1" applyAlignment="1">
      <alignment horizontal="right"/>
    </xf>
    <xf numFmtId="0" fontId="0" fillId="14" borderId="0" xfId="0" applyFill="1" applyBorder="1"/>
    <xf numFmtId="168" fontId="0" fillId="14" borderId="0" xfId="0" applyNumberFormat="1" applyFont="1" applyFill="1" applyBorder="1" applyAlignment="1">
      <alignment horizontal="center"/>
    </xf>
    <xf numFmtId="168" fontId="0" fillId="14" borderId="0" xfId="0" applyNumberFormat="1" applyFill="1" applyBorder="1" applyAlignment="1">
      <alignment horizontal="center"/>
    </xf>
    <xf numFmtId="14" fontId="0" fillId="6" borderId="0" xfId="0" applyNumberFormat="1" applyFill="1"/>
    <xf numFmtId="0" fontId="4" fillId="9" borderId="0" xfId="0" applyFont="1" applyFill="1"/>
    <xf numFmtId="0" fontId="0" fillId="9" borderId="0" xfId="0" applyFont="1" applyFill="1" applyBorder="1" applyAlignment="1">
      <alignment horizontal="left"/>
    </xf>
    <xf numFmtId="0" fontId="0" fillId="9" borderId="0" xfId="0" applyFill="1" applyBorder="1"/>
    <xf numFmtId="15" fontId="0" fillId="9" borderId="0" xfId="0" applyNumberFormat="1" applyFill="1" applyBorder="1" applyAlignment="1">
      <alignment vertical="center"/>
    </xf>
    <xf numFmtId="14" fontId="0" fillId="9" borderId="0" xfId="0" applyNumberFormat="1" applyFont="1" applyFill="1" applyBorder="1" applyAlignment="1">
      <alignment horizontal="left"/>
    </xf>
    <xf numFmtId="0" fontId="0" fillId="10" borderId="0" xfId="0" applyFont="1" applyFill="1" applyBorder="1" applyAlignment="1">
      <alignment horizontal="left"/>
    </xf>
    <xf numFmtId="15" fontId="0" fillId="10" borderId="0" xfId="0" applyNumberFormat="1" applyFill="1" applyBorder="1" applyAlignment="1">
      <alignment vertical="center"/>
    </xf>
    <xf numFmtId="0" fontId="2" fillId="8" borderId="5" xfId="0" applyFont="1" applyFill="1" applyBorder="1" applyAlignment="1">
      <alignment horizontal="center"/>
    </xf>
    <xf numFmtId="17" fontId="2" fillId="8" borderId="5" xfId="0" applyNumberFormat="1" applyFont="1" applyFill="1" applyBorder="1" applyAlignment="1">
      <alignment horizontal="center"/>
    </xf>
    <xf numFmtId="14" fontId="0" fillId="8" borderId="0" xfId="0" applyNumberFormat="1" applyFont="1" applyFill="1" applyBorder="1" applyAlignment="1">
      <alignment horizontal="center"/>
    </xf>
    <xf numFmtId="0" fontId="0" fillId="8" borderId="0" xfId="0" applyFont="1" applyFill="1" applyBorder="1" applyAlignment="1">
      <alignment horizontal="left"/>
    </xf>
    <xf numFmtId="0" fontId="0" fillId="8" borderId="0" xfId="0" applyFill="1" applyBorder="1"/>
    <xf numFmtId="15" fontId="0" fillId="8" borderId="0" xfId="0" applyNumberFormat="1" applyFill="1" applyBorder="1" applyAlignment="1">
      <alignment vertical="center"/>
    </xf>
    <xf numFmtId="4" fontId="0" fillId="8" borderId="0" xfId="0" applyNumberFormat="1" applyFill="1" applyBorder="1"/>
    <xf numFmtId="4" fontId="0" fillId="8" borderId="0" xfId="0" applyNumberFormat="1" applyFill="1" applyBorder="1" applyAlignment="1">
      <alignment horizontal="right"/>
    </xf>
    <xf numFmtId="14" fontId="0" fillId="8" borderId="0" xfId="0" applyNumberFormat="1" applyFill="1" applyBorder="1"/>
    <xf numFmtId="14" fontId="0" fillId="8" borderId="0" xfId="0" applyNumberFormat="1" applyFont="1" applyFill="1" applyBorder="1" applyAlignment="1">
      <alignment horizontal="left"/>
    </xf>
    <xf numFmtId="14" fontId="0" fillId="0" borderId="0" xfId="0" applyNumberFormat="1" applyFill="1"/>
    <xf numFmtId="0" fontId="2" fillId="12" borderId="5" xfId="0" applyFont="1" applyFill="1" applyBorder="1" applyAlignment="1">
      <alignment horizontal="center"/>
    </xf>
    <xf numFmtId="17" fontId="2" fillId="12" borderId="5" xfId="0" applyNumberFormat="1" applyFont="1" applyFill="1" applyBorder="1" applyAlignment="1">
      <alignment horizontal="center"/>
    </xf>
    <xf numFmtId="14" fontId="0" fillId="12" borderId="0" xfId="0" applyNumberFormat="1" applyFont="1" applyFill="1" applyBorder="1" applyAlignment="1">
      <alignment horizontal="center"/>
    </xf>
    <xf numFmtId="0" fontId="0" fillId="12" borderId="0" xfId="0" applyFont="1" applyFill="1" applyBorder="1" applyAlignment="1">
      <alignment horizontal="left"/>
    </xf>
    <xf numFmtId="15" fontId="0" fillId="12" borderId="0" xfId="0" applyNumberFormat="1" applyFill="1" applyBorder="1" applyAlignment="1">
      <alignment vertical="center"/>
    </xf>
    <xf numFmtId="4" fontId="0" fillId="12" borderId="0" xfId="0" applyNumberFormat="1" applyFill="1" applyBorder="1"/>
    <xf numFmtId="0" fontId="2" fillId="11" borderId="5" xfId="0" applyFont="1" applyFill="1" applyBorder="1" applyAlignment="1">
      <alignment horizontal="center"/>
    </xf>
    <xf numFmtId="17" fontId="2" fillId="11" borderId="5" xfId="0" applyNumberFormat="1" applyFont="1" applyFill="1" applyBorder="1" applyAlignment="1">
      <alignment horizontal="center"/>
    </xf>
    <xf numFmtId="14" fontId="0" fillId="11" borderId="0" xfId="0" applyNumberFormat="1" applyFont="1" applyFill="1" applyBorder="1" applyAlignment="1">
      <alignment horizontal="center"/>
    </xf>
    <xf numFmtId="4" fontId="0" fillId="11" borderId="0" xfId="0" applyNumberFormat="1" applyFill="1" applyBorder="1" applyAlignment="1">
      <alignment horizontal="right"/>
    </xf>
    <xf numFmtId="0" fontId="0" fillId="11" borderId="0" xfId="0" applyFont="1" applyFill="1" applyBorder="1" applyAlignment="1">
      <alignment horizontal="left"/>
    </xf>
    <xf numFmtId="0" fontId="0" fillId="11" borderId="0" xfId="0" applyFill="1" applyBorder="1"/>
    <xf numFmtId="0" fontId="0" fillId="3" borderId="0" xfId="0" applyFont="1" applyFill="1" applyBorder="1" applyAlignment="1">
      <alignment horizontal="left"/>
    </xf>
    <xf numFmtId="0" fontId="0" fillId="3" borderId="0" xfId="0" applyFill="1" applyBorder="1"/>
    <xf numFmtId="4" fontId="0" fillId="3" borderId="0" xfId="0" applyNumberFormat="1" applyFill="1" applyBorder="1" applyAlignment="1">
      <alignment horizontal="right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17" fontId="2" fillId="13" borderId="5" xfId="0" applyNumberFormat="1" applyFont="1" applyFill="1" applyBorder="1" applyAlignment="1">
      <alignment horizontal="center"/>
    </xf>
    <xf numFmtId="14" fontId="0" fillId="13" borderId="0" xfId="0" applyNumberFormat="1" applyFont="1" applyFill="1" applyBorder="1" applyAlignment="1">
      <alignment horizontal="center"/>
    </xf>
    <xf numFmtId="4" fontId="0" fillId="13" borderId="0" xfId="0" applyNumberFormat="1" applyFill="1" applyBorder="1" applyAlignment="1">
      <alignment horizontal="right"/>
    </xf>
    <xf numFmtId="0" fontId="0" fillId="13" borderId="0" xfId="0" applyFont="1" applyFill="1" applyBorder="1" applyAlignment="1">
      <alignment horizontal="left"/>
    </xf>
    <xf numFmtId="0" fontId="0" fillId="13" borderId="0" xfId="0" applyFill="1" applyBorder="1"/>
    <xf numFmtId="4" fontId="0" fillId="13" borderId="0" xfId="0" applyNumberFormat="1" applyFill="1" applyBorder="1" applyAlignment="1">
      <alignment horizontal="center"/>
    </xf>
    <xf numFmtId="14" fontId="0" fillId="13" borderId="0" xfId="0" applyNumberFormat="1" applyFill="1" applyBorder="1"/>
    <xf numFmtId="14" fontId="0" fillId="13" borderId="0" xfId="0" applyNumberFormat="1" applyFont="1" applyFill="1" applyBorder="1" applyAlignment="1">
      <alignment horizontal="left"/>
    </xf>
    <xf numFmtId="15" fontId="0" fillId="13" borderId="0" xfId="0" applyNumberFormat="1" applyFill="1" applyBorder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FFFF66"/>
      <color rgb="FFD0EBB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316"/>
  <sheetViews>
    <sheetView tabSelected="1" topLeftCell="AH1" zoomScaleNormal="100" workbookViewId="0">
      <pane ySplit="4" topLeftCell="A5" activePane="bottomLeft" state="frozen"/>
      <selection activeCell="P1" sqref="P1"/>
      <selection pane="bottomLeft" activeCell="AJ1" sqref="AJ1"/>
    </sheetView>
  </sheetViews>
  <sheetFormatPr baseColWidth="10" defaultRowHeight="15" x14ac:dyDescent="0.25"/>
  <cols>
    <col min="1" max="1" width="9.7109375" style="3" customWidth="1"/>
    <col min="2" max="2" width="11.7109375" style="3" customWidth="1"/>
    <col min="3" max="3" width="88.7109375" customWidth="1"/>
    <col min="4" max="4" width="10.42578125" style="3" customWidth="1"/>
    <col min="5" max="5" width="11.7109375" customWidth="1"/>
    <col min="6" max="6" width="88.7109375" customWidth="1"/>
    <col min="7" max="7" width="9.7109375" style="3" customWidth="1"/>
    <col min="8" max="8" width="11.7109375" customWidth="1"/>
    <col min="9" max="9" width="88.7109375" customWidth="1"/>
    <col min="10" max="10" width="9.7109375" style="3" customWidth="1"/>
    <col min="11" max="11" width="11.7109375" customWidth="1"/>
    <col min="12" max="12" width="88.7109375" customWidth="1"/>
    <col min="13" max="13" width="9.7109375" customWidth="1"/>
    <col min="14" max="14" width="11.7109375" customWidth="1"/>
    <col min="15" max="15" width="88.7109375" customWidth="1"/>
    <col min="16" max="16" width="9.7109375" customWidth="1"/>
    <col min="17" max="17" width="11.7109375" customWidth="1"/>
    <col min="18" max="18" width="88.7109375" customWidth="1"/>
    <col min="19" max="19" width="10.42578125" customWidth="1"/>
    <col min="20" max="20" width="11.7109375" customWidth="1"/>
    <col min="21" max="21" width="88.7109375" customWidth="1"/>
    <col min="22" max="22" width="10.5703125" customWidth="1"/>
    <col min="23" max="23" width="11.7109375" customWidth="1"/>
    <col min="24" max="24" width="88.7109375" customWidth="1"/>
    <col min="25" max="25" width="10.7109375" customWidth="1"/>
    <col min="26" max="26" width="11.7109375" customWidth="1"/>
    <col min="27" max="27" width="88.7109375" customWidth="1"/>
    <col min="28" max="28" width="10.5703125" customWidth="1"/>
    <col min="29" max="29" width="11.7109375" customWidth="1"/>
    <col min="30" max="30" width="89.140625" customWidth="1"/>
    <col min="31" max="31" width="10.42578125" customWidth="1"/>
    <col min="32" max="32" width="11.7109375" customWidth="1"/>
    <col min="33" max="33" width="88.7109375" customWidth="1"/>
    <col min="34" max="34" width="11.28515625" customWidth="1"/>
    <col min="35" max="35" width="11.7109375" customWidth="1"/>
    <col min="36" max="36" width="88.7109375" customWidth="1"/>
  </cols>
  <sheetData>
    <row r="1" spans="1:36" ht="15.75" x14ac:dyDescent="0.25">
      <c r="A1" s="170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2" t="s">
        <v>1</v>
      </c>
      <c r="M1" s="172"/>
      <c r="N1" s="2">
        <v>2014</v>
      </c>
      <c r="O1" s="1"/>
      <c r="Q1" s="2">
        <v>2014</v>
      </c>
      <c r="T1" s="2">
        <v>2014</v>
      </c>
      <c r="W1" s="2">
        <v>2014</v>
      </c>
      <c r="Z1" s="2">
        <v>2014</v>
      </c>
      <c r="AB1" s="2">
        <v>2014</v>
      </c>
      <c r="AE1" s="2">
        <v>2014</v>
      </c>
      <c r="AH1" s="2">
        <v>2014</v>
      </c>
    </row>
    <row r="2" spans="1:36" x14ac:dyDescent="0.25">
      <c r="A2" s="185" t="s">
        <v>17</v>
      </c>
      <c r="B2" s="186"/>
      <c r="C2" s="187"/>
      <c r="D2" s="182" t="s">
        <v>17</v>
      </c>
      <c r="E2" s="183"/>
      <c r="F2" s="184"/>
      <c r="G2" s="179" t="s">
        <v>17</v>
      </c>
      <c r="H2" s="180"/>
      <c r="I2" s="181"/>
      <c r="J2" s="176" t="s">
        <v>17</v>
      </c>
      <c r="K2" s="177"/>
      <c r="L2" s="178"/>
      <c r="M2" s="173" t="s">
        <v>17</v>
      </c>
      <c r="N2" s="174"/>
      <c r="O2" s="175"/>
      <c r="P2" s="167" t="s">
        <v>17</v>
      </c>
      <c r="Q2" s="168"/>
      <c r="R2" s="169"/>
      <c r="S2" s="164" t="s">
        <v>17</v>
      </c>
      <c r="T2" s="165"/>
      <c r="U2" s="166"/>
      <c r="V2" s="149" t="s">
        <v>17</v>
      </c>
      <c r="W2" s="150"/>
      <c r="X2" s="151"/>
      <c r="Y2" s="152" t="s">
        <v>17</v>
      </c>
      <c r="Z2" s="153"/>
      <c r="AA2" s="154"/>
      <c r="AB2" s="155" t="s">
        <v>17</v>
      </c>
      <c r="AC2" s="156"/>
      <c r="AD2" s="157"/>
      <c r="AE2" s="158" t="s">
        <v>17</v>
      </c>
      <c r="AF2" s="159"/>
      <c r="AG2" s="160"/>
      <c r="AH2" s="161" t="s">
        <v>17</v>
      </c>
      <c r="AI2" s="162"/>
      <c r="AJ2" s="163"/>
    </row>
    <row r="3" spans="1:36" x14ac:dyDescent="0.25">
      <c r="A3" s="4">
        <f>SUBTOTAL(3,A5:A158)</f>
        <v>127</v>
      </c>
      <c r="B3" s="22">
        <f>SUBTOTAL(9,B5:B158)</f>
        <v>121960.05999999998</v>
      </c>
      <c r="C3" s="15" t="s">
        <v>3</v>
      </c>
      <c r="D3" s="4">
        <f>SUBTOTAL(3,D5:D135)</f>
        <v>131</v>
      </c>
      <c r="E3" s="24">
        <f>SUBTOTAL(9,E5:E137)</f>
        <v>140170.99</v>
      </c>
      <c r="F3" s="17" t="s">
        <v>3</v>
      </c>
      <c r="G3" s="4">
        <f>SUBTOTAL(3,G5:G150)</f>
        <v>142</v>
      </c>
      <c r="H3" s="14">
        <f>SUBTOTAL(9,H5:H150)</f>
        <v>139192.81</v>
      </c>
      <c r="I3" s="18" t="s">
        <v>3</v>
      </c>
      <c r="J3" s="4">
        <f>SUBTOTAL(3,J5:J126)</f>
        <v>122</v>
      </c>
      <c r="K3" s="14">
        <f>SUBTOTAL(9,K5:K156)</f>
        <v>132572.90000000002</v>
      </c>
      <c r="L3" s="31" t="s">
        <v>3</v>
      </c>
      <c r="M3" s="4">
        <f>SUBTOTAL(3,M5:M143)</f>
        <v>130</v>
      </c>
      <c r="N3" s="14">
        <f>SUBTOTAL(9,N5:N143)</f>
        <v>121110.61</v>
      </c>
      <c r="O3" s="45" t="s">
        <v>3</v>
      </c>
      <c r="P3" s="4">
        <f>SUBTOTAL(3,P5:P145)</f>
        <v>86</v>
      </c>
      <c r="Q3" s="24">
        <f>SUBTOTAL(9,Q5:Q146)</f>
        <v>81425.899999999994</v>
      </c>
      <c r="R3" s="28" t="s">
        <v>3</v>
      </c>
      <c r="S3" s="4">
        <f>SUBTOTAL(3,S5:S179)</f>
        <v>96</v>
      </c>
      <c r="T3" s="14">
        <f>SUBTOTAL(9,T5:T179)</f>
        <v>116964.7</v>
      </c>
      <c r="U3" s="46" t="s">
        <v>3</v>
      </c>
      <c r="V3" s="4">
        <f>SUBTOTAL(3,V5:V126)</f>
        <v>122</v>
      </c>
      <c r="W3" s="14">
        <f>SUBTOTAL(9,W5:W126)</f>
        <v>123776.9</v>
      </c>
      <c r="X3" s="31" t="s">
        <v>3</v>
      </c>
      <c r="Y3" s="4">
        <f>SUBTOTAL(3,Y5:Y134)</f>
        <v>101</v>
      </c>
      <c r="Z3" s="14">
        <f>SUBTOTAL(9,Z5:Z134)</f>
        <v>104900.2</v>
      </c>
      <c r="AA3" s="58" t="s">
        <v>3</v>
      </c>
      <c r="AB3" s="4">
        <f>SUBTOTAL(3,AB5:AB135)</f>
        <v>87</v>
      </c>
      <c r="AC3" s="14">
        <f>SUBTOTAL(9,AC5:AC135)</f>
        <v>115883.45999999998</v>
      </c>
      <c r="AD3" s="51" t="s">
        <v>3</v>
      </c>
      <c r="AE3" s="4">
        <f>SUBTOTAL(3,AE6:AE146)</f>
        <v>84</v>
      </c>
      <c r="AF3" s="14">
        <f>SUBTOTAL(9,AF5:AF146)</f>
        <v>111429.4</v>
      </c>
      <c r="AG3" s="19" t="s">
        <v>3</v>
      </c>
      <c r="AH3" s="4">
        <f>SUBTOTAL(3,AH5:AH121)</f>
        <v>105</v>
      </c>
      <c r="AI3" s="14">
        <f>SUBTOTAL(9,AI5:AI121)</f>
        <v>104079.59000000001</v>
      </c>
      <c r="AJ3" s="56" t="s">
        <v>3</v>
      </c>
    </row>
    <row r="4" spans="1:36" x14ac:dyDescent="0.25">
      <c r="A4" s="16" t="s">
        <v>2</v>
      </c>
      <c r="B4" s="16" t="s">
        <v>0</v>
      </c>
      <c r="C4" s="13" t="s">
        <v>4</v>
      </c>
      <c r="D4" s="11" t="s">
        <v>2</v>
      </c>
      <c r="E4" s="11" t="s">
        <v>0</v>
      </c>
      <c r="F4" s="11" t="s">
        <v>5</v>
      </c>
      <c r="G4" s="12" t="s">
        <v>2</v>
      </c>
      <c r="H4" s="12" t="s">
        <v>0</v>
      </c>
      <c r="I4" s="12" t="s">
        <v>6</v>
      </c>
      <c r="J4" s="32" t="s">
        <v>2</v>
      </c>
      <c r="K4" s="32" t="s">
        <v>0</v>
      </c>
      <c r="L4" s="33" t="s">
        <v>7</v>
      </c>
      <c r="M4" s="20" t="s">
        <v>2</v>
      </c>
      <c r="N4" s="20" t="s">
        <v>0</v>
      </c>
      <c r="O4" s="30" t="s">
        <v>8</v>
      </c>
      <c r="P4" s="26" t="s">
        <v>2</v>
      </c>
      <c r="Q4" s="26" t="s">
        <v>0</v>
      </c>
      <c r="R4" s="29" t="s">
        <v>9</v>
      </c>
      <c r="S4" s="48" t="s">
        <v>2</v>
      </c>
      <c r="T4" s="48" t="s">
        <v>0</v>
      </c>
      <c r="U4" s="49" t="s">
        <v>15</v>
      </c>
      <c r="V4" s="123" t="s">
        <v>2</v>
      </c>
      <c r="W4" s="47" t="s">
        <v>0</v>
      </c>
      <c r="X4" s="124" t="s">
        <v>10</v>
      </c>
      <c r="Y4" s="134" t="s">
        <v>2</v>
      </c>
      <c r="Z4" s="134" t="s">
        <v>0</v>
      </c>
      <c r="AA4" s="135" t="s">
        <v>11</v>
      </c>
      <c r="AB4" s="140" t="s">
        <v>2</v>
      </c>
      <c r="AC4" s="140" t="s">
        <v>0</v>
      </c>
      <c r="AD4" s="141" t="s">
        <v>12</v>
      </c>
      <c r="AE4" s="53" t="s">
        <v>2</v>
      </c>
      <c r="AF4" s="53" t="s">
        <v>0</v>
      </c>
      <c r="AG4" s="54" t="s">
        <v>13</v>
      </c>
      <c r="AH4" s="188" t="s">
        <v>2</v>
      </c>
      <c r="AI4" s="188" t="s">
        <v>0</v>
      </c>
      <c r="AJ4" s="189" t="s">
        <v>14</v>
      </c>
    </row>
    <row r="5" spans="1:36" x14ac:dyDescent="0.25">
      <c r="A5" s="9">
        <v>42736</v>
      </c>
      <c r="B5" s="82">
        <v>74</v>
      </c>
      <c r="C5" s="7" t="s">
        <v>18</v>
      </c>
      <c r="D5" s="25">
        <v>42767</v>
      </c>
      <c r="E5" s="23">
        <v>46</v>
      </c>
      <c r="F5" s="8" t="s">
        <v>129</v>
      </c>
      <c r="G5" s="61">
        <v>42795</v>
      </c>
      <c r="H5" s="66">
        <v>463</v>
      </c>
      <c r="I5" s="63" t="s">
        <v>249</v>
      </c>
      <c r="J5" s="34">
        <v>42826</v>
      </c>
      <c r="K5" s="84">
        <v>500</v>
      </c>
      <c r="L5" s="35" t="s">
        <v>373</v>
      </c>
      <c r="M5" s="83">
        <v>42856</v>
      </c>
      <c r="N5" s="86">
        <v>100</v>
      </c>
      <c r="O5" s="6" t="s">
        <v>505</v>
      </c>
      <c r="P5" s="89">
        <v>42887</v>
      </c>
      <c r="Q5" s="60">
        <v>500</v>
      </c>
      <c r="R5" s="27" t="s">
        <v>621</v>
      </c>
      <c r="S5" s="67">
        <v>42917</v>
      </c>
      <c r="T5" s="68">
        <v>1200</v>
      </c>
      <c r="U5" s="50" t="s">
        <v>692</v>
      </c>
      <c r="V5" s="125">
        <v>42948</v>
      </c>
      <c r="W5" s="73">
        <v>310</v>
      </c>
      <c r="X5" s="126" t="s">
        <v>673</v>
      </c>
      <c r="Y5" s="136">
        <v>42979</v>
      </c>
      <c r="Z5" s="92">
        <v>12000</v>
      </c>
      <c r="AA5" s="137" t="s">
        <v>865</v>
      </c>
      <c r="AB5" s="142">
        <v>43009</v>
      </c>
      <c r="AC5" s="143">
        <v>120</v>
      </c>
      <c r="AD5" s="144" t="s">
        <v>16</v>
      </c>
      <c r="AE5" s="80">
        <v>43040</v>
      </c>
      <c r="AF5" s="81">
        <v>10000</v>
      </c>
      <c r="AG5" s="55" t="s">
        <v>1020</v>
      </c>
      <c r="AH5" s="190">
        <v>43070</v>
      </c>
      <c r="AI5" s="191">
        <v>3600</v>
      </c>
      <c r="AJ5" s="192" t="s">
        <v>1090</v>
      </c>
    </row>
    <row r="6" spans="1:36" ht="15" customHeight="1" x14ac:dyDescent="0.25">
      <c r="A6" s="9">
        <v>42736</v>
      </c>
      <c r="B6" s="82">
        <v>120</v>
      </c>
      <c r="C6" s="7" t="s">
        <v>16</v>
      </c>
      <c r="D6" s="25">
        <v>42767</v>
      </c>
      <c r="E6" s="23">
        <v>312</v>
      </c>
      <c r="F6" s="5" t="s">
        <v>128</v>
      </c>
      <c r="G6" s="61">
        <v>42795</v>
      </c>
      <c r="H6" s="66">
        <v>35</v>
      </c>
      <c r="I6" s="63" t="s">
        <v>250</v>
      </c>
      <c r="J6" s="34">
        <v>42826</v>
      </c>
      <c r="K6" s="85">
        <v>400</v>
      </c>
      <c r="L6" s="35" t="s">
        <v>374</v>
      </c>
      <c r="M6" s="83">
        <v>42856</v>
      </c>
      <c r="N6" s="87">
        <v>500</v>
      </c>
      <c r="O6" s="6" t="s">
        <v>506</v>
      </c>
      <c r="P6" s="89">
        <v>42887</v>
      </c>
      <c r="Q6" s="60">
        <v>1500</v>
      </c>
      <c r="R6" s="27" t="s">
        <v>622</v>
      </c>
      <c r="S6" s="67">
        <v>42917</v>
      </c>
      <c r="T6" s="68">
        <v>600</v>
      </c>
      <c r="U6" s="50" t="s">
        <v>693</v>
      </c>
      <c r="V6" s="125">
        <v>42948</v>
      </c>
      <c r="W6" s="73">
        <v>115.3</v>
      </c>
      <c r="X6" s="127" t="s">
        <v>767</v>
      </c>
      <c r="Y6" s="136">
        <v>40422</v>
      </c>
      <c r="Z6" s="92">
        <v>4073</v>
      </c>
      <c r="AA6" s="93" t="s">
        <v>866</v>
      </c>
      <c r="AB6" s="142">
        <v>43009</v>
      </c>
      <c r="AC6" s="143">
        <v>100.3</v>
      </c>
      <c r="AD6" s="145" t="s">
        <v>945</v>
      </c>
      <c r="AE6" s="78">
        <v>43040</v>
      </c>
      <c r="AF6" s="79">
        <v>300</v>
      </c>
      <c r="AG6" s="55" t="s">
        <v>1021</v>
      </c>
      <c r="AH6" s="190">
        <v>43070</v>
      </c>
      <c r="AI6" s="191">
        <v>1600</v>
      </c>
      <c r="AJ6" s="193" t="s">
        <v>1091</v>
      </c>
    </row>
    <row r="7" spans="1:36" x14ac:dyDescent="0.25">
      <c r="A7" s="9">
        <v>42736</v>
      </c>
      <c r="B7" s="82">
        <v>80</v>
      </c>
      <c r="C7" s="7" t="s">
        <v>19</v>
      </c>
      <c r="D7" s="25">
        <v>42767</v>
      </c>
      <c r="E7" s="23">
        <v>408.25</v>
      </c>
      <c r="F7" s="5" t="s">
        <v>130</v>
      </c>
      <c r="G7" s="61">
        <v>42795</v>
      </c>
      <c r="H7" s="62">
        <v>15.5</v>
      </c>
      <c r="I7" s="63" t="s">
        <v>251</v>
      </c>
      <c r="J7" s="34">
        <v>42826</v>
      </c>
      <c r="K7" s="84">
        <v>600</v>
      </c>
      <c r="L7" s="35" t="s">
        <v>375</v>
      </c>
      <c r="M7" s="83">
        <v>42856</v>
      </c>
      <c r="N7" s="87">
        <v>300</v>
      </c>
      <c r="O7" s="6" t="s">
        <v>507</v>
      </c>
      <c r="P7" s="89">
        <v>42887</v>
      </c>
      <c r="Q7" s="60">
        <v>121</v>
      </c>
      <c r="R7" s="27" t="s">
        <v>623</v>
      </c>
      <c r="S7" s="67">
        <v>42917</v>
      </c>
      <c r="T7" s="68">
        <v>5000</v>
      </c>
      <c r="U7" s="50" t="s">
        <v>694</v>
      </c>
      <c r="V7" s="125">
        <v>42948</v>
      </c>
      <c r="W7" s="73">
        <v>20</v>
      </c>
      <c r="X7" s="126" t="s">
        <v>768</v>
      </c>
      <c r="Y7" s="136">
        <v>42979</v>
      </c>
      <c r="Z7" s="92">
        <v>4000</v>
      </c>
      <c r="AA7" s="137" t="s">
        <v>867</v>
      </c>
      <c r="AB7" s="142">
        <v>43009</v>
      </c>
      <c r="AC7" s="143">
        <v>55</v>
      </c>
      <c r="AD7" s="144" t="s">
        <v>946</v>
      </c>
      <c r="AE7" s="78">
        <v>43040</v>
      </c>
      <c r="AF7" s="79">
        <v>102</v>
      </c>
      <c r="AG7" s="55" t="s">
        <v>1022</v>
      </c>
      <c r="AH7" s="190">
        <v>43070</v>
      </c>
      <c r="AI7" s="191">
        <v>4000</v>
      </c>
      <c r="AJ7" s="192" t="s">
        <v>1092</v>
      </c>
    </row>
    <row r="8" spans="1:36" x14ac:dyDescent="0.25">
      <c r="A8" s="9">
        <v>42737</v>
      </c>
      <c r="B8" s="82">
        <v>310</v>
      </c>
      <c r="C8" s="21" t="s">
        <v>20</v>
      </c>
      <c r="D8" s="25">
        <v>42768</v>
      </c>
      <c r="E8" s="23">
        <v>535</v>
      </c>
      <c r="F8" s="5" t="s">
        <v>131</v>
      </c>
      <c r="G8" s="61">
        <v>42795</v>
      </c>
      <c r="H8" s="62">
        <v>320</v>
      </c>
      <c r="I8" s="63" t="s">
        <v>252</v>
      </c>
      <c r="J8" s="34">
        <v>42826</v>
      </c>
      <c r="K8" s="84">
        <v>750</v>
      </c>
      <c r="L8" s="35" t="s">
        <v>376</v>
      </c>
      <c r="M8" s="83">
        <v>42857</v>
      </c>
      <c r="N8" s="86">
        <v>438</v>
      </c>
      <c r="O8" s="6" t="s">
        <v>508</v>
      </c>
      <c r="P8" s="89">
        <v>42887</v>
      </c>
      <c r="Q8" s="60">
        <v>500</v>
      </c>
      <c r="R8" s="27" t="s">
        <v>624</v>
      </c>
      <c r="S8" s="67">
        <v>42917</v>
      </c>
      <c r="T8" s="68">
        <v>1000</v>
      </c>
      <c r="U8" s="50" t="s">
        <v>695</v>
      </c>
      <c r="V8" s="125">
        <v>42948</v>
      </c>
      <c r="W8" s="73">
        <v>150</v>
      </c>
      <c r="X8" s="127" t="s">
        <v>769</v>
      </c>
      <c r="Y8" s="136">
        <v>42979</v>
      </c>
      <c r="Z8" s="92">
        <v>1040</v>
      </c>
      <c r="AA8" s="93" t="s">
        <v>868</v>
      </c>
      <c r="AB8" s="142">
        <v>43010</v>
      </c>
      <c r="AC8" s="143">
        <v>20000</v>
      </c>
      <c r="AD8" s="144" t="s">
        <v>947</v>
      </c>
      <c r="AE8" s="78">
        <v>43041</v>
      </c>
      <c r="AF8" s="79">
        <v>1100</v>
      </c>
      <c r="AG8" s="55" t="s">
        <v>1023</v>
      </c>
      <c r="AH8" s="190">
        <v>43070</v>
      </c>
      <c r="AI8" s="191">
        <v>405</v>
      </c>
      <c r="AJ8" s="193" t="s">
        <v>1093</v>
      </c>
    </row>
    <row r="9" spans="1:36" x14ac:dyDescent="0.25">
      <c r="A9" s="9">
        <v>42738</v>
      </c>
      <c r="B9" s="82">
        <v>794</v>
      </c>
      <c r="C9" s="7" t="s">
        <v>21</v>
      </c>
      <c r="D9" s="25">
        <v>42768</v>
      </c>
      <c r="E9" s="23">
        <v>500</v>
      </c>
      <c r="F9" s="5" t="s">
        <v>132</v>
      </c>
      <c r="G9" s="61">
        <v>42796</v>
      </c>
      <c r="H9" s="62">
        <v>300</v>
      </c>
      <c r="I9" s="63" t="s">
        <v>253</v>
      </c>
      <c r="J9" s="34">
        <v>42826</v>
      </c>
      <c r="K9" s="84">
        <v>100</v>
      </c>
      <c r="L9" s="35" t="s">
        <v>377</v>
      </c>
      <c r="M9" s="83">
        <v>42858</v>
      </c>
      <c r="N9" s="86">
        <v>310</v>
      </c>
      <c r="O9" s="6" t="s">
        <v>509</v>
      </c>
      <c r="P9" s="89">
        <v>42887</v>
      </c>
      <c r="Q9" s="60">
        <v>79</v>
      </c>
      <c r="R9" s="27" t="s">
        <v>625</v>
      </c>
      <c r="S9" s="67">
        <v>42917</v>
      </c>
      <c r="T9" s="68">
        <v>4000</v>
      </c>
      <c r="U9" s="50" t="s">
        <v>696</v>
      </c>
      <c r="V9" s="125">
        <v>42948</v>
      </c>
      <c r="W9" s="73">
        <v>295</v>
      </c>
      <c r="X9" s="126" t="s">
        <v>770</v>
      </c>
      <c r="Y9" s="136">
        <v>42979</v>
      </c>
      <c r="Z9" s="92">
        <v>150</v>
      </c>
      <c r="AA9" s="137" t="s">
        <v>869</v>
      </c>
      <c r="AB9" s="142">
        <v>43010</v>
      </c>
      <c r="AC9" s="143">
        <v>10</v>
      </c>
      <c r="AD9" s="144" t="s">
        <v>948</v>
      </c>
      <c r="AE9" s="78">
        <v>43042</v>
      </c>
      <c r="AF9" s="79">
        <v>1250</v>
      </c>
      <c r="AG9" s="146" t="s">
        <v>1024</v>
      </c>
      <c r="AH9" s="190">
        <v>43070</v>
      </c>
      <c r="AI9" s="191">
        <v>5</v>
      </c>
      <c r="AJ9" s="192" t="s">
        <v>1094</v>
      </c>
    </row>
    <row r="10" spans="1:36" x14ac:dyDescent="0.25">
      <c r="A10" s="9">
        <v>42738</v>
      </c>
      <c r="B10" s="82">
        <v>552</v>
      </c>
      <c r="C10" s="7" t="s">
        <v>22</v>
      </c>
      <c r="D10" s="25">
        <v>42768</v>
      </c>
      <c r="E10" s="23">
        <v>150</v>
      </c>
      <c r="F10" s="5" t="s">
        <v>133</v>
      </c>
      <c r="G10" s="61">
        <v>42796</v>
      </c>
      <c r="H10" s="62">
        <v>250</v>
      </c>
      <c r="I10" s="63" t="s">
        <v>254</v>
      </c>
      <c r="J10" s="34">
        <v>42826</v>
      </c>
      <c r="K10" s="84">
        <v>310</v>
      </c>
      <c r="L10" s="36" t="s">
        <v>378</v>
      </c>
      <c r="M10" s="83">
        <v>42858</v>
      </c>
      <c r="N10" s="86">
        <v>600</v>
      </c>
      <c r="O10" s="6" t="s">
        <v>510</v>
      </c>
      <c r="P10" s="89">
        <v>42887</v>
      </c>
      <c r="Q10" s="60">
        <v>350</v>
      </c>
      <c r="R10" s="27" t="s">
        <v>626</v>
      </c>
      <c r="S10" s="67">
        <v>42917</v>
      </c>
      <c r="T10" s="68">
        <v>500</v>
      </c>
      <c r="U10" s="50" t="s">
        <v>697</v>
      </c>
      <c r="V10" s="125">
        <v>42948</v>
      </c>
      <c r="W10" s="73">
        <v>7000</v>
      </c>
      <c r="X10" s="127" t="s">
        <v>771</v>
      </c>
      <c r="Y10" s="136">
        <v>42979</v>
      </c>
      <c r="Z10" s="92">
        <v>500</v>
      </c>
      <c r="AA10" s="137" t="s">
        <v>870</v>
      </c>
      <c r="AB10" s="142">
        <v>43010</v>
      </c>
      <c r="AC10" s="143">
        <v>175</v>
      </c>
      <c r="AD10" s="144" t="s">
        <v>949</v>
      </c>
      <c r="AE10" s="78">
        <v>43044</v>
      </c>
      <c r="AF10" s="79">
        <v>400</v>
      </c>
      <c r="AG10" s="146" t="s">
        <v>1025</v>
      </c>
      <c r="AH10" s="190">
        <v>43070</v>
      </c>
      <c r="AI10" s="191">
        <v>150</v>
      </c>
      <c r="AJ10" s="192" t="s">
        <v>1095</v>
      </c>
    </row>
    <row r="11" spans="1:36" x14ac:dyDescent="0.25">
      <c r="A11" s="9">
        <v>42738</v>
      </c>
      <c r="B11" s="82">
        <v>35</v>
      </c>
      <c r="C11" s="7" t="s">
        <v>23</v>
      </c>
      <c r="D11" s="25">
        <v>42768</v>
      </c>
      <c r="E11" s="23">
        <v>250</v>
      </c>
      <c r="F11" s="23" t="s">
        <v>134</v>
      </c>
      <c r="G11" s="61">
        <v>42796</v>
      </c>
      <c r="H11" s="62">
        <v>300</v>
      </c>
      <c r="I11" s="63" t="s">
        <v>253</v>
      </c>
      <c r="J11" s="34">
        <v>42827</v>
      </c>
      <c r="K11" s="84">
        <v>34</v>
      </c>
      <c r="L11" s="35" t="s">
        <v>379</v>
      </c>
      <c r="M11" s="83">
        <v>42858</v>
      </c>
      <c r="N11" s="86">
        <v>450</v>
      </c>
      <c r="O11" s="6" t="s">
        <v>512</v>
      </c>
      <c r="P11" s="89">
        <v>42887</v>
      </c>
      <c r="Q11" s="60">
        <v>157</v>
      </c>
      <c r="R11" s="27" t="s">
        <v>627</v>
      </c>
      <c r="S11" s="67">
        <v>42917</v>
      </c>
      <c r="T11" s="68">
        <v>500</v>
      </c>
      <c r="U11" s="50" t="s">
        <v>700</v>
      </c>
      <c r="V11" s="125">
        <v>42948</v>
      </c>
      <c r="W11" s="73">
        <v>140.9</v>
      </c>
      <c r="X11" s="126" t="s">
        <v>468</v>
      </c>
      <c r="Y11" s="136">
        <v>42979</v>
      </c>
      <c r="Z11" s="92">
        <v>350</v>
      </c>
      <c r="AA11" s="137" t="s">
        <v>871</v>
      </c>
      <c r="AB11" s="142">
        <v>43010</v>
      </c>
      <c r="AC11" s="143">
        <v>90</v>
      </c>
      <c r="AD11" s="144" t="s">
        <v>950</v>
      </c>
      <c r="AE11" s="78">
        <v>43044</v>
      </c>
      <c r="AF11" s="79">
        <v>84.5</v>
      </c>
      <c r="AG11" s="146" t="s">
        <v>1026</v>
      </c>
      <c r="AH11" s="190">
        <v>43070</v>
      </c>
      <c r="AI11" s="191">
        <v>600</v>
      </c>
      <c r="AJ11" s="192" t="s">
        <v>1096</v>
      </c>
    </row>
    <row r="12" spans="1:36" x14ac:dyDescent="0.25">
      <c r="A12" s="9">
        <v>42738</v>
      </c>
      <c r="B12" s="82">
        <v>5</v>
      </c>
      <c r="C12" s="7" t="s">
        <v>23</v>
      </c>
      <c r="D12" s="25">
        <v>42768</v>
      </c>
      <c r="E12" s="23">
        <v>1575.12</v>
      </c>
      <c r="F12" s="71" t="s">
        <v>135</v>
      </c>
      <c r="G12" s="61">
        <v>42796</v>
      </c>
      <c r="H12" s="62">
        <v>320</v>
      </c>
      <c r="I12" s="63" t="s">
        <v>255</v>
      </c>
      <c r="J12" s="34">
        <v>42827</v>
      </c>
      <c r="K12" s="84">
        <v>22</v>
      </c>
      <c r="L12" s="35" t="s">
        <v>380</v>
      </c>
      <c r="M12" s="83">
        <v>42858</v>
      </c>
      <c r="N12" s="86">
        <v>400</v>
      </c>
      <c r="O12" s="88" t="s">
        <v>511</v>
      </c>
      <c r="P12" s="89">
        <v>42887</v>
      </c>
      <c r="Q12" s="60">
        <v>400</v>
      </c>
      <c r="R12" s="27" t="s">
        <v>628</v>
      </c>
      <c r="S12" s="67">
        <v>42918</v>
      </c>
      <c r="T12" s="68">
        <v>400</v>
      </c>
      <c r="U12" s="50" t="s">
        <v>698</v>
      </c>
      <c r="V12" s="125">
        <v>42948</v>
      </c>
      <c r="W12" s="73">
        <v>100</v>
      </c>
      <c r="X12" s="126" t="s">
        <v>772</v>
      </c>
      <c r="Y12" s="136">
        <v>42979</v>
      </c>
      <c r="Z12" s="92">
        <v>1000</v>
      </c>
      <c r="AA12" s="137" t="s">
        <v>872</v>
      </c>
      <c r="AB12" s="142">
        <v>43010</v>
      </c>
      <c r="AC12" s="143">
        <v>265</v>
      </c>
      <c r="AD12" s="144" t="s">
        <v>951</v>
      </c>
      <c r="AE12" s="78">
        <v>43044</v>
      </c>
      <c r="AF12" s="79">
        <v>120</v>
      </c>
      <c r="AG12" s="146" t="s">
        <v>1027</v>
      </c>
      <c r="AH12" s="190">
        <v>43070</v>
      </c>
      <c r="AI12" s="191">
        <v>250</v>
      </c>
      <c r="AJ12" s="192" t="s">
        <v>1097</v>
      </c>
    </row>
    <row r="13" spans="1:36" x14ac:dyDescent="0.25">
      <c r="A13" s="9">
        <v>42739</v>
      </c>
      <c r="B13" s="82">
        <v>600</v>
      </c>
      <c r="C13" s="7" t="s">
        <v>24</v>
      </c>
      <c r="D13" s="25">
        <v>42768</v>
      </c>
      <c r="E13" s="23">
        <v>55.9</v>
      </c>
      <c r="F13" s="5" t="s">
        <v>136</v>
      </c>
      <c r="G13" s="61">
        <v>42796</v>
      </c>
      <c r="H13" s="62">
        <v>407</v>
      </c>
      <c r="I13" s="63" t="s">
        <v>256</v>
      </c>
      <c r="J13" s="34">
        <v>42827</v>
      </c>
      <c r="K13" s="84">
        <v>1000</v>
      </c>
      <c r="L13" s="35" t="s">
        <v>381</v>
      </c>
      <c r="M13" s="83">
        <v>42858</v>
      </c>
      <c r="N13" s="86">
        <v>350</v>
      </c>
      <c r="O13" s="6" t="s">
        <v>513</v>
      </c>
      <c r="P13" s="89">
        <v>42887</v>
      </c>
      <c r="Q13" s="60">
        <v>111</v>
      </c>
      <c r="R13" s="27" t="s">
        <v>629</v>
      </c>
      <c r="S13" s="67">
        <v>42918</v>
      </c>
      <c r="T13" s="68">
        <v>120</v>
      </c>
      <c r="U13" s="50" t="s">
        <v>699</v>
      </c>
      <c r="V13" s="125">
        <v>42948</v>
      </c>
      <c r="W13" s="73">
        <v>360</v>
      </c>
      <c r="X13" s="126" t="s">
        <v>773</v>
      </c>
      <c r="Y13" s="136">
        <v>42979</v>
      </c>
      <c r="Z13" s="92">
        <v>500</v>
      </c>
      <c r="AA13" s="137" t="s">
        <v>873</v>
      </c>
      <c r="AB13" s="142">
        <v>43010</v>
      </c>
      <c r="AC13" s="143">
        <v>340.2</v>
      </c>
      <c r="AD13" s="144" t="s">
        <v>952</v>
      </c>
      <c r="AE13" s="78">
        <v>43045</v>
      </c>
      <c r="AF13" s="79">
        <v>102</v>
      </c>
      <c r="AG13" s="146" t="s">
        <v>1028</v>
      </c>
      <c r="AH13" s="190">
        <v>43070</v>
      </c>
      <c r="AI13" s="191">
        <v>250</v>
      </c>
      <c r="AJ13" s="192" t="s">
        <v>1097</v>
      </c>
    </row>
    <row r="14" spans="1:36" x14ac:dyDescent="0.25">
      <c r="A14" s="9">
        <v>42739</v>
      </c>
      <c r="B14" s="82">
        <v>400</v>
      </c>
      <c r="C14" s="7" t="s">
        <v>25</v>
      </c>
      <c r="D14" s="25">
        <v>42768</v>
      </c>
      <c r="E14" s="23">
        <v>300</v>
      </c>
      <c r="F14" s="5" t="s">
        <v>137</v>
      </c>
      <c r="G14" s="61">
        <v>42796</v>
      </c>
      <c r="H14" s="62">
        <v>524</v>
      </c>
      <c r="I14" s="63" t="s">
        <v>257</v>
      </c>
      <c r="J14" s="34">
        <v>42827</v>
      </c>
      <c r="K14" s="84">
        <v>95.5</v>
      </c>
      <c r="L14" s="35" t="s">
        <v>382</v>
      </c>
      <c r="M14" s="83">
        <v>42858</v>
      </c>
      <c r="N14" s="86">
        <v>398.5</v>
      </c>
      <c r="O14" s="6" t="s">
        <v>514</v>
      </c>
      <c r="P14" s="89">
        <v>42887</v>
      </c>
      <c r="Q14" s="60">
        <v>2100</v>
      </c>
      <c r="R14" s="27" t="s">
        <v>630</v>
      </c>
      <c r="S14" s="67">
        <v>42918</v>
      </c>
      <c r="T14" s="68">
        <v>138</v>
      </c>
      <c r="U14" s="50" t="s">
        <v>148</v>
      </c>
      <c r="V14" s="125">
        <v>42948</v>
      </c>
      <c r="W14" s="73">
        <v>350</v>
      </c>
      <c r="X14" s="126" t="s">
        <v>774</v>
      </c>
      <c r="Y14" s="136">
        <v>42979</v>
      </c>
      <c r="Z14" s="92">
        <v>400</v>
      </c>
      <c r="AA14" s="137" t="s">
        <v>874</v>
      </c>
      <c r="AB14" s="142">
        <v>43010</v>
      </c>
      <c r="AC14" s="143">
        <v>100</v>
      </c>
      <c r="AD14" s="144" t="s">
        <v>953</v>
      </c>
      <c r="AE14" s="78">
        <v>43045</v>
      </c>
      <c r="AF14" s="79">
        <v>370</v>
      </c>
      <c r="AG14" s="146" t="s">
        <v>1029</v>
      </c>
      <c r="AH14" s="190">
        <v>43070</v>
      </c>
      <c r="AI14" s="191">
        <v>330</v>
      </c>
      <c r="AJ14" s="192" t="s">
        <v>1098</v>
      </c>
    </row>
    <row r="15" spans="1:36" x14ac:dyDescent="0.25">
      <c r="A15" s="9">
        <v>42739</v>
      </c>
      <c r="B15" s="82">
        <v>1250</v>
      </c>
      <c r="C15" s="7" t="s">
        <v>26</v>
      </c>
      <c r="D15" s="25">
        <v>42768</v>
      </c>
      <c r="E15" s="23">
        <v>2999</v>
      </c>
      <c r="F15" s="5" t="s">
        <v>138</v>
      </c>
      <c r="G15" s="61">
        <v>42797</v>
      </c>
      <c r="H15" s="62">
        <v>250</v>
      </c>
      <c r="I15" s="63" t="s">
        <v>258</v>
      </c>
      <c r="J15" s="34">
        <v>42827</v>
      </c>
      <c r="K15" s="84">
        <v>120</v>
      </c>
      <c r="L15" s="35" t="s">
        <v>383</v>
      </c>
      <c r="M15" s="83">
        <v>42859</v>
      </c>
      <c r="N15" s="86">
        <v>783</v>
      </c>
      <c r="O15" s="6" t="s">
        <v>515</v>
      </c>
      <c r="P15" s="89">
        <v>42888</v>
      </c>
      <c r="Q15" s="60">
        <v>130</v>
      </c>
      <c r="R15" s="27" t="s">
        <v>631</v>
      </c>
      <c r="S15" s="67">
        <v>42918</v>
      </c>
      <c r="T15" s="68">
        <v>270</v>
      </c>
      <c r="U15" s="50" t="s">
        <v>701</v>
      </c>
      <c r="V15" s="125">
        <v>42948</v>
      </c>
      <c r="W15" s="73">
        <v>4000</v>
      </c>
      <c r="X15" s="126" t="s">
        <v>775</v>
      </c>
      <c r="Y15" s="136">
        <v>42981</v>
      </c>
      <c r="Z15" s="92">
        <v>186</v>
      </c>
      <c r="AA15" s="137" t="s">
        <v>875</v>
      </c>
      <c r="AB15" s="142">
        <v>43011</v>
      </c>
      <c r="AC15" s="143">
        <v>188</v>
      </c>
      <c r="AD15" s="144" t="s">
        <v>954</v>
      </c>
      <c r="AE15" s="78">
        <v>43045</v>
      </c>
      <c r="AF15" s="79">
        <v>100</v>
      </c>
      <c r="AG15" s="55" t="s">
        <v>1030</v>
      </c>
      <c r="AH15" s="190">
        <v>43070</v>
      </c>
      <c r="AI15" s="191">
        <v>135</v>
      </c>
      <c r="AJ15" s="192" t="s">
        <v>1099</v>
      </c>
    </row>
    <row r="16" spans="1:36" x14ac:dyDescent="0.25">
      <c r="A16" s="9">
        <v>42740</v>
      </c>
      <c r="B16" s="82">
        <v>446.9</v>
      </c>
      <c r="C16" s="7" t="s">
        <v>27</v>
      </c>
      <c r="D16" s="25">
        <v>42768</v>
      </c>
      <c r="E16" s="23">
        <v>450</v>
      </c>
      <c r="F16" s="5" t="s">
        <v>139</v>
      </c>
      <c r="G16" s="61">
        <v>42798</v>
      </c>
      <c r="H16" s="62">
        <v>1000</v>
      </c>
      <c r="I16" s="63" t="s">
        <v>259</v>
      </c>
      <c r="J16" s="34">
        <v>42827</v>
      </c>
      <c r="K16" s="84">
        <v>150</v>
      </c>
      <c r="L16" s="35" t="s">
        <v>384</v>
      </c>
      <c r="M16" s="83">
        <v>42859</v>
      </c>
      <c r="N16" s="86">
        <v>205.4</v>
      </c>
      <c r="O16" s="6" t="s">
        <v>516</v>
      </c>
      <c r="P16" s="89">
        <v>42888</v>
      </c>
      <c r="Q16" s="60">
        <v>1000</v>
      </c>
      <c r="R16" s="27" t="s">
        <v>632</v>
      </c>
      <c r="S16" s="67">
        <v>42918</v>
      </c>
      <c r="T16" s="68">
        <v>310</v>
      </c>
      <c r="U16" s="50" t="s">
        <v>702</v>
      </c>
      <c r="V16" s="125">
        <v>42948</v>
      </c>
      <c r="W16" s="73">
        <v>140</v>
      </c>
      <c r="X16" s="126" t="s">
        <v>776</v>
      </c>
      <c r="Y16" s="136">
        <v>42981</v>
      </c>
      <c r="Z16" s="92">
        <v>150</v>
      </c>
      <c r="AA16" s="137" t="s">
        <v>404</v>
      </c>
      <c r="AB16" s="142">
        <v>43011</v>
      </c>
      <c r="AC16" s="143">
        <v>45.5</v>
      </c>
      <c r="AD16" s="144" t="s">
        <v>950</v>
      </c>
      <c r="AE16" s="78">
        <v>43045</v>
      </c>
      <c r="AF16" s="79">
        <v>1760</v>
      </c>
      <c r="AG16" s="147" t="s">
        <v>1031</v>
      </c>
      <c r="AH16" s="190">
        <v>43070</v>
      </c>
      <c r="AI16" s="191">
        <v>1250</v>
      </c>
      <c r="AJ16" s="192" t="s">
        <v>1100</v>
      </c>
    </row>
    <row r="17" spans="1:36" x14ac:dyDescent="0.25">
      <c r="A17" s="9">
        <v>42740</v>
      </c>
      <c r="B17" s="82">
        <v>791</v>
      </c>
      <c r="C17" s="7" t="s">
        <v>28</v>
      </c>
      <c r="D17" s="25">
        <v>42768</v>
      </c>
      <c r="E17" s="23">
        <v>1000</v>
      </c>
      <c r="F17" s="5" t="s">
        <v>140</v>
      </c>
      <c r="G17" s="61">
        <v>42798</v>
      </c>
      <c r="H17" s="62">
        <v>350</v>
      </c>
      <c r="I17" s="63" t="s">
        <v>260</v>
      </c>
      <c r="J17" s="34">
        <v>42827</v>
      </c>
      <c r="K17" s="84">
        <v>290</v>
      </c>
      <c r="L17" s="35" t="s">
        <v>385</v>
      </c>
      <c r="M17" s="83">
        <v>42859</v>
      </c>
      <c r="N17" s="86">
        <v>200</v>
      </c>
      <c r="O17" s="6" t="s">
        <v>592</v>
      </c>
      <c r="P17" s="89">
        <v>42888</v>
      </c>
      <c r="Q17" s="60">
        <v>200</v>
      </c>
      <c r="R17" s="27" t="s">
        <v>633</v>
      </c>
      <c r="S17" s="67">
        <v>42919</v>
      </c>
      <c r="T17" s="68">
        <v>310</v>
      </c>
      <c r="U17" s="50" t="s">
        <v>702</v>
      </c>
      <c r="V17" s="125">
        <v>42948</v>
      </c>
      <c r="W17" s="73">
        <v>650</v>
      </c>
      <c r="X17" s="126" t="s">
        <v>777</v>
      </c>
      <c r="Y17" s="136">
        <v>42981</v>
      </c>
      <c r="Z17" s="92">
        <v>120</v>
      </c>
      <c r="AA17" s="137" t="s">
        <v>876</v>
      </c>
      <c r="AB17" s="142">
        <v>43012</v>
      </c>
      <c r="AC17" s="143">
        <v>280</v>
      </c>
      <c r="AD17" s="144" t="s">
        <v>951</v>
      </c>
      <c r="AE17" s="78">
        <v>43045</v>
      </c>
      <c r="AF17" s="79">
        <v>1300</v>
      </c>
      <c r="AG17" s="146" t="s">
        <v>1032</v>
      </c>
      <c r="AH17" s="190">
        <v>43071</v>
      </c>
      <c r="AI17" s="191">
        <v>450</v>
      </c>
      <c r="AJ17" s="192" t="s">
        <v>1101</v>
      </c>
    </row>
    <row r="18" spans="1:36" x14ac:dyDescent="0.25">
      <c r="A18" s="9">
        <v>42740</v>
      </c>
      <c r="B18" s="82">
        <v>40</v>
      </c>
      <c r="C18" s="7" t="s">
        <v>29</v>
      </c>
      <c r="D18" s="25">
        <v>42768</v>
      </c>
      <c r="E18" s="23">
        <v>6150</v>
      </c>
      <c r="F18" s="5" t="s">
        <v>141</v>
      </c>
      <c r="G18" s="61">
        <v>42798</v>
      </c>
      <c r="H18" s="62">
        <v>400</v>
      </c>
      <c r="I18" s="63" t="s">
        <v>261</v>
      </c>
      <c r="J18" s="34">
        <v>42827</v>
      </c>
      <c r="K18" s="84">
        <v>35</v>
      </c>
      <c r="L18" s="35" t="s">
        <v>386</v>
      </c>
      <c r="M18" s="83">
        <v>42830</v>
      </c>
      <c r="N18" s="86">
        <v>1000</v>
      </c>
      <c r="O18" s="6" t="s">
        <v>517</v>
      </c>
      <c r="P18" s="89">
        <v>42889</v>
      </c>
      <c r="Q18" s="60">
        <v>250</v>
      </c>
      <c r="R18" s="27" t="s">
        <v>634</v>
      </c>
      <c r="S18" s="67">
        <v>42919</v>
      </c>
      <c r="T18" s="68">
        <v>130</v>
      </c>
      <c r="U18" s="50" t="s">
        <v>703</v>
      </c>
      <c r="V18" s="125">
        <v>42948</v>
      </c>
      <c r="W18" s="73">
        <v>400</v>
      </c>
      <c r="X18" s="126" t="s">
        <v>778</v>
      </c>
      <c r="Y18" s="136">
        <v>42982</v>
      </c>
      <c r="Z18" s="92">
        <v>310</v>
      </c>
      <c r="AA18" s="137" t="s">
        <v>877</v>
      </c>
      <c r="AB18" s="142">
        <v>43012</v>
      </c>
      <c r="AC18" s="143">
        <v>46</v>
      </c>
      <c r="AD18" s="144" t="s">
        <v>904</v>
      </c>
      <c r="AE18" s="78">
        <v>43046</v>
      </c>
      <c r="AF18" s="79">
        <v>159</v>
      </c>
      <c r="AG18" s="146" t="s">
        <v>1033</v>
      </c>
      <c r="AH18" s="190">
        <v>43071</v>
      </c>
      <c r="AI18" s="191">
        <v>261</v>
      </c>
      <c r="AJ18" s="192" t="s">
        <v>1102</v>
      </c>
    </row>
    <row r="19" spans="1:36" x14ac:dyDescent="0.25">
      <c r="A19" s="9">
        <v>42740</v>
      </c>
      <c r="B19" s="82">
        <v>760</v>
      </c>
      <c r="C19" s="7" t="s">
        <v>30</v>
      </c>
      <c r="D19" s="25">
        <v>42768</v>
      </c>
      <c r="E19" s="23">
        <v>180</v>
      </c>
      <c r="F19" s="5" t="s">
        <v>142</v>
      </c>
      <c r="G19" s="61">
        <v>42798</v>
      </c>
      <c r="H19" s="62">
        <v>500</v>
      </c>
      <c r="I19" s="63" t="s">
        <v>262</v>
      </c>
      <c r="J19" s="34">
        <v>42827</v>
      </c>
      <c r="K19" s="84">
        <v>250</v>
      </c>
      <c r="L19" s="35" t="s">
        <v>387</v>
      </c>
      <c r="M19" s="83">
        <v>42860</v>
      </c>
      <c r="N19" s="86">
        <v>310</v>
      </c>
      <c r="O19" s="6" t="s">
        <v>509</v>
      </c>
      <c r="P19" s="89">
        <v>42889</v>
      </c>
      <c r="Q19" s="60">
        <v>500</v>
      </c>
      <c r="R19" s="27" t="s">
        <v>635</v>
      </c>
      <c r="S19" s="67">
        <v>42919</v>
      </c>
      <c r="T19" s="68">
        <v>108</v>
      </c>
      <c r="U19" s="50" t="s">
        <v>704</v>
      </c>
      <c r="V19" s="125">
        <v>42949</v>
      </c>
      <c r="W19" s="73">
        <v>350</v>
      </c>
      <c r="X19" s="126" t="s">
        <v>779</v>
      </c>
      <c r="Y19" s="136">
        <v>42982</v>
      </c>
      <c r="Z19" s="92">
        <v>15</v>
      </c>
      <c r="AA19" s="137" t="s">
        <v>878</v>
      </c>
      <c r="AB19" s="142">
        <v>43012</v>
      </c>
      <c r="AC19" s="143">
        <v>1800</v>
      </c>
      <c r="AD19" s="144" t="s">
        <v>955</v>
      </c>
      <c r="AE19" s="78">
        <v>43047</v>
      </c>
      <c r="AF19" s="79">
        <v>199</v>
      </c>
      <c r="AG19" s="146" t="s">
        <v>1034</v>
      </c>
      <c r="AH19" s="190">
        <v>43072</v>
      </c>
      <c r="AI19" s="191">
        <v>53</v>
      </c>
      <c r="AJ19" s="192" t="s">
        <v>1103</v>
      </c>
    </row>
    <row r="20" spans="1:36" x14ac:dyDescent="0.25">
      <c r="A20" s="9">
        <v>42740</v>
      </c>
      <c r="B20" s="82">
        <v>350</v>
      </c>
      <c r="C20" s="7" t="s">
        <v>31</v>
      </c>
      <c r="D20" s="25">
        <v>42768</v>
      </c>
      <c r="E20" s="23">
        <v>200</v>
      </c>
      <c r="F20" s="5" t="s">
        <v>143</v>
      </c>
      <c r="G20" s="61">
        <v>42798</v>
      </c>
      <c r="H20" s="62">
        <v>500</v>
      </c>
      <c r="I20" s="64" t="s">
        <v>263</v>
      </c>
      <c r="J20" s="34">
        <v>42828</v>
      </c>
      <c r="K20" s="84">
        <v>400</v>
      </c>
      <c r="L20" s="35" t="s">
        <v>388</v>
      </c>
      <c r="M20" s="83">
        <v>42860</v>
      </c>
      <c r="N20" s="86">
        <v>230</v>
      </c>
      <c r="O20" s="6" t="s">
        <v>518</v>
      </c>
      <c r="P20" s="89">
        <v>42890</v>
      </c>
      <c r="Q20" s="60">
        <v>88.5</v>
      </c>
      <c r="R20" s="27" t="s">
        <v>537</v>
      </c>
      <c r="S20" s="67">
        <v>42919</v>
      </c>
      <c r="T20" s="68">
        <v>10050</v>
      </c>
      <c r="U20" s="50" t="s">
        <v>705</v>
      </c>
      <c r="V20" s="125">
        <v>42949</v>
      </c>
      <c r="W20" s="73">
        <v>247</v>
      </c>
      <c r="X20" s="126" t="s">
        <v>780</v>
      </c>
      <c r="Y20" s="136">
        <v>42983</v>
      </c>
      <c r="Z20" s="92">
        <v>2279.0100000000002</v>
      </c>
      <c r="AA20" s="137" t="s">
        <v>879</v>
      </c>
      <c r="AB20" s="142">
        <v>43012</v>
      </c>
      <c r="AC20" s="143">
        <v>1400</v>
      </c>
      <c r="AD20" s="144" t="s">
        <v>956</v>
      </c>
      <c r="AE20" s="78">
        <v>43047</v>
      </c>
      <c r="AF20" s="79">
        <v>76</v>
      </c>
      <c r="AG20" s="146" t="s">
        <v>1035</v>
      </c>
      <c r="AH20" s="190">
        <v>43072</v>
      </c>
      <c r="AI20" s="191">
        <v>70</v>
      </c>
      <c r="AJ20" s="192" t="s">
        <v>1103</v>
      </c>
    </row>
    <row r="21" spans="1:36" x14ac:dyDescent="0.25">
      <c r="A21" s="9">
        <v>42740</v>
      </c>
      <c r="B21" s="82">
        <v>450</v>
      </c>
      <c r="C21" s="7" t="s">
        <v>32</v>
      </c>
      <c r="D21" s="25">
        <v>42769</v>
      </c>
      <c r="E21" s="23">
        <v>1000</v>
      </c>
      <c r="F21" s="5" t="s">
        <v>144</v>
      </c>
      <c r="G21" s="61">
        <v>42798</v>
      </c>
      <c r="H21" s="62">
        <v>400</v>
      </c>
      <c r="I21" s="63" t="s">
        <v>261</v>
      </c>
      <c r="J21" s="34">
        <v>42828</v>
      </c>
      <c r="K21" s="84">
        <v>560</v>
      </c>
      <c r="L21" s="35" t="s">
        <v>389</v>
      </c>
      <c r="M21" s="83">
        <v>42860</v>
      </c>
      <c r="N21" s="86">
        <v>87</v>
      </c>
      <c r="O21" s="6" t="s">
        <v>519</v>
      </c>
      <c r="P21" s="89">
        <v>42890</v>
      </c>
      <c r="Q21" s="60">
        <v>150</v>
      </c>
      <c r="R21" s="27" t="s">
        <v>431</v>
      </c>
      <c r="S21" s="67">
        <v>42920</v>
      </c>
      <c r="T21" s="68">
        <v>500</v>
      </c>
      <c r="U21" s="50" t="s">
        <v>706</v>
      </c>
      <c r="V21" s="125">
        <v>42949</v>
      </c>
      <c r="W21" s="73">
        <v>72</v>
      </c>
      <c r="X21" s="126" t="s">
        <v>781</v>
      </c>
      <c r="Y21" s="136">
        <v>42983</v>
      </c>
      <c r="Z21" s="92">
        <v>79</v>
      </c>
      <c r="AA21" s="137" t="s">
        <v>880</v>
      </c>
      <c r="AB21" s="142">
        <v>43012</v>
      </c>
      <c r="AC21" s="143">
        <v>300</v>
      </c>
      <c r="AD21" s="144" t="s">
        <v>959</v>
      </c>
      <c r="AE21" s="78">
        <v>43047</v>
      </c>
      <c r="AF21" s="79">
        <v>340</v>
      </c>
      <c r="AG21" s="146" t="s">
        <v>1036</v>
      </c>
      <c r="AH21" s="190">
        <v>43072</v>
      </c>
      <c r="AI21" s="191">
        <v>120</v>
      </c>
      <c r="AJ21" s="192" t="s">
        <v>1104</v>
      </c>
    </row>
    <row r="22" spans="1:36" x14ac:dyDescent="0.25">
      <c r="A22" s="9">
        <v>42740</v>
      </c>
      <c r="B22" s="82">
        <v>850</v>
      </c>
      <c r="C22" s="7" t="s">
        <v>33</v>
      </c>
      <c r="D22" s="25">
        <v>42769</v>
      </c>
      <c r="E22" s="23">
        <v>300</v>
      </c>
      <c r="F22" s="5" t="s">
        <v>145</v>
      </c>
      <c r="G22" s="61">
        <v>42799</v>
      </c>
      <c r="H22" s="62">
        <v>190.5</v>
      </c>
      <c r="I22" s="63" t="s">
        <v>148</v>
      </c>
      <c r="J22" s="34">
        <v>42830</v>
      </c>
      <c r="K22" s="84">
        <v>798</v>
      </c>
      <c r="L22" s="35" t="s">
        <v>390</v>
      </c>
      <c r="M22" s="83">
        <v>42860</v>
      </c>
      <c r="N22" s="86">
        <v>1400</v>
      </c>
      <c r="O22" s="6" t="s">
        <v>520</v>
      </c>
      <c r="P22" s="89">
        <v>42890</v>
      </c>
      <c r="Q22" s="60">
        <v>120</v>
      </c>
      <c r="R22" s="27" t="s">
        <v>16</v>
      </c>
      <c r="S22" s="67">
        <v>42921</v>
      </c>
      <c r="T22" s="68">
        <v>500</v>
      </c>
      <c r="U22" s="50" t="s">
        <v>523</v>
      </c>
      <c r="V22" s="125">
        <v>42949</v>
      </c>
      <c r="W22" s="73">
        <v>350</v>
      </c>
      <c r="X22" s="126" t="s">
        <v>782</v>
      </c>
      <c r="Y22" s="136">
        <v>42983</v>
      </c>
      <c r="Z22" s="92">
        <v>5</v>
      </c>
      <c r="AA22" s="137" t="s">
        <v>881</v>
      </c>
      <c r="AB22" s="142">
        <v>43013</v>
      </c>
      <c r="AC22" s="143">
        <v>280</v>
      </c>
      <c r="AD22" s="144" t="s">
        <v>957</v>
      </c>
      <c r="AE22" s="78">
        <v>43047</v>
      </c>
      <c r="AF22" s="79">
        <v>300</v>
      </c>
      <c r="AG22" s="146" t="s">
        <v>1037</v>
      </c>
      <c r="AH22" s="190">
        <v>43072</v>
      </c>
      <c r="AI22" s="191">
        <v>150</v>
      </c>
      <c r="AJ22" s="192" t="s">
        <v>431</v>
      </c>
    </row>
    <row r="23" spans="1:36" x14ac:dyDescent="0.25">
      <c r="A23" s="9">
        <v>42740</v>
      </c>
      <c r="B23" s="82">
        <v>350</v>
      </c>
      <c r="C23" s="7" t="s">
        <v>34</v>
      </c>
      <c r="D23" s="25">
        <v>42769</v>
      </c>
      <c r="E23" s="23">
        <v>500</v>
      </c>
      <c r="F23" s="5" t="s">
        <v>146</v>
      </c>
      <c r="G23" s="61">
        <v>42800</v>
      </c>
      <c r="H23" s="62">
        <v>150</v>
      </c>
      <c r="I23" s="63" t="s">
        <v>264</v>
      </c>
      <c r="J23" s="34">
        <v>42828</v>
      </c>
      <c r="K23" s="84">
        <v>700</v>
      </c>
      <c r="L23" s="35" t="s">
        <v>391</v>
      </c>
      <c r="M23" s="83">
        <v>42860</v>
      </c>
      <c r="N23" s="86">
        <v>660</v>
      </c>
      <c r="O23" s="6" t="s">
        <v>521</v>
      </c>
      <c r="P23" s="89">
        <v>42891</v>
      </c>
      <c r="Q23" s="60">
        <v>400</v>
      </c>
      <c r="R23" s="27" t="s">
        <v>636</v>
      </c>
      <c r="S23" s="67">
        <v>42921</v>
      </c>
      <c r="T23" s="68">
        <v>900</v>
      </c>
      <c r="U23" s="50" t="s">
        <v>707</v>
      </c>
      <c r="V23" s="125">
        <v>42949</v>
      </c>
      <c r="W23" s="73">
        <v>740</v>
      </c>
      <c r="X23" s="126" t="s">
        <v>783</v>
      </c>
      <c r="Y23" s="136">
        <v>42983</v>
      </c>
      <c r="Z23" s="92">
        <v>1121.96</v>
      </c>
      <c r="AA23" s="137" t="s">
        <v>882</v>
      </c>
      <c r="AB23" s="142">
        <v>43013</v>
      </c>
      <c r="AC23" s="143">
        <v>200</v>
      </c>
      <c r="AD23" s="144" t="s">
        <v>960</v>
      </c>
      <c r="AE23" s="78">
        <v>43047</v>
      </c>
      <c r="AF23" s="79">
        <v>254.5</v>
      </c>
      <c r="AG23" s="146" t="s">
        <v>1038</v>
      </c>
      <c r="AH23" s="190">
        <v>43072</v>
      </c>
      <c r="AI23" s="191">
        <v>55</v>
      </c>
      <c r="AJ23" s="192" t="s">
        <v>1105</v>
      </c>
    </row>
    <row r="24" spans="1:36" x14ac:dyDescent="0.25">
      <c r="A24" s="9">
        <v>42741</v>
      </c>
      <c r="B24" s="82">
        <v>200</v>
      </c>
      <c r="C24" s="7" t="s">
        <v>35</v>
      </c>
      <c r="D24" s="25">
        <v>42770</v>
      </c>
      <c r="E24" s="23">
        <v>500</v>
      </c>
      <c r="F24" s="5" t="s">
        <v>147</v>
      </c>
      <c r="G24" s="61">
        <v>42800</v>
      </c>
      <c r="H24" s="62">
        <v>120</v>
      </c>
      <c r="I24" s="63" t="s">
        <v>265</v>
      </c>
      <c r="J24" s="34">
        <v>42828</v>
      </c>
      <c r="K24" s="84">
        <v>200</v>
      </c>
      <c r="L24" s="35" t="s">
        <v>391</v>
      </c>
      <c r="M24" s="83">
        <v>42861</v>
      </c>
      <c r="N24" s="86">
        <v>500</v>
      </c>
      <c r="O24" s="6" t="s">
        <v>522</v>
      </c>
      <c r="P24" s="89">
        <v>42891</v>
      </c>
      <c r="Q24" s="60">
        <v>310</v>
      </c>
      <c r="R24" s="27" t="s">
        <v>637</v>
      </c>
      <c r="S24" s="67">
        <v>42922</v>
      </c>
      <c r="T24" s="68">
        <v>600</v>
      </c>
      <c r="U24" s="50" t="s">
        <v>708</v>
      </c>
      <c r="V24" s="125">
        <v>42950</v>
      </c>
      <c r="W24" s="73">
        <v>180</v>
      </c>
      <c r="X24" s="126" t="s">
        <v>784</v>
      </c>
      <c r="Y24" s="136">
        <v>42983</v>
      </c>
      <c r="Z24" s="92">
        <v>5</v>
      </c>
      <c r="AA24" s="137" t="s">
        <v>883</v>
      </c>
      <c r="AB24" s="142">
        <v>43013</v>
      </c>
      <c r="AC24" s="143">
        <v>1250</v>
      </c>
      <c r="AD24" s="144" t="s">
        <v>958</v>
      </c>
      <c r="AE24" s="78">
        <v>43047</v>
      </c>
      <c r="AF24" s="79">
        <v>5</v>
      </c>
      <c r="AG24" s="146" t="s">
        <v>1039</v>
      </c>
      <c r="AH24" s="190">
        <v>43073</v>
      </c>
      <c r="AI24" s="191">
        <v>105</v>
      </c>
      <c r="AJ24" s="192" t="s">
        <v>791</v>
      </c>
    </row>
    <row r="25" spans="1:36" x14ac:dyDescent="0.25">
      <c r="A25" s="9">
        <v>42741</v>
      </c>
      <c r="B25" s="82">
        <v>1000</v>
      </c>
      <c r="C25" s="7" t="s">
        <v>36</v>
      </c>
      <c r="D25" s="25">
        <v>42771</v>
      </c>
      <c r="E25" s="23">
        <v>150</v>
      </c>
      <c r="F25" s="5" t="s">
        <v>148</v>
      </c>
      <c r="G25" s="61">
        <v>42800</v>
      </c>
      <c r="H25" s="62">
        <v>202</v>
      </c>
      <c r="I25" s="63" t="s">
        <v>266</v>
      </c>
      <c r="J25" s="34">
        <v>42828</v>
      </c>
      <c r="K25" s="84">
        <v>118</v>
      </c>
      <c r="L25" s="35" t="s">
        <v>392</v>
      </c>
      <c r="M25" s="83">
        <v>42861</v>
      </c>
      <c r="N25" s="86">
        <v>500</v>
      </c>
      <c r="O25" s="6" t="s">
        <v>523</v>
      </c>
      <c r="P25" s="89">
        <v>42891</v>
      </c>
      <c r="Q25" s="60">
        <v>300</v>
      </c>
      <c r="R25" s="27" t="s">
        <v>638</v>
      </c>
      <c r="S25" s="67">
        <v>42923</v>
      </c>
      <c r="T25" s="68">
        <v>1000</v>
      </c>
      <c r="U25" s="50" t="s">
        <v>709</v>
      </c>
      <c r="V25" s="125">
        <v>42950</v>
      </c>
      <c r="W25" s="73">
        <v>450</v>
      </c>
      <c r="X25" s="126" t="s">
        <v>785</v>
      </c>
      <c r="Y25" s="136">
        <v>42984</v>
      </c>
      <c r="Z25" s="92">
        <v>61</v>
      </c>
      <c r="AA25" s="137" t="s">
        <v>884</v>
      </c>
      <c r="AB25" s="76">
        <v>43016</v>
      </c>
      <c r="AC25" s="77">
        <v>120</v>
      </c>
      <c r="AD25" s="52" t="s">
        <v>16</v>
      </c>
      <c r="AE25" s="78">
        <v>43047</v>
      </c>
      <c r="AF25" s="79">
        <v>250</v>
      </c>
      <c r="AG25" s="146" t="s">
        <v>1040</v>
      </c>
      <c r="AH25" s="190">
        <v>43073</v>
      </c>
      <c r="AI25" s="191">
        <v>900</v>
      </c>
      <c r="AJ25" s="192" t="s">
        <v>1106</v>
      </c>
    </row>
    <row r="26" spans="1:36" x14ac:dyDescent="0.25">
      <c r="A26" s="9">
        <v>42741</v>
      </c>
      <c r="B26" s="82">
        <v>38</v>
      </c>
      <c r="C26" s="7" t="s">
        <v>37</v>
      </c>
      <c r="D26" s="25">
        <v>42771</v>
      </c>
      <c r="E26" s="23">
        <v>150</v>
      </c>
      <c r="F26" s="5" t="s">
        <v>164</v>
      </c>
      <c r="G26" s="61">
        <v>42800</v>
      </c>
      <c r="H26" s="62">
        <v>200</v>
      </c>
      <c r="I26" s="63" t="s">
        <v>267</v>
      </c>
      <c r="J26" s="34">
        <v>42828</v>
      </c>
      <c r="K26" s="84">
        <v>274.3</v>
      </c>
      <c r="L26" s="35" t="s">
        <v>393</v>
      </c>
      <c r="M26" s="83">
        <v>42861</v>
      </c>
      <c r="N26" s="86">
        <v>163.9</v>
      </c>
      <c r="O26" s="6" t="s">
        <v>524</v>
      </c>
      <c r="P26" s="89">
        <v>42891</v>
      </c>
      <c r="Q26" s="60">
        <v>100</v>
      </c>
      <c r="R26" s="27" t="s">
        <v>639</v>
      </c>
      <c r="S26" s="67">
        <v>42923</v>
      </c>
      <c r="T26" s="68">
        <v>200.8</v>
      </c>
      <c r="U26" s="50" t="s">
        <v>711</v>
      </c>
      <c r="V26" s="125">
        <v>42950</v>
      </c>
      <c r="W26" s="73">
        <v>400</v>
      </c>
      <c r="X26" s="126" t="s">
        <v>786</v>
      </c>
      <c r="Y26" s="136">
        <v>42984</v>
      </c>
      <c r="Z26" s="92">
        <v>2704.16</v>
      </c>
      <c r="AA26" s="137" t="s">
        <v>885</v>
      </c>
      <c r="AB26" s="76">
        <v>43016</v>
      </c>
      <c r="AC26" s="77">
        <v>44</v>
      </c>
      <c r="AD26" s="52" t="s">
        <v>961</v>
      </c>
      <c r="AE26" s="78">
        <v>43048</v>
      </c>
      <c r="AF26" s="79">
        <v>484.1</v>
      </c>
      <c r="AG26" s="146" t="s">
        <v>1038</v>
      </c>
      <c r="AH26" s="190">
        <v>43073</v>
      </c>
      <c r="AI26" s="191">
        <v>400</v>
      </c>
      <c r="AJ26" s="192" t="s">
        <v>1107</v>
      </c>
    </row>
    <row r="27" spans="1:36" x14ac:dyDescent="0.25">
      <c r="A27" s="9">
        <v>42742</v>
      </c>
      <c r="B27" s="82">
        <v>500</v>
      </c>
      <c r="C27" s="70" t="s">
        <v>38</v>
      </c>
      <c r="D27" s="25" t="s">
        <v>165</v>
      </c>
      <c r="E27" s="23">
        <v>120</v>
      </c>
      <c r="F27" s="5" t="s">
        <v>16</v>
      </c>
      <c r="G27" s="61">
        <v>42800</v>
      </c>
      <c r="H27" s="62">
        <v>250</v>
      </c>
      <c r="I27" s="63" t="s">
        <v>268</v>
      </c>
      <c r="J27" s="34">
        <v>42830</v>
      </c>
      <c r="K27" s="84">
        <v>500</v>
      </c>
      <c r="L27" s="35" t="s">
        <v>394</v>
      </c>
      <c r="M27" s="83">
        <v>42861</v>
      </c>
      <c r="N27" s="86">
        <v>1500</v>
      </c>
      <c r="O27" s="6" t="s">
        <v>525</v>
      </c>
      <c r="P27" s="89">
        <v>42891</v>
      </c>
      <c r="Q27" s="60">
        <v>803</v>
      </c>
      <c r="R27" s="27" t="s">
        <v>640</v>
      </c>
      <c r="S27" s="67">
        <v>42923</v>
      </c>
      <c r="T27" s="68">
        <v>162</v>
      </c>
      <c r="U27" s="50" t="s">
        <v>704</v>
      </c>
      <c r="V27" s="125">
        <v>42950</v>
      </c>
      <c r="W27" s="73">
        <v>500</v>
      </c>
      <c r="X27" s="126" t="s">
        <v>787</v>
      </c>
      <c r="Y27" s="136">
        <v>42984</v>
      </c>
      <c r="Z27" s="92">
        <v>1230.8699999999999</v>
      </c>
      <c r="AA27" s="137" t="s">
        <v>886</v>
      </c>
      <c r="AB27" s="76">
        <v>43016</v>
      </c>
      <c r="AC27" s="77">
        <v>117</v>
      </c>
      <c r="AD27" s="52" t="s">
        <v>148</v>
      </c>
      <c r="AE27" s="78">
        <v>43048</v>
      </c>
      <c r="AF27" s="79">
        <v>5</v>
      </c>
      <c r="AG27" s="146" t="s">
        <v>1039</v>
      </c>
      <c r="AH27" s="190">
        <v>43073</v>
      </c>
      <c r="AI27" s="191">
        <v>300</v>
      </c>
      <c r="AJ27" s="192" t="s">
        <v>1097</v>
      </c>
    </row>
    <row r="28" spans="1:36" x14ac:dyDescent="0.25">
      <c r="A28" s="9">
        <v>42742</v>
      </c>
      <c r="B28" s="82">
        <v>44.5</v>
      </c>
      <c r="C28" s="7" t="s">
        <v>18</v>
      </c>
      <c r="D28" s="25">
        <v>42771</v>
      </c>
      <c r="E28" s="23">
        <v>200</v>
      </c>
      <c r="F28" s="5" t="s">
        <v>149</v>
      </c>
      <c r="G28" s="61">
        <v>42800</v>
      </c>
      <c r="H28" s="62">
        <v>400</v>
      </c>
      <c r="I28" s="63" t="s">
        <v>296</v>
      </c>
      <c r="J28" s="34">
        <v>42830</v>
      </c>
      <c r="K28" s="84">
        <v>250</v>
      </c>
      <c r="L28" s="35" t="s">
        <v>395</v>
      </c>
      <c r="M28" s="83">
        <v>42861</v>
      </c>
      <c r="N28" s="86">
        <v>350</v>
      </c>
      <c r="O28" s="6" t="s">
        <v>526</v>
      </c>
      <c r="P28" s="89">
        <v>42922</v>
      </c>
      <c r="Q28" s="60">
        <v>1760</v>
      </c>
      <c r="R28" s="27" t="s">
        <v>641</v>
      </c>
      <c r="S28" s="67">
        <v>42923</v>
      </c>
      <c r="T28" s="68">
        <v>800</v>
      </c>
      <c r="U28" s="50" t="s">
        <v>712</v>
      </c>
      <c r="V28" s="125">
        <v>42950</v>
      </c>
      <c r="W28" s="73">
        <v>1800</v>
      </c>
      <c r="X28" s="126" t="s">
        <v>788</v>
      </c>
      <c r="Y28" s="136">
        <v>42984</v>
      </c>
      <c r="Z28" s="92">
        <v>5</v>
      </c>
      <c r="AA28" s="137" t="s">
        <v>887</v>
      </c>
      <c r="AB28" s="76">
        <v>43017</v>
      </c>
      <c r="AC28" s="77">
        <v>464.01</v>
      </c>
      <c r="AD28" s="52" t="s">
        <v>962</v>
      </c>
      <c r="AE28" s="78">
        <v>43048</v>
      </c>
      <c r="AF28" s="79">
        <v>655.5</v>
      </c>
      <c r="AG28" s="146" t="s">
        <v>1041</v>
      </c>
      <c r="AH28" s="190">
        <v>43075</v>
      </c>
      <c r="AI28" s="191">
        <v>340</v>
      </c>
      <c r="AJ28" s="192" t="s">
        <v>1098</v>
      </c>
    </row>
    <row r="29" spans="1:36" x14ac:dyDescent="0.25">
      <c r="A29" s="9">
        <v>42742</v>
      </c>
      <c r="B29" s="82">
        <v>75</v>
      </c>
      <c r="C29" s="96" t="s">
        <v>18</v>
      </c>
      <c r="D29" s="25">
        <v>42772</v>
      </c>
      <c r="E29" s="23">
        <v>310</v>
      </c>
      <c r="F29" s="5" t="s">
        <v>150</v>
      </c>
      <c r="G29" s="61">
        <v>42800</v>
      </c>
      <c r="H29" s="62">
        <v>620</v>
      </c>
      <c r="I29" s="63" t="s">
        <v>269</v>
      </c>
      <c r="J29" s="34">
        <v>42830</v>
      </c>
      <c r="K29" s="84">
        <v>650</v>
      </c>
      <c r="L29" s="35" t="s">
        <v>396</v>
      </c>
      <c r="M29" s="83">
        <v>42861</v>
      </c>
      <c r="N29" s="86">
        <v>2000</v>
      </c>
      <c r="O29" s="6" t="s">
        <v>527</v>
      </c>
      <c r="P29" s="89">
        <v>42892</v>
      </c>
      <c r="Q29" s="60">
        <v>1300</v>
      </c>
      <c r="R29" s="116" t="s">
        <v>642</v>
      </c>
      <c r="S29" s="67">
        <v>42923</v>
      </c>
      <c r="T29" s="68">
        <v>2350</v>
      </c>
      <c r="U29" s="50" t="s">
        <v>713</v>
      </c>
      <c r="V29" s="125">
        <v>42950</v>
      </c>
      <c r="W29" s="73">
        <v>1800</v>
      </c>
      <c r="X29" s="126" t="s">
        <v>789</v>
      </c>
      <c r="Y29" s="136">
        <v>42984</v>
      </c>
      <c r="Z29" s="92">
        <v>87</v>
      </c>
      <c r="AA29" s="137" t="s">
        <v>888</v>
      </c>
      <c r="AB29" s="76">
        <v>43017</v>
      </c>
      <c r="AC29" s="77">
        <v>5</v>
      </c>
      <c r="AD29" s="52" t="s">
        <v>963</v>
      </c>
      <c r="AE29" s="78">
        <v>43049</v>
      </c>
      <c r="AF29" s="79">
        <v>1250</v>
      </c>
      <c r="AG29" s="146" t="s">
        <v>1042</v>
      </c>
      <c r="AH29" s="190">
        <v>43075</v>
      </c>
      <c r="AI29" s="191">
        <v>490</v>
      </c>
      <c r="AJ29" s="192" t="s">
        <v>1108</v>
      </c>
    </row>
    <row r="30" spans="1:36" x14ac:dyDescent="0.25">
      <c r="A30" s="9">
        <v>42743</v>
      </c>
      <c r="B30" s="82">
        <v>100</v>
      </c>
      <c r="C30" s="7" t="s">
        <v>39</v>
      </c>
      <c r="D30" s="25">
        <v>42772</v>
      </c>
      <c r="E30" s="23">
        <v>108</v>
      </c>
      <c r="F30" s="5" t="s">
        <v>151</v>
      </c>
      <c r="G30" s="61">
        <v>42800</v>
      </c>
      <c r="H30" s="62">
        <v>750</v>
      </c>
      <c r="I30" s="65" t="s">
        <v>270</v>
      </c>
      <c r="J30" s="34">
        <v>42830</v>
      </c>
      <c r="K30" s="84">
        <v>310</v>
      </c>
      <c r="L30" s="35" t="s">
        <v>378</v>
      </c>
      <c r="M30" s="83">
        <v>42861</v>
      </c>
      <c r="N30" s="86">
        <v>200</v>
      </c>
      <c r="O30" s="6" t="s">
        <v>528</v>
      </c>
      <c r="P30" s="89">
        <v>42892</v>
      </c>
      <c r="Q30" s="60">
        <v>250</v>
      </c>
      <c r="R30" s="117" t="s">
        <v>643</v>
      </c>
      <c r="S30" s="67">
        <v>42923</v>
      </c>
      <c r="T30" s="68">
        <v>500</v>
      </c>
      <c r="U30" s="50" t="s">
        <v>714</v>
      </c>
      <c r="V30" s="125">
        <v>42951</v>
      </c>
      <c r="W30" s="73">
        <v>1000</v>
      </c>
      <c r="X30" s="126" t="s">
        <v>790</v>
      </c>
      <c r="Y30" s="136">
        <v>42984</v>
      </c>
      <c r="Z30" s="92">
        <v>800</v>
      </c>
      <c r="AA30" s="137" t="s">
        <v>889</v>
      </c>
      <c r="AB30" s="76">
        <v>43017</v>
      </c>
      <c r="AC30" s="77">
        <v>1380</v>
      </c>
      <c r="AD30" s="52" t="s">
        <v>964</v>
      </c>
      <c r="AE30" s="80">
        <v>43051</v>
      </c>
      <c r="AF30" s="79">
        <v>250</v>
      </c>
      <c r="AG30" s="146" t="s">
        <v>1040</v>
      </c>
      <c r="AH30" s="190">
        <v>43075</v>
      </c>
      <c r="AI30" s="191">
        <v>245</v>
      </c>
      <c r="AJ30" s="192" t="s">
        <v>1109</v>
      </c>
    </row>
    <row r="31" spans="1:36" x14ac:dyDescent="0.25">
      <c r="A31" s="9">
        <v>42743</v>
      </c>
      <c r="B31" s="82">
        <v>150</v>
      </c>
      <c r="C31" s="7" t="s">
        <v>16</v>
      </c>
      <c r="D31" s="25">
        <v>42772</v>
      </c>
      <c r="E31" s="23">
        <v>72</v>
      </c>
      <c r="F31" s="5" t="s">
        <v>68</v>
      </c>
      <c r="G31" s="61">
        <v>42800</v>
      </c>
      <c r="H31" s="62">
        <v>315</v>
      </c>
      <c r="I31" s="63" t="s">
        <v>287</v>
      </c>
      <c r="J31" s="34">
        <v>42830</v>
      </c>
      <c r="K31" s="84">
        <v>400</v>
      </c>
      <c r="L31" s="35" t="s">
        <v>397</v>
      </c>
      <c r="M31" s="83">
        <v>42861</v>
      </c>
      <c r="N31" s="86">
        <v>900</v>
      </c>
      <c r="O31" s="6" t="s">
        <v>529</v>
      </c>
      <c r="P31" s="89">
        <v>42892</v>
      </c>
      <c r="Q31" s="60">
        <v>280</v>
      </c>
      <c r="R31" s="117" t="s">
        <v>644</v>
      </c>
      <c r="S31" s="67">
        <v>42923</v>
      </c>
      <c r="T31" s="68">
        <v>400</v>
      </c>
      <c r="U31" s="50" t="s">
        <v>715</v>
      </c>
      <c r="V31" s="125">
        <v>42951</v>
      </c>
      <c r="W31" s="73">
        <v>180</v>
      </c>
      <c r="X31" s="126" t="s">
        <v>791</v>
      </c>
      <c r="Y31" s="136">
        <v>42985</v>
      </c>
      <c r="Z31" s="92">
        <v>10100</v>
      </c>
      <c r="AA31" s="137" t="s">
        <v>890</v>
      </c>
      <c r="AB31" s="76">
        <v>43018</v>
      </c>
      <c r="AC31" s="77">
        <v>778</v>
      </c>
      <c r="AD31" s="52" t="s">
        <v>965</v>
      </c>
      <c r="AE31" s="80">
        <v>43051</v>
      </c>
      <c r="AF31" s="79">
        <v>58</v>
      </c>
      <c r="AG31" s="146" t="s">
        <v>1043</v>
      </c>
      <c r="AH31" s="190">
        <v>43075</v>
      </c>
      <c r="AI31" s="191">
        <v>250</v>
      </c>
      <c r="AJ31" s="192" t="s">
        <v>1110</v>
      </c>
    </row>
    <row r="32" spans="1:36" x14ac:dyDescent="0.25">
      <c r="A32" s="9">
        <v>42743</v>
      </c>
      <c r="B32" s="82">
        <v>120</v>
      </c>
      <c r="C32" s="7" t="s">
        <v>19</v>
      </c>
      <c r="D32" s="25">
        <v>42772</v>
      </c>
      <c r="E32" s="23">
        <v>400</v>
      </c>
      <c r="F32" s="5" t="s">
        <v>152</v>
      </c>
      <c r="G32" s="61">
        <v>42800</v>
      </c>
      <c r="H32" s="62">
        <v>129.4</v>
      </c>
      <c r="I32" s="98" t="s">
        <v>271</v>
      </c>
      <c r="J32" s="34">
        <v>42830</v>
      </c>
      <c r="K32" s="84">
        <v>900</v>
      </c>
      <c r="L32" s="35" t="s">
        <v>398</v>
      </c>
      <c r="M32" s="83">
        <v>42861</v>
      </c>
      <c r="N32" s="86">
        <v>450</v>
      </c>
      <c r="O32" s="6" t="s">
        <v>530</v>
      </c>
      <c r="P32" s="89">
        <v>42892</v>
      </c>
      <c r="Q32" s="60">
        <v>100</v>
      </c>
      <c r="R32" s="117" t="s">
        <v>645</v>
      </c>
      <c r="S32" s="67">
        <v>39270</v>
      </c>
      <c r="T32" s="68">
        <v>500</v>
      </c>
      <c r="U32" s="50" t="s">
        <v>710</v>
      </c>
      <c r="V32" s="125">
        <v>42951</v>
      </c>
      <c r="W32" s="73">
        <v>270</v>
      </c>
      <c r="X32" s="126" t="s">
        <v>792</v>
      </c>
      <c r="Y32" s="136">
        <v>42985</v>
      </c>
      <c r="Z32" s="92">
        <v>401</v>
      </c>
      <c r="AA32" s="137" t="s">
        <v>891</v>
      </c>
      <c r="AB32" s="76">
        <v>43019</v>
      </c>
      <c r="AC32" s="77">
        <v>238.51</v>
      </c>
      <c r="AD32" s="52" t="s">
        <v>966</v>
      </c>
      <c r="AE32" s="80">
        <v>43051</v>
      </c>
      <c r="AF32" s="79">
        <v>15100</v>
      </c>
      <c r="AG32" s="146" t="s">
        <v>1044</v>
      </c>
      <c r="AH32" s="190">
        <v>43075</v>
      </c>
      <c r="AI32" s="191">
        <v>350</v>
      </c>
      <c r="AJ32" s="192" t="s">
        <v>1098</v>
      </c>
    </row>
    <row r="33" spans="1:36" x14ac:dyDescent="0.25">
      <c r="A33" s="9">
        <v>42744</v>
      </c>
      <c r="B33" s="82">
        <v>310</v>
      </c>
      <c r="C33" s="7" t="s">
        <v>20</v>
      </c>
      <c r="D33" s="25">
        <v>42773</v>
      </c>
      <c r="E33" s="23">
        <v>500</v>
      </c>
      <c r="F33" s="5" t="s">
        <v>153</v>
      </c>
      <c r="G33" s="61">
        <v>42800</v>
      </c>
      <c r="H33" s="62">
        <v>4500</v>
      </c>
      <c r="I33" s="98" t="s">
        <v>272</v>
      </c>
      <c r="J33" s="34">
        <v>42830</v>
      </c>
      <c r="K33" s="84">
        <v>4004</v>
      </c>
      <c r="L33" s="35" t="s">
        <v>399</v>
      </c>
      <c r="M33" s="83">
        <v>42861</v>
      </c>
      <c r="N33" s="86">
        <v>89.5</v>
      </c>
      <c r="O33" s="6" t="s">
        <v>531</v>
      </c>
      <c r="P33" s="89">
        <v>42892</v>
      </c>
      <c r="Q33" s="60">
        <v>46</v>
      </c>
      <c r="R33" s="117" t="s">
        <v>646</v>
      </c>
      <c r="S33" s="67">
        <v>42924</v>
      </c>
      <c r="T33" s="68">
        <v>1600</v>
      </c>
      <c r="U33" s="50" t="s">
        <v>716</v>
      </c>
      <c r="V33" s="125">
        <v>42951</v>
      </c>
      <c r="W33" s="73">
        <v>70</v>
      </c>
      <c r="X33" s="126" t="s">
        <v>793</v>
      </c>
      <c r="Y33" s="136">
        <v>42985</v>
      </c>
      <c r="Z33" s="92">
        <v>39</v>
      </c>
      <c r="AA33" s="137" t="s">
        <v>891</v>
      </c>
      <c r="AB33" s="76">
        <v>43019</v>
      </c>
      <c r="AC33" s="77">
        <v>140</v>
      </c>
      <c r="AD33" s="52" t="s">
        <v>967</v>
      </c>
      <c r="AE33" s="80">
        <v>43051</v>
      </c>
      <c r="AF33" s="79">
        <v>1500</v>
      </c>
      <c r="AG33" s="146" t="s">
        <v>1045</v>
      </c>
      <c r="AH33" s="190">
        <v>43075</v>
      </c>
      <c r="AI33" s="191">
        <v>200</v>
      </c>
      <c r="AJ33" s="192" t="s">
        <v>1096</v>
      </c>
    </row>
    <row r="34" spans="1:36" x14ac:dyDescent="0.25">
      <c r="A34" s="9">
        <v>42744</v>
      </c>
      <c r="B34" s="82">
        <v>116</v>
      </c>
      <c r="C34" s="7" t="s">
        <v>40</v>
      </c>
      <c r="D34" s="25">
        <v>42773</v>
      </c>
      <c r="E34" s="23">
        <v>250</v>
      </c>
      <c r="F34" s="5" t="s">
        <v>154</v>
      </c>
      <c r="G34" s="61">
        <v>42800</v>
      </c>
      <c r="H34" s="62">
        <v>210</v>
      </c>
      <c r="I34" s="64" t="s">
        <v>273</v>
      </c>
      <c r="J34" s="34">
        <v>42832</v>
      </c>
      <c r="K34" s="84">
        <v>350</v>
      </c>
      <c r="L34" s="35" t="s">
        <v>400</v>
      </c>
      <c r="M34" s="83">
        <v>42861</v>
      </c>
      <c r="N34" s="86">
        <v>59.5</v>
      </c>
      <c r="O34" s="6" t="s">
        <v>531</v>
      </c>
      <c r="P34" s="89">
        <v>42895</v>
      </c>
      <c r="Q34" s="60">
        <v>100</v>
      </c>
      <c r="R34" s="117" t="s">
        <v>647</v>
      </c>
      <c r="S34" s="67">
        <v>42924</v>
      </c>
      <c r="T34" s="68">
        <v>100</v>
      </c>
      <c r="U34" s="50" t="s">
        <v>717</v>
      </c>
      <c r="V34" s="125">
        <v>42951</v>
      </c>
      <c r="W34" s="73">
        <v>160</v>
      </c>
      <c r="X34" s="126" t="s">
        <v>780</v>
      </c>
      <c r="Y34" s="136">
        <v>42986</v>
      </c>
      <c r="Z34" s="92">
        <v>1250</v>
      </c>
      <c r="AA34" s="137" t="s">
        <v>892</v>
      </c>
      <c r="AB34" s="76">
        <v>43019</v>
      </c>
      <c r="AC34" s="77">
        <v>77.3</v>
      </c>
      <c r="AD34" s="52" t="s">
        <v>962</v>
      </c>
      <c r="AE34" s="80">
        <v>43051</v>
      </c>
      <c r="AF34" s="79">
        <v>120</v>
      </c>
      <c r="AG34" s="146" t="s">
        <v>1027</v>
      </c>
      <c r="AH34" s="190">
        <v>43075</v>
      </c>
      <c r="AI34" s="191">
        <v>35</v>
      </c>
      <c r="AJ34" s="192" t="s">
        <v>1111</v>
      </c>
    </row>
    <row r="35" spans="1:36" x14ac:dyDescent="0.25">
      <c r="A35" s="9">
        <v>42744</v>
      </c>
      <c r="B35" s="82">
        <v>326.60000000000002</v>
      </c>
      <c r="C35" s="7" t="s">
        <v>41</v>
      </c>
      <c r="D35" s="25">
        <v>42773</v>
      </c>
      <c r="E35" s="23">
        <v>200</v>
      </c>
      <c r="F35" s="5" t="s">
        <v>155</v>
      </c>
      <c r="G35" s="61">
        <v>42800</v>
      </c>
      <c r="H35" s="62">
        <v>350</v>
      </c>
      <c r="I35" s="64" t="s">
        <v>274</v>
      </c>
      <c r="J35" s="34">
        <v>42832</v>
      </c>
      <c r="K35" s="84">
        <v>15050</v>
      </c>
      <c r="L35" s="35" t="s">
        <v>401</v>
      </c>
      <c r="M35" s="83">
        <v>42861</v>
      </c>
      <c r="N35" s="86">
        <v>500</v>
      </c>
      <c r="O35" s="6" t="s">
        <v>532</v>
      </c>
      <c r="P35" s="89">
        <v>42895</v>
      </c>
      <c r="Q35" s="60">
        <v>406</v>
      </c>
      <c r="R35" s="117" t="s">
        <v>648</v>
      </c>
      <c r="S35" s="67">
        <v>42925</v>
      </c>
      <c r="T35" s="68">
        <v>155</v>
      </c>
      <c r="U35" s="50" t="s">
        <v>148</v>
      </c>
      <c r="V35" s="125">
        <v>42952</v>
      </c>
      <c r="W35" s="73">
        <v>500</v>
      </c>
      <c r="X35" s="126" t="s">
        <v>794</v>
      </c>
      <c r="Y35" s="136">
        <v>42986</v>
      </c>
      <c r="Z35" s="92">
        <v>300</v>
      </c>
      <c r="AA35" s="137" t="s">
        <v>893</v>
      </c>
      <c r="AB35" s="76">
        <v>43019</v>
      </c>
      <c r="AC35" s="77">
        <v>5</v>
      </c>
      <c r="AD35" s="52" t="s">
        <v>963</v>
      </c>
      <c r="AE35" s="80">
        <v>43051</v>
      </c>
      <c r="AF35" s="79">
        <v>150</v>
      </c>
      <c r="AG35" s="146" t="s">
        <v>1046</v>
      </c>
      <c r="AH35" s="190">
        <v>43076</v>
      </c>
      <c r="AI35" s="191">
        <v>2192.02</v>
      </c>
      <c r="AJ35" s="192" t="s">
        <v>1112</v>
      </c>
    </row>
    <row r="36" spans="1:36" x14ac:dyDescent="0.25">
      <c r="A36" s="9">
        <v>42745</v>
      </c>
      <c r="B36" s="82">
        <v>200</v>
      </c>
      <c r="C36" s="7" t="s">
        <v>42</v>
      </c>
      <c r="D36" s="25">
        <v>42773</v>
      </c>
      <c r="E36" s="23">
        <v>15050</v>
      </c>
      <c r="F36" s="5" t="s">
        <v>156</v>
      </c>
      <c r="G36" s="61">
        <v>42800</v>
      </c>
      <c r="H36" s="62">
        <v>84</v>
      </c>
      <c r="I36" s="63" t="s">
        <v>275</v>
      </c>
      <c r="J36" s="34">
        <v>42832</v>
      </c>
      <c r="K36" s="84">
        <v>1000</v>
      </c>
      <c r="L36" s="35" t="s">
        <v>402</v>
      </c>
      <c r="M36" s="83">
        <v>42861</v>
      </c>
      <c r="N36" s="86">
        <v>270</v>
      </c>
      <c r="O36" s="6" t="s">
        <v>533</v>
      </c>
      <c r="P36" s="89">
        <v>42895</v>
      </c>
      <c r="Q36" s="60">
        <v>400</v>
      </c>
      <c r="R36" s="117" t="s">
        <v>649</v>
      </c>
      <c r="S36" s="67">
        <v>42925</v>
      </c>
      <c r="T36" s="68">
        <v>120</v>
      </c>
      <c r="U36" s="50" t="s">
        <v>699</v>
      </c>
      <c r="V36" s="125">
        <v>42953</v>
      </c>
      <c r="W36" s="73">
        <v>120</v>
      </c>
      <c r="X36" s="126" t="s">
        <v>795</v>
      </c>
      <c r="Y36" s="136">
        <v>42986</v>
      </c>
      <c r="Z36" s="92">
        <v>358</v>
      </c>
      <c r="AA36" s="137" t="s">
        <v>894</v>
      </c>
      <c r="AB36" s="76">
        <v>43019</v>
      </c>
      <c r="AC36" s="77">
        <v>1760</v>
      </c>
      <c r="AD36" s="145" t="s">
        <v>968</v>
      </c>
      <c r="AE36" s="80">
        <v>43051</v>
      </c>
      <c r="AF36" s="79">
        <v>149.1</v>
      </c>
      <c r="AG36" s="146" t="s">
        <v>1026</v>
      </c>
      <c r="AH36" s="190">
        <v>43076</v>
      </c>
      <c r="AI36" s="191">
        <v>65</v>
      </c>
      <c r="AJ36" s="192" t="s">
        <v>1113</v>
      </c>
    </row>
    <row r="37" spans="1:36" x14ac:dyDescent="0.25">
      <c r="A37" s="9">
        <v>42746</v>
      </c>
      <c r="B37" s="82">
        <v>200</v>
      </c>
      <c r="C37" s="7" t="s">
        <v>43</v>
      </c>
      <c r="D37" s="25">
        <v>42773</v>
      </c>
      <c r="E37" s="23">
        <v>110</v>
      </c>
      <c r="F37" s="71" t="s">
        <v>157</v>
      </c>
      <c r="G37" s="61">
        <v>42800</v>
      </c>
      <c r="H37" s="62">
        <v>200</v>
      </c>
      <c r="I37" s="63" t="s">
        <v>276</v>
      </c>
      <c r="J37" s="34">
        <v>42832</v>
      </c>
      <c r="K37" s="84">
        <v>3300</v>
      </c>
      <c r="L37" s="35" t="s">
        <v>403</v>
      </c>
      <c r="M37" s="83">
        <v>42861</v>
      </c>
      <c r="N37" s="86">
        <v>15050</v>
      </c>
      <c r="O37" s="6" t="s">
        <v>534</v>
      </c>
      <c r="P37" s="89">
        <v>42895</v>
      </c>
      <c r="Q37" s="60">
        <v>110</v>
      </c>
      <c r="R37" s="117" t="s">
        <v>650</v>
      </c>
      <c r="S37" s="67">
        <v>42925</v>
      </c>
      <c r="T37" s="68">
        <v>150</v>
      </c>
      <c r="U37" s="50" t="s">
        <v>718</v>
      </c>
      <c r="V37" s="125">
        <v>42953</v>
      </c>
      <c r="W37" s="73">
        <v>150</v>
      </c>
      <c r="X37" s="126" t="s">
        <v>796</v>
      </c>
      <c r="Y37" s="136">
        <v>42987</v>
      </c>
      <c r="Z37" s="92">
        <v>145</v>
      </c>
      <c r="AA37" s="137" t="s">
        <v>891</v>
      </c>
      <c r="AB37" s="76">
        <v>43019</v>
      </c>
      <c r="AC37" s="77">
        <v>1300</v>
      </c>
      <c r="AD37" s="144" t="s">
        <v>969</v>
      </c>
      <c r="AE37" s="80">
        <v>43052</v>
      </c>
      <c r="AF37" s="79">
        <v>300</v>
      </c>
      <c r="AG37" s="146" t="s">
        <v>1037</v>
      </c>
      <c r="AH37" s="190">
        <v>43076</v>
      </c>
      <c r="AI37" s="191">
        <v>202.5</v>
      </c>
      <c r="AJ37" s="192" t="s">
        <v>1114</v>
      </c>
    </row>
    <row r="38" spans="1:36" x14ac:dyDescent="0.25">
      <c r="A38" s="9">
        <v>42746</v>
      </c>
      <c r="B38" s="82">
        <v>350</v>
      </c>
      <c r="C38" s="7" t="s">
        <v>44</v>
      </c>
      <c r="D38" s="25">
        <v>42774</v>
      </c>
      <c r="E38" s="23">
        <v>326.39999999999998</v>
      </c>
      <c r="F38" s="5" t="s">
        <v>158</v>
      </c>
      <c r="G38" s="61">
        <v>42800</v>
      </c>
      <c r="H38" s="62">
        <v>380</v>
      </c>
      <c r="I38" s="63" t="s">
        <v>277</v>
      </c>
      <c r="J38" s="34">
        <v>42834</v>
      </c>
      <c r="K38" s="84">
        <v>150</v>
      </c>
      <c r="L38" s="35" t="s">
        <v>404</v>
      </c>
      <c r="M38" s="83">
        <v>42861</v>
      </c>
      <c r="N38" s="86">
        <v>150</v>
      </c>
      <c r="O38" s="6" t="s">
        <v>535</v>
      </c>
      <c r="P38" s="89">
        <v>42895</v>
      </c>
      <c r="Q38" s="60">
        <v>148</v>
      </c>
      <c r="R38" s="117" t="s">
        <v>651</v>
      </c>
      <c r="S38" s="67">
        <v>42926</v>
      </c>
      <c r="T38" s="68">
        <v>400</v>
      </c>
      <c r="U38" s="50" t="s">
        <v>719</v>
      </c>
      <c r="V38" s="125">
        <v>42953</v>
      </c>
      <c r="W38" s="73">
        <v>146.4</v>
      </c>
      <c r="X38" s="126" t="s">
        <v>797</v>
      </c>
      <c r="Y38" s="136">
        <v>42988</v>
      </c>
      <c r="Z38" s="92">
        <v>155</v>
      </c>
      <c r="AA38" s="137" t="s">
        <v>875</v>
      </c>
      <c r="AB38" s="76">
        <v>43020</v>
      </c>
      <c r="AC38" s="77">
        <v>15100</v>
      </c>
      <c r="AD38" s="52" t="s">
        <v>975</v>
      </c>
      <c r="AE38" s="80">
        <v>43052</v>
      </c>
      <c r="AF38" s="79">
        <v>172</v>
      </c>
      <c r="AG38" s="146" t="s">
        <v>1047</v>
      </c>
      <c r="AH38" s="190">
        <v>43076</v>
      </c>
      <c r="AI38" s="191">
        <v>300</v>
      </c>
      <c r="AJ38" s="192" t="s">
        <v>1097</v>
      </c>
    </row>
    <row r="39" spans="1:36" x14ac:dyDescent="0.25">
      <c r="A39" s="9">
        <v>42746</v>
      </c>
      <c r="B39" s="82">
        <v>1685</v>
      </c>
      <c r="C39" s="7" t="s">
        <v>45</v>
      </c>
      <c r="D39" s="25">
        <v>42774</v>
      </c>
      <c r="E39" s="23">
        <v>114</v>
      </c>
      <c r="F39" s="5" t="s">
        <v>160</v>
      </c>
      <c r="G39" s="61">
        <v>42801</v>
      </c>
      <c r="H39" s="62">
        <v>350</v>
      </c>
      <c r="I39" s="63" t="s">
        <v>278</v>
      </c>
      <c r="J39" s="34">
        <v>42834</v>
      </c>
      <c r="K39" s="84">
        <v>500</v>
      </c>
      <c r="L39" s="35" t="s">
        <v>405</v>
      </c>
      <c r="M39" s="83">
        <v>42861</v>
      </c>
      <c r="N39" s="86">
        <v>120</v>
      </c>
      <c r="O39" s="6" t="s">
        <v>536</v>
      </c>
      <c r="P39" s="89">
        <v>42895</v>
      </c>
      <c r="Q39" s="60">
        <v>1000</v>
      </c>
      <c r="R39" s="117" t="s">
        <v>652</v>
      </c>
      <c r="S39" s="67">
        <v>42926</v>
      </c>
      <c r="T39" s="68">
        <v>249</v>
      </c>
      <c r="U39" s="50" t="s">
        <v>720</v>
      </c>
      <c r="V39" s="125">
        <v>42954</v>
      </c>
      <c r="W39" s="73">
        <v>376.7</v>
      </c>
      <c r="X39" s="126" t="s">
        <v>798</v>
      </c>
      <c r="Y39" s="136">
        <v>42988</v>
      </c>
      <c r="Z39" s="92">
        <v>310</v>
      </c>
      <c r="AA39" s="137" t="s">
        <v>877</v>
      </c>
      <c r="AB39" s="142">
        <v>43021</v>
      </c>
      <c r="AC39" s="143">
        <v>92</v>
      </c>
      <c r="AD39" s="144" t="s">
        <v>976</v>
      </c>
      <c r="AE39" s="80">
        <v>43052</v>
      </c>
      <c r="AF39" s="79">
        <v>792</v>
      </c>
      <c r="AG39" s="146" t="s">
        <v>1048</v>
      </c>
      <c r="AH39" s="190">
        <v>43077</v>
      </c>
      <c r="AI39" s="191">
        <v>1250</v>
      </c>
      <c r="AJ39" s="192" t="s">
        <v>1115</v>
      </c>
    </row>
    <row r="40" spans="1:36" x14ac:dyDescent="0.25">
      <c r="A40" s="9">
        <v>42746</v>
      </c>
      <c r="B40" s="82">
        <v>1250</v>
      </c>
      <c r="C40" s="7" t="s">
        <v>46</v>
      </c>
      <c r="D40" s="25">
        <v>42774</v>
      </c>
      <c r="E40" s="23">
        <v>500</v>
      </c>
      <c r="F40" s="5" t="s">
        <v>159</v>
      </c>
      <c r="G40" s="61">
        <v>42802</v>
      </c>
      <c r="H40" s="62">
        <v>15050</v>
      </c>
      <c r="I40" s="63" t="s">
        <v>279</v>
      </c>
      <c r="J40" s="34">
        <v>41738</v>
      </c>
      <c r="K40" s="84">
        <v>150</v>
      </c>
      <c r="L40" s="35" t="s">
        <v>404</v>
      </c>
      <c r="M40" s="83">
        <v>42862</v>
      </c>
      <c r="N40" s="86">
        <v>94</v>
      </c>
      <c r="O40" s="6" t="s">
        <v>537</v>
      </c>
      <c r="P40" s="89">
        <v>42895</v>
      </c>
      <c r="Q40" s="60">
        <v>390</v>
      </c>
      <c r="R40" s="117" t="s">
        <v>653</v>
      </c>
      <c r="S40" s="67">
        <v>42926</v>
      </c>
      <c r="T40" s="68">
        <v>1290</v>
      </c>
      <c r="U40" s="50" t="s">
        <v>721</v>
      </c>
      <c r="V40" s="125">
        <v>42954</v>
      </c>
      <c r="W40" s="73">
        <v>5000</v>
      </c>
      <c r="X40" s="126" t="s">
        <v>799</v>
      </c>
      <c r="Y40" s="136">
        <v>42988</v>
      </c>
      <c r="Z40" s="92">
        <v>120</v>
      </c>
      <c r="AA40" s="137" t="s">
        <v>895</v>
      </c>
      <c r="AB40" s="142">
        <v>43021</v>
      </c>
      <c r="AC40" s="143">
        <v>1250</v>
      </c>
      <c r="AD40" s="144" t="s">
        <v>977</v>
      </c>
      <c r="AE40" s="80">
        <v>43052</v>
      </c>
      <c r="AF40" s="79">
        <v>136</v>
      </c>
      <c r="AG40" s="146" t="s">
        <v>1028</v>
      </c>
      <c r="AH40" s="190">
        <v>43077</v>
      </c>
      <c r="AI40" s="191">
        <v>139.5</v>
      </c>
      <c r="AJ40" s="192" t="s">
        <v>1103</v>
      </c>
    </row>
    <row r="41" spans="1:36" x14ac:dyDescent="0.25">
      <c r="A41" s="9">
        <v>42747</v>
      </c>
      <c r="B41" s="82">
        <v>200</v>
      </c>
      <c r="C41" s="7" t="s">
        <v>47</v>
      </c>
      <c r="D41" s="25">
        <v>42774</v>
      </c>
      <c r="E41" s="23">
        <v>240</v>
      </c>
      <c r="F41" s="5" t="s">
        <v>161</v>
      </c>
      <c r="G41" s="61">
        <v>42802</v>
      </c>
      <c r="H41" s="62">
        <v>400</v>
      </c>
      <c r="I41" s="65" t="s">
        <v>280</v>
      </c>
      <c r="J41" s="34">
        <v>42834</v>
      </c>
      <c r="K41" s="84">
        <v>120</v>
      </c>
      <c r="L41" s="37" t="s">
        <v>406</v>
      </c>
      <c r="M41" s="83">
        <v>42862</v>
      </c>
      <c r="N41" s="86">
        <v>400</v>
      </c>
      <c r="O41" s="6" t="s">
        <v>538</v>
      </c>
      <c r="P41" s="89">
        <v>42896</v>
      </c>
      <c r="Q41" s="60">
        <v>500</v>
      </c>
      <c r="R41" s="117" t="s">
        <v>654</v>
      </c>
      <c r="S41" s="67">
        <v>42926</v>
      </c>
      <c r="T41" s="68">
        <v>400</v>
      </c>
      <c r="U41" s="50" t="s">
        <v>722</v>
      </c>
      <c r="V41" s="125">
        <v>42954</v>
      </c>
      <c r="W41" s="73">
        <v>400</v>
      </c>
      <c r="X41" s="126" t="s">
        <v>800</v>
      </c>
      <c r="Y41" s="136">
        <v>42989</v>
      </c>
      <c r="Z41" s="92">
        <v>53</v>
      </c>
      <c r="AA41" s="137" t="s">
        <v>896</v>
      </c>
      <c r="AB41" s="142">
        <v>43021</v>
      </c>
      <c r="AC41" s="143">
        <v>31</v>
      </c>
      <c r="AD41" s="144" t="s">
        <v>978</v>
      </c>
      <c r="AE41" s="80">
        <v>43053</v>
      </c>
      <c r="AF41" s="79">
        <v>300</v>
      </c>
      <c r="AG41" s="146" t="s">
        <v>1037</v>
      </c>
      <c r="AH41" s="190">
        <v>43077</v>
      </c>
      <c r="AI41" s="191">
        <v>150</v>
      </c>
      <c r="AJ41" s="192" t="s">
        <v>431</v>
      </c>
    </row>
    <row r="42" spans="1:36" x14ac:dyDescent="0.25">
      <c r="A42" s="9">
        <v>42747</v>
      </c>
      <c r="B42" s="82">
        <v>250</v>
      </c>
      <c r="C42" s="7" t="s">
        <v>48</v>
      </c>
      <c r="D42" s="25">
        <v>42774</v>
      </c>
      <c r="E42" s="23">
        <v>800</v>
      </c>
      <c r="F42" s="5" t="s">
        <v>162</v>
      </c>
      <c r="G42" s="61">
        <v>42802</v>
      </c>
      <c r="H42" s="62">
        <v>350</v>
      </c>
      <c r="I42" s="63" t="s">
        <v>281</v>
      </c>
      <c r="J42" s="34">
        <v>42834</v>
      </c>
      <c r="K42" s="84">
        <v>184.5</v>
      </c>
      <c r="L42" s="37" t="s">
        <v>407</v>
      </c>
      <c r="M42" s="83">
        <v>42863</v>
      </c>
      <c r="N42" s="86">
        <v>310</v>
      </c>
      <c r="O42" s="6" t="s">
        <v>509</v>
      </c>
      <c r="P42" s="89">
        <v>42897</v>
      </c>
      <c r="Q42" s="60">
        <v>161.5</v>
      </c>
      <c r="R42" s="117" t="s">
        <v>537</v>
      </c>
      <c r="S42" s="67">
        <v>42926</v>
      </c>
      <c r="T42" s="68">
        <v>150</v>
      </c>
      <c r="U42" s="50" t="s">
        <v>723</v>
      </c>
      <c r="V42" s="125">
        <v>42954</v>
      </c>
      <c r="W42" s="73">
        <v>310</v>
      </c>
      <c r="X42" s="126" t="s">
        <v>801</v>
      </c>
      <c r="Y42" s="136">
        <v>42989</v>
      </c>
      <c r="Z42" s="92">
        <v>120</v>
      </c>
      <c r="AA42" s="137" t="s">
        <v>896</v>
      </c>
      <c r="AB42" s="142">
        <v>43022</v>
      </c>
      <c r="AC42" s="143">
        <v>100</v>
      </c>
      <c r="AD42" s="145" t="s">
        <v>979</v>
      </c>
      <c r="AE42" s="80">
        <v>43053</v>
      </c>
      <c r="AF42" s="79">
        <v>400</v>
      </c>
      <c r="AG42" s="146" t="s">
        <v>1049</v>
      </c>
      <c r="AH42" s="190">
        <v>43077</v>
      </c>
      <c r="AI42" s="191">
        <v>120</v>
      </c>
      <c r="AJ42" s="192" t="s">
        <v>1104</v>
      </c>
    </row>
    <row r="43" spans="1:36" x14ac:dyDescent="0.25">
      <c r="A43" s="9">
        <v>42747</v>
      </c>
      <c r="B43" s="82">
        <v>350</v>
      </c>
      <c r="C43" s="7" t="s">
        <v>51</v>
      </c>
      <c r="D43" s="25">
        <v>42775</v>
      </c>
      <c r="E43" s="23">
        <v>196</v>
      </c>
      <c r="F43" s="5" t="s">
        <v>166</v>
      </c>
      <c r="G43" s="61">
        <v>42802</v>
      </c>
      <c r="H43" s="62">
        <v>450</v>
      </c>
      <c r="I43" s="63" t="s">
        <v>282</v>
      </c>
      <c r="J43" s="34">
        <v>42835</v>
      </c>
      <c r="K43" s="84">
        <v>500</v>
      </c>
      <c r="L43" s="37" t="s">
        <v>401</v>
      </c>
      <c r="M43" s="83">
        <v>42863</v>
      </c>
      <c r="N43" s="86">
        <v>104</v>
      </c>
      <c r="O43" s="6" t="s">
        <v>539</v>
      </c>
      <c r="P43" s="89">
        <v>42897</v>
      </c>
      <c r="Q43" s="60">
        <v>150</v>
      </c>
      <c r="R43" s="117" t="s">
        <v>431</v>
      </c>
      <c r="S43" s="67">
        <v>42926</v>
      </c>
      <c r="T43" s="68">
        <v>360</v>
      </c>
      <c r="U43" s="50" t="s">
        <v>724</v>
      </c>
      <c r="V43" s="125">
        <v>42954</v>
      </c>
      <c r="W43" s="73">
        <v>350</v>
      </c>
      <c r="X43" s="126" t="s">
        <v>802</v>
      </c>
      <c r="Y43" s="136">
        <v>42990</v>
      </c>
      <c r="Z43" s="92">
        <v>1760</v>
      </c>
      <c r="AA43" s="93" t="s">
        <v>970</v>
      </c>
      <c r="AB43" s="142">
        <v>43022</v>
      </c>
      <c r="AC43" s="143">
        <v>1000</v>
      </c>
      <c r="AD43" s="145" t="s">
        <v>980</v>
      </c>
      <c r="AE43" s="80">
        <v>43053</v>
      </c>
      <c r="AF43" s="79">
        <v>200</v>
      </c>
      <c r="AG43" s="146" t="s">
        <v>1050</v>
      </c>
      <c r="AH43" s="190">
        <v>43080</v>
      </c>
      <c r="AI43" s="191">
        <v>105</v>
      </c>
      <c r="AJ43" s="193" t="s">
        <v>791</v>
      </c>
    </row>
    <row r="44" spans="1:36" x14ac:dyDescent="0.25">
      <c r="A44" s="9">
        <v>42747</v>
      </c>
      <c r="B44" s="82">
        <v>540</v>
      </c>
      <c r="C44" s="7" t="s">
        <v>52</v>
      </c>
      <c r="D44" s="25">
        <v>42775</v>
      </c>
      <c r="E44" s="23">
        <v>196</v>
      </c>
      <c r="F44" s="5" t="s">
        <v>167</v>
      </c>
      <c r="G44" s="61">
        <v>42802</v>
      </c>
      <c r="H44" s="62">
        <v>350</v>
      </c>
      <c r="I44" s="63" t="s">
        <v>192</v>
      </c>
      <c r="J44" s="34">
        <v>42835</v>
      </c>
      <c r="K44" s="84">
        <v>150</v>
      </c>
      <c r="L44" s="35" t="s">
        <v>415</v>
      </c>
      <c r="M44" s="83">
        <v>42863</v>
      </c>
      <c r="N44" s="86">
        <v>300</v>
      </c>
      <c r="O44" s="6" t="s">
        <v>540</v>
      </c>
      <c r="P44" s="89">
        <v>42897</v>
      </c>
      <c r="Q44" s="60">
        <v>120</v>
      </c>
      <c r="R44" s="117" t="s">
        <v>16</v>
      </c>
      <c r="S44" s="67">
        <v>42926</v>
      </c>
      <c r="T44" s="68">
        <v>300</v>
      </c>
      <c r="U44" s="50" t="s">
        <v>725</v>
      </c>
      <c r="V44" s="125">
        <v>42954</v>
      </c>
      <c r="W44" s="73">
        <v>150</v>
      </c>
      <c r="X44" s="127" t="s">
        <v>803</v>
      </c>
      <c r="Y44" s="136">
        <v>42990</v>
      </c>
      <c r="Z44" s="92">
        <v>1300</v>
      </c>
      <c r="AA44" s="137" t="s">
        <v>971</v>
      </c>
      <c r="AB44" s="142">
        <v>43022</v>
      </c>
      <c r="AC44" s="143">
        <v>400</v>
      </c>
      <c r="AD44" s="145" t="s">
        <v>981</v>
      </c>
      <c r="AE44" s="80">
        <v>43053</v>
      </c>
      <c r="AF44" s="79">
        <v>200</v>
      </c>
      <c r="AG44" s="146" t="s">
        <v>1045</v>
      </c>
      <c r="AH44" s="190">
        <v>43080</v>
      </c>
      <c r="AI44" s="191">
        <v>1100</v>
      </c>
      <c r="AJ44" s="193" t="s">
        <v>1123</v>
      </c>
    </row>
    <row r="45" spans="1:36" x14ac:dyDescent="0.25">
      <c r="A45" s="9">
        <v>42747</v>
      </c>
      <c r="B45" s="82">
        <v>50.9</v>
      </c>
      <c r="C45" s="7" t="s">
        <v>55</v>
      </c>
      <c r="D45" s="25">
        <v>42776</v>
      </c>
      <c r="E45" s="23">
        <v>1000</v>
      </c>
      <c r="F45" s="5" t="s">
        <v>163</v>
      </c>
      <c r="G45" s="61">
        <v>42802</v>
      </c>
      <c r="H45" s="62">
        <v>350</v>
      </c>
      <c r="I45" s="65" t="s">
        <v>283</v>
      </c>
      <c r="J45" s="34">
        <v>42835</v>
      </c>
      <c r="K45" s="84">
        <v>320</v>
      </c>
      <c r="L45" s="35" t="s">
        <v>378</v>
      </c>
      <c r="M45" s="83">
        <v>42863</v>
      </c>
      <c r="N45" s="86">
        <v>300</v>
      </c>
      <c r="O45" s="6" t="s">
        <v>541</v>
      </c>
      <c r="P45" s="89">
        <v>42897</v>
      </c>
      <c r="Q45" s="60">
        <v>400</v>
      </c>
      <c r="R45" s="117" t="s">
        <v>655</v>
      </c>
      <c r="S45" s="67">
        <v>42927</v>
      </c>
      <c r="T45" s="68">
        <v>913</v>
      </c>
      <c r="U45" s="50" t="s">
        <v>726</v>
      </c>
      <c r="V45" s="125">
        <v>42954</v>
      </c>
      <c r="W45" s="73">
        <v>250</v>
      </c>
      <c r="X45" s="127" t="s">
        <v>804</v>
      </c>
      <c r="Y45" s="136">
        <v>42990</v>
      </c>
      <c r="Z45" s="92">
        <v>60</v>
      </c>
      <c r="AA45" s="93" t="s">
        <v>897</v>
      </c>
      <c r="AB45" s="142">
        <v>43022</v>
      </c>
      <c r="AC45" s="143">
        <v>300</v>
      </c>
      <c r="AD45" s="145" t="s">
        <v>982</v>
      </c>
      <c r="AE45" s="80">
        <v>43053</v>
      </c>
      <c r="AF45" s="79">
        <v>1250</v>
      </c>
      <c r="AG45" s="146" t="s">
        <v>1051</v>
      </c>
      <c r="AH45" s="190">
        <v>42779</v>
      </c>
      <c r="AI45" s="194">
        <v>1760</v>
      </c>
      <c r="AJ45" s="193" t="s">
        <v>1116</v>
      </c>
    </row>
    <row r="46" spans="1:36" x14ac:dyDescent="0.25">
      <c r="A46" s="9">
        <v>42747</v>
      </c>
      <c r="B46" s="82">
        <v>1000</v>
      </c>
      <c r="C46" s="7" t="s">
        <v>53</v>
      </c>
      <c r="D46" s="25">
        <v>42775</v>
      </c>
      <c r="E46" s="23">
        <v>200</v>
      </c>
      <c r="F46" s="5" t="s">
        <v>168</v>
      </c>
      <c r="G46" s="61">
        <v>42803</v>
      </c>
      <c r="H46" s="62">
        <v>800</v>
      </c>
      <c r="I46" s="65" t="s">
        <v>284</v>
      </c>
      <c r="J46" s="34">
        <v>42835</v>
      </c>
      <c r="K46" s="84">
        <v>400</v>
      </c>
      <c r="L46" s="35" t="s">
        <v>408</v>
      </c>
      <c r="M46" s="83">
        <v>42863</v>
      </c>
      <c r="N46" s="86">
        <v>220</v>
      </c>
      <c r="O46" s="91" t="s">
        <v>542</v>
      </c>
      <c r="P46" s="89">
        <v>42898</v>
      </c>
      <c r="Q46" s="60">
        <v>61.5</v>
      </c>
      <c r="R46" s="117" t="s">
        <v>656</v>
      </c>
      <c r="S46" s="67">
        <v>42927</v>
      </c>
      <c r="T46" s="68">
        <v>1760</v>
      </c>
      <c r="U46" s="50" t="s">
        <v>727</v>
      </c>
      <c r="V46" s="125">
        <v>42954</v>
      </c>
      <c r="W46" s="73">
        <v>200</v>
      </c>
      <c r="X46" s="127" t="s">
        <v>805</v>
      </c>
      <c r="Y46" s="136">
        <v>42990</v>
      </c>
      <c r="Z46" s="92">
        <v>300</v>
      </c>
      <c r="AA46" s="93" t="s">
        <v>898</v>
      </c>
      <c r="AB46" s="142">
        <v>43023</v>
      </c>
      <c r="AC46" s="143">
        <v>350</v>
      </c>
      <c r="AD46" s="145" t="s">
        <v>983</v>
      </c>
      <c r="AE46" s="80">
        <v>43054</v>
      </c>
      <c r="AF46" s="79">
        <v>350</v>
      </c>
      <c r="AG46" s="146" t="s">
        <v>1052</v>
      </c>
      <c r="AH46" s="190">
        <v>42779</v>
      </c>
      <c r="AI46" s="194">
        <v>2600.7199999999998</v>
      </c>
      <c r="AJ46" s="192" t="s">
        <v>1117</v>
      </c>
    </row>
    <row r="47" spans="1:36" x14ac:dyDescent="0.25">
      <c r="A47" s="9">
        <v>42747</v>
      </c>
      <c r="B47" s="82">
        <v>90</v>
      </c>
      <c r="C47" s="7" t="s">
        <v>54</v>
      </c>
      <c r="D47" s="25">
        <v>42775</v>
      </c>
      <c r="E47" s="23">
        <v>2200</v>
      </c>
      <c r="F47" s="5" t="s">
        <v>169</v>
      </c>
      <c r="G47" s="61">
        <v>42803</v>
      </c>
      <c r="H47" s="62">
        <v>786</v>
      </c>
      <c r="I47" s="63" t="s">
        <v>285</v>
      </c>
      <c r="J47" s="34">
        <v>42836</v>
      </c>
      <c r="K47" s="84">
        <v>800</v>
      </c>
      <c r="L47" s="35" t="s">
        <v>409</v>
      </c>
      <c r="M47" s="83">
        <v>42863</v>
      </c>
      <c r="N47" s="86">
        <v>500</v>
      </c>
      <c r="O47" s="6" t="s">
        <v>543</v>
      </c>
      <c r="P47" s="89">
        <v>42898</v>
      </c>
      <c r="Q47" s="60">
        <v>310</v>
      </c>
      <c r="R47" s="117" t="s">
        <v>657</v>
      </c>
      <c r="S47" s="67">
        <v>42927</v>
      </c>
      <c r="T47" s="68">
        <v>1300</v>
      </c>
      <c r="U47" s="50" t="s">
        <v>974</v>
      </c>
      <c r="V47" s="125">
        <v>42954</v>
      </c>
      <c r="W47" s="73">
        <v>450</v>
      </c>
      <c r="X47" s="127" t="s">
        <v>806</v>
      </c>
      <c r="Y47" s="136">
        <v>42991</v>
      </c>
      <c r="Z47" s="92">
        <v>75.12</v>
      </c>
      <c r="AA47" s="93" t="s">
        <v>899</v>
      </c>
      <c r="AB47" s="142">
        <v>43023</v>
      </c>
      <c r="AC47" s="143">
        <v>450</v>
      </c>
      <c r="AD47" s="145" t="s">
        <v>984</v>
      </c>
      <c r="AE47" s="80">
        <v>43054</v>
      </c>
      <c r="AF47" s="79">
        <v>450</v>
      </c>
      <c r="AG47" s="95" t="s">
        <v>1053</v>
      </c>
      <c r="AH47" s="190">
        <v>43082</v>
      </c>
      <c r="AI47" s="191">
        <v>328.4</v>
      </c>
      <c r="AJ47" s="195" t="s">
        <v>1118</v>
      </c>
    </row>
    <row r="48" spans="1:36" x14ac:dyDescent="0.25">
      <c r="A48" s="9">
        <v>42748</v>
      </c>
      <c r="B48" s="82">
        <v>500</v>
      </c>
      <c r="C48" s="7" t="s">
        <v>56</v>
      </c>
      <c r="D48" s="25">
        <v>42776</v>
      </c>
      <c r="E48" s="23">
        <v>500</v>
      </c>
      <c r="F48" s="5" t="s">
        <v>170</v>
      </c>
      <c r="G48" s="61">
        <v>42804</v>
      </c>
      <c r="H48" s="62">
        <v>310</v>
      </c>
      <c r="I48" s="63" t="s">
        <v>286</v>
      </c>
      <c r="J48" s="34">
        <v>42836</v>
      </c>
      <c r="K48" s="84">
        <v>500</v>
      </c>
      <c r="L48" s="35" t="s">
        <v>410</v>
      </c>
      <c r="M48" s="83">
        <v>42863</v>
      </c>
      <c r="N48" s="86">
        <v>540</v>
      </c>
      <c r="O48" s="6" t="s">
        <v>544</v>
      </c>
      <c r="P48" s="89">
        <v>42898</v>
      </c>
      <c r="Q48" s="60">
        <v>200</v>
      </c>
      <c r="R48" s="117" t="s">
        <v>658</v>
      </c>
      <c r="S48" s="67">
        <v>42927</v>
      </c>
      <c r="T48" s="68">
        <v>1770</v>
      </c>
      <c r="U48" s="50" t="s">
        <v>728</v>
      </c>
      <c r="V48" s="125">
        <v>42954</v>
      </c>
      <c r="W48" s="73">
        <v>350</v>
      </c>
      <c r="X48" s="127" t="s">
        <v>807</v>
      </c>
      <c r="Y48" s="136">
        <v>42991</v>
      </c>
      <c r="Z48" s="92">
        <v>21</v>
      </c>
      <c r="AA48" s="93" t="s">
        <v>900</v>
      </c>
      <c r="AB48" s="142">
        <v>43023</v>
      </c>
      <c r="AC48" s="143">
        <v>4000</v>
      </c>
      <c r="AD48" s="144" t="s">
        <v>985</v>
      </c>
      <c r="AE48" s="80">
        <v>43054</v>
      </c>
      <c r="AF48" s="79">
        <v>4000</v>
      </c>
      <c r="AG48" s="146" t="s">
        <v>1054</v>
      </c>
      <c r="AH48" s="190">
        <v>43082</v>
      </c>
      <c r="AI48" s="191">
        <v>270</v>
      </c>
      <c r="AJ48" s="192" t="s">
        <v>1119</v>
      </c>
    </row>
    <row r="49" spans="1:36" x14ac:dyDescent="0.25">
      <c r="A49" s="9">
        <v>42748</v>
      </c>
      <c r="B49" s="82">
        <v>500</v>
      </c>
      <c r="C49" s="7" t="s">
        <v>57</v>
      </c>
      <c r="D49" s="25">
        <v>42776</v>
      </c>
      <c r="E49" s="23">
        <v>170</v>
      </c>
      <c r="F49" s="5" t="s">
        <v>171</v>
      </c>
      <c r="G49" s="61">
        <v>42804</v>
      </c>
      <c r="H49" s="62">
        <v>5</v>
      </c>
      <c r="I49" s="65" t="s">
        <v>288</v>
      </c>
      <c r="J49" s="34">
        <v>42836</v>
      </c>
      <c r="K49" s="84">
        <v>100</v>
      </c>
      <c r="L49" s="35" t="s">
        <v>207</v>
      </c>
      <c r="M49" s="83">
        <v>42864</v>
      </c>
      <c r="N49" s="86">
        <v>62</v>
      </c>
      <c r="O49" s="6" t="s">
        <v>545</v>
      </c>
      <c r="P49" s="89">
        <v>42899</v>
      </c>
      <c r="Q49" s="60">
        <v>700</v>
      </c>
      <c r="R49" s="117" t="s">
        <v>659</v>
      </c>
      <c r="S49" s="67">
        <v>42927</v>
      </c>
      <c r="T49" s="68">
        <v>100</v>
      </c>
      <c r="U49" s="50" t="s">
        <v>729</v>
      </c>
      <c r="V49" s="72">
        <v>42954</v>
      </c>
      <c r="W49" s="73">
        <v>300</v>
      </c>
      <c r="X49" s="127" t="s">
        <v>808</v>
      </c>
      <c r="Y49" s="136">
        <v>42991</v>
      </c>
      <c r="Z49" s="92">
        <v>141</v>
      </c>
      <c r="AA49" s="93" t="s">
        <v>901</v>
      </c>
      <c r="AB49" s="142">
        <v>43023</v>
      </c>
      <c r="AC49" s="143">
        <v>1000</v>
      </c>
      <c r="AD49" s="144" t="s">
        <v>986</v>
      </c>
      <c r="AE49" s="80">
        <v>43054</v>
      </c>
      <c r="AF49" s="79">
        <v>1000</v>
      </c>
      <c r="AG49" s="146" t="s">
        <v>1055</v>
      </c>
      <c r="AH49" s="190">
        <v>43082</v>
      </c>
      <c r="AI49" s="191">
        <v>189</v>
      </c>
      <c r="AJ49" s="196" t="s">
        <v>1120</v>
      </c>
    </row>
    <row r="50" spans="1:36" x14ac:dyDescent="0.25">
      <c r="A50" s="9">
        <v>42750</v>
      </c>
      <c r="B50" s="82">
        <v>350</v>
      </c>
      <c r="C50" s="7" t="s">
        <v>58</v>
      </c>
      <c r="D50" s="25">
        <v>42778</v>
      </c>
      <c r="E50" s="23">
        <v>60</v>
      </c>
      <c r="F50" s="5" t="s">
        <v>172</v>
      </c>
      <c r="G50" s="61">
        <v>42804</v>
      </c>
      <c r="H50" s="62">
        <v>339</v>
      </c>
      <c r="I50" s="63" t="s">
        <v>289</v>
      </c>
      <c r="J50" s="34">
        <v>42836</v>
      </c>
      <c r="K50" s="84">
        <v>57</v>
      </c>
      <c r="L50" s="35" t="s">
        <v>411</v>
      </c>
      <c r="M50" s="83">
        <v>42864</v>
      </c>
      <c r="N50" s="86">
        <v>140.5</v>
      </c>
      <c r="O50" s="6" t="s">
        <v>546</v>
      </c>
      <c r="P50" s="89">
        <v>42899</v>
      </c>
      <c r="Q50" s="60">
        <v>200</v>
      </c>
      <c r="R50" s="117" t="s">
        <v>660</v>
      </c>
      <c r="S50" s="67">
        <v>42929</v>
      </c>
      <c r="T50" s="68">
        <v>200</v>
      </c>
      <c r="U50" s="50" t="s">
        <v>730</v>
      </c>
      <c r="V50" s="72">
        <v>42954</v>
      </c>
      <c r="W50" s="73">
        <v>1760</v>
      </c>
      <c r="X50" s="127" t="s">
        <v>972</v>
      </c>
      <c r="Y50" s="136">
        <v>42991</v>
      </c>
      <c r="Z50" s="92">
        <v>114.38</v>
      </c>
      <c r="AA50" s="93" t="s">
        <v>902</v>
      </c>
      <c r="AB50" s="142">
        <v>43023</v>
      </c>
      <c r="AC50" s="143">
        <v>120</v>
      </c>
      <c r="AD50" s="144" t="s">
        <v>16</v>
      </c>
      <c r="AE50" s="80">
        <v>43054</v>
      </c>
      <c r="AF50" s="79">
        <v>100</v>
      </c>
      <c r="AG50" s="95" t="s">
        <v>1056</v>
      </c>
      <c r="AH50" s="190">
        <v>43082</v>
      </c>
      <c r="AI50" s="191">
        <v>386</v>
      </c>
      <c r="AJ50" s="193" t="s">
        <v>1121</v>
      </c>
    </row>
    <row r="51" spans="1:36" x14ac:dyDescent="0.25">
      <c r="A51" s="9">
        <v>42750</v>
      </c>
      <c r="B51" s="82">
        <v>450</v>
      </c>
      <c r="C51" s="7" t="s">
        <v>59</v>
      </c>
      <c r="D51" s="25">
        <v>42778</v>
      </c>
      <c r="E51" s="23">
        <v>120</v>
      </c>
      <c r="F51" s="5" t="s">
        <v>173</v>
      </c>
      <c r="G51" s="61">
        <v>42804</v>
      </c>
      <c r="H51" s="62">
        <v>3600</v>
      </c>
      <c r="I51" s="63" t="s">
        <v>290</v>
      </c>
      <c r="J51" s="34">
        <v>42836</v>
      </c>
      <c r="K51" s="84">
        <v>700</v>
      </c>
      <c r="L51" s="35" t="s">
        <v>412</v>
      </c>
      <c r="M51" s="83">
        <v>42864</v>
      </c>
      <c r="N51" s="86">
        <v>650</v>
      </c>
      <c r="O51" s="6" t="s">
        <v>547</v>
      </c>
      <c r="P51" s="89">
        <v>42899</v>
      </c>
      <c r="Q51" s="60">
        <v>400</v>
      </c>
      <c r="R51" s="117" t="s">
        <v>681</v>
      </c>
      <c r="S51" s="67">
        <v>42929</v>
      </c>
      <c r="T51" s="68">
        <v>120</v>
      </c>
      <c r="U51" s="50" t="s">
        <v>731</v>
      </c>
      <c r="V51" s="72">
        <v>42954</v>
      </c>
      <c r="W51" s="73">
        <v>1300</v>
      </c>
      <c r="X51" s="126" t="s">
        <v>973</v>
      </c>
      <c r="Y51" s="136">
        <v>42992</v>
      </c>
      <c r="Z51" s="92">
        <v>778</v>
      </c>
      <c r="AA51" s="93" t="s">
        <v>903</v>
      </c>
      <c r="AB51" s="142">
        <v>42840</v>
      </c>
      <c r="AC51" s="143">
        <v>25</v>
      </c>
      <c r="AD51" s="144" t="s">
        <v>987</v>
      </c>
      <c r="AE51" s="80">
        <v>43054</v>
      </c>
      <c r="AF51" s="79">
        <v>15000</v>
      </c>
      <c r="AG51" s="146" t="s">
        <v>1057</v>
      </c>
      <c r="AH51" s="190">
        <v>43082</v>
      </c>
      <c r="AI51" s="191">
        <v>375</v>
      </c>
      <c r="AJ51" s="192" t="s">
        <v>1122</v>
      </c>
    </row>
    <row r="52" spans="1:36" x14ac:dyDescent="0.25">
      <c r="A52" s="9">
        <v>42750</v>
      </c>
      <c r="B52" s="82">
        <v>150</v>
      </c>
      <c r="C52" s="7" t="s">
        <v>19</v>
      </c>
      <c r="D52" s="25">
        <v>42778</v>
      </c>
      <c r="E52" s="23">
        <v>150</v>
      </c>
      <c r="F52" s="5" t="s">
        <v>164</v>
      </c>
      <c r="G52" s="61">
        <v>42804</v>
      </c>
      <c r="H52" s="62">
        <v>1000</v>
      </c>
      <c r="I52" s="63" t="s">
        <v>291</v>
      </c>
      <c r="J52" s="34">
        <v>42836</v>
      </c>
      <c r="K52" s="84">
        <v>1760</v>
      </c>
      <c r="L52" s="35" t="s">
        <v>413</v>
      </c>
      <c r="M52" s="83">
        <v>42864</v>
      </c>
      <c r="N52" s="86">
        <v>400</v>
      </c>
      <c r="O52" s="6" t="s">
        <v>548</v>
      </c>
      <c r="P52" s="89">
        <v>42899</v>
      </c>
      <c r="Q52" s="60">
        <v>149</v>
      </c>
      <c r="R52" s="117" t="s">
        <v>661</v>
      </c>
      <c r="S52" s="67">
        <v>42929</v>
      </c>
      <c r="T52" s="68">
        <v>5000</v>
      </c>
      <c r="U52" s="50" t="s">
        <v>733</v>
      </c>
      <c r="V52" s="72">
        <v>42954</v>
      </c>
      <c r="W52" s="73">
        <v>3600</v>
      </c>
      <c r="X52" s="127" t="s">
        <v>809</v>
      </c>
      <c r="Y52" s="136">
        <v>42992</v>
      </c>
      <c r="Z52" s="92">
        <v>33</v>
      </c>
      <c r="AA52" s="137" t="s">
        <v>904</v>
      </c>
      <c r="AB52" s="142">
        <v>42840</v>
      </c>
      <c r="AC52" s="143">
        <v>128</v>
      </c>
      <c r="AD52" s="145" t="s">
        <v>875</v>
      </c>
      <c r="AE52" s="80">
        <v>43054</v>
      </c>
      <c r="AF52" s="79">
        <v>200</v>
      </c>
      <c r="AG52" s="147" t="s">
        <v>1058</v>
      </c>
      <c r="AH52" s="190">
        <v>43083</v>
      </c>
      <c r="AI52" s="191">
        <v>340</v>
      </c>
      <c r="AJ52" s="192" t="s">
        <v>1098</v>
      </c>
    </row>
    <row r="53" spans="1:36" x14ac:dyDescent="0.25">
      <c r="A53" s="9">
        <v>42750</v>
      </c>
      <c r="B53" s="82">
        <v>500</v>
      </c>
      <c r="C53" s="7" t="s">
        <v>60</v>
      </c>
      <c r="D53" s="25">
        <v>42779</v>
      </c>
      <c r="E53" s="23">
        <v>100.2</v>
      </c>
      <c r="F53" s="5" t="s">
        <v>174</v>
      </c>
      <c r="G53" s="61">
        <v>42805</v>
      </c>
      <c r="H53" s="62">
        <v>500</v>
      </c>
      <c r="I53" s="63" t="s">
        <v>292</v>
      </c>
      <c r="J53" s="34">
        <v>42836</v>
      </c>
      <c r="K53" s="84">
        <v>1300</v>
      </c>
      <c r="L53" s="35" t="s">
        <v>414</v>
      </c>
      <c r="M53" s="83">
        <v>42864</v>
      </c>
      <c r="N53" s="86">
        <v>600</v>
      </c>
      <c r="O53" s="115" t="s">
        <v>549</v>
      </c>
      <c r="P53" s="89">
        <v>42900</v>
      </c>
      <c r="Q53" s="60">
        <v>379</v>
      </c>
      <c r="R53" s="118" t="s">
        <v>662</v>
      </c>
      <c r="S53" s="67">
        <v>42929</v>
      </c>
      <c r="T53" s="68">
        <v>25100</v>
      </c>
      <c r="U53" s="50" t="s">
        <v>732</v>
      </c>
      <c r="V53" s="72">
        <v>42957</v>
      </c>
      <c r="W53" s="73">
        <v>2117</v>
      </c>
      <c r="X53" s="126" t="s">
        <v>810</v>
      </c>
      <c r="Y53" s="136">
        <v>42992</v>
      </c>
      <c r="Z53" s="92">
        <v>350</v>
      </c>
      <c r="AA53" s="93" t="s">
        <v>905</v>
      </c>
      <c r="AB53" s="142">
        <v>43023</v>
      </c>
      <c r="AC53" s="143">
        <v>15000</v>
      </c>
      <c r="AD53" s="144" t="s">
        <v>988</v>
      </c>
      <c r="AE53" s="78">
        <v>43054</v>
      </c>
      <c r="AF53" s="79">
        <v>7500</v>
      </c>
      <c r="AG53" s="55" t="s">
        <v>1059</v>
      </c>
      <c r="AH53" s="190">
        <v>43083</v>
      </c>
      <c r="AI53" s="191">
        <v>200</v>
      </c>
      <c r="AJ53" s="192" t="s">
        <v>1096</v>
      </c>
    </row>
    <row r="54" spans="1:36" x14ac:dyDescent="0.25">
      <c r="A54" s="9" t="s">
        <v>61</v>
      </c>
      <c r="B54" s="82">
        <v>120</v>
      </c>
      <c r="C54" s="7" t="s">
        <v>62</v>
      </c>
      <c r="D54" s="25">
        <v>42779</v>
      </c>
      <c r="E54" s="23">
        <v>300</v>
      </c>
      <c r="F54" s="5" t="s">
        <v>175</v>
      </c>
      <c r="G54" s="61">
        <v>42805</v>
      </c>
      <c r="H54" s="62">
        <v>230</v>
      </c>
      <c r="I54" s="63" t="s">
        <v>293</v>
      </c>
      <c r="J54" s="34">
        <v>42837</v>
      </c>
      <c r="K54" s="84">
        <v>350</v>
      </c>
      <c r="L54" s="39" t="s">
        <v>416</v>
      </c>
      <c r="M54" s="83">
        <v>42864</v>
      </c>
      <c r="N54" s="86">
        <v>145</v>
      </c>
      <c r="O54" s="6" t="s">
        <v>550</v>
      </c>
      <c r="P54" s="89">
        <v>42900</v>
      </c>
      <c r="Q54" s="60">
        <v>77</v>
      </c>
      <c r="R54" s="118" t="s">
        <v>663</v>
      </c>
      <c r="S54" s="67">
        <v>42929</v>
      </c>
      <c r="T54" s="68">
        <v>500</v>
      </c>
      <c r="U54" s="50" t="s">
        <v>740</v>
      </c>
      <c r="V54" s="72">
        <v>42957</v>
      </c>
      <c r="W54" s="73">
        <v>200</v>
      </c>
      <c r="X54" s="126" t="s">
        <v>811</v>
      </c>
      <c r="Y54" s="136">
        <v>42992</v>
      </c>
      <c r="Z54" s="92">
        <v>180</v>
      </c>
      <c r="AA54" s="137" t="s">
        <v>906</v>
      </c>
      <c r="AB54" s="142">
        <v>43024</v>
      </c>
      <c r="AC54" s="143">
        <v>195</v>
      </c>
      <c r="AD54" s="144" t="s">
        <v>989</v>
      </c>
      <c r="AE54" s="78">
        <v>43054</v>
      </c>
      <c r="AF54" s="79">
        <v>140</v>
      </c>
      <c r="AG54" s="55" t="s">
        <v>1060</v>
      </c>
      <c r="AH54" s="190">
        <v>43083</v>
      </c>
      <c r="AI54" s="191">
        <v>778</v>
      </c>
      <c r="AJ54" s="192" t="s">
        <v>1124</v>
      </c>
    </row>
    <row r="55" spans="1:36" x14ac:dyDescent="0.25">
      <c r="A55" s="9">
        <v>42750</v>
      </c>
      <c r="B55" s="82">
        <v>115</v>
      </c>
      <c r="C55" s="7" t="s">
        <v>18</v>
      </c>
      <c r="D55" s="25">
        <v>42779</v>
      </c>
      <c r="E55" s="23">
        <v>75</v>
      </c>
      <c r="F55" s="5" t="s">
        <v>177</v>
      </c>
      <c r="G55" s="61">
        <v>42806</v>
      </c>
      <c r="H55" s="62">
        <v>133</v>
      </c>
      <c r="I55" s="63" t="s">
        <v>294</v>
      </c>
      <c r="J55" s="34">
        <v>42837</v>
      </c>
      <c r="K55" s="84">
        <v>500</v>
      </c>
      <c r="L55" s="40" t="s">
        <v>417</v>
      </c>
      <c r="M55" s="83">
        <v>42864</v>
      </c>
      <c r="N55" s="86">
        <v>80.400000000000006</v>
      </c>
      <c r="O55" s="6" t="s">
        <v>551</v>
      </c>
      <c r="P55" s="89">
        <v>42900</v>
      </c>
      <c r="Q55" s="60">
        <v>100</v>
      </c>
      <c r="R55" s="118" t="s">
        <v>664</v>
      </c>
      <c r="S55" s="67">
        <v>42930</v>
      </c>
      <c r="T55" s="68">
        <v>1000</v>
      </c>
      <c r="U55" s="50" t="s">
        <v>734</v>
      </c>
      <c r="V55" s="72">
        <v>42957</v>
      </c>
      <c r="W55" s="73">
        <v>4</v>
      </c>
      <c r="X55" s="126" t="s">
        <v>812</v>
      </c>
      <c r="Y55" s="136">
        <v>42993</v>
      </c>
      <c r="Z55" s="92">
        <v>187</v>
      </c>
      <c r="AA55" s="137" t="s">
        <v>907</v>
      </c>
      <c r="AB55" s="142">
        <v>43025</v>
      </c>
      <c r="AC55" s="143">
        <v>50</v>
      </c>
      <c r="AD55" s="144" t="s">
        <v>990</v>
      </c>
      <c r="AE55" s="78">
        <v>43054</v>
      </c>
      <c r="AF55" s="79">
        <v>40</v>
      </c>
      <c r="AG55" s="55" t="s">
        <v>1061</v>
      </c>
      <c r="AH55" s="190">
        <v>43083</v>
      </c>
      <c r="AI55" s="191">
        <v>750</v>
      </c>
      <c r="AJ55" s="193" t="s">
        <v>1125</v>
      </c>
    </row>
    <row r="56" spans="1:36" x14ac:dyDescent="0.25">
      <c r="A56" s="9">
        <v>42750</v>
      </c>
      <c r="B56" s="82">
        <v>30100</v>
      </c>
      <c r="C56" s="7" t="s">
        <v>49</v>
      </c>
      <c r="D56" s="25">
        <v>42779</v>
      </c>
      <c r="E56" s="23">
        <v>310</v>
      </c>
      <c r="F56" s="5" t="s">
        <v>176</v>
      </c>
      <c r="G56" s="61">
        <v>42806</v>
      </c>
      <c r="H56" s="62">
        <v>120</v>
      </c>
      <c r="I56" s="63" t="s">
        <v>265</v>
      </c>
      <c r="J56" s="34">
        <v>42837</v>
      </c>
      <c r="K56" s="84">
        <v>200</v>
      </c>
      <c r="L56" s="39" t="s">
        <v>418</v>
      </c>
      <c r="M56" s="83">
        <v>42864</v>
      </c>
      <c r="N56" s="86">
        <v>200</v>
      </c>
      <c r="O56" s="6" t="s">
        <v>552</v>
      </c>
      <c r="P56" s="89">
        <v>42900</v>
      </c>
      <c r="Q56" s="60">
        <v>500</v>
      </c>
      <c r="R56" s="117" t="s">
        <v>665</v>
      </c>
      <c r="S56" s="67">
        <v>42931</v>
      </c>
      <c r="T56" s="68">
        <v>350</v>
      </c>
      <c r="U56" s="50" t="s">
        <v>735</v>
      </c>
      <c r="V56" s="72">
        <v>42957</v>
      </c>
      <c r="W56" s="73">
        <v>8000</v>
      </c>
      <c r="X56" s="126" t="s">
        <v>799</v>
      </c>
      <c r="Y56" s="136">
        <v>42993</v>
      </c>
      <c r="Z56" s="92">
        <v>75</v>
      </c>
      <c r="AA56" s="137" t="s">
        <v>908</v>
      </c>
      <c r="AB56" s="142">
        <v>43025</v>
      </c>
      <c r="AC56" s="143">
        <v>143.22999999999999</v>
      </c>
      <c r="AD56" s="145" t="s">
        <v>991</v>
      </c>
      <c r="AE56" s="78">
        <v>43055</v>
      </c>
      <c r="AF56" s="79">
        <v>2800</v>
      </c>
      <c r="AG56" s="95" t="s">
        <v>1062</v>
      </c>
      <c r="AH56" s="190">
        <v>43083</v>
      </c>
      <c r="AI56" s="191">
        <v>400</v>
      </c>
      <c r="AJ56" s="193" t="s">
        <v>1126</v>
      </c>
    </row>
    <row r="57" spans="1:36" x14ac:dyDescent="0.25">
      <c r="A57" s="9">
        <v>42750</v>
      </c>
      <c r="B57" s="82">
        <v>4000</v>
      </c>
      <c r="C57" s="7" t="s">
        <v>50</v>
      </c>
      <c r="D57" s="25">
        <v>42779</v>
      </c>
      <c r="E57" s="23">
        <v>180</v>
      </c>
      <c r="F57" s="5" t="s">
        <v>178</v>
      </c>
      <c r="G57" s="61">
        <v>42806</v>
      </c>
      <c r="H57" s="62">
        <v>150</v>
      </c>
      <c r="I57" s="63" t="s">
        <v>264</v>
      </c>
      <c r="J57" s="34">
        <v>42837</v>
      </c>
      <c r="K57" s="84">
        <v>400</v>
      </c>
      <c r="L57" s="39" t="s">
        <v>419</v>
      </c>
      <c r="M57" s="83">
        <v>42864</v>
      </c>
      <c r="N57" s="86">
        <v>70</v>
      </c>
      <c r="O57" s="6" t="s">
        <v>553</v>
      </c>
      <c r="P57" s="89">
        <v>42901</v>
      </c>
      <c r="Q57" s="60">
        <v>350</v>
      </c>
      <c r="R57" s="117" t="s">
        <v>666</v>
      </c>
      <c r="S57" s="67">
        <v>42931</v>
      </c>
      <c r="T57" s="68">
        <v>450</v>
      </c>
      <c r="U57" s="50" t="s">
        <v>736</v>
      </c>
      <c r="V57" s="72">
        <v>42958</v>
      </c>
      <c r="W57" s="73">
        <v>795</v>
      </c>
      <c r="X57" s="127" t="s">
        <v>813</v>
      </c>
      <c r="Y57" s="136">
        <v>42993</v>
      </c>
      <c r="Z57" s="92">
        <v>28</v>
      </c>
      <c r="AA57" s="137" t="s">
        <v>909</v>
      </c>
      <c r="AB57" s="142">
        <v>43025</v>
      </c>
      <c r="AC57" s="143">
        <v>5</v>
      </c>
      <c r="AD57" s="145" t="s">
        <v>992</v>
      </c>
      <c r="AE57" s="78">
        <v>43056</v>
      </c>
      <c r="AF57" s="79">
        <v>28</v>
      </c>
      <c r="AG57" s="146" t="s">
        <v>1063</v>
      </c>
      <c r="AH57" s="190">
        <v>43083</v>
      </c>
      <c r="AI57" s="191">
        <v>300</v>
      </c>
      <c r="AJ57" s="193" t="s">
        <v>1097</v>
      </c>
    </row>
    <row r="58" spans="1:36" x14ac:dyDescent="0.25">
      <c r="A58" s="9">
        <v>42751</v>
      </c>
      <c r="B58" s="82">
        <v>429</v>
      </c>
      <c r="C58" s="7" t="s">
        <v>63</v>
      </c>
      <c r="D58" s="25">
        <v>42779</v>
      </c>
      <c r="E58" s="23">
        <v>450</v>
      </c>
      <c r="F58" s="5" t="s">
        <v>179</v>
      </c>
      <c r="G58" s="61">
        <v>42806</v>
      </c>
      <c r="H58" s="62">
        <v>400</v>
      </c>
      <c r="I58" s="63" t="s">
        <v>295</v>
      </c>
      <c r="J58" s="34">
        <v>42837</v>
      </c>
      <c r="K58" s="84">
        <v>26.5</v>
      </c>
      <c r="L58" s="39" t="s">
        <v>420</v>
      </c>
      <c r="M58" s="83">
        <v>42864</v>
      </c>
      <c r="N58" s="86">
        <v>1760</v>
      </c>
      <c r="O58" s="6" t="s">
        <v>554</v>
      </c>
      <c r="P58" s="89">
        <v>42901</v>
      </c>
      <c r="Q58" s="60">
        <v>450</v>
      </c>
      <c r="R58" s="118" t="s">
        <v>667</v>
      </c>
      <c r="S58" s="67">
        <v>42931</v>
      </c>
      <c r="T58" s="68">
        <v>500</v>
      </c>
      <c r="U58" s="50" t="s">
        <v>737</v>
      </c>
      <c r="V58" s="72">
        <v>42958</v>
      </c>
      <c r="W58" s="73">
        <v>200</v>
      </c>
      <c r="X58" s="127" t="s">
        <v>814</v>
      </c>
      <c r="Y58" s="136">
        <v>42993</v>
      </c>
      <c r="Z58" s="92">
        <v>322.60000000000002</v>
      </c>
      <c r="AA58" s="93" t="s">
        <v>910</v>
      </c>
      <c r="AB58" s="142">
        <v>43028</v>
      </c>
      <c r="AC58" s="143">
        <v>237</v>
      </c>
      <c r="AD58" s="145" t="s">
        <v>993</v>
      </c>
      <c r="AE58" s="80">
        <v>43056</v>
      </c>
      <c r="AF58" s="148">
        <v>68</v>
      </c>
      <c r="AG58" s="147" t="s">
        <v>1064</v>
      </c>
      <c r="AH58" s="190">
        <v>43083</v>
      </c>
      <c r="AI58" s="191">
        <v>75.069999999999993</v>
      </c>
      <c r="AJ58" s="193" t="s">
        <v>1127</v>
      </c>
    </row>
    <row r="59" spans="1:36" x14ac:dyDescent="0.25">
      <c r="A59" s="9">
        <v>42751</v>
      </c>
      <c r="B59" s="82">
        <v>200</v>
      </c>
      <c r="C59" s="7" t="s">
        <v>64</v>
      </c>
      <c r="D59" s="25">
        <v>42780</v>
      </c>
      <c r="E59" s="23">
        <v>200</v>
      </c>
      <c r="F59" s="5" t="s">
        <v>180</v>
      </c>
      <c r="G59" s="61">
        <v>42807</v>
      </c>
      <c r="H59" s="62">
        <v>15050</v>
      </c>
      <c r="I59" s="63" t="s">
        <v>297</v>
      </c>
      <c r="J59" s="34">
        <v>42837</v>
      </c>
      <c r="K59" s="84">
        <v>1200</v>
      </c>
      <c r="L59" s="39" t="s">
        <v>422</v>
      </c>
      <c r="M59" s="83">
        <v>42864</v>
      </c>
      <c r="N59" s="86">
        <v>1300</v>
      </c>
      <c r="O59" s="91" t="s">
        <v>555</v>
      </c>
      <c r="P59" s="89">
        <v>42901</v>
      </c>
      <c r="Q59" s="60">
        <v>20100</v>
      </c>
      <c r="R59" s="117" t="s">
        <v>668</v>
      </c>
      <c r="S59" s="67">
        <v>42931</v>
      </c>
      <c r="T59" s="68">
        <v>4000</v>
      </c>
      <c r="U59" s="50" t="s">
        <v>738</v>
      </c>
      <c r="V59" s="72">
        <v>42958</v>
      </c>
      <c r="W59" s="73">
        <v>12</v>
      </c>
      <c r="X59" s="126" t="s">
        <v>815</v>
      </c>
      <c r="Y59" s="136">
        <v>42993</v>
      </c>
      <c r="Z59" s="92">
        <v>104</v>
      </c>
      <c r="AA59" s="93" t="s">
        <v>911</v>
      </c>
      <c r="AB59" s="142">
        <v>43028</v>
      </c>
      <c r="AC59" s="143">
        <v>1250</v>
      </c>
      <c r="AD59" s="145" t="s">
        <v>994</v>
      </c>
      <c r="AE59" s="80">
        <v>43058</v>
      </c>
      <c r="AF59" s="148">
        <v>120</v>
      </c>
      <c r="AG59" s="147" t="s">
        <v>1065</v>
      </c>
      <c r="AH59" s="190">
        <v>43083</v>
      </c>
      <c r="AI59" s="191">
        <v>48</v>
      </c>
      <c r="AJ59" s="193" t="s">
        <v>1128</v>
      </c>
    </row>
    <row r="60" spans="1:36" x14ac:dyDescent="0.25">
      <c r="A60" s="9">
        <v>42751</v>
      </c>
      <c r="B60" s="82">
        <v>458</v>
      </c>
      <c r="C60" s="7" t="s">
        <v>65</v>
      </c>
      <c r="D60" s="25">
        <v>42780</v>
      </c>
      <c r="E60" s="23">
        <v>1100</v>
      </c>
      <c r="F60" s="5" t="s">
        <v>181</v>
      </c>
      <c r="G60" s="61">
        <v>42807</v>
      </c>
      <c r="H60" s="62">
        <v>210</v>
      </c>
      <c r="I60" s="64" t="s">
        <v>273</v>
      </c>
      <c r="J60" s="34">
        <v>42837</v>
      </c>
      <c r="K60" s="84">
        <v>600</v>
      </c>
      <c r="L60" s="39" t="s">
        <v>421</v>
      </c>
      <c r="M60" s="83">
        <v>42865</v>
      </c>
      <c r="N60" s="86">
        <v>15050</v>
      </c>
      <c r="O60" s="6" t="s">
        <v>556</v>
      </c>
      <c r="P60" s="89">
        <v>42901</v>
      </c>
      <c r="Q60" s="60">
        <v>10000</v>
      </c>
      <c r="R60" s="117" t="s">
        <v>669</v>
      </c>
      <c r="S60" s="67">
        <v>42931</v>
      </c>
      <c r="T60" s="68">
        <v>400</v>
      </c>
      <c r="U60" s="50" t="s">
        <v>739</v>
      </c>
      <c r="V60" s="72">
        <v>42958</v>
      </c>
      <c r="W60" s="73">
        <v>150</v>
      </c>
      <c r="X60" s="126" t="s">
        <v>816</v>
      </c>
      <c r="Y60" s="136">
        <v>42993</v>
      </c>
      <c r="Z60" s="92">
        <v>350</v>
      </c>
      <c r="AA60" s="93" t="s">
        <v>912</v>
      </c>
      <c r="AB60" s="142">
        <v>43029</v>
      </c>
      <c r="AC60" s="143">
        <v>230</v>
      </c>
      <c r="AD60" s="145" t="s">
        <v>995</v>
      </c>
      <c r="AE60" s="80">
        <v>43058</v>
      </c>
      <c r="AF60" s="148">
        <v>150</v>
      </c>
      <c r="AG60" s="147" t="s">
        <v>1066</v>
      </c>
      <c r="AH60" s="190">
        <v>43084</v>
      </c>
      <c r="AI60" s="191">
        <v>30100</v>
      </c>
      <c r="AJ60" s="193" t="s">
        <v>1129</v>
      </c>
    </row>
    <row r="61" spans="1:36" ht="15" customHeight="1" x14ac:dyDescent="0.25">
      <c r="A61" s="9">
        <v>42751</v>
      </c>
      <c r="B61" s="82">
        <v>15</v>
      </c>
      <c r="C61" s="70" t="s">
        <v>66</v>
      </c>
      <c r="D61" s="25">
        <v>42780</v>
      </c>
      <c r="E61" s="23">
        <v>158</v>
      </c>
      <c r="F61" s="8" t="s">
        <v>182</v>
      </c>
      <c r="G61" s="61">
        <v>42807</v>
      </c>
      <c r="H61" s="62">
        <v>100</v>
      </c>
      <c r="I61" s="63" t="s">
        <v>298</v>
      </c>
      <c r="J61" s="34">
        <v>42837</v>
      </c>
      <c r="K61" s="84">
        <v>306</v>
      </c>
      <c r="L61" s="39" t="s">
        <v>423</v>
      </c>
      <c r="M61" s="83">
        <v>42865</v>
      </c>
      <c r="N61" s="86">
        <v>1288.8</v>
      </c>
      <c r="O61" s="6" t="s">
        <v>557</v>
      </c>
      <c r="P61" s="89">
        <v>42901</v>
      </c>
      <c r="Q61" s="60">
        <v>4000</v>
      </c>
      <c r="R61" s="119" t="s">
        <v>670</v>
      </c>
      <c r="S61" s="67">
        <v>42932</v>
      </c>
      <c r="T61" s="68">
        <v>165.4</v>
      </c>
      <c r="U61" s="69" t="s">
        <v>741</v>
      </c>
      <c r="V61" s="72">
        <v>42958</v>
      </c>
      <c r="W61" s="73">
        <v>189</v>
      </c>
      <c r="X61" s="126" t="s">
        <v>780</v>
      </c>
      <c r="Y61" s="136">
        <v>42993</v>
      </c>
      <c r="Z61" s="92">
        <v>450</v>
      </c>
      <c r="AA61" s="93" t="s">
        <v>913</v>
      </c>
      <c r="AB61" s="142">
        <v>43030</v>
      </c>
      <c r="AC61" s="143">
        <v>120</v>
      </c>
      <c r="AD61" s="145" t="s">
        <v>16</v>
      </c>
      <c r="AE61" s="80">
        <v>43058</v>
      </c>
      <c r="AF61" s="148">
        <v>76</v>
      </c>
      <c r="AG61" s="147" t="s">
        <v>1067</v>
      </c>
      <c r="AH61" s="190">
        <v>43084</v>
      </c>
      <c r="AI61" s="191">
        <v>1250</v>
      </c>
      <c r="AJ61" s="193" t="s">
        <v>1130</v>
      </c>
    </row>
    <row r="62" spans="1:36" ht="15" customHeight="1" x14ac:dyDescent="0.25">
      <c r="A62" s="9">
        <v>42751</v>
      </c>
      <c r="B62" s="82">
        <v>350</v>
      </c>
      <c r="C62" s="7" t="s">
        <v>67</v>
      </c>
      <c r="D62" s="25">
        <v>42780</v>
      </c>
      <c r="E62" s="23">
        <v>84</v>
      </c>
      <c r="F62" s="8" t="s">
        <v>183</v>
      </c>
      <c r="G62" s="61">
        <v>42807</v>
      </c>
      <c r="H62" s="62">
        <v>700</v>
      </c>
      <c r="I62" s="63" t="s">
        <v>299</v>
      </c>
      <c r="J62" s="34">
        <v>42839</v>
      </c>
      <c r="K62" s="84">
        <v>1000</v>
      </c>
      <c r="L62" s="39" t="s">
        <v>424</v>
      </c>
      <c r="M62" s="83">
        <v>42866</v>
      </c>
      <c r="N62" s="86">
        <v>401.5</v>
      </c>
      <c r="O62" s="6" t="s">
        <v>558</v>
      </c>
      <c r="P62" s="89">
        <v>42902</v>
      </c>
      <c r="Q62" s="60">
        <v>1000</v>
      </c>
      <c r="R62" s="117" t="s">
        <v>671</v>
      </c>
      <c r="S62" s="67">
        <v>42932</v>
      </c>
      <c r="T62" s="68">
        <v>150</v>
      </c>
      <c r="U62" s="69" t="s">
        <v>431</v>
      </c>
      <c r="V62" s="72">
        <v>42958</v>
      </c>
      <c r="W62" s="73">
        <v>1000</v>
      </c>
      <c r="X62" s="127" t="s">
        <v>817</v>
      </c>
      <c r="Y62" s="136">
        <v>42993</v>
      </c>
      <c r="Z62" s="92">
        <v>1250</v>
      </c>
      <c r="AA62" s="93" t="s">
        <v>914</v>
      </c>
      <c r="AB62" s="142">
        <v>43030</v>
      </c>
      <c r="AC62" s="143">
        <v>122.4</v>
      </c>
      <c r="AD62" s="145" t="s">
        <v>875</v>
      </c>
      <c r="AE62" s="80">
        <v>43058</v>
      </c>
      <c r="AF62" s="148">
        <v>47</v>
      </c>
      <c r="AG62" s="147" t="s">
        <v>1026</v>
      </c>
      <c r="AH62" s="190">
        <v>43084</v>
      </c>
      <c r="AI62" s="191">
        <v>450</v>
      </c>
      <c r="AJ62" s="193" t="s">
        <v>1131</v>
      </c>
    </row>
    <row r="63" spans="1:36" x14ac:dyDescent="0.25">
      <c r="A63" s="9">
        <v>42751</v>
      </c>
      <c r="B63" s="82">
        <v>310</v>
      </c>
      <c r="C63" s="7" t="s">
        <v>20</v>
      </c>
      <c r="D63" s="25">
        <v>42780</v>
      </c>
      <c r="E63" s="23">
        <v>58</v>
      </c>
      <c r="F63" s="5" t="s">
        <v>184</v>
      </c>
      <c r="G63" s="61">
        <v>42807</v>
      </c>
      <c r="H63" s="62">
        <v>1600</v>
      </c>
      <c r="I63" s="63" t="s">
        <v>300</v>
      </c>
      <c r="J63" s="34">
        <v>42840</v>
      </c>
      <c r="K63" s="84">
        <v>500</v>
      </c>
      <c r="L63" s="39" t="s">
        <v>425</v>
      </c>
      <c r="M63" s="83">
        <v>42866</v>
      </c>
      <c r="N63" s="86">
        <v>250</v>
      </c>
      <c r="O63" s="6" t="s">
        <v>559</v>
      </c>
      <c r="P63" s="89">
        <v>42903</v>
      </c>
      <c r="Q63" s="60">
        <v>500</v>
      </c>
      <c r="R63" s="117" t="s">
        <v>672</v>
      </c>
      <c r="S63" s="67">
        <v>42932</v>
      </c>
      <c r="T63" s="68">
        <v>120</v>
      </c>
      <c r="U63" s="121" t="s">
        <v>699</v>
      </c>
      <c r="V63" s="72">
        <v>42959</v>
      </c>
      <c r="W63" s="73">
        <v>318.2</v>
      </c>
      <c r="X63" s="127" t="s">
        <v>818</v>
      </c>
      <c r="Y63" s="136">
        <v>42993</v>
      </c>
      <c r="Z63" s="92">
        <v>4000</v>
      </c>
      <c r="AA63" s="93" t="s">
        <v>915</v>
      </c>
      <c r="AB63" s="142">
        <v>43031</v>
      </c>
      <c r="AC63" s="143">
        <v>400</v>
      </c>
      <c r="AD63" s="145" t="s">
        <v>996</v>
      </c>
      <c r="AE63" s="80">
        <v>43059</v>
      </c>
      <c r="AF63" s="148">
        <v>68</v>
      </c>
      <c r="AG63" s="95" t="s">
        <v>1068</v>
      </c>
      <c r="AH63" s="190">
        <v>43084</v>
      </c>
      <c r="AI63" s="191">
        <v>100</v>
      </c>
      <c r="AJ63" s="197" t="s">
        <v>1132</v>
      </c>
    </row>
    <row r="64" spans="1:36" x14ac:dyDescent="0.25">
      <c r="A64" s="9">
        <v>42751</v>
      </c>
      <c r="B64" s="82">
        <v>122.4</v>
      </c>
      <c r="C64" s="7" t="s">
        <v>68</v>
      </c>
      <c r="D64" s="25">
        <v>42781</v>
      </c>
      <c r="E64" s="23">
        <v>15050</v>
      </c>
      <c r="F64" s="5" t="s">
        <v>185</v>
      </c>
      <c r="G64" s="61">
        <v>42807</v>
      </c>
      <c r="H64" s="62">
        <v>244.4</v>
      </c>
      <c r="I64" s="63" t="s">
        <v>301</v>
      </c>
      <c r="J64" s="34">
        <v>42840</v>
      </c>
      <c r="K64" s="84">
        <v>350</v>
      </c>
      <c r="L64" s="39" t="s">
        <v>426</v>
      </c>
      <c r="M64" s="83">
        <v>42866</v>
      </c>
      <c r="N64" s="86">
        <v>627</v>
      </c>
      <c r="O64" s="6" t="s">
        <v>560</v>
      </c>
      <c r="P64" s="89">
        <v>42903</v>
      </c>
      <c r="Q64" s="60">
        <v>310</v>
      </c>
      <c r="R64" s="117" t="s">
        <v>673</v>
      </c>
      <c r="S64" s="67">
        <v>42932</v>
      </c>
      <c r="T64" s="68">
        <v>300</v>
      </c>
      <c r="U64" s="69" t="s">
        <v>742</v>
      </c>
      <c r="V64" s="72">
        <v>42960</v>
      </c>
      <c r="W64" s="103">
        <v>500</v>
      </c>
      <c r="X64" s="127" t="s">
        <v>819</v>
      </c>
      <c r="Y64" s="136">
        <v>42993</v>
      </c>
      <c r="Z64" s="92">
        <v>1000</v>
      </c>
      <c r="AA64" s="93" t="s">
        <v>916</v>
      </c>
      <c r="AB64" s="142">
        <v>43032</v>
      </c>
      <c r="AC64" s="143">
        <v>188</v>
      </c>
      <c r="AD64" s="94" t="s">
        <v>997</v>
      </c>
      <c r="AE64" s="80">
        <v>43061</v>
      </c>
      <c r="AF64" s="148">
        <v>350</v>
      </c>
      <c r="AG64" s="146" t="s">
        <v>1049</v>
      </c>
      <c r="AH64" s="190">
        <v>43084</v>
      </c>
      <c r="AI64" s="191">
        <v>350</v>
      </c>
      <c r="AJ64" s="197" t="s">
        <v>1133</v>
      </c>
    </row>
    <row r="65" spans="1:36" x14ac:dyDescent="0.25">
      <c r="A65" s="9">
        <v>42751</v>
      </c>
      <c r="B65" s="82">
        <v>140</v>
      </c>
      <c r="C65" s="7" t="s">
        <v>69</v>
      </c>
      <c r="D65" s="25">
        <v>42781</v>
      </c>
      <c r="E65" s="23">
        <v>4000</v>
      </c>
      <c r="F65" s="5" t="s">
        <v>186</v>
      </c>
      <c r="G65" s="61">
        <v>42807</v>
      </c>
      <c r="H65" s="62">
        <v>400</v>
      </c>
      <c r="I65" s="63" t="s">
        <v>261</v>
      </c>
      <c r="J65" s="34">
        <v>42840</v>
      </c>
      <c r="K65" s="84">
        <v>450</v>
      </c>
      <c r="L65" s="39" t="s">
        <v>427</v>
      </c>
      <c r="M65" s="83">
        <v>42866</v>
      </c>
      <c r="N65" s="86">
        <v>30</v>
      </c>
      <c r="O65" s="6" t="s">
        <v>561</v>
      </c>
      <c r="P65" s="89">
        <v>42904</v>
      </c>
      <c r="Q65" s="60">
        <v>400</v>
      </c>
      <c r="R65" s="117" t="s">
        <v>674</v>
      </c>
      <c r="S65" s="67">
        <v>42933</v>
      </c>
      <c r="T65" s="68">
        <v>150</v>
      </c>
      <c r="U65" s="69" t="s">
        <v>743</v>
      </c>
      <c r="V65" s="72">
        <v>42960</v>
      </c>
      <c r="W65" s="103">
        <v>141.5</v>
      </c>
      <c r="X65" s="127" t="s">
        <v>797</v>
      </c>
      <c r="Y65" s="136">
        <v>42993</v>
      </c>
      <c r="Z65" s="92">
        <v>20000</v>
      </c>
      <c r="AA65" s="93" t="s">
        <v>917</v>
      </c>
      <c r="AB65" s="142">
        <v>43032</v>
      </c>
      <c r="AC65" s="143">
        <v>240</v>
      </c>
      <c r="AD65" s="94" t="s">
        <v>998</v>
      </c>
      <c r="AE65" s="80">
        <v>43061</v>
      </c>
      <c r="AF65" s="148">
        <v>110</v>
      </c>
      <c r="AG65" s="146" t="s">
        <v>1069</v>
      </c>
      <c r="AH65" s="190">
        <v>43084</v>
      </c>
      <c r="AI65" s="191">
        <v>1000</v>
      </c>
      <c r="AJ65" s="192" t="s">
        <v>1134</v>
      </c>
    </row>
    <row r="66" spans="1:36" x14ac:dyDescent="0.25">
      <c r="A66" s="9">
        <v>42752</v>
      </c>
      <c r="B66" s="82">
        <v>120</v>
      </c>
      <c r="C66" s="7" t="s">
        <v>70</v>
      </c>
      <c r="D66" s="25">
        <v>42781</v>
      </c>
      <c r="E66" s="23">
        <v>450</v>
      </c>
      <c r="F66" s="5" t="s">
        <v>187</v>
      </c>
      <c r="G66" s="99">
        <v>42809</v>
      </c>
      <c r="H66" s="100">
        <v>350</v>
      </c>
      <c r="I66" s="98" t="s">
        <v>303</v>
      </c>
      <c r="J66" s="34">
        <v>42840</v>
      </c>
      <c r="K66" s="84">
        <v>4000</v>
      </c>
      <c r="L66" s="39" t="s">
        <v>428</v>
      </c>
      <c r="M66" s="83">
        <v>42867</v>
      </c>
      <c r="N66" s="86">
        <v>310</v>
      </c>
      <c r="O66" s="6" t="s">
        <v>509</v>
      </c>
      <c r="P66" s="89">
        <v>42904</v>
      </c>
      <c r="Q66" s="60">
        <v>133.5</v>
      </c>
      <c r="R66" s="117" t="s">
        <v>537</v>
      </c>
      <c r="S66" s="67">
        <v>42933</v>
      </c>
      <c r="T66" s="68">
        <v>300</v>
      </c>
      <c r="U66" s="121" t="s">
        <v>744</v>
      </c>
      <c r="V66" s="72">
        <v>42960</v>
      </c>
      <c r="W66" s="103">
        <v>120</v>
      </c>
      <c r="X66" s="127" t="s">
        <v>795</v>
      </c>
      <c r="Y66" s="136">
        <v>42995</v>
      </c>
      <c r="Z66" s="92">
        <v>122</v>
      </c>
      <c r="AA66" s="138" t="s">
        <v>875</v>
      </c>
      <c r="AB66" s="142">
        <v>43033</v>
      </c>
      <c r="AC66" s="143">
        <v>245</v>
      </c>
      <c r="AD66" s="144" t="s">
        <v>999</v>
      </c>
      <c r="AE66" s="80">
        <v>43061</v>
      </c>
      <c r="AF66" s="148">
        <v>130</v>
      </c>
      <c r="AG66" s="146" t="s">
        <v>1070</v>
      </c>
      <c r="AH66" s="190">
        <v>43084</v>
      </c>
      <c r="AI66" s="191">
        <v>4000</v>
      </c>
      <c r="AJ66" s="192" t="s">
        <v>1135</v>
      </c>
    </row>
    <row r="67" spans="1:36" x14ac:dyDescent="0.25">
      <c r="A67" s="9">
        <v>42752</v>
      </c>
      <c r="B67" s="82">
        <v>1760</v>
      </c>
      <c r="C67" s="7" t="s">
        <v>71</v>
      </c>
      <c r="D67" s="25">
        <v>42781</v>
      </c>
      <c r="E67" s="23">
        <v>350</v>
      </c>
      <c r="F67" s="5" t="s">
        <v>188</v>
      </c>
      <c r="G67" s="99">
        <v>42809</v>
      </c>
      <c r="H67" s="100">
        <v>450</v>
      </c>
      <c r="I67" s="98" t="s">
        <v>302</v>
      </c>
      <c r="J67" s="34">
        <v>42840</v>
      </c>
      <c r="K67" s="84">
        <v>14550</v>
      </c>
      <c r="L67" s="39" t="s">
        <v>429</v>
      </c>
      <c r="M67" s="83">
        <v>42867</v>
      </c>
      <c r="N67" s="86">
        <v>400</v>
      </c>
      <c r="O67" s="6" t="s">
        <v>562</v>
      </c>
      <c r="P67" s="89">
        <v>42904</v>
      </c>
      <c r="Q67" s="60">
        <v>120</v>
      </c>
      <c r="R67" s="119" t="s">
        <v>16</v>
      </c>
      <c r="S67" s="67">
        <v>42933</v>
      </c>
      <c r="T67" s="68">
        <v>310</v>
      </c>
      <c r="U67" s="121" t="s">
        <v>673</v>
      </c>
      <c r="V67" s="72">
        <v>42960</v>
      </c>
      <c r="W67" s="103">
        <v>150</v>
      </c>
      <c r="X67" s="127" t="s">
        <v>796</v>
      </c>
      <c r="Y67" s="136">
        <v>42996</v>
      </c>
      <c r="Z67" s="92">
        <v>120</v>
      </c>
      <c r="AA67" s="138" t="s">
        <v>895</v>
      </c>
      <c r="AB67" s="142">
        <v>43033</v>
      </c>
      <c r="AC67" s="143">
        <v>20</v>
      </c>
      <c r="AD67" s="144" t="s">
        <v>1000</v>
      </c>
      <c r="AE67" s="80">
        <v>43061</v>
      </c>
      <c r="AF67" s="148">
        <v>200</v>
      </c>
      <c r="AG67" s="95" t="s">
        <v>1071</v>
      </c>
      <c r="AH67" s="190">
        <v>43084</v>
      </c>
      <c r="AI67" s="191">
        <v>20750</v>
      </c>
      <c r="AJ67" s="192" t="s">
        <v>1136</v>
      </c>
    </row>
    <row r="68" spans="1:36" x14ac:dyDescent="0.25">
      <c r="A68" s="9">
        <v>42752</v>
      </c>
      <c r="B68" s="82">
        <v>1224</v>
      </c>
      <c r="C68" s="96" t="s">
        <v>72</v>
      </c>
      <c r="D68" s="25">
        <v>42782</v>
      </c>
      <c r="E68" s="97">
        <v>85</v>
      </c>
      <c r="F68" s="5" t="s">
        <v>189</v>
      </c>
      <c r="G68" s="99">
        <v>42809</v>
      </c>
      <c r="H68" s="100">
        <v>4000</v>
      </c>
      <c r="I68" s="98" t="s">
        <v>304</v>
      </c>
      <c r="J68" s="34">
        <v>42841</v>
      </c>
      <c r="K68" s="84">
        <v>145</v>
      </c>
      <c r="L68" s="39" t="s">
        <v>407</v>
      </c>
      <c r="M68" s="83">
        <v>42867</v>
      </c>
      <c r="N68" s="86">
        <v>1000</v>
      </c>
      <c r="O68" s="6" t="s">
        <v>563</v>
      </c>
      <c r="P68" s="89">
        <v>42904</v>
      </c>
      <c r="Q68" s="60">
        <v>200</v>
      </c>
      <c r="R68" s="119" t="s">
        <v>675</v>
      </c>
      <c r="S68" s="67">
        <v>42934</v>
      </c>
      <c r="T68" s="68">
        <v>200</v>
      </c>
      <c r="U68" s="69" t="s">
        <v>745</v>
      </c>
      <c r="V68" s="72">
        <v>42960</v>
      </c>
      <c r="W68" s="103">
        <v>1199</v>
      </c>
      <c r="X68" s="127" t="s">
        <v>820</v>
      </c>
      <c r="Y68" s="136">
        <v>42996</v>
      </c>
      <c r="Z68" s="92">
        <v>310</v>
      </c>
      <c r="AA68" s="137" t="s">
        <v>877</v>
      </c>
      <c r="AB68" s="142">
        <v>43034</v>
      </c>
      <c r="AC68" s="143">
        <v>15100</v>
      </c>
      <c r="AD68" s="144" t="s">
        <v>1001</v>
      </c>
      <c r="AE68" s="80">
        <v>43062</v>
      </c>
      <c r="AF68" s="148">
        <v>30100</v>
      </c>
      <c r="AG68" s="146" t="s">
        <v>1072</v>
      </c>
      <c r="AH68" s="190">
        <v>43084</v>
      </c>
      <c r="AI68" s="191">
        <v>44.5</v>
      </c>
      <c r="AJ68" s="197" t="s">
        <v>1137</v>
      </c>
    </row>
    <row r="69" spans="1:36" x14ac:dyDescent="0.25">
      <c r="A69" s="9">
        <v>42752</v>
      </c>
      <c r="B69" s="82">
        <v>3300</v>
      </c>
      <c r="C69" s="7" t="s">
        <v>73</v>
      </c>
      <c r="D69" s="25">
        <v>42782</v>
      </c>
      <c r="E69" s="97">
        <v>100</v>
      </c>
      <c r="F69" s="5" t="s">
        <v>190</v>
      </c>
      <c r="G69" s="61">
        <v>42809</v>
      </c>
      <c r="H69" s="62">
        <v>89</v>
      </c>
      <c r="I69" s="63" t="s">
        <v>305</v>
      </c>
      <c r="J69" s="34">
        <v>42841</v>
      </c>
      <c r="K69" s="84">
        <v>120</v>
      </c>
      <c r="L69" s="39" t="s">
        <v>16</v>
      </c>
      <c r="M69" s="83">
        <v>42867</v>
      </c>
      <c r="N69" s="86">
        <v>100</v>
      </c>
      <c r="O69" s="6" t="s">
        <v>574</v>
      </c>
      <c r="P69" s="89">
        <v>42904</v>
      </c>
      <c r="Q69" s="60">
        <v>400</v>
      </c>
      <c r="R69" s="117" t="s">
        <v>676</v>
      </c>
      <c r="S69" s="67">
        <v>42935</v>
      </c>
      <c r="T69" s="68">
        <v>1100</v>
      </c>
      <c r="U69" s="69" t="s">
        <v>746</v>
      </c>
      <c r="V69" s="72">
        <v>42960</v>
      </c>
      <c r="W69" s="73">
        <v>1284</v>
      </c>
      <c r="X69" s="128" t="s">
        <v>821</v>
      </c>
      <c r="Y69" s="136">
        <v>42997</v>
      </c>
      <c r="Z69" s="92">
        <v>100</v>
      </c>
      <c r="AA69" s="137" t="s">
        <v>918</v>
      </c>
      <c r="AB69" s="142">
        <v>43034</v>
      </c>
      <c r="AC69" s="143">
        <v>104</v>
      </c>
      <c r="AD69" s="94" t="s">
        <v>1002</v>
      </c>
      <c r="AE69" s="80">
        <v>43062</v>
      </c>
      <c r="AF69" s="148">
        <v>330</v>
      </c>
      <c r="AG69" s="95" t="s">
        <v>1073</v>
      </c>
      <c r="AH69" s="190">
        <v>43084</v>
      </c>
      <c r="AI69" s="191">
        <v>60</v>
      </c>
      <c r="AJ69" s="197" t="s">
        <v>1138</v>
      </c>
    </row>
    <row r="70" spans="1:36" x14ac:dyDescent="0.25">
      <c r="A70" s="9">
        <v>42752</v>
      </c>
      <c r="B70" s="82">
        <v>326.60000000000002</v>
      </c>
      <c r="C70" s="7" t="s">
        <v>74</v>
      </c>
      <c r="D70" s="25">
        <v>42782</v>
      </c>
      <c r="E70" s="97">
        <v>300</v>
      </c>
      <c r="F70" s="5" t="s">
        <v>191</v>
      </c>
      <c r="G70" s="61">
        <v>42809</v>
      </c>
      <c r="H70" s="62">
        <v>830</v>
      </c>
      <c r="I70" s="63" t="s">
        <v>306</v>
      </c>
      <c r="J70" s="34">
        <v>42841</v>
      </c>
      <c r="K70" s="84">
        <v>200</v>
      </c>
      <c r="L70" s="39" t="s">
        <v>430</v>
      </c>
      <c r="M70" s="83">
        <v>42869</v>
      </c>
      <c r="N70" s="86">
        <v>120</v>
      </c>
      <c r="O70" s="6" t="s">
        <v>536</v>
      </c>
      <c r="P70" s="89">
        <v>42904</v>
      </c>
      <c r="Q70" s="60">
        <v>240.5</v>
      </c>
      <c r="R70" s="117" t="s">
        <v>677</v>
      </c>
      <c r="S70" s="67">
        <v>42935</v>
      </c>
      <c r="T70" s="68">
        <v>1290</v>
      </c>
      <c r="U70" s="121" t="s">
        <v>747</v>
      </c>
      <c r="V70" s="72">
        <v>42960</v>
      </c>
      <c r="W70" s="73">
        <v>150</v>
      </c>
      <c r="X70" s="128" t="s">
        <v>822</v>
      </c>
      <c r="Y70" s="136">
        <v>42997</v>
      </c>
      <c r="Z70" s="92">
        <v>590</v>
      </c>
      <c r="AA70" s="137" t="s">
        <v>919</v>
      </c>
      <c r="AB70" s="142">
        <v>43034</v>
      </c>
      <c r="AC70" s="143">
        <v>50</v>
      </c>
      <c r="AD70" s="94" t="s">
        <v>1003</v>
      </c>
      <c r="AE70" s="80">
        <v>43062</v>
      </c>
      <c r="AF70" s="148">
        <v>200</v>
      </c>
      <c r="AG70" s="95" t="s">
        <v>1074</v>
      </c>
      <c r="AH70" s="190">
        <v>43084</v>
      </c>
      <c r="AI70" s="191">
        <v>100</v>
      </c>
      <c r="AJ70" s="197" t="s">
        <v>1139</v>
      </c>
    </row>
    <row r="71" spans="1:36" x14ac:dyDescent="0.25">
      <c r="A71" s="9">
        <v>42753</v>
      </c>
      <c r="B71" s="82">
        <v>40</v>
      </c>
      <c r="C71" s="7" t="s">
        <v>75</v>
      </c>
      <c r="D71" s="25">
        <v>42782</v>
      </c>
      <c r="E71" s="23">
        <v>350</v>
      </c>
      <c r="F71" s="5" t="s">
        <v>192</v>
      </c>
      <c r="G71" s="61">
        <v>42809</v>
      </c>
      <c r="H71" s="62">
        <v>350</v>
      </c>
      <c r="I71" s="63" t="s">
        <v>307</v>
      </c>
      <c r="J71" s="34">
        <v>42841</v>
      </c>
      <c r="K71" s="84">
        <v>150</v>
      </c>
      <c r="L71" s="39" t="s">
        <v>431</v>
      </c>
      <c r="M71" s="83">
        <v>42869</v>
      </c>
      <c r="N71" s="86">
        <v>150</v>
      </c>
      <c r="O71" s="6" t="s">
        <v>535</v>
      </c>
      <c r="P71" s="89">
        <v>42906</v>
      </c>
      <c r="Q71" s="60">
        <v>170</v>
      </c>
      <c r="R71" s="120" t="s">
        <v>677</v>
      </c>
      <c r="S71" s="67">
        <v>42935</v>
      </c>
      <c r="T71" s="68">
        <v>200</v>
      </c>
      <c r="U71" s="121" t="s">
        <v>748</v>
      </c>
      <c r="V71" s="72">
        <v>42961</v>
      </c>
      <c r="W71" s="73">
        <v>540</v>
      </c>
      <c r="X71" s="126" t="s">
        <v>823</v>
      </c>
      <c r="Y71" s="136">
        <v>42997</v>
      </c>
      <c r="Z71" s="92">
        <v>400</v>
      </c>
      <c r="AA71" s="138" t="s">
        <v>920</v>
      </c>
      <c r="AB71" s="142">
        <v>43034</v>
      </c>
      <c r="AC71" s="143">
        <v>44</v>
      </c>
      <c r="AD71" s="94" t="s">
        <v>1004</v>
      </c>
      <c r="AE71" s="80">
        <v>43062</v>
      </c>
      <c r="AF71" s="148">
        <v>77.3</v>
      </c>
      <c r="AG71" s="147" t="s">
        <v>1075</v>
      </c>
      <c r="AH71" s="190">
        <v>43084</v>
      </c>
      <c r="AI71" s="191">
        <v>200</v>
      </c>
      <c r="AJ71" s="197" t="s">
        <v>1096</v>
      </c>
    </row>
    <row r="72" spans="1:36" x14ac:dyDescent="0.25">
      <c r="A72" s="9">
        <v>42753</v>
      </c>
      <c r="B72" s="82">
        <v>65</v>
      </c>
      <c r="C72" s="7" t="s">
        <v>76</v>
      </c>
      <c r="D72" s="25">
        <v>42782</v>
      </c>
      <c r="E72" s="23">
        <v>400</v>
      </c>
      <c r="F72" s="5" t="s">
        <v>193</v>
      </c>
      <c r="G72" s="61">
        <v>42809</v>
      </c>
      <c r="H72" s="62">
        <v>93</v>
      </c>
      <c r="I72" s="63" t="s">
        <v>308</v>
      </c>
      <c r="J72" s="34">
        <v>42842</v>
      </c>
      <c r="K72" s="84">
        <v>400</v>
      </c>
      <c r="L72" s="39" t="s">
        <v>432</v>
      </c>
      <c r="M72" s="83">
        <v>42869</v>
      </c>
      <c r="N72" s="86">
        <v>69.5</v>
      </c>
      <c r="O72" s="6" t="s">
        <v>593</v>
      </c>
      <c r="P72" s="89">
        <v>42906</v>
      </c>
      <c r="Q72" s="60">
        <v>65</v>
      </c>
      <c r="R72" s="117" t="s">
        <v>678</v>
      </c>
      <c r="S72" s="67">
        <v>42935</v>
      </c>
      <c r="T72" s="68">
        <v>190</v>
      </c>
      <c r="U72" s="69" t="s">
        <v>749</v>
      </c>
      <c r="V72" s="72">
        <v>42961</v>
      </c>
      <c r="W72" s="73">
        <v>700</v>
      </c>
      <c r="X72" s="126" t="s">
        <v>824</v>
      </c>
      <c r="Y72" s="136">
        <v>42997</v>
      </c>
      <c r="Z72" s="92">
        <v>50</v>
      </c>
      <c r="AA72" s="138" t="s">
        <v>921</v>
      </c>
      <c r="AB72" s="142">
        <v>43034</v>
      </c>
      <c r="AC72" s="143">
        <v>183</v>
      </c>
      <c r="AD72" s="94" t="s">
        <v>1004</v>
      </c>
      <c r="AE72" s="80">
        <v>43062</v>
      </c>
      <c r="AF72" s="148">
        <v>245.4</v>
      </c>
      <c r="AG72" s="146" t="s">
        <v>1076</v>
      </c>
      <c r="AH72" s="190">
        <v>43085</v>
      </c>
      <c r="AI72" s="191">
        <v>340</v>
      </c>
      <c r="AJ72" s="193" t="s">
        <v>1098</v>
      </c>
    </row>
    <row r="73" spans="1:36" x14ac:dyDescent="0.25">
      <c r="A73" s="9">
        <v>39100</v>
      </c>
      <c r="B73" s="82">
        <v>933</v>
      </c>
      <c r="C73" s="7" t="s">
        <v>77</v>
      </c>
      <c r="D73" s="25">
        <v>42783</v>
      </c>
      <c r="E73" s="23">
        <v>300</v>
      </c>
      <c r="F73" s="5" t="s">
        <v>194</v>
      </c>
      <c r="G73" s="61">
        <v>42809</v>
      </c>
      <c r="H73" s="62">
        <v>458.01</v>
      </c>
      <c r="I73" s="63" t="s">
        <v>309</v>
      </c>
      <c r="J73" s="34">
        <v>42842</v>
      </c>
      <c r="K73" s="84">
        <v>250</v>
      </c>
      <c r="L73" s="39" t="s">
        <v>433</v>
      </c>
      <c r="M73" s="83" t="s">
        <v>564</v>
      </c>
      <c r="N73" s="86">
        <v>170</v>
      </c>
      <c r="O73" s="6" t="s">
        <v>537</v>
      </c>
      <c r="P73" s="89">
        <v>42906</v>
      </c>
      <c r="Q73" s="60">
        <v>900</v>
      </c>
      <c r="R73" s="118" t="s">
        <v>679</v>
      </c>
      <c r="S73" s="67">
        <v>42935</v>
      </c>
      <c r="T73" s="68">
        <v>340</v>
      </c>
      <c r="U73" s="122" t="s">
        <v>750</v>
      </c>
      <c r="V73" s="72">
        <v>42961</v>
      </c>
      <c r="W73" s="73">
        <v>400</v>
      </c>
      <c r="X73" s="126" t="s">
        <v>825</v>
      </c>
      <c r="Y73" s="136">
        <v>42997</v>
      </c>
      <c r="Z73" s="92">
        <v>50</v>
      </c>
      <c r="AA73" s="138" t="s">
        <v>904</v>
      </c>
      <c r="AB73" s="142">
        <v>43035</v>
      </c>
      <c r="AC73" s="143">
        <v>1250</v>
      </c>
      <c r="AD73" s="145" t="s">
        <v>1005</v>
      </c>
      <c r="AE73" s="80">
        <v>43063</v>
      </c>
      <c r="AF73" s="148">
        <v>1250</v>
      </c>
      <c r="AG73" s="146" t="s">
        <v>1077</v>
      </c>
      <c r="AH73" s="190">
        <v>43085</v>
      </c>
      <c r="AI73" s="191">
        <v>200</v>
      </c>
      <c r="AJ73" s="192" t="s">
        <v>1096</v>
      </c>
    </row>
    <row r="74" spans="1:36" x14ac:dyDescent="0.25">
      <c r="A74" s="9">
        <v>42753</v>
      </c>
      <c r="B74" s="82">
        <v>350</v>
      </c>
      <c r="C74" s="7" t="s">
        <v>78</v>
      </c>
      <c r="D74" s="25">
        <v>42783</v>
      </c>
      <c r="E74" s="23">
        <v>500</v>
      </c>
      <c r="F74" s="5" t="s">
        <v>195</v>
      </c>
      <c r="G74" s="61">
        <v>42809</v>
      </c>
      <c r="H74" s="62">
        <v>618.01</v>
      </c>
      <c r="I74" s="63" t="s">
        <v>310</v>
      </c>
      <c r="J74" s="34">
        <v>42842</v>
      </c>
      <c r="K74" s="84">
        <v>500</v>
      </c>
      <c r="L74" s="39" t="s">
        <v>434</v>
      </c>
      <c r="M74" s="83">
        <v>42869</v>
      </c>
      <c r="N74" s="86">
        <v>850</v>
      </c>
      <c r="O74" s="6" t="s">
        <v>565</v>
      </c>
      <c r="P74" s="89">
        <v>42907</v>
      </c>
      <c r="Q74" s="60">
        <v>310</v>
      </c>
      <c r="R74" s="118" t="s">
        <v>673</v>
      </c>
      <c r="S74" s="67">
        <v>42935</v>
      </c>
      <c r="T74" s="68">
        <v>60</v>
      </c>
      <c r="U74" s="122" t="s">
        <v>751</v>
      </c>
      <c r="V74" s="72">
        <v>42961</v>
      </c>
      <c r="W74" s="73">
        <v>310</v>
      </c>
      <c r="X74" s="128" t="s">
        <v>509</v>
      </c>
      <c r="Y74" s="136">
        <v>42997</v>
      </c>
      <c r="Z74" s="92">
        <v>120</v>
      </c>
      <c r="AA74" s="138" t="s">
        <v>922</v>
      </c>
      <c r="AB74" s="142">
        <v>43035</v>
      </c>
      <c r="AC74" s="143">
        <v>77</v>
      </c>
      <c r="AD74" s="144" t="s">
        <v>1004</v>
      </c>
      <c r="AE74" s="80">
        <v>43064</v>
      </c>
      <c r="AF74" s="148">
        <v>480</v>
      </c>
      <c r="AG74" s="146" t="s">
        <v>1078</v>
      </c>
      <c r="AH74" s="190">
        <v>43086</v>
      </c>
      <c r="AI74" s="191">
        <v>150</v>
      </c>
      <c r="AJ74" s="192" t="s">
        <v>431</v>
      </c>
    </row>
    <row r="75" spans="1:36" x14ac:dyDescent="0.25">
      <c r="A75" s="9">
        <v>42753</v>
      </c>
      <c r="B75" s="82">
        <v>170</v>
      </c>
      <c r="C75" s="7" t="s">
        <v>79</v>
      </c>
      <c r="D75" s="25">
        <v>42783</v>
      </c>
      <c r="E75" s="23">
        <v>312.2</v>
      </c>
      <c r="F75" s="5" t="s">
        <v>196</v>
      </c>
      <c r="G75" s="61">
        <v>42809</v>
      </c>
      <c r="H75" s="62">
        <v>4125</v>
      </c>
      <c r="I75" s="63" t="s">
        <v>311</v>
      </c>
      <c r="J75" s="34">
        <v>42842</v>
      </c>
      <c r="K75" s="84">
        <v>300</v>
      </c>
      <c r="L75" s="39" t="s">
        <v>435</v>
      </c>
      <c r="M75" s="83">
        <v>42869</v>
      </c>
      <c r="N75" s="86">
        <v>1050</v>
      </c>
      <c r="O75" s="6" t="s">
        <v>566</v>
      </c>
      <c r="P75" s="89">
        <v>42907</v>
      </c>
      <c r="Q75" s="60">
        <v>310</v>
      </c>
      <c r="R75" s="117" t="s">
        <v>673</v>
      </c>
      <c r="S75" s="67">
        <v>42936</v>
      </c>
      <c r="T75" s="68">
        <v>10000</v>
      </c>
      <c r="U75" s="121" t="s">
        <v>752</v>
      </c>
      <c r="V75" s="72">
        <v>42961</v>
      </c>
      <c r="W75" s="73">
        <v>190</v>
      </c>
      <c r="X75" s="128" t="s">
        <v>826</v>
      </c>
      <c r="Y75" s="136">
        <v>42997</v>
      </c>
      <c r="Z75" s="92">
        <v>850</v>
      </c>
      <c r="AA75" s="93" t="s">
        <v>923</v>
      </c>
      <c r="AB75" s="142">
        <v>43035</v>
      </c>
      <c r="AC75" s="143">
        <v>84</v>
      </c>
      <c r="AD75" s="144" t="s">
        <v>1006</v>
      </c>
      <c r="AE75" s="80">
        <v>43064</v>
      </c>
      <c r="AF75" s="148">
        <v>400</v>
      </c>
      <c r="AG75" s="95" t="s">
        <v>1079</v>
      </c>
      <c r="AH75" s="190">
        <v>43086</v>
      </c>
      <c r="AI75" s="191">
        <v>120</v>
      </c>
      <c r="AJ75" s="192" t="s">
        <v>1104</v>
      </c>
    </row>
    <row r="76" spans="1:36" x14ac:dyDescent="0.25">
      <c r="A76" s="9">
        <v>42753</v>
      </c>
      <c r="B76" s="82">
        <v>250</v>
      </c>
      <c r="C76" s="7" t="s">
        <v>80</v>
      </c>
      <c r="D76" s="25">
        <v>42783</v>
      </c>
      <c r="E76" s="23">
        <v>1000</v>
      </c>
      <c r="F76" s="5" t="s">
        <v>197</v>
      </c>
      <c r="G76" s="61">
        <v>42810</v>
      </c>
      <c r="H76" s="62">
        <v>100</v>
      </c>
      <c r="I76" s="63" t="s">
        <v>312</v>
      </c>
      <c r="J76" s="34">
        <v>42842</v>
      </c>
      <c r="K76" s="84">
        <v>310</v>
      </c>
      <c r="L76" s="39" t="s">
        <v>378</v>
      </c>
      <c r="M76" s="83">
        <v>42869</v>
      </c>
      <c r="N76" s="86">
        <v>500</v>
      </c>
      <c r="O76" s="6" t="s">
        <v>567</v>
      </c>
      <c r="P76" s="89">
        <v>42907</v>
      </c>
      <c r="Q76" s="60">
        <v>103</v>
      </c>
      <c r="R76" s="117" t="s">
        <v>680</v>
      </c>
      <c r="S76" s="67">
        <v>42937</v>
      </c>
      <c r="T76" s="68">
        <v>189</v>
      </c>
      <c r="U76" s="121" t="s">
        <v>753</v>
      </c>
      <c r="V76" s="72">
        <v>42962</v>
      </c>
      <c r="W76" s="73">
        <v>4000</v>
      </c>
      <c r="X76" s="128" t="s">
        <v>827</v>
      </c>
      <c r="Y76" s="136">
        <v>43000</v>
      </c>
      <c r="Z76" s="92">
        <v>1250</v>
      </c>
      <c r="AA76" s="137" t="s">
        <v>924</v>
      </c>
      <c r="AB76" s="142">
        <v>43035</v>
      </c>
      <c r="AC76" s="143">
        <v>406.75</v>
      </c>
      <c r="AD76" s="144" t="s">
        <v>1007</v>
      </c>
      <c r="AE76" s="80">
        <v>43065</v>
      </c>
      <c r="AF76" s="148">
        <v>99</v>
      </c>
      <c r="AG76" s="95" t="s">
        <v>1026</v>
      </c>
      <c r="AH76" s="190">
        <v>43086</v>
      </c>
      <c r="AI76" s="191">
        <v>112.08</v>
      </c>
      <c r="AJ76" s="197" t="s">
        <v>1103</v>
      </c>
    </row>
    <row r="77" spans="1:36" x14ac:dyDescent="0.25">
      <c r="A77" s="9">
        <v>42753</v>
      </c>
      <c r="B77" s="82">
        <v>4500</v>
      </c>
      <c r="C77" s="7" t="s">
        <v>81</v>
      </c>
      <c r="D77" s="25">
        <v>42783</v>
      </c>
      <c r="E77" s="23">
        <v>500</v>
      </c>
      <c r="F77" s="5" t="s">
        <v>198</v>
      </c>
      <c r="G77" s="61">
        <v>42810</v>
      </c>
      <c r="H77" s="62">
        <v>200</v>
      </c>
      <c r="I77" s="63" t="s">
        <v>313</v>
      </c>
      <c r="J77" s="34">
        <v>42842</v>
      </c>
      <c r="K77" s="84">
        <v>900</v>
      </c>
      <c r="L77" s="39" t="s">
        <v>436</v>
      </c>
      <c r="M77" s="83">
        <v>42870</v>
      </c>
      <c r="N77" s="86">
        <v>400</v>
      </c>
      <c r="O77" s="6" t="s">
        <v>568</v>
      </c>
      <c r="P77" s="89">
        <v>42907</v>
      </c>
      <c r="Q77" s="60">
        <v>3000</v>
      </c>
      <c r="R77" s="117" t="s">
        <v>682</v>
      </c>
      <c r="S77" s="67">
        <v>42937</v>
      </c>
      <c r="T77" s="68">
        <v>1000</v>
      </c>
      <c r="U77" s="121" t="s">
        <v>754</v>
      </c>
      <c r="V77" s="72">
        <v>42962</v>
      </c>
      <c r="W77" s="73">
        <v>450</v>
      </c>
      <c r="X77" s="128" t="s">
        <v>828</v>
      </c>
      <c r="Y77" s="136">
        <v>43000</v>
      </c>
      <c r="Z77" s="92">
        <v>828</v>
      </c>
      <c r="AA77" s="137" t="s">
        <v>925</v>
      </c>
      <c r="AB77" s="142">
        <v>43036</v>
      </c>
      <c r="AC77" s="143">
        <v>392.86</v>
      </c>
      <c r="AD77" s="94" t="s">
        <v>990</v>
      </c>
      <c r="AE77" s="80">
        <v>43065</v>
      </c>
      <c r="AF77" s="148">
        <v>120</v>
      </c>
      <c r="AG77" s="146" t="s">
        <v>1065</v>
      </c>
      <c r="AH77" s="190">
        <v>43086</v>
      </c>
      <c r="AI77" s="191">
        <v>81</v>
      </c>
      <c r="AJ77" s="197" t="s">
        <v>1103</v>
      </c>
    </row>
    <row r="78" spans="1:36" x14ac:dyDescent="0.25">
      <c r="A78" s="9">
        <v>42754</v>
      </c>
      <c r="B78" s="82">
        <v>400</v>
      </c>
      <c r="C78" s="7" t="s">
        <v>82</v>
      </c>
      <c r="D78" s="25">
        <v>42783</v>
      </c>
      <c r="E78" s="23">
        <v>12373.72</v>
      </c>
      <c r="F78" s="5" t="s">
        <v>199</v>
      </c>
      <c r="G78" s="61">
        <v>42810</v>
      </c>
      <c r="H78" s="62">
        <v>350</v>
      </c>
      <c r="I78" s="63" t="s">
        <v>314</v>
      </c>
      <c r="J78" s="34">
        <v>42842</v>
      </c>
      <c r="K78" s="84">
        <v>50</v>
      </c>
      <c r="L78" s="39" t="s">
        <v>437</v>
      </c>
      <c r="M78" s="83">
        <v>42870</v>
      </c>
      <c r="N78" s="86">
        <v>350</v>
      </c>
      <c r="O78" s="6" t="s">
        <v>569</v>
      </c>
      <c r="P78" s="89">
        <v>42908</v>
      </c>
      <c r="Q78" s="60">
        <v>30</v>
      </c>
      <c r="R78" s="27" t="s">
        <v>683</v>
      </c>
      <c r="S78" s="67">
        <v>42939</v>
      </c>
      <c r="T78" s="68">
        <v>500</v>
      </c>
      <c r="U78" s="122" t="s">
        <v>755</v>
      </c>
      <c r="V78" s="72">
        <v>42962</v>
      </c>
      <c r="W78" s="73">
        <v>350</v>
      </c>
      <c r="X78" s="126" t="s">
        <v>829</v>
      </c>
      <c r="Y78" s="136">
        <v>43000</v>
      </c>
      <c r="Z78" s="92">
        <v>118.9</v>
      </c>
      <c r="AA78" s="137" t="s">
        <v>926</v>
      </c>
      <c r="AB78" s="142">
        <v>43036</v>
      </c>
      <c r="AC78" s="143">
        <v>30.9</v>
      </c>
      <c r="AD78" s="144" t="s">
        <v>1008</v>
      </c>
      <c r="AE78" s="80">
        <v>43065</v>
      </c>
      <c r="AF78" s="148">
        <v>150</v>
      </c>
      <c r="AG78" s="147" t="s">
        <v>404</v>
      </c>
      <c r="AH78" s="190">
        <v>43087</v>
      </c>
      <c r="AI78" s="191">
        <v>175</v>
      </c>
      <c r="AJ78" s="193" t="s">
        <v>1140</v>
      </c>
    </row>
    <row r="79" spans="1:36" x14ac:dyDescent="0.25">
      <c r="A79" s="9">
        <v>42754</v>
      </c>
      <c r="B79" s="82">
        <v>39</v>
      </c>
      <c r="C79" s="7" t="s">
        <v>83</v>
      </c>
      <c r="D79" s="25">
        <v>42783</v>
      </c>
      <c r="E79" s="23">
        <v>150</v>
      </c>
      <c r="F79" s="5" t="s">
        <v>200</v>
      </c>
      <c r="G79" s="61">
        <v>42810</v>
      </c>
      <c r="H79" s="62">
        <v>48</v>
      </c>
      <c r="I79" s="63" t="s">
        <v>315</v>
      </c>
      <c r="J79" s="34">
        <v>42843</v>
      </c>
      <c r="K79" s="84">
        <v>230</v>
      </c>
      <c r="L79" s="39" t="s">
        <v>438</v>
      </c>
      <c r="M79" s="83">
        <v>42870</v>
      </c>
      <c r="N79" s="86">
        <v>450</v>
      </c>
      <c r="O79" s="6" t="s">
        <v>570</v>
      </c>
      <c r="P79" s="89">
        <v>42908</v>
      </c>
      <c r="Q79" s="60">
        <v>84.9</v>
      </c>
      <c r="R79" s="27" t="s">
        <v>684</v>
      </c>
      <c r="S79" s="67">
        <v>42939</v>
      </c>
      <c r="T79" s="68">
        <v>150</v>
      </c>
      <c r="U79" s="122" t="s">
        <v>431</v>
      </c>
      <c r="V79" s="72">
        <v>42962</v>
      </c>
      <c r="W79" s="73">
        <v>13100</v>
      </c>
      <c r="X79" s="126" t="s">
        <v>799</v>
      </c>
      <c r="Y79" s="136">
        <v>43000</v>
      </c>
      <c r="Z79" s="92">
        <v>5</v>
      </c>
      <c r="AA79" s="137" t="s">
        <v>927</v>
      </c>
      <c r="AB79" s="142">
        <v>43036</v>
      </c>
      <c r="AC79" s="143">
        <v>232</v>
      </c>
      <c r="AD79" s="145" t="s">
        <v>1009</v>
      </c>
      <c r="AE79" s="80">
        <v>43066</v>
      </c>
      <c r="AF79" s="148">
        <v>140</v>
      </c>
      <c r="AG79" s="147" t="s">
        <v>1068</v>
      </c>
      <c r="AH79" s="190">
        <v>43087</v>
      </c>
      <c r="AI79" s="191">
        <v>3300</v>
      </c>
      <c r="AJ79" s="193" t="s">
        <v>1141</v>
      </c>
    </row>
    <row r="80" spans="1:36" x14ac:dyDescent="0.25">
      <c r="A80" s="9">
        <v>42754</v>
      </c>
      <c r="B80" s="82">
        <v>33</v>
      </c>
      <c r="C80" s="7" t="s">
        <v>84</v>
      </c>
      <c r="D80" s="25">
        <v>42783</v>
      </c>
      <c r="E80" s="23">
        <v>130</v>
      </c>
      <c r="F80" s="5" t="s">
        <v>201</v>
      </c>
      <c r="G80" s="61">
        <v>42810</v>
      </c>
      <c r="H80" s="62">
        <v>201</v>
      </c>
      <c r="I80" s="63" t="s">
        <v>316</v>
      </c>
      <c r="J80" s="34">
        <v>42843</v>
      </c>
      <c r="K80" s="84">
        <v>350</v>
      </c>
      <c r="L80" s="39" t="s">
        <v>439</v>
      </c>
      <c r="M80" s="83">
        <v>42870</v>
      </c>
      <c r="N80" s="86">
        <v>4000</v>
      </c>
      <c r="O80" s="6" t="s">
        <v>571</v>
      </c>
      <c r="P80" s="89">
        <v>42908</v>
      </c>
      <c r="Q80" s="60">
        <v>300</v>
      </c>
      <c r="R80" s="27" t="s">
        <v>685</v>
      </c>
      <c r="S80" s="67">
        <v>42939</v>
      </c>
      <c r="T80" s="68">
        <v>150</v>
      </c>
      <c r="U80" s="122" t="s">
        <v>741</v>
      </c>
      <c r="V80" s="72">
        <v>42962</v>
      </c>
      <c r="W80" s="73">
        <v>200</v>
      </c>
      <c r="X80" s="126" t="s">
        <v>830</v>
      </c>
      <c r="Y80" s="136">
        <v>43000</v>
      </c>
      <c r="Z80" s="92">
        <v>13.5</v>
      </c>
      <c r="AA80" s="93" t="s">
        <v>928</v>
      </c>
      <c r="AB80" s="142">
        <v>43037</v>
      </c>
      <c r="AC80" s="143">
        <v>120</v>
      </c>
      <c r="AD80" s="145" t="s">
        <v>456</v>
      </c>
      <c r="AE80" s="80">
        <v>43066</v>
      </c>
      <c r="AF80" s="148">
        <v>530</v>
      </c>
      <c r="AG80" s="147" t="s">
        <v>1080</v>
      </c>
      <c r="AH80" s="190">
        <v>43088</v>
      </c>
      <c r="AI80" s="191">
        <v>485.3</v>
      </c>
      <c r="AJ80" s="193" t="s">
        <v>1142</v>
      </c>
    </row>
    <row r="81" spans="1:36" x14ac:dyDescent="0.25">
      <c r="A81" s="9">
        <v>42754</v>
      </c>
      <c r="B81" s="82">
        <v>266</v>
      </c>
      <c r="C81" s="7" t="s">
        <v>84</v>
      </c>
      <c r="D81" s="25">
        <v>42784</v>
      </c>
      <c r="E81" s="23">
        <v>400</v>
      </c>
      <c r="F81" s="5" t="s">
        <v>202</v>
      </c>
      <c r="G81" s="61">
        <v>42810</v>
      </c>
      <c r="H81" s="62">
        <v>80</v>
      </c>
      <c r="I81" s="63" t="s">
        <v>317</v>
      </c>
      <c r="J81" s="34">
        <v>42843</v>
      </c>
      <c r="K81" s="84">
        <v>150</v>
      </c>
      <c r="L81" s="39" t="s">
        <v>440</v>
      </c>
      <c r="M81" s="83">
        <v>42870</v>
      </c>
      <c r="N81" s="86">
        <v>188</v>
      </c>
      <c r="O81" s="6" t="s">
        <v>572</v>
      </c>
      <c r="P81" s="89">
        <v>42908</v>
      </c>
      <c r="Q81" s="60">
        <v>179</v>
      </c>
      <c r="R81" s="27" t="s">
        <v>684</v>
      </c>
      <c r="S81" s="67">
        <v>42939</v>
      </c>
      <c r="T81" s="68">
        <v>120</v>
      </c>
      <c r="U81" s="122" t="s">
        <v>699</v>
      </c>
      <c r="V81" s="72">
        <v>42962</v>
      </c>
      <c r="W81" s="73">
        <v>400</v>
      </c>
      <c r="X81" s="126" t="s">
        <v>786</v>
      </c>
      <c r="Y81" s="136">
        <v>43001</v>
      </c>
      <c r="Z81" s="92">
        <v>280</v>
      </c>
      <c r="AA81" s="93" t="s">
        <v>929</v>
      </c>
      <c r="AB81" s="142">
        <v>43037</v>
      </c>
      <c r="AC81" s="143">
        <v>88</v>
      </c>
      <c r="AD81" s="145" t="s">
        <v>875</v>
      </c>
      <c r="AE81" s="80">
        <v>43067</v>
      </c>
      <c r="AF81" s="148">
        <v>18</v>
      </c>
      <c r="AG81" s="147" t="s">
        <v>1081</v>
      </c>
      <c r="AH81" s="190">
        <v>43088</v>
      </c>
      <c r="AI81" s="191">
        <v>4</v>
      </c>
      <c r="AJ81" s="193" t="s">
        <v>1143</v>
      </c>
    </row>
    <row r="82" spans="1:36" x14ac:dyDescent="0.25">
      <c r="A82" s="9">
        <v>42754</v>
      </c>
      <c r="B82" s="82">
        <v>150</v>
      </c>
      <c r="C82" s="7" t="s">
        <v>86</v>
      </c>
      <c r="D82" s="25">
        <v>42784</v>
      </c>
      <c r="E82" s="23">
        <v>700</v>
      </c>
      <c r="F82" s="5" t="s">
        <v>203</v>
      </c>
      <c r="G82" s="61">
        <v>42811</v>
      </c>
      <c r="H82" s="62">
        <v>1000</v>
      </c>
      <c r="I82" s="63" t="s">
        <v>318</v>
      </c>
      <c r="J82" s="34">
        <v>42843</v>
      </c>
      <c r="K82" s="84">
        <v>2350</v>
      </c>
      <c r="L82" s="39" t="s">
        <v>441</v>
      </c>
      <c r="M82" s="83">
        <v>42870</v>
      </c>
      <c r="N82" s="86">
        <v>50</v>
      </c>
      <c r="O82" s="6" t="s">
        <v>573</v>
      </c>
      <c r="P82" s="89">
        <v>42909</v>
      </c>
      <c r="Q82" s="60">
        <v>1000</v>
      </c>
      <c r="R82" s="27" t="s">
        <v>686</v>
      </c>
      <c r="S82" s="67">
        <v>42939</v>
      </c>
      <c r="T82" s="68">
        <v>310</v>
      </c>
      <c r="U82" s="121" t="s">
        <v>673</v>
      </c>
      <c r="V82" s="72">
        <v>42962</v>
      </c>
      <c r="W82" s="73">
        <v>25</v>
      </c>
      <c r="X82" s="126" t="s">
        <v>831</v>
      </c>
      <c r="Y82" s="136">
        <v>43002</v>
      </c>
      <c r="Z82" s="92">
        <v>120</v>
      </c>
      <c r="AA82" s="93" t="s">
        <v>895</v>
      </c>
      <c r="AB82" s="142">
        <v>43037</v>
      </c>
      <c r="AC82" s="143">
        <v>250</v>
      </c>
      <c r="AD82" s="145" t="s">
        <v>1010</v>
      </c>
      <c r="AE82" s="80">
        <v>43067</v>
      </c>
      <c r="AF82" s="148">
        <v>15</v>
      </c>
      <c r="AG82" s="147" t="s">
        <v>1082</v>
      </c>
      <c r="AH82" s="190">
        <v>43088</v>
      </c>
      <c r="AI82" s="191">
        <v>340</v>
      </c>
      <c r="AJ82" s="193" t="s">
        <v>1098</v>
      </c>
    </row>
    <row r="83" spans="1:36" x14ac:dyDescent="0.25">
      <c r="A83" s="9">
        <v>39102</v>
      </c>
      <c r="B83" s="82">
        <v>1000</v>
      </c>
      <c r="C83" s="7" t="s">
        <v>85</v>
      </c>
      <c r="D83" s="25">
        <v>42784</v>
      </c>
      <c r="E83" s="23">
        <v>700</v>
      </c>
      <c r="F83" s="5" t="s">
        <v>203</v>
      </c>
      <c r="G83" s="61">
        <v>42811</v>
      </c>
      <c r="H83" s="62">
        <v>420</v>
      </c>
      <c r="I83" s="63" t="s">
        <v>319</v>
      </c>
      <c r="J83" s="34">
        <v>42843</v>
      </c>
      <c r="K83" s="84">
        <v>2565</v>
      </c>
      <c r="L83" s="39" t="s">
        <v>442</v>
      </c>
      <c r="M83" s="83">
        <v>42870</v>
      </c>
      <c r="N83" s="86">
        <v>100</v>
      </c>
      <c r="O83" s="6" t="s">
        <v>575</v>
      </c>
      <c r="P83" s="89">
        <v>42909</v>
      </c>
      <c r="Q83" s="60">
        <v>162</v>
      </c>
      <c r="R83" s="27" t="s">
        <v>631</v>
      </c>
      <c r="S83" s="67">
        <v>42940</v>
      </c>
      <c r="T83" s="68">
        <v>400</v>
      </c>
      <c r="U83" s="121" t="s">
        <v>756</v>
      </c>
      <c r="V83" s="72">
        <v>42962</v>
      </c>
      <c r="W83" s="73">
        <v>4000</v>
      </c>
      <c r="X83" s="127" t="s">
        <v>832</v>
      </c>
      <c r="Y83" s="136">
        <v>43002</v>
      </c>
      <c r="Z83" s="92">
        <v>196.7</v>
      </c>
      <c r="AA83" s="93" t="s">
        <v>875</v>
      </c>
      <c r="AB83" s="142">
        <v>43038</v>
      </c>
      <c r="AC83" s="143">
        <v>40.5</v>
      </c>
      <c r="AD83" s="145" t="s">
        <v>1011</v>
      </c>
      <c r="AE83" s="80">
        <v>43067</v>
      </c>
      <c r="AF83" s="148">
        <v>4</v>
      </c>
      <c r="AG83" s="147" t="s">
        <v>1083</v>
      </c>
      <c r="AH83" s="190">
        <v>43088</v>
      </c>
      <c r="AI83" s="191">
        <v>200</v>
      </c>
      <c r="AJ83" s="193" t="s">
        <v>1096</v>
      </c>
    </row>
    <row r="84" spans="1:36" x14ac:dyDescent="0.25">
      <c r="A84" s="9">
        <v>42755</v>
      </c>
      <c r="B84" s="82">
        <v>1000</v>
      </c>
      <c r="C84" s="7" t="s">
        <v>87</v>
      </c>
      <c r="D84" s="25">
        <v>42784</v>
      </c>
      <c r="E84" s="23">
        <v>300</v>
      </c>
      <c r="F84" s="5" t="s">
        <v>204</v>
      </c>
      <c r="G84" s="61">
        <v>42812</v>
      </c>
      <c r="H84" s="62">
        <v>500</v>
      </c>
      <c r="I84" s="61" t="s">
        <v>320</v>
      </c>
      <c r="J84" s="34">
        <v>42833</v>
      </c>
      <c r="K84" s="84">
        <v>141</v>
      </c>
      <c r="L84" s="39" t="s">
        <v>443</v>
      </c>
      <c r="M84" s="83">
        <v>42872</v>
      </c>
      <c r="N84" s="86">
        <v>219</v>
      </c>
      <c r="O84" s="6" t="s">
        <v>576</v>
      </c>
      <c r="P84" s="89">
        <v>42909</v>
      </c>
      <c r="Q84" s="60">
        <v>47.5</v>
      </c>
      <c r="R84" s="27" t="s">
        <v>687</v>
      </c>
      <c r="S84" s="67">
        <v>42940</v>
      </c>
      <c r="T84" s="68">
        <v>350</v>
      </c>
      <c r="U84" s="121" t="s">
        <v>744</v>
      </c>
      <c r="V84" s="125">
        <v>42964</v>
      </c>
      <c r="W84" s="130">
        <v>700</v>
      </c>
      <c r="X84" s="127" t="s">
        <v>835</v>
      </c>
      <c r="Y84" s="136">
        <v>43003</v>
      </c>
      <c r="Z84" s="92">
        <v>310</v>
      </c>
      <c r="AA84" s="93" t="s">
        <v>877</v>
      </c>
      <c r="AB84" s="142">
        <v>43038</v>
      </c>
      <c r="AC84" s="143">
        <v>315</v>
      </c>
      <c r="AD84" s="144" t="s">
        <v>1012</v>
      </c>
      <c r="AE84" s="80">
        <v>43069</v>
      </c>
      <c r="AF84" s="148">
        <v>350</v>
      </c>
      <c r="AG84" s="146" t="s">
        <v>1084</v>
      </c>
      <c r="AH84" s="190">
        <v>43089</v>
      </c>
      <c r="AI84" s="191">
        <v>600</v>
      </c>
      <c r="AJ84" s="192" t="s">
        <v>1144</v>
      </c>
    </row>
    <row r="85" spans="1:36" x14ac:dyDescent="0.25">
      <c r="A85" s="9">
        <v>42755</v>
      </c>
      <c r="B85" s="82">
        <v>350</v>
      </c>
      <c r="C85" s="7" t="s">
        <v>88</v>
      </c>
      <c r="D85" s="25">
        <v>42785</v>
      </c>
      <c r="E85" s="23">
        <v>142</v>
      </c>
      <c r="F85" s="5" t="s">
        <v>148</v>
      </c>
      <c r="G85" s="61">
        <v>42813</v>
      </c>
      <c r="H85" s="62">
        <v>122.5</v>
      </c>
      <c r="I85" s="63" t="s">
        <v>148</v>
      </c>
      <c r="J85" s="34">
        <v>42844</v>
      </c>
      <c r="K85" s="84">
        <v>349</v>
      </c>
      <c r="L85" s="39" t="s">
        <v>444</v>
      </c>
      <c r="M85" s="83">
        <v>42872</v>
      </c>
      <c r="N85" s="86">
        <v>350</v>
      </c>
      <c r="O85" s="6" t="s">
        <v>578</v>
      </c>
      <c r="P85" s="89">
        <v>42909</v>
      </c>
      <c r="Q85" s="60">
        <v>1000</v>
      </c>
      <c r="R85" s="27" t="s">
        <v>688</v>
      </c>
      <c r="S85" s="67">
        <v>42940</v>
      </c>
      <c r="T85" s="68">
        <v>12</v>
      </c>
      <c r="U85" s="121" t="s">
        <v>757</v>
      </c>
      <c r="V85" s="125">
        <v>42964</v>
      </c>
      <c r="W85" s="130">
        <v>88</v>
      </c>
      <c r="X85" s="127" t="s">
        <v>797</v>
      </c>
      <c r="Y85" s="136">
        <v>43003</v>
      </c>
      <c r="Z85" s="92">
        <v>88</v>
      </c>
      <c r="AA85" s="93" t="s">
        <v>930</v>
      </c>
      <c r="AB85" s="142">
        <v>43039</v>
      </c>
      <c r="AC85" s="143">
        <v>5000</v>
      </c>
      <c r="AD85" s="144" t="s">
        <v>1013</v>
      </c>
      <c r="AE85" s="80">
        <v>43069</v>
      </c>
      <c r="AF85" s="148">
        <v>100</v>
      </c>
      <c r="AG85" s="146" t="s">
        <v>1085</v>
      </c>
      <c r="AH85" s="190">
        <v>43089</v>
      </c>
      <c r="AI85" s="191">
        <v>300</v>
      </c>
      <c r="AJ85" s="192" t="s">
        <v>1097</v>
      </c>
    </row>
    <row r="86" spans="1:36" x14ac:dyDescent="0.25">
      <c r="A86" s="9">
        <v>42755</v>
      </c>
      <c r="B86" s="82">
        <v>400</v>
      </c>
      <c r="C86" s="7" t="s">
        <v>89</v>
      </c>
      <c r="D86" s="25">
        <v>42786</v>
      </c>
      <c r="E86" s="23">
        <v>150</v>
      </c>
      <c r="F86" s="5" t="s">
        <v>164</v>
      </c>
      <c r="G86" s="61">
        <v>42813</v>
      </c>
      <c r="H86" s="62">
        <v>120</v>
      </c>
      <c r="I86" s="63" t="s">
        <v>16</v>
      </c>
      <c r="J86" s="34">
        <v>42845</v>
      </c>
      <c r="K86" s="101">
        <v>10000</v>
      </c>
      <c r="L86" s="102" t="s">
        <v>445</v>
      </c>
      <c r="M86" s="83">
        <v>42874</v>
      </c>
      <c r="N86" s="86">
        <v>340</v>
      </c>
      <c r="O86" s="6" t="s">
        <v>577</v>
      </c>
      <c r="P86" s="89">
        <v>42909</v>
      </c>
      <c r="Q86" s="60">
        <v>250</v>
      </c>
      <c r="R86" s="27" t="s">
        <v>689</v>
      </c>
      <c r="S86" s="67">
        <v>42940</v>
      </c>
      <c r="T86" s="68">
        <v>188</v>
      </c>
      <c r="U86" s="69" t="s">
        <v>757</v>
      </c>
      <c r="V86" s="125">
        <v>42964</v>
      </c>
      <c r="W86" s="130">
        <v>290</v>
      </c>
      <c r="X86" s="127" t="s">
        <v>770</v>
      </c>
      <c r="Y86" s="136">
        <v>43004</v>
      </c>
      <c r="Z86" s="92">
        <v>280</v>
      </c>
      <c r="AA86" s="137" t="s">
        <v>918</v>
      </c>
      <c r="AB86" s="76">
        <v>43039</v>
      </c>
      <c r="AC86" s="77">
        <v>10000</v>
      </c>
      <c r="AD86" s="144" t="s">
        <v>1014</v>
      </c>
      <c r="AE86" s="80">
        <v>43069</v>
      </c>
      <c r="AF86" s="148">
        <v>450</v>
      </c>
      <c r="AG86" s="146" t="s">
        <v>1086</v>
      </c>
      <c r="AH86" s="190">
        <v>43090</v>
      </c>
      <c r="AI86" s="191">
        <v>330</v>
      </c>
      <c r="AJ86" s="192" t="s">
        <v>1098</v>
      </c>
    </row>
    <row r="87" spans="1:36" x14ac:dyDescent="0.25">
      <c r="A87" s="9">
        <v>42755</v>
      </c>
      <c r="B87" s="82">
        <v>250</v>
      </c>
      <c r="C87" s="7" t="s">
        <v>90</v>
      </c>
      <c r="D87" s="25">
        <v>42786</v>
      </c>
      <c r="E87" s="23">
        <v>120</v>
      </c>
      <c r="F87" s="5" t="s">
        <v>173</v>
      </c>
      <c r="G87" s="61">
        <v>42813</v>
      </c>
      <c r="H87" s="62">
        <v>150</v>
      </c>
      <c r="I87" s="63" t="s">
        <v>264</v>
      </c>
      <c r="J87" s="34">
        <v>42846</v>
      </c>
      <c r="K87" s="101">
        <v>1320</v>
      </c>
      <c r="L87" s="102" t="s">
        <v>446</v>
      </c>
      <c r="M87" s="83">
        <v>42874</v>
      </c>
      <c r="N87" s="86">
        <v>385</v>
      </c>
      <c r="O87" s="6" t="s">
        <v>579</v>
      </c>
      <c r="P87" s="89">
        <v>42909</v>
      </c>
      <c r="Q87" s="60">
        <v>150</v>
      </c>
      <c r="R87" s="27" t="s">
        <v>687</v>
      </c>
      <c r="S87" s="67">
        <v>42940</v>
      </c>
      <c r="T87" s="68">
        <v>1000</v>
      </c>
      <c r="U87" s="69" t="s">
        <v>752</v>
      </c>
      <c r="V87" s="125">
        <v>42934</v>
      </c>
      <c r="W87" s="130">
        <v>210</v>
      </c>
      <c r="X87" s="126" t="s">
        <v>780</v>
      </c>
      <c r="Y87" s="136">
        <v>43004</v>
      </c>
      <c r="Z87" s="92">
        <v>840</v>
      </c>
      <c r="AA87" s="137" t="s">
        <v>931</v>
      </c>
      <c r="AB87" s="142">
        <v>43039</v>
      </c>
      <c r="AC87" s="143">
        <v>450</v>
      </c>
      <c r="AD87" s="144" t="s">
        <v>1015</v>
      </c>
      <c r="AE87" s="80">
        <v>43069</v>
      </c>
      <c r="AF87" s="148">
        <v>100</v>
      </c>
      <c r="AG87" s="146" t="s">
        <v>1087</v>
      </c>
      <c r="AH87" s="190">
        <v>43090</v>
      </c>
      <c r="AI87" s="191">
        <v>300</v>
      </c>
      <c r="AJ87" s="192" t="s">
        <v>1097</v>
      </c>
    </row>
    <row r="88" spans="1:36" x14ac:dyDescent="0.25">
      <c r="A88" s="9">
        <v>42755</v>
      </c>
      <c r="B88" s="82">
        <v>490</v>
      </c>
      <c r="C88" s="7" t="s">
        <v>91</v>
      </c>
      <c r="D88" s="25">
        <v>42786</v>
      </c>
      <c r="E88" s="23">
        <v>40</v>
      </c>
      <c r="F88" s="5" t="s">
        <v>205</v>
      </c>
      <c r="G88" s="61">
        <v>42814</v>
      </c>
      <c r="H88" s="62">
        <v>400</v>
      </c>
      <c r="I88" s="63" t="s">
        <v>321</v>
      </c>
      <c r="J88" s="34">
        <v>42846</v>
      </c>
      <c r="K88" s="101">
        <v>320</v>
      </c>
      <c r="L88" s="102" t="s">
        <v>447</v>
      </c>
      <c r="M88" s="83">
        <v>42874</v>
      </c>
      <c r="N88" s="86">
        <v>1200</v>
      </c>
      <c r="O88" s="6" t="s">
        <v>580</v>
      </c>
      <c r="P88" s="89">
        <v>42911</v>
      </c>
      <c r="Q88" s="60">
        <v>123</v>
      </c>
      <c r="R88" s="27" t="s">
        <v>537</v>
      </c>
      <c r="S88" s="67">
        <v>42941</v>
      </c>
      <c r="T88" s="68">
        <v>87.5</v>
      </c>
      <c r="U88" s="69" t="s">
        <v>758</v>
      </c>
      <c r="V88" s="125">
        <v>42965</v>
      </c>
      <c r="W88" s="130">
        <v>250</v>
      </c>
      <c r="X88" s="127" t="s">
        <v>833</v>
      </c>
      <c r="Y88" s="136">
        <v>43004</v>
      </c>
      <c r="Z88" s="92">
        <v>40</v>
      </c>
      <c r="AA88" s="137" t="s">
        <v>932</v>
      </c>
      <c r="AB88" s="142">
        <v>43039</v>
      </c>
      <c r="AC88" s="143">
        <v>100</v>
      </c>
      <c r="AD88" s="144" t="s">
        <v>1016</v>
      </c>
      <c r="AE88" s="80">
        <v>43069</v>
      </c>
      <c r="AF88" s="148">
        <v>300</v>
      </c>
      <c r="AG88" s="146" t="s">
        <v>1088</v>
      </c>
      <c r="AH88" s="190">
        <v>43090</v>
      </c>
      <c r="AI88" s="191">
        <v>200</v>
      </c>
      <c r="AJ88" s="192" t="s">
        <v>1096</v>
      </c>
    </row>
    <row r="89" spans="1:36" x14ac:dyDescent="0.25">
      <c r="A89" s="9">
        <v>42756</v>
      </c>
      <c r="B89" s="82">
        <v>500</v>
      </c>
      <c r="C89" s="7" t="s">
        <v>92</v>
      </c>
      <c r="D89" s="25">
        <v>42786</v>
      </c>
      <c r="E89" s="23">
        <v>310</v>
      </c>
      <c r="F89" s="5" t="s">
        <v>176</v>
      </c>
      <c r="G89" s="61">
        <v>42814</v>
      </c>
      <c r="H89" s="62">
        <v>400</v>
      </c>
      <c r="I89" s="63" t="s">
        <v>322</v>
      </c>
      <c r="J89" s="38">
        <v>42846</v>
      </c>
      <c r="K89" s="84">
        <v>250</v>
      </c>
      <c r="L89" s="39" t="s">
        <v>448</v>
      </c>
      <c r="M89" s="83">
        <v>42874</v>
      </c>
      <c r="N89" s="86">
        <v>1400</v>
      </c>
      <c r="O89" s="6" t="s">
        <v>581</v>
      </c>
      <c r="P89" s="89">
        <v>42911</v>
      </c>
      <c r="Q89" s="60">
        <v>120</v>
      </c>
      <c r="R89" s="27" t="s">
        <v>690</v>
      </c>
      <c r="S89" s="67">
        <v>42941</v>
      </c>
      <c r="T89" s="68">
        <v>77</v>
      </c>
      <c r="U89" s="121" t="s">
        <v>759</v>
      </c>
      <c r="V89" s="125">
        <v>42965</v>
      </c>
      <c r="W89" s="130">
        <v>1000</v>
      </c>
      <c r="X89" s="127" t="s">
        <v>834</v>
      </c>
      <c r="Y89" s="136">
        <v>43005</v>
      </c>
      <c r="Z89" s="92">
        <v>32</v>
      </c>
      <c r="AA89" s="137" t="s">
        <v>930</v>
      </c>
      <c r="AB89" s="142">
        <v>43039</v>
      </c>
      <c r="AC89" s="143">
        <v>300</v>
      </c>
      <c r="AD89" s="144" t="s">
        <v>1017</v>
      </c>
      <c r="AE89" s="80">
        <v>43069</v>
      </c>
      <c r="AF89" s="148">
        <v>1000</v>
      </c>
      <c r="AG89" s="146" t="s">
        <v>1089</v>
      </c>
      <c r="AH89" s="190">
        <v>43091</v>
      </c>
      <c r="AI89" s="191">
        <v>224</v>
      </c>
      <c r="AJ89" s="192" t="s">
        <v>1145</v>
      </c>
    </row>
    <row r="90" spans="1:36" x14ac:dyDescent="0.25">
      <c r="A90" s="9">
        <v>42756</v>
      </c>
      <c r="B90" s="82">
        <v>149</v>
      </c>
      <c r="C90" s="7" t="s">
        <v>95</v>
      </c>
      <c r="D90" s="25">
        <v>42786</v>
      </c>
      <c r="E90" s="23">
        <v>417.5</v>
      </c>
      <c r="F90" s="5" t="s">
        <v>206</v>
      </c>
      <c r="G90" s="61">
        <v>42814</v>
      </c>
      <c r="H90" s="62">
        <v>500</v>
      </c>
      <c r="I90" s="98" t="s">
        <v>323</v>
      </c>
      <c r="J90" s="38">
        <v>42846</v>
      </c>
      <c r="K90" s="84">
        <v>150</v>
      </c>
      <c r="L90" s="39" t="s">
        <v>448</v>
      </c>
      <c r="M90" s="83">
        <v>42874</v>
      </c>
      <c r="N90" s="86">
        <v>440</v>
      </c>
      <c r="O90" s="6" t="s">
        <v>582</v>
      </c>
      <c r="P90" s="89">
        <v>42912</v>
      </c>
      <c r="Q90" s="60">
        <v>14050</v>
      </c>
      <c r="R90" s="27" t="s">
        <v>691</v>
      </c>
      <c r="S90" s="67">
        <v>42941</v>
      </c>
      <c r="T90" s="68">
        <v>600</v>
      </c>
      <c r="U90" s="121" t="s">
        <v>760</v>
      </c>
      <c r="V90" s="125">
        <v>42966</v>
      </c>
      <c r="W90" s="130">
        <v>27.5</v>
      </c>
      <c r="X90" s="126" t="s">
        <v>836</v>
      </c>
      <c r="Y90" s="136">
        <v>43005</v>
      </c>
      <c r="Z90" s="92">
        <v>190</v>
      </c>
      <c r="AA90" s="137" t="s">
        <v>933</v>
      </c>
      <c r="AB90" s="142">
        <v>43039</v>
      </c>
      <c r="AC90" s="143">
        <v>4000</v>
      </c>
      <c r="AD90" s="144" t="s">
        <v>1018</v>
      </c>
      <c r="AE90" s="78"/>
      <c r="AF90" s="79"/>
      <c r="AG90" s="55"/>
      <c r="AH90" s="190">
        <v>43091</v>
      </c>
      <c r="AI90" s="191">
        <v>283.8</v>
      </c>
      <c r="AJ90" s="192" t="s">
        <v>1146</v>
      </c>
    </row>
    <row r="91" spans="1:36" x14ac:dyDescent="0.25">
      <c r="A91" s="9">
        <v>42756</v>
      </c>
      <c r="B91" s="82">
        <v>5</v>
      </c>
      <c r="C91" s="7" t="s">
        <v>93</v>
      </c>
      <c r="D91" s="25">
        <v>42786</v>
      </c>
      <c r="E91" s="23">
        <v>100</v>
      </c>
      <c r="F91" s="5" t="s">
        <v>207</v>
      </c>
      <c r="G91" s="61">
        <v>42815</v>
      </c>
      <c r="H91" s="62">
        <v>4000</v>
      </c>
      <c r="I91" s="63" t="s">
        <v>324</v>
      </c>
      <c r="J91" s="38">
        <v>42846</v>
      </c>
      <c r="K91" s="84">
        <v>180</v>
      </c>
      <c r="L91" s="39" t="s">
        <v>449</v>
      </c>
      <c r="M91" s="83">
        <v>42874</v>
      </c>
      <c r="N91" s="86">
        <v>350</v>
      </c>
      <c r="O91" s="6" t="s">
        <v>583</v>
      </c>
      <c r="P91" s="89"/>
      <c r="Q91" s="60"/>
      <c r="R91" s="27"/>
      <c r="S91" s="67">
        <v>42942</v>
      </c>
      <c r="T91" s="68">
        <v>2100</v>
      </c>
      <c r="U91" s="121" t="s">
        <v>752</v>
      </c>
      <c r="V91" s="125">
        <v>42966</v>
      </c>
      <c r="W91" s="130">
        <v>195</v>
      </c>
      <c r="X91" s="126" t="s">
        <v>837</v>
      </c>
      <c r="Y91" s="136">
        <v>43005</v>
      </c>
      <c r="Z91" s="92">
        <v>10100</v>
      </c>
      <c r="AA91" s="137" t="s">
        <v>934</v>
      </c>
      <c r="AB91" s="142">
        <v>43039</v>
      </c>
      <c r="AC91" s="143">
        <v>1000</v>
      </c>
      <c r="AD91" s="94" t="s">
        <v>1019</v>
      </c>
      <c r="AE91" s="78"/>
      <c r="AF91" s="79"/>
      <c r="AG91" s="55"/>
      <c r="AH91" s="190">
        <v>43091</v>
      </c>
      <c r="AI91" s="191">
        <v>294</v>
      </c>
      <c r="AJ91" s="197" t="s">
        <v>1147</v>
      </c>
    </row>
    <row r="92" spans="1:36" x14ac:dyDescent="0.25">
      <c r="A92" s="9">
        <v>42756</v>
      </c>
      <c r="B92" s="82">
        <v>116</v>
      </c>
      <c r="C92" s="7" t="s">
        <v>94</v>
      </c>
      <c r="D92" s="25">
        <v>42786</v>
      </c>
      <c r="E92" s="23">
        <v>60</v>
      </c>
      <c r="F92" s="5" t="s">
        <v>208</v>
      </c>
      <c r="G92" s="61">
        <v>42815</v>
      </c>
      <c r="H92" s="62">
        <v>200</v>
      </c>
      <c r="I92" s="63" t="s">
        <v>325</v>
      </c>
      <c r="J92" s="38">
        <v>42846</v>
      </c>
      <c r="K92" s="84">
        <v>500</v>
      </c>
      <c r="L92" s="39" t="s">
        <v>450</v>
      </c>
      <c r="M92" s="83">
        <v>42874</v>
      </c>
      <c r="N92" s="86">
        <v>398</v>
      </c>
      <c r="O92" s="6" t="s">
        <v>514</v>
      </c>
      <c r="P92" s="89"/>
      <c r="Q92" s="60"/>
      <c r="R92" s="27"/>
      <c r="S92" s="67">
        <v>42942</v>
      </c>
      <c r="T92" s="68">
        <v>10000</v>
      </c>
      <c r="U92" s="121" t="s">
        <v>761</v>
      </c>
      <c r="V92" s="125">
        <v>42966</v>
      </c>
      <c r="W92" s="130">
        <v>500</v>
      </c>
      <c r="X92" s="126" t="s">
        <v>838</v>
      </c>
      <c r="Y92" s="136">
        <v>43006</v>
      </c>
      <c r="Z92" s="92">
        <v>34</v>
      </c>
      <c r="AA92" s="137" t="s">
        <v>904</v>
      </c>
      <c r="AB92" s="76"/>
      <c r="AC92" s="77"/>
      <c r="AD92" s="94"/>
      <c r="AE92" s="78"/>
      <c r="AF92" s="79"/>
      <c r="AG92" s="55"/>
      <c r="AH92" s="190">
        <v>43091</v>
      </c>
      <c r="AI92" s="191">
        <v>75</v>
      </c>
      <c r="AJ92" s="197" t="s">
        <v>1148</v>
      </c>
    </row>
    <row r="93" spans="1:36" x14ac:dyDescent="0.25">
      <c r="A93" s="9">
        <v>42756</v>
      </c>
      <c r="B93" s="82">
        <v>44</v>
      </c>
      <c r="C93" s="7" t="s">
        <v>18</v>
      </c>
      <c r="D93" s="25">
        <v>42786</v>
      </c>
      <c r="E93" s="23">
        <v>37.5</v>
      </c>
      <c r="F93" s="5" t="s">
        <v>209</v>
      </c>
      <c r="G93" s="61">
        <v>42815</v>
      </c>
      <c r="H93" s="62">
        <v>870</v>
      </c>
      <c r="I93" s="63" t="s">
        <v>326</v>
      </c>
      <c r="J93" s="38">
        <v>42846</v>
      </c>
      <c r="K93" s="84">
        <v>350</v>
      </c>
      <c r="L93" s="39" t="s">
        <v>451</v>
      </c>
      <c r="M93" s="83">
        <v>42874</v>
      </c>
      <c r="N93" s="86">
        <v>1000</v>
      </c>
      <c r="O93" s="6" t="s">
        <v>584</v>
      </c>
      <c r="P93" s="89"/>
      <c r="Q93" s="60"/>
      <c r="R93" s="27"/>
      <c r="S93" s="67">
        <v>42944</v>
      </c>
      <c r="T93" s="68">
        <v>1000</v>
      </c>
      <c r="U93" s="50" t="s">
        <v>762</v>
      </c>
      <c r="V93" s="125">
        <v>42967</v>
      </c>
      <c r="W93" s="130">
        <v>116</v>
      </c>
      <c r="X93" s="126" t="s">
        <v>797</v>
      </c>
      <c r="Y93" s="136">
        <v>43006</v>
      </c>
      <c r="Z93" s="92">
        <v>250</v>
      </c>
      <c r="AA93" s="138" t="s">
        <v>918</v>
      </c>
      <c r="AB93" s="76"/>
      <c r="AC93" s="77"/>
      <c r="AD93" s="94"/>
      <c r="AE93" s="78"/>
      <c r="AF93" s="79"/>
      <c r="AG93" s="55"/>
      <c r="AH93" s="190">
        <v>43091</v>
      </c>
      <c r="AI93" s="191">
        <v>1250</v>
      </c>
      <c r="AJ93" s="192" t="s">
        <v>1149</v>
      </c>
    </row>
    <row r="94" spans="1:36" x14ac:dyDescent="0.25">
      <c r="A94" s="9">
        <v>42756</v>
      </c>
      <c r="B94" s="82">
        <v>120</v>
      </c>
      <c r="C94" s="7" t="s">
        <v>16</v>
      </c>
      <c r="D94" s="25">
        <v>42786</v>
      </c>
      <c r="E94" s="23">
        <v>50</v>
      </c>
      <c r="F94" s="5" t="s">
        <v>210</v>
      </c>
      <c r="G94" s="61">
        <v>42815</v>
      </c>
      <c r="H94" s="62">
        <v>1400</v>
      </c>
      <c r="I94" s="63" t="s">
        <v>300</v>
      </c>
      <c r="J94" s="38">
        <v>42846</v>
      </c>
      <c r="K94" s="84">
        <v>1000</v>
      </c>
      <c r="L94" s="39" t="s">
        <v>452</v>
      </c>
      <c r="M94" s="83">
        <v>42875</v>
      </c>
      <c r="N94" s="86">
        <v>220</v>
      </c>
      <c r="O94" s="6" t="s">
        <v>585</v>
      </c>
      <c r="P94" s="89"/>
      <c r="Q94" s="60"/>
      <c r="R94" s="27"/>
      <c r="S94" s="67">
        <v>42944</v>
      </c>
      <c r="T94" s="68">
        <v>500</v>
      </c>
      <c r="U94" s="50" t="s">
        <v>763</v>
      </c>
      <c r="V94" s="125">
        <v>42967</v>
      </c>
      <c r="W94" s="130">
        <v>120</v>
      </c>
      <c r="X94" s="126" t="s">
        <v>839</v>
      </c>
      <c r="Y94" s="136">
        <v>43006</v>
      </c>
      <c r="Z94" s="92">
        <v>15</v>
      </c>
      <c r="AA94" s="138" t="s">
        <v>935</v>
      </c>
      <c r="AB94" s="76"/>
      <c r="AC94" s="77"/>
      <c r="AD94" s="94"/>
      <c r="AE94" s="78"/>
      <c r="AF94" s="79"/>
      <c r="AG94" s="55"/>
      <c r="AH94" s="190">
        <v>43091</v>
      </c>
      <c r="AI94" s="191">
        <v>150</v>
      </c>
      <c r="AJ94" s="192" t="s">
        <v>431</v>
      </c>
    </row>
    <row r="95" spans="1:36" x14ac:dyDescent="0.25">
      <c r="A95" s="9">
        <v>42758</v>
      </c>
      <c r="B95" s="82">
        <v>400</v>
      </c>
      <c r="C95" s="7" t="s">
        <v>96</v>
      </c>
      <c r="D95" s="25">
        <v>42787</v>
      </c>
      <c r="E95" s="23">
        <v>1300</v>
      </c>
      <c r="F95" s="5" t="s">
        <v>211</v>
      </c>
      <c r="G95" s="61">
        <v>42815</v>
      </c>
      <c r="H95" s="62">
        <v>210</v>
      </c>
      <c r="I95" s="63" t="s">
        <v>327</v>
      </c>
      <c r="J95" s="38">
        <v>42846</v>
      </c>
      <c r="K95" s="84">
        <v>1460</v>
      </c>
      <c r="L95" s="39" t="s">
        <v>453</v>
      </c>
      <c r="M95" s="83">
        <v>42875</v>
      </c>
      <c r="N95" s="86">
        <v>500</v>
      </c>
      <c r="O95" s="6" t="s">
        <v>586</v>
      </c>
      <c r="P95" s="89"/>
      <c r="Q95" s="60"/>
      <c r="R95" s="27"/>
      <c r="S95" s="67">
        <v>42944</v>
      </c>
      <c r="T95" s="68">
        <v>120</v>
      </c>
      <c r="U95" s="50" t="s">
        <v>456</v>
      </c>
      <c r="V95" s="125">
        <v>42967</v>
      </c>
      <c r="W95" s="130">
        <v>150</v>
      </c>
      <c r="X95" s="126" t="s">
        <v>404</v>
      </c>
      <c r="Y95" s="136">
        <v>43007</v>
      </c>
      <c r="Z95" s="92">
        <v>1250</v>
      </c>
      <c r="AA95" s="137" t="s">
        <v>936</v>
      </c>
      <c r="AB95" s="76"/>
      <c r="AC95" s="77"/>
      <c r="AD95" s="94"/>
      <c r="AE95" s="78"/>
      <c r="AF95" s="79"/>
      <c r="AG95" s="55"/>
      <c r="AH95" s="190">
        <v>43091</v>
      </c>
      <c r="AI95" s="191">
        <v>120</v>
      </c>
      <c r="AJ95" s="192" t="s">
        <v>1150</v>
      </c>
    </row>
    <row r="96" spans="1:36" x14ac:dyDescent="0.25">
      <c r="A96" s="9">
        <v>42758</v>
      </c>
      <c r="B96" s="82">
        <v>189</v>
      </c>
      <c r="C96" s="7" t="s">
        <v>97</v>
      </c>
      <c r="D96" s="25">
        <v>42787</v>
      </c>
      <c r="E96" s="23">
        <v>1760</v>
      </c>
      <c r="F96" s="5" t="s">
        <v>212</v>
      </c>
      <c r="G96" s="61">
        <v>42815</v>
      </c>
      <c r="H96" s="62">
        <v>300</v>
      </c>
      <c r="I96" s="63" t="s">
        <v>328</v>
      </c>
      <c r="J96" s="38">
        <v>42846</v>
      </c>
      <c r="K96" s="84">
        <v>400</v>
      </c>
      <c r="L96" s="39" t="s">
        <v>454</v>
      </c>
      <c r="M96" s="83">
        <v>42875</v>
      </c>
      <c r="N96" s="86">
        <v>350</v>
      </c>
      <c r="O96" s="6" t="s">
        <v>587</v>
      </c>
      <c r="P96" s="89"/>
      <c r="Q96" s="60"/>
      <c r="R96" s="27"/>
      <c r="S96" s="67">
        <v>42944</v>
      </c>
      <c r="T96" s="68">
        <v>150</v>
      </c>
      <c r="U96" s="90" t="s">
        <v>404</v>
      </c>
      <c r="V96" s="125">
        <v>42967</v>
      </c>
      <c r="W96" s="130">
        <v>195</v>
      </c>
      <c r="X96" s="126" t="s">
        <v>840</v>
      </c>
      <c r="Y96" s="136">
        <v>43007</v>
      </c>
      <c r="Z96" s="139">
        <v>100</v>
      </c>
      <c r="AA96" s="137" t="s">
        <v>937</v>
      </c>
      <c r="AB96" s="76"/>
      <c r="AC96" s="77"/>
      <c r="AD96" s="94"/>
      <c r="AE96" s="78"/>
      <c r="AF96" s="79"/>
      <c r="AG96" s="55"/>
      <c r="AH96" s="190">
        <v>43092</v>
      </c>
      <c r="AI96" s="191">
        <v>57</v>
      </c>
      <c r="AJ96" s="193" t="s">
        <v>1103</v>
      </c>
    </row>
    <row r="97" spans="1:36" x14ac:dyDescent="0.25">
      <c r="A97" s="9">
        <v>42758</v>
      </c>
      <c r="B97" s="82">
        <v>310</v>
      </c>
      <c r="C97" s="7" t="s">
        <v>20</v>
      </c>
      <c r="D97" s="25">
        <v>42788</v>
      </c>
      <c r="E97" s="23">
        <v>510</v>
      </c>
      <c r="F97" s="5" t="s">
        <v>213</v>
      </c>
      <c r="G97" s="61">
        <v>42815</v>
      </c>
      <c r="H97" s="62">
        <v>350</v>
      </c>
      <c r="I97" s="63" t="s">
        <v>329</v>
      </c>
      <c r="J97" s="38">
        <v>42847</v>
      </c>
      <c r="K97" s="84">
        <v>350</v>
      </c>
      <c r="L97" s="39" t="s">
        <v>455</v>
      </c>
      <c r="M97" s="83">
        <v>42876</v>
      </c>
      <c r="N97" s="86">
        <v>500</v>
      </c>
      <c r="O97" s="6" t="s">
        <v>588</v>
      </c>
      <c r="P97" s="89"/>
      <c r="Q97" s="60"/>
      <c r="R97" s="27"/>
      <c r="S97" s="67">
        <v>42946</v>
      </c>
      <c r="T97" s="68">
        <v>150</v>
      </c>
      <c r="U97" s="50" t="s">
        <v>148</v>
      </c>
      <c r="V97" s="125">
        <v>42967</v>
      </c>
      <c r="W97" s="130">
        <v>180</v>
      </c>
      <c r="X97" s="126" t="s">
        <v>841</v>
      </c>
      <c r="Y97" s="136">
        <v>43007</v>
      </c>
      <c r="Z97" s="92">
        <v>350</v>
      </c>
      <c r="AA97" s="137" t="s">
        <v>938</v>
      </c>
      <c r="AB97" s="76"/>
      <c r="AC97" s="77"/>
      <c r="AD97" s="94"/>
      <c r="AE97" s="78"/>
      <c r="AF97" s="79"/>
      <c r="AG97" s="55"/>
      <c r="AH97" s="190">
        <v>43092</v>
      </c>
      <c r="AI97" s="191">
        <v>112</v>
      </c>
      <c r="AJ97" s="192" t="s">
        <v>1103</v>
      </c>
    </row>
    <row r="98" spans="1:36" x14ac:dyDescent="0.25">
      <c r="A98" s="9">
        <v>42759</v>
      </c>
      <c r="B98" s="82">
        <v>1950</v>
      </c>
      <c r="C98" s="7" t="s">
        <v>98</v>
      </c>
      <c r="D98" s="25">
        <v>42788</v>
      </c>
      <c r="E98" s="23">
        <v>25</v>
      </c>
      <c r="F98" s="5" t="s">
        <v>214</v>
      </c>
      <c r="G98" s="61">
        <v>42815</v>
      </c>
      <c r="H98" s="62">
        <v>400</v>
      </c>
      <c r="I98" s="63" t="s">
        <v>330</v>
      </c>
      <c r="J98" s="38">
        <v>42847</v>
      </c>
      <c r="K98" s="84">
        <v>150</v>
      </c>
      <c r="L98" s="39" t="s">
        <v>456</v>
      </c>
      <c r="M98" s="83">
        <v>42876</v>
      </c>
      <c r="N98" s="86">
        <v>1393</v>
      </c>
      <c r="O98" s="6" t="s">
        <v>589</v>
      </c>
      <c r="P98" s="89"/>
      <c r="Q98" s="60"/>
      <c r="R98" s="27"/>
      <c r="S98" s="67">
        <v>42947</v>
      </c>
      <c r="T98" s="68">
        <v>300</v>
      </c>
      <c r="U98" s="50" t="s">
        <v>764</v>
      </c>
      <c r="V98" s="125">
        <v>42968</v>
      </c>
      <c r="W98" s="130">
        <v>500</v>
      </c>
      <c r="X98" s="126" t="s">
        <v>842</v>
      </c>
      <c r="Y98" s="136">
        <v>43007</v>
      </c>
      <c r="Z98" s="92">
        <v>155</v>
      </c>
      <c r="AA98" s="137" t="s">
        <v>939</v>
      </c>
      <c r="AB98" s="76"/>
      <c r="AC98" s="77"/>
      <c r="AD98" s="94"/>
      <c r="AE98" s="78"/>
      <c r="AF98" s="79"/>
      <c r="AG98" s="55"/>
      <c r="AH98" s="190">
        <v>43092</v>
      </c>
      <c r="AI98" s="191">
        <v>23</v>
      </c>
      <c r="AJ98" s="192" t="s">
        <v>1151</v>
      </c>
    </row>
    <row r="99" spans="1:36" x14ac:dyDescent="0.25">
      <c r="A99" s="9">
        <v>42759</v>
      </c>
      <c r="B99" s="82">
        <v>82.5</v>
      </c>
      <c r="C99" s="7" t="s">
        <v>99</v>
      </c>
      <c r="D99" s="25">
        <v>42788</v>
      </c>
      <c r="E99" s="23">
        <v>270</v>
      </c>
      <c r="F99" s="5" t="s">
        <v>215</v>
      </c>
      <c r="G99" s="61">
        <v>42816</v>
      </c>
      <c r="H99" s="62">
        <v>500</v>
      </c>
      <c r="I99" s="63" t="s">
        <v>331</v>
      </c>
      <c r="J99" s="38">
        <v>42847</v>
      </c>
      <c r="K99" s="84">
        <v>120</v>
      </c>
      <c r="L99" s="39" t="s">
        <v>404</v>
      </c>
      <c r="M99" s="83">
        <v>42876</v>
      </c>
      <c r="N99" s="86">
        <v>120</v>
      </c>
      <c r="O99" s="6" t="s">
        <v>590</v>
      </c>
      <c r="P99" s="89"/>
      <c r="Q99" s="60"/>
      <c r="R99" s="27"/>
      <c r="S99" s="67">
        <v>42947</v>
      </c>
      <c r="T99" s="68">
        <v>450</v>
      </c>
      <c r="U99" s="50" t="s">
        <v>765</v>
      </c>
      <c r="V99" s="125">
        <v>42968</v>
      </c>
      <c r="W99" s="130">
        <v>25</v>
      </c>
      <c r="X99" s="126" t="s">
        <v>843</v>
      </c>
      <c r="Y99" s="136">
        <v>43007</v>
      </c>
      <c r="Z99" s="92">
        <v>35</v>
      </c>
      <c r="AA99" s="137" t="s">
        <v>940</v>
      </c>
      <c r="AB99" s="76"/>
      <c r="AC99" s="77"/>
      <c r="AD99" s="94"/>
      <c r="AE99" s="78"/>
      <c r="AF99" s="79"/>
      <c r="AG99" s="55"/>
      <c r="AH99" s="190">
        <v>43092</v>
      </c>
      <c r="AI99" s="191">
        <v>15</v>
      </c>
      <c r="AJ99" s="192" t="s">
        <v>1152</v>
      </c>
    </row>
    <row r="100" spans="1:36" x14ac:dyDescent="0.25">
      <c r="A100" s="9">
        <v>42759</v>
      </c>
      <c r="B100" s="82">
        <v>570</v>
      </c>
      <c r="C100" s="7" t="s">
        <v>100</v>
      </c>
      <c r="D100" s="25">
        <v>42788</v>
      </c>
      <c r="E100" s="23">
        <v>580</v>
      </c>
      <c r="F100" s="5" t="s">
        <v>216</v>
      </c>
      <c r="G100" s="61">
        <v>42816</v>
      </c>
      <c r="H100" s="62">
        <v>406</v>
      </c>
      <c r="I100" s="63" t="s">
        <v>332</v>
      </c>
      <c r="J100" s="38">
        <v>42848</v>
      </c>
      <c r="K100" s="84">
        <v>177.9</v>
      </c>
      <c r="L100" s="39" t="s">
        <v>407</v>
      </c>
      <c r="M100" s="83">
        <v>42876</v>
      </c>
      <c r="N100" s="86">
        <v>150</v>
      </c>
      <c r="O100" s="6" t="s">
        <v>535</v>
      </c>
      <c r="P100" s="89"/>
      <c r="Q100" s="60"/>
      <c r="R100" s="27"/>
      <c r="S100" s="67">
        <v>42947</v>
      </c>
      <c r="T100" s="68">
        <v>400</v>
      </c>
      <c r="U100" s="50" t="s">
        <v>766</v>
      </c>
      <c r="V100" s="125">
        <v>42968</v>
      </c>
      <c r="W100" s="130">
        <v>317.39999999999998</v>
      </c>
      <c r="X100" s="126" t="s">
        <v>844</v>
      </c>
      <c r="Y100" s="136">
        <v>43007</v>
      </c>
      <c r="Z100" s="92">
        <v>55</v>
      </c>
      <c r="AA100" s="137" t="s">
        <v>930</v>
      </c>
      <c r="AB100" s="76"/>
      <c r="AC100" s="77"/>
      <c r="AD100" s="94"/>
      <c r="AE100" s="78"/>
      <c r="AF100" s="79"/>
      <c r="AG100" s="55"/>
      <c r="AH100" s="190">
        <v>43092</v>
      </c>
      <c r="AI100" s="191">
        <v>71</v>
      </c>
      <c r="AJ100" s="196" t="s">
        <v>1153</v>
      </c>
    </row>
    <row r="101" spans="1:36" x14ac:dyDescent="0.25">
      <c r="A101" s="9">
        <v>42759</v>
      </c>
      <c r="B101" s="82">
        <v>1000</v>
      </c>
      <c r="C101" s="7" t="s">
        <v>60</v>
      </c>
      <c r="D101" s="25">
        <v>42788</v>
      </c>
      <c r="E101" s="23">
        <v>850</v>
      </c>
      <c r="F101" s="5" t="s">
        <v>217</v>
      </c>
      <c r="G101" s="61">
        <v>42816</v>
      </c>
      <c r="H101" s="62">
        <v>54.5</v>
      </c>
      <c r="I101" s="63" t="s">
        <v>333</v>
      </c>
      <c r="J101" s="38">
        <v>42848</v>
      </c>
      <c r="K101" s="84">
        <v>500</v>
      </c>
      <c r="L101" s="39" t="s">
        <v>457</v>
      </c>
      <c r="M101" s="83">
        <v>42876</v>
      </c>
      <c r="N101" s="86">
        <v>210</v>
      </c>
      <c r="O101" s="6" t="s">
        <v>537</v>
      </c>
      <c r="P101" s="89"/>
      <c r="Q101" s="60"/>
      <c r="R101" s="27"/>
      <c r="S101" s="67"/>
      <c r="T101" s="68"/>
      <c r="U101" s="50"/>
      <c r="V101" s="125">
        <v>42968</v>
      </c>
      <c r="W101" s="130">
        <v>430</v>
      </c>
      <c r="X101" s="126" t="s">
        <v>845</v>
      </c>
      <c r="Y101" s="136">
        <v>43008</v>
      </c>
      <c r="Z101" s="92">
        <v>4000</v>
      </c>
      <c r="AA101" s="137" t="s">
        <v>941</v>
      </c>
      <c r="AB101" s="76"/>
      <c r="AC101" s="77"/>
      <c r="AD101" s="94"/>
      <c r="AE101" s="78"/>
      <c r="AF101" s="79"/>
      <c r="AG101" s="55"/>
      <c r="AH101" s="190">
        <v>43092</v>
      </c>
      <c r="AI101" s="191">
        <v>1530</v>
      </c>
      <c r="AJ101" s="192" t="s">
        <v>1154</v>
      </c>
    </row>
    <row r="102" spans="1:36" x14ac:dyDescent="0.25">
      <c r="A102" s="9">
        <v>42760</v>
      </c>
      <c r="B102" s="82">
        <v>350</v>
      </c>
      <c r="C102" s="7" t="s">
        <v>114</v>
      </c>
      <c r="D102" s="25">
        <v>42789</v>
      </c>
      <c r="E102" s="23">
        <v>400</v>
      </c>
      <c r="F102" s="5" t="s">
        <v>218</v>
      </c>
      <c r="G102" s="61">
        <v>42816</v>
      </c>
      <c r="H102" s="62">
        <v>139</v>
      </c>
      <c r="I102" s="63" t="s">
        <v>334</v>
      </c>
      <c r="J102" s="38">
        <v>42848</v>
      </c>
      <c r="K102" s="84">
        <v>400</v>
      </c>
      <c r="L102" s="39" t="s">
        <v>458</v>
      </c>
      <c r="M102" s="83">
        <v>42877</v>
      </c>
      <c r="N102" s="86">
        <v>400</v>
      </c>
      <c r="O102" s="6" t="s">
        <v>591</v>
      </c>
      <c r="P102" s="89"/>
      <c r="Q102" s="60"/>
      <c r="R102" s="27"/>
      <c r="S102" s="67"/>
      <c r="T102" s="68"/>
      <c r="U102" s="50"/>
      <c r="V102" s="125">
        <v>42969</v>
      </c>
      <c r="W102" s="130">
        <v>290</v>
      </c>
      <c r="X102" s="126" t="s">
        <v>846</v>
      </c>
      <c r="Y102" s="136">
        <v>43008</v>
      </c>
      <c r="Z102" s="92">
        <v>1000</v>
      </c>
      <c r="AA102" s="137" t="s">
        <v>916</v>
      </c>
      <c r="AB102" s="76"/>
      <c r="AC102" s="77"/>
      <c r="AD102" s="94"/>
      <c r="AE102" s="78"/>
      <c r="AF102" s="79"/>
      <c r="AG102" s="55"/>
      <c r="AH102" s="190">
        <v>43092</v>
      </c>
      <c r="AI102" s="191">
        <v>250</v>
      </c>
      <c r="AJ102" s="192" t="s">
        <v>1155</v>
      </c>
    </row>
    <row r="103" spans="1:36" x14ac:dyDescent="0.25">
      <c r="A103" s="9">
        <v>42760</v>
      </c>
      <c r="B103" s="82">
        <v>200</v>
      </c>
      <c r="C103" s="7" t="s">
        <v>101</v>
      </c>
      <c r="D103" s="25">
        <v>42789</v>
      </c>
      <c r="E103" s="23">
        <v>44</v>
      </c>
      <c r="F103" s="5" t="s">
        <v>219</v>
      </c>
      <c r="G103" s="61">
        <v>42816</v>
      </c>
      <c r="H103" s="62">
        <v>300</v>
      </c>
      <c r="I103" s="63" t="s">
        <v>335</v>
      </c>
      <c r="J103" s="38">
        <v>42848</v>
      </c>
      <c r="K103" s="84">
        <v>520</v>
      </c>
      <c r="L103" s="39" t="s">
        <v>459</v>
      </c>
      <c r="M103" s="83">
        <v>42877</v>
      </c>
      <c r="N103" s="86">
        <v>300</v>
      </c>
      <c r="O103" s="6" t="s">
        <v>575</v>
      </c>
      <c r="P103" s="89"/>
      <c r="Q103" s="60"/>
      <c r="R103" s="27"/>
      <c r="S103" s="67"/>
      <c r="T103" s="68"/>
      <c r="U103" s="50"/>
      <c r="V103" s="125">
        <v>42969</v>
      </c>
      <c r="W103" s="130">
        <v>97</v>
      </c>
      <c r="X103" s="126" t="s">
        <v>847</v>
      </c>
      <c r="Y103" s="136">
        <v>43008</v>
      </c>
      <c r="Z103" s="92">
        <v>300</v>
      </c>
      <c r="AA103" s="137" t="s">
        <v>942</v>
      </c>
      <c r="AB103" s="76"/>
      <c r="AC103" s="77"/>
      <c r="AD103" s="52"/>
      <c r="AE103" s="78"/>
      <c r="AF103" s="79"/>
      <c r="AG103" s="55"/>
      <c r="AH103" s="190">
        <v>43092</v>
      </c>
      <c r="AI103" s="191">
        <v>400</v>
      </c>
      <c r="AJ103" s="192" t="s">
        <v>1156</v>
      </c>
    </row>
    <row r="104" spans="1:36" x14ac:dyDescent="0.25">
      <c r="A104" s="9">
        <v>42760</v>
      </c>
      <c r="B104" s="82">
        <v>150</v>
      </c>
      <c r="C104" s="7" t="s">
        <v>102</v>
      </c>
      <c r="D104" s="25">
        <v>42789</v>
      </c>
      <c r="E104" s="23">
        <v>560</v>
      </c>
      <c r="F104" s="5" t="s">
        <v>220</v>
      </c>
      <c r="G104" s="61">
        <v>42816</v>
      </c>
      <c r="H104" s="62">
        <v>14000</v>
      </c>
      <c r="I104" s="63" t="s">
        <v>336</v>
      </c>
      <c r="J104" s="38">
        <v>42848</v>
      </c>
      <c r="K104" s="84">
        <v>400</v>
      </c>
      <c r="L104" s="39" t="s">
        <v>460</v>
      </c>
      <c r="M104" s="83">
        <v>42878</v>
      </c>
      <c r="N104" s="86">
        <v>329</v>
      </c>
      <c r="O104" s="6" t="s">
        <v>594</v>
      </c>
      <c r="P104" s="89"/>
      <c r="Q104" s="60"/>
      <c r="R104" s="27"/>
      <c r="S104" s="67"/>
      <c r="T104" s="68"/>
      <c r="U104" s="50"/>
      <c r="V104" s="125">
        <v>42973</v>
      </c>
      <c r="W104" s="130">
        <v>500</v>
      </c>
      <c r="X104" s="126" t="s">
        <v>848</v>
      </c>
      <c r="Y104" s="136">
        <v>43008</v>
      </c>
      <c r="Z104" s="92">
        <v>450</v>
      </c>
      <c r="AA104" s="137" t="s">
        <v>943</v>
      </c>
      <c r="AB104" s="76"/>
      <c r="AC104" s="77"/>
      <c r="AD104" s="52"/>
      <c r="AE104" s="78"/>
      <c r="AF104" s="79"/>
      <c r="AG104" s="55"/>
      <c r="AH104" s="190">
        <v>43092</v>
      </c>
      <c r="AI104" s="191">
        <v>300</v>
      </c>
      <c r="AJ104" s="192" t="s">
        <v>1157</v>
      </c>
    </row>
    <row r="105" spans="1:36" x14ac:dyDescent="0.25">
      <c r="A105" s="9">
        <v>42760</v>
      </c>
      <c r="B105" s="82">
        <v>500</v>
      </c>
      <c r="C105" s="7" t="s">
        <v>103</v>
      </c>
      <c r="D105" s="25">
        <v>42789</v>
      </c>
      <c r="E105" s="23">
        <v>470</v>
      </c>
      <c r="F105" s="5" t="s">
        <v>221</v>
      </c>
      <c r="G105" s="61">
        <v>42816</v>
      </c>
      <c r="H105" s="62">
        <v>250</v>
      </c>
      <c r="I105" s="63" t="s">
        <v>337</v>
      </c>
      <c r="J105" s="38">
        <v>42848</v>
      </c>
      <c r="K105" s="84">
        <v>5</v>
      </c>
      <c r="L105" s="39" t="s">
        <v>461</v>
      </c>
      <c r="M105" s="83">
        <v>42879</v>
      </c>
      <c r="N105" s="86">
        <v>250</v>
      </c>
      <c r="O105" s="6" t="s">
        <v>595</v>
      </c>
      <c r="P105" s="89"/>
      <c r="Q105" s="60"/>
      <c r="R105" s="27"/>
      <c r="S105" s="67"/>
      <c r="T105" s="68"/>
      <c r="U105" s="50"/>
      <c r="V105" s="125">
        <v>42971</v>
      </c>
      <c r="W105" s="130">
        <v>7500</v>
      </c>
      <c r="X105" s="126" t="s">
        <v>849</v>
      </c>
      <c r="Y105" s="136">
        <v>43008</v>
      </c>
      <c r="Z105" s="92">
        <v>100</v>
      </c>
      <c r="AA105" s="137" t="s">
        <v>944</v>
      </c>
      <c r="AB105" s="76"/>
      <c r="AC105" s="77"/>
      <c r="AD105" s="52"/>
      <c r="AE105" s="78"/>
      <c r="AF105" s="79"/>
      <c r="AG105" s="55"/>
      <c r="AH105" s="190">
        <v>43093</v>
      </c>
      <c r="AI105" s="191">
        <v>36</v>
      </c>
      <c r="AJ105" s="192" t="s">
        <v>1158</v>
      </c>
    </row>
    <row r="106" spans="1:36" x14ac:dyDescent="0.25">
      <c r="A106" s="9">
        <v>42760</v>
      </c>
      <c r="B106" s="82">
        <v>180</v>
      </c>
      <c r="C106" s="7" t="s">
        <v>104</v>
      </c>
      <c r="D106" s="25">
        <v>42789</v>
      </c>
      <c r="E106" s="23">
        <v>76</v>
      </c>
      <c r="F106" s="5" t="s">
        <v>222</v>
      </c>
      <c r="G106" s="61">
        <v>42816</v>
      </c>
      <c r="H106" s="62">
        <v>2000</v>
      </c>
      <c r="I106" s="63" t="s">
        <v>338</v>
      </c>
      <c r="J106" s="38">
        <v>42848</v>
      </c>
      <c r="K106" s="84">
        <v>84</v>
      </c>
      <c r="L106" s="39" t="s">
        <v>462</v>
      </c>
      <c r="M106" s="83">
        <v>42879</v>
      </c>
      <c r="N106" s="86">
        <v>400</v>
      </c>
      <c r="O106" s="6" t="s">
        <v>596</v>
      </c>
      <c r="P106" s="89"/>
      <c r="Q106" s="60"/>
      <c r="R106" s="27"/>
      <c r="S106" s="67"/>
      <c r="T106" s="68"/>
      <c r="U106" s="50"/>
      <c r="V106" s="125">
        <v>42971</v>
      </c>
      <c r="W106" s="130">
        <v>350</v>
      </c>
      <c r="X106" s="126" t="s">
        <v>850</v>
      </c>
      <c r="Y106" s="104"/>
      <c r="Z106" s="75"/>
      <c r="AA106" s="59"/>
      <c r="AB106" s="76"/>
      <c r="AC106" s="77"/>
      <c r="AD106" s="52"/>
      <c r="AE106" s="78"/>
      <c r="AF106" s="79"/>
      <c r="AG106" s="55"/>
      <c r="AH106" s="190">
        <v>43093</v>
      </c>
      <c r="AI106" s="191">
        <v>65.7</v>
      </c>
      <c r="AJ106" s="192" t="s">
        <v>1159</v>
      </c>
    </row>
    <row r="107" spans="1:36" x14ac:dyDescent="0.25">
      <c r="A107" s="9">
        <v>42761</v>
      </c>
      <c r="B107" s="82">
        <v>350</v>
      </c>
      <c r="C107" s="7" t="s">
        <v>105</v>
      </c>
      <c r="D107" s="25">
        <v>42789</v>
      </c>
      <c r="E107" s="23">
        <v>340</v>
      </c>
      <c r="F107" s="5" t="s">
        <v>223</v>
      </c>
      <c r="G107" s="61">
        <v>42816</v>
      </c>
      <c r="H107" s="62">
        <v>50</v>
      </c>
      <c r="I107" s="63" t="s">
        <v>339</v>
      </c>
      <c r="J107" s="38">
        <v>42848</v>
      </c>
      <c r="K107" s="84">
        <v>401.5</v>
      </c>
      <c r="L107" s="39" t="s">
        <v>463</v>
      </c>
      <c r="M107" s="83">
        <v>42879</v>
      </c>
      <c r="N107" s="86">
        <v>250</v>
      </c>
      <c r="O107" s="6" t="s">
        <v>597</v>
      </c>
      <c r="P107" s="89"/>
      <c r="Q107" s="60"/>
      <c r="R107" s="27"/>
      <c r="S107" s="67"/>
      <c r="T107" s="68"/>
      <c r="U107" s="50"/>
      <c r="V107" s="125">
        <v>42971</v>
      </c>
      <c r="W107" s="130">
        <v>500</v>
      </c>
      <c r="X107" s="126" t="s">
        <v>851</v>
      </c>
      <c r="Y107" s="104"/>
      <c r="Z107" s="75"/>
      <c r="AA107" s="59"/>
      <c r="AB107" s="76"/>
      <c r="AC107" s="77"/>
      <c r="AD107" s="52"/>
      <c r="AE107" s="78"/>
      <c r="AF107" s="79"/>
      <c r="AG107" s="55"/>
      <c r="AH107" s="190">
        <v>43096</v>
      </c>
      <c r="AI107" s="191">
        <v>105</v>
      </c>
      <c r="AJ107" s="192" t="s">
        <v>1028</v>
      </c>
    </row>
    <row r="108" spans="1:36" x14ac:dyDescent="0.25">
      <c r="A108" s="9">
        <v>42761</v>
      </c>
      <c r="B108" s="82">
        <v>283</v>
      </c>
      <c r="C108" s="7" t="s">
        <v>106</v>
      </c>
      <c r="D108" s="25">
        <v>42789</v>
      </c>
      <c r="E108" s="23">
        <v>310</v>
      </c>
      <c r="F108" s="5" t="s">
        <v>224</v>
      </c>
      <c r="G108" s="61">
        <v>42817</v>
      </c>
      <c r="H108" s="62">
        <v>92.5</v>
      </c>
      <c r="I108" s="63" t="s">
        <v>340</v>
      </c>
      <c r="J108" s="38">
        <v>42848</v>
      </c>
      <c r="K108" s="84">
        <v>800</v>
      </c>
      <c r="L108" s="39" t="s">
        <v>464</v>
      </c>
      <c r="M108" s="83">
        <v>42879</v>
      </c>
      <c r="N108" s="86">
        <v>350</v>
      </c>
      <c r="O108" s="6" t="s">
        <v>598</v>
      </c>
      <c r="P108" s="89"/>
      <c r="Q108" s="60"/>
      <c r="R108" s="27"/>
      <c r="S108" s="67"/>
      <c r="T108" s="68"/>
      <c r="U108" s="50"/>
      <c r="V108" s="125">
        <v>42972</v>
      </c>
      <c r="W108" s="130">
        <v>200</v>
      </c>
      <c r="X108" s="126" t="s">
        <v>852</v>
      </c>
      <c r="Y108" s="104"/>
      <c r="Z108" s="75"/>
      <c r="AA108" s="59"/>
      <c r="AB108" s="76"/>
      <c r="AC108" s="77"/>
      <c r="AD108" s="52"/>
      <c r="AE108" s="78"/>
      <c r="AF108" s="79"/>
      <c r="AG108" s="55"/>
      <c r="AH108" s="190">
        <v>43097</v>
      </c>
      <c r="AI108" s="191">
        <v>53</v>
      </c>
      <c r="AJ108" s="192" t="s">
        <v>1160</v>
      </c>
    </row>
    <row r="109" spans="1:36" x14ac:dyDescent="0.25">
      <c r="A109" s="9">
        <v>42762</v>
      </c>
      <c r="B109" s="82">
        <v>100</v>
      </c>
      <c r="C109" s="7" t="s">
        <v>107</v>
      </c>
      <c r="D109" s="25">
        <v>42789</v>
      </c>
      <c r="E109" s="23">
        <v>310</v>
      </c>
      <c r="F109" s="5" t="s">
        <v>225</v>
      </c>
      <c r="G109" s="61">
        <v>42817</v>
      </c>
      <c r="H109" s="62">
        <v>120</v>
      </c>
      <c r="I109" s="63" t="s">
        <v>341</v>
      </c>
      <c r="J109" s="38">
        <v>42848</v>
      </c>
      <c r="K109" s="84">
        <v>320</v>
      </c>
      <c r="L109" s="39" t="s">
        <v>465</v>
      </c>
      <c r="M109" s="83">
        <v>42879</v>
      </c>
      <c r="N109" s="86">
        <v>15050</v>
      </c>
      <c r="O109" s="6" t="s">
        <v>599</v>
      </c>
      <c r="P109" s="89"/>
      <c r="Q109" s="60"/>
      <c r="R109" s="27"/>
      <c r="S109" s="67"/>
      <c r="T109" s="68"/>
      <c r="U109" s="50"/>
      <c r="V109" s="125">
        <v>42972</v>
      </c>
      <c r="W109" s="130">
        <v>1000</v>
      </c>
      <c r="X109" s="126" t="s">
        <v>853</v>
      </c>
      <c r="Y109" s="104"/>
      <c r="Z109" s="75"/>
      <c r="AA109" s="59"/>
      <c r="AB109" s="76"/>
      <c r="AC109" s="77"/>
      <c r="AD109" s="52"/>
      <c r="AE109" s="78"/>
      <c r="AF109" s="79"/>
      <c r="AG109" s="55"/>
      <c r="AH109" s="190">
        <v>37254</v>
      </c>
      <c r="AI109" s="191">
        <v>1250</v>
      </c>
      <c r="AJ109" s="192" t="s">
        <v>1161</v>
      </c>
    </row>
    <row r="110" spans="1:36" x14ac:dyDescent="0.25">
      <c r="A110" s="9">
        <v>42762</v>
      </c>
      <c r="B110" s="82">
        <v>500</v>
      </c>
      <c r="C110" s="7" t="s">
        <v>108</v>
      </c>
      <c r="D110" s="25">
        <v>42789</v>
      </c>
      <c r="E110" s="23">
        <v>350</v>
      </c>
      <c r="F110" s="5" t="s">
        <v>226</v>
      </c>
      <c r="G110" s="61">
        <v>42817</v>
      </c>
      <c r="H110" s="62">
        <v>1760</v>
      </c>
      <c r="I110" s="63" t="s">
        <v>342</v>
      </c>
      <c r="J110" s="38">
        <v>42848</v>
      </c>
      <c r="K110" s="84">
        <v>203</v>
      </c>
      <c r="L110" s="39" t="s">
        <v>466</v>
      </c>
      <c r="M110" s="83">
        <v>42880</v>
      </c>
      <c r="N110" s="86">
        <v>400</v>
      </c>
      <c r="O110" s="6" t="s">
        <v>600</v>
      </c>
      <c r="P110" s="89"/>
      <c r="Q110" s="60"/>
      <c r="R110" s="27"/>
      <c r="S110" s="67"/>
      <c r="T110" s="68"/>
      <c r="U110" s="50"/>
      <c r="V110" s="125">
        <v>42972</v>
      </c>
      <c r="W110" s="130">
        <v>350</v>
      </c>
      <c r="X110" s="126" t="s">
        <v>854</v>
      </c>
      <c r="Y110" s="104"/>
      <c r="Z110" s="75"/>
      <c r="AA110" s="59"/>
      <c r="AB110" s="76"/>
      <c r="AC110" s="77"/>
      <c r="AD110" s="52"/>
      <c r="AE110" s="78"/>
      <c r="AF110" s="79"/>
      <c r="AG110" s="55"/>
      <c r="AH110" s="57"/>
      <c r="AI110" s="107"/>
      <c r="AJ110" s="57"/>
    </row>
    <row r="111" spans="1:36" x14ac:dyDescent="0.25">
      <c r="A111" s="9">
        <v>42762</v>
      </c>
      <c r="B111" s="82">
        <v>15500</v>
      </c>
      <c r="C111" s="7" t="s">
        <v>109</v>
      </c>
      <c r="D111" s="25">
        <v>42789</v>
      </c>
      <c r="E111" s="97">
        <v>200</v>
      </c>
      <c r="F111" s="5" t="s">
        <v>227</v>
      </c>
      <c r="G111" s="61">
        <v>42817</v>
      </c>
      <c r="H111" s="62">
        <v>1300</v>
      </c>
      <c r="I111" s="63" t="s">
        <v>343</v>
      </c>
      <c r="J111" s="38">
        <v>42849</v>
      </c>
      <c r="K111" s="84">
        <v>35</v>
      </c>
      <c r="L111" s="39" t="s">
        <v>466</v>
      </c>
      <c r="M111" s="83">
        <v>42880</v>
      </c>
      <c r="N111" s="86">
        <v>300</v>
      </c>
      <c r="O111" s="6" t="s">
        <v>601</v>
      </c>
      <c r="P111" s="89"/>
      <c r="Q111" s="60"/>
      <c r="R111" s="27"/>
      <c r="S111" s="67"/>
      <c r="T111" s="68"/>
      <c r="U111" s="50"/>
      <c r="V111" s="125">
        <v>42972</v>
      </c>
      <c r="W111" s="130">
        <v>230</v>
      </c>
      <c r="X111" s="132" t="s">
        <v>780</v>
      </c>
      <c r="Y111" s="104"/>
      <c r="Z111" s="75"/>
      <c r="AA111" s="59"/>
      <c r="AB111" s="76"/>
      <c r="AC111" s="77"/>
      <c r="AD111" s="52"/>
      <c r="AE111" s="78"/>
      <c r="AF111" s="79"/>
      <c r="AG111" s="55"/>
      <c r="AH111" s="57"/>
      <c r="AI111" s="107"/>
      <c r="AJ111" s="57"/>
    </row>
    <row r="112" spans="1:36" x14ac:dyDescent="0.25">
      <c r="A112" s="9">
        <v>42762</v>
      </c>
      <c r="B112" s="82">
        <v>1000</v>
      </c>
      <c r="C112" s="7" t="s">
        <v>110</v>
      </c>
      <c r="D112" s="25">
        <v>42789</v>
      </c>
      <c r="E112" s="97">
        <v>326</v>
      </c>
      <c r="F112" s="5" t="s">
        <v>228</v>
      </c>
      <c r="G112" s="61">
        <v>42818</v>
      </c>
      <c r="H112" s="62">
        <v>1000</v>
      </c>
      <c r="I112" s="63" t="s">
        <v>344</v>
      </c>
      <c r="J112" s="38">
        <v>42849</v>
      </c>
      <c r="K112" s="84">
        <v>200</v>
      </c>
      <c r="L112" s="39" t="s">
        <v>467</v>
      </c>
      <c r="M112" s="83">
        <v>42880</v>
      </c>
      <c r="N112" s="86">
        <v>300</v>
      </c>
      <c r="O112" s="6" t="s">
        <v>602</v>
      </c>
      <c r="P112" s="89"/>
      <c r="Q112" s="60"/>
      <c r="R112" s="27"/>
      <c r="S112" s="67"/>
      <c r="T112" s="68"/>
      <c r="U112" s="50"/>
      <c r="V112" s="125">
        <v>42972</v>
      </c>
      <c r="W112" s="130">
        <v>200</v>
      </c>
      <c r="X112" s="126" t="s">
        <v>855</v>
      </c>
      <c r="Y112" s="104"/>
      <c r="Z112" s="75"/>
      <c r="AA112" s="59"/>
      <c r="AB112" s="76"/>
      <c r="AC112" s="77"/>
      <c r="AD112" s="52"/>
      <c r="AE112" s="78"/>
      <c r="AF112" s="79"/>
      <c r="AG112" s="55"/>
      <c r="AH112" s="57"/>
      <c r="AI112" s="107"/>
      <c r="AJ112" s="57"/>
    </row>
    <row r="113" spans="1:36" x14ac:dyDescent="0.25">
      <c r="A113" s="9">
        <v>42762</v>
      </c>
      <c r="B113" s="82">
        <v>35</v>
      </c>
      <c r="C113" s="7" t="s">
        <v>115</v>
      </c>
      <c r="D113" s="25">
        <v>42790</v>
      </c>
      <c r="E113" s="97">
        <v>1200</v>
      </c>
      <c r="F113" s="5" t="s">
        <v>229</v>
      </c>
      <c r="G113" s="61">
        <v>42818</v>
      </c>
      <c r="H113" s="62">
        <v>280</v>
      </c>
      <c r="I113" s="63" t="s">
        <v>345</v>
      </c>
      <c r="J113" s="38">
        <v>42849</v>
      </c>
      <c r="K113" s="84">
        <v>340</v>
      </c>
      <c r="L113" s="39" t="s">
        <v>378</v>
      </c>
      <c r="M113" s="83">
        <v>42881</v>
      </c>
      <c r="N113" s="86">
        <v>1000</v>
      </c>
      <c r="O113" s="6" t="s">
        <v>603</v>
      </c>
      <c r="P113" s="89"/>
      <c r="Q113" s="60"/>
      <c r="R113" s="27"/>
      <c r="S113" s="67"/>
      <c r="T113" s="68"/>
      <c r="U113" s="50"/>
      <c r="V113" s="125">
        <v>42974</v>
      </c>
      <c r="W113" s="130">
        <v>150</v>
      </c>
      <c r="X113" s="126" t="s">
        <v>797</v>
      </c>
      <c r="Y113" s="104"/>
      <c r="Z113" s="75"/>
      <c r="AA113" s="59"/>
      <c r="AB113" s="76"/>
      <c r="AC113" s="77"/>
      <c r="AD113" s="52"/>
      <c r="AE113" s="78"/>
      <c r="AF113" s="79"/>
      <c r="AG113" s="55"/>
      <c r="AH113" s="57"/>
      <c r="AI113" s="107"/>
      <c r="AJ113" s="57"/>
    </row>
    <row r="114" spans="1:36" x14ac:dyDescent="0.25">
      <c r="A114" s="9">
        <v>42763</v>
      </c>
      <c r="B114" s="82">
        <v>500</v>
      </c>
      <c r="C114" s="7" t="s">
        <v>116</v>
      </c>
      <c r="D114" s="25">
        <v>42790</v>
      </c>
      <c r="E114" s="23">
        <v>200</v>
      </c>
      <c r="F114" s="5" t="s">
        <v>230</v>
      </c>
      <c r="G114" s="61">
        <v>42818</v>
      </c>
      <c r="H114" s="62">
        <v>400</v>
      </c>
      <c r="I114" s="63" t="s">
        <v>346</v>
      </c>
      <c r="J114" s="38">
        <v>42849</v>
      </c>
      <c r="K114" s="84">
        <v>48</v>
      </c>
      <c r="L114" s="39" t="s">
        <v>468</v>
      </c>
      <c r="M114" s="83">
        <v>42881</v>
      </c>
      <c r="N114" s="86">
        <v>350</v>
      </c>
      <c r="O114" s="6" t="s">
        <v>604</v>
      </c>
      <c r="P114" s="89"/>
      <c r="Q114" s="60"/>
      <c r="R114" s="27"/>
      <c r="S114" s="67"/>
      <c r="T114" s="68"/>
      <c r="U114" s="50"/>
      <c r="V114" s="125">
        <v>42974</v>
      </c>
      <c r="W114" s="130">
        <v>120</v>
      </c>
      <c r="X114" s="126" t="s">
        <v>795</v>
      </c>
      <c r="Y114" s="104"/>
      <c r="Z114" s="75"/>
      <c r="AA114" s="59"/>
      <c r="AB114" s="76"/>
      <c r="AC114" s="77"/>
      <c r="AD114" s="52"/>
      <c r="AE114" s="78"/>
      <c r="AF114" s="79"/>
      <c r="AG114" s="55"/>
      <c r="AH114" s="57"/>
      <c r="AI114" s="107"/>
      <c r="AJ114" s="57"/>
    </row>
    <row r="115" spans="1:36" x14ac:dyDescent="0.25">
      <c r="A115" s="9">
        <v>42763</v>
      </c>
      <c r="B115" s="82">
        <v>323.39999999999998</v>
      </c>
      <c r="C115" s="7" t="s">
        <v>117</v>
      </c>
      <c r="D115" s="25">
        <v>42790</v>
      </c>
      <c r="E115" s="23">
        <v>315</v>
      </c>
      <c r="F115" s="5" t="s">
        <v>231</v>
      </c>
      <c r="G115" s="61">
        <v>42818</v>
      </c>
      <c r="H115" s="62">
        <v>100</v>
      </c>
      <c r="I115" s="63" t="s">
        <v>284</v>
      </c>
      <c r="J115" s="38">
        <v>42850</v>
      </c>
      <c r="K115" s="84">
        <v>350</v>
      </c>
      <c r="L115" s="39" t="s">
        <v>397</v>
      </c>
      <c r="M115" s="83">
        <v>42881</v>
      </c>
      <c r="N115" s="86">
        <v>450</v>
      </c>
      <c r="O115" s="6" t="s">
        <v>605</v>
      </c>
      <c r="P115" s="89"/>
      <c r="Q115" s="60"/>
      <c r="R115" s="27"/>
      <c r="S115" s="67"/>
      <c r="T115" s="68"/>
      <c r="U115" s="50"/>
      <c r="V115" s="125">
        <v>42974</v>
      </c>
      <c r="W115" s="130">
        <v>150</v>
      </c>
      <c r="X115" s="126" t="s">
        <v>796</v>
      </c>
      <c r="Y115" s="104"/>
      <c r="Z115" s="75"/>
      <c r="AA115" s="59"/>
      <c r="AB115" s="76"/>
      <c r="AC115" s="77"/>
      <c r="AD115" s="52"/>
      <c r="AE115" s="78"/>
      <c r="AF115" s="79"/>
      <c r="AG115" s="55"/>
      <c r="AH115" s="57"/>
      <c r="AI115" s="107"/>
      <c r="AJ115" s="57"/>
    </row>
    <row r="116" spans="1:36" x14ac:dyDescent="0.25">
      <c r="A116" s="9">
        <v>42764</v>
      </c>
      <c r="B116" s="82">
        <v>134.5</v>
      </c>
      <c r="C116" s="7" t="s">
        <v>18</v>
      </c>
      <c r="D116" s="25">
        <v>42790</v>
      </c>
      <c r="E116" s="23">
        <v>985</v>
      </c>
      <c r="F116" s="5" t="s">
        <v>232</v>
      </c>
      <c r="G116" s="61">
        <v>42818</v>
      </c>
      <c r="H116" s="62">
        <v>376</v>
      </c>
      <c r="I116" s="63" t="s">
        <v>252</v>
      </c>
      <c r="J116" s="38">
        <v>42850</v>
      </c>
      <c r="K116" s="84">
        <v>100</v>
      </c>
      <c r="L116" s="39" t="s">
        <v>464</v>
      </c>
      <c r="M116" s="83">
        <v>42881</v>
      </c>
      <c r="N116" s="86">
        <v>400</v>
      </c>
      <c r="O116" s="6" t="s">
        <v>606</v>
      </c>
      <c r="P116" s="89"/>
      <c r="Q116" s="60"/>
      <c r="R116" s="27"/>
      <c r="S116" s="67"/>
      <c r="T116" s="68"/>
      <c r="U116" s="50"/>
      <c r="V116" s="125">
        <v>42975</v>
      </c>
      <c r="W116" s="130">
        <v>300</v>
      </c>
      <c r="X116" s="126" t="s">
        <v>856</v>
      </c>
      <c r="Y116" s="104"/>
      <c r="Z116" s="75"/>
      <c r="AA116" s="59"/>
      <c r="AB116" s="76"/>
      <c r="AC116" s="77"/>
      <c r="AD116" s="52"/>
      <c r="AE116" s="78"/>
      <c r="AF116" s="79"/>
      <c r="AG116" s="55"/>
      <c r="AH116" s="57"/>
      <c r="AI116" s="107"/>
      <c r="AJ116" s="57"/>
    </row>
    <row r="117" spans="1:36" x14ac:dyDescent="0.25">
      <c r="A117" s="9">
        <v>42764</v>
      </c>
      <c r="B117" s="82">
        <v>150</v>
      </c>
      <c r="C117" s="7" t="s">
        <v>19</v>
      </c>
      <c r="D117" s="25">
        <v>42790</v>
      </c>
      <c r="E117" s="23">
        <v>200</v>
      </c>
      <c r="F117" s="5" t="s">
        <v>233</v>
      </c>
      <c r="G117" s="61">
        <v>42819</v>
      </c>
      <c r="H117" s="62">
        <v>1600</v>
      </c>
      <c r="I117" s="63" t="s">
        <v>347</v>
      </c>
      <c r="J117" s="38">
        <v>42850</v>
      </c>
      <c r="K117" s="84">
        <v>350</v>
      </c>
      <c r="L117" s="39" t="s">
        <v>469</v>
      </c>
      <c r="M117" s="83">
        <v>42881</v>
      </c>
      <c r="N117" s="86">
        <v>402.5</v>
      </c>
      <c r="O117" s="6" t="s">
        <v>607</v>
      </c>
      <c r="P117" s="89"/>
      <c r="Q117" s="60"/>
      <c r="R117" s="27"/>
      <c r="S117" s="67"/>
      <c r="T117" s="68"/>
      <c r="U117" s="50"/>
      <c r="V117" s="125">
        <v>42975</v>
      </c>
      <c r="W117" s="130">
        <v>30</v>
      </c>
      <c r="X117" s="126" t="s">
        <v>857</v>
      </c>
      <c r="Y117" s="104"/>
      <c r="Z117" s="75"/>
      <c r="AA117" s="59"/>
      <c r="AB117" s="76"/>
      <c r="AC117" s="77"/>
      <c r="AD117" s="52"/>
      <c r="AE117" s="78"/>
      <c r="AF117" s="79"/>
      <c r="AG117" s="55"/>
      <c r="AH117" s="57"/>
      <c r="AI117" s="107"/>
      <c r="AJ117" s="57"/>
    </row>
    <row r="118" spans="1:36" x14ac:dyDescent="0.25">
      <c r="A118" s="9">
        <v>42764</v>
      </c>
      <c r="B118" s="82">
        <v>120</v>
      </c>
      <c r="C118" s="7" t="s">
        <v>16</v>
      </c>
      <c r="D118" s="25">
        <v>42790</v>
      </c>
      <c r="E118" s="23">
        <v>190</v>
      </c>
      <c r="F118" s="5" t="s">
        <v>234</v>
      </c>
      <c r="G118" s="61">
        <v>42819</v>
      </c>
      <c r="H118" s="62">
        <v>500</v>
      </c>
      <c r="I118" s="63" t="s">
        <v>348</v>
      </c>
      <c r="J118" s="38">
        <v>42850</v>
      </c>
      <c r="K118" s="84">
        <v>350</v>
      </c>
      <c r="L118" s="39" t="s">
        <v>470</v>
      </c>
      <c r="M118" s="83">
        <v>42882</v>
      </c>
      <c r="N118" s="86">
        <v>500</v>
      </c>
      <c r="O118" s="6" t="s">
        <v>608</v>
      </c>
      <c r="P118" s="89"/>
      <c r="Q118" s="60"/>
      <c r="R118" s="27"/>
      <c r="S118" s="67"/>
      <c r="T118" s="68"/>
      <c r="U118" s="50"/>
      <c r="V118" s="125">
        <v>42975</v>
      </c>
      <c r="W118" s="130">
        <v>30</v>
      </c>
      <c r="X118" s="126" t="s">
        <v>843</v>
      </c>
      <c r="Y118" s="104"/>
      <c r="Z118" s="75"/>
      <c r="AA118" s="59"/>
      <c r="AB118" s="76"/>
      <c r="AC118" s="77"/>
      <c r="AD118" s="52"/>
      <c r="AE118" s="78"/>
      <c r="AF118" s="79"/>
      <c r="AG118" s="55"/>
      <c r="AH118" s="57"/>
      <c r="AI118" s="107"/>
      <c r="AJ118" s="57"/>
    </row>
    <row r="119" spans="1:36" x14ac:dyDescent="0.25">
      <c r="A119" s="9">
        <v>42765</v>
      </c>
      <c r="B119" s="82">
        <v>200</v>
      </c>
      <c r="C119" s="7" t="s">
        <v>118</v>
      </c>
      <c r="D119" s="25">
        <v>42790</v>
      </c>
      <c r="E119" s="23">
        <v>1000</v>
      </c>
      <c r="F119" s="5" t="s">
        <v>235</v>
      </c>
      <c r="G119" s="61">
        <v>42819</v>
      </c>
      <c r="H119" s="62">
        <v>400</v>
      </c>
      <c r="I119" s="63" t="s">
        <v>349</v>
      </c>
      <c r="J119" s="38">
        <v>42850</v>
      </c>
      <c r="K119" s="84">
        <v>350</v>
      </c>
      <c r="L119" s="39" t="s">
        <v>471</v>
      </c>
      <c r="M119" s="83">
        <v>42881</v>
      </c>
      <c r="N119" s="86">
        <v>200</v>
      </c>
      <c r="O119" s="6" t="s">
        <v>609</v>
      </c>
      <c r="P119" s="89"/>
      <c r="Q119" s="60"/>
      <c r="R119" s="27"/>
      <c r="S119" s="67"/>
      <c r="T119" s="68"/>
      <c r="U119" s="50"/>
      <c r="V119" s="125">
        <v>42976</v>
      </c>
      <c r="W119" s="130">
        <v>140</v>
      </c>
      <c r="X119" s="126" t="s">
        <v>858</v>
      </c>
      <c r="Y119" s="104"/>
      <c r="Z119" s="75"/>
      <c r="AA119" s="59"/>
      <c r="AB119" s="76"/>
      <c r="AC119" s="77"/>
      <c r="AD119" s="52"/>
      <c r="AE119" s="78"/>
      <c r="AF119" s="79"/>
      <c r="AG119" s="55"/>
      <c r="AH119" s="57"/>
      <c r="AI119" s="107"/>
      <c r="AJ119" s="57"/>
    </row>
    <row r="120" spans="1:36" x14ac:dyDescent="0.25">
      <c r="A120" s="9">
        <v>42765</v>
      </c>
      <c r="B120" s="82">
        <v>400</v>
      </c>
      <c r="C120" s="7" t="s">
        <v>111</v>
      </c>
      <c r="D120" s="25">
        <v>42790</v>
      </c>
      <c r="E120" s="23">
        <v>240</v>
      </c>
      <c r="F120" s="5" t="s">
        <v>236</v>
      </c>
      <c r="G120" s="61">
        <v>42819</v>
      </c>
      <c r="H120" s="62">
        <v>250</v>
      </c>
      <c r="I120" s="63" t="s">
        <v>350</v>
      </c>
      <c r="J120" s="38">
        <v>42850</v>
      </c>
      <c r="K120" s="84">
        <v>354.5</v>
      </c>
      <c r="L120" s="39" t="s">
        <v>472</v>
      </c>
      <c r="M120" s="83">
        <v>42882</v>
      </c>
      <c r="N120" s="86">
        <v>124.5</v>
      </c>
      <c r="O120" s="6" t="s">
        <v>537</v>
      </c>
      <c r="P120" s="89"/>
      <c r="Q120" s="60"/>
      <c r="R120" s="27"/>
      <c r="S120" s="67"/>
      <c r="T120" s="68"/>
      <c r="U120" s="50"/>
      <c r="V120" s="125">
        <v>42976</v>
      </c>
      <c r="W120" s="130">
        <v>22</v>
      </c>
      <c r="X120" s="126" t="s">
        <v>858</v>
      </c>
      <c r="Y120" s="104"/>
      <c r="Z120" s="75"/>
      <c r="AA120" s="59"/>
      <c r="AB120" s="76"/>
      <c r="AC120" s="77"/>
      <c r="AD120" s="52"/>
      <c r="AE120" s="78"/>
      <c r="AF120" s="79"/>
      <c r="AG120" s="55"/>
      <c r="AH120" s="57"/>
      <c r="AI120" s="107"/>
      <c r="AJ120" s="57"/>
    </row>
    <row r="121" spans="1:36" x14ac:dyDescent="0.25">
      <c r="A121" s="9">
        <v>42765</v>
      </c>
      <c r="B121" s="82">
        <v>270</v>
      </c>
      <c r="C121" s="7" t="s">
        <v>119</v>
      </c>
      <c r="D121" s="25">
        <v>42790</v>
      </c>
      <c r="E121" s="23">
        <v>120</v>
      </c>
      <c r="F121" s="5" t="s">
        <v>237</v>
      </c>
      <c r="G121" s="61">
        <v>42819</v>
      </c>
      <c r="H121" s="62">
        <v>124</v>
      </c>
      <c r="I121" s="63" t="s">
        <v>351</v>
      </c>
      <c r="J121" s="38">
        <v>42850</v>
      </c>
      <c r="K121" s="84">
        <v>477</v>
      </c>
      <c r="L121" s="39" t="s">
        <v>473</v>
      </c>
      <c r="M121" s="83">
        <v>42882</v>
      </c>
      <c r="N121" s="86">
        <v>300</v>
      </c>
      <c r="O121" s="6" t="s">
        <v>610</v>
      </c>
      <c r="P121" s="89"/>
      <c r="Q121" s="60"/>
      <c r="R121" s="27"/>
      <c r="S121" s="67"/>
      <c r="T121" s="68"/>
      <c r="U121" s="50"/>
      <c r="V121" s="125">
        <v>42976</v>
      </c>
      <c r="W121" s="130">
        <v>216</v>
      </c>
      <c r="X121" s="126" t="s">
        <v>859</v>
      </c>
      <c r="Y121" s="104"/>
      <c r="Z121" s="75"/>
      <c r="AA121" s="59"/>
      <c r="AB121" s="76"/>
      <c r="AC121" s="77"/>
      <c r="AD121" s="52"/>
      <c r="AE121" s="78"/>
      <c r="AF121" s="79"/>
      <c r="AG121" s="55"/>
      <c r="AH121" s="57"/>
      <c r="AI121" s="107"/>
      <c r="AJ121" s="57"/>
    </row>
    <row r="122" spans="1:36" x14ac:dyDescent="0.25">
      <c r="A122" s="9">
        <v>42765</v>
      </c>
      <c r="B122" s="82">
        <v>500</v>
      </c>
      <c r="C122" s="7" t="s">
        <v>120</v>
      </c>
      <c r="D122" s="25">
        <v>42791</v>
      </c>
      <c r="E122" s="23">
        <v>500</v>
      </c>
      <c r="F122" s="5" t="s">
        <v>238</v>
      </c>
      <c r="G122" s="61">
        <v>42820</v>
      </c>
      <c r="H122" s="62">
        <v>66</v>
      </c>
      <c r="I122" s="63" t="s">
        <v>352</v>
      </c>
      <c r="J122" s="38">
        <v>42851</v>
      </c>
      <c r="K122" s="84">
        <v>430</v>
      </c>
      <c r="L122" s="39" t="s">
        <v>474</v>
      </c>
      <c r="M122" s="83">
        <v>42882</v>
      </c>
      <c r="N122" s="86">
        <v>150</v>
      </c>
      <c r="O122" s="6" t="s">
        <v>404</v>
      </c>
      <c r="P122" s="89"/>
      <c r="Q122" s="60"/>
      <c r="R122" s="27"/>
      <c r="S122" s="67"/>
      <c r="T122" s="68"/>
      <c r="U122" s="50"/>
      <c r="V122" s="125">
        <v>42976</v>
      </c>
      <c r="W122" s="130">
        <v>50</v>
      </c>
      <c r="X122" s="126" t="s">
        <v>860</v>
      </c>
      <c r="Y122" s="104"/>
      <c r="Z122" s="75"/>
      <c r="AA122" s="59"/>
      <c r="AB122" s="76"/>
      <c r="AC122" s="77"/>
      <c r="AD122" s="52"/>
      <c r="AE122" s="78"/>
      <c r="AF122" s="79"/>
      <c r="AG122" s="55"/>
      <c r="AH122" s="57"/>
      <c r="AI122" s="107"/>
      <c r="AJ122" s="57"/>
    </row>
    <row r="123" spans="1:36" x14ac:dyDescent="0.25">
      <c r="A123" s="9">
        <v>42765</v>
      </c>
      <c r="B123" s="82">
        <v>350</v>
      </c>
      <c r="C123" s="7" t="s">
        <v>121</v>
      </c>
      <c r="D123" s="25">
        <v>42791</v>
      </c>
      <c r="E123" s="23">
        <v>200</v>
      </c>
      <c r="F123" s="5" t="s">
        <v>239</v>
      </c>
      <c r="G123" s="61">
        <v>42820</v>
      </c>
      <c r="H123" s="62">
        <v>98.99</v>
      </c>
      <c r="I123" s="63" t="s">
        <v>353</v>
      </c>
      <c r="J123" s="38">
        <v>42851</v>
      </c>
      <c r="K123" s="84">
        <v>338.1</v>
      </c>
      <c r="L123" s="39" t="s">
        <v>393</v>
      </c>
      <c r="M123" s="83">
        <v>42882</v>
      </c>
      <c r="N123" s="86">
        <v>200</v>
      </c>
      <c r="O123" s="6" t="s">
        <v>611</v>
      </c>
      <c r="P123" s="89"/>
      <c r="Q123" s="60"/>
      <c r="R123" s="27"/>
      <c r="S123" s="67"/>
      <c r="T123" s="68"/>
      <c r="U123" s="50"/>
      <c r="V123" s="125">
        <v>42976</v>
      </c>
      <c r="W123" s="130">
        <v>10100</v>
      </c>
      <c r="X123" s="126" t="s">
        <v>861</v>
      </c>
      <c r="Y123" s="104"/>
      <c r="Z123" s="75"/>
      <c r="AA123" s="59"/>
      <c r="AB123" s="76"/>
      <c r="AC123" s="77"/>
      <c r="AD123" s="52"/>
      <c r="AE123" s="78"/>
      <c r="AF123" s="79"/>
      <c r="AG123" s="55"/>
      <c r="AH123" s="57"/>
      <c r="AI123" s="107"/>
      <c r="AJ123" s="57"/>
    </row>
    <row r="124" spans="1:36" x14ac:dyDescent="0.25">
      <c r="A124" s="9">
        <v>42765</v>
      </c>
      <c r="B124" s="82">
        <v>450</v>
      </c>
      <c r="C124" s="7" t="s">
        <v>122</v>
      </c>
      <c r="D124" s="25">
        <v>42792</v>
      </c>
      <c r="E124" s="23">
        <v>78</v>
      </c>
      <c r="F124" s="5" t="s">
        <v>222</v>
      </c>
      <c r="G124" s="61">
        <v>42820</v>
      </c>
      <c r="H124" s="62">
        <v>167</v>
      </c>
      <c r="I124" s="63" t="s">
        <v>148</v>
      </c>
      <c r="J124" s="38">
        <v>42851</v>
      </c>
      <c r="K124" s="84">
        <v>500</v>
      </c>
      <c r="L124" s="39" t="s">
        <v>475</v>
      </c>
      <c r="M124" s="83">
        <v>42882</v>
      </c>
      <c r="N124" s="86">
        <v>120</v>
      </c>
      <c r="O124" s="6" t="s">
        <v>456</v>
      </c>
      <c r="P124" s="89"/>
      <c r="Q124" s="60"/>
      <c r="R124" s="27"/>
      <c r="S124" s="67"/>
      <c r="T124" s="68"/>
      <c r="U124" s="50"/>
      <c r="V124" s="125">
        <v>42976</v>
      </c>
      <c r="W124" s="130">
        <v>12000</v>
      </c>
      <c r="X124" s="126" t="s">
        <v>862</v>
      </c>
      <c r="Y124" s="104"/>
      <c r="Z124" s="75"/>
      <c r="AA124" s="59"/>
      <c r="AB124" s="76"/>
      <c r="AC124" s="77"/>
      <c r="AD124" s="52"/>
      <c r="AE124" s="78"/>
      <c r="AF124" s="79"/>
      <c r="AG124" s="55"/>
      <c r="AH124" s="57"/>
      <c r="AI124" s="107"/>
      <c r="AJ124" s="57"/>
    </row>
    <row r="125" spans="1:36" x14ac:dyDescent="0.25">
      <c r="A125" s="9">
        <v>42766</v>
      </c>
      <c r="B125" s="82">
        <v>450</v>
      </c>
      <c r="C125" s="7" t="s">
        <v>123</v>
      </c>
      <c r="D125" s="25">
        <v>42792</v>
      </c>
      <c r="E125" s="23">
        <v>164</v>
      </c>
      <c r="F125" s="5" t="s">
        <v>148</v>
      </c>
      <c r="G125" s="61">
        <v>42820</v>
      </c>
      <c r="H125" s="62">
        <v>120</v>
      </c>
      <c r="I125" s="63" t="s">
        <v>265</v>
      </c>
      <c r="J125" s="38">
        <v>42851</v>
      </c>
      <c r="K125" s="84">
        <v>310</v>
      </c>
      <c r="L125" s="39" t="s">
        <v>378</v>
      </c>
      <c r="M125" s="83">
        <v>42882</v>
      </c>
      <c r="N125" s="86">
        <v>110.11</v>
      </c>
      <c r="O125" s="6" t="s">
        <v>612</v>
      </c>
      <c r="P125" s="89"/>
      <c r="Q125" s="60"/>
      <c r="R125" s="27"/>
      <c r="S125" s="67"/>
      <c r="T125" s="68"/>
      <c r="U125" s="50"/>
      <c r="V125" s="131">
        <v>42978</v>
      </c>
      <c r="W125" s="130">
        <v>450</v>
      </c>
      <c r="X125" s="127" t="s">
        <v>864</v>
      </c>
      <c r="Y125" s="105"/>
      <c r="Z125" s="75"/>
      <c r="AA125" s="59"/>
      <c r="AB125" s="76"/>
      <c r="AC125" s="77"/>
      <c r="AD125" s="52"/>
      <c r="AE125" s="78"/>
      <c r="AF125" s="79"/>
      <c r="AG125" s="55"/>
      <c r="AH125" s="57"/>
      <c r="AI125" s="107"/>
      <c r="AJ125" s="57"/>
    </row>
    <row r="126" spans="1:36" x14ac:dyDescent="0.25">
      <c r="A126" s="9">
        <v>42766</v>
      </c>
      <c r="B126" s="82">
        <v>300</v>
      </c>
      <c r="C126" s="7" t="s">
        <v>124</v>
      </c>
      <c r="D126" s="25">
        <v>42792</v>
      </c>
      <c r="E126" s="23">
        <v>120</v>
      </c>
      <c r="F126" s="5" t="s">
        <v>173</v>
      </c>
      <c r="G126" s="61">
        <v>42820</v>
      </c>
      <c r="H126" s="62">
        <v>150</v>
      </c>
      <c r="I126" s="63" t="s">
        <v>264</v>
      </c>
      <c r="J126" s="38">
        <v>42851</v>
      </c>
      <c r="K126" s="84">
        <v>10100</v>
      </c>
      <c r="L126" s="39" t="s">
        <v>476</v>
      </c>
      <c r="M126" s="83">
        <v>42884</v>
      </c>
      <c r="N126" s="86">
        <v>400</v>
      </c>
      <c r="O126" s="6" t="s">
        <v>613</v>
      </c>
      <c r="P126" s="89"/>
      <c r="Q126" s="60"/>
      <c r="R126" s="27"/>
      <c r="S126" s="67"/>
      <c r="T126" s="68"/>
      <c r="U126" s="50"/>
      <c r="V126" s="131">
        <v>42978</v>
      </c>
      <c r="W126" s="129">
        <v>4000</v>
      </c>
      <c r="X126" s="127" t="s">
        <v>863</v>
      </c>
      <c r="Y126" s="105"/>
      <c r="Z126" s="75"/>
      <c r="AA126" s="59"/>
      <c r="AB126" s="76"/>
      <c r="AC126" s="77"/>
      <c r="AD126" s="52"/>
      <c r="AE126" s="78"/>
      <c r="AF126" s="79"/>
      <c r="AG126" s="55"/>
      <c r="AH126" s="57"/>
      <c r="AI126" s="107"/>
      <c r="AJ126" s="57"/>
    </row>
    <row r="127" spans="1:36" x14ac:dyDescent="0.25">
      <c r="A127" s="9">
        <v>42766</v>
      </c>
      <c r="B127" s="82">
        <v>786</v>
      </c>
      <c r="C127" s="7" t="s">
        <v>125</v>
      </c>
      <c r="D127" s="25">
        <v>42792</v>
      </c>
      <c r="E127" s="23">
        <v>150</v>
      </c>
      <c r="F127" s="5" t="s">
        <v>164</v>
      </c>
      <c r="G127" s="61">
        <v>42821</v>
      </c>
      <c r="H127" s="62">
        <v>400</v>
      </c>
      <c r="I127" s="63" t="s">
        <v>354</v>
      </c>
      <c r="J127" s="38">
        <v>42851</v>
      </c>
      <c r="K127" s="84">
        <v>10000</v>
      </c>
      <c r="L127" s="39" t="s">
        <v>477</v>
      </c>
      <c r="M127" s="83">
        <v>42884</v>
      </c>
      <c r="N127" s="86">
        <v>374</v>
      </c>
      <c r="O127" s="6" t="s">
        <v>579</v>
      </c>
      <c r="P127" s="89"/>
      <c r="Q127" s="60"/>
      <c r="R127" s="27"/>
      <c r="S127" s="67"/>
      <c r="T127" s="68"/>
      <c r="U127" s="50"/>
      <c r="V127" s="72"/>
      <c r="W127" s="73"/>
      <c r="X127" s="39"/>
      <c r="Y127" s="105"/>
      <c r="Z127" s="75"/>
      <c r="AA127" s="59"/>
      <c r="AB127" s="76"/>
      <c r="AC127" s="77"/>
      <c r="AD127" s="52"/>
      <c r="AE127" s="78"/>
      <c r="AF127" s="79"/>
      <c r="AG127" s="55"/>
      <c r="AH127" s="57"/>
      <c r="AI127" s="107"/>
      <c r="AJ127" s="57"/>
    </row>
    <row r="128" spans="1:36" x14ac:dyDescent="0.25">
      <c r="A128" s="9">
        <v>42766</v>
      </c>
      <c r="B128" s="82">
        <v>192.76</v>
      </c>
      <c r="C128" s="7" t="s">
        <v>126</v>
      </c>
      <c r="D128" s="25">
        <v>42793</v>
      </c>
      <c r="E128" s="23">
        <v>200</v>
      </c>
      <c r="F128" s="5" t="s">
        <v>240</v>
      </c>
      <c r="G128" s="61">
        <v>42821</v>
      </c>
      <c r="H128" s="62">
        <v>400</v>
      </c>
      <c r="I128" s="63" t="s">
        <v>355</v>
      </c>
      <c r="J128" s="113">
        <v>42850</v>
      </c>
      <c r="K128" s="111">
        <v>100</v>
      </c>
      <c r="L128" s="112" t="s">
        <v>478</v>
      </c>
      <c r="M128" s="83">
        <v>42884</v>
      </c>
      <c r="N128" s="86">
        <v>370</v>
      </c>
      <c r="O128" s="6" t="s">
        <v>614</v>
      </c>
      <c r="P128" s="89"/>
      <c r="Q128" s="60"/>
      <c r="R128" s="27"/>
      <c r="S128" s="50"/>
      <c r="T128" s="68"/>
      <c r="U128" s="50"/>
      <c r="V128" s="72"/>
      <c r="W128" s="73"/>
      <c r="X128" s="39"/>
      <c r="Y128" s="105"/>
      <c r="Z128" s="75"/>
      <c r="AA128" s="59"/>
      <c r="AB128" s="76"/>
      <c r="AC128" s="77"/>
      <c r="AD128" s="52"/>
      <c r="AE128" s="78"/>
      <c r="AF128" s="79"/>
      <c r="AG128" s="55"/>
      <c r="AH128" s="57"/>
      <c r="AI128" s="107"/>
      <c r="AJ128" s="57"/>
    </row>
    <row r="129" spans="1:36" x14ac:dyDescent="0.25">
      <c r="A129" s="9">
        <v>42766</v>
      </c>
      <c r="B129" s="82">
        <v>20</v>
      </c>
      <c r="C129" s="7" t="s">
        <v>127</v>
      </c>
      <c r="D129" s="25">
        <v>42793</v>
      </c>
      <c r="E129" s="23">
        <v>310</v>
      </c>
      <c r="F129" s="5" t="s">
        <v>196</v>
      </c>
      <c r="G129" s="61">
        <v>42821</v>
      </c>
      <c r="H129" s="62">
        <v>1300</v>
      </c>
      <c r="I129" s="63" t="s">
        <v>356</v>
      </c>
      <c r="J129" s="113">
        <v>42850</v>
      </c>
      <c r="K129" s="111">
        <v>400</v>
      </c>
      <c r="L129" s="112" t="s">
        <v>479</v>
      </c>
      <c r="M129" s="83">
        <v>42884</v>
      </c>
      <c r="N129" s="86">
        <v>100</v>
      </c>
      <c r="O129" s="6" t="s">
        <v>615</v>
      </c>
      <c r="P129" s="89"/>
      <c r="Q129" s="60"/>
      <c r="R129" s="27"/>
      <c r="S129" s="50"/>
      <c r="T129" s="68"/>
      <c r="U129" s="50"/>
      <c r="V129" s="72"/>
      <c r="W129" s="73"/>
      <c r="X129" s="39"/>
      <c r="Y129" s="105"/>
      <c r="Z129" s="75"/>
      <c r="AA129" s="59"/>
      <c r="AB129" s="76"/>
      <c r="AC129" s="77"/>
      <c r="AD129" s="52"/>
      <c r="AE129" s="78"/>
      <c r="AF129" s="79"/>
      <c r="AG129" s="55"/>
      <c r="AH129" s="57"/>
      <c r="AI129" s="107"/>
      <c r="AJ129" s="57"/>
    </row>
    <row r="130" spans="1:36" x14ac:dyDescent="0.25">
      <c r="A130" s="9">
        <v>42766</v>
      </c>
      <c r="B130" s="82">
        <v>14600</v>
      </c>
      <c r="C130" s="7" t="s">
        <v>112</v>
      </c>
      <c r="D130" s="25">
        <v>42793</v>
      </c>
      <c r="E130" s="23">
        <v>25</v>
      </c>
      <c r="F130" s="5" t="s">
        <v>241</v>
      </c>
      <c r="G130" s="61">
        <v>42821</v>
      </c>
      <c r="H130" s="62">
        <v>400</v>
      </c>
      <c r="I130" s="63" t="s">
        <v>357</v>
      </c>
      <c r="J130" s="113">
        <v>42850</v>
      </c>
      <c r="K130" s="111">
        <v>350</v>
      </c>
      <c r="L130" s="112" t="s">
        <v>480</v>
      </c>
      <c r="M130" s="83">
        <v>42884</v>
      </c>
      <c r="N130" s="86">
        <v>15050</v>
      </c>
      <c r="O130" s="6" t="s">
        <v>616</v>
      </c>
      <c r="P130" s="89"/>
      <c r="Q130" s="60"/>
      <c r="R130" s="27"/>
      <c r="S130" s="50"/>
      <c r="T130" s="68"/>
      <c r="U130" s="50"/>
      <c r="V130" s="72"/>
      <c r="W130" s="73"/>
      <c r="X130" s="39"/>
      <c r="Y130" s="106"/>
      <c r="AB130" s="76"/>
      <c r="AC130" s="77"/>
      <c r="AD130" s="52"/>
      <c r="AE130" s="78"/>
      <c r="AF130" s="79"/>
      <c r="AG130" s="55"/>
      <c r="AH130" s="57"/>
      <c r="AI130" s="107"/>
      <c r="AJ130" s="57"/>
    </row>
    <row r="131" spans="1:36" x14ac:dyDescent="0.25">
      <c r="A131" s="9">
        <v>42766</v>
      </c>
      <c r="B131" s="82">
        <v>4000</v>
      </c>
      <c r="C131" s="7" t="s">
        <v>113</v>
      </c>
      <c r="D131" s="25">
        <v>42794</v>
      </c>
      <c r="E131" s="23">
        <v>300</v>
      </c>
      <c r="F131" s="5" t="s">
        <v>242</v>
      </c>
      <c r="G131" s="61">
        <v>42822</v>
      </c>
      <c r="H131" s="62">
        <v>800</v>
      </c>
      <c r="I131" s="63" t="s">
        <v>360</v>
      </c>
      <c r="J131" s="113">
        <v>42850</v>
      </c>
      <c r="K131" s="111">
        <v>20</v>
      </c>
      <c r="L131" s="112" t="s">
        <v>481</v>
      </c>
      <c r="M131" s="83">
        <v>42884</v>
      </c>
      <c r="N131" s="86">
        <v>300</v>
      </c>
      <c r="O131" s="6" t="s">
        <v>617</v>
      </c>
      <c r="P131" s="89"/>
      <c r="Q131" s="60"/>
      <c r="R131" s="27"/>
      <c r="S131" s="50"/>
      <c r="T131" s="68"/>
      <c r="U131" s="50"/>
      <c r="V131" s="72"/>
      <c r="W131" s="73"/>
      <c r="X131" s="39"/>
      <c r="Y131" s="106"/>
      <c r="AB131" s="76"/>
      <c r="AC131" s="77"/>
      <c r="AD131" s="52"/>
      <c r="AE131" s="78"/>
      <c r="AF131" s="79"/>
      <c r="AG131" s="55"/>
      <c r="AH131" s="57"/>
      <c r="AI131" s="107"/>
      <c r="AJ131" s="57"/>
    </row>
    <row r="132" spans="1:36" x14ac:dyDescent="0.25">
      <c r="A132" s="43"/>
      <c r="B132" s="44"/>
      <c r="C132" s="41"/>
      <c r="D132" s="25">
        <v>42794</v>
      </c>
      <c r="E132" s="23">
        <v>450</v>
      </c>
      <c r="F132" s="5" t="s">
        <v>243</v>
      </c>
      <c r="G132" s="61">
        <v>42822</v>
      </c>
      <c r="H132" s="62">
        <v>150</v>
      </c>
      <c r="I132" s="63" t="s">
        <v>358</v>
      </c>
      <c r="J132" s="113">
        <v>42850</v>
      </c>
      <c r="K132" s="111">
        <v>450</v>
      </c>
      <c r="L132" s="112" t="s">
        <v>482</v>
      </c>
      <c r="M132" s="83">
        <v>42886</v>
      </c>
      <c r="N132" s="86">
        <v>300</v>
      </c>
      <c r="O132" s="6" t="s">
        <v>618</v>
      </c>
      <c r="P132" s="89"/>
      <c r="Q132" s="60"/>
      <c r="R132" s="27"/>
      <c r="S132" s="50"/>
      <c r="T132" s="68"/>
      <c r="U132" s="50"/>
      <c r="V132" s="72"/>
      <c r="W132" s="73"/>
      <c r="X132" s="39"/>
      <c r="Y132" s="106"/>
      <c r="AB132" s="76"/>
      <c r="AC132" s="77"/>
      <c r="AD132" s="52"/>
      <c r="AE132" s="78"/>
      <c r="AF132" s="79"/>
      <c r="AG132" s="55"/>
      <c r="AH132" s="57"/>
      <c r="AI132" s="107"/>
      <c r="AJ132" s="57"/>
    </row>
    <row r="133" spans="1:36" x14ac:dyDescent="0.25">
      <c r="A133" s="43"/>
      <c r="B133" s="44"/>
      <c r="C133" s="41"/>
      <c r="D133" s="25">
        <v>42794</v>
      </c>
      <c r="E133" s="23">
        <v>4000</v>
      </c>
      <c r="F133" s="5" t="s">
        <v>244</v>
      </c>
      <c r="G133" s="61">
        <v>42823</v>
      </c>
      <c r="H133" s="62">
        <v>191.5</v>
      </c>
      <c r="I133" s="63" t="s">
        <v>359</v>
      </c>
      <c r="J133" s="113">
        <v>42850</v>
      </c>
      <c r="K133" s="111">
        <v>200</v>
      </c>
      <c r="L133" s="112" t="s">
        <v>483</v>
      </c>
      <c r="M133" s="83">
        <v>42886</v>
      </c>
      <c r="N133" s="86">
        <v>4000</v>
      </c>
      <c r="O133" s="6" t="s">
        <v>619</v>
      </c>
      <c r="P133" s="89"/>
      <c r="Q133" s="60"/>
      <c r="R133" s="27"/>
      <c r="S133" s="50"/>
      <c r="T133" s="68"/>
      <c r="U133" s="50"/>
      <c r="V133" s="72"/>
      <c r="W133" s="73"/>
      <c r="X133" s="39"/>
      <c r="AB133" s="76"/>
      <c r="AC133" s="77"/>
      <c r="AD133" s="52"/>
      <c r="AE133" s="78"/>
      <c r="AF133" s="79"/>
      <c r="AG133" s="55"/>
      <c r="AH133" s="57"/>
      <c r="AI133" s="107"/>
      <c r="AJ133" s="57"/>
    </row>
    <row r="134" spans="1:36" x14ac:dyDescent="0.25">
      <c r="A134" s="43"/>
      <c r="B134" s="44"/>
      <c r="C134" s="41"/>
      <c r="D134" s="25">
        <v>42794</v>
      </c>
      <c r="E134" s="23">
        <v>30100</v>
      </c>
      <c r="F134" s="5" t="s">
        <v>245</v>
      </c>
      <c r="G134" s="61">
        <v>42823</v>
      </c>
      <c r="H134" s="62">
        <v>100</v>
      </c>
      <c r="I134" s="63" t="s">
        <v>300</v>
      </c>
      <c r="J134" s="113">
        <v>42851</v>
      </c>
      <c r="K134" s="111">
        <v>70</v>
      </c>
      <c r="L134" s="112" t="s">
        <v>484</v>
      </c>
      <c r="M134" s="83">
        <v>42886</v>
      </c>
      <c r="N134" s="86">
        <v>450</v>
      </c>
      <c r="O134" s="6" t="s">
        <v>620</v>
      </c>
      <c r="P134" s="89"/>
      <c r="Q134" s="60"/>
      <c r="R134" s="27"/>
      <c r="S134" s="50"/>
      <c r="T134" s="68"/>
      <c r="U134" s="50"/>
      <c r="V134" s="72"/>
      <c r="W134" s="73"/>
      <c r="X134" s="39"/>
      <c r="AB134" s="76"/>
      <c r="AC134" s="77"/>
      <c r="AD134" s="52"/>
      <c r="AE134" s="78"/>
      <c r="AF134" s="79"/>
      <c r="AG134" s="55"/>
      <c r="AH134" s="57"/>
      <c r="AI134" s="107"/>
      <c r="AJ134" s="57"/>
    </row>
    <row r="135" spans="1:36" x14ac:dyDescent="0.25">
      <c r="A135" s="43"/>
      <c r="B135" s="44"/>
      <c r="C135" s="41"/>
      <c r="D135" s="25">
        <v>42794</v>
      </c>
      <c r="E135" s="23">
        <v>400</v>
      </c>
      <c r="F135" s="5" t="s">
        <v>246</v>
      </c>
      <c r="G135" s="61">
        <v>42823</v>
      </c>
      <c r="H135" s="62">
        <v>1600</v>
      </c>
      <c r="I135" s="63" t="s">
        <v>361</v>
      </c>
      <c r="J135" s="113">
        <v>42851</v>
      </c>
      <c r="K135" s="111">
        <v>1000</v>
      </c>
      <c r="L135" s="112" t="s">
        <v>485</v>
      </c>
      <c r="M135" s="83"/>
      <c r="N135" s="86"/>
      <c r="O135" s="6"/>
      <c r="AB135" s="52"/>
      <c r="AC135" s="77"/>
      <c r="AD135" s="52"/>
      <c r="AE135" s="133"/>
      <c r="AF135" s="42"/>
      <c r="AG135" s="41"/>
      <c r="AH135" s="41"/>
      <c r="AI135" s="42"/>
      <c r="AJ135" s="41"/>
    </row>
    <row r="136" spans="1:36" x14ac:dyDescent="0.25">
      <c r="A136" s="43"/>
      <c r="B136" s="44"/>
      <c r="C136" s="41"/>
      <c r="D136" s="25">
        <v>42794</v>
      </c>
      <c r="E136" s="23">
        <v>1646.2</v>
      </c>
      <c r="F136" s="5" t="s">
        <v>247</v>
      </c>
      <c r="G136" s="61">
        <v>42823</v>
      </c>
      <c r="H136" s="62">
        <v>600</v>
      </c>
      <c r="I136" s="63" t="s">
        <v>362</v>
      </c>
      <c r="J136" s="113">
        <v>42851</v>
      </c>
      <c r="K136" s="111">
        <v>350</v>
      </c>
      <c r="L136" s="112" t="s">
        <v>486</v>
      </c>
      <c r="M136" s="83"/>
      <c r="N136" s="86"/>
      <c r="O136" s="6"/>
      <c r="AB136" s="52"/>
      <c r="AC136" s="77"/>
      <c r="AD136" s="52"/>
      <c r="AE136" s="41"/>
      <c r="AF136" s="42"/>
      <c r="AG136" s="41"/>
      <c r="AH136" s="41"/>
      <c r="AI136" s="42"/>
      <c r="AJ136" s="41"/>
    </row>
    <row r="137" spans="1:36" x14ac:dyDescent="0.25">
      <c r="A137" s="43"/>
      <c r="B137" s="44"/>
      <c r="C137" s="41"/>
      <c r="D137" s="25">
        <v>42794</v>
      </c>
      <c r="E137" s="23">
        <v>3700</v>
      </c>
      <c r="F137" s="5" t="s">
        <v>248</v>
      </c>
      <c r="G137" s="61">
        <v>42823</v>
      </c>
      <c r="H137" s="62">
        <v>400</v>
      </c>
      <c r="I137" s="63" t="s">
        <v>363</v>
      </c>
      <c r="J137" s="113">
        <v>42851</v>
      </c>
      <c r="K137" s="111">
        <v>135</v>
      </c>
      <c r="L137" s="112" t="s">
        <v>487</v>
      </c>
      <c r="M137" s="83"/>
      <c r="N137" s="86"/>
      <c r="O137" s="6"/>
      <c r="AH137" s="41"/>
      <c r="AI137" s="42"/>
      <c r="AJ137" s="41"/>
    </row>
    <row r="138" spans="1:36" x14ac:dyDescent="0.25">
      <c r="A138" s="43"/>
      <c r="B138" s="44"/>
      <c r="C138" s="41"/>
      <c r="D138" s="25"/>
      <c r="E138" s="23"/>
      <c r="F138" s="5"/>
      <c r="G138" s="61">
        <v>42824</v>
      </c>
      <c r="H138" s="62">
        <v>250</v>
      </c>
      <c r="I138" s="63" t="s">
        <v>364</v>
      </c>
      <c r="J138" s="113">
        <v>42851</v>
      </c>
      <c r="K138" s="111">
        <v>70</v>
      </c>
      <c r="L138" s="112" t="s">
        <v>488</v>
      </c>
      <c r="M138" s="83"/>
      <c r="N138" s="86"/>
      <c r="O138" s="6"/>
      <c r="AH138" s="41"/>
      <c r="AI138" s="42"/>
      <c r="AJ138" s="41"/>
    </row>
    <row r="139" spans="1:36" x14ac:dyDescent="0.25">
      <c r="A139" s="43"/>
      <c r="B139" s="44"/>
      <c r="C139" s="41"/>
      <c r="D139" s="25"/>
      <c r="E139" s="23"/>
      <c r="F139" s="5"/>
      <c r="G139" s="61">
        <v>42824</v>
      </c>
      <c r="H139" s="62">
        <v>600</v>
      </c>
      <c r="I139" s="63" t="s">
        <v>365</v>
      </c>
      <c r="J139" s="113">
        <v>42851</v>
      </c>
      <c r="K139" s="111">
        <v>268.3</v>
      </c>
      <c r="L139" s="112" t="s">
        <v>489</v>
      </c>
      <c r="M139" s="83"/>
      <c r="N139" s="86"/>
      <c r="O139" s="6"/>
      <c r="AH139" s="41"/>
      <c r="AI139" s="42"/>
      <c r="AJ139" s="41"/>
    </row>
    <row r="140" spans="1:36" x14ac:dyDescent="0.25">
      <c r="A140" s="43"/>
      <c r="B140" s="44"/>
      <c r="C140" s="41"/>
      <c r="D140" s="43"/>
      <c r="E140" s="41"/>
      <c r="F140" s="41"/>
      <c r="G140" s="61">
        <v>42824</v>
      </c>
      <c r="H140" s="62">
        <v>300</v>
      </c>
      <c r="I140" s="63" t="s">
        <v>366</v>
      </c>
      <c r="J140" s="113">
        <v>42851</v>
      </c>
      <c r="K140" s="111">
        <v>87.3</v>
      </c>
      <c r="L140" s="112" t="s">
        <v>490</v>
      </c>
      <c r="M140" s="83"/>
      <c r="N140" s="86"/>
      <c r="O140" s="6"/>
      <c r="AH140" s="41"/>
      <c r="AI140" s="42"/>
      <c r="AJ140" s="41"/>
    </row>
    <row r="141" spans="1:36" x14ac:dyDescent="0.25">
      <c r="A141" s="43"/>
      <c r="B141" s="44"/>
      <c r="C141" s="41"/>
      <c r="D141" s="43"/>
      <c r="E141" s="41"/>
      <c r="F141" s="41"/>
      <c r="G141" s="61">
        <v>42825</v>
      </c>
      <c r="H141" s="62">
        <v>1000</v>
      </c>
      <c r="I141" s="63" t="s">
        <v>367</v>
      </c>
      <c r="J141" s="113">
        <v>42851</v>
      </c>
      <c r="K141" s="111">
        <v>5</v>
      </c>
      <c r="L141" s="112" t="s">
        <v>491</v>
      </c>
      <c r="M141" s="83"/>
      <c r="N141" s="86"/>
      <c r="O141" s="6"/>
      <c r="AH141" s="41"/>
      <c r="AI141" s="42"/>
      <c r="AJ141" s="41"/>
    </row>
    <row r="142" spans="1:36" x14ac:dyDescent="0.25">
      <c r="A142" s="43"/>
      <c r="B142" s="44"/>
      <c r="C142" s="41"/>
      <c r="D142" s="43"/>
      <c r="E142" s="41"/>
      <c r="F142" s="41"/>
      <c r="G142" s="61">
        <v>42825</v>
      </c>
      <c r="H142" s="62">
        <v>4000</v>
      </c>
      <c r="I142" s="63" t="s">
        <v>368</v>
      </c>
      <c r="J142" s="113">
        <v>42852</v>
      </c>
      <c r="K142" s="111">
        <v>700</v>
      </c>
      <c r="L142" s="112" t="s">
        <v>492</v>
      </c>
      <c r="M142" s="83"/>
      <c r="N142" s="86"/>
      <c r="O142" s="6"/>
      <c r="AH142" s="41"/>
      <c r="AI142" s="42"/>
      <c r="AJ142" s="41"/>
    </row>
    <row r="143" spans="1:36" x14ac:dyDescent="0.25">
      <c r="A143" s="43"/>
      <c r="B143" s="44"/>
      <c r="C143" s="41"/>
      <c r="D143" s="43"/>
      <c r="E143" s="41"/>
      <c r="F143" s="41"/>
      <c r="G143" s="61">
        <v>42825</v>
      </c>
      <c r="H143" s="62">
        <v>16100</v>
      </c>
      <c r="I143" s="63" t="s">
        <v>369</v>
      </c>
      <c r="J143" s="113">
        <v>42852</v>
      </c>
      <c r="K143" s="111">
        <v>46</v>
      </c>
      <c r="L143" s="112" t="s">
        <v>493</v>
      </c>
      <c r="M143" s="83"/>
      <c r="N143" s="86"/>
      <c r="O143" s="6"/>
      <c r="AH143" s="41"/>
      <c r="AI143" s="42"/>
      <c r="AJ143" s="41"/>
    </row>
    <row r="144" spans="1:36" x14ac:dyDescent="0.25">
      <c r="A144" s="43"/>
      <c r="B144" s="44"/>
      <c r="C144" s="41"/>
      <c r="D144" s="43"/>
      <c r="E144" s="41"/>
      <c r="F144" s="41"/>
      <c r="G144" s="61">
        <v>42825</v>
      </c>
      <c r="H144" s="62">
        <v>300</v>
      </c>
      <c r="I144" s="63" t="s">
        <v>370</v>
      </c>
      <c r="J144" s="113">
        <v>42852</v>
      </c>
      <c r="K144" s="111">
        <v>300</v>
      </c>
      <c r="L144" s="112" t="s">
        <v>494</v>
      </c>
      <c r="M144" s="83"/>
      <c r="N144" s="86"/>
      <c r="O144" s="6"/>
      <c r="AH144" s="41"/>
      <c r="AI144" s="42"/>
      <c r="AJ144" s="41"/>
    </row>
    <row r="145" spans="1:36" x14ac:dyDescent="0.25">
      <c r="A145" s="43"/>
      <c r="B145" s="44"/>
      <c r="C145" s="41"/>
      <c r="D145" s="43"/>
      <c r="E145" s="41"/>
      <c r="F145" s="41"/>
      <c r="G145" s="61">
        <v>42825</v>
      </c>
      <c r="H145" s="62">
        <v>450</v>
      </c>
      <c r="I145" s="63" t="s">
        <v>371</v>
      </c>
      <c r="J145" s="113">
        <v>42852</v>
      </c>
      <c r="K145" s="111">
        <v>500</v>
      </c>
      <c r="L145" s="112" t="s">
        <v>479</v>
      </c>
      <c r="M145" s="83"/>
      <c r="N145" s="86"/>
      <c r="O145" s="6"/>
      <c r="AH145" s="41"/>
      <c r="AI145" s="42"/>
      <c r="AJ145" s="41"/>
    </row>
    <row r="146" spans="1:36" x14ac:dyDescent="0.25">
      <c r="A146" s="43"/>
      <c r="B146" s="44"/>
      <c r="C146" s="41"/>
      <c r="D146" s="43"/>
      <c r="E146" s="41"/>
      <c r="F146" s="41"/>
      <c r="G146" s="61">
        <v>42825</v>
      </c>
      <c r="H146" s="62">
        <v>200</v>
      </c>
      <c r="I146" s="63" t="s">
        <v>372</v>
      </c>
      <c r="J146" s="113">
        <v>42853</v>
      </c>
      <c r="K146" s="111">
        <v>250</v>
      </c>
      <c r="L146" s="112" t="s">
        <v>495</v>
      </c>
      <c r="M146" s="83"/>
      <c r="N146" s="86"/>
      <c r="O146" s="6"/>
      <c r="AH146" s="41"/>
      <c r="AI146" s="42"/>
      <c r="AJ146" s="41"/>
    </row>
    <row r="147" spans="1:36" x14ac:dyDescent="0.25">
      <c r="A147" s="43"/>
      <c r="B147" s="44"/>
      <c r="C147" s="41"/>
      <c r="D147" s="43"/>
      <c r="E147" s="41"/>
      <c r="F147" s="41"/>
      <c r="G147" s="61"/>
      <c r="H147" s="62"/>
      <c r="I147" s="63"/>
      <c r="J147" s="113">
        <v>42853</v>
      </c>
      <c r="K147" s="111">
        <v>200</v>
      </c>
      <c r="L147" s="112" t="s">
        <v>496</v>
      </c>
      <c r="M147" s="83"/>
      <c r="N147" s="86"/>
      <c r="O147" s="6"/>
      <c r="AH147" s="41"/>
      <c r="AI147" s="42"/>
      <c r="AJ147" s="41"/>
    </row>
    <row r="148" spans="1:36" x14ac:dyDescent="0.25">
      <c r="A148" s="43"/>
      <c r="B148" s="44"/>
      <c r="C148" s="41"/>
      <c r="D148" s="43"/>
      <c r="E148" s="41"/>
      <c r="F148" s="41"/>
      <c r="G148" s="61"/>
      <c r="H148" s="62"/>
      <c r="I148" s="63"/>
      <c r="J148" s="113">
        <v>42853</v>
      </c>
      <c r="K148" s="111">
        <v>600</v>
      </c>
      <c r="L148" s="112" t="s">
        <v>497</v>
      </c>
      <c r="M148" s="83"/>
      <c r="N148" s="86"/>
      <c r="O148" s="6"/>
      <c r="AH148" s="41"/>
      <c r="AI148" s="42"/>
      <c r="AJ148" s="41"/>
    </row>
    <row r="149" spans="1:36" x14ac:dyDescent="0.25">
      <c r="A149" s="43"/>
      <c r="B149" s="44"/>
      <c r="C149" s="41"/>
      <c r="D149" s="43"/>
      <c r="E149" s="41"/>
      <c r="F149" s="41"/>
      <c r="G149" s="61"/>
      <c r="H149" s="62"/>
      <c r="I149" s="63"/>
      <c r="J149" s="113">
        <v>42853</v>
      </c>
      <c r="K149" s="111">
        <v>300</v>
      </c>
      <c r="L149" s="112" t="s">
        <v>498</v>
      </c>
      <c r="M149" s="83"/>
      <c r="N149" s="86"/>
      <c r="O149" s="6"/>
      <c r="AH149" s="41"/>
      <c r="AI149" s="42"/>
      <c r="AJ149" s="41"/>
    </row>
    <row r="150" spans="1:36" x14ac:dyDescent="0.25">
      <c r="A150" s="43"/>
      <c r="B150" s="44"/>
      <c r="C150" s="41"/>
      <c r="D150" s="43"/>
      <c r="E150" s="41"/>
      <c r="F150" s="41"/>
      <c r="G150" s="108"/>
      <c r="H150" s="109"/>
      <c r="I150" s="110"/>
      <c r="J150" s="113">
        <v>42853</v>
      </c>
      <c r="K150" s="111">
        <v>120</v>
      </c>
      <c r="L150" s="112" t="s">
        <v>499</v>
      </c>
      <c r="M150" s="83"/>
      <c r="N150" s="86"/>
      <c r="O150" s="6"/>
      <c r="AH150" s="41"/>
      <c r="AI150" s="42"/>
      <c r="AJ150" s="41"/>
    </row>
    <row r="151" spans="1:36" x14ac:dyDescent="0.25">
      <c r="A151" s="43"/>
      <c r="B151" s="44"/>
      <c r="C151" s="41"/>
      <c r="D151" s="43"/>
      <c r="E151" s="41"/>
      <c r="F151" s="41"/>
      <c r="G151" s="108"/>
      <c r="H151" s="109"/>
      <c r="I151" s="110"/>
      <c r="J151" s="113">
        <v>42853</v>
      </c>
      <c r="K151" s="111">
        <v>150</v>
      </c>
      <c r="L151" s="112" t="s">
        <v>431</v>
      </c>
      <c r="M151" s="83"/>
      <c r="N151" s="86"/>
      <c r="O151" s="6"/>
      <c r="AH151" s="41"/>
      <c r="AI151" s="42"/>
      <c r="AJ151" s="41"/>
    </row>
    <row r="152" spans="1:36" x14ac:dyDescent="0.25">
      <c r="A152" s="43"/>
      <c r="B152" s="44"/>
      <c r="C152" s="41"/>
      <c r="D152" s="43"/>
      <c r="E152" s="41"/>
      <c r="F152" s="41"/>
      <c r="G152" s="108"/>
      <c r="H152" s="109"/>
      <c r="I152" s="110"/>
      <c r="J152" s="113">
        <v>42853</v>
      </c>
      <c r="K152" s="111">
        <v>111</v>
      </c>
      <c r="L152" s="112" t="s">
        <v>500</v>
      </c>
      <c r="M152" s="83"/>
      <c r="N152" s="86"/>
      <c r="O152" s="6"/>
      <c r="AH152" s="41"/>
      <c r="AI152" s="42"/>
      <c r="AJ152" s="41"/>
    </row>
    <row r="153" spans="1:36" x14ac:dyDescent="0.25">
      <c r="A153" s="43"/>
      <c r="B153" s="44"/>
      <c r="C153" s="41"/>
      <c r="D153" s="43"/>
      <c r="E153" s="41"/>
      <c r="F153" s="41"/>
      <c r="G153" s="108"/>
      <c r="H153" s="109"/>
      <c r="I153" s="110"/>
      <c r="J153" s="113">
        <v>42853</v>
      </c>
      <c r="K153" s="111">
        <v>300</v>
      </c>
      <c r="L153" s="112" t="s">
        <v>501</v>
      </c>
      <c r="M153" s="83"/>
      <c r="N153" s="86"/>
      <c r="O153" s="6"/>
      <c r="AH153" s="41"/>
      <c r="AI153" s="42"/>
      <c r="AJ153" s="41"/>
    </row>
    <row r="154" spans="1:36" x14ac:dyDescent="0.25">
      <c r="A154" s="43"/>
      <c r="B154" s="44"/>
      <c r="C154" s="41"/>
      <c r="D154" s="43"/>
      <c r="E154" s="41"/>
      <c r="F154" s="41"/>
      <c r="G154" s="43"/>
      <c r="H154" s="42"/>
      <c r="I154" s="41"/>
      <c r="J154" s="113">
        <v>42853</v>
      </c>
      <c r="K154" s="111">
        <v>400</v>
      </c>
      <c r="L154" s="112" t="s">
        <v>502</v>
      </c>
      <c r="M154" s="83"/>
      <c r="N154" s="86"/>
      <c r="O154" s="6"/>
      <c r="AH154" s="41"/>
      <c r="AI154" s="42"/>
      <c r="AJ154" s="41"/>
    </row>
    <row r="155" spans="1:36" x14ac:dyDescent="0.25">
      <c r="A155" s="43"/>
      <c r="B155" s="44"/>
      <c r="C155" s="41"/>
      <c r="D155" s="43"/>
      <c r="E155" s="41"/>
      <c r="F155" s="41"/>
      <c r="G155" s="43"/>
      <c r="H155" s="42"/>
      <c r="I155" s="41"/>
      <c r="J155" s="113">
        <v>42854</v>
      </c>
      <c r="K155" s="111">
        <v>91.5</v>
      </c>
      <c r="L155" s="112" t="s">
        <v>503</v>
      </c>
      <c r="M155" s="83"/>
      <c r="N155" s="86"/>
      <c r="O155" s="6"/>
      <c r="AH155" s="41"/>
      <c r="AI155" s="42"/>
      <c r="AJ155" s="41"/>
    </row>
    <row r="156" spans="1:36" x14ac:dyDescent="0.25">
      <c r="A156" s="43"/>
      <c r="B156" s="44"/>
      <c r="C156" s="41"/>
      <c r="D156" s="43"/>
      <c r="E156" s="41"/>
      <c r="F156" s="41"/>
      <c r="G156" s="43"/>
      <c r="H156" s="42"/>
      <c r="I156" s="41"/>
      <c r="J156" s="114">
        <v>42855</v>
      </c>
      <c r="K156" s="111">
        <v>4000</v>
      </c>
      <c r="L156" s="112" t="s">
        <v>504</v>
      </c>
      <c r="M156" s="83"/>
      <c r="N156" s="86"/>
      <c r="O156" s="6"/>
      <c r="AH156" s="41"/>
      <c r="AI156" s="42"/>
      <c r="AJ156" s="41"/>
    </row>
    <row r="157" spans="1:36" x14ac:dyDescent="0.25">
      <c r="A157" s="43"/>
      <c r="B157" s="44"/>
      <c r="C157" s="41"/>
      <c r="D157" s="43"/>
      <c r="E157" s="41"/>
      <c r="F157" s="41"/>
      <c r="G157" s="43"/>
      <c r="H157" s="42"/>
      <c r="I157" s="41"/>
      <c r="J157" s="43"/>
      <c r="K157" s="74"/>
      <c r="L157" s="74"/>
      <c r="M157" s="83"/>
      <c r="N157" s="86"/>
      <c r="O157" s="6"/>
      <c r="AH157" s="41"/>
      <c r="AI157" s="42"/>
      <c r="AJ157" s="41"/>
    </row>
    <row r="158" spans="1:36" x14ac:dyDescent="0.25">
      <c r="A158" s="43"/>
      <c r="B158" s="44"/>
      <c r="C158" s="41"/>
      <c r="D158" s="43"/>
      <c r="E158" s="41"/>
      <c r="F158" s="41"/>
      <c r="G158" s="43"/>
      <c r="H158" s="42"/>
      <c r="I158" s="41"/>
      <c r="J158" s="43"/>
      <c r="AH158" s="41"/>
      <c r="AI158" s="42"/>
      <c r="AJ158" s="41"/>
    </row>
    <row r="159" spans="1:36" x14ac:dyDescent="0.25">
      <c r="A159" s="43"/>
      <c r="B159" s="44"/>
      <c r="C159" s="41"/>
      <c r="D159" s="43"/>
      <c r="E159" s="41"/>
      <c r="F159" s="41"/>
      <c r="G159" s="43"/>
      <c r="H159" s="42"/>
      <c r="I159" s="41"/>
      <c r="J159" s="43"/>
      <c r="AH159" s="41"/>
      <c r="AI159" s="42"/>
      <c r="AJ159" s="41"/>
    </row>
    <row r="160" spans="1:36" x14ac:dyDescent="0.25">
      <c r="A160" s="43"/>
      <c r="B160" s="44"/>
      <c r="C160" s="41"/>
      <c r="D160" s="43"/>
      <c r="E160" s="41"/>
      <c r="F160" s="41"/>
      <c r="G160" s="43"/>
      <c r="H160" s="42"/>
      <c r="I160" s="41"/>
      <c r="J160" s="43"/>
      <c r="AH160" s="41"/>
      <c r="AI160" s="42"/>
      <c r="AJ160" s="41"/>
    </row>
    <row r="161" spans="1:36" x14ac:dyDescent="0.25">
      <c r="A161" s="43"/>
      <c r="B161" s="44"/>
      <c r="C161" s="41"/>
      <c r="D161" s="43"/>
      <c r="E161" s="41"/>
      <c r="F161" s="41"/>
      <c r="G161" s="43"/>
      <c r="H161" s="42"/>
      <c r="I161" s="41"/>
      <c r="J161" s="43"/>
      <c r="AH161" s="41"/>
      <c r="AI161" s="42"/>
      <c r="AJ161" s="41"/>
    </row>
    <row r="162" spans="1:36" x14ac:dyDescent="0.25">
      <c r="A162" s="43"/>
      <c r="B162" s="44"/>
      <c r="C162" s="41"/>
      <c r="D162" s="43"/>
      <c r="E162" s="41"/>
      <c r="F162" s="41"/>
      <c r="G162" s="43"/>
      <c r="H162" s="42"/>
      <c r="I162" s="41"/>
      <c r="J162" s="43"/>
      <c r="AH162" s="41"/>
      <c r="AI162" s="42"/>
      <c r="AJ162" s="41"/>
    </row>
    <row r="163" spans="1:36" x14ac:dyDescent="0.25">
      <c r="A163" s="43"/>
      <c r="B163" s="44"/>
      <c r="C163" s="41"/>
      <c r="D163" s="43"/>
      <c r="E163" s="41"/>
      <c r="F163" s="41"/>
      <c r="G163" s="43"/>
      <c r="H163" s="42"/>
      <c r="I163" s="41"/>
      <c r="J163" s="43"/>
      <c r="AH163" s="41"/>
      <c r="AI163" s="42"/>
      <c r="AJ163" s="41"/>
    </row>
    <row r="164" spans="1:36" x14ac:dyDescent="0.25">
      <c r="A164" s="43"/>
      <c r="B164" s="44"/>
      <c r="C164" s="41"/>
      <c r="D164" s="43"/>
      <c r="E164" s="41"/>
      <c r="F164" s="41"/>
      <c r="G164" s="43"/>
      <c r="H164" s="42"/>
      <c r="I164" s="41"/>
      <c r="J164" s="43"/>
      <c r="AH164" s="41"/>
      <c r="AI164" s="42"/>
      <c r="AJ164" s="41"/>
    </row>
    <row r="165" spans="1:36" x14ac:dyDescent="0.25">
      <c r="A165" s="43"/>
      <c r="B165" s="44"/>
      <c r="C165" s="41"/>
      <c r="D165" s="43"/>
      <c r="E165" s="41"/>
      <c r="F165" s="41"/>
      <c r="G165" s="43"/>
      <c r="H165" s="42"/>
      <c r="I165" s="41"/>
      <c r="J165" s="43"/>
      <c r="AH165" s="41"/>
      <c r="AI165" s="42"/>
      <c r="AJ165" s="41"/>
    </row>
    <row r="166" spans="1:36" x14ac:dyDescent="0.25">
      <c r="A166" s="43"/>
      <c r="B166" s="44"/>
      <c r="C166" s="41"/>
      <c r="D166" s="43"/>
      <c r="E166" s="41"/>
      <c r="F166" s="41"/>
      <c r="G166" s="43"/>
      <c r="H166" s="42"/>
      <c r="I166" s="41"/>
      <c r="J166" s="43"/>
      <c r="AH166" s="41"/>
      <c r="AI166" s="42"/>
      <c r="AJ166" s="41"/>
    </row>
    <row r="167" spans="1:36" x14ac:dyDescent="0.25">
      <c r="A167" s="43"/>
      <c r="B167" s="44"/>
      <c r="C167" s="41"/>
      <c r="D167" s="43"/>
      <c r="E167" s="41"/>
      <c r="F167" s="41"/>
      <c r="G167" s="43"/>
      <c r="H167" s="42"/>
      <c r="I167" s="41"/>
      <c r="J167" s="43"/>
      <c r="AH167" s="41"/>
      <c r="AI167" s="42"/>
      <c r="AJ167" s="41"/>
    </row>
    <row r="168" spans="1:36" x14ac:dyDescent="0.25">
      <c r="A168" s="43"/>
      <c r="B168" s="44"/>
      <c r="C168" s="41"/>
      <c r="D168" s="43"/>
      <c r="E168" s="41"/>
      <c r="F168" s="41"/>
      <c r="G168" s="43"/>
      <c r="H168" s="42"/>
      <c r="I168" s="41"/>
      <c r="J168" s="43"/>
      <c r="AH168" s="41"/>
      <c r="AI168" s="42"/>
      <c r="AJ168" s="41"/>
    </row>
    <row r="169" spans="1:36" x14ac:dyDescent="0.25">
      <c r="A169" s="43"/>
      <c r="B169" s="44"/>
      <c r="C169" s="41"/>
      <c r="D169" s="43"/>
      <c r="E169" s="41"/>
      <c r="F169" s="41"/>
      <c r="G169" s="43"/>
      <c r="H169" s="42"/>
      <c r="I169" s="41"/>
      <c r="J169" s="43"/>
      <c r="AH169" s="41"/>
      <c r="AI169" s="42"/>
      <c r="AJ169" s="41"/>
    </row>
    <row r="170" spans="1:36" x14ac:dyDescent="0.25">
      <c r="A170" s="43"/>
      <c r="B170" s="44"/>
      <c r="C170" s="41"/>
      <c r="D170" s="43"/>
      <c r="E170" s="41"/>
      <c r="F170" s="41"/>
      <c r="G170" s="43"/>
      <c r="H170" s="42"/>
      <c r="I170" s="41"/>
      <c r="J170" s="43"/>
      <c r="AH170" s="41"/>
      <c r="AI170" s="42"/>
      <c r="AJ170" s="41"/>
    </row>
    <row r="171" spans="1:36" x14ac:dyDescent="0.25">
      <c r="A171" s="43"/>
      <c r="B171" s="44"/>
      <c r="C171" s="41"/>
      <c r="D171" s="43"/>
      <c r="E171" s="41"/>
      <c r="F171" s="41"/>
      <c r="G171" s="43"/>
      <c r="H171" s="42"/>
      <c r="I171" s="41"/>
      <c r="J171" s="43"/>
      <c r="AH171" s="41"/>
      <c r="AI171" s="42"/>
      <c r="AJ171" s="41"/>
    </row>
    <row r="172" spans="1:36" x14ac:dyDescent="0.25">
      <c r="A172" s="43"/>
      <c r="B172" s="44"/>
      <c r="C172" s="41"/>
      <c r="D172" s="43"/>
      <c r="E172" s="41"/>
      <c r="F172" s="41"/>
      <c r="G172" s="43"/>
      <c r="H172" s="42"/>
      <c r="I172" s="41"/>
      <c r="J172" s="43"/>
      <c r="AH172" s="41"/>
      <c r="AI172" s="42"/>
      <c r="AJ172" s="41"/>
    </row>
    <row r="173" spans="1:36" x14ac:dyDescent="0.25">
      <c r="A173" s="43"/>
      <c r="B173" s="44"/>
      <c r="C173" s="41"/>
      <c r="D173" s="43"/>
      <c r="E173" s="41"/>
      <c r="F173" s="41"/>
      <c r="G173" s="43"/>
      <c r="H173" s="42"/>
      <c r="I173" s="41"/>
      <c r="J173" s="43"/>
      <c r="AH173" s="41"/>
      <c r="AI173" s="42"/>
      <c r="AJ173" s="41"/>
    </row>
    <row r="174" spans="1:36" x14ac:dyDescent="0.25">
      <c r="A174" s="43"/>
      <c r="B174" s="44"/>
      <c r="C174" s="41"/>
      <c r="D174" s="43"/>
      <c r="E174" s="41"/>
      <c r="F174" s="41"/>
      <c r="G174" s="43"/>
      <c r="H174" s="42"/>
      <c r="I174" s="41"/>
      <c r="J174" s="43"/>
      <c r="AH174" s="41"/>
      <c r="AI174" s="42"/>
      <c r="AJ174" s="41"/>
    </row>
    <row r="175" spans="1:36" x14ac:dyDescent="0.25">
      <c r="A175" s="43"/>
      <c r="B175" s="44"/>
      <c r="C175" s="41"/>
      <c r="D175" s="43"/>
      <c r="E175" s="41"/>
      <c r="F175" s="41"/>
      <c r="G175" s="43"/>
      <c r="H175" s="42"/>
      <c r="I175" s="41"/>
      <c r="J175" s="43"/>
      <c r="AH175" s="41"/>
      <c r="AI175" s="42"/>
      <c r="AJ175" s="41"/>
    </row>
    <row r="176" spans="1:36" x14ac:dyDescent="0.25">
      <c r="A176" s="43"/>
      <c r="B176" s="44"/>
      <c r="C176" s="41"/>
      <c r="D176" s="43"/>
      <c r="E176" s="41"/>
      <c r="F176" s="41"/>
      <c r="G176" s="43"/>
      <c r="H176" s="42"/>
      <c r="I176" s="41"/>
      <c r="J176" s="43"/>
      <c r="AH176" s="41"/>
      <c r="AI176" s="42"/>
      <c r="AJ176" s="41"/>
    </row>
    <row r="177" spans="1:36" x14ac:dyDescent="0.25">
      <c r="A177" s="43"/>
      <c r="B177" s="44"/>
      <c r="C177" s="41"/>
      <c r="D177" s="43"/>
      <c r="E177" s="41"/>
      <c r="F177" s="41"/>
      <c r="G177" s="43"/>
      <c r="H177" s="42"/>
      <c r="I177" s="41"/>
      <c r="J177" s="43"/>
      <c r="AH177" s="41"/>
      <c r="AI177" s="42"/>
      <c r="AJ177" s="41"/>
    </row>
    <row r="178" spans="1:36" x14ac:dyDescent="0.25">
      <c r="A178" s="43"/>
      <c r="B178" s="44"/>
      <c r="C178" s="41"/>
      <c r="D178" s="43"/>
      <c r="E178" s="41"/>
      <c r="F178" s="41"/>
      <c r="G178" s="43"/>
      <c r="H178" s="42"/>
      <c r="I178" s="41"/>
      <c r="J178" s="43"/>
      <c r="AH178" s="41"/>
      <c r="AI178" s="42"/>
      <c r="AJ178" s="41"/>
    </row>
    <row r="179" spans="1:36" x14ac:dyDescent="0.25">
      <c r="A179" s="43"/>
      <c r="B179" s="44"/>
      <c r="C179" s="41"/>
      <c r="D179" s="43"/>
      <c r="E179" s="41"/>
      <c r="F179" s="41"/>
      <c r="G179" s="43"/>
      <c r="H179" s="42"/>
      <c r="I179" s="41"/>
      <c r="J179" s="43"/>
      <c r="AH179" s="41"/>
      <c r="AI179" s="42"/>
      <c r="AJ179" s="41"/>
    </row>
    <row r="180" spans="1:36" x14ac:dyDescent="0.25">
      <c r="A180" s="43"/>
      <c r="B180" s="44"/>
      <c r="C180" s="41"/>
      <c r="D180" s="43"/>
      <c r="E180" s="41"/>
      <c r="F180" s="41"/>
      <c r="G180" s="43"/>
      <c r="H180" s="42"/>
      <c r="I180" s="41"/>
      <c r="J180" s="43"/>
      <c r="AH180" s="41"/>
      <c r="AI180" s="42"/>
      <c r="AJ180" s="41"/>
    </row>
    <row r="181" spans="1:36" x14ac:dyDescent="0.25">
      <c r="A181" s="43"/>
      <c r="B181" s="44"/>
      <c r="C181" s="41"/>
      <c r="D181" s="43"/>
      <c r="E181" s="41"/>
      <c r="F181" s="41"/>
      <c r="G181" s="43"/>
      <c r="H181" s="42"/>
      <c r="I181" s="41"/>
      <c r="J181" s="43"/>
      <c r="AH181" s="41"/>
      <c r="AI181" s="42"/>
      <c r="AJ181" s="41"/>
    </row>
    <row r="182" spans="1:36" x14ac:dyDescent="0.25">
      <c r="A182" s="43"/>
      <c r="B182" s="44"/>
      <c r="C182" s="41"/>
      <c r="D182" s="43"/>
      <c r="E182" s="41"/>
      <c r="F182" s="41"/>
      <c r="G182" s="43"/>
      <c r="H182" s="42"/>
      <c r="I182" s="41"/>
      <c r="J182" s="43"/>
      <c r="AH182" s="41"/>
      <c r="AI182" s="42"/>
      <c r="AJ182" s="41"/>
    </row>
    <row r="183" spans="1:36" x14ac:dyDescent="0.25">
      <c r="A183" s="43"/>
      <c r="B183" s="44"/>
      <c r="C183" s="41"/>
      <c r="D183" s="43"/>
      <c r="E183" s="41"/>
      <c r="F183" s="41"/>
      <c r="G183" s="43"/>
      <c r="H183" s="42"/>
      <c r="I183" s="41"/>
      <c r="J183" s="43"/>
      <c r="AH183" s="41"/>
      <c r="AI183" s="42"/>
      <c r="AJ183" s="41"/>
    </row>
    <row r="184" spans="1:36" x14ac:dyDescent="0.25">
      <c r="A184" s="43"/>
      <c r="B184" s="44"/>
      <c r="C184" s="41"/>
      <c r="D184" s="43"/>
      <c r="E184" s="41"/>
      <c r="F184" s="41"/>
      <c r="G184" s="43"/>
      <c r="H184" s="42"/>
      <c r="I184" s="41"/>
      <c r="J184" s="43"/>
      <c r="AH184" s="41"/>
      <c r="AI184" s="42"/>
      <c r="AJ184" s="41"/>
    </row>
    <row r="185" spans="1:36" x14ac:dyDescent="0.25">
      <c r="A185" s="43"/>
      <c r="B185" s="44"/>
      <c r="C185" s="41"/>
      <c r="D185" s="43"/>
      <c r="E185" s="41"/>
      <c r="F185" s="41"/>
      <c r="G185" s="43"/>
      <c r="H185" s="42"/>
      <c r="I185" s="41"/>
      <c r="AH185" s="41"/>
      <c r="AI185" s="42"/>
      <c r="AJ185" s="41"/>
    </row>
    <row r="186" spans="1:36" x14ac:dyDescent="0.25">
      <c r="A186" s="43"/>
      <c r="B186" s="44"/>
      <c r="C186" s="41"/>
      <c r="D186" s="43"/>
      <c r="E186" s="41"/>
      <c r="F186" s="41"/>
      <c r="G186" s="43"/>
      <c r="H186" s="42"/>
      <c r="I186" s="41"/>
      <c r="AH186" s="41"/>
      <c r="AI186" s="42"/>
      <c r="AJ186" s="41"/>
    </row>
    <row r="187" spans="1:36" x14ac:dyDescent="0.25">
      <c r="A187" s="43"/>
      <c r="B187" s="44"/>
      <c r="C187" s="41"/>
      <c r="D187" s="43"/>
      <c r="E187" s="41"/>
      <c r="F187" s="41"/>
      <c r="G187" s="43"/>
      <c r="H187" s="42"/>
      <c r="I187" s="41"/>
      <c r="AH187" s="41"/>
      <c r="AI187" s="42"/>
      <c r="AJ187" s="41"/>
    </row>
    <row r="188" spans="1:36" x14ac:dyDescent="0.25">
      <c r="A188" s="43"/>
      <c r="B188" s="44"/>
      <c r="C188" s="41"/>
      <c r="D188" s="43"/>
      <c r="E188" s="41"/>
      <c r="F188" s="41"/>
      <c r="G188" s="43"/>
      <c r="H188" s="42"/>
      <c r="I188" s="41"/>
      <c r="AH188" s="41"/>
      <c r="AI188" s="42"/>
      <c r="AJ188" s="41"/>
    </row>
    <row r="189" spans="1:36" x14ac:dyDescent="0.25">
      <c r="A189" s="43"/>
      <c r="B189" s="44"/>
      <c r="C189" s="41"/>
      <c r="D189" s="43"/>
      <c r="E189" s="41"/>
      <c r="F189" s="41"/>
      <c r="G189" s="43"/>
      <c r="H189" s="42"/>
      <c r="I189" s="41"/>
      <c r="AH189" s="41"/>
      <c r="AI189" s="42"/>
      <c r="AJ189" s="41"/>
    </row>
    <row r="190" spans="1:36" x14ac:dyDescent="0.25">
      <c r="A190" s="43"/>
      <c r="B190" s="44"/>
      <c r="C190" s="41"/>
      <c r="D190" s="43"/>
      <c r="E190" s="41"/>
      <c r="F190" s="41"/>
      <c r="G190" s="43"/>
      <c r="H190" s="42"/>
      <c r="I190" s="41"/>
      <c r="AH190" s="41"/>
      <c r="AI190" s="42"/>
      <c r="AJ190" s="41"/>
    </row>
    <row r="191" spans="1:36" x14ac:dyDescent="0.25">
      <c r="A191" s="43"/>
      <c r="B191" s="44"/>
      <c r="C191" s="41"/>
      <c r="D191" s="43"/>
      <c r="E191" s="41"/>
      <c r="F191" s="41"/>
      <c r="G191" s="43"/>
      <c r="H191" s="42"/>
      <c r="I191" s="41"/>
      <c r="AH191" s="41"/>
      <c r="AI191" s="42"/>
      <c r="AJ191" s="41"/>
    </row>
    <row r="192" spans="1:36" x14ac:dyDescent="0.25">
      <c r="A192" s="43"/>
      <c r="B192" s="44"/>
      <c r="C192" s="41"/>
      <c r="D192" s="43"/>
      <c r="E192" s="41"/>
      <c r="F192" s="41"/>
      <c r="G192" s="43"/>
      <c r="H192" s="42"/>
      <c r="I192" s="41"/>
      <c r="AH192" s="41"/>
      <c r="AI192" s="42"/>
      <c r="AJ192" s="41"/>
    </row>
    <row r="193" spans="1:36" x14ac:dyDescent="0.25">
      <c r="A193" s="43"/>
      <c r="B193" s="44"/>
      <c r="C193" s="41"/>
      <c r="D193" s="43"/>
      <c r="E193" s="41"/>
      <c r="F193" s="41"/>
      <c r="G193" s="43"/>
      <c r="H193" s="42"/>
      <c r="I193" s="41"/>
      <c r="AH193" s="41"/>
      <c r="AI193" s="42"/>
      <c r="AJ193" s="41"/>
    </row>
    <row r="194" spans="1:36" x14ac:dyDescent="0.25">
      <c r="A194" s="43"/>
      <c r="B194" s="44"/>
      <c r="C194" s="41"/>
      <c r="D194" s="43"/>
      <c r="E194" s="41"/>
      <c r="F194" s="41"/>
      <c r="G194" s="43"/>
      <c r="H194" s="42"/>
      <c r="I194" s="41"/>
      <c r="AH194" s="41"/>
      <c r="AI194" s="42"/>
      <c r="AJ194" s="41"/>
    </row>
    <row r="195" spans="1:36" x14ac:dyDescent="0.25">
      <c r="A195" s="43"/>
      <c r="B195" s="44"/>
      <c r="C195" s="41"/>
      <c r="D195" s="43"/>
      <c r="E195" s="41"/>
      <c r="F195" s="41"/>
      <c r="G195" s="43"/>
      <c r="H195" s="42"/>
      <c r="I195" s="41"/>
      <c r="AH195" s="41"/>
      <c r="AI195" s="42"/>
      <c r="AJ195" s="41"/>
    </row>
    <row r="196" spans="1:36" x14ac:dyDescent="0.25">
      <c r="A196" s="43"/>
      <c r="B196" s="44"/>
      <c r="C196" s="41"/>
      <c r="G196" s="43"/>
      <c r="H196" s="42"/>
      <c r="I196" s="41"/>
      <c r="AH196" s="41"/>
      <c r="AI196" s="42"/>
      <c r="AJ196" s="41"/>
    </row>
    <row r="197" spans="1:36" x14ac:dyDescent="0.25">
      <c r="A197" s="43"/>
      <c r="B197" s="44"/>
      <c r="C197" s="41"/>
      <c r="G197" s="43"/>
      <c r="H197" s="42"/>
      <c r="I197" s="41"/>
      <c r="AH197" s="41"/>
      <c r="AI197" s="42"/>
      <c r="AJ197" s="41"/>
    </row>
    <row r="198" spans="1:36" x14ac:dyDescent="0.25">
      <c r="A198" s="43"/>
      <c r="B198" s="44"/>
      <c r="C198" s="41"/>
      <c r="G198" s="43"/>
      <c r="H198" s="42"/>
      <c r="I198" s="41"/>
      <c r="AH198" s="41"/>
      <c r="AI198" s="42"/>
      <c r="AJ198" s="41"/>
    </row>
    <row r="199" spans="1:36" x14ac:dyDescent="0.25">
      <c r="A199" s="43"/>
      <c r="B199" s="44"/>
      <c r="C199" s="41"/>
      <c r="G199" s="43"/>
      <c r="H199" s="42"/>
      <c r="I199" s="41"/>
      <c r="AH199" s="41"/>
      <c r="AI199" s="42"/>
      <c r="AJ199" s="41"/>
    </row>
    <row r="200" spans="1:36" x14ac:dyDescent="0.25">
      <c r="A200" s="43"/>
      <c r="B200" s="44"/>
      <c r="C200" s="41"/>
      <c r="G200" s="43"/>
      <c r="H200" s="42"/>
      <c r="I200" s="41"/>
      <c r="AH200" s="41"/>
      <c r="AI200" s="42"/>
      <c r="AJ200" s="41"/>
    </row>
    <row r="201" spans="1:36" x14ac:dyDescent="0.25">
      <c r="A201" s="43"/>
      <c r="B201" s="44"/>
      <c r="C201" s="41"/>
      <c r="G201" s="43"/>
      <c r="H201" s="42"/>
      <c r="I201" s="41"/>
      <c r="AH201" s="41"/>
      <c r="AI201" s="42"/>
      <c r="AJ201" s="41"/>
    </row>
    <row r="202" spans="1:36" x14ac:dyDescent="0.25">
      <c r="A202" s="43"/>
      <c r="B202" s="44"/>
      <c r="C202" s="41"/>
      <c r="G202" s="43"/>
      <c r="H202" s="42"/>
      <c r="I202" s="41"/>
      <c r="AH202" s="41"/>
      <c r="AI202" s="42"/>
      <c r="AJ202" s="41"/>
    </row>
    <row r="203" spans="1:36" x14ac:dyDescent="0.25">
      <c r="A203" s="43"/>
      <c r="B203" s="44"/>
      <c r="C203" s="41"/>
      <c r="G203" s="43"/>
      <c r="H203" s="42"/>
      <c r="I203" s="41"/>
      <c r="AH203" s="41"/>
      <c r="AI203" s="42"/>
      <c r="AJ203" s="41"/>
    </row>
    <row r="204" spans="1:36" x14ac:dyDescent="0.25">
      <c r="A204" s="43"/>
      <c r="B204" s="44"/>
      <c r="C204" s="41"/>
      <c r="G204" s="43"/>
      <c r="H204" s="42"/>
      <c r="I204" s="41"/>
      <c r="AH204" s="41"/>
      <c r="AI204" s="42"/>
      <c r="AJ204" s="41"/>
    </row>
    <row r="205" spans="1:36" x14ac:dyDescent="0.25">
      <c r="A205" s="43"/>
      <c r="B205" s="44"/>
      <c r="C205" s="41"/>
      <c r="G205" s="43"/>
      <c r="H205" s="41"/>
      <c r="I205" s="41"/>
      <c r="AH205" s="41"/>
      <c r="AI205" s="42"/>
      <c r="AJ205" s="41"/>
    </row>
    <row r="206" spans="1:36" x14ac:dyDescent="0.25">
      <c r="A206" s="43"/>
      <c r="B206" s="44"/>
      <c r="C206" s="41"/>
      <c r="AH206" s="41"/>
      <c r="AI206" s="42"/>
      <c r="AJ206" s="41"/>
    </row>
    <row r="207" spans="1:36" x14ac:dyDescent="0.25">
      <c r="A207" s="43"/>
      <c r="B207" s="44"/>
      <c r="C207" s="41"/>
      <c r="AH207" s="41"/>
      <c r="AI207" s="42"/>
      <c r="AJ207" s="41"/>
    </row>
    <row r="208" spans="1:36" x14ac:dyDescent="0.25">
      <c r="A208" s="43"/>
      <c r="B208" s="44"/>
      <c r="C208" s="41"/>
      <c r="AH208" s="41"/>
      <c r="AI208" s="42"/>
      <c r="AJ208" s="41"/>
    </row>
    <row r="209" spans="1:36" x14ac:dyDescent="0.25">
      <c r="A209" s="43"/>
      <c r="B209" s="44"/>
      <c r="C209" s="41"/>
      <c r="AH209" s="41"/>
      <c r="AI209" s="42"/>
      <c r="AJ209" s="41"/>
    </row>
    <row r="210" spans="1:36" x14ac:dyDescent="0.25">
      <c r="A210" s="43"/>
      <c r="B210" s="44"/>
      <c r="C210" s="41"/>
      <c r="AH210" s="41"/>
      <c r="AI210" s="42"/>
      <c r="AJ210" s="41"/>
    </row>
    <row r="211" spans="1:36" x14ac:dyDescent="0.25">
      <c r="A211" s="43"/>
      <c r="B211" s="44"/>
      <c r="C211" s="41"/>
      <c r="AH211" s="41"/>
      <c r="AI211" s="42"/>
      <c r="AJ211" s="41"/>
    </row>
    <row r="212" spans="1:36" x14ac:dyDescent="0.25">
      <c r="A212" s="43"/>
      <c r="B212" s="44"/>
      <c r="C212" s="41"/>
      <c r="AH212" s="41"/>
      <c r="AI212" s="42"/>
      <c r="AJ212" s="41"/>
    </row>
    <row r="213" spans="1:36" x14ac:dyDescent="0.25">
      <c r="A213" s="43"/>
      <c r="B213" s="44"/>
      <c r="C213" s="41"/>
      <c r="AH213" s="41"/>
      <c r="AI213" s="42"/>
      <c r="AJ213" s="41"/>
    </row>
    <row r="214" spans="1:36" x14ac:dyDescent="0.25">
      <c r="A214" s="43"/>
      <c r="B214" s="44"/>
      <c r="C214" s="41"/>
      <c r="AH214" s="41"/>
      <c r="AI214" s="42"/>
      <c r="AJ214" s="41"/>
    </row>
    <row r="215" spans="1:36" x14ac:dyDescent="0.25">
      <c r="A215" s="43"/>
      <c r="B215" s="44"/>
      <c r="C215" s="41"/>
      <c r="AH215" s="41"/>
      <c r="AI215" s="42"/>
      <c r="AJ215" s="41"/>
    </row>
    <row r="216" spans="1:36" x14ac:dyDescent="0.25">
      <c r="A216" s="43"/>
      <c r="B216" s="44"/>
      <c r="C216" s="41"/>
      <c r="AH216" s="41"/>
      <c r="AI216" s="42"/>
      <c r="AJ216" s="41"/>
    </row>
    <row r="217" spans="1:36" x14ac:dyDescent="0.25">
      <c r="A217" s="43"/>
      <c r="B217" s="44"/>
      <c r="C217" s="41"/>
      <c r="AH217" s="41"/>
      <c r="AI217" s="42"/>
      <c r="AJ217" s="41"/>
    </row>
    <row r="218" spans="1:36" x14ac:dyDescent="0.25">
      <c r="A218" s="43"/>
      <c r="B218" s="44"/>
      <c r="C218" s="41"/>
    </row>
    <row r="219" spans="1:36" x14ac:dyDescent="0.25">
      <c r="B219" s="10"/>
    </row>
    <row r="220" spans="1:36" x14ac:dyDescent="0.25">
      <c r="B220" s="10"/>
    </row>
    <row r="221" spans="1:36" x14ac:dyDescent="0.25">
      <c r="B221" s="10"/>
    </row>
    <row r="222" spans="1:36" x14ac:dyDescent="0.25">
      <c r="B222" s="10"/>
    </row>
    <row r="223" spans="1:36" x14ac:dyDescent="0.25">
      <c r="B223" s="10"/>
    </row>
    <row r="224" spans="1:36" x14ac:dyDescent="0.25">
      <c r="B224" s="10"/>
    </row>
    <row r="225" spans="2:2" x14ac:dyDescent="0.25">
      <c r="B225" s="10"/>
    </row>
    <row r="226" spans="2:2" x14ac:dyDescent="0.25">
      <c r="B226" s="10"/>
    </row>
    <row r="227" spans="2:2" x14ac:dyDescent="0.25">
      <c r="B227" s="10"/>
    </row>
    <row r="228" spans="2:2" x14ac:dyDescent="0.25">
      <c r="B228" s="10"/>
    </row>
    <row r="229" spans="2:2" x14ac:dyDescent="0.25">
      <c r="B229" s="10"/>
    </row>
    <row r="230" spans="2:2" x14ac:dyDescent="0.25">
      <c r="B230" s="10"/>
    </row>
    <row r="231" spans="2:2" x14ac:dyDescent="0.25">
      <c r="B231" s="10"/>
    </row>
    <row r="232" spans="2:2" x14ac:dyDescent="0.25">
      <c r="B232" s="10"/>
    </row>
    <row r="233" spans="2:2" x14ac:dyDescent="0.25">
      <c r="B233" s="10"/>
    </row>
    <row r="234" spans="2:2" x14ac:dyDescent="0.25">
      <c r="B234" s="10"/>
    </row>
    <row r="235" spans="2:2" x14ac:dyDescent="0.25">
      <c r="B235" s="10"/>
    </row>
    <row r="236" spans="2:2" x14ac:dyDescent="0.25">
      <c r="B236" s="10"/>
    </row>
    <row r="237" spans="2:2" x14ac:dyDescent="0.25">
      <c r="B237" s="10"/>
    </row>
    <row r="238" spans="2:2" x14ac:dyDescent="0.25">
      <c r="B238" s="10"/>
    </row>
    <row r="239" spans="2:2" x14ac:dyDescent="0.25">
      <c r="B239" s="10"/>
    </row>
    <row r="240" spans="2:2" x14ac:dyDescent="0.25">
      <c r="B240" s="10"/>
    </row>
    <row r="241" spans="2:2" x14ac:dyDescent="0.25">
      <c r="B241" s="10"/>
    </row>
    <row r="242" spans="2:2" x14ac:dyDescent="0.25">
      <c r="B242" s="10"/>
    </row>
    <row r="243" spans="2:2" x14ac:dyDescent="0.25">
      <c r="B243" s="10"/>
    </row>
    <row r="244" spans="2:2" x14ac:dyDescent="0.25">
      <c r="B244" s="10"/>
    </row>
    <row r="245" spans="2:2" x14ac:dyDescent="0.25">
      <c r="B245" s="10"/>
    </row>
    <row r="246" spans="2:2" x14ac:dyDescent="0.25">
      <c r="B246" s="10"/>
    </row>
    <row r="247" spans="2:2" x14ac:dyDescent="0.25">
      <c r="B247" s="10"/>
    </row>
    <row r="248" spans="2:2" x14ac:dyDescent="0.25">
      <c r="B248" s="10"/>
    </row>
    <row r="249" spans="2:2" x14ac:dyDescent="0.25">
      <c r="B249" s="10"/>
    </row>
    <row r="250" spans="2:2" x14ac:dyDescent="0.25">
      <c r="B250" s="10"/>
    </row>
    <row r="251" spans="2:2" x14ac:dyDescent="0.25">
      <c r="B251" s="10"/>
    </row>
    <row r="252" spans="2:2" x14ac:dyDescent="0.25">
      <c r="B252" s="10"/>
    </row>
    <row r="253" spans="2:2" x14ac:dyDescent="0.25">
      <c r="B253" s="10"/>
    </row>
    <row r="254" spans="2:2" x14ac:dyDescent="0.25">
      <c r="B254" s="10"/>
    </row>
    <row r="255" spans="2:2" x14ac:dyDescent="0.25">
      <c r="B255" s="10"/>
    </row>
    <row r="256" spans="2:2" x14ac:dyDescent="0.25">
      <c r="B256" s="10"/>
    </row>
    <row r="257" spans="2:2" x14ac:dyDescent="0.25">
      <c r="B257" s="10"/>
    </row>
    <row r="258" spans="2:2" x14ac:dyDescent="0.25">
      <c r="B258" s="10"/>
    </row>
    <row r="259" spans="2:2" x14ac:dyDescent="0.25">
      <c r="B259" s="10"/>
    </row>
    <row r="260" spans="2:2" x14ac:dyDescent="0.25">
      <c r="B260" s="10"/>
    </row>
    <row r="261" spans="2:2" x14ac:dyDescent="0.25">
      <c r="B261" s="10"/>
    </row>
    <row r="262" spans="2:2" x14ac:dyDescent="0.25">
      <c r="B262" s="10"/>
    </row>
    <row r="263" spans="2:2" x14ac:dyDescent="0.25">
      <c r="B263" s="10"/>
    </row>
    <row r="264" spans="2:2" x14ac:dyDescent="0.25">
      <c r="B264" s="10"/>
    </row>
    <row r="265" spans="2:2" x14ac:dyDescent="0.25">
      <c r="B265" s="10"/>
    </row>
    <row r="266" spans="2:2" x14ac:dyDescent="0.25">
      <c r="B266" s="10"/>
    </row>
    <row r="267" spans="2:2" x14ac:dyDescent="0.25">
      <c r="B267" s="10"/>
    </row>
    <row r="268" spans="2:2" x14ac:dyDescent="0.25">
      <c r="B268" s="10"/>
    </row>
    <row r="269" spans="2:2" x14ac:dyDescent="0.25">
      <c r="B269" s="10"/>
    </row>
    <row r="270" spans="2:2" x14ac:dyDescent="0.25">
      <c r="B270" s="10"/>
    </row>
    <row r="271" spans="2:2" x14ac:dyDescent="0.25">
      <c r="B271" s="10"/>
    </row>
    <row r="272" spans="2:2" x14ac:dyDescent="0.25">
      <c r="B272" s="10"/>
    </row>
    <row r="273" spans="2:2" x14ac:dyDescent="0.25">
      <c r="B273" s="10"/>
    </row>
    <row r="274" spans="2:2" x14ac:dyDescent="0.25">
      <c r="B274" s="10"/>
    </row>
    <row r="275" spans="2:2" x14ac:dyDescent="0.25">
      <c r="B275" s="10"/>
    </row>
    <row r="276" spans="2:2" x14ac:dyDescent="0.25">
      <c r="B276" s="10"/>
    </row>
    <row r="277" spans="2:2" x14ac:dyDescent="0.25">
      <c r="B277" s="10"/>
    </row>
    <row r="278" spans="2:2" x14ac:dyDescent="0.25">
      <c r="B278" s="10"/>
    </row>
    <row r="279" spans="2:2" x14ac:dyDescent="0.25">
      <c r="B279" s="10"/>
    </row>
    <row r="280" spans="2:2" x14ac:dyDescent="0.25">
      <c r="B280" s="10"/>
    </row>
    <row r="281" spans="2:2" x14ac:dyDescent="0.25">
      <c r="B281" s="10"/>
    </row>
    <row r="282" spans="2:2" x14ac:dyDescent="0.25">
      <c r="B282" s="10"/>
    </row>
    <row r="283" spans="2:2" x14ac:dyDescent="0.25">
      <c r="B283" s="10"/>
    </row>
    <row r="284" spans="2:2" x14ac:dyDescent="0.25">
      <c r="B284" s="10"/>
    </row>
    <row r="285" spans="2:2" x14ac:dyDescent="0.25">
      <c r="B285" s="10"/>
    </row>
    <row r="286" spans="2:2" x14ac:dyDescent="0.25">
      <c r="B286" s="10"/>
    </row>
    <row r="287" spans="2:2" x14ac:dyDescent="0.25">
      <c r="B287" s="10"/>
    </row>
    <row r="288" spans="2:2" x14ac:dyDescent="0.25">
      <c r="B288" s="10"/>
    </row>
    <row r="289" spans="2:2" x14ac:dyDescent="0.25">
      <c r="B289" s="10"/>
    </row>
    <row r="290" spans="2:2" x14ac:dyDescent="0.25">
      <c r="B290" s="10"/>
    </row>
    <row r="291" spans="2:2" x14ac:dyDescent="0.25">
      <c r="B291" s="10"/>
    </row>
    <row r="292" spans="2:2" x14ac:dyDescent="0.25">
      <c r="B292" s="10"/>
    </row>
    <row r="293" spans="2:2" x14ac:dyDescent="0.25">
      <c r="B293" s="10"/>
    </row>
    <row r="294" spans="2:2" x14ac:dyDescent="0.25">
      <c r="B294" s="10"/>
    </row>
    <row r="295" spans="2:2" x14ac:dyDescent="0.25">
      <c r="B295" s="10"/>
    </row>
    <row r="296" spans="2:2" x14ac:dyDescent="0.25">
      <c r="B296" s="10"/>
    </row>
    <row r="297" spans="2:2" x14ac:dyDescent="0.25">
      <c r="B297" s="10"/>
    </row>
    <row r="298" spans="2:2" x14ac:dyDescent="0.25">
      <c r="B298" s="10"/>
    </row>
    <row r="299" spans="2:2" x14ac:dyDescent="0.25">
      <c r="B299" s="10"/>
    </row>
    <row r="300" spans="2:2" x14ac:dyDescent="0.25">
      <c r="B300" s="10"/>
    </row>
    <row r="301" spans="2:2" x14ac:dyDescent="0.25">
      <c r="B301" s="10"/>
    </row>
    <row r="302" spans="2:2" x14ac:dyDescent="0.25">
      <c r="B302" s="10"/>
    </row>
    <row r="303" spans="2:2" x14ac:dyDescent="0.25">
      <c r="B303" s="10"/>
    </row>
    <row r="304" spans="2:2" x14ac:dyDescent="0.25">
      <c r="B304" s="10"/>
    </row>
    <row r="305" spans="2:2" x14ac:dyDescent="0.25">
      <c r="B305" s="10"/>
    </row>
    <row r="306" spans="2:2" x14ac:dyDescent="0.25">
      <c r="B306" s="10"/>
    </row>
    <row r="307" spans="2:2" x14ac:dyDescent="0.25">
      <c r="B307" s="10"/>
    </row>
    <row r="308" spans="2:2" x14ac:dyDescent="0.25">
      <c r="B308" s="10"/>
    </row>
    <row r="309" spans="2:2" x14ac:dyDescent="0.25">
      <c r="B309" s="10"/>
    </row>
    <row r="310" spans="2:2" x14ac:dyDescent="0.25">
      <c r="B310" s="10"/>
    </row>
    <row r="311" spans="2:2" x14ac:dyDescent="0.25">
      <c r="B311" s="10"/>
    </row>
    <row r="312" spans="2:2" x14ac:dyDescent="0.25">
      <c r="B312" s="10"/>
    </row>
    <row r="313" spans="2:2" x14ac:dyDescent="0.25">
      <c r="B313" s="10"/>
    </row>
    <row r="314" spans="2:2" x14ac:dyDescent="0.25">
      <c r="B314" s="10"/>
    </row>
    <row r="315" spans="2:2" x14ac:dyDescent="0.25">
      <c r="B315" s="10"/>
    </row>
    <row r="316" spans="2:2" x14ac:dyDescent="0.25">
      <c r="B316" s="10"/>
    </row>
  </sheetData>
  <mergeCells count="14">
    <mergeCell ref="S2:U2"/>
    <mergeCell ref="P2:R2"/>
    <mergeCell ref="A1:K1"/>
    <mergeCell ref="L1:M1"/>
    <mergeCell ref="M2:O2"/>
    <mergeCell ref="J2:L2"/>
    <mergeCell ref="G2:I2"/>
    <mergeCell ref="D2:F2"/>
    <mergeCell ref="A2:C2"/>
    <mergeCell ref="V2:X2"/>
    <mergeCell ref="Y2:AA2"/>
    <mergeCell ref="AB2:AD2"/>
    <mergeCell ref="AE2:AG2"/>
    <mergeCell ref="AH2:AJ2"/>
  </mergeCells>
  <pageMargins left="0.19685039370078741" right="0.19685039370078741" top="0.39370078740157483" bottom="0.59055118110236227" header="0.31496062992125984" footer="0.31496062992125984"/>
  <pageSetup scale="50" fitToWidth="0" orientation="portrait" r:id="rId1"/>
  <headerFooter>
    <oddFooter>&amp;C&amp;P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CIBRAS DE CONTROL 2016</vt:lpstr>
      <vt:lpstr>'CIBRAS DE CONTROL 2016'!Área_de_impresión</vt:lpstr>
      <vt:lpstr>'CIBRAS DE CONTROL 2016'!Títulos_a_imprimir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GALVEZ</dc:creator>
  <cp:lastModifiedBy>Hacienda de Coyoacan</cp:lastModifiedBy>
  <cp:lastPrinted>2017-03-31T03:25:13Z</cp:lastPrinted>
  <dcterms:created xsi:type="dcterms:W3CDTF">2013-12-30T22:30:56Z</dcterms:created>
  <dcterms:modified xsi:type="dcterms:W3CDTF">2017-12-30T03:45:12Z</dcterms:modified>
</cp:coreProperties>
</file>