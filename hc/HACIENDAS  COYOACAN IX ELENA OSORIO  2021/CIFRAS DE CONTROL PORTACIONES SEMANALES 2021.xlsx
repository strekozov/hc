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loria\Documents\HACIENDAS  COYOACAN IX ELENA OSORIO  2021\"/>
    </mc:Choice>
  </mc:AlternateContent>
  <xr:revisionPtr revIDLastSave="0" documentId="8_{9483025A-4D61-49D3-8AF6-44100B5B408F}" xr6:coauthVersionLast="47" xr6:coauthVersionMax="47" xr10:uidLastSave="{00000000-0000-0000-0000-000000000000}"/>
  <bookViews>
    <workbookView xWindow="-120" yWindow="-120" windowWidth="20730" windowHeight="11310" firstSheet="9" activeTab="11" xr2:uid="{00000000-000D-0000-FFFF-FFFF00000000}"/>
  </bookViews>
  <sheets>
    <sheet name="C C Aportaciones ENE 21" sheetId="5" r:id="rId1"/>
    <sheet name="C C Aportaciones FEB 21" sheetId="6" r:id="rId2"/>
    <sheet name="C C Aportacines MAR 21" sheetId="7" r:id="rId3"/>
    <sheet name="C C Aportaciones ABR 21" sheetId="9" r:id="rId4"/>
    <sheet name="C C Aportaciones MAY 21" sheetId="12" r:id="rId5"/>
    <sheet name="C C Aportaciones JUN 21" sheetId="13" r:id="rId6"/>
    <sheet name="C C Aportaciones JUL 21   " sheetId="15" r:id="rId7"/>
    <sheet name="C C Aportaciones AGO 21   " sheetId="14" r:id="rId8"/>
    <sheet name="C C Aportaciones SEP 21" sheetId="16" r:id="rId9"/>
    <sheet name="C C Aportaciones OCT 21 " sheetId="17" r:id="rId10"/>
    <sheet name="C C Aportaciones NOV 21   " sheetId="18" r:id="rId11"/>
    <sheet name="C C Aportaciones DIC 21  " sheetId="8" r:id="rId12"/>
  </sheets>
  <definedNames>
    <definedName name="_xlnm.Print_Area" localSheetId="2">'C C Aportacines MAR 21'!$A$1:$O$4</definedName>
    <definedName name="_xlnm.Print_Area" localSheetId="3">'C C Aportaciones ABR 21'!$A$1:$O$4</definedName>
    <definedName name="_xlnm.Print_Area" localSheetId="7">'C C Aportaciones AGO 21   '!$A$1:$O$4</definedName>
    <definedName name="_xlnm.Print_Area" localSheetId="11">'C C Aportaciones DIC 21  '!$A$1:$O$4</definedName>
    <definedName name="_xlnm.Print_Area" localSheetId="0">'C C Aportaciones ENE 21'!$A$1:$O$74</definedName>
    <definedName name="_xlnm.Print_Area" localSheetId="1">'C C Aportaciones FEB 21'!$A$5:$V$132</definedName>
    <definedName name="_xlnm.Print_Area" localSheetId="6">'C C Aportaciones JUL 21   '!$A$1:$O$4</definedName>
    <definedName name="_xlnm.Print_Area" localSheetId="5">'C C Aportaciones JUN 21'!$A$1:$O$1</definedName>
    <definedName name="_xlnm.Print_Area" localSheetId="4">'C C Aportaciones MAY 21'!$A$1:$O$4</definedName>
    <definedName name="_xlnm.Print_Area" localSheetId="10">'C C Aportaciones NOV 21   '!$A$1:$O$1</definedName>
    <definedName name="_xlnm.Print_Area" localSheetId="9">'C C Aportaciones OCT 21 '!$A$1:$O$4</definedName>
    <definedName name="_xlnm.Print_Area" localSheetId="8">'C C Aportaciones SEP 21'!$A$1:$O$4</definedName>
    <definedName name="_xlnm.Print_Titles" localSheetId="2">'C C Aportacines MAR 21'!$1:$4</definedName>
    <definedName name="_xlnm.Print_Titles" localSheetId="3">'C C Aportaciones ABR 21'!$1:$4</definedName>
    <definedName name="_xlnm.Print_Titles" localSheetId="7">'C C Aportaciones AGO 21   '!$1:$4</definedName>
    <definedName name="_xlnm.Print_Titles" localSheetId="11">'C C Aportaciones DIC 21  '!$1:$4</definedName>
    <definedName name="_xlnm.Print_Titles" localSheetId="0">'C C Aportaciones ENE 21'!$1:$7</definedName>
    <definedName name="_xlnm.Print_Titles" localSheetId="1">'C C Aportaciones FEB 21'!$1:$7</definedName>
    <definedName name="_xlnm.Print_Titles" localSheetId="6">'C C Aportaciones JUL 21   '!$1:$4</definedName>
    <definedName name="_xlnm.Print_Titles" localSheetId="5">'C C Aportaciones JUN 21'!$1:$4</definedName>
    <definedName name="_xlnm.Print_Titles" localSheetId="4">'C C Aportaciones MAY 21'!$1:$4</definedName>
    <definedName name="_xlnm.Print_Titles" localSheetId="10">'C C Aportaciones NOV 21   '!$1:$4</definedName>
    <definedName name="_xlnm.Print_Titles" localSheetId="9">'C C Aportaciones OCT 21 '!$1:$4</definedName>
    <definedName name="_xlnm.Print_Titles" localSheetId="8">'C C Aportaciones SEP 21'!$1:$4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8" l="1"/>
  <c r="K3" i="18"/>
  <c r="B6" i="14" l="1"/>
  <c r="H6" i="15"/>
  <c r="E6" i="15"/>
  <c r="B6" i="15"/>
  <c r="H6" i="17"/>
  <c r="B6" i="17" l="1"/>
  <c r="N6" i="17"/>
  <c r="K6" i="17"/>
  <c r="E6" i="17"/>
  <c r="N6" i="16" l="1"/>
  <c r="K6" i="16"/>
  <c r="H6" i="16"/>
  <c r="K6" i="14" l="1"/>
  <c r="N6" i="14"/>
  <c r="H6" i="14" l="1"/>
  <c r="E6" i="14" l="1"/>
  <c r="B6" i="8" l="1"/>
  <c r="A6" i="8"/>
  <c r="J3" i="18" l="1"/>
  <c r="H3" i="18" l="1"/>
  <c r="B3" i="18" l="1"/>
  <c r="E3" i="18" l="1"/>
  <c r="B6" i="9" l="1"/>
  <c r="A3" i="18" l="1"/>
  <c r="E6" i="9" l="1"/>
  <c r="D6" i="9"/>
  <c r="E6" i="7" l="1"/>
  <c r="B6" i="7" l="1"/>
  <c r="N6" i="5" l="1"/>
  <c r="M6" i="5"/>
  <c r="K6" i="7" l="1"/>
  <c r="H6" i="7"/>
  <c r="M6" i="7" l="1"/>
  <c r="N6" i="7"/>
  <c r="E6" i="12" l="1"/>
  <c r="H3" i="13" l="1"/>
  <c r="E3" i="13" l="1"/>
  <c r="N6" i="12" l="1"/>
  <c r="M6" i="12"/>
  <c r="K6" i="5" l="1"/>
  <c r="K6" i="9" l="1"/>
  <c r="H6" i="9"/>
  <c r="E6" i="16" l="1"/>
  <c r="N3" i="18" l="1"/>
  <c r="M3" i="18"/>
  <c r="G3" i="18"/>
  <c r="D3" i="18"/>
  <c r="M6" i="17"/>
  <c r="J6" i="17"/>
  <c r="G6" i="17"/>
  <c r="D6" i="17"/>
  <c r="A6" i="17"/>
  <c r="I3" i="17"/>
  <c r="F3" i="17"/>
  <c r="M6" i="16"/>
  <c r="J6" i="16"/>
  <c r="G6" i="16"/>
  <c r="D6" i="16"/>
  <c r="B6" i="16"/>
  <c r="A6" i="16"/>
  <c r="I3" i="16"/>
  <c r="F3" i="16"/>
  <c r="N6" i="15"/>
  <c r="M6" i="15"/>
  <c r="K6" i="15"/>
  <c r="J6" i="15"/>
  <c r="G6" i="15"/>
  <c r="D6" i="15"/>
  <c r="A6" i="15"/>
  <c r="I3" i="15"/>
  <c r="F3" i="15"/>
  <c r="M6" i="14"/>
  <c r="J6" i="14"/>
  <c r="G6" i="14"/>
  <c r="D6" i="14"/>
  <c r="A6" i="14"/>
  <c r="I3" i="14"/>
  <c r="F3" i="14"/>
  <c r="N3" i="13"/>
  <c r="M3" i="13"/>
  <c r="K3" i="13"/>
  <c r="J3" i="13"/>
  <c r="G3" i="13"/>
  <c r="D3" i="13"/>
  <c r="B3" i="13"/>
  <c r="A3" i="13"/>
  <c r="Q3" i="18" l="1"/>
  <c r="R3" i="18"/>
  <c r="R6" i="17"/>
  <c r="Q6" i="17"/>
  <c r="R6" i="16"/>
  <c r="Q6" i="16"/>
  <c r="R6" i="14"/>
  <c r="Q6" i="14"/>
  <c r="R6" i="15"/>
  <c r="Q6" i="15"/>
  <c r="R3" i="13"/>
  <c r="Q3" i="13"/>
  <c r="K6" i="12"/>
  <c r="J6" i="12"/>
  <c r="H6" i="12"/>
  <c r="G6" i="12"/>
  <c r="D6" i="12"/>
  <c r="B6" i="12"/>
  <c r="A6" i="12"/>
  <c r="I3" i="12"/>
  <c r="F3" i="12"/>
  <c r="Q6" i="12" l="1"/>
  <c r="R6" i="12"/>
  <c r="N6" i="9"/>
  <c r="M6" i="9"/>
  <c r="J6" i="9"/>
  <c r="G6" i="9"/>
  <c r="A6" i="9"/>
  <c r="I3" i="9"/>
  <c r="F3" i="9"/>
  <c r="Q6" i="9" l="1"/>
  <c r="N6" i="8"/>
  <c r="M6" i="8"/>
  <c r="K6" i="8"/>
  <c r="J6" i="8"/>
  <c r="G6" i="8"/>
  <c r="E6" i="8"/>
  <c r="D6" i="8"/>
  <c r="I3" i="8"/>
  <c r="F3" i="8"/>
  <c r="Q6" i="8" l="1"/>
  <c r="R6" i="8"/>
  <c r="K6" i="6" l="1"/>
  <c r="E6" i="6"/>
  <c r="B6" i="6"/>
  <c r="J6" i="7" l="1"/>
  <c r="G6" i="7"/>
  <c r="D6" i="7"/>
  <c r="A6" i="7"/>
  <c r="I3" i="7"/>
  <c r="F3" i="7"/>
  <c r="Q6" i="7" l="1"/>
  <c r="R6" i="7"/>
  <c r="N6" i="6"/>
  <c r="M6" i="6"/>
  <c r="J6" i="6"/>
  <c r="H6" i="6"/>
  <c r="G6" i="6"/>
  <c r="D6" i="6"/>
  <c r="A6" i="6"/>
  <c r="R6" i="6" l="1"/>
  <c r="Q6" i="6"/>
  <c r="F3" i="6"/>
  <c r="I3" i="6"/>
  <c r="J6" i="5"/>
  <c r="H6" i="5"/>
  <c r="G6" i="5"/>
  <c r="E6" i="5"/>
  <c r="D6" i="5"/>
  <c r="B6" i="5"/>
  <c r="A6" i="5"/>
  <c r="Q6" i="5" l="1"/>
  <c r="F3" i="5"/>
  <c r="I3" i="5"/>
  <c r="P6" i="5" l="1"/>
  <c r="R6" i="9" l="1"/>
</calcChain>
</file>

<file path=xl/sharedStrings.xml><?xml version="1.0" encoding="utf-8"?>
<sst xmlns="http://schemas.openxmlformats.org/spreadsheetml/2006/main" count="2977" uniqueCount="617">
  <si>
    <t>1a. Semana</t>
  </si>
  <si>
    <t>Recibo</t>
  </si>
  <si>
    <t>Observación</t>
  </si>
  <si>
    <t>Importe</t>
  </si>
  <si>
    <t>2a. Semana</t>
  </si>
  <si>
    <t>3a. Semana</t>
  </si>
  <si>
    <t>4a. Semana</t>
  </si>
  <si>
    <t>DICIEMBRE</t>
  </si>
  <si>
    <t>Totales del mes</t>
  </si>
  <si>
    <t>Recibos</t>
  </si>
  <si>
    <t>CIFRAS DE CONTROL DE LAS APOTACIONES DEL MES</t>
  </si>
  <si>
    <t>enero</t>
  </si>
  <si>
    <t>5a. Semana</t>
  </si>
  <si>
    <t>TOTAL MES</t>
  </si>
  <si>
    <t>$</t>
  </si>
  <si>
    <t>observación</t>
  </si>
  <si>
    <t>$ 250 por mes</t>
  </si>
  <si>
    <t>$ 400 por mes</t>
  </si>
  <si>
    <t>$ 300 por mes</t>
  </si>
  <si>
    <t>Pago 1 tarjetón</t>
  </si>
  <si>
    <t xml:space="preserve">C A N C E L A D O </t>
  </si>
  <si>
    <t>$ 350 por mes</t>
  </si>
  <si>
    <t>$ 450 por mes</t>
  </si>
  <si>
    <t xml:space="preserve">$ 500 por mes </t>
  </si>
  <si>
    <t>Pago oct/nov/dic/20</t>
  </si>
  <si>
    <t>Pago oct/nov/20</t>
  </si>
  <si>
    <t>Pago T.E.#894</t>
  </si>
  <si>
    <t>Pago nov/dic/20</t>
  </si>
  <si>
    <t>Pago anualidad 2021</t>
  </si>
  <si>
    <t>Pago dic/20 y ene/21</t>
  </si>
  <si>
    <t>Pago ene/feb/mar/21</t>
  </si>
  <si>
    <t>05/09/20211</t>
  </si>
  <si>
    <t>Pago de cuota extraordinaria</t>
  </si>
  <si>
    <t>para reparación de pluma</t>
  </si>
  <si>
    <t>Pago diciembre 2020</t>
  </si>
  <si>
    <t>enero/21 $ 500 por mes</t>
  </si>
  <si>
    <t>se condoná 1 mes</t>
  </si>
  <si>
    <t>Pago ene/feb/21</t>
  </si>
  <si>
    <t>enero/21 $ 400 por mes</t>
  </si>
  <si>
    <t>Pago 1 T.E.#923</t>
  </si>
  <si>
    <t>Paggo ene/feb/21</t>
  </si>
  <si>
    <t>Pago nov $ 400 por mes a/c</t>
  </si>
  <si>
    <t>dic $ 100</t>
  </si>
  <si>
    <t>Pago noviembre/20</t>
  </si>
  <si>
    <t>Pago 2 T.E.#908 Y 846</t>
  </si>
  <si>
    <t>Pago t.e.#922</t>
  </si>
  <si>
    <t>Pago anulaidad 2021</t>
  </si>
  <si>
    <t xml:space="preserve">se condonò 1 mes </t>
  </si>
  <si>
    <t>Cuota extraordinaria</t>
  </si>
  <si>
    <t>voluntaria</t>
  </si>
  <si>
    <t>Pago nov/dic/21</t>
  </si>
  <si>
    <t>Pago diciembre</t>
  </si>
  <si>
    <t>$ 200 por mes</t>
  </si>
  <si>
    <t>Pago 1 T.E.#265</t>
  </si>
  <si>
    <t>Pago ene/feb/mar/abr/21</t>
  </si>
  <si>
    <t>Pago feb/mar/abr/may/jun</t>
  </si>
  <si>
    <t>jul/20 $ 300 por mes</t>
  </si>
  <si>
    <t>y 1 T.E.# 857</t>
  </si>
  <si>
    <t>Pago septiembre/20</t>
  </si>
  <si>
    <t>Pago 1 T.E.#2030</t>
  </si>
  <si>
    <t>Pago T.E.#865</t>
  </si>
  <si>
    <t>Pago de enero a agosto/21</t>
  </si>
  <si>
    <t>Pago de sep a dic/20  y</t>
  </si>
  <si>
    <t>enero/21 $ 250 por mes</t>
  </si>
  <si>
    <t>$ 500 por mes</t>
  </si>
  <si>
    <t>Pago diciembre/20</t>
  </si>
  <si>
    <t>y enero/21 $ 300 por mes</t>
  </si>
  <si>
    <t>Pago de enero a sept/21</t>
  </si>
  <si>
    <t>Pago dic/20 ene/feb/21</t>
  </si>
  <si>
    <t>Pago 1 tarjetòn</t>
  </si>
  <si>
    <t>Pago dic/20 ene/21</t>
  </si>
  <si>
    <t>$ 500 por mes y 1 llave</t>
  </si>
  <si>
    <t>Pago febrero</t>
  </si>
  <si>
    <t>Pago feb/mar/21</t>
  </si>
  <si>
    <t>Pago T.E.#872</t>
  </si>
  <si>
    <t>Pago marzo/21</t>
  </si>
  <si>
    <t>Pago liq. Ene/feb/mar/21</t>
  </si>
  <si>
    <t>$ 100 por mes</t>
  </si>
  <si>
    <t>Pago ene/feb/21 $ 500 por</t>
  </si>
  <si>
    <t>mes y a/c $ 200 marzo</t>
  </si>
  <si>
    <t>se condonò 1 mes</t>
  </si>
  <si>
    <t>Pago dic/20 y ene/feb/21</t>
  </si>
  <si>
    <t>Pago septiembre</t>
  </si>
  <si>
    <t>Pagp ene/feb/21</t>
  </si>
  <si>
    <t>Pago ene/feb/mar/abr/</t>
  </si>
  <si>
    <t>may/jun/21 $ 250 por mes</t>
  </si>
  <si>
    <t>Pago febrero, 1 llave y 1</t>
  </si>
  <si>
    <t>T.E.# 388</t>
  </si>
  <si>
    <t>Pago diciembre/21</t>
  </si>
  <si>
    <t>Pago liq. Ene$ 50 y 1</t>
  </si>
  <si>
    <t>T.E.#67</t>
  </si>
  <si>
    <t>Pago 2 tarjetones</t>
  </si>
  <si>
    <t>may/jun/21 $ 300 por mes</t>
  </si>
  <si>
    <t>Pago anualidad</t>
  </si>
  <si>
    <t>se condonó 1 mes</t>
  </si>
  <si>
    <t>Prestamos 2 T.E.#112/89</t>
  </si>
  <si>
    <t>$ 500 por mes 1 2 tarjeton</t>
  </si>
  <si>
    <t>Pago febrero /2 tarjetones</t>
  </si>
  <si>
    <t>Pago enero</t>
  </si>
  <si>
    <t xml:space="preserve">Pago ene/feb/mar/21 </t>
  </si>
  <si>
    <t>$ 500 por mes y 2 T.E.</t>
  </si>
  <si>
    <t># 289 y 1 tarjetón</t>
  </si>
  <si>
    <t xml:space="preserve">Pago dic/20 $ 400 y a/c a </t>
  </si>
  <si>
    <t>ene/21 $ 100</t>
  </si>
  <si>
    <t>Pago 1 T.E.#127</t>
  </si>
  <si>
    <t>Pago dic/20 $ 200 y ene/21</t>
  </si>
  <si>
    <t xml:space="preserve">$ 200 D-2 y dic/20 $ 200 y </t>
  </si>
  <si>
    <t>ene/21 $ 200 D-3</t>
  </si>
  <si>
    <t>Pago mar/abr/may/jun/</t>
  </si>
  <si>
    <t>ago/21 $ 300 por mes</t>
  </si>
  <si>
    <t>se le condonó 1 mes</t>
  </si>
  <si>
    <t>Pago a/c enero</t>
  </si>
  <si>
    <t>Pago dic/21 y ene/20</t>
  </si>
  <si>
    <t>$ 500 por mes y 1 tarjetòn</t>
  </si>
  <si>
    <t>$ 800 por mes</t>
  </si>
  <si>
    <t>Pago de abril a diciembre</t>
  </si>
  <si>
    <t>Pago 1 T.E.#448</t>
  </si>
  <si>
    <t>Pago 1 T.E.#330</t>
  </si>
  <si>
    <t>Pago 1 llave</t>
  </si>
  <si>
    <t>Pago liq. Mar $ 300 y de</t>
  </si>
  <si>
    <t>abril a nov $ 500 por mes</t>
  </si>
  <si>
    <t>Pago abril</t>
  </si>
  <si>
    <t>Pago marzo</t>
  </si>
  <si>
    <t>Liq. Enero/21</t>
  </si>
  <si>
    <t>may/21 $ 200 por mes</t>
  </si>
  <si>
    <t>Pago marzo y 1 llave</t>
  </si>
  <si>
    <t>Pago de mayo a diciembre</t>
  </si>
  <si>
    <t>20 $ 400 por mes</t>
  </si>
  <si>
    <t>Pago 1 T.E.#891</t>
  </si>
  <si>
    <t>se le condonò 1 mes</t>
  </si>
  <si>
    <t>Pago nov/dic/20 y ene/21</t>
  </si>
  <si>
    <t>Pago mar/abr/21</t>
  </si>
  <si>
    <t xml:space="preserve">se condonó 1 mes y </t>
  </si>
  <si>
    <t>1 T.E.#1041</t>
  </si>
  <si>
    <t>Pago feb/mar/abr/may/21</t>
  </si>
  <si>
    <t>Pago 1 T.E.#1015</t>
  </si>
  <si>
    <t>Pago 1 T.E.#1095</t>
  </si>
  <si>
    <t>y 1 T.E# 501</t>
  </si>
  <si>
    <t>Pago 1 T.E.#1133</t>
  </si>
  <si>
    <t>Pago nov/dic/20 ene/feb</t>
  </si>
  <si>
    <t>21 $ 500 por mes</t>
  </si>
  <si>
    <t>Paggo feb/mar/21</t>
  </si>
  <si>
    <t>Pago marzo, 1 T.E.#461</t>
  </si>
  <si>
    <t>Pago anualidad 2020</t>
  </si>
  <si>
    <t>Pago 1 T.E.# 546</t>
  </si>
  <si>
    <t>Pago may/jun/20</t>
  </si>
  <si>
    <t>Pago mar/abr/may/21</t>
  </si>
  <si>
    <t>Pago sep/oct/nov/dic/20</t>
  </si>
  <si>
    <t>ene/feb/21 $ 500 por mes</t>
  </si>
  <si>
    <t>Pago de enero a junio</t>
  </si>
  <si>
    <t>Pago feb/mar/abri/jun/21</t>
  </si>
  <si>
    <t>Liquidación mes de marzo</t>
  </si>
  <si>
    <t>Pago abr/may/jun/21</t>
  </si>
  <si>
    <t>Liq. Dic/21 $ 300 y paga</t>
  </si>
  <si>
    <t>ene/feb/mar/21 $ 300</t>
  </si>
  <si>
    <t>por mes</t>
  </si>
  <si>
    <t>Pago feb/1 T.E.#731</t>
  </si>
  <si>
    <t>T.E.#779</t>
  </si>
  <si>
    <t>Pago de enero a mayo</t>
  </si>
  <si>
    <t>Pago abr/may/21</t>
  </si>
  <si>
    <t>$ 500  por mes</t>
  </si>
  <si>
    <t>Pago mar/abr/may/jun/21</t>
  </si>
  <si>
    <t>Pago mar/T.E.#930</t>
  </si>
  <si>
    <t>$ 500          $ 300</t>
  </si>
  <si>
    <t>Pago  febrero</t>
  </si>
  <si>
    <t>Pago 1 T.E.#771</t>
  </si>
  <si>
    <t>Pago mar/abr/mar/21</t>
  </si>
  <si>
    <t>$ 250 por  mes</t>
  </si>
  <si>
    <t>Pago dic/20 ene/feb/mar/21</t>
  </si>
  <si>
    <t>Pago ene/feb/mar/abr/may</t>
  </si>
  <si>
    <t>Pago mar/1 T.E.#925</t>
  </si>
  <si>
    <t>$ 300          $ 200</t>
  </si>
  <si>
    <t>Pago junio</t>
  </si>
  <si>
    <t>Pago ene/abr/21</t>
  </si>
  <si>
    <t>Pago abr/May/21</t>
  </si>
  <si>
    <t>Pago 1 T.E.#862</t>
  </si>
  <si>
    <t>Pago feb/mar/abr/21</t>
  </si>
  <si>
    <t>$ 500 por mes, 1 T.E.#907</t>
  </si>
  <si>
    <t>1 llave</t>
  </si>
  <si>
    <t>Pago 1 T.E.#100</t>
  </si>
  <si>
    <t>Pago mayo</t>
  </si>
  <si>
    <t>$ 600 por mes</t>
  </si>
  <si>
    <t>Pago tarjetón</t>
  </si>
  <si>
    <t>C A N C E L A D O</t>
  </si>
  <si>
    <t>Pago jul/ago/20</t>
  </si>
  <si>
    <t>y 2 tarjetones</t>
  </si>
  <si>
    <t>Pago 1 T.E.#438</t>
  </si>
  <si>
    <t>Pago 1 T.E.#591</t>
  </si>
  <si>
    <t>Pago depto 1 mar $ 200</t>
  </si>
  <si>
    <t xml:space="preserve">depto 2 feb/mar/ $200 </t>
  </si>
  <si>
    <t>depto 3 feb/mar/$200</t>
  </si>
  <si>
    <t>Pago $ 100 dic/20 y feb/</t>
  </si>
  <si>
    <t>mar/abr/21 $ 500 por mes</t>
  </si>
  <si>
    <t>Pago 1 T.E. # 665</t>
  </si>
  <si>
    <t>Pago LD_92 marzo</t>
  </si>
  <si>
    <t>pago RV_181 marzo</t>
  </si>
  <si>
    <t>Pago may/jun/21</t>
  </si>
  <si>
    <t>$  500 por mes</t>
  </si>
  <si>
    <t>Pago de marzo a dic/21</t>
  </si>
  <si>
    <t>$ 400 por mes y 1 T.E.</t>
  </si>
  <si>
    <t># 675</t>
  </si>
  <si>
    <t xml:space="preserve">$ 400 por mes   </t>
  </si>
  <si>
    <t>Pago may/jun/jul/ago/21</t>
  </si>
  <si>
    <t>Pago T.E.#666</t>
  </si>
  <si>
    <t>Pago 1 T.E.#937</t>
  </si>
  <si>
    <t>Pago a/c febrero</t>
  </si>
  <si>
    <t>Pago abril y 1 llave</t>
  </si>
  <si>
    <t>Pago 1 T.E.#935 y 1 tarjetón</t>
  </si>
  <si>
    <t>Pago 1 T.E.#936</t>
  </si>
  <si>
    <t>Pago abr/may/jun/jul/21</t>
  </si>
  <si>
    <t>Pago liq. Febrero</t>
  </si>
  <si>
    <t>Pago 1 llave y 1 T.E.#943</t>
  </si>
  <si>
    <t>Pago a/c mayo</t>
  </si>
  <si>
    <t>Pago abril y 1 tarjetón</t>
  </si>
  <si>
    <t>Pago julio</t>
  </si>
  <si>
    <t xml:space="preserve">Donativo para poda de </t>
  </si>
  <si>
    <t>árbol en caseta Romeral</t>
  </si>
  <si>
    <t>Pago 1 T.E.#960 Y 1 tarjetón</t>
  </si>
  <si>
    <t xml:space="preserve">Pago mayo 1 T.E.#490 y </t>
  </si>
  <si>
    <t xml:space="preserve">1 tarjetón </t>
  </si>
  <si>
    <t>Pago T.E.#945 y 1 tarjetón</t>
  </si>
  <si>
    <t>Pago mayo y 1 tarjetón</t>
  </si>
  <si>
    <t>Pago 1 T.E.#491</t>
  </si>
  <si>
    <t>Pago jun/jul/21</t>
  </si>
  <si>
    <t>Pago 1 video</t>
  </si>
  <si>
    <t xml:space="preserve">$ 400 pago abril y $ 250 </t>
  </si>
  <si>
    <t>a/c de mayo</t>
  </si>
  <si>
    <t>Pago liq. Mayo</t>
  </si>
  <si>
    <t>depto 1,2 y 3</t>
  </si>
  <si>
    <t>Pago 1 T.E.#941</t>
  </si>
  <si>
    <t>Pago junio y 1 T.E.#942</t>
  </si>
  <si>
    <t xml:space="preserve">Pago junio </t>
  </si>
  <si>
    <t>$300 por mes</t>
  </si>
  <si>
    <t>Pago 1 T.E.#951 y 1 tarjetón</t>
  </si>
  <si>
    <t>Pago jun/ul/21</t>
  </si>
  <si>
    <t>Pago mayo y 1 T.E.#955</t>
  </si>
  <si>
    <t>Liq. $ 100 T.E.#971</t>
  </si>
  <si>
    <t>Pago mar/abr/may/jun/jul</t>
  </si>
  <si>
    <t>Pago jul/ago/21</t>
  </si>
  <si>
    <t>$ 250 por mes y 1 tarjetón</t>
  </si>
  <si>
    <t>may/jun/21 $ 200 por mes</t>
  </si>
  <si>
    <t>Pago agosto</t>
  </si>
  <si>
    <t>Pago 3 llaves y 2 tarjetones</t>
  </si>
  <si>
    <t>Pago junio y 1 tarjetón</t>
  </si>
  <si>
    <t>Pao julio y 1 T.E.#972</t>
  </si>
  <si>
    <t>Pago de julio a diciembre</t>
  </si>
  <si>
    <t>Pago 1 T.E.#967</t>
  </si>
  <si>
    <t>Pago Jun/jul/21</t>
  </si>
  <si>
    <t>Pago jun/jul/ago/21</t>
  </si>
  <si>
    <t>Pago Junio y 1 T.E.#970</t>
  </si>
  <si>
    <t>Pago liq. May $ 200 y junio</t>
  </si>
  <si>
    <t>Pago may/jun/jul/21</t>
  </si>
  <si>
    <t>$ 250 por mes, 1 T.E.#986</t>
  </si>
  <si>
    <t>2 tarjetones y 1 llave</t>
  </si>
  <si>
    <t>$ 500 por mes y 1 tarjetón</t>
  </si>
  <si>
    <t>Pago jun/jul/ago/sep/21</t>
  </si>
  <si>
    <t>Pago junio 2 T.E.#974/968</t>
  </si>
  <si>
    <t>y 3 llaves</t>
  </si>
  <si>
    <t>Pago jun/ul/ago/sep/21</t>
  </si>
  <si>
    <t>Pao jul/ago/sep/oct/21</t>
  </si>
  <si>
    <t>Pago jul/ago/sep/21</t>
  </si>
  <si>
    <t>Pago 1 llave y 1 tarjetón</t>
  </si>
  <si>
    <t>Pago julio y 1 tarjetón</t>
  </si>
  <si>
    <t>Pago 1 T.E.#985</t>
  </si>
  <si>
    <t>Pao jun/jul/ago/21</t>
  </si>
  <si>
    <t>1 T.E.# 235</t>
  </si>
  <si>
    <t>Pago julio y 3 act.</t>
  </si>
  <si>
    <t>Pago julio y 2 act.</t>
  </si>
  <si>
    <t>Pago 1 act.</t>
  </si>
  <si>
    <t>Pago 2 act.</t>
  </si>
  <si>
    <t>Pago 3 act.</t>
  </si>
  <si>
    <t>Pago jun/jul/ago/</t>
  </si>
  <si>
    <t>Pago 5 act.</t>
  </si>
  <si>
    <t>Pago 1 T.E.#862 y 5 act.</t>
  </si>
  <si>
    <t>Pago jul/ago/sep/oct/21</t>
  </si>
  <si>
    <t>Pago 4 act.</t>
  </si>
  <si>
    <t>Pago 6 act.</t>
  </si>
  <si>
    <t>Pago junio y 1 llave</t>
  </si>
  <si>
    <t>Pago 1 T.E.#860 y 1 act.</t>
  </si>
  <si>
    <t>Pago liq. Julio</t>
  </si>
  <si>
    <t>4 actualizaciones</t>
  </si>
  <si>
    <t>julio y 1 actualización</t>
  </si>
  <si>
    <t>2 actualicaciones</t>
  </si>
  <si>
    <t xml:space="preserve">Julio   </t>
  </si>
  <si>
    <t>jun/jul/21 $ 500 por mes</t>
  </si>
  <si>
    <t>Julio, T.E.#999 1 tarjetón y</t>
  </si>
  <si>
    <t>agosto $ 500 y 2 actualiza</t>
  </si>
  <si>
    <t>1 actualización</t>
  </si>
  <si>
    <t>3 actualizaciones</t>
  </si>
  <si>
    <t>jul/ago/21 $ 300 por mes y</t>
  </si>
  <si>
    <t>julio 1 T.E.#997 y 3 tarjeton</t>
  </si>
  <si>
    <t>T.E.#987/990 y 5 actualiza</t>
  </si>
  <si>
    <t>5 actualizaciones</t>
  </si>
  <si>
    <t>julio</t>
  </si>
  <si>
    <t xml:space="preserve">may/jun/jul/21 y </t>
  </si>
  <si>
    <t>feb a nov $ 500 por mes</t>
  </si>
  <si>
    <t>T.E. 31012/1003/1014</t>
  </si>
  <si>
    <t>Junio y 2 actualizaciones</t>
  </si>
  <si>
    <t>junio y 3 actualizaciones</t>
  </si>
  <si>
    <t>junio 4 actualizaciones</t>
  </si>
  <si>
    <t xml:space="preserve">agosto    </t>
  </si>
  <si>
    <t>junio 3 actualizaciones</t>
  </si>
  <si>
    <t xml:space="preserve">mayo </t>
  </si>
  <si>
    <t>jul/ago/sep/21 y</t>
  </si>
  <si>
    <t>6 actualizaciones</t>
  </si>
  <si>
    <t>agosto y 1 actualización</t>
  </si>
  <si>
    <t>julio y 2 actualizaciones</t>
  </si>
  <si>
    <t>julio T.E.#1010 y 1 tarjetón</t>
  </si>
  <si>
    <t>julio, 1 tarjetón y</t>
  </si>
  <si>
    <t>T.E.#794 y 6 actualizacione</t>
  </si>
  <si>
    <t>1 tarjetón y 4 actualizacio</t>
  </si>
  <si>
    <t>T.E.#713 y 1 actualización</t>
  </si>
  <si>
    <t>julio y 4 actualizaciones</t>
  </si>
  <si>
    <t>abr/may/21 $ 500 por mes</t>
  </si>
  <si>
    <t>y a/c jun $ 300 y 1 actualiz</t>
  </si>
  <si>
    <t>julio y 3 actualizaciones</t>
  </si>
  <si>
    <t>jun/jul/21 T.E.#1001 y</t>
  </si>
  <si>
    <t>jul/ago/21 $500 por mes y</t>
  </si>
  <si>
    <t>T.E.#1004 y 2 actualizacion</t>
  </si>
  <si>
    <t>ago/sep/21 $ 300 por mes</t>
  </si>
  <si>
    <t>y 3 actualizaciones</t>
  </si>
  <si>
    <t>junio</t>
  </si>
  <si>
    <t>jun/jul/21 $ 250 por mes y</t>
  </si>
  <si>
    <t>julio 3 actualizaciones</t>
  </si>
  <si>
    <t>julio 4 actualizaciones</t>
  </si>
  <si>
    <t>1 llave y 4 actualizaciones</t>
  </si>
  <si>
    <t>may/jun/21 $ 500 por mes</t>
  </si>
  <si>
    <t>septiembre y 3 actualizac</t>
  </si>
  <si>
    <t>julio 2 actualizaciones</t>
  </si>
  <si>
    <t>1 llave, T.E.#683, 1 tarjetón</t>
  </si>
  <si>
    <t>T.E.#1009 y 2 actualizacion</t>
  </si>
  <si>
    <t>1 tarjetón y 1 actualización</t>
  </si>
  <si>
    <t>junio 1 actualización</t>
  </si>
  <si>
    <t>febrero 1 actualización</t>
  </si>
  <si>
    <t>7 actualizaciones</t>
  </si>
  <si>
    <t xml:space="preserve">Pago jul/ago/21 </t>
  </si>
  <si>
    <t xml:space="preserve">$ 500 por mes y </t>
  </si>
  <si>
    <t>Pago jul/ago/sep/oct/nov</t>
  </si>
  <si>
    <t>dic/21 $ 250 por mes</t>
  </si>
  <si>
    <t>2 actualizaciones</t>
  </si>
  <si>
    <t>Pago julio y 2 actualizacio</t>
  </si>
  <si>
    <t>Pago junio y 2 actualizacio</t>
  </si>
  <si>
    <t>Pago julio y 4 actualizacio</t>
  </si>
  <si>
    <t>1 T.E.#506</t>
  </si>
  <si>
    <t>1 tarjetón y 3 actualizacio</t>
  </si>
  <si>
    <t>Pago juniio</t>
  </si>
  <si>
    <t>Pago juliio y 1 actualizacio</t>
  </si>
  <si>
    <t xml:space="preserve">Pago 1 T.E.# 966 y 1 </t>
  </si>
  <si>
    <t>actualización</t>
  </si>
  <si>
    <t>Pago 2 actualizaciones</t>
  </si>
  <si>
    <t>Pago 1 actualización</t>
  </si>
  <si>
    <t>Pago julio y 3 actualizacio</t>
  </si>
  <si>
    <t xml:space="preserve">Pago julio, 1 tarjetón y 6 </t>
  </si>
  <si>
    <t>Pago sep/oct/nov/dic/21</t>
  </si>
  <si>
    <t xml:space="preserve">Pago 1 T.E.# 743 y </t>
  </si>
  <si>
    <t>1 actualiación</t>
  </si>
  <si>
    <t xml:space="preserve">$ 500 por mes  </t>
  </si>
  <si>
    <t>Pago junio y 1 actualizacio</t>
  </si>
  <si>
    <t>1 cambio de T.E. $ 100</t>
  </si>
  <si>
    <t>Pago jul y 3 actualizacione</t>
  </si>
  <si>
    <t xml:space="preserve">Pago junio a diciembre </t>
  </si>
  <si>
    <t xml:space="preserve">$ 200 por mes y 1 </t>
  </si>
  <si>
    <t>$ 300 por mes y 2</t>
  </si>
  <si>
    <t xml:space="preserve">Pago 1 T.E.#387 Y </t>
  </si>
  <si>
    <t>Pago julio y  3 actualizacio</t>
  </si>
  <si>
    <t>Pago 4 actualizaciones</t>
  </si>
  <si>
    <t xml:space="preserve">Pago jul/ago/sep/21 y </t>
  </si>
  <si>
    <t>Pago de julio a noviembre</t>
  </si>
  <si>
    <t>$ 300 por mes y 3</t>
  </si>
  <si>
    <t xml:space="preserve">Pago julio y </t>
  </si>
  <si>
    <t>Pago ago/sep/21</t>
  </si>
  <si>
    <t xml:space="preserve">$ 100 complemento de </t>
  </si>
  <si>
    <t>julio y 4</t>
  </si>
  <si>
    <t>1 T.E.#708 Y 2</t>
  </si>
  <si>
    <t>4 actualiaciones</t>
  </si>
  <si>
    <t>jun/jul/21 $ 250 x mes</t>
  </si>
  <si>
    <t>1 T.E.#4665</t>
  </si>
  <si>
    <t>julio $ 350 y</t>
  </si>
  <si>
    <t xml:space="preserve">jul/ago/sep/21 $ 500 </t>
  </si>
  <si>
    <t>por mes y 2 actualización</t>
  </si>
  <si>
    <t>junio y 2 actualizaciones</t>
  </si>
  <si>
    <t xml:space="preserve">julio   </t>
  </si>
  <si>
    <t>mayo $ 500 1 llave y</t>
  </si>
  <si>
    <t>2 tarjetónes</t>
  </si>
  <si>
    <t>nov/dic/20 y marzo/21</t>
  </si>
  <si>
    <t>may/jun/jul/21</t>
  </si>
  <si>
    <t>$ 200 por mes y</t>
  </si>
  <si>
    <t>jun/jul/ago/21</t>
  </si>
  <si>
    <t xml:space="preserve">junio   </t>
  </si>
  <si>
    <t>1 tarjetón</t>
  </si>
  <si>
    <t>1 llave y 1 tarjetón</t>
  </si>
  <si>
    <t>1 T.E.#543 y 1 actualización</t>
  </si>
  <si>
    <t>julio $ 500  y</t>
  </si>
  <si>
    <t xml:space="preserve">1 T.E.#854 y </t>
  </si>
  <si>
    <t>1 T.E.#1016 y</t>
  </si>
  <si>
    <t>jul/ago/21 $ 500 x mes y</t>
  </si>
  <si>
    <t>JULIO $500 Y</t>
  </si>
  <si>
    <t>julio $ 200 y</t>
  </si>
  <si>
    <t>agosto</t>
  </si>
  <si>
    <t>jun/jul/21 $ 500 por mes  y</t>
  </si>
  <si>
    <t>julio y 7 actualizaciones</t>
  </si>
  <si>
    <t>T.E.#290 y 1 actualización</t>
  </si>
  <si>
    <t>jul/ago/21 $ 250 x mes y</t>
  </si>
  <si>
    <t>jun/jul/21 y 2 actualizacion</t>
  </si>
  <si>
    <t>junio y 4 actualizaciones</t>
  </si>
  <si>
    <t>3 actualicaciones</t>
  </si>
  <si>
    <t>Jun/jul/ago/21</t>
  </si>
  <si>
    <t>sep/oct/nov/21</t>
  </si>
  <si>
    <t xml:space="preserve">T.E.#1022, 1 llave y </t>
  </si>
  <si>
    <t>jun/jul/21</t>
  </si>
  <si>
    <t>ago/sep/21</t>
  </si>
  <si>
    <t>agosto y</t>
  </si>
  <si>
    <t xml:space="preserve">jul/ago/21 $ 500 por mes </t>
  </si>
  <si>
    <t xml:space="preserve">julio y 1 llave </t>
  </si>
  <si>
    <t>jul/ago/21 $ 300 x mes</t>
  </si>
  <si>
    <t>jul/ago/sep/21</t>
  </si>
  <si>
    <t>T:E.#224 y 3actualizaciones</t>
  </si>
  <si>
    <t>agosto y 1 llave</t>
  </si>
  <si>
    <t>jul/ago/21 y 3 actualizaci</t>
  </si>
  <si>
    <t>1 T.E.#1021 Y 2 actualizac</t>
  </si>
  <si>
    <t>2 T.E.#1025/341, 2 tarjeto</t>
  </si>
  <si>
    <t>y 2 actualizaciones</t>
  </si>
  <si>
    <t>jul/ago/21 $ 500 x mes</t>
  </si>
  <si>
    <t>may/jun/21</t>
  </si>
  <si>
    <t>$ 500 x mes</t>
  </si>
  <si>
    <t>jul/ago/21 $ 200 x mes</t>
  </si>
  <si>
    <t>ago/sep/21 $ 250 x mes</t>
  </si>
  <si>
    <t>septiembre</t>
  </si>
  <si>
    <t>2 tarjetones 1 T.E.#850</t>
  </si>
  <si>
    <t>may/jun/jul/21 $ 500 x</t>
  </si>
  <si>
    <t>mes y 1 actualización</t>
  </si>
  <si>
    <t>1 T.E.#1043</t>
  </si>
  <si>
    <t>jul/ago/sep/21 $ 500 x mes</t>
  </si>
  <si>
    <t>jul/ago/21 $ 250 x mes</t>
  </si>
  <si>
    <t>cambio T.E.#1026 Y 1</t>
  </si>
  <si>
    <t>tarjetón</t>
  </si>
  <si>
    <t>ago/sep/21 $ 500 x mes</t>
  </si>
  <si>
    <t>1 actualizacilón</t>
  </si>
  <si>
    <t>agosto 1 T.E.#547</t>
  </si>
  <si>
    <t>2 tarjetones</t>
  </si>
  <si>
    <t>julio a noviembre/21</t>
  </si>
  <si>
    <t>$ 500 por mes y 1 actual</t>
  </si>
  <si>
    <t>abr/may/jun/21 $ 300</t>
  </si>
  <si>
    <t xml:space="preserve">por mes 1 T.E.#559 Y </t>
  </si>
  <si>
    <t>Cambio de T.E.#1042</t>
  </si>
  <si>
    <t>jul/ago/21</t>
  </si>
  <si>
    <t>dic/2020 ene/feb/ago/21</t>
  </si>
  <si>
    <t>$500 por mes</t>
  </si>
  <si>
    <t>sep/oct/21</t>
  </si>
  <si>
    <t>D 1 $ 200 ago</t>
  </si>
  <si>
    <t>D 2 $ 200 ago</t>
  </si>
  <si>
    <t>D 3 $ 200 ago</t>
  </si>
  <si>
    <t>llave</t>
  </si>
  <si>
    <t>agosto y T.E.#550</t>
  </si>
  <si>
    <t>ago/sep/oct/nov/21</t>
  </si>
  <si>
    <t>octubre</t>
  </si>
  <si>
    <t>cambio de T.E.#523</t>
  </si>
  <si>
    <t>T.E.#1039</t>
  </si>
  <si>
    <t>cambio T.E.#277</t>
  </si>
  <si>
    <t>noviembre</t>
  </si>
  <si>
    <t>jul/ago/sep/oct/21</t>
  </si>
  <si>
    <t>T.E.#1035</t>
  </si>
  <si>
    <t>T.E.#1032</t>
  </si>
  <si>
    <t>jul/ago/sep/oct/nov/dic/</t>
  </si>
  <si>
    <t>abril</t>
  </si>
  <si>
    <t>jul/ago/21 $ 500 por mes</t>
  </si>
  <si>
    <t>ago/sep/21 $ 500 por mes</t>
  </si>
  <si>
    <t>sep/oct/21 $ 500 por mes</t>
  </si>
  <si>
    <t>agosto T.E.#1037 y 1 tarjeto</t>
  </si>
  <si>
    <t>sep/oct/21 $ 300 por mes</t>
  </si>
  <si>
    <t>T.E.#1030 y 1 tarjetón</t>
  </si>
  <si>
    <t>T.E.#1031</t>
  </si>
  <si>
    <t>ago/sep/21 $ 250 por mes</t>
  </si>
  <si>
    <t>junio a diciembre</t>
  </si>
  <si>
    <t>enero a octubre/21</t>
  </si>
  <si>
    <t>enero a diciembre/21</t>
  </si>
  <si>
    <t>1 T.E.#125</t>
  </si>
  <si>
    <t>T.E.#142</t>
  </si>
  <si>
    <t>T.E.#241</t>
  </si>
  <si>
    <t>2 llave y 1 T.E.#159</t>
  </si>
  <si>
    <t>sep/oct/nov/dic/21</t>
  </si>
  <si>
    <t>1 T.E.#260 y 3 tarjetones</t>
  </si>
  <si>
    <t>T.E.#181</t>
  </si>
  <si>
    <t>2 llaves</t>
  </si>
  <si>
    <t>sep y 2 tarjetones</t>
  </si>
  <si>
    <t>1 T.E.#18</t>
  </si>
  <si>
    <t>T.E.#40</t>
  </si>
  <si>
    <t>oct/nov/dic/21</t>
  </si>
  <si>
    <t>ene/feb/21</t>
  </si>
  <si>
    <t>oct/nov/21</t>
  </si>
  <si>
    <t>nov/dic/21</t>
  </si>
  <si>
    <t>3 actualización</t>
  </si>
  <si>
    <t>septiembre y 1 tarjetón</t>
  </si>
  <si>
    <t>octubre y 1 T.E.#467</t>
  </si>
  <si>
    <t>oct/nov/dic/21 y ene/22</t>
  </si>
  <si>
    <t xml:space="preserve"> 500 por mes</t>
  </si>
  <si>
    <t>oct y 1 tarjetón</t>
  </si>
  <si>
    <t>octubre 2 tarjetas #439</t>
  </si>
  <si>
    <t># 493</t>
  </si>
  <si>
    <t>abr/may/jun/21</t>
  </si>
  <si>
    <t>ago/sep/oct/21</t>
  </si>
  <si>
    <t>octubre 1 T.E.#311 1 tarjet</t>
  </si>
  <si>
    <t>T.E.#423</t>
  </si>
  <si>
    <t>marzo</t>
  </si>
  <si>
    <t>T.E.#591</t>
  </si>
  <si>
    <t>T.E.# 245</t>
  </si>
  <si>
    <t xml:space="preserve">sep/oct/nov/21 </t>
  </si>
  <si>
    <t>T.E.#619 y 1 tarjetón</t>
  </si>
  <si>
    <t>sep/oct/21 $ 350 por mes</t>
  </si>
  <si>
    <t>Oct/Nov/dic/21</t>
  </si>
  <si>
    <t>2 T.E.# 595/475</t>
  </si>
  <si>
    <t>D 1 $ 200 D 2 $200 D3 $ 200</t>
  </si>
  <si>
    <t>sep/oct/21 $ 250 por mes</t>
  </si>
  <si>
    <t>sep/ot/21 $ 250 por mes</t>
  </si>
  <si>
    <t>nov/dic/21 $ 500 por mes</t>
  </si>
  <si>
    <t>nov/dic/21 $ 300 por mes</t>
  </si>
  <si>
    <t>oct/nov/dic/21 $ 500 por mes</t>
  </si>
  <si>
    <t>oct/nov/21 $ 500 por mes</t>
  </si>
  <si>
    <t xml:space="preserve">sep/oct/nov/dic/21 $ 300 </t>
  </si>
  <si>
    <t>nov/dic/21 nov/dic/21</t>
  </si>
  <si>
    <t>T.E.#467</t>
  </si>
  <si>
    <t>1 T.E.#595 y 3 tarjetones</t>
  </si>
  <si>
    <t>sep/oct/21 $ 200 por mes</t>
  </si>
  <si>
    <t>sep/oct/nov/</t>
  </si>
  <si>
    <t>oct/ y tarjetón</t>
  </si>
  <si>
    <t>nov/dic/21 y ene/feb/mar</t>
  </si>
  <si>
    <t>/22 $ 250 por mes</t>
  </si>
  <si>
    <t>nov/dic/21 $ 250 por mes</t>
  </si>
  <si>
    <t>y 1 llave</t>
  </si>
  <si>
    <t>T.E.#282</t>
  </si>
  <si>
    <t>dic/21 y ene/22</t>
  </si>
  <si>
    <t>sep/occ/21 $ 500 por mes</t>
  </si>
  <si>
    <t>sep/oct/nov/21 $ 300 por mes</t>
  </si>
  <si>
    <t>diciembre</t>
  </si>
  <si>
    <t>oct/nov/21 $ 350 por mes</t>
  </si>
  <si>
    <t>1 tarjeton</t>
  </si>
  <si>
    <t>oct/nov/21 $ 300 por mes</t>
  </si>
  <si>
    <t>ago/sep/oct/nov/dic/21</t>
  </si>
  <si>
    <t>T.E.#641</t>
  </si>
  <si>
    <t>oct/nov/21 $ 250 por mes</t>
  </si>
  <si>
    <t>T.E.#645</t>
  </si>
  <si>
    <t>T.E.#649</t>
  </si>
  <si>
    <t>nov/dic/21 $ 350 por mes</t>
  </si>
  <si>
    <t>nov y 1 tarjetón</t>
  </si>
  <si>
    <t>dic/21 y ene/22 $ 500 x mes</t>
  </si>
  <si>
    <t>diciembre 1 T.E.#17</t>
  </si>
  <si>
    <t>oct/nov/dic/21 $ 500 x mes</t>
  </si>
  <si>
    <t>oct/nov/dic/21 ene/22</t>
  </si>
  <si>
    <t>oct/nov/dic/21 $ 300 x mes</t>
  </si>
  <si>
    <t>T.E.#45</t>
  </si>
  <si>
    <t>nov/dic/21 $ 200 por mes</t>
  </si>
  <si>
    <t>dic/21 $ 500</t>
  </si>
  <si>
    <t>anualidad 2022 $ 500 por</t>
  </si>
  <si>
    <t>mes, se condona 1 mes</t>
  </si>
  <si>
    <t>de julio a diciembre</t>
  </si>
  <si>
    <t>$ 300 por mes 1 T.E.#174</t>
  </si>
  <si>
    <t>5 tarjetones  3 T.E. # 703/</t>
  </si>
  <si>
    <t>745/728</t>
  </si>
  <si>
    <t>$ 250 por mes, se condona</t>
  </si>
  <si>
    <t>1 mes</t>
  </si>
  <si>
    <t>complemento annualidad</t>
  </si>
  <si>
    <t>$ 500 por ñmes</t>
  </si>
  <si>
    <t xml:space="preserve">$ 300 por mes   </t>
  </si>
  <si>
    <t>nov/21 1 llave y 1 tarjetón</t>
  </si>
  <si>
    <t>mayo</t>
  </si>
  <si>
    <t>oct/nov/21 250 por mes</t>
  </si>
  <si>
    <t xml:space="preserve">oct/nov/dic/21 $ 500 por </t>
  </si>
  <si>
    <t>mes T.E.#536</t>
  </si>
  <si>
    <t>oct/nov/21 $ 400 por mes</t>
  </si>
  <si>
    <t xml:space="preserve">ago/sep/oct/21 $ 300 por </t>
  </si>
  <si>
    <t>mes T.E.# 799</t>
  </si>
  <si>
    <t>Pago enero 2022</t>
  </si>
  <si>
    <t>mes</t>
  </si>
  <si>
    <t>dic/21 ene/22 $ 250 x mes</t>
  </si>
  <si>
    <t>dic/21 y 1 T.E.#594</t>
  </si>
  <si>
    <t>anualidad 2020</t>
  </si>
  <si>
    <t>dic/21 y ene/22 $ 500 x me</t>
  </si>
  <si>
    <t>$ 375 por mes</t>
  </si>
  <si>
    <t>nov(dic/21 $ 300 por mes</t>
  </si>
  <si>
    <t>y 1 tarjetón</t>
  </si>
  <si>
    <t>T.E.# 514 cambio</t>
  </si>
  <si>
    <t>t.e.#578 y 1 tarjetón</t>
  </si>
  <si>
    <t>enero del 2022</t>
  </si>
  <si>
    <t>oct/nov/dic/21 $ 250 x mes</t>
  </si>
  <si>
    <t>2 T.E.#867/868 Y 3 tarjetón</t>
  </si>
  <si>
    <t>dic/21 ene/22 $ 500 x mes</t>
  </si>
  <si>
    <t xml:space="preserve">nov/dic/21 ene/22 $ 400 </t>
  </si>
  <si>
    <t xml:space="preserve">anualidad 2022 $ 500 por </t>
  </si>
  <si>
    <t>mes, se condonó 1 mes</t>
  </si>
  <si>
    <t>febrero del 2022</t>
  </si>
  <si>
    <t xml:space="preserve">anualidad 2022 $ 500 x </t>
  </si>
  <si>
    <t>ene/feb/mar/22</t>
  </si>
  <si>
    <t>jul/ago/21 $ 250 por mes</t>
  </si>
  <si>
    <t>diciembre depto 1,2 y 3</t>
  </si>
  <si>
    <t>nov/dic/21 $ 250 x mes</t>
  </si>
  <si>
    <t>dic/21 ene/22 $ 500</t>
  </si>
  <si>
    <t>del mes marzo 2022</t>
  </si>
  <si>
    <t>de abril a noviembre</t>
  </si>
  <si>
    <t xml:space="preserve">$ 500 por mes y 4 T.E. </t>
  </si>
  <si>
    <t># 576/880/1043</t>
  </si>
  <si>
    <t>T.E.#</t>
  </si>
  <si>
    <t>nov/21 $ 250 y 1 llave</t>
  </si>
  <si>
    <t>nov/dic/21 ene/22</t>
  </si>
  <si>
    <t>dic/21 ene/22 5 400 x mes</t>
  </si>
  <si>
    <t>dic/21 $ 350 y 1 llave</t>
  </si>
  <si>
    <t>de enero/22</t>
  </si>
  <si>
    <t>nov/dic/21 $ 400 por mes</t>
  </si>
  <si>
    <t>Anualidad 2022</t>
  </si>
  <si>
    <t xml:space="preserve">se condonó 1 mes </t>
  </si>
  <si>
    <t>T.E.#1054 y 1 tarjetón</t>
  </si>
  <si>
    <t>t.e.#1145</t>
  </si>
  <si>
    <t>pago enero 2022</t>
  </si>
  <si>
    <t>Anualidad 2022 T.E.#1053</t>
  </si>
  <si>
    <t>y 1 tarjetón $ 500 por mes</t>
  </si>
  <si>
    <t>ene/feb/2022 $ 500 x mes</t>
  </si>
  <si>
    <t>dic/21 ene/22 $ 400 x mes</t>
  </si>
  <si>
    <t>enero/22 y 1 tarjetón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</si>
</sst>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.00_ ;\-#,##0.00\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9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D0EBB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4">
    <xf numFmtId="0" fontId="0" fillId="0" borderId="0" xfId="0"/>
    <xf numFmtId="164" fontId="4" fillId="2" borderId="0" xfId="1" applyNumberFormat="1" applyFont="1" applyFill="1" applyAlignment="1">
      <alignment vertical="center"/>
    </xf>
    <xf numFmtId="164" fontId="0" fillId="0" borderId="0" xfId="0" applyNumberFormat="1"/>
    <xf numFmtId="164" fontId="6" fillId="0" borderId="0" xfId="0" applyNumberFormat="1" applyFont="1" applyAlignment="1">
      <alignment horizontal="right"/>
    </xf>
    <xf numFmtId="0" fontId="0" fillId="0" borderId="4" xfId="0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64" fontId="4" fillId="2" borderId="0" xfId="1" applyNumberFormat="1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 applyAlignment="1">
      <alignment horizontal="center"/>
    </xf>
    <xf numFmtId="0" fontId="0" fillId="7" borderId="0" xfId="0" applyFill="1"/>
    <xf numFmtId="164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0" fillId="5" borderId="0" xfId="0" applyFont="1" applyFill="1"/>
    <xf numFmtId="49" fontId="0" fillId="7" borderId="0" xfId="0" applyNumberFormat="1" applyFill="1" applyAlignment="1">
      <alignment horizontal="left"/>
    </xf>
    <xf numFmtId="49" fontId="0" fillId="7" borderId="0" xfId="0" applyNumberFormat="1" applyFill="1"/>
    <xf numFmtId="49" fontId="0" fillId="5" borderId="0" xfId="0" applyNumberFormat="1" applyFill="1" applyAlignment="1">
      <alignment horizontal="left"/>
    </xf>
    <xf numFmtId="49" fontId="0" fillId="3" borderId="0" xfId="0" applyNumberFormat="1" applyFill="1" applyAlignment="1">
      <alignment horizontal="left"/>
    </xf>
    <xf numFmtId="49" fontId="0" fillId="3" borderId="0" xfId="0" applyNumberFormat="1" applyFill="1"/>
    <xf numFmtId="0" fontId="0" fillId="0" borderId="0" xfId="0" applyFill="1" applyAlignment="1">
      <alignment horizontal="center"/>
    </xf>
    <xf numFmtId="0" fontId="2" fillId="0" borderId="0" xfId="0" applyFont="1"/>
    <xf numFmtId="0" fontId="0" fillId="6" borderId="5" xfId="0" applyFill="1" applyBorder="1" applyAlignment="1">
      <alignment horizontal="center"/>
    </xf>
    <xf numFmtId="164" fontId="7" fillId="8" borderId="0" xfId="0" applyNumberFormat="1" applyFont="1" applyFill="1" applyAlignment="1">
      <alignment vertical="center"/>
    </xf>
    <xf numFmtId="164" fontId="3" fillId="8" borderId="0" xfId="0" applyNumberFormat="1" applyFont="1" applyFill="1" applyAlignment="1">
      <alignment vertical="center"/>
    </xf>
    <xf numFmtId="17" fontId="0" fillId="6" borderId="0" xfId="0" applyNumberFormat="1" applyFill="1"/>
    <xf numFmtId="0" fontId="0" fillId="0" borderId="6" xfId="0" applyBorder="1"/>
    <xf numFmtId="0" fontId="8" fillId="5" borderId="0" xfId="0" applyFont="1" applyFill="1"/>
    <xf numFmtId="39" fontId="7" fillId="8" borderId="0" xfId="0" applyNumberFormat="1" applyFont="1" applyFill="1" applyAlignment="1">
      <alignment vertical="center"/>
    </xf>
    <xf numFmtId="15" fontId="9" fillId="7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5" fontId="9" fillId="5" borderId="1" xfId="0" applyNumberFormat="1" applyFont="1" applyFill="1" applyBorder="1" applyAlignment="1">
      <alignment horizontal="center"/>
    </xf>
    <xf numFmtId="15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" fontId="0" fillId="7" borderId="0" xfId="0" applyNumberForma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5" fillId="9" borderId="0" xfId="0" applyFont="1" applyFill="1"/>
    <xf numFmtId="49" fontId="5" fillId="9" borderId="0" xfId="0" applyNumberFormat="1" applyFont="1" applyFill="1"/>
    <xf numFmtId="0" fontId="0" fillId="9" borderId="0" xfId="0" applyFill="1" applyAlignment="1">
      <alignment horizontal="center"/>
    </xf>
    <xf numFmtId="0" fontId="0" fillId="9" borderId="0" xfId="0" applyFill="1"/>
    <xf numFmtId="49" fontId="0" fillId="9" borderId="0" xfId="0" applyNumberFormat="1" applyFill="1"/>
    <xf numFmtId="0" fontId="5" fillId="9" borderId="0" xfId="0" applyFont="1" applyFill="1" applyBorder="1"/>
    <xf numFmtId="17" fontId="0" fillId="9" borderId="0" xfId="0" applyNumberFormat="1" applyFill="1"/>
    <xf numFmtId="0" fontId="0" fillId="0" borderId="0" xfId="0" applyFill="1"/>
    <xf numFmtId="0" fontId="9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/>
    <xf numFmtId="15" fontId="2" fillId="10" borderId="1" xfId="0" applyNumberFormat="1" applyFont="1" applyFill="1" applyBorder="1" applyAlignment="1">
      <alignment horizontal="center"/>
    </xf>
    <xf numFmtId="0" fontId="10" fillId="0" borderId="0" xfId="0" applyFont="1" applyFill="1" applyAlignment="1">
      <alignment horizontal="center"/>
    </xf>
    <xf numFmtId="0" fontId="10" fillId="0" borderId="0" xfId="0" applyFont="1" applyFill="1"/>
    <xf numFmtId="4" fontId="0" fillId="0" borderId="0" xfId="0" applyNumberFormat="1" applyFill="1" applyAlignment="1">
      <alignment horizontal="center"/>
    </xf>
    <xf numFmtId="4" fontId="0" fillId="4" borderId="0" xfId="0" applyNumberFormat="1" applyFill="1"/>
    <xf numFmtId="6" fontId="0" fillId="10" borderId="0" xfId="0" applyNumberFormat="1" applyFill="1"/>
    <xf numFmtId="0" fontId="0" fillId="5" borderId="0" xfId="0" applyFill="1" applyAlignment="1">
      <alignment horizontal="left"/>
    </xf>
    <xf numFmtId="4" fontId="0" fillId="5" borderId="0" xfId="0" applyNumberFormat="1" applyFill="1"/>
    <xf numFmtId="4" fontId="0" fillId="10" borderId="0" xfId="0" applyNumberFormat="1" applyFill="1"/>
    <xf numFmtId="4" fontId="0" fillId="9" borderId="0" xfId="0" applyNumberFormat="1" applyFill="1"/>
    <xf numFmtId="4" fontId="0" fillId="6" borderId="0" xfId="0" applyNumberFormat="1" applyFill="1"/>
    <xf numFmtId="4" fontId="0" fillId="0" borderId="0" xfId="0" applyNumberFormat="1" applyFill="1"/>
    <xf numFmtId="0" fontId="0" fillId="6" borderId="0" xfId="0" applyFill="1" applyAlignment="1">
      <alignment horizontal="center"/>
    </xf>
    <xf numFmtId="4" fontId="0" fillId="3" borderId="0" xfId="0" applyNumberFormat="1" applyFill="1"/>
    <xf numFmtId="0" fontId="9" fillId="9" borderId="1" xfId="0" applyFont="1" applyFill="1" applyBorder="1" applyAlignment="1">
      <alignment horizontal="center"/>
    </xf>
    <xf numFmtId="4" fontId="5" fillId="9" borderId="0" xfId="0" applyNumberFormat="1" applyFont="1" applyFill="1"/>
    <xf numFmtId="15" fontId="2" fillId="9" borderId="1" xfId="0" applyNumberFormat="1" applyFont="1" applyFill="1" applyBorder="1" applyAlignment="1">
      <alignment horizontal="center"/>
    </xf>
    <xf numFmtId="15" fontId="9" fillId="9" borderId="1" xfId="0" applyNumberFormat="1" applyFont="1" applyFill="1" applyBorder="1" applyAlignment="1">
      <alignment horizontal="center"/>
    </xf>
    <xf numFmtId="15" fontId="2" fillId="6" borderId="1" xfId="0" applyNumberFormat="1" applyFont="1" applyFill="1" applyBorder="1" applyAlignment="1">
      <alignment horizontal="center"/>
    </xf>
    <xf numFmtId="15" fontId="0" fillId="6" borderId="1" xfId="0" applyNumberFormat="1" applyFill="1" applyBorder="1" applyAlignment="1">
      <alignment horizontal="center"/>
    </xf>
    <xf numFmtId="0" fontId="0" fillId="7" borderId="0" xfId="0" applyFill="1" applyAlignment="1">
      <alignment horizontal="left"/>
    </xf>
    <xf numFmtId="6" fontId="5" fillId="9" borderId="0" xfId="0" applyNumberFormat="1" applyFont="1" applyFill="1"/>
    <xf numFmtId="6" fontId="0" fillId="7" borderId="0" xfId="0" applyNumberFormat="1" applyFill="1"/>
    <xf numFmtId="4" fontId="0" fillId="0" borderId="0" xfId="0" applyNumberFormat="1" applyAlignment="1">
      <alignment horizontal="center"/>
    </xf>
    <xf numFmtId="6" fontId="0" fillId="9" borderId="0" xfId="0" applyNumberFormat="1" applyFill="1"/>
    <xf numFmtId="17" fontId="0" fillId="10" borderId="0" xfId="0" applyNumberFormat="1" applyFill="1" applyAlignment="1">
      <alignment horizontal="left"/>
    </xf>
    <xf numFmtId="0" fontId="0" fillId="10" borderId="0" xfId="0" applyFill="1" applyAlignment="1">
      <alignment horizontal="left"/>
    </xf>
    <xf numFmtId="0" fontId="2" fillId="6" borderId="1" xfId="0" applyFont="1" applyFill="1" applyBorder="1" applyAlignment="1">
      <alignment horizontal="center"/>
    </xf>
    <xf numFmtId="17" fontId="0" fillId="5" borderId="0" xfId="0" applyNumberFormat="1" applyFill="1"/>
    <xf numFmtId="0" fontId="9" fillId="6" borderId="1" xfId="0" applyFont="1" applyFill="1" applyBorder="1" applyAlignment="1">
      <alignment horizontal="center"/>
    </xf>
    <xf numFmtId="0" fontId="0" fillId="6" borderId="0" xfId="0" applyFill="1" applyAlignment="1">
      <alignment horizontal="left"/>
    </xf>
    <xf numFmtId="0" fontId="8" fillId="4" borderId="0" xfId="0" applyFont="1" applyFill="1"/>
    <xf numFmtId="17" fontId="0" fillId="4" borderId="0" xfId="0" applyNumberFormat="1" applyFill="1"/>
    <xf numFmtId="6" fontId="0" fillId="4" borderId="0" xfId="0" applyNumberFormat="1" applyFill="1"/>
    <xf numFmtId="0" fontId="0" fillId="11" borderId="0" xfId="0" applyFill="1" applyAlignment="1">
      <alignment horizontal="center"/>
    </xf>
    <xf numFmtId="0" fontId="2" fillId="6" borderId="1" xfId="0" applyFont="1" applyFill="1" applyBorder="1" applyAlignment="1">
      <alignment horizontal="center"/>
    </xf>
    <xf numFmtId="6" fontId="0" fillId="5" borderId="0" xfId="0" applyNumberFormat="1" applyFill="1"/>
    <xf numFmtId="165" fontId="0" fillId="5" borderId="0" xfId="0" applyNumberFormat="1" applyFill="1"/>
    <xf numFmtId="6" fontId="0" fillId="5" borderId="0" xfId="0" applyNumberFormat="1" applyFill="1" applyAlignment="1">
      <alignment horizontal="left"/>
    </xf>
    <xf numFmtId="4" fontId="0" fillId="7" borderId="0" xfId="0" applyNumberFormat="1" applyFill="1"/>
    <xf numFmtId="6" fontId="0" fillId="7" borderId="0" xfId="0" applyNumberFormat="1" applyFill="1" applyAlignment="1">
      <alignment horizontal="left"/>
    </xf>
    <xf numFmtId="6" fontId="0" fillId="3" borderId="0" xfId="0" applyNumberFormat="1" applyFill="1" applyAlignment="1">
      <alignment horizontal="left"/>
    </xf>
    <xf numFmtId="6" fontId="0" fillId="6" borderId="0" xfId="0" applyNumberFormat="1" applyFill="1" applyAlignment="1">
      <alignment horizontal="left"/>
    </xf>
    <xf numFmtId="2" fontId="0" fillId="6" borderId="0" xfId="0" applyNumberFormat="1" applyFill="1"/>
    <xf numFmtId="0" fontId="0" fillId="4" borderId="0" xfId="0" applyFill="1" applyAlignment="1">
      <alignment horizontal="left"/>
    </xf>
    <xf numFmtId="17" fontId="0" fillId="7" borderId="0" xfId="0" applyNumberFormat="1" applyFill="1" applyAlignment="1">
      <alignment horizontal="left"/>
    </xf>
    <xf numFmtId="17" fontId="0" fillId="5" borderId="0" xfId="0" applyNumberFormat="1" applyFill="1" applyAlignment="1">
      <alignment horizontal="left"/>
    </xf>
    <xf numFmtId="0" fontId="0" fillId="5" borderId="0" xfId="0" applyFont="1" applyFill="1" applyBorder="1" applyAlignment="1">
      <alignment horizontal="center"/>
    </xf>
    <xf numFmtId="17" fontId="0" fillId="6" borderId="0" xfId="0" applyNumberFormat="1" applyFill="1" applyAlignment="1">
      <alignment horizontal="left"/>
    </xf>
    <xf numFmtId="0" fontId="0" fillId="7" borderId="0" xfId="0" applyFont="1" applyFill="1" applyBorder="1" applyAlignment="1">
      <alignment horizontal="center"/>
    </xf>
    <xf numFmtId="0" fontId="0" fillId="7" borderId="0" xfId="0" applyFont="1" applyFill="1" applyBorder="1" applyAlignment="1">
      <alignment horizontal="left"/>
    </xf>
    <xf numFmtId="6" fontId="0" fillId="4" borderId="0" xfId="0" applyNumberFormat="1" applyFill="1" applyAlignment="1">
      <alignment horizontal="left"/>
    </xf>
    <xf numFmtId="17" fontId="0" fillId="7" borderId="0" xfId="0" applyNumberFormat="1" applyFill="1"/>
    <xf numFmtId="0" fontId="0" fillId="5" borderId="0" xfId="0" applyFill="1" applyAlignment="1"/>
    <xf numFmtId="0" fontId="0" fillId="5" borderId="0" xfId="0" applyFont="1" applyFill="1" applyBorder="1" applyAlignment="1">
      <alignment horizontal="left"/>
    </xf>
    <xf numFmtId="0" fontId="8" fillId="3" borderId="0" xfId="0" applyFont="1" applyFill="1"/>
    <xf numFmtId="4" fontId="0" fillId="3" borderId="0" xfId="0" applyNumberFormat="1" applyFill="1" applyAlignment="1">
      <alignment horizontal="left"/>
    </xf>
    <xf numFmtId="6" fontId="12" fillId="9" borderId="0" xfId="0" applyNumberFormat="1" applyFont="1" applyFill="1" applyAlignment="1">
      <alignment horizontal="left"/>
    </xf>
    <xf numFmtId="6" fontId="5" fillId="9" borderId="0" xfId="0" applyNumberFormat="1" applyFont="1" applyFill="1" applyAlignment="1">
      <alignment horizontal="left"/>
    </xf>
    <xf numFmtId="39" fontId="4" fillId="2" borderId="0" xfId="1" applyNumberFormat="1" applyFont="1" applyFill="1" applyAlignment="1">
      <alignment vertical="center"/>
    </xf>
    <xf numFmtId="165" fontId="4" fillId="2" borderId="0" xfId="1" applyNumberFormat="1" applyFont="1" applyFill="1" applyAlignment="1">
      <alignment horizontal="center" vertical="center"/>
    </xf>
    <xf numFmtId="4" fontId="0" fillId="7" borderId="0" xfId="0" applyNumberFormat="1" applyFill="1" applyAlignment="1">
      <alignment horizontal="right"/>
    </xf>
    <xf numFmtId="165" fontId="4" fillId="2" borderId="0" xfId="1" applyNumberFormat="1" applyFont="1" applyFill="1" applyAlignment="1">
      <alignment vertical="center"/>
    </xf>
    <xf numFmtId="39" fontId="4" fillId="2" borderId="0" xfId="1" applyNumberFormat="1" applyFont="1" applyFill="1" applyAlignment="1">
      <alignment horizontal="center" vertical="center"/>
    </xf>
    <xf numFmtId="6" fontId="0" fillId="6" borderId="0" xfId="0" applyNumberFormat="1" applyFill="1"/>
    <xf numFmtId="18" fontId="0" fillId="5" borderId="0" xfId="0" applyNumberFormat="1" applyFill="1"/>
    <xf numFmtId="18" fontId="0" fillId="10" borderId="0" xfId="0" applyNumberFormat="1" applyFill="1"/>
    <xf numFmtId="17" fontId="0" fillId="4" borderId="0" xfId="0" applyNumberFormat="1" applyFill="1" applyAlignment="1">
      <alignment horizontal="left"/>
    </xf>
    <xf numFmtId="0" fontId="8" fillId="6" borderId="0" xfId="0" applyFont="1" applyFill="1"/>
    <xf numFmtId="0" fontId="8" fillId="7" borderId="0" xfId="0" applyFont="1" applyFill="1"/>
    <xf numFmtId="0" fontId="2" fillId="6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7" fontId="0" fillId="10" borderId="0" xfId="0" applyNumberFormat="1" applyFill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colors>
    <mruColors>
      <color rgb="FFFFFF66"/>
      <color rgb="FFD0EB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3"/>
  <sheetViews>
    <sheetView topLeftCell="D5" zoomScaleNormal="100" workbookViewId="0">
      <pane ySplit="3" topLeftCell="A27" activePane="bottomLeft" state="frozen"/>
      <selection activeCell="A5" sqref="A5"/>
      <selection pane="bottomLeft" activeCell="N47" sqref="N47"/>
    </sheetView>
  </sheetViews>
  <sheetFormatPr baseColWidth="10" defaultRowHeight="15" x14ac:dyDescent="0.25"/>
  <cols>
    <col min="1" max="1" width="7.7109375" style="6" customWidth="1"/>
    <col min="2" max="2" width="8.140625" style="6" bestFit="1" customWidth="1"/>
    <col min="3" max="3" width="25.85546875" customWidth="1"/>
    <col min="4" max="4" width="7.7109375" style="6" customWidth="1"/>
    <col min="5" max="5" width="8.7109375" customWidth="1"/>
    <col min="6" max="6" width="24.28515625" customWidth="1"/>
    <col min="7" max="7" width="7.7109375" style="6" customWidth="1"/>
    <col min="8" max="8" width="8.7109375" customWidth="1"/>
    <col min="9" max="9" width="24.140625" customWidth="1"/>
    <col min="10" max="10" width="7.7109375" style="6" customWidth="1"/>
    <col min="11" max="11" width="8.7109375" customWidth="1"/>
    <col min="12" max="12" width="24.140625" customWidth="1"/>
    <col min="13" max="13" width="7.7109375" customWidth="1"/>
    <col min="14" max="14" width="9.5703125" customWidth="1"/>
    <col min="15" max="15" width="23.7109375" customWidth="1"/>
    <col min="16" max="16" width="13.7109375" customWidth="1"/>
  </cols>
  <sheetData>
    <row r="1" spans="1:18" ht="15.75" x14ac:dyDescent="0.25">
      <c r="A1" s="134" t="s">
        <v>10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6" t="s">
        <v>11</v>
      </c>
      <c r="M1" s="136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37" t="s">
        <v>8</v>
      </c>
      <c r="D3" s="137"/>
      <c r="E3" s="18" t="s">
        <v>9</v>
      </c>
      <c r="F3" s="3">
        <f>A6+D6+G6+J6+M6</f>
        <v>253</v>
      </c>
      <c r="H3" s="3" t="s">
        <v>3</v>
      </c>
      <c r="I3" s="2">
        <f>B6+E6+H6+K6+N6</f>
        <v>280550</v>
      </c>
    </row>
    <row r="5" spans="1:18" x14ac:dyDescent="0.25">
      <c r="A5" s="138" t="s">
        <v>0</v>
      </c>
      <c r="B5" s="138"/>
      <c r="C5" s="138"/>
      <c r="D5" s="139" t="s">
        <v>4</v>
      </c>
      <c r="E5" s="139"/>
      <c r="F5" s="139"/>
      <c r="G5" s="140" t="s">
        <v>5</v>
      </c>
      <c r="H5" s="140"/>
      <c r="I5" s="140"/>
      <c r="J5" s="141" t="s">
        <v>6</v>
      </c>
      <c r="K5" s="141"/>
      <c r="L5" s="141"/>
      <c r="M5" s="133" t="s">
        <v>12</v>
      </c>
      <c r="N5" s="133"/>
      <c r="O5" s="133"/>
      <c r="P5" s="133" t="s">
        <v>12</v>
      </c>
      <c r="Q5" s="133"/>
      <c r="R5" s="133"/>
    </row>
    <row r="6" spans="1:18" x14ac:dyDescent="0.25">
      <c r="A6" s="8">
        <f>SUBTOTAL(3,A8:A121)</f>
        <v>66</v>
      </c>
      <c r="B6" s="8">
        <f>SUBTOTAL(9,B8:B121)</f>
        <v>62600</v>
      </c>
      <c r="C6" s="35">
        <v>44199</v>
      </c>
      <c r="D6" s="8">
        <f>SUBTOTAL(3,D8:D121)</f>
        <v>57</v>
      </c>
      <c r="E6" s="1">
        <f>SUBTOTAL(9,E8:E121)</f>
        <v>65000</v>
      </c>
      <c r="F6" s="38">
        <v>44206</v>
      </c>
      <c r="G6" s="8">
        <f>SUBTOTAL(3,G8:G123)</f>
        <v>56</v>
      </c>
      <c r="H6" s="1">
        <f>SUBTOTAL(9,H8:H123)</f>
        <v>68300</v>
      </c>
      <c r="I6" s="39">
        <v>44213</v>
      </c>
      <c r="J6" s="8">
        <f>SUBTOTAL(3,J8:J121)</f>
        <v>45</v>
      </c>
      <c r="K6" s="1">
        <f>SUBTOTAL(9,K8:K121)</f>
        <v>64050</v>
      </c>
      <c r="L6" s="80">
        <v>44220</v>
      </c>
      <c r="M6" s="8">
        <f>SUBTOTAL(3,M8:M124)</f>
        <v>29</v>
      </c>
      <c r="N6" s="1">
        <f>SUBTOTAL(9,N8:N124)</f>
        <v>20600</v>
      </c>
      <c r="O6" s="81">
        <v>44227</v>
      </c>
      <c r="P6" s="1">
        <f>+D6+G6+J6+M6</f>
        <v>187</v>
      </c>
      <c r="Q6" s="1">
        <f>+E6+H6+K6+N6</f>
        <v>217950</v>
      </c>
      <c r="R6" s="81">
        <v>42400</v>
      </c>
    </row>
    <row r="7" spans="1:18" x14ac:dyDescent="0.25">
      <c r="A7" s="43" t="s">
        <v>1</v>
      </c>
      <c r="B7" s="43" t="s">
        <v>3</v>
      </c>
      <c r="C7" s="43" t="s">
        <v>2</v>
      </c>
      <c r="D7" s="44" t="s">
        <v>1</v>
      </c>
      <c r="E7" s="44" t="s">
        <v>3</v>
      </c>
      <c r="F7" s="44" t="s">
        <v>2</v>
      </c>
      <c r="G7" s="45" t="s">
        <v>1</v>
      </c>
      <c r="H7" s="45" t="s">
        <v>3</v>
      </c>
      <c r="I7" s="45" t="s">
        <v>2</v>
      </c>
      <c r="J7" s="59" t="s">
        <v>1</v>
      </c>
      <c r="K7" s="59" t="s">
        <v>3</v>
      </c>
      <c r="L7" s="59" t="s">
        <v>2</v>
      </c>
      <c r="M7" s="41" t="s">
        <v>1</v>
      </c>
      <c r="N7" s="41" t="s">
        <v>3</v>
      </c>
      <c r="O7" s="41" t="s">
        <v>2</v>
      </c>
      <c r="P7" s="90" t="s">
        <v>1</v>
      </c>
      <c r="Q7" s="90" t="s">
        <v>3</v>
      </c>
      <c r="R7" s="90" t="s">
        <v>2</v>
      </c>
    </row>
    <row r="8" spans="1:18" x14ac:dyDescent="0.25">
      <c r="A8" s="16">
        <v>23782</v>
      </c>
      <c r="B8" s="102">
        <v>800</v>
      </c>
      <c r="C8" s="17" t="s">
        <v>32</v>
      </c>
      <c r="D8" s="13">
        <v>23848</v>
      </c>
      <c r="E8" s="70">
        <v>600</v>
      </c>
      <c r="F8" s="14"/>
      <c r="G8" s="9">
        <v>23905</v>
      </c>
      <c r="H8" s="76">
        <v>400</v>
      </c>
      <c r="I8" s="10"/>
      <c r="J8" s="50">
        <v>23961</v>
      </c>
      <c r="K8" s="78">
        <v>500</v>
      </c>
      <c r="L8" s="51" t="s">
        <v>37</v>
      </c>
      <c r="M8" s="75">
        <v>24006</v>
      </c>
      <c r="N8" s="73">
        <v>800</v>
      </c>
      <c r="O8" s="15" t="s">
        <v>37</v>
      </c>
      <c r="P8" s="6"/>
      <c r="Q8" s="6"/>
    </row>
    <row r="9" spans="1:18" x14ac:dyDescent="0.25">
      <c r="A9" s="16"/>
      <c r="B9" s="102"/>
      <c r="C9" s="21" t="s">
        <v>33</v>
      </c>
      <c r="D9" s="13">
        <v>23849</v>
      </c>
      <c r="E9" s="70">
        <v>5500</v>
      </c>
      <c r="F9" s="23" t="s">
        <v>46</v>
      </c>
      <c r="G9" s="9">
        <v>23906</v>
      </c>
      <c r="H9" s="76">
        <v>250</v>
      </c>
      <c r="I9" s="10"/>
      <c r="J9" s="50"/>
      <c r="K9" s="78"/>
      <c r="L9" s="51" t="s">
        <v>16</v>
      </c>
      <c r="M9" s="75"/>
      <c r="N9" s="73"/>
      <c r="O9" s="15" t="s">
        <v>17</v>
      </c>
      <c r="P9" s="86"/>
      <c r="Q9" s="86"/>
    </row>
    <row r="10" spans="1:18" x14ac:dyDescent="0.25">
      <c r="A10" s="16">
        <v>23783</v>
      </c>
      <c r="B10" s="102">
        <v>500</v>
      </c>
      <c r="C10" s="17" t="s">
        <v>34</v>
      </c>
      <c r="D10" s="13"/>
      <c r="E10" s="70"/>
      <c r="F10" s="14" t="s">
        <v>23</v>
      </c>
      <c r="G10" s="9">
        <v>23907</v>
      </c>
      <c r="H10" s="76">
        <v>300</v>
      </c>
      <c r="I10" s="10" t="s">
        <v>60</v>
      </c>
      <c r="J10" s="50">
        <v>23962</v>
      </c>
      <c r="K10" s="78">
        <v>1500</v>
      </c>
      <c r="L10" s="51" t="s">
        <v>30</v>
      </c>
      <c r="M10" s="75">
        <v>24007</v>
      </c>
      <c r="N10" s="73">
        <v>600</v>
      </c>
      <c r="O10" s="105" t="s">
        <v>37</v>
      </c>
    </row>
    <row r="11" spans="1:18" x14ac:dyDescent="0.25">
      <c r="A11" s="16">
        <v>23784</v>
      </c>
      <c r="B11" s="102">
        <v>500</v>
      </c>
      <c r="C11" s="17" t="s">
        <v>34</v>
      </c>
      <c r="D11" s="13"/>
      <c r="E11" s="70"/>
      <c r="F11" s="14" t="s">
        <v>47</v>
      </c>
      <c r="G11" s="9">
        <v>23908</v>
      </c>
      <c r="H11" s="76">
        <v>3200</v>
      </c>
      <c r="I11" s="104" t="s">
        <v>61</v>
      </c>
      <c r="J11" s="50"/>
      <c r="K11" s="78"/>
      <c r="L11" s="51" t="s">
        <v>64</v>
      </c>
      <c r="M11" s="75"/>
      <c r="N11" s="73"/>
      <c r="O11" s="15" t="s">
        <v>18</v>
      </c>
    </row>
    <row r="12" spans="1:18" x14ac:dyDescent="0.25">
      <c r="A12" s="16">
        <v>23785</v>
      </c>
      <c r="B12" s="102">
        <v>500</v>
      </c>
      <c r="C12" s="17"/>
      <c r="D12" s="13">
        <v>23850</v>
      </c>
      <c r="E12" s="70">
        <v>500</v>
      </c>
      <c r="F12" s="14" t="s">
        <v>48</v>
      </c>
      <c r="G12" s="9"/>
      <c r="H12" s="76"/>
      <c r="I12" s="10" t="s">
        <v>17</v>
      </c>
      <c r="J12" s="53">
        <v>23963</v>
      </c>
      <c r="K12" s="72">
        <v>300</v>
      </c>
      <c r="L12" s="56" t="s">
        <v>76</v>
      </c>
      <c r="M12" s="75">
        <v>24008</v>
      </c>
      <c r="N12" s="73">
        <v>500</v>
      </c>
      <c r="O12" s="15" t="s">
        <v>37</v>
      </c>
    </row>
    <row r="13" spans="1:18" x14ac:dyDescent="0.25">
      <c r="A13" s="16">
        <v>23786</v>
      </c>
      <c r="B13" s="102">
        <v>1000</v>
      </c>
      <c r="C13" s="17" t="s">
        <v>34</v>
      </c>
      <c r="D13" s="13"/>
      <c r="E13" s="70"/>
      <c r="F13" s="14" t="s">
        <v>49</v>
      </c>
      <c r="G13" s="9">
        <v>23909</v>
      </c>
      <c r="H13" s="76">
        <v>2750</v>
      </c>
      <c r="I13" s="10" t="s">
        <v>28</v>
      </c>
      <c r="J13" s="50"/>
      <c r="K13" s="78"/>
      <c r="L13" s="51" t="s">
        <v>77</v>
      </c>
      <c r="M13" s="75"/>
      <c r="N13" s="73"/>
      <c r="O13" s="15" t="s">
        <v>16</v>
      </c>
    </row>
    <row r="14" spans="1:18" x14ac:dyDescent="0.25">
      <c r="A14" s="16"/>
      <c r="B14" s="102"/>
      <c r="C14" s="17" t="s">
        <v>35</v>
      </c>
      <c r="D14" s="13">
        <v>23851</v>
      </c>
      <c r="E14" s="70">
        <v>500</v>
      </c>
      <c r="F14" s="14" t="s">
        <v>50</v>
      </c>
      <c r="G14" s="9"/>
      <c r="H14" s="76"/>
      <c r="I14" s="118" t="s">
        <v>16</v>
      </c>
      <c r="J14" s="50">
        <v>23964</v>
      </c>
      <c r="K14" s="78">
        <v>450</v>
      </c>
      <c r="L14" s="51"/>
      <c r="M14" s="75">
        <v>24009</v>
      </c>
      <c r="N14" s="73">
        <v>500</v>
      </c>
      <c r="O14" s="15" t="s">
        <v>72</v>
      </c>
    </row>
    <row r="15" spans="1:18" x14ac:dyDescent="0.25">
      <c r="A15" s="16">
        <v>23787</v>
      </c>
      <c r="B15" s="102">
        <v>500</v>
      </c>
      <c r="C15" s="17" t="s">
        <v>34</v>
      </c>
      <c r="D15" s="13"/>
      <c r="E15" s="70"/>
      <c r="F15" s="14" t="s">
        <v>16</v>
      </c>
      <c r="G15" s="9"/>
      <c r="H15" s="76"/>
      <c r="I15" s="10" t="s">
        <v>36</v>
      </c>
      <c r="J15" s="50">
        <v>23965</v>
      </c>
      <c r="K15" s="78">
        <v>400</v>
      </c>
      <c r="L15" s="51" t="s">
        <v>72</v>
      </c>
      <c r="M15" s="75">
        <v>24010</v>
      </c>
      <c r="N15" s="73">
        <v>100</v>
      </c>
      <c r="O15" s="15" t="s">
        <v>91</v>
      </c>
    </row>
    <row r="16" spans="1:18" x14ac:dyDescent="0.25">
      <c r="A16" s="16">
        <v>23788</v>
      </c>
      <c r="B16" s="102">
        <v>500</v>
      </c>
      <c r="C16" s="17"/>
      <c r="D16" s="13">
        <v>23852</v>
      </c>
      <c r="E16" s="70">
        <v>500</v>
      </c>
      <c r="F16" s="14" t="s">
        <v>51</v>
      </c>
      <c r="G16" s="9">
        <v>23910</v>
      </c>
      <c r="H16" s="76">
        <v>1250</v>
      </c>
      <c r="I16" s="24" t="s">
        <v>62</v>
      </c>
      <c r="J16" s="50">
        <v>23966</v>
      </c>
      <c r="K16" s="78">
        <v>3600</v>
      </c>
      <c r="L16" s="51" t="s">
        <v>28</v>
      </c>
      <c r="M16" s="75">
        <v>24011</v>
      </c>
      <c r="N16" s="73">
        <v>500</v>
      </c>
      <c r="O16" s="15" t="s">
        <v>72</v>
      </c>
    </row>
    <row r="17" spans="1:15" x14ac:dyDescent="0.25">
      <c r="A17" s="16">
        <v>23789</v>
      </c>
      <c r="B17" s="102">
        <v>600</v>
      </c>
      <c r="C17" s="17"/>
      <c r="D17" s="13">
        <v>23853</v>
      </c>
      <c r="E17" s="70">
        <v>400</v>
      </c>
      <c r="F17" s="14" t="s">
        <v>29</v>
      </c>
      <c r="G17" s="9"/>
      <c r="H17" s="76"/>
      <c r="I17" s="10" t="s">
        <v>63</v>
      </c>
      <c r="J17" s="50"/>
      <c r="K17" s="78"/>
      <c r="L17" s="51" t="s">
        <v>18</v>
      </c>
      <c r="M17" s="75">
        <v>24012</v>
      </c>
      <c r="N17" s="73">
        <v>500</v>
      </c>
      <c r="O17" s="15"/>
    </row>
    <row r="18" spans="1:15" x14ac:dyDescent="0.25">
      <c r="A18" s="16">
        <v>23790</v>
      </c>
      <c r="B18" s="102">
        <v>5500</v>
      </c>
      <c r="C18" s="17" t="s">
        <v>28</v>
      </c>
      <c r="D18" s="13"/>
      <c r="E18" s="70"/>
      <c r="F18" s="14" t="s">
        <v>52</v>
      </c>
      <c r="G18" s="9">
        <v>23911</v>
      </c>
      <c r="H18" s="76">
        <v>800</v>
      </c>
      <c r="I18" s="10" t="s">
        <v>37</v>
      </c>
      <c r="J18" s="50">
        <v>23967</v>
      </c>
      <c r="K18" s="78">
        <v>300</v>
      </c>
      <c r="L18" s="120"/>
      <c r="M18" s="75">
        <v>24013</v>
      </c>
      <c r="N18" s="73">
        <v>300</v>
      </c>
      <c r="O18" s="15"/>
    </row>
    <row r="19" spans="1:15" x14ac:dyDescent="0.25">
      <c r="A19" s="16"/>
      <c r="B19" s="102"/>
      <c r="C19" s="17" t="s">
        <v>23</v>
      </c>
      <c r="D19" s="13">
        <v>23854</v>
      </c>
      <c r="E19" s="70">
        <v>1000</v>
      </c>
      <c r="F19" s="14" t="s">
        <v>50</v>
      </c>
      <c r="G19" s="9"/>
      <c r="H19" s="76"/>
      <c r="I19" s="10" t="s">
        <v>17</v>
      </c>
      <c r="J19" s="50">
        <v>23968</v>
      </c>
      <c r="K19" s="78">
        <v>400</v>
      </c>
      <c r="L19" s="51"/>
      <c r="M19" s="75">
        <v>24014</v>
      </c>
      <c r="N19" s="73">
        <v>1800</v>
      </c>
      <c r="O19" s="31" t="s">
        <v>84</v>
      </c>
    </row>
    <row r="20" spans="1:15" x14ac:dyDescent="0.25">
      <c r="A20" s="16"/>
      <c r="B20" s="102"/>
      <c r="C20" s="17" t="s">
        <v>36</v>
      </c>
      <c r="D20" s="13"/>
      <c r="E20" s="70"/>
      <c r="F20" s="14" t="s">
        <v>23</v>
      </c>
      <c r="G20" s="9">
        <v>23912</v>
      </c>
      <c r="H20" s="76">
        <v>5500</v>
      </c>
      <c r="I20" s="10" t="s">
        <v>28</v>
      </c>
      <c r="J20" s="50">
        <v>23969</v>
      </c>
      <c r="K20" s="78">
        <v>400</v>
      </c>
      <c r="L20" s="51" t="s">
        <v>72</v>
      </c>
      <c r="M20" s="75"/>
      <c r="N20" s="73"/>
      <c r="O20" s="15" t="s">
        <v>92</v>
      </c>
    </row>
    <row r="21" spans="1:15" x14ac:dyDescent="0.25">
      <c r="A21" s="16">
        <v>23791</v>
      </c>
      <c r="B21" s="102"/>
      <c r="C21" s="17" t="s">
        <v>20</v>
      </c>
      <c r="D21" s="13">
        <v>23855</v>
      </c>
      <c r="E21" s="70">
        <v>500</v>
      </c>
      <c r="F21" s="14"/>
      <c r="G21" s="9"/>
      <c r="H21" s="76"/>
      <c r="I21" s="10" t="s">
        <v>64</v>
      </c>
      <c r="J21" s="53">
        <v>23970</v>
      </c>
      <c r="K21" s="72">
        <v>1000</v>
      </c>
      <c r="L21" s="51" t="s">
        <v>73</v>
      </c>
      <c r="M21" s="75">
        <v>24015</v>
      </c>
      <c r="N21" s="73">
        <v>1500</v>
      </c>
      <c r="O21" s="15" t="s">
        <v>30</v>
      </c>
    </row>
    <row r="22" spans="1:15" x14ac:dyDescent="0.25">
      <c r="A22" s="16">
        <v>23792</v>
      </c>
      <c r="B22" s="102">
        <v>600</v>
      </c>
      <c r="C22" s="17" t="s">
        <v>37</v>
      </c>
      <c r="D22" s="13">
        <v>23856</v>
      </c>
      <c r="E22" s="70">
        <v>300</v>
      </c>
      <c r="F22" s="14" t="s">
        <v>53</v>
      </c>
      <c r="G22" s="9"/>
      <c r="H22" s="76"/>
      <c r="I22" s="25" t="s">
        <v>36</v>
      </c>
      <c r="J22" s="50"/>
      <c r="K22" s="78"/>
      <c r="L22" s="51" t="s">
        <v>64</v>
      </c>
      <c r="M22" s="75"/>
      <c r="N22" s="73"/>
      <c r="O22" s="15" t="s">
        <v>64</v>
      </c>
    </row>
    <row r="23" spans="1:15" x14ac:dyDescent="0.25">
      <c r="A23" s="16"/>
      <c r="B23" s="102"/>
      <c r="C23" s="17" t="s">
        <v>18</v>
      </c>
      <c r="D23" s="13">
        <v>23857</v>
      </c>
      <c r="E23" s="70">
        <v>500</v>
      </c>
      <c r="F23" s="14" t="s">
        <v>50</v>
      </c>
      <c r="G23" s="9">
        <v>23913</v>
      </c>
      <c r="H23" s="76">
        <v>250</v>
      </c>
      <c r="I23" s="10" t="s">
        <v>65</v>
      </c>
      <c r="J23" s="50">
        <v>23971</v>
      </c>
      <c r="K23" s="78">
        <v>1200</v>
      </c>
      <c r="L23" s="51" t="s">
        <v>78</v>
      </c>
      <c r="M23" s="75">
        <v>24016</v>
      </c>
      <c r="N23" s="73">
        <v>5500</v>
      </c>
      <c r="O23" s="15" t="s">
        <v>93</v>
      </c>
    </row>
    <row r="24" spans="1:15" x14ac:dyDescent="0.25">
      <c r="A24" s="16">
        <v>23793</v>
      </c>
      <c r="B24" s="102">
        <v>300</v>
      </c>
      <c r="C24" s="103" t="s">
        <v>26</v>
      </c>
      <c r="D24" s="13"/>
      <c r="E24" s="70"/>
      <c r="F24" s="101" t="s">
        <v>16</v>
      </c>
      <c r="G24" s="9">
        <v>23914</v>
      </c>
      <c r="H24" s="76">
        <v>250</v>
      </c>
      <c r="I24" s="10"/>
      <c r="J24" s="50"/>
      <c r="K24" s="78"/>
      <c r="L24" s="51" t="s">
        <v>79</v>
      </c>
      <c r="M24" s="75"/>
      <c r="N24" s="73"/>
      <c r="O24" s="15" t="s">
        <v>64</v>
      </c>
    </row>
    <row r="25" spans="1:15" x14ac:dyDescent="0.25">
      <c r="A25" s="16">
        <v>23794</v>
      </c>
      <c r="B25" s="102">
        <v>500</v>
      </c>
      <c r="C25" s="17"/>
      <c r="D25" s="13">
        <v>23858</v>
      </c>
      <c r="E25" s="70">
        <v>1000</v>
      </c>
      <c r="F25" s="14" t="s">
        <v>54</v>
      </c>
      <c r="G25" s="9">
        <v>23915</v>
      </c>
      <c r="H25" s="76">
        <v>600</v>
      </c>
      <c r="I25" s="10" t="s">
        <v>65</v>
      </c>
      <c r="J25" s="50">
        <v>23972</v>
      </c>
      <c r="K25" s="78">
        <v>5500</v>
      </c>
      <c r="L25" s="51" t="s">
        <v>28</v>
      </c>
      <c r="M25" s="75"/>
      <c r="N25" s="73"/>
      <c r="O25" s="15" t="s">
        <v>94</v>
      </c>
    </row>
    <row r="26" spans="1:15" x14ac:dyDescent="0.25">
      <c r="A26" s="16">
        <v>23795</v>
      </c>
      <c r="B26" s="102">
        <v>5500</v>
      </c>
      <c r="C26" s="17" t="s">
        <v>28</v>
      </c>
      <c r="D26" s="13"/>
      <c r="E26" s="70"/>
      <c r="F26" s="14" t="s">
        <v>16</v>
      </c>
      <c r="G26" s="9"/>
      <c r="H26" s="76"/>
      <c r="I26" s="10" t="s">
        <v>66</v>
      </c>
      <c r="J26" s="50"/>
      <c r="K26" s="78"/>
      <c r="L26" s="51" t="s">
        <v>64</v>
      </c>
      <c r="M26" s="75">
        <v>24017</v>
      </c>
      <c r="N26" s="73"/>
      <c r="O26" s="15" t="s">
        <v>95</v>
      </c>
    </row>
    <row r="27" spans="1:15" x14ac:dyDescent="0.25">
      <c r="A27" s="16"/>
      <c r="B27" s="102"/>
      <c r="C27" s="17" t="s">
        <v>23</v>
      </c>
      <c r="D27" s="13">
        <v>23859</v>
      </c>
      <c r="E27" s="70">
        <v>500</v>
      </c>
      <c r="F27" s="14" t="s">
        <v>51</v>
      </c>
      <c r="G27" s="9">
        <v>23916</v>
      </c>
      <c r="H27" s="76">
        <v>500</v>
      </c>
      <c r="I27" s="10"/>
      <c r="J27" s="50"/>
      <c r="K27" s="78"/>
      <c r="L27" s="51" t="s">
        <v>80</v>
      </c>
      <c r="M27" s="75">
        <v>24018</v>
      </c>
      <c r="N27" s="73">
        <v>250</v>
      </c>
      <c r="O27" s="15"/>
    </row>
    <row r="28" spans="1:15" x14ac:dyDescent="0.25">
      <c r="A28" s="16"/>
      <c r="B28" s="102"/>
      <c r="C28" s="17" t="s">
        <v>36</v>
      </c>
      <c r="D28" s="13">
        <v>23860</v>
      </c>
      <c r="E28" s="70">
        <v>500</v>
      </c>
      <c r="F28" s="14"/>
      <c r="G28" s="9">
        <v>23917</v>
      </c>
      <c r="H28" s="76">
        <v>500</v>
      </c>
      <c r="I28" s="10"/>
      <c r="J28" s="50">
        <v>23973</v>
      </c>
      <c r="K28" s="78">
        <v>400</v>
      </c>
      <c r="L28" s="51"/>
      <c r="M28" s="75">
        <v>24019</v>
      </c>
      <c r="N28" s="73">
        <v>500</v>
      </c>
      <c r="O28" s="15"/>
    </row>
    <row r="29" spans="1:15" x14ac:dyDescent="0.25">
      <c r="A29" s="16">
        <v>23796</v>
      </c>
      <c r="B29" s="102">
        <v>1000</v>
      </c>
      <c r="C29" s="17" t="s">
        <v>25</v>
      </c>
      <c r="D29" s="13">
        <v>23861</v>
      </c>
      <c r="E29" s="70">
        <v>500</v>
      </c>
      <c r="F29" s="14" t="s">
        <v>37</v>
      </c>
      <c r="G29" s="9">
        <v>23918</v>
      </c>
      <c r="H29" s="76">
        <v>500</v>
      </c>
      <c r="I29" s="10" t="s">
        <v>65</v>
      </c>
      <c r="J29" s="50">
        <v>23974</v>
      </c>
      <c r="K29" s="78">
        <v>500</v>
      </c>
      <c r="L29" s="51"/>
      <c r="M29" s="75">
        <v>24020</v>
      </c>
      <c r="N29" s="73">
        <v>500</v>
      </c>
      <c r="O29" s="15" t="s">
        <v>72</v>
      </c>
    </row>
    <row r="30" spans="1:15" x14ac:dyDescent="0.25">
      <c r="A30" s="16"/>
      <c r="B30" s="102"/>
      <c r="C30" s="17" t="s">
        <v>23</v>
      </c>
      <c r="D30" s="13"/>
      <c r="E30" s="70"/>
      <c r="F30" s="14" t="s">
        <v>16</v>
      </c>
      <c r="G30" s="9">
        <v>23919</v>
      </c>
      <c r="H30" s="76">
        <v>5500</v>
      </c>
      <c r="I30" s="10" t="s">
        <v>28</v>
      </c>
      <c r="J30" s="50">
        <v>23975</v>
      </c>
      <c r="K30" s="78">
        <v>600</v>
      </c>
      <c r="L30" s="51" t="s">
        <v>81</v>
      </c>
      <c r="M30" s="75">
        <v>24021</v>
      </c>
      <c r="N30" s="73">
        <v>300</v>
      </c>
      <c r="O30" s="15"/>
    </row>
    <row r="31" spans="1:15" x14ac:dyDescent="0.25">
      <c r="A31" s="16">
        <v>23797</v>
      </c>
      <c r="B31" s="102">
        <v>4950</v>
      </c>
      <c r="C31" s="103" t="s">
        <v>28</v>
      </c>
      <c r="D31" s="13">
        <v>23862</v>
      </c>
      <c r="E31" s="70"/>
      <c r="F31" s="101" t="s">
        <v>20</v>
      </c>
      <c r="G31" s="9"/>
      <c r="H31" s="76"/>
      <c r="I31" s="10" t="s">
        <v>64</v>
      </c>
      <c r="J31" s="50"/>
      <c r="K31" s="78"/>
      <c r="L31" s="51" t="s">
        <v>52</v>
      </c>
      <c r="M31" s="75">
        <v>24022</v>
      </c>
      <c r="N31" s="73">
        <v>600</v>
      </c>
      <c r="O31" s="15" t="s">
        <v>72</v>
      </c>
    </row>
    <row r="32" spans="1:15" x14ac:dyDescent="0.25">
      <c r="A32" s="16"/>
      <c r="B32" s="102"/>
      <c r="C32" s="17" t="s">
        <v>22</v>
      </c>
      <c r="D32" s="13">
        <v>23863</v>
      </c>
      <c r="E32" s="70">
        <v>5500</v>
      </c>
      <c r="F32" s="14" t="s">
        <v>46</v>
      </c>
      <c r="G32" s="9"/>
      <c r="H32" s="76"/>
      <c r="I32" s="10" t="s">
        <v>36</v>
      </c>
      <c r="J32" s="50">
        <v>23976</v>
      </c>
      <c r="K32" s="78"/>
      <c r="L32" s="51" t="s">
        <v>20</v>
      </c>
      <c r="M32" s="75">
        <v>24023</v>
      </c>
      <c r="N32" s="73">
        <v>250</v>
      </c>
      <c r="O32" s="15" t="s">
        <v>72</v>
      </c>
    </row>
    <row r="33" spans="1:15" x14ac:dyDescent="0.25">
      <c r="A33" s="16"/>
      <c r="B33" s="102"/>
      <c r="C33" s="17" t="s">
        <v>36</v>
      </c>
      <c r="D33" s="13"/>
      <c r="E33" s="70"/>
      <c r="F33" s="14" t="s">
        <v>23</v>
      </c>
      <c r="G33" s="9">
        <v>23920</v>
      </c>
      <c r="H33" s="76">
        <v>4500</v>
      </c>
      <c r="I33" s="10" t="s">
        <v>67</v>
      </c>
      <c r="J33" s="50">
        <v>23977</v>
      </c>
      <c r="K33" s="78">
        <v>500</v>
      </c>
      <c r="L33" s="51"/>
      <c r="M33" s="75">
        <v>24024</v>
      </c>
      <c r="N33" s="73">
        <v>1000</v>
      </c>
      <c r="O33" s="15" t="s">
        <v>37</v>
      </c>
    </row>
    <row r="34" spans="1:15" x14ac:dyDescent="0.25">
      <c r="A34" s="16">
        <v>23798</v>
      </c>
      <c r="B34" s="102">
        <v>500</v>
      </c>
      <c r="C34" s="17"/>
      <c r="D34" s="13"/>
      <c r="E34" s="70"/>
      <c r="F34" s="20" t="s">
        <v>47</v>
      </c>
      <c r="G34" s="9"/>
      <c r="H34" s="76"/>
      <c r="I34" s="10" t="s">
        <v>64</v>
      </c>
      <c r="J34" s="50">
        <v>23978</v>
      </c>
      <c r="K34" s="78">
        <v>500</v>
      </c>
      <c r="L34" s="51"/>
      <c r="M34" s="75"/>
      <c r="N34" s="73"/>
      <c r="O34" s="15" t="s">
        <v>64</v>
      </c>
    </row>
    <row r="35" spans="1:15" x14ac:dyDescent="0.25">
      <c r="A35" s="16">
        <v>23799</v>
      </c>
      <c r="B35" s="102">
        <v>500</v>
      </c>
      <c r="C35" s="17"/>
      <c r="D35" s="13">
        <v>23864</v>
      </c>
      <c r="E35" s="70">
        <v>500</v>
      </c>
      <c r="F35" s="14"/>
      <c r="G35" s="9">
        <v>23921</v>
      </c>
      <c r="H35" s="76">
        <v>300</v>
      </c>
      <c r="I35" s="10"/>
      <c r="J35" s="50">
        <v>23979</v>
      </c>
      <c r="K35" s="78">
        <v>3600</v>
      </c>
      <c r="L35" s="51" t="s">
        <v>28</v>
      </c>
      <c r="M35" s="75">
        <v>24025</v>
      </c>
      <c r="N35" s="73">
        <v>500</v>
      </c>
      <c r="O35" s="15" t="s">
        <v>72</v>
      </c>
    </row>
    <row r="36" spans="1:15" x14ac:dyDescent="0.25">
      <c r="A36" s="16">
        <v>23800</v>
      </c>
      <c r="B36" s="102">
        <v>1000</v>
      </c>
      <c r="C36" s="17" t="s">
        <v>37</v>
      </c>
      <c r="D36" s="13">
        <v>23865</v>
      </c>
      <c r="E36" s="70">
        <v>400</v>
      </c>
      <c r="F36" s="14"/>
      <c r="G36" s="9">
        <v>23922</v>
      </c>
      <c r="H36" s="76">
        <v>5500</v>
      </c>
      <c r="I36" s="10" t="s">
        <v>28</v>
      </c>
      <c r="J36" s="50"/>
      <c r="K36" s="78"/>
      <c r="L36" s="51" t="s">
        <v>18</v>
      </c>
      <c r="M36" s="75">
        <v>24026</v>
      </c>
      <c r="N36" s="73">
        <v>500</v>
      </c>
      <c r="O36" s="15"/>
    </row>
    <row r="37" spans="1:15" x14ac:dyDescent="0.25">
      <c r="A37" s="16"/>
      <c r="B37" s="102"/>
      <c r="C37" s="17" t="s">
        <v>23</v>
      </c>
      <c r="D37" s="13">
        <v>23866</v>
      </c>
      <c r="E37" s="70">
        <v>700</v>
      </c>
      <c r="F37" s="14" t="s">
        <v>37</v>
      </c>
      <c r="G37" s="9"/>
      <c r="H37" s="76"/>
      <c r="I37" s="10" t="s">
        <v>64</v>
      </c>
      <c r="J37" s="50">
        <v>23980</v>
      </c>
      <c r="K37" s="78">
        <v>5500</v>
      </c>
      <c r="L37" s="52" t="s">
        <v>28</v>
      </c>
      <c r="M37" s="75">
        <v>24027</v>
      </c>
      <c r="N37" s="73">
        <v>500</v>
      </c>
      <c r="O37" s="15"/>
    </row>
    <row r="38" spans="1:15" x14ac:dyDescent="0.25">
      <c r="A38" s="16">
        <v>23801</v>
      </c>
      <c r="B38" s="102">
        <v>500</v>
      </c>
      <c r="C38" s="17" t="s">
        <v>34</v>
      </c>
      <c r="D38" s="13">
        <v>23867</v>
      </c>
      <c r="E38" s="70">
        <v>500</v>
      </c>
      <c r="F38" s="14" t="s">
        <v>29</v>
      </c>
      <c r="G38" s="9"/>
      <c r="H38" s="76"/>
      <c r="I38" s="10" t="s">
        <v>36</v>
      </c>
      <c r="J38" s="50"/>
      <c r="K38" s="78"/>
      <c r="L38" s="52" t="s">
        <v>64</v>
      </c>
      <c r="M38" s="75">
        <v>24028</v>
      </c>
      <c r="N38" s="73">
        <v>500</v>
      </c>
      <c r="O38" s="15" t="s">
        <v>72</v>
      </c>
    </row>
    <row r="39" spans="1:15" x14ac:dyDescent="0.25">
      <c r="A39" s="16">
        <v>23802</v>
      </c>
      <c r="B39" s="102">
        <v>1000</v>
      </c>
      <c r="C39" s="17" t="s">
        <v>34</v>
      </c>
      <c r="D39" s="13"/>
      <c r="E39" s="70"/>
      <c r="F39" s="14" t="s">
        <v>16</v>
      </c>
      <c r="G39" s="9">
        <v>23923</v>
      </c>
      <c r="H39" s="76"/>
      <c r="I39" s="10" t="s">
        <v>20</v>
      </c>
      <c r="J39" s="50"/>
      <c r="K39" s="78"/>
      <c r="L39" s="51" t="s">
        <v>80</v>
      </c>
      <c r="M39" s="75">
        <v>24029</v>
      </c>
      <c r="N39" s="73">
        <v>200</v>
      </c>
      <c r="O39" s="15"/>
    </row>
    <row r="40" spans="1:15" x14ac:dyDescent="0.25">
      <c r="A40" s="16"/>
      <c r="B40" s="102"/>
      <c r="C40" s="17" t="s">
        <v>35</v>
      </c>
      <c r="D40" s="13">
        <v>23868</v>
      </c>
      <c r="E40" s="70">
        <v>4400</v>
      </c>
      <c r="F40" s="14" t="s">
        <v>46</v>
      </c>
      <c r="G40" s="9">
        <v>23924</v>
      </c>
      <c r="H40" s="76">
        <v>300</v>
      </c>
      <c r="I40" s="10"/>
      <c r="J40" s="50">
        <v>23981</v>
      </c>
      <c r="K40" s="78">
        <v>5500</v>
      </c>
      <c r="L40" s="51" t="s">
        <v>28</v>
      </c>
      <c r="M40" s="75">
        <v>24030</v>
      </c>
      <c r="N40" s="73">
        <v>500</v>
      </c>
      <c r="O40" s="15" t="s">
        <v>72</v>
      </c>
    </row>
    <row r="41" spans="1:15" x14ac:dyDescent="0.25">
      <c r="A41" s="16">
        <v>23803</v>
      </c>
      <c r="B41" s="102">
        <v>500</v>
      </c>
      <c r="C41" s="17"/>
      <c r="D41" s="13"/>
      <c r="E41" s="70"/>
      <c r="F41" s="14" t="s">
        <v>17</v>
      </c>
      <c r="G41" s="9">
        <v>23925</v>
      </c>
      <c r="H41" s="76">
        <v>1000</v>
      </c>
      <c r="I41" s="10" t="s">
        <v>37</v>
      </c>
      <c r="J41" s="50"/>
      <c r="K41" s="78"/>
      <c r="L41" s="51" t="s">
        <v>80</v>
      </c>
      <c r="M41" s="75">
        <v>24031</v>
      </c>
      <c r="N41" s="73">
        <v>600</v>
      </c>
      <c r="O41" s="15" t="s">
        <v>73</v>
      </c>
    </row>
    <row r="42" spans="1:15" x14ac:dyDescent="0.25">
      <c r="A42" s="16">
        <v>23804</v>
      </c>
      <c r="B42" s="102">
        <v>1000</v>
      </c>
      <c r="C42" s="17" t="s">
        <v>37</v>
      </c>
      <c r="D42" s="13"/>
      <c r="E42" s="70"/>
      <c r="F42" s="14" t="s">
        <v>47</v>
      </c>
      <c r="G42" s="9"/>
      <c r="H42" s="76"/>
      <c r="I42" s="10" t="s">
        <v>64</v>
      </c>
      <c r="J42" s="50">
        <v>23982</v>
      </c>
      <c r="K42" s="78">
        <v>600</v>
      </c>
      <c r="L42" s="51" t="s">
        <v>37</v>
      </c>
      <c r="M42" s="75"/>
      <c r="N42" s="73"/>
      <c r="O42" s="15" t="s">
        <v>18</v>
      </c>
    </row>
    <row r="43" spans="1:15" x14ac:dyDescent="0.25">
      <c r="A43" s="16"/>
      <c r="B43" s="102"/>
      <c r="C43" s="17" t="s">
        <v>23</v>
      </c>
      <c r="D43" s="13">
        <v>23869</v>
      </c>
      <c r="E43" s="70"/>
      <c r="F43" s="14" t="s">
        <v>20</v>
      </c>
      <c r="G43" s="9">
        <v>23926</v>
      </c>
      <c r="H43" s="76">
        <v>800</v>
      </c>
      <c r="I43" s="10" t="s">
        <v>37</v>
      </c>
      <c r="J43" s="53"/>
      <c r="K43" s="72"/>
      <c r="L43" s="51" t="s">
        <v>18</v>
      </c>
      <c r="M43" s="75">
        <v>24032</v>
      </c>
      <c r="N43" s="73">
        <v>500</v>
      </c>
      <c r="O43" s="15" t="s">
        <v>72</v>
      </c>
    </row>
    <row r="44" spans="1:15" x14ac:dyDescent="0.25">
      <c r="A44" s="16">
        <v>23805</v>
      </c>
      <c r="B44" s="102">
        <v>1000</v>
      </c>
      <c r="C44" s="17" t="s">
        <v>37</v>
      </c>
      <c r="D44" s="13">
        <v>23870</v>
      </c>
      <c r="E44" s="70">
        <v>500</v>
      </c>
      <c r="F44" s="14"/>
      <c r="G44" s="9"/>
      <c r="H44" s="76"/>
      <c r="I44" s="10" t="s">
        <v>17</v>
      </c>
      <c r="J44" s="50">
        <v>23983</v>
      </c>
      <c r="K44" s="78">
        <v>500</v>
      </c>
      <c r="L44" s="51"/>
      <c r="M44" s="75">
        <v>24033</v>
      </c>
      <c r="N44" s="73">
        <v>300</v>
      </c>
      <c r="O44" s="15"/>
    </row>
    <row r="45" spans="1:15" x14ac:dyDescent="0.25">
      <c r="A45" s="16"/>
      <c r="B45" s="102"/>
      <c r="C45" s="17" t="s">
        <v>23</v>
      </c>
      <c r="D45" s="13">
        <v>23871</v>
      </c>
      <c r="E45" s="70">
        <v>500</v>
      </c>
      <c r="F45" s="14"/>
      <c r="G45" s="9">
        <v>23927</v>
      </c>
      <c r="H45" s="76">
        <v>300</v>
      </c>
      <c r="I45" s="10"/>
      <c r="J45" s="53">
        <v>23984</v>
      </c>
      <c r="K45" s="72">
        <v>5500</v>
      </c>
      <c r="L45" s="121" t="s">
        <v>28</v>
      </c>
      <c r="M45" s="75">
        <v>24034</v>
      </c>
      <c r="N45" s="73">
        <v>500</v>
      </c>
      <c r="O45" s="31"/>
    </row>
    <row r="46" spans="1:15" x14ac:dyDescent="0.25">
      <c r="A46" s="16">
        <v>23806</v>
      </c>
      <c r="B46" s="102">
        <v>500</v>
      </c>
      <c r="C46" s="17"/>
      <c r="D46" s="13">
        <v>23872</v>
      </c>
      <c r="E46" s="70">
        <v>1800</v>
      </c>
      <c r="F46" s="14" t="s">
        <v>55</v>
      </c>
      <c r="G46" s="9">
        <v>23928</v>
      </c>
      <c r="H46" s="76">
        <v>250</v>
      </c>
      <c r="I46" s="10"/>
      <c r="J46" s="50"/>
      <c r="K46" s="78"/>
      <c r="L46" s="51" t="s">
        <v>64</v>
      </c>
      <c r="M46" s="75"/>
      <c r="N46" s="73"/>
      <c r="O46" s="15"/>
    </row>
    <row r="47" spans="1:15" x14ac:dyDescent="0.25">
      <c r="A47" s="16">
        <v>23807</v>
      </c>
      <c r="B47" s="102">
        <v>500</v>
      </c>
      <c r="C47" s="17"/>
      <c r="D47" s="13"/>
      <c r="E47" s="70"/>
      <c r="F47" s="14" t="s">
        <v>56</v>
      </c>
      <c r="G47" s="9">
        <v>23929</v>
      </c>
      <c r="H47" s="76">
        <v>300</v>
      </c>
      <c r="I47" s="10"/>
      <c r="J47" s="50"/>
      <c r="K47" s="78"/>
      <c r="L47" s="51" t="s">
        <v>80</v>
      </c>
      <c r="M47" s="75"/>
      <c r="N47" s="73"/>
      <c r="O47" s="15"/>
    </row>
    <row r="48" spans="1:15" x14ac:dyDescent="0.25">
      <c r="A48" s="16">
        <v>23808</v>
      </c>
      <c r="B48" s="102">
        <v>800</v>
      </c>
      <c r="C48" s="17" t="s">
        <v>34</v>
      </c>
      <c r="D48" s="13">
        <v>23873</v>
      </c>
      <c r="E48" s="70">
        <v>600</v>
      </c>
      <c r="F48" s="14" t="s">
        <v>29</v>
      </c>
      <c r="G48" s="9">
        <v>23930</v>
      </c>
      <c r="H48" s="76">
        <v>1000</v>
      </c>
      <c r="I48" s="10" t="s">
        <v>37</v>
      </c>
      <c r="J48" s="50">
        <v>23985</v>
      </c>
      <c r="K48" s="78">
        <v>300</v>
      </c>
      <c r="L48" s="51"/>
      <c r="M48" s="75"/>
      <c r="N48" s="73"/>
      <c r="O48" s="15"/>
    </row>
    <row r="49" spans="1:15" x14ac:dyDescent="0.25">
      <c r="A49" s="16"/>
      <c r="B49" s="102"/>
      <c r="C49" s="17" t="s">
        <v>38</v>
      </c>
      <c r="D49" s="13"/>
      <c r="E49" s="70"/>
      <c r="F49" s="14" t="s">
        <v>18</v>
      </c>
      <c r="G49" s="9"/>
      <c r="H49" s="76"/>
      <c r="I49" s="10" t="s">
        <v>64</v>
      </c>
      <c r="J49" s="50">
        <v>23986</v>
      </c>
      <c r="K49" s="78">
        <v>1000</v>
      </c>
      <c r="L49" s="51" t="s">
        <v>37</v>
      </c>
      <c r="M49" s="75"/>
      <c r="N49" s="73"/>
      <c r="O49" s="15"/>
    </row>
    <row r="50" spans="1:15" x14ac:dyDescent="0.25">
      <c r="A50" s="16">
        <v>23809</v>
      </c>
      <c r="B50" s="102">
        <v>500</v>
      </c>
      <c r="C50" s="17"/>
      <c r="D50" s="13">
        <v>23874</v>
      </c>
      <c r="E50" s="70">
        <v>5500</v>
      </c>
      <c r="F50" s="14" t="s">
        <v>46</v>
      </c>
      <c r="G50" s="9">
        <v>23931</v>
      </c>
      <c r="H50" s="76">
        <v>800</v>
      </c>
      <c r="I50" s="10" t="s">
        <v>37</v>
      </c>
      <c r="J50" s="53"/>
      <c r="K50" s="78"/>
      <c r="L50" s="54" t="s">
        <v>64</v>
      </c>
      <c r="M50" s="75"/>
      <c r="N50" s="73"/>
      <c r="O50" s="15"/>
    </row>
    <row r="51" spans="1:15" x14ac:dyDescent="0.25">
      <c r="A51" s="16">
        <v>23810</v>
      </c>
      <c r="B51" s="102">
        <v>400</v>
      </c>
      <c r="C51" s="17"/>
      <c r="D51" s="13"/>
      <c r="E51" s="70"/>
      <c r="F51" s="14" t="s">
        <v>23</v>
      </c>
      <c r="G51" s="9"/>
      <c r="H51" s="76"/>
      <c r="I51" s="10" t="s">
        <v>17</v>
      </c>
      <c r="J51" s="53">
        <v>23987</v>
      </c>
      <c r="K51" s="78">
        <v>5500</v>
      </c>
      <c r="L51" s="55" t="s">
        <v>28</v>
      </c>
      <c r="M51" s="75"/>
      <c r="N51" s="73"/>
      <c r="O51" s="15"/>
    </row>
    <row r="52" spans="1:15" x14ac:dyDescent="0.25">
      <c r="A52" s="16">
        <v>23811</v>
      </c>
      <c r="B52" s="102">
        <v>300</v>
      </c>
      <c r="C52" s="17" t="s">
        <v>39</v>
      </c>
      <c r="D52" s="13"/>
      <c r="E52" s="70"/>
      <c r="F52" s="14" t="s">
        <v>47</v>
      </c>
      <c r="G52" s="9">
        <v>23932</v>
      </c>
      <c r="H52" s="76">
        <v>1500</v>
      </c>
      <c r="I52" s="10" t="s">
        <v>30</v>
      </c>
      <c r="J52" s="53"/>
      <c r="K52" s="72"/>
      <c r="L52" s="54" t="s">
        <v>64</v>
      </c>
      <c r="M52" s="75"/>
      <c r="N52" s="73"/>
      <c r="O52" s="15"/>
    </row>
    <row r="53" spans="1:15" x14ac:dyDescent="0.25">
      <c r="A53" s="16">
        <v>23812</v>
      </c>
      <c r="B53" s="102">
        <v>500</v>
      </c>
      <c r="C53" s="17" t="s">
        <v>34</v>
      </c>
      <c r="D53" s="13">
        <v>23875</v>
      </c>
      <c r="E53" s="70">
        <v>500</v>
      </c>
      <c r="F53" s="14"/>
      <c r="G53" s="9"/>
      <c r="H53" s="76"/>
      <c r="I53" s="10" t="s">
        <v>64</v>
      </c>
      <c r="J53" s="53"/>
      <c r="K53" s="72"/>
      <c r="L53" s="54" t="s">
        <v>80</v>
      </c>
      <c r="M53" s="75"/>
      <c r="N53" s="73"/>
      <c r="O53" s="15"/>
    </row>
    <row r="54" spans="1:15" x14ac:dyDescent="0.25">
      <c r="A54" s="16">
        <v>23813</v>
      </c>
      <c r="B54" s="102">
        <v>600</v>
      </c>
      <c r="C54" s="17" t="s">
        <v>40</v>
      </c>
      <c r="D54" s="13">
        <v>23876</v>
      </c>
      <c r="E54" s="70">
        <v>300</v>
      </c>
      <c r="F54" s="14"/>
      <c r="G54" s="9">
        <v>23933</v>
      </c>
      <c r="H54" s="76">
        <v>5500</v>
      </c>
      <c r="I54" s="10" t="s">
        <v>28</v>
      </c>
      <c r="J54" s="53">
        <v>23988</v>
      </c>
      <c r="K54" s="72">
        <v>500</v>
      </c>
      <c r="L54" s="54"/>
      <c r="M54" s="75"/>
      <c r="N54" s="73"/>
      <c r="O54" s="15"/>
    </row>
    <row r="55" spans="1:15" x14ac:dyDescent="0.25">
      <c r="A55" s="16"/>
      <c r="B55" s="102"/>
      <c r="C55" s="17" t="s">
        <v>18</v>
      </c>
      <c r="D55" s="13">
        <v>23877</v>
      </c>
      <c r="E55" s="70">
        <v>500</v>
      </c>
      <c r="F55" s="14"/>
      <c r="G55" s="9"/>
      <c r="H55" s="76"/>
      <c r="I55" s="10" t="s">
        <v>64</v>
      </c>
      <c r="J55" s="53">
        <v>23989</v>
      </c>
      <c r="K55" s="72">
        <v>2400</v>
      </c>
      <c r="L55" s="54" t="s">
        <v>28</v>
      </c>
      <c r="M55" s="75"/>
      <c r="N55" s="73"/>
      <c r="O55" s="15"/>
    </row>
    <row r="56" spans="1:15" x14ac:dyDescent="0.25">
      <c r="A56" s="16">
        <v>23814</v>
      </c>
      <c r="B56" s="102">
        <v>500</v>
      </c>
      <c r="C56" s="17" t="s">
        <v>34</v>
      </c>
      <c r="D56" s="13">
        <v>23878</v>
      </c>
      <c r="E56" s="70">
        <v>200</v>
      </c>
      <c r="F56" s="23"/>
      <c r="G56" s="9"/>
      <c r="H56" s="76"/>
      <c r="I56" s="10" t="s">
        <v>36</v>
      </c>
      <c r="J56" s="53"/>
      <c r="K56" s="72"/>
      <c r="L56" s="54" t="s">
        <v>52</v>
      </c>
      <c r="M56" s="75"/>
      <c r="N56" s="73"/>
      <c r="O56" s="15"/>
    </row>
    <row r="57" spans="1:15" x14ac:dyDescent="0.25">
      <c r="A57" s="16">
        <v>23815</v>
      </c>
      <c r="B57" s="102">
        <v>50</v>
      </c>
      <c r="C57" s="17" t="s">
        <v>19</v>
      </c>
      <c r="D57" s="13">
        <v>23879</v>
      </c>
      <c r="E57" s="70"/>
      <c r="F57" s="23" t="s">
        <v>20</v>
      </c>
      <c r="G57" s="9">
        <v>23934</v>
      </c>
      <c r="H57" s="76">
        <v>500</v>
      </c>
      <c r="I57" s="10" t="s">
        <v>65</v>
      </c>
      <c r="J57" s="53">
        <v>23990</v>
      </c>
      <c r="K57" s="72">
        <v>500</v>
      </c>
      <c r="L57" s="54"/>
      <c r="M57" s="75"/>
      <c r="N57" s="73"/>
      <c r="O57" s="15"/>
    </row>
    <row r="58" spans="1:15" x14ac:dyDescent="0.25">
      <c r="A58" s="16">
        <v>23816</v>
      </c>
      <c r="B58" s="102">
        <v>5500</v>
      </c>
      <c r="C58" s="17" t="s">
        <v>28</v>
      </c>
      <c r="D58" s="13">
        <v>23880</v>
      </c>
      <c r="E58" s="70">
        <v>250</v>
      </c>
      <c r="F58" s="14"/>
      <c r="G58" s="9">
        <v>23935</v>
      </c>
      <c r="H58" s="76">
        <v>1500</v>
      </c>
      <c r="I58" s="10" t="s">
        <v>68</v>
      </c>
      <c r="J58" s="53">
        <v>23991</v>
      </c>
      <c r="K58" s="72">
        <v>500</v>
      </c>
      <c r="L58" s="54"/>
      <c r="M58" s="75"/>
      <c r="N58" s="73"/>
      <c r="O58" s="15"/>
    </row>
    <row r="59" spans="1:15" x14ac:dyDescent="0.25">
      <c r="A59" s="16"/>
      <c r="B59" s="102"/>
      <c r="C59" s="17" t="s">
        <v>23</v>
      </c>
      <c r="D59" s="13">
        <v>23881</v>
      </c>
      <c r="E59" s="70">
        <v>500</v>
      </c>
      <c r="F59" s="14"/>
      <c r="G59" s="9"/>
      <c r="H59" s="76"/>
      <c r="I59" s="10" t="s">
        <v>64</v>
      </c>
      <c r="J59" s="53">
        <v>23992</v>
      </c>
      <c r="K59" s="72">
        <v>500</v>
      </c>
      <c r="L59" s="54" t="s">
        <v>82</v>
      </c>
      <c r="M59" s="75"/>
      <c r="N59" s="73"/>
      <c r="O59" s="15"/>
    </row>
    <row r="60" spans="1:15" x14ac:dyDescent="0.25">
      <c r="A60" s="16"/>
      <c r="B60" s="102"/>
      <c r="C60" s="17" t="s">
        <v>36</v>
      </c>
      <c r="D60" s="13">
        <v>23882</v>
      </c>
      <c r="E60" s="70">
        <v>250</v>
      </c>
      <c r="F60" s="23"/>
      <c r="G60" s="9">
        <v>23936</v>
      </c>
      <c r="H60" s="76">
        <v>50</v>
      </c>
      <c r="I60" s="10" t="s">
        <v>69</v>
      </c>
      <c r="J60" s="53">
        <v>23993</v>
      </c>
      <c r="K60" s="72">
        <v>400</v>
      </c>
      <c r="L60" s="54"/>
      <c r="M60" s="75"/>
      <c r="N60" s="73"/>
      <c r="O60" s="15"/>
    </row>
    <row r="61" spans="1:15" x14ac:dyDescent="0.25">
      <c r="A61" s="16">
        <v>23817</v>
      </c>
      <c r="B61" s="102">
        <v>400</v>
      </c>
      <c r="C61" s="17"/>
      <c r="D61" s="13">
        <v>23883</v>
      </c>
      <c r="E61" s="70">
        <v>5500</v>
      </c>
      <c r="F61" s="14" t="s">
        <v>46</v>
      </c>
      <c r="G61" s="9">
        <v>23937</v>
      </c>
      <c r="H61" s="76">
        <v>600</v>
      </c>
      <c r="I61" s="104" t="s">
        <v>37</v>
      </c>
      <c r="J61" s="53">
        <v>23994</v>
      </c>
      <c r="K61" s="72">
        <v>1000</v>
      </c>
      <c r="L61" s="54" t="s">
        <v>37</v>
      </c>
      <c r="M61" s="75"/>
      <c r="N61" s="73"/>
      <c r="O61" s="15"/>
    </row>
    <row r="62" spans="1:15" x14ac:dyDescent="0.25">
      <c r="A62" s="16">
        <v>23818</v>
      </c>
      <c r="B62" s="102">
        <v>5500</v>
      </c>
      <c r="C62" s="17" t="s">
        <v>28</v>
      </c>
      <c r="D62" s="13"/>
      <c r="E62" s="70"/>
      <c r="F62" s="14" t="s">
        <v>23</v>
      </c>
      <c r="G62" s="9"/>
      <c r="H62" s="76"/>
      <c r="I62" s="10" t="s">
        <v>18</v>
      </c>
      <c r="J62" s="53"/>
      <c r="K62" s="72"/>
      <c r="L62" s="54" t="s">
        <v>64</v>
      </c>
      <c r="M62" s="75"/>
      <c r="N62" s="73"/>
      <c r="O62" s="15"/>
    </row>
    <row r="63" spans="1:15" x14ac:dyDescent="0.25">
      <c r="A63" s="16"/>
      <c r="B63" s="102"/>
      <c r="C63" s="17" t="s">
        <v>23</v>
      </c>
      <c r="D63" s="13"/>
      <c r="E63" s="70"/>
      <c r="F63" s="14" t="s">
        <v>47</v>
      </c>
      <c r="G63" s="9">
        <v>23938</v>
      </c>
      <c r="H63" s="76">
        <v>600</v>
      </c>
      <c r="I63" s="10" t="s">
        <v>37</v>
      </c>
      <c r="J63" s="53">
        <v>23995</v>
      </c>
      <c r="K63" s="72">
        <v>1000</v>
      </c>
      <c r="L63" s="54" t="s">
        <v>83</v>
      </c>
      <c r="M63" s="75"/>
      <c r="N63" s="73"/>
      <c r="O63" s="15"/>
    </row>
    <row r="64" spans="1:15" x14ac:dyDescent="0.25">
      <c r="A64" s="16"/>
      <c r="B64" s="102"/>
      <c r="C64" s="17" t="s">
        <v>36</v>
      </c>
      <c r="D64" s="13">
        <v>23884</v>
      </c>
      <c r="E64" s="70">
        <v>500</v>
      </c>
      <c r="F64" s="14"/>
      <c r="G64" s="9"/>
      <c r="H64" s="76"/>
      <c r="I64" s="104" t="s">
        <v>18</v>
      </c>
      <c r="J64" s="53"/>
      <c r="K64" s="72"/>
      <c r="L64" s="54" t="s">
        <v>64</v>
      </c>
      <c r="M64" s="75"/>
      <c r="N64" s="73"/>
      <c r="O64" s="15"/>
    </row>
    <row r="65" spans="1:15" x14ac:dyDescent="0.25">
      <c r="A65" s="16">
        <v>23819</v>
      </c>
      <c r="B65" s="102">
        <v>500</v>
      </c>
      <c r="C65" s="17"/>
      <c r="D65" s="13">
        <v>23885</v>
      </c>
      <c r="E65" s="70"/>
      <c r="F65" s="14" t="s">
        <v>20</v>
      </c>
      <c r="G65" s="9">
        <v>23939</v>
      </c>
      <c r="H65" s="76">
        <v>500</v>
      </c>
      <c r="I65" s="104"/>
      <c r="J65" s="53">
        <v>23996</v>
      </c>
      <c r="K65" s="72">
        <v>1500</v>
      </c>
      <c r="L65" s="54" t="s">
        <v>84</v>
      </c>
      <c r="M65" s="75"/>
      <c r="N65" s="73"/>
      <c r="O65" s="15"/>
    </row>
    <row r="66" spans="1:15" x14ac:dyDescent="0.25">
      <c r="A66" s="16">
        <v>23820</v>
      </c>
      <c r="B66" s="102">
        <v>450</v>
      </c>
      <c r="C66" s="17"/>
      <c r="D66" s="13">
        <v>23886</v>
      </c>
      <c r="E66" s="70">
        <v>500</v>
      </c>
      <c r="F66" s="14"/>
      <c r="G66" s="9">
        <v>23940</v>
      </c>
      <c r="H66" s="76">
        <v>1000</v>
      </c>
      <c r="I66" s="10" t="s">
        <v>70</v>
      </c>
      <c r="J66" s="53"/>
      <c r="K66" s="72"/>
      <c r="L66" s="54" t="s">
        <v>85</v>
      </c>
      <c r="M66" s="75"/>
      <c r="N66" s="73"/>
      <c r="O66" s="15"/>
    </row>
    <row r="67" spans="1:15" x14ac:dyDescent="0.25">
      <c r="A67" s="16">
        <v>23821</v>
      </c>
      <c r="B67" s="102">
        <v>500</v>
      </c>
      <c r="C67" s="17"/>
      <c r="D67" s="13">
        <v>23887</v>
      </c>
      <c r="E67" s="70">
        <v>5800</v>
      </c>
      <c r="F67" s="14" t="s">
        <v>46</v>
      </c>
      <c r="G67" s="9"/>
      <c r="H67" s="76"/>
      <c r="I67" s="104" t="s">
        <v>64</v>
      </c>
      <c r="J67" s="50">
        <v>23997</v>
      </c>
      <c r="K67" s="78">
        <v>1150</v>
      </c>
      <c r="L67" s="51" t="s">
        <v>86</v>
      </c>
      <c r="M67" s="75"/>
      <c r="N67" s="73"/>
      <c r="O67" s="15"/>
    </row>
    <row r="68" spans="1:15" x14ac:dyDescent="0.25">
      <c r="A68" s="16">
        <v>23822</v>
      </c>
      <c r="B68" s="102">
        <v>500</v>
      </c>
      <c r="C68" s="17"/>
      <c r="D68" s="13"/>
      <c r="E68" s="70"/>
      <c r="F68" s="14" t="s">
        <v>23</v>
      </c>
      <c r="G68" s="9">
        <v>23941</v>
      </c>
      <c r="H68" s="76">
        <v>1850</v>
      </c>
      <c r="I68" s="10" t="s">
        <v>30</v>
      </c>
      <c r="J68" s="50"/>
      <c r="K68" s="78"/>
      <c r="L68" s="51" t="s">
        <v>87</v>
      </c>
      <c r="M68" s="75"/>
      <c r="N68" s="73"/>
      <c r="O68" s="15"/>
    </row>
    <row r="69" spans="1:15" x14ac:dyDescent="0.25">
      <c r="A69" s="16">
        <v>23823</v>
      </c>
      <c r="B69" s="102">
        <v>1500</v>
      </c>
      <c r="C69" s="17" t="s">
        <v>30</v>
      </c>
      <c r="D69" s="13"/>
      <c r="E69" s="70"/>
      <c r="F69" s="14" t="s">
        <v>47</v>
      </c>
      <c r="G69" s="9"/>
      <c r="H69" s="76"/>
      <c r="I69" s="10" t="s">
        <v>71</v>
      </c>
      <c r="J69" s="50">
        <v>23998</v>
      </c>
      <c r="K69" s="78">
        <v>500</v>
      </c>
      <c r="L69" s="51"/>
      <c r="M69" s="75"/>
      <c r="N69" s="73"/>
      <c r="O69" s="15"/>
    </row>
    <row r="70" spans="1:15" x14ac:dyDescent="0.25">
      <c r="A70" s="16"/>
      <c r="B70" s="102"/>
      <c r="C70" s="17" t="s">
        <v>23</v>
      </c>
      <c r="D70" s="13"/>
      <c r="E70" s="70"/>
      <c r="F70" s="14" t="s">
        <v>57</v>
      </c>
      <c r="G70" s="9">
        <v>23942</v>
      </c>
      <c r="H70" s="76"/>
      <c r="I70" s="10" t="s">
        <v>20</v>
      </c>
      <c r="J70" s="50">
        <v>23999</v>
      </c>
      <c r="K70" s="78">
        <v>500</v>
      </c>
      <c r="L70" s="51" t="s">
        <v>88</v>
      </c>
      <c r="M70" s="75"/>
      <c r="N70" s="73"/>
      <c r="O70" s="15"/>
    </row>
    <row r="71" spans="1:15" x14ac:dyDescent="0.25">
      <c r="A71" s="16">
        <v>23824</v>
      </c>
      <c r="B71" s="102">
        <v>700</v>
      </c>
      <c r="C71" s="17" t="s">
        <v>27</v>
      </c>
      <c r="D71" s="13">
        <v>23888</v>
      </c>
      <c r="E71" s="70">
        <v>5500</v>
      </c>
      <c r="F71" s="14" t="s">
        <v>46</v>
      </c>
      <c r="G71" s="9">
        <v>23943</v>
      </c>
      <c r="H71" s="76">
        <v>3600</v>
      </c>
      <c r="I71" s="10" t="s">
        <v>28</v>
      </c>
      <c r="J71" s="50">
        <v>24000</v>
      </c>
      <c r="K71" s="78">
        <v>400</v>
      </c>
      <c r="L71" s="51"/>
      <c r="M71" s="75"/>
      <c r="N71" s="73"/>
      <c r="O71" s="15"/>
    </row>
    <row r="72" spans="1:15" x14ac:dyDescent="0.25">
      <c r="A72" s="16"/>
      <c r="B72" s="102"/>
      <c r="C72" s="17" t="s">
        <v>21</v>
      </c>
      <c r="D72" s="13"/>
      <c r="E72" s="70"/>
      <c r="F72" s="14" t="s">
        <v>23</v>
      </c>
      <c r="G72" s="9"/>
      <c r="H72" s="76"/>
      <c r="I72" s="10" t="s">
        <v>18</v>
      </c>
      <c r="J72" s="50">
        <v>24001</v>
      </c>
      <c r="K72" s="78">
        <v>500</v>
      </c>
      <c r="L72" s="51"/>
      <c r="M72" s="75"/>
      <c r="N72" s="73"/>
      <c r="O72" s="15"/>
    </row>
    <row r="73" spans="1:15" x14ac:dyDescent="0.25">
      <c r="A73" s="16">
        <v>23825</v>
      </c>
      <c r="B73" s="102">
        <v>500</v>
      </c>
      <c r="C73" s="17" t="s">
        <v>41</v>
      </c>
      <c r="D73" s="13"/>
      <c r="E73" s="70"/>
      <c r="F73" s="14" t="s">
        <v>47</v>
      </c>
      <c r="G73" s="9">
        <v>23944</v>
      </c>
      <c r="H73" s="76">
        <v>500</v>
      </c>
      <c r="I73" s="10"/>
      <c r="J73" s="50">
        <v>24002</v>
      </c>
      <c r="K73" s="78">
        <v>5500</v>
      </c>
      <c r="L73" s="51" t="s">
        <v>28</v>
      </c>
      <c r="M73" s="75"/>
      <c r="N73" s="73"/>
      <c r="O73" s="15"/>
    </row>
    <row r="74" spans="1:15" x14ac:dyDescent="0.25">
      <c r="A74" s="16"/>
      <c r="B74" s="102"/>
      <c r="C74" s="17" t="s">
        <v>42</v>
      </c>
      <c r="D74" s="13">
        <v>23889</v>
      </c>
      <c r="E74" s="70">
        <v>500</v>
      </c>
      <c r="F74" s="14"/>
      <c r="G74" s="9">
        <v>23945</v>
      </c>
      <c r="H74" s="76">
        <v>200</v>
      </c>
      <c r="I74" s="10"/>
      <c r="J74" s="50"/>
      <c r="K74" s="78"/>
      <c r="L74" s="51" t="s">
        <v>64</v>
      </c>
      <c r="M74" s="75"/>
      <c r="N74" s="73"/>
      <c r="O74" s="15"/>
    </row>
    <row r="75" spans="1:15" x14ac:dyDescent="0.25">
      <c r="A75" s="16">
        <v>23826</v>
      </c>
      <c r="B75" s="102">
        <v>500</v>
      </c>
      <c r="C75" s="17"/>
      <c r="D75" s="13">
        <v>23890</v>
      </c>
      <c r="E75" s="70">
        <v>300</v>
      </c>
      <c r="F75" s="14"/>
      <c r="G75" s="9">
        <v>23946</v>
      </c>
      <c r="H75" s="76">
        <v>250</v>
      </c>
      <c r="I75" s="104" t="s">
        <v>72</v>
      </c>
      <c r="J75" s="50"/>
      <c r="K75" s="78"/>
      <c r="L75" s="51" t="s">
        <v>80</v>
      </c>
      <c r="M75" s="75"/>
      <c r="N75" s="73"/>
      <c r="O75" s="15"/>
    </row>
    <row r="76" spans="1:15" x14ac:dyDescent="0.25">
      <c r="A76" s="16">
        <v>23827</v>
      </c>
      <c r="B76" s="102">
        <v>1000</v>
      </c>
      <c r="C76" s="17" t="s">
        <v>27</v>
      </c>
      <c r="D76" s="13">
        <v>23891</v>
      </c>
      <c r="E76" s="70">
        <v>500</v>
      </c>
      <c r="F76" s="14"/>
      <c r="G76" s="9">
        <v>23947</v>
      </c>
      <c r="H76" s="76">
        <v>500</v>
      </c>
      <c r="I76" s="10"/>
      <c r="J76" s="50">
        <v>24003</v>
      </c>
      <c r="K76" s="78">
        <v>500</v>
      </c>
      <c r="L76" s="51" t="s">
        <v>70</v>
      </c>
      <c r="M76" s="75"/>
      <c r="N76" s="73"/>
      <c r="O76" s="15"/>
    </row>
    <row r="77" spans="1:15" x14ac:dyDescent="0.25">
      <c r="A77" s="16"/>
      <c r="B77" s="102"/>
      <c r="C77" s="17" t="s">
        <v>23</v>
      </c>
      <c r="D77" s="13">
        <v>23892</v>
      </c>
      <c r="E77" s="70">
        <v>600</v>
      </c>
      <c r="F77" s="14"/>
      <c r="G77" s="9">
        <v>23948</v>
      </c>
      <c r="H77" s="76">
        <v>400</v>
      </c>
      <c r="I77" s="10" t="s">
        <v>65</v>
      </c>
      <c r="J77" s="50"/>
      <c r="K77" s="78"/>
      <c r="L77" s="51" t="s">
        <v>16</v>
      </c>
      <c r="M77" s="75"/>
      <c r="N77" s="73"/>
      <c r="O77" s="15"/>
    </row>
    <row r="78" spans="1:15" x14ac:dyDescent="0.25">
      <c r="A78" s="16">
        <v>23828</v>
      </c>
      <c r="B78" s="102">
        <v>300</v>
      </c>
      <c r="C78" s="17" t="s">
        <v>43</v>
      </c>
      <c r="D78" s="13">
        <v>23893</v>
      </c>
      <c r="E78" s="70">
        <v>500</v>
      </c>
      <c r="F78" s="14" t="s">
        <v>58</v>
      </c>
      <c r="G78" s="9">
        <v>23949</v>
      </c>
      <c r="H78" s="76">
        <v>500</v>
      </c>
      <c r="I78" s="104"/>
      <c r="J78" s="50">
        <v>24004</v>
      </c>
      <c r="K78" s="78">
        <v>350</v>
      </c>
      <c r="L78" s="51" t="s">
        <v>89</v>
      </c>
      <c r="M78" s="75"/>
      <c r="N78" s="73"/>
      <c r="O78" s="15"/>
    </row>
    <row r="79" spans="1:15" x14ac:dyDescent="0.25">
      <c r="A79" s="16">
        <v>23829</v>
      </c>
      <c r="B79" s="102">
        <v>250</v>
      </c>
      <c r="C79" s="17" t="s">
        <v>34</v>
      </c>
      <c r="D79" s="13">
        <v>23894</v>
      </c>
      <c r="E79" s="70">
        <v>2000</v>
      </c>
      <c r="F79" s="14" t="s">
        <v>54</v>
      </c>
      <c r="G79" s="9">
        <v>23950</v>
      </c>
      <c r="H79" s="76">
        <v>500</v>
      </c>
      <c r="I79" s="10"/>
      <c r="J79" s="50"/>
      <c r="K79" s="78"/>
      <c r="L79" s="51" t="s">
        <v>90</v>
      </c>
      <c r="M79" s="75"/>
      <c r="N79" s="73"/>
      <c r="O79" s="15"/>
    </row>
    <row r="80" spans="1:15" x14ac:dyDescent="0.25">
      <c r="A80" s="16">
        <v>23830</v>
      </c>
      <c r="B80" s="102">
        <v>300</v>
      </c>
      <c r="C80" s="17"/>
      <c r="D80" s="13"/>
      <c r="E80" s="70"/>
      <c r="F80" s="14" t="s">
        <v>23</v>
      </c>
      <c r="G80" s="9">
        <v>23951</v>
      </c>
      <c r="H80" s="76">
        <v>250</v>
      </c>
      <c r="I80" s="10"/>
      <c r="J80" s="50">
        <v>24005</v>
      </c>
      <c r="K80" s="78">
        <v>300</v>
      </c>
      <c r="L80" s="51"/>
      <c r="M80" s="75"/>
      <c r="N80" s="73"/>
      <c r="O80" s="15"/>
    </row>
    <row r="81" spans="1:15" x14ac:dyDescent="0.25">
      <c r="A81" s="16">
        <v>23831</v>
      </c>
      <c r="B81" s="102">
        <v>500</v>
      </c>
      <c r="C81" s="17"/>
      <c r="D81" s="13">
        <v>23895</v>
      </c>
      <c r="E81" s="70">
        <v>1000</v>
      </c>
      <c r="F81" s="14" t="s">
        <v>37</v>
      </c>
      <c r="G81" s="9">
        <v>23952</v>
      </c>
      <c r="H81" s="76">
        <v>500</v>
      </c>
      <c r="I81" s="104"/>
      <c r="J81" s="50"/>
      <c r="K81" s="78"/>
      <c r="L81" s="51"/>
      <c r="M81" s="75"/>
      <c r="N81" s="73"/>
      <c r="O81" s="15"/>
    </row>
    <row r="82" spans="1:15" x14ac:dyDescent="0.25">
      <c r="A82" s="16">
        <v>23832</v>
      </c>
      <c r="B82" s="102">
        <v>600</v>
      </c>
      <c r="C82" s="17" t="s">
        <v>27</v>
      </c>
      <c r="D82" s="13"/>
      <c r="E82" s="70"/>
      <c r="F82" s="14" t="s">
        <v>23</v>
      </c>
      <c r="G82" s="9">
        <v>23953</v>
      </c>
      <c r="H82" s="76">
        <v>1000</v>
      </c>
      <c r="I82" s="10" t="s">
        <v>73</v>
      </c>
      <c r="J82" s="50"/>
      <c r="K82" s="78"/>
      <c r="L82" s="51"/>
      <c r="M82" s="75"/>
      <c r="N82" s="73"/>
      <c r="O82" s="15"/>
    </row>
    <row r="83" spans="1:15" x14ac:dyDescent="0.25">
      <c r="A83" s="16"/>
      <c r="B83" s="102"/>
      <c r="C83" s="17" t="s">
        <v>18</v>
      </c>
      <c r="D83" s="13">
        <v>23896</v>
      </c>
      <c r="E83" s="70">
        <v>300</v>
      </c>
      <c r="F83" s="14" t="s">
        <v>59</v>
      </c>
      <c r="G83" s="9"/>
      <c r="H83" s="119"/>
      <c r="I83" s="10" t="s">
        <v>64</v>
      </c>
      <c r="J83" s="50"/>
      <c r="K83" s="78"/>
      <c r="L83" s="51"/>
      <c r="M83" s="75"/>
      <c r="N83" s="73"/>
      <c r="O83" s="15"/>
    </row>
    <row r="84" spans="1:15" x14ac:dyDescent="0.25">
      <c r="A84" s="16">
        <v>23833</v>
      </c>
      <c r="B84" s="102">
        <v>500</v>
      </c>
      <c r="C84" s="115"/>
      <c r="D84" s="13">
        <v>23897</v>
      </c>
      <c r="E84" s="70"/>
      <c r="F84" s="14" t="s">
        <v>20</v>
      </c>
      <c r="G84" s="9">
        <v>23954</v>
      </c>
      <c r="H84" s="76">
        <v>5500</v>
      </c>
      <c r="I84" s="10" t="s">
        <v>28</v>
      </c>
      <c r="J84" s="50"/>
      <c r="K84" s="78"/>
      <c r="L84" s="51"/>
      <c r="M84" s="75"/>
      <c r="N84" s="73"/>
      <c r="O84" s="15"/>
    </row>
    <row r="85" spans="1:15" x14ac:dyDescent="0.25">
      <c r="A85" s="16">
        <v>23834</v>
      </c>
      <c r="B85" s="102">
        <v>1000</v>
      </c>
      <c r="C85" s="17" t="s">
        <v>29</v>
      </c>
      <c r="D85" s="13">
        <v>23898</v>
      </c>
      <c r="E85" s="70">
        <v>1500</v>
      </c>
      <c r="F85" s="14" t="s">
        <v>30</v>
      </c>
      <c r="G85" s="9"/>
      <c r="H85" s="76"/>
      <c r="I85" s="10" t="s">
        <v>64</v>
      </c>
      <c r="J85" s="50"/>
      <c r="K85" s="78"/>
      <c r="L85" s="51"/>
      <c r="M85" s="75"/>
      <c r="N85" s="73"/>
      <c r="O85" s="15"/>
    </row>
    <row r="86" spans="1:15" x14ac:dyDescent="0.25">
      <c r="A86" s="16"/>
      <c r="B86" s="102"/>
      <c r="C86" s="17" t="s">
        <v>23</v>
      </c>
      <c r="D86" s="13"/>
      <c r="E86" s="70"/>
      <c r="F86" s="14" t="s">
        <v>23</v>
      </c>
      <c r="G86" s="9"/>
      <c r="H86" s="76"/>
      <c r="I86" s="10" t="s">
        <v>36</v>
      </c>
      <c r="J86" s="50"/>
      <c r="K86" s="78"/>
      <c r="L86" s="51"/>
      <c r="M86" s="75"/>
      <c r="N86" s="73"/>
      <c r="O86" s="15"/>
    </row>
    <row r="87" spans="1:15" x14ac:dyDescent="0.25">
      <c r="A87" s="16">
        <v>23835</v>
      </c>
      <c r="B87" s="102">
        <v>1000</v>
      </c>
      <c r="C87" s="17" t="s">
        <v>37</v>
      </c>
      <c r="D87" s="13">
        <v>23899</v>
      </c>
      <c r="E87" s="70">
        <v>500</v>
      </c>
      <c r="F87" s="14"/>
      <c r="G87" s="9">
        <v>23955</v>
      </c>
      <c r="H87" s="76">
        <v>500</v>
      </c>
      <c r="I87" s="10"/>
      <c r="J87" s="50"/>
      <c r="K87" s="78"/>
      <c r="L87" s="51"/>
      <c r="M87" s="75"/>
      <c r="N87" s="73"/>
      <c r="O87" s="15"/>
    </row>
    <row r="88" spans="1:15" x14ac:dyDescent="0.25">
      <c r="A88" s="16"/>
      <c r="B88" s="102"/>
      <c r="C88" s="17" t="s">
        <v>23</v>
      </c>
      <c r="D88" s="13">
        <v>23900</v>
      </c>
      <c r="E88" s="70">
        <v>500</v>
      </c>
      <c r="F88" s="14" t="s">
        <v>51</v>
      </c>
      <c r="G88" s="9">
        <v>23956</v>
      </c>
      <c r="H88" s="76">
        <v>1000</v>
      </c>
      <c r="I88" s="104" t="s">
        <v>37</v>
      </c>
      <c r="J88" s="50"/>
      <c r="K88" s="78"/>
      <c r="L88" s="51"/>
      <c r="M88" s="75"/>
      <c r="N88" s="73"/>
      <c r="O88" s="15"/>
    </row>
    <row r="89" spans="1:15" x14ac:dyDescent="0.25">
      <c r="A89" s="16">
        <v>23836</v>
      </c>
      <c r="B89" s="102">
        <v>500</v>
      </c>
      <c r="C89" s="17" t="s">
        <v>34</v>
      </c>
      <c r="D89" s="13">
        <v>23901</v>
      </c>
      <c r="E89" s="70">
        <v>400</v>
      </c>
      <c r="F89" s="14"/>
      <c r="G89" s="9"/>
      <c r="H89" s="76"/>
      <c r="I89" s="10" t="s">
        <v>64</v>
      </c>
      <c r="J89" s="50"/>
      <c r="K89" s="78"/>
      <c r="L89" s="51"/>
      <c r="M89" s="75"/>
      <c r="N89" s="73"/>
      <c r="O89" s="15"/>
    </row>
    <row r="90" spans="1:15" x14ac:dyDescent="0.25">
      <c r="A90" s="16">
        <v>23837</v>
      </c>
      <c r="B90" s="102">
        <v>300</v>
      </c>
      <c r="C90" s="17"/>
      <c r="D90" s="13">
        <v>23902</v>
      </c>
      <c r="E90" s="70">
        <v>400</v>
      </c>
      <c r="F90" s="14"/>
      <c r="G90" s="9">
        <v>23957</v>
      </c>
      <c r="H90" s="76">
        <v>500</v>
      </c>
      <c r="I90" s="10"/>
      <c r="J90" s="50"/>
      <c r="K90" s="78"/>
      <c r="L90" s="51"/>
      <c r="M90" s="75"/>
      <c r="N90" s="73"/>
      <c r="O90" s="15"/>
    </row>
    <row r="91" spans="1:15" x14ac:dyDescent="0.25">
      <c r="A91" s="16">
        <v>23838</v>
      </c>
      <c r="B91" s="102">
        <v>750</v>
      </c>
      <c r="C91" s="17" t="s">
        <v>24</v>
      </c>
      <c r="D91" s="13">
        <v>23903</v>
      </c>
      <c r="E91" s="70">
        <v>1500</v>
      </c>
      <c r="F91" s="14" t="s">
        <v>30</v>
      </c>
      <c r="G91" s="9">
        <v>23958</v>
      </c>
      <c r="H91" s="76">
        <v>300</v>
      </c>
      <c r="I91" s="10" t="s">
        <v>74</v>
      </c>
      <c r="J91" s="50"/>
      <c r="K91" s="78"/>
      <c r="L91" s="51"/>
      <c r="M91" s="75"/>
      <c r="N91" s="73"/>
      <c r="O91" s="15"/>
    </row>
    <row r="92" spans="1:15" x14ac:dyDescent="0.25">
      <c r="A92" s="16"/>
      <c r="B92" s="102"/>
      <c r="C92" s="17" t="s">
        <v>16</v>
      </c>
      <c r="D92" s="13"/>
      <c r="E92" s="70"/>
      <c r="F92" s="14" t="s">
        <v>23</v>
      </c>
      <c r="G92" s="9">
        <v>23959</v>
      </c>
      <c r="H92" s="76">
        <v>500</v>
      </c>
      <c r="I92" s="10" t="s">
        <v>75</v>
      </c>
      <c r="J92" s="50"/>
      <c r="K92" s="78"/>
      <c r="L92" s="51"/>
      <c r="M92" s="75"/>
      <c r="N92" s="73"/>
      <c r="O92" s="15"/>
    </row>
    <row r="93" spans="1:15" x14ac:dyDescent="0.25">
      <c r="A93" s="16">
        <v>23839</v>
      </c>
      <c r="B93" s="102">
        <v>600</v>
      </c>
      <c r="C93" s="17" t="s">
        <v>44</v>
      </c>
      <c r="D93" s="13">
        <v>23904</v>
      </c>
      <c r="E93" s="70">
        <v>500</v>
      </c>
      <c r="F93" s="14"/>
      <c r="G93" s="9">
        <v>23960</v>
      </c>
      <c r="H93" s="76">
        <v>600</v>
      </c>
      <c r="I93" s="10" t="s">
        <v>30</v>
      </c>
      <c r="J93" s="50"/>
      <c r="K93" s="78"/>
      <c r="L93" s="51"/>
      <c r="M93" s="75"/>
      <c r="N93" s="73"/>
      <c r="O93" s="15"/>
    </row>
    <row r="94" spans="1:15" x14ac:dyDescent="0.25">
      <c r="A94" s="16">
        <v>23840</v>
      </c>
      <c r="B94" s="102">
        <v>500</v>
      </c>
      <c r="C94" s="17"/>
      <c r="D94" s="13"/>
      <c r="E94" s="70"/>
      <c r="F94" s="14"/>
      <c r="G94" s="9"/>
      <c r="H94" s="76"/>
      <c r="I94" s="10" t="s">
        <v>52</v>
      </c>
      <c r="J94" s="50"/>
      <c r="K94" s="78"/>
      <c r="L94" s="51"/>
      <c r="M94" s="75"/>
      <c r="N94" s="73"/>
      <c r="O94" s="15"/>
    </row>
    <row r="95" spans="1:15" x14ac:dyDescent="0.25">
      <c r="A95" s="16">
        <v>23841</v>
      </c>
      <c r="B95" s="102">
        <v>500</v>
      </c>
      <c r="C95" s="85"/>
      <c r="D95" s="13"/>
      <c r="E95" s="70"/>
      <c r="F95" s="14"/>
      <c r="G95" s="9"/>
      <c r="H95" s="76"/>
      <c r="I95" s="10"/>
      <c r="J95" s="50"/>
      <c r="K95" s="78"/>
      <c r="L95" s="51"/>
      <c r="M95" s="75"/>
      <c r="N95" s="73"/>
      <c r="O95" s="15"/>
    </row>
    <row r="96" spans="1:15" x14ac:dyDescent="0.25">
      <c r="A96" s="16">
        <v>23842</v>
      </c>
      <c r="B96" s="102">
        <v>1000</v>
      </c>
      <c r="C96" s="17" t="s">
        <v>27</v>
      </c>
      <c r="D96" s="13"/>
      <c r="E96" s="70"/>
      <c r="F96" s="14"/>
      <c r="G96" s="9"/>
      <c r="H96" s="76"/>
      <c r="I96" s="10"/>
      <c r="J96" s="50"/>
      <c r="K96" s="78"/>
      <c r="L96" s="51"/>
      <c r="M96" s="75"/>
      <c r="N96" s="73"/>
      <c r="O96" s="15"/>
    </row>
    <row r="97" spans="1:15" x14ac:dyDescent="0.25">
      <c r="A97" s="16"/>
      <c r="B97" s="102"/>
      <c r="C97" s="17" t="s">
        <v>23</v>
      </c>
      <c r="D97" s="13"/>
      <c r="E97" s="70"/>
      <c r="F97" s="14"/>
      <c r="G97" s="9"/>
      <c r="H97" s="76"/>
      <c r="I97" s="10"/>
      <c r="J97" s="50"/>
      <c r="K97" s="78"/>
      <c r="L97" s="51"/>
      <c r="M97" s="75"/>
      <c r="N97" s="73"/>
      <c r="O97" s="15"/>
    </row>
    <row r="98" spans="1:15" x14ac:dyDescent="0.25">
      <c r="A98" s="16">
        <v>23843</v>
      </c>
      <c r="B98" s="102">
        <v>500</v>
      </c>
      <c r="C98" s="17"/>
      <c r="D98" s="13"/>
      <c r="E98" s="70"/>
      <c r="F98" s="14"/>
      <c r="G98" s="9"/>
      <c r="H98" s="76"/>
      <c r="I98" s="10"/>
      <c r="J98" s="50"/>
      <c r="K98" s="78"/>
      <c r="L98" s="51"/>
      <c r="M98" s="75"/>
      <c r="N98" s="73"/>
      <c r="O98" s="15"/>
    </row>
    <row r="99" spans="1:15" x14ac:dyDescent="0.25">
      <c r="A99" s="16">
        <v>23844</v>
      </c>
      <c r="B99" s="102">
        <v>300</v>
      </c>
      <c r="C99" s="17"/>
      <c r="D99" s="13"/>
      <c r="E99" s="70"/>
      <c r="F99" s="14"/>
      <c r="G99" s="9"/>
      <c r="H99" s="76"/>
      <c r="I99" s="10"/>
      <c r="J99" s="50"/>
      <c r="K99" s="78"/>
      <c r="L99" s="51"/>
      <c r="M99" s="75"/>
      <c r="N99" s="73"/>
      <c r="O99" s="15"/>
    </row>
    <row r="100" spans="1:15" x14ac:dyDescent="0.25">
      <c r="A100" s="16">
        <v>23845</v>
      </c>
      <c r="B100" s="102">
        <v>300</v>
      </c>
      <c r="C100" s="17" t="s">
        <v>45</v>
      </c>
      <c r="D100" s="13"/>
      <c r="E100" s="70"/>
      <c r="F100" s="14"/>
      <c r="G100" s="9"/>
      <c r="H100" s="76"/>
      <c r="I100" s="10"/>
      <c r="J100" s="50"/>
      <c r="K100" s="78"/>
      <c r="L100" s="51"/>
      <c r="M100" s="75"/>
      <c r="N100" s="73"/>
      <c r="O100" s="15"/>
    </row>
    <row r="101" spans="1:15" x14ac:dyDescent="0.25">
      <c r="A101" s="16">
        <v>23846</v>
      </c>
      <c r="B101" s="102">
        <v>250</v>
      </c>
      <c r="C101" s="17"/>
      <c r="D101" s="13"/>
      <c r="E101" s="70"/>
      <c r="F101" s="14"/>
      <c r="G101" s="9"/>
      <c r="H101" s="76"/>
      <c r="I101" s="10"/>
      <c r="J101" s="50"/>
      <c r="K101" s="78"/>
      <c r="L101" s="51"/>
      <c r="M101" s="75"/>
      <c r="N101" s="73"/>
      <c r="O101" s="15"/>
    </row>
    <row r="102" spans="1:15" x14ac:dyDescent="0.25">
      <c r="A102" s="16">
        <v>23847</v>
      </c>
      <c r="B102" s="102">
        <v>1200</v>
      </c>
      <c r="C102" s="17" t="s">
        <v>30</v>
      </c>
      <c r="D102" s="13"/>
      <c r="E102" s="70"/>
      <c r="F102" s="14"/>
      <c r="G102" s="9"/>
      <c r="H102" s="76"/>
      <c r="I102" s="10"/>
      <c r="J102" s="50"/>
      <c r="K102" s="78"/>
      <c r="L102" s="51"/>
      <c r="M102" s="75"/>
      <c r="N102" s="73"/>
      <c r="O102" s="15"/>
    </row>
    <row r="103" spans="1:15" x14ac:dyDescent="0.25">
      <c r="A103" s="16"/>
      <c r="B103" s="102"/>
      <c r="C103" s="17" t="s">
        <v>17</v>
      </c>
      <c r="D103" s="13"/>
      <c r="E103" s="70"/>
      <c r="F103" s="14"/>
      <c r="G103" s="9"/>
      <c r="H103" s="76"/>
      <c r="I103" s="10"/>
      <c r="J103" s="50"/>
      <c r="K103" s="78"/>
      <c r="L103" s="51"/>
      <c r="M103" s="75"/>
      <c r="N103" s="73"/>
      <c r="O103" s="15"/>
    </row>
    <row r="104" spans="1:15" x14ac:dyDescent="0.25">
      <c r="A104" s="16"/>
      <c r="B104" s="102"/>
      <c r="C104" s="17"/>
      <c r="D104" s="13"/>
      <c r="E104" s="70"/>
      <c r="F104" s="14"/>
      <c r="G104" s="9"/>
      <c r="H104" s="76"/>
      <c r="I104" s="10"/>
      <c r="J104" s="50"/>
      <c r="K104" s="78"/>
      <c r="L104" s="51"/>
      <c r="M104" s="75"/>
      <c r="N104" s="73"/>
      <c r="O104" s="15"/>
    </row>
    <row r="105" spans="1:15" x14ac:dyDescent="0.25">
      <c r="A105" s="16"/>
      <c r="B105" s="102"/>
      <c r="C105" s="17"/>
      <c r="D105" s="13"/>
      <c r="E105" s="70"/>
      <c r="F105" s="14"/>
      <c r="G105" s="9"/>
      <c r="H105" s="76"/>
      <c r="I105" s="10"/>
      <c r="J105" s="50"/>
      <c r="K105" s="78"/>
      <c r="L105" s="51"/>
      <c r="M105" s="75"/>
      <c r="N105" s="73"/>
      <c r="O105" s="15"/>
    </row>
    <row r="106" spans="1:15" x14ac:dyDescent="0.25">
      <c r="A106" s="16"/>
      <c r="B106" s="102"/>
      <c r="C106" s="17"/>
      <c r="D106" s="13"/>
      <c r="E106" s="70"/>
      <c r="F106" s="14"/>
      <c r="G106" s="9"/>
      <c r="H106" s="76"/>
      <c r="I106" s="10"/>
      <c r="J106" s="50"/>
      <c r="K106" s="78"/>
      <c r="L106" s="51"/>
      <c r="M106" s="75"/>
      <c r="N106" s="73"/>
      <c r="O106" s="15"/>
    </row>
    <row r="107" spans="1:15" x14ac:dyDescent="0.25">
      <c r="A107" s="16"/>
      <c r="B107" s="102"/>
      <c r="C107" s="17"/>
      <c r="D107" s="13"/>
      <c r="E107" s="70"/>
      <c r="F107" s="14"/>
      <c r="G107" s="9"/>
      <c r="H107" s="76"/>
      <c r="I107" s="10"/>
      <c r="J107" s="50"/>
      <c r="K107" s="78"/>
      <c r="L107" s="51"/>
      <c r="M107" s="75"/>
      <c r="N107" s="73"/>
      <c r="O107" s="15"/>
    </row>
    <row r="108" spans="1:15" x14ac:dyDescent="0.25">
      <c r="A108" s="16"/>
      <c r="B108" s="102"/>
      <c r="C108" s="17"/>
      <c r="D108" s="13"/>
      <c r="E108" s="70"/>
      <c r="F108" s="14"/>
      <c r="G108" s="9"/>
      <c r="H108" s="76"/>
      <c r="I108" s="10"/>
      <c r="J108" s="50"/>
      <c r="K108" s="78"/>
      <c r="L108" s="51"/>
      <c r="M108" s="75"/>
      <c r="N108" s="73"/>
      <c r="O108" s="15"/>
    </row>
    <row r="109" spans="1:15" x14ac:dyDescent="0.25">
      <c r="A109" s="16"/>
      <c r="B109" s="102"/>
      <c r="C109" s="17"/>
      <c r="D109" s="13"/>
      <c r="E109" s="70"/>
      <c r="F109" s="14"/>
      <c r="G109" s="9"/>
      <c r="H109" s="76"/>
      <c r="I109" s="10"/>
      <c r="J109" s="50"/>
      <c r="K109" s="78"/>
      <c r="L109" s="51"/>
      <c r="M109" s="75"/>
      <c r="N109" s="73"/>
      <c r="O109" s="15"/>
    </row>
    <row r="110" spans="1:15" x14ac:dyDescent="0.25">
      <c r="A110" s="16"/>
      <c r="B110" s="102"/>
      <c r="C110" s="17"/>
      <c r="D110" s="13"/>
      <c r="E110" s="70"/>
      <c r="F110" s="14"/>
      <c r="G110" s="9"/>
      <c r="H110" s="76"/>
      <c r="I110" s="10"/>
      <c r="J110" s="50"/>
      <c r="K110" s="78"/>
      <c r="L110" s="51"/>
      <c r="M110" s="75"/>
      <c r="N110" s="73"/>
      <c r="O110" s="15"/>
    </row>
    <row r="111" spans="1:15" x14ac:dyDescent="0.25">
      <c r="A111" s="16"/>
      <c r="B111" s="102"/>
      <c r="C111" s="17"/>
      <c r="D111" s="13"/>
      <c r="E111" s="70"/>
      <c r="F111" s="14"/>
      <c r="G111" s="9"/>
      <c r="H111" s="76"/>
      <c r="I111" s="10"/>
      <c r="J111" s="50"/>
      <c r="K111" s="78"/>
      <c r="L111" s="51"/>
      <c r="M111" s="75"/>
      <c r="N111" s="73"/>
      <c r="O111" s="15"/>
    </row>
    <row r="112" spans="1:15" x14ac:dyDescent="0.25">
      <c r="G112" s="26"/>
      <c r="H112" s="74"/>
      <c r="I112" s="58"/>
    </row>
    <row r="113" spans="7:9" x14ac:dyDescent="0.25">
      <c r="G113" s="26"/>
      <c r="H113" s="74"/>
      <c r="I113" s="58"/>
    </row>
  </sheetData>
  <mergeCells count="9">
    <mergeCell ref="P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81"/>
  <sheetViews>
    <sheetView topLeftCell="E5" zoomScaleNormal="100" workbookViewId="0">
      <pane ySplit="3" topLeftCell="A8" activePane="bottomLeft" state="frozen"/>
      <selection activeCell="A5" sqref="A5"/>
      <selection pane="bottomLeft" activeCell="S1" sqref="S1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4" customWidth="1"/>
    <col min="10" max="10" width="7.7109375" style="6" customWidth="1"/>
    <col min="11" max="11" width="8.710937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1.28515625" customWidth="1"/>
  </cols>
  <sheetData>
    <row r="1" spans="1:18" ht="15.75" x14ac:dyDescent="0.25">
      <c r="A1" s="134" t="s">
        <v>10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6" t="s">
        <v>11</v>
      </c>
      <c r="M1" s="136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37" t="s">
        <v>8</v>
      </c>
      <c r="D3" s="137"/>
      <c r="E3" s="18" t="s">
        <v>9</v>
      </c>
      <c r="F3" s="3">
        <f>A6+D6+G6+J6+M6</f>
        <v>228</v>
      </c>
      <c r="H3" s="3" t="s">
        <v>3</v>
      </c>
      <c r="I3" s="2">
        <f>B6+E6+H6+K6+N6</f>
        <v>184200</v>
      </c>
    </row>
    <row r="5" spans="1:18" x14ac:dyDescent="0.25">
      <c r="A5" s="138" t="s">
        <v>0</v>
      </c>
      <c r="B5" s="138"/>
      <c r="C5" s="138"/>
      <c r="D5" s="139" t="s">
        <v>0</v>
      </c>
      <c r="E5" s="139"/>
      <c r="F5" s="139"/>
      <c r="G5" s="140" t="s">
        <v>4</v>
      </c>
      <c r="H5" s="140"/>
      <c r="I5" s="140"/>
      <c r="J5" s="141" t="s">
        <v>5</v>
      </c>
      <c r="K5" s="141"/>
      <c r="L5" s="141"/>
      <c r="M5" s="133" t="s">
        <v>6</v>
      </c>
      <c r="N5" s="133"/>
      <c r="O5" s="133"/>
      <c r="P5" s="27"/>
      <c r="Q5" s="142" t="s">
        <v>13</v>
      </c>
      <c r="R5" s="142"/>
    </row>
    <row r="6" spans="1:18" x14ac:dyDescent="0.25">
      <c r="A6" s="8">
        <f>SUBTOTAL(3,A8:A122)</f>
        <v>30</v>
      </c>
      <c r="B6" s="8">
        <f>SUBTOTAL(9,B8:B122)</f>
        <v>25200</v>
      </c>
      <c r="C6" s="35">
        <v>44234</v>
      </c>
      <c r="D6" s="8">
        <f>SUBTOTAL(3,D8:D121)</f>
        <v>71</v>
      </c>
      <c r="E6" s="1">
        <f>SUBTOTAL(9,E8:E121)</f>
        <v>51650</v>
      </c>
      <c r="F6" s="38">
        <v>44241</v>
      </c>
      <c r="G6" s="8">
        <f>SUBTOTAL(3,G8:G121)</f>
        <v>40</v>
      </c>
      <c r="H6" s="1">
        <f>SUBTOTAL(9,H8:H121)</f>
        <v>35800</v>
      </c>
      <c r="I6" s="39">
        <v>44248</v>
      </c>
      <c r="J6" s="8">
        <f>SUBTOTAL(3,J8:J107)</f>
        <v>35</v>
      </c>
      <c r="K6" s="1">
        <f>SUM(K8:K145)</f>
        <v>31200</v>
      </c>
      <c r="L6" s="79">
        <v>44255</v>
      </c>
      <c r="M6" s="1">
        <f>SUBTOTAL(3,M8:M121)</f>
        <v>52</v>
      </c>
      <c r="N6" s="1">
        <f>SUBTOTAL(9,N8:N121)</f>
        <v>40350</v>
      </c>
      <c r="O6" s="82"/>
      <c r="Q6" s="30">
        <f>+A6+'C C Aportaciones FEB 21'!D6+G6+J6+M6</f>
        <v>228</v>
      </c>
      <c r="R6" s="29">
        <f>+B6+E6+H6+K6+N6</f>
        <v>184200</v>
      </c>
    </row>
    <row r="7" spans="1:18" x14ac:dyDescent="0.25">
      <c r="A7" s="43" t="s">
        <v>1</v>
      </c>
      <c r="B7" s="43" t="s">
        <v>3</v>
      </c>
      <c r="C7" s="43" t="s">
        <v>2</v>
      </c>
      <c r="D7" s="44" t="s">
        <v>1</v>
      </c>
      <c r="E7" s="44" t="s">
        <v>3</v>
      </c>
      <c r="F7" s="44" t="s">
        <v>2</v>
      </c>
      <c r="G7" s="45" t="s">
        <v>1</v>
      </c>
      <c r="H7" s="45" t="s">
        <v>3</v>
      </c>
      <c r="I7" s="45" t="s">
        <v>2</v>
      </c>
      <c r="J7" s="59" t="s">
        <v>1</v>
      </c>
      <c r="K7" s="59" t="s">
        <v>3</v>
      </c>
      <c r="L7" s="59" t="s">
        <v>2</v>
      </c>
      <c r="M7" s="41" t="s">
        <v>1</v>
      </c>
      <c r="N7" s="41" t="s">
        <v>3</v>
      </c>
      <c r="O7" s="41" t="s">
        <v>2</v>
      </c>
      <c r="Q7" s="42" t="s">
        <v>9</v>
      </c>
      <c r="R7" s="42" t="s">
        <v>3</v>
      </c>
    </row>
    <row r="8" spans="1:18" x14ac:dyDescent="0.25">
      <c r="A8" s="16">
        <v>24035</v>
      </c>
      <c r="B8" s="49">
        <v>700</v>
      </c>
      <c r="C8" s="17" t="s">
        <v>37</v>
      </c>
      <c r="D8" s="13">
        <v>24065</v>
      </c>
      <c r="E8" s="70">
        <v>400</v>
      </c>
      <c r="F8" s="14" t="s">
        <v>111</v>
      </c>
      <c r="G8" s="9">
        <v>24136</v>
      </c>
      <c r="H8" s="76">
        <v>100</v>
      </c>
      <c r="I8" s="10" t="s">
        <v>123</v>
      </c>
      <c r="J8" s="50">
        <v>24176</v>
      </c>
      <c r="K8" s="78">
        <v>4800</v>
      </c>
      <c r="L8" s="51" t="s">
        <v>28</v>
      </c>
      <c r="M8" s="75">
        <v>24211</v>
      </c>
      <c r="N8" s="73">
        <v>500</v>
      </c>
      <c r="O8" s="15"/>
    </row>
    <row r="9" spans="1:18" x14ac:dyDescent="0.25">
      <c r="A9" s="16"/>
      <c r="B9" s="49"/>
      <c r="C9" s="17" t="s">
        <v>21</v>
      </c>
      <c r="D9" s="13">
        <v>24066</v>
      </c>
      <c r="E9" s="70">
        <v>800</v>
      </c>
      <c r="F9" s="23" t="s">
        <v>29</v>
      </c>
      <c r="G9" s="9">
        <v>24137</v>
      </c>
      <c r="H9" s="76">
        <v>1000</v>
      </c>
      <c r="I9" s="10" t="s">
        <v>84</v>
      </c>
      <c r="J9" s="50"/>
      <c r="K9" s="78"/>
      <c r="L9" s="51" t="s">
        <v>17</v>
      </c>
      <c r="M9" s="75">
        <v>24212</v>
      </c>
      <c r="N9" s="73">
        <v>5500</v>
      </c>
      <c r="O9" s="15" t="s">
        <v>28</v>
      </c>
    </row>
    <row r="10" spans="1:18" x14ac:dyDescent="0.25">
      <c r="A10" s="16">
        <v>24036</v>
      </c>
      <c r="B10" s="49">
        <v>1100</v>
      </c>
      <c r="C10" s="17" t="s">
        <v>37</v>
      </c>
      <c r="D10" s="13"/>
      <c r="E10" s="70"/>
      <c r="F10" s="14" t="s">
        <v>17</v>
      </c>
      <c r="G10" s="9"/>
      <c r="H10" s="76"/>
      <c r="I10" s="10" t="s">
        <v>124</v>
      </c>
      <c r="J10" s="50">
        <v>24177</v>
      </c>
      <c r="K10" s="78">
        <v>500</v>
      </c>
      <c r="L10" s="51" t="s">
        <v>98</v>
      </c>
      <c r="M10" s="75"/>
      <c r="N10" s="73"/>
      <c r="O10" s="15" t="s">
        <v>64</v>
      </c>
    </row>
    <row r="11" spans="1:18" x14ac:dyDescent="0.25">
      <c r="A11" s="16"/>
      <c r="B11" s="49"/>
      <c r="C11" s="17" t="s">
        <v>96</v>
      </c>
      <c r="D11" s="13">
        <v>24067</v>
      </c>
      <c r="E11" s="70">
        <v>500</v>
      </c>
      <c r="F11" s="14"/>
      <c r="G11" s="9">
        <v>24138</v>
      </c>
      <c r="H11" s="76">
        <v>200</v>
      </c>
      <c r="I11" s="10" t="s">
        <v>98</v>
      </c>
      <c r="J11" s="50">
        <v>24178</v>
      </c>
      <c r="K11" s="78">
        <v>1000</v>
      </c>
      <c r="L11" s="51" t="s">
        <v>37</v>
      </c>
      <c r="M11" s="75"/>
      <c r="N11" s="73"/>
      <c r="O11" s="15" t="s">
        <v>94</v>
      </c>
    </row>
    <row r="12" spans="1:18" x14ac:dyDescent="0.25">
      <c r="A12" s="16">
        <v>24037</v>
      </c>
      <c r="B12" s="49">
        <v>600</v>
      </c>
      <c r="C12" s="17" t="s">
        <v>97</v>
      </c>
      <c r="D12" s="13">
        <v>24068</v>
      </c>
      <c r="E12" s="70">
        <v>500</v>
      </c>
      <c r="F12" s="14" t="s">
        <v>98</v>
      </c>
      <c r="G12" s="9">
        <v>24139</v>
      </c>
      <c r="H12" s="76">
        <v>250</v>
      </c>
      <c r="I12" s="10" t="s">
        <v>98</v>
      </c>
      <c r="J12" s="50"/>
      <c r="K12" s="78"/>
      <c r="L12" s="51" t="s">
        <v>64</v>
      </c>
      <c r="M12" s="75">
        <v>24213</v>
      </c>
      <c r="N12" s="73">
        <v>300</v>
      </c>
      <c r="O12" s="15" t="s">
        <v>138</v>
      </c>
    </row>
    <row r="13" spans="1:18" x14ac:dyDescent="0.25">
      <c r="A13" s="16">
        <v>24038</v>
      </c>
      <c r="B13" s="49">
        <v>400</v>
      </c>
      <c r="C13" s="17" t="s">
        <v>98</v>
      </c>
      <c r="D13" s="13">
        <v>24069</v>
      </c>
      <c r="E13" s="70">
        <v>1200</v>
      </c>
      <c r="F13" s="14" t="s">
        <v>81</v>
      </c>
      <c r="G13" s="9">
        <v>24140</v>
      </c>
      <c r="H13" s="76">
        <v>800</v>
      </c>
      <c r="I13" s="10" t="s">
        <v>37</v>
      </c>
      <c r="J13" s="50">
        <v>24179</v>
      </c>
      <c r="K13" s="78">
        <v>350</v>
      </c>
      <c r="L13" s="51" t="s">
        <v>118</v>
      </c>
      <c r="M13" s="75">
        <v>24214</v>
      </c>
      <c r="N13" s="73">
        <v>400</v>
      </c>
      <c r="O13" s="15" t="s">
        <v>98</v>
      </c>
    </row>
    <row r="14" spans="1:18" x14ac:dyDescent="0.25">
      <c r="A14" s="16">
        <v>24039</v>
      </c>
      <c r="B14" s="49">
        <v>500</v>
      </c>
      <c r="C14" s="17" t="s">
        <v>37</v>
      </c>
      <c r="D14" s="13"/>
      <c r="E14" s="70"/>
      <c r="F14" s="14" t="s">
        <v>17</v>
      </c>
      <c r="G14" s="9"/>
      <c r="H14" s="76"/>
      <c r="I14" s="10" t="s">
        <v>17</v>
      </c>
      <c r="J14" s="50">
        <v>24180</v>
      </c>
      <c r="K14" s="78">
        <v>500</v>
      </c>
      <c r="L14" s="51" t="s">
        <v>37</v>
      </c>
      <c r="M14" s="75">
        <v>24215</v>
      </c>
      <c r="N14" s="73">
        <v>1500</v>
      </c>
      <c r="O14" s="15" t="s">
        <v>30</v>
      </c>
    </row>
    <row r="15" spans="1:18" x14ac:dyDescent="0.25">
      <c r="A15" s="16"/>
      <c r="B15" s="49"/>
      <c r="C15" s="17" t="s">
        <v>16</v>
      </c>
      <c r="D15" s="13">
        <v>24070</v>
      </c>
      <c r="E15" s="70">
        <v>500</v>
      </c>
      <c r="F15" s="14"/>
      <c r="G15" s="9">
        <v>24141</v>
      </c>
      <c r="H15" s="76">
        <v>500</v>
      </c>
      <c r="I15" s="10"/>
      <c r="J15" s="50"/>
      <c r="K15" s="78"/>
      <c r="L15" s="51" t="s">
        <v>16</v>
      </c>
      <c r="M15" s="75"/>
      <c r="N15" s="73"/>
      <c r="O15" s="15" t="s">
        <v>64</v>
      </c>
    </row>
    <row r="16" spans="1:18" x14ac:dyDescent="0.25">
      <c r="A16" s="16">
        <v>24040</v>
      </c>
      <c r="B16" s="49">
        <v>500</v>
      </c>
      <c r="C16" s="17"/>
      <c r="D16" s="13">
        <v>24071</v>
      </c>
      <c r="E16" s="70">
        <v>250</v>
      </c>
      <c r="F16" s="14"/>
      <c r="G16" s="9">
        <v>24142</v>
      </c>
      <c r="H16" s="76">
        <v>500</v>
      </c>
      <c r="I16" s="24" t="s">
        <v>98</v>
      </c>
      <c r="J16" s="50">
        <v>24181</v>
      </c>
      <c r="K16" s="78">
        <v>750</v>
      </c>
      <c r="L16" s="51" t="s">
        <v>68</v>
      </c>
      <c r="M16" s="75">
        <v>24216</v>
      </c>
      <c r="N16" s="73">
        <v>1000</v>
      </c>
      <c r="O16" s="15" t="s">
        <v>37</v>
      </c>
    </row>
    <row r="17" spans="1:15" x14ac:dyDescent="0.25">
      <c r="A17" s="16">
        <v>24041</v>
      </c>
      <c r="B17" s="49">
        <v>250</v>
      </c>
      <c r="C17" s="17"/>
      <c r="D17" s="13">
        <v>24072</v>
      </c>
      <c r="E17" s="70">
        <v>500</v>
      </c>
      <c r="F17" s="14"/>
      <c r="G17" s="9">
        <v>24143</v>
      </c>
      <c r="H17" s="76">
        <v>1000</v>
      </c>
      <c r="I17" s="10" t="s">
        <v>37</v>
      </c>
      <c r="J17" s="50"/>
      <c r="K17" s="78"/>
      <c r="L17" s="51" t="s">
        <v>16</v>
      </c>
      <c r="M17" s="75"/>
      <c r="N17" s="73"/>
      <c r="O17" s="15" t="s">
        <v>64</v>
      </c>
    </row>
    <row r="18" spans="1:15" x14ac:dyDescent="0.25">
      <c r="A18" s="16">
        <v>24042</v>
      </c>
      <c r="B18" s="49">
        <v>600</v>
      </c>
      <c r="C18" s="17" t="s">
        <v>37</v>
      </c>
      <c r="D18" s="13">
        <v>24073</v>
      </c>
      <c r="E18" s="70">
        <v>400</v>
      </c>
      <c r="F18" s="14" t="s">
        <v>98</v>
      </c>
      <c r="G18" s="9"/>
      <c r="H18" s="76"/>
      <c r="I18" s="10" t="s">
        <v>64</v>
      </c>
      <c r="J18" s="50">
        <v>24182</v>
      </c>
      <c r="K18" s="78">
        <v>500</v>
      </c>
      <c r="L18" s="51" t="s">
        <v>98</v>
      </c>
      <c r="M18" s="75">
        <v>24217</v>
      </c>
      <c r="N18" s="73">
        <v>500</v>
      </c>
      <c r="O18" s="15" t="s">
        <v>37</v>
      </c>
    </row>
    <row r="19" spans="1:15" x14ac:dyDescent="0.25">
      <c r="A19" s="16"/>
      <c r="B19" s="49"/>
      <c r="C19" s="17" t="s">
        <v>18</v>
      </c>
      <c r="D19" s="13">
        <v>24074</v>
      </c>
      <c r="E19" s="70">
        <v>300</v>
      </c>
      <c r="F19" s="14"/>
      <c r="G19" s="9">
        <v>24144</v>
      </c>
      <c r="H19" s="76">
        <v>300</v>
      </c>
      <c r="I19" s="10"/>
      <c r="J19" s="50">
        <v>24183</v>
      </c>
      <c r="K19" s="78">
        <v>1500</v>
      </c>
      <c r="L19" s="51" t="s">
        <v>130</v>
      </c>
      <c r="M19" s="75"/>
      <c r="N19" s="73"/>
      <c r="O19" s="15" t="s">
        <v>16</v>
      </c>
    </row>
    <row r="20" spans="1:15" x14ac:dyDescent="0.25">
      <c r="A20" s="16">
        <v>24043</v>
      </c>
      <c r="B20" s="49">
        <v>400</v>
      </c>
      <c r="C20" s="17" t="s">
        <v>98</v>
      </c>
      <c r="D20" s="13">
        <v>24075</v>
      </c>
      <c r="E20" s="70">
        <v>250</v>
      </c>
      <c r="F20" s="14"/>
      <c r="G20" s="9">
        <v>24145</v>
      </c>
      <c r="H20" s="76">
        <v>1000</v>
      </c>
      <c r="I20" s="10" t="s">
        <v>73</v>
      </c>
      <c r="J20" s="50"/>
      <c r="K20" s="78"/>
      <c r="L20" s="51" t="s">
        <v>64</v>
      </c>
      <c r="M20" s="75">
        <v>24218</v>
      </c>
      <c r="N20" s="73">
        <v>250</v>
      </c>
      <c r="O20" s="15" t="s">
        <v>98</v>
      </c>
    </row>
    <row r="21" spans="1:15" x14ac:dyDescent="0.25">
      <c r="A21" s="16">
        <v>24044</v>
      </c>
      <c r="B21" s="49">
        <v>1850</v>
      </c>
      <c r="C21" s="17" t="s">
        <v>99</v>
      </c>
      <c r="D21" s="13">
        <v>24076</v>
      </c>
      <c r="E21" s="70">
        <v>250</v>
      </c>
      <c r="F21" s="14"/>
      <c r="G21" s="9"/>
      <c r="H21" s="76"/>
      <c r="I21" s="10" t="s">
        <v>64</v>
      </c>
      <c r="J21" s="50">
        <v>24184</v>
      </c>
      <c r="K21" s="78">
        <v>600</v>
      </c>
      <c r="L21" s="51" t="s">
        <v>131</v>
      </c>
      <c r="M21" s="75">
        <v>24219</v>
      </c>
      <c r="N21" s="73">
        <v>2000</v>
      </c>
      <c r="O21" s="15" t="s">
        <v>54</v>
      </c>
    </row>
    <row r="22" spans="1:15" x14ac:dyDescent="0.25">
      <c r="A22" s="16"/>
      <c r="B22" s="49"/>
      <c r="C22" s="17" t="s">
        <v>100</v>
      </c>
      <c r="D22" s="13">
        <v>24077</v>
      </c>
      <c r="E22" s="70">
        <v>1000</v>
      </c>
      <c r="F22" s="14" t="s">
        <v>73</v>
      </c>
      <c r="G22" s="9">
        <v>24146</v>
      </c>
      <c r="H22" s="76">
        <v>1000</v>
      </c>
      <c r="I22" s="25" t="s">
        <v>37</v>
      </c>
      <c r="J22" s="50"/>
      <c r="K22" s="78"/>
      <c r="L22" s="51" t="s">
        <v>18</v>
      </c>
      <c r="M22" s="75"/>
      <c r="N22" s="73"/>
      <c r="O22" s="15" t="s">
        <v>64</v>
      </c>
    </row>
    <row r="23" spans="1:15" x14ac:dyDescent="0.25">
      <c r="A23" s="16"/>
      <c r="B23" s="49"/>
      <c r="C23" s="17" t="s">
        <v>101</v>
      </c>
      <c r="D23" s="13"/>
      <c r="E23" s="70"/>
      <c r="F23" s="14" t="s">
        <v>64</v>
      </c>
      <c r="G23" s="9"/>
      <c r="H23" s="76"/>
      <c r="I23" s="10" t="s">
        <v>64</v>
      </c>
      <c r="J23" s="50">
        <v>24185</v>
      </c>
      <c r="K23" s="78">
        <v>5800</v>
      </c>
      <c r="L23" s="52" t="s">
        <v>28</v>
      </c>
      <c r="M23" s="75">
        <v>24220</v>
      </c>
      <c r="N23" s="73">
        <v>500</v>
      </c>
      <c r="O23" s="15"/>
    </row>
    <row r="24" spans="1:15" x14ac:dyDescent="0.25">
      <c r="A24" s="16">
        <v>24045</v>
      </c>
      <c r="B24" s="49">
        <v>500</v>
      </c>
      <c r="C24" s="17" t="s">
        <v>102</v>
      </c>
      <c r="D24" s="13">
        <v>24078</v>
      </c>
      <c r="E24" s="70">
        <v>500</v>
      </c>
      <c r="F24" s="14"/>
      <c r="G24" s="9">
        <v>24147</v>
      </c>
      <c r="H24" s="76">
        <v>600</v>
      </c>
      <c r="I24" s="10" t="s">
        <v>37</v>
      </c>
      <c r="J24" s="50"/>
      <c r="K24" s="78"/>
      <c r="L24" s="52" t="s">
        <v>64</v>
      </c>
      <c r="M24" s="75">
        <v>24221</v>
      </c>
      <c r="N24" s="73">
        <v>500</v>
      </c>
      <c r="O24" s="15"/>
    </row>
    <row r="25" spans="1:15" x14ac:dyDescent="0.25">
      <c r="A25" s="16"/>
      <c r="B25" s="49"/>
      <c r="C25" s="17" t="s">
        <v>103</v>
      </c>
      <c r="D25" s="13">
        <v>24079</v>
      </c>
      <c r="E25" s="70">
        <v>500</v>
      </c>
      <c r="F25" s="14"/>
      <c r="G25" s="9"/>
      <c r="H25" s="76"/>
      <c r="I25" s="10" t="s">
        <v>18</v>
      </c>
      <c r="J25" s="50"/>
      <c r="K25" s="78"/>
      <c r="L25" s="51" t="s">
        <v>132</v>
      </c>
      <c r="M25" s="75">
        <v>24222</v>
      </c>
      <c r="N25" s="73">
        <v>500</v>
      </c>
      <c r="O25" s="15"/>
    </row>
    <row r="26" spans="1:15" x14ac:dyDescent="0.25">
      <c r="A26" s="16">
        <v>24046</v>
      </c>
      <c r="B26" s="49">
        <v>400</v>
      </c>
      <c r="C26" s="17" t="s">
        <v>98</v>
      </c>
      <c r="D26" s="13">
        <v>24080</v>
      </c>
      <c r="E26" s="70">
        <v>500</v>
      </c>
      <c r="F26" s="14"/>
      <c r="G26" s="9">
        <v>24148</v>
      </c>
      <c r="H26" s="76">
        <v>650</v>
      </c>
      <c r="I26" s="10" t="s">
        <v>125</v>
      </c>
      <c r="J26" s="50"/>
      <c r="K26" s="78"/>
      <c r="L26" s="51" t="s">
        <v>133</v>
      </c>
      <c r="M26" s="75">
        <v>24223</v>
      </c>
      <c r="N26" s="73">
        <v>500</v>
      </c>
      <c r="O26" s="15" t="s">
        <v>122</v>
      </c>
    </row>
    <row r="27" spans="1:15" x14ac:dyDescent="0.25">
      <c r="A27" s="16">
        <v>24047</v>
      </c>
      <c r="B27" s="49">
        <v>500</v>
      </c>
      <c r="C27" s="17" t="s">
        <v>98</v>
      </c>
      <c r="D27" s="13">
        <v>24081</v>
      </c>
      <c r="E27" s="70">
        <v>500</v>
      </c>
      <c r="F27" s="14" t="s">
        <v>98</v>
      </c>
      <c r="G27" s="9">
        <v>24149</v>
      </c>
      <c r="H27" s="76">
        <v>300</v>
      </c>
      <c r="I27" s="10"/>
      <c r="J27" s="50">
        <v>24186</v>
      </c>
      <c r="K27" s="78">
        <v>500</v>
      </c>
      <c r="L27" s="51"/>
      <c r="M27" s="75">
        <v>24224</v>
      </c>
      <c r="N27" s="73">
        <v>1000</v>
      </c>
      <c r="O27" s="15" t="s">
        <v>131</v>
      </c>
    </row>
    <row r="28" spans="1:15" x14ac:dyDescent="0.25">
      <c r="A28" s="16">
        <v>24048</v>
      </c>
      <c r="B28" s="49">
        <v>400</v>
      </c>
      <c r="C28" s="17" t="s">
        <v>98</v>
      </c>
      <c r="D28" s="13">
        <v>24082</v>
      </c>
      <c r="E28" s="70">
        <v>450</v>
      </c>
      <c r="F28" s="14"/>
      <c r="G28" s="9">
        <v>24150</v>
      </c>
      <c r="H28" s="76">
        <v>1000</v>
      </c>
      <c r="I28" s="10" t="s">
        <v>73</v>
      </c>
      <c r="J28" s="50">
        <v>24187</v>
      </c>
      <c r="K28" s="78">
        <v>400</v>
      </c>
      <c r="L28" s="51"/>
      <c r="M28" s="75"/>
      <c r="N28" s="73"/>
      <c r="O28" s="15" t="s">
        <v>64</v>
      </c>
    </row>
    <row r="29" spans="1:15" x14ac:dyDescent="0.25">
      <c r="A29" s="16">
        <v>24049</v>
      </c>
      <c r="B29" s="49">
        <v>500</v>
      </c>
      <c r="C29" s="17" t="s">
        <v>98</v>
      </c>
      <c r="D29" s="13">
        <v>24083</v>
      </c>
      <c r="E29" s="70">
        <v>500</v>
      </c>
      <c r="F29" s="14" t="s">
        <v>73</v>
      </c>
      <c r="G29" s="9"/>
      <c r="H29" s="76"/>
      <c r="I29" s="10" t="s">
        <v>64</v>
      </c>
      <c r="J29" s="50">
        <v>24188</v>
      </c>
      <c r="K29" s="78">
        <v>500</v>
      </c>
      <c r="L29" s="51" t="s">
        <v>37</v>
      </c>
      <c r="M29" s="75">
        <v>24225</v>
      </c>
      <c r="N29" s="73">
        <v>500</v>
      </c>
      <c r="O29" s="15" t="s">
        <v>122</v>
      </c>
    </row>
    <row r="30" spans="1:15" x14ac:dyDescent="0.25">
      <c r="A30" s="16">
        <v>24050</v>
      </c>
      <c r="B30" s="49">
        <v>500</v>
      </c>
      <c r="C30" s="17"/>
      <c r="D30" s="13"/>
      <c r="E30" s="70"/>
      <c r="F30" s="14" t="s">
        <v>16</v>
      </c>
      <c r="G30" s="9">
        <v>24151</v>
      </c>
      <c r="H30" s="76">
        <v>50</v>
      </c>
      <c r="I30" s="10" t="s">
        <v>69</v>
      </c>
      <c r="J30" s="53"/>
      <c r="K30" s="78"/>
      <c r="L30" s="51" t="s">
        <v>16</v>
      </c>
      <c r="M30" s="75">
        <v>24226</v>
      </c>
      <c r="N30" s="73">
        <v>250</v>
      </c>
      <c r="O30" s="15"/>
    </row>
    <row r="31" spans="1:15" x14ac:dyDescent="0.25">
      <c r="A31" s="16">
        <v>24051</v>
      </c>
      <c r="B31" s="49">
        <v>500</v>
      </c>
      <c r="C31" s="17" t="s">
        <v>37</v>
      </c>
      <c r="D31" s="13">
        <v>24084</v>
      </c>
      <c r="E31" s="70">
        <v>500</v>
      </c>
      <c r="F31" s="14"/>
      <c r="G31" s="9">
        <v>24152</v>
      </c>
      <c r="H31" s="76">
        <v>500</v>
      </c>
      <c r="I31" s="10"/>
      <c r="J31" s="50">
        <v>24189</v>
      </c>
      <c r="K31" s="78">
        <v>500</v>
      </c>
      <c r="L31" s="51"/>
      <c r="M31" s="75">
        <v>24227</v>
      </c>
      <c r="N31" s="73">
        <v>800</v>
      </c>
      <c r="O31" s="15" t="s">
        <v>122</v>
      </c>
    </row>
    <row r="32" spans="1:15" x14ac:dyDescent="0.25">
      <c r="A32" s="16"/>
      <c r="B32" s="49"/>
      <c r="C32" s="17" t="s">
        <v>16</v>
      </c>
      <c r="D32" s="13">
        <v>24085</v>
      </c>
      <c r="E32" s="70">
        <v>1000</v>
      </c>
      <c r="F32" s="14" t="s">
        <v>112</v>
      </c>
      <c r="G32" s="9">
        <v>24153</v>
      </c>
      <c r="H32" s="76">
        <v>300</v>
      </c>
      <c r="I32" s="10"/>
      <c r="J32" s="53">
        <v>24190</v>
      </c>
      <c r="K32" s="78">
        <v>1000</v>
      </c>
      <c r="L32" s="51" t="s">
        <v>131</v>
      </c>
      <c r="M32" s="75">
        <v>24228</v>
      </c>
      <c r="N32" s="73">
        <v>600</v>
      </c>
      <c r="O32" s="15" t="s">
        <v>131</v>
      </c>
    </row>
    <row r="33" spans="1:15" x14ac:dyDescent="0.25">
      <c r="A33" s="16">
        <v>24052</v>
      </c>
      <c r="B33" s="49">
        <v>300</v>
      </c>
      <c r="C33" s="17" t="s">
        <v>104</v>
      </c>
      <c r="D33" s="13"/>
      <c r="E33" s="70"/>
      <c r="F33" s="14" t="s">
        <v>64</v>
      </c>
      <c r="G33" s="9">
        <v>24154</v>
      </c>
      <c r="H33" s="76">
        <v>1000</v>
      </c>
      <c r="I33" s="10" t="s">
        <v>37</v>
      </c>
      <c r="J33" s="50"/>
      <c r="K33" s="78"/>
      <c r="L33" s="51" t="s">
        <v>64</v>
      </c>
      <c r="M33" s="75"/>
      <c r="N33" s="73"/>
      <c r="O33" s="15" t="s">
        <v>18</v>
      </c>
    </row>
    <row r="34" spans="1:15" x14ac:dyDescent="0.25">
      <c r="A34" s="16">
        <v>24053</v>
      </c>
      <c r="B34" s="49">
        <v>1000</v>
      </c>
      <c r="C34" s="17" t="s">
        <v>37</v>
      </c>
      <c r="D34" s="13">
        <v>24086</v>
      </c>
      <c r="E34" s="70">
        <v>500</v>
      </c>
      <c r="F34" s="14"/>
      <c r="G34" s="9"/>
      <c r="H34" s="76"/>
      <c r="I34" s="10" t="s">
        <v>64</v>
      </c>
      <c r="J34" s="50">
        <v>24191</v>
      </c>
      <c r="K34" s="78">
        <v>700</v>
      </c>
      <c r="L34" s="51" t="s">
        <v>37</v>
      </c>
      <c r="M34" s="75">
        <v>24229</v>
      </c>
      <c r="N34" s="73">
        <v>1000</v>
      </c>
      <c r="O34" s="15" t="s">
        <v>131</v>
      </c>
    </row>
    <row r="35" spans="1:15" x14ac:dyDescent="0.25">
      <c r="A35" s="16"/>
      <c r="B35" s="49"/>
      <c r="C35" s="17" t="s">
        <v>64</v>
      </c>
      <c r="D35" s="13">
        <v>24087</v>
      </c>
      <c r="E35" s="70">
        <v>250</v>
      </c>
      <c r="F35" s="20"/>
      <c r="G35" s="9">
        <v>24155</v>
      </c>
      <c r="H35" s="76">
        <v>500</v>
      </c>
      <c r="I35" s="10" t="s">
        <v>65</v>
      </c>
      <c r="J35" s="53"/>
      <c r="K35" s="78"/>
      <c r="L35" s="51" t="s">
        <v>21</v>
      </c>
      <c r="M35" s="75"/>
      <c r="N35" s="73"/>
      <c r="O35" s="15" t="s">
        <v>64</v>
      </c>
    </row>
    <row r="36" spans="1:15" x14ac:dyDescent="0.25">
      <c r="A36" s="16">
        <v>24054</v>
      </c>
      <c r="B36" s="49">
        <v>500</v>
      </c>
      <c r="C36" s="17" t="s">
        <v>98</v>
      </c>
      <c r="D36" s="13">
        <v>24088</v>
      </c>
      <c r="E36" s="70">
        <v>50</v>
      </c>
      <c r="F36" s="14" t="s">
        <v>69</v>
      </c>
      <c r="G36" s="9">
        <v>24156</v>
      </c>
      <c r="H36" s="76">
        <v>3200</v>
      </c>
      <c r="I36" s="10" t="s">
        <v>126</v>
      </c>
      <c r="J36" s="53">
        <v>24192</v>
      </c>
      <c r="K36" s="78">
        <v>500</v>
      </c>
      <c r="L36" s="55"/>
      <c r="M36" s="75">
        <v>24230</v>
      </c>
      <c r="N36" s="73">
        <v>500</v>
      </c>
      <c r="O36" s="15"/>
    </row>
    <row r="37" spans="1:15" x14ac:dyDescent="0.25">
      <c r="A37" s="16">
        <v>24055</v>
      </c>
      <c r="B37" s="49">
        <v>800</v>
      </c>
      <c r="C37" s="17" t="s">
        <v>105</v>
      </c>
      <c r="D37" s="13">
        <v>24089</v>
      </c>
      <c r="E37" s="70">
        <v>1000</v>
      </c>
      <c r="F37" s="14" t="s">
        <v>37</v>
      </c>
      <c r="G37" s="9"/>
      <c r="H37" s="76"/>
      <c r="I37" s="10" t="s">
        <v>127</v>
      </c>
      <c r="J37" s="53">
        <v>24193</v>
      </c>
      <c r="K37" s="72">
        <v>1000</v>
      </c>
      <c r="L37" s="51" t="s">
        <v>134</v>
      </c>
      <c r="M37" s="75">
        <v>24231</v>
      </c>
      <c r="N37" s="73">
        <v>1500</v>
      </c>
      <c r="O37" s="15" t="s">
        <v>30</v>
      </c>
    </row>
    <row r="38" spans="1:15" x14ac:dyDescent="0.25">
      <c r="A38" s="16"/>
      <c r="B38" s="49"/>
      <c r="C38" s="17" t="s">
        <v>106</v>
      </c>
      <c r="D38" s="13"/>
      <c r="E38" s="70"/>
      <c r="F38" s="14" t="s">
        <v>64</v>
      </c>
      <c r="G38" s="9">
        <v>24157</v>
      </c>
      <c r="H38" s="76">
        <v>4800</v>
      </c>
      <c r="I38" s="10" t="s">
        <v>28</v>
      </c>
      <c r="J38" s="53"/>
      <c r="K38" s="72"/>
      <c r="L38" s="54" t="s">
        <v>16</v>
      </c>
      <c r="M38" s="75"/>
      <c r="N38" s="73"/>
      <c r="O38" s="15" t="s">
        <v>64</v>
      </c>
    </row>
    <row r="39" spans="1:15" x14ac:dyDescent="0.25">
      <c r="A39" s="16"/>
      <c r="B39" s="49"/>
      <c r="C39" s="17" t="s">
        <v>107</v>
      </c>
      <c r="D39" s="13">
        <v>24090</v>
      </c>
      <c r="E39" s="70">
        <v>1050</v>
      </c>
      <c r="F39" s="14" t="s">
        <v>37</v>
      </c>
      <c r="G39" s="9"/>
      <c r="H39" s="76"/>
      <c r="I39" s="10" t="s">
        <v>17</v>
      </c>
      <c r="J39" s="53">
        <v>24194</v>
      </c>
      <c r="K39" s="72">
        <v>350</v>
      </c>
      <c r="L39" s="51" t="s">
        <v>122</v>
      </c>
      <c r="M39" s="75">
        <v>24232</v>
      </c>
      <c r="N39" s="73">
        <v>300</v>
      </c>
      <c r="O39" s="15"/>
    </row>
    <row r="40" spans="1:15" x14ac:dyDescent="0.25">
      <c r="A40" s="16">
        <v>24056</v>
      </c>
      <c r="B40" s="49">
        <v>500</v>
      </c>
      <c r="C40" s="17" t="s">
        <v>98</v>
      </c>
      <c r="D40" s="13"/>
      <c r="E40" s="70"/>
      <c r="F40" s="14" t="s">
        <v>113</v>
      </c>
      <c r="G40" s="9">
        <v>24158</v>
      </c>
      <c r="H40" s="76">
        <v>300</v>
      </c>
      <c r="I40" s="10" t="s">
        <v>128</v>
      </c>
      <c r="J40" s="53">
        <v>24195</v>
      </c>
      <c r="K40" s="72">
        <v>350</v>
      </c>
      <c r="L40" s="51" t="s">
        <v>118</v>
      </c>
      <c r="M40" s="75">
        <v>24233</v>
      </c>
      <c r="N40" s="73">
        <v>500</v>
      </c>
      <c r="O40" s="15"/>
    </row>
    <row r="41" spans="1:15" x14ac:dyDescent="0.25">
      <c r="A41" s="16">
        <v>24057</v>
      </c>
      <c r="B41" s="49">
        <v>600</v>
      </c>
      <c r="C41" s="17" t="s">
        <v>37</v>
      </c>
      <c r="D41" s="13">
        <v>24091</v>
      </c>
      <c r="E41" s="70">
        <v>500</v>
      </c>
      <c r="F41" s="14"/>
      <c r="G41" s="9">
        <v>24159</v>
      </c>
      <c r="H41" s="76">
        <v>1000</v>
      </c>
      <c r="I41" s="10" t="s">
        <v>37</v>
      </c>
      <c r="J41" s="53">
        <v>24196</v>
      </c>
      <c r="K41" s="72">
        <v>500</v>
      </c>
      <c r="L41" s="51" t="s">
        <v>98</v>
      </c>
      <c r="M41" s="75">
        <v>24234</v>
      </c>
      <c r="N41" s="73">
        <v>400</v>
      </c>
      <c r="O41" s="15"/>
    </row>
    <row r="42" spans="1:15" x14ac:dyDescent="0.25">
      <c r="A42" s="16"/>
      <c r="B42" s="49"/>
      <c r="C42" s="17" t="s">
        <v>18</v>
      </c>
      <c r="D42" s="13">
        <v>24092</v>
      </c>
      <c r="E42" s="70">
        <v>1600</v>
      </c>
      <c r="F42" s="14" t="s">
        <v>37</v>
      </c>
      <c r="G42" s="9"/>
      <c r="H42" s="76"/>
      <c r="I42" s="10" t="s">
        <v>64</v>
      </c>
      <c r="J42" s="53">
        <v>24197</v>
      </c>
      <c r="K42" s="72">
        <v>500</v>
      </c>
      <c r="L42" s="51"/>
      <c r="M42" s="75">
        <v>24235</v>
      </c>
      <c r="N42" s="73">
        <v>500</v>
      </c>
      <c r="O42" s="15" t="s">
        <v>122</v>
      </c>
    </row>
    <row r="43" spans="1:15" x14ac:dyDescent="0.25">
      <c r="A43" s="16">
        <v>24058</v>
      </c>
      <c r="B43" s="49">
        <v>400</v>
      </c>
      <c r="C43" s="17"/>
      <c r="D43" s="13"/>
      <c r="E43" s="70"/>
      <c r="F43" s="14" t="s">
        <v>114</v>
      </c>
      <c r="G43" s="9">
        <v>24160</v>
      </c>
      <c r="H43" s="76">
        <v>1000</v>
      </c>
      <c r="I43" s="10" t="s">
        <v>73</v>
      </c>
      <c r="J43" s="53">
        <v>24198</v>
      </c>
      <c r="K43" s="72">
        <v>600</v>
      </c>
      <c r="L43" s="51" t="s">
        <v>37</v>
      </c>
      <c r="M43" s="75">
        <v>24236</v>
      </c>
      <c r="N43" s="73">
        <v>500</v>
      </c>
      <c r="O43" s="15"/>
    </row>
    <row r="44" spans="1:15" x14ac:dyDescent="0.25">
      <c r="A44" s="16">
        <v>24059</v>
      </c>
      <c r="B44" s="49">
        <v>250</v>
      </c>
      <c r="C44" s="17" t="s">
        <v>98</v>
      </c>
      <c r="D44" s="13">
        <v>24093</v>
      </c>
      <c r="E44" s="70">
        <v>500</v>
      </c>
      <c r="F44" s="14"/>
      <c r="G44" s="9"/>
      <c r="H44" s="76"/>
      <c r="I44" s="10" t="s">
        <v>64</v>
      </c>
      <c r="J44" s="53"/>
      <c r="K44" s="72"/>
      <c r="L44" s="51" t="s">
        <v>18</v>
      </c>
      <c r="M44" s="75">
        <v>24237</v>
      </c>
      <c r="N44" s="73">
        <v>500</v>
      </c>
      <c r="O44" s="15"/>
    </row>
    <row r="45" spans="1:15" x14ac:dyDescent="0.25">
      <c r="A45" s="16">
        <v>24060</v>
      </c>
      <c r="B45" s="49">
        <v>50</v>
      </c>
      <c r="C45" s="17" t="s">
        <v>19</v>
      </c>
      <c r="D45" s="13">
        <v>24094</v>
      </c>
      <c r="E45" s="70">
        <v>2250</v>
      </c>
      <c r="F45" s="14" t="s">
        <v>115</v>
      </c>
      <c r="G45" s="9">
        <v>24161</v>
      </c>
      <c r="H45" s="76">
        <v>1500</v>
      </c>
      <c r="I45" s="10" t="s">
        <v>30</v>
      </c>
      <c r="J45" s="53">
        <v>24199</v>
      </c>
      <c r="K45" s="72">
        <v>400</v>
      </c>
      <c r="L45" s="51" t="s">
        <v>122</v>
      </c>
      <c r="M45" s="75">
        <v>24238</v>
      </c>
      <c r="N45" s="73">
        <v>500</v>
      </c>
      <c r="O45" s="15" t="s">
        <v>122</v>
      </c>
    </row>
    <row r="46" spans="1:15" x14ac:dyDescent="0.25">
      <c r="A46" s="16">
        <v>24061</v>
      </c>
      <c r="B46" s="49">
        <v>300</v>
      </c>
      <c r="C46" s="17"/>
      <c r="D46" s="13"/>
      <c r="E46" s="70"/>
      <c r="F46" s="69" t="s">
        <v>16</v>
      </c>
      <c r="G46" s="9"/>
      <c r="H46" s="76"/>
      <c r="I46" s="10" t="s">
        <v>64</v>
      </c>
      <c r="J46" s="53">
        <v>24200</v>
      </c>
      <c r="K46" s="72">
        <v>300</v>
      </c>
      <c r="L46" s="51" t="s">
        <v>135</v>
      </c>
      <c r="M46" s="75">
        <v>24239</v>
      </c>
      <c r="N46" s="73">
        <v>500</v>
      </c>
      <c r="O46" s="15" t="s">
        <v>122</v>
      </c>
    </row>
    <row r="47" spans="1:15" x14ac:dyDescent="0.25">
      <c r="A47" s="16">
        <v>24062</v>
      </c>
      <c r="B47" s="49">
        <v>1800</v>
      </c>
      <c r="C47" s="17" t="s">
        <v>108</v>
      </c>
      <c r="D47" s="13">
        <v>24095</v>
      </c>
      <c r="E47" s="70">
        <v>1500</v>
      </c>
      <c r="F47" s="14" t="s">
        <v>68</v>
      </c>
      <c r="G47" s="9">
        <v>24162</v>
      </c>
      <c r="H47" s="76">
        <v>400</v>
      </c>
      <c r="I47" s="10"/>
      <c r="J47" s="53">
        <v>24201</v>
      </c>
      <c r="K47" s="72">
        <v>50</v>
      </c>
      <c r="L47" s="51" t="s">
        <v>19</v>
      </c>
      <c r="M47" s="75">
        <v>24240</v>
      </c>
      <c r="N47" s="73">
        <v>500</v>
      </c>
      <c r="O47" s="15" t="s">
        <v>73</v>
      </c>
    </row>
    <row r="48" spans="1:15" x14ac:dyDescent="0.25">
      <c r="A48" s="16"/>
      <c r="B48" s="49"/>
      <c r="C48" s="17" t="s">
        <v>109</v>
      </c>
      <c r="D48" s="13"/>
      <c r="E48" s="70"/>
      <c r="F48" s="14" t="s">
        <v>64</v>
      </c>
      <c r="G48" s="9">
        <v>24163</v>
      </c>
      <c r="H48" s="76">
        <v>400</v>
      </c>
      <c r="I48" s="10"/>
      <c r="J48" s="53">
        <v>24202</v>
      </c>
      <c r="K48" s="72">
        <v>2000</v>
      </c>
      <c r="L48" s="51" t="s">
        <v>134</v>
      </c>
      <c r="M48" s="75"/>
      <c r="N48" s="73"/>
      <c r="O48" s="15" t="s">
        <v>16</v>
      </c>
    </row>
    <row r="49" spans="1:15" x14ac:dyDescent="0.25">
      <c r="A49" s="16">
        <v>24063</v>
      </c>
      <c r="B49" s="49">
        <v>3000</v>
      </c>
      <c r="C49" s="17" t="s">
        <v>46</v>
      </c>
      <c r="D49" s="13">
        <v>24096</v>
      </c>
      <c r="E49" s="70">
        <v>300</v>
      </c>
      <c r="F49" s="14" t="s">
        <v>117</v>
      </c>
      <c r="G49" s="9">
        <v>24164</v>
      </c>
      <c r="H49" s="76">
        <v>500</v>
      </c>
      <c r="I49" s="10"/>
      <c r="J49" s="53"/>
      <c r="K49" s="72"/>
      <c r="L49" s="54" t="s">
        <v>64</v>
      </c>
      <c r="M49" s="75">
        <v>24241</v>
      </c>
      <c r="N49" s="73">
        <v>600</v>
      </c>
      <c r="O49" s="15" t="s">
        <v>37</v>
      </c>
    </row>
    <row r="50" spans="1:15" x14ac:dyDescent="0.25">
      <c r="A50" s="16"/>
      <c r="B50" s="49"/>
      <c r="C50" s="17" t="s">
        <v>18</v>
      </c>
      <c r="D50" s="13">
        <v>24097</v>
      </c>
      <c r="E50" s="70">
        <v>300</v>
      </c>
      <c r="F50" s="14" t="s">
        <v>116</v>
      </c>
      <c r="G50" s="9">
        <v>24165</v>
      </c>
      <c r="H50" s="76">
        <v>500</v>
      </c>
      <c r="I50" s="10"/>
      <c r="J50" s="53">
        <v>24203</v>
      </c>
      <c r="K50" s="72">
        <v>500</v>
      </c>
      <c r="L50" s="51"/>
      <c r="M50" s="75"/>
      <c r="N50" s="73"/>
      <c r="O50" s="15" t="s">
        <v>18</v>
      </c>
    </row>
    <row r="51" spans="1:15" x14ac:dyDescent="0.25">
      <c r="A51" s="16">
        <v>24064</v>
      </c>
      <c r="B51" s="49">
        <v>5500</v>
      </c>
      <c r="C51" s="17" t="s">
        <v>46</v>
      </c>
      <c r="D51" s="13">
        <v>24098</v>
      </c>
      <c r="E51" s="70">
        <v>500</v>
      </c>
      <c r="F51" s="14"/>
      <c r="G51" s="9">
        <v>24166</v>
      </c>
      <c r="H51" s="76">
        <v>500</v>
      </c>
      <c r="I51" s="10" t="s">
        <v>98</v>
      </c>
      <c r="J51" s="53">
        <v>24204</v>
      </c>
      <c r="K51" s="72">
        <v>50</v>
      </c>
      <c r="L51" s="51" t="s">
        <v>19</v>
      </c>
      <c r="M51" s="75">
        <v>24242</v>
      </c>
      <c r="N51" s="73">
        <v>400</v>
      </c>
      <c r="O51" s="15" t="s">
        <v>98</v>
      </c>
    </row>
    <row r="52" spans="1:15" x14ac:dyDescent="0.25">
      <c r="A52" s="16"/>
      <c r="B52" s="49"/>
      <c r="C52" s="17" t="s">
        <v>64</v>
      </c>
      <c r="D52" s="13">
        <v>24099</v>
      </c>
      <c r="E52" s="70">
        <v>500</v>
      </c>
      <c r="F52" s="14"/>
      <c r="G52" s="9">
        <v>24167</v>
      </c>
      <c r="H52" s="76">
        <v>5500</v>
      </c>
      <c r="I52" s="10" t="s">
        <v>28</v>
      </c>
      <c r="J52" s="50">
        <v>24205</v>
      </c>
      <c r="K52" s="78">
        <v>600</v>
      </c>
      <c r="L52" s="51" t="s">
        <v>37</v>
      </c>
      <c r="M52" s="75">
        <v>24243</v>
      </c>
      <c r="N52" s="73">
        <v>500</v>
      </c>
      <c r="O52" s="15"/>
    </row>
    <row r="53" spans="1:15" x14ac:dyDescent="0.25">
      <c r="A53" s="16"/>
      <c r="B53" s="49"/>
      <c r="C53" s="17" t="s">
        <v>110</v>
      </c>
      <c r="D53" s="13">
        <v>24100</v>
      </c>
      <c r="E53" s="70">
        <v>1000</v>
      </c>
      <c r="F53" s="14" t="s">
        <v>37</v>
      </c>
      <c r="G53" s="9"/>
      <c r="H53" s="76"/>
      <c r="I53" s="10" t="s">
        <v>64</v>
      </c>
      <c r="J53" s="50"/>
      <c r="K53" s="78"/>
      <c r="L53" s="51" t="s">
        <v>18</v>
      </c>
      <c r="M53" s="75">
        <v>24244</v>
      </c>
      <c r="N53" s="73">
        <v>500</v>
      </c>
      <c r="O53" s="15" t="s">
        <v>122</v>
      </c>
    </row>
    <row r="54" spans="1:15" x14ac:dyDescent="0.25">
      <c r="A54" s="16"/>
      <c r="B54" s="49"/>
      <c r="C54" s="17"/>
      <c r="D54" s="13"/>
      <c r="E54" s="70"/>
      <c r="F54" s="14" t="s">
        <v>64</v>
      </c>
      <c r="G54" s="9"/>
      <c r="H54" s="76"/>
      <c r="I54" s="10" t="s">
        <v>129</v>
      </c>
      <c r="J54" s="50">
        <v>24206</v>
      </c>
      <c r="K54" s="78">
        <v>500</v>
      </c>
      <c r="L54" s="51"/>
      <c r="M54" s="75">
        <v>24245</v>
      </c>
      <c r="N54" s="73">
        <v>400</v>
      </c>
      <c r="O54" s="15"/>
    </row>
    <row r="55" spans="1:15" x14ac:dyDescent="0.25">
      <c r="A55" s="16"/>
      <c r="B55" s="49"/>
      <c r="C55" s="17"/>
      <c r="D55" s="13">
        <v>24101</v>
      </c>
      <c r="E55" s="70">
        <v>350</v>
      </c>
      <c r="F55" s="23" t="s">
        <v>118</v>
      </c>
      <c r="G55" s="9">
        <v>24168</v>
      </c>
      <c r="H55" s="76">
        <v>1000</v>
      </c>
      <c r="I55" s="10" t="s">
        <v>37</v>
      </c>
      <c r="J55" s="50">
        <v>24207</v>
      </c>
      <c r="K55" s="78">
        <v>300</v>
      </c>
      <c r="L55" s="51" t="s">
        <v>136</v>
      </c>
      <c r="M55" s="75">
        <v>24246</v>
      </c>
      <c r="N55" s="73">
        <v>500</v>
      </c>
      <c r="O55" s="15" t="s">
        <v>122</v>
      </c>
    </row>
    <row r="56" spans="1:15" x14ac:dyDescent="0.25">
      <c r="A56" s="16"/>
      <c r="B56" s="49"/>
      <c r="C56" s="103"/>
      <c r="D56" s="13">
        <v>24102</v>
      </c>
      <c r="E56" s="70">
        <v>250</v>
      </c>
      <c r="F56" s="23"/>
      <c r="G56" s="9"/>
      <c r="H56" s="76"/>
      <c r="I56" s="10" t="s">
        <v>64</v>
      </c>
      <c r="J56" s="50">
        <v>24208</v>
      </c>
      <c r="K56" s="78">
        <v>1000</v>
      </c>
      <c r="L56" s="84" t="s">
        <v>37</v>
      </c>
      <c r="M56" s="75">
        <v>24247</v>
      </c>
      <c r="N56" s="73">
        <v>2000</v>
      </c>
      <c r="O56" s="15" t="s">
        <v>139</v>
      </c>
    </row>
    <row r="57" spans="1:15" x14ac:dyDescent="0.25">
      <c r="A57" s="16"/>
      <c r="B57" s="49"/>
      <c r="C57" s="17"/>
      <c r="D57" s="13">
        <v>24103</v>
      </c>
      <c r="E57" s="70">
        <v>400</v>
      </c>
      <c r="F57" s="69"/>
      <c r="G57" s="9">
        <v>24169</v>
      </c>
      <c r="H57" s="76">
        <v>1500</v>
      </c>
      <c r="I57" s="10" t="s">
        <v>30</v>
      </c>
      <c r="J57" s="50"/>
      <c r="K57" s="78"/>
      <c r="L57" s="51" t="s">
        <v>64</v>
      </c>
      <c r="M57" s="75"/>
      <c r="N57" s="73"/>
      <c r="O57" s="15" t="s">
        <v>140</v>
      </c>
    </row>
    <row r="58" spans="1:15" x14ac:dyDescent="0.25">
      <c r="A58" s="16"/>
      <c r="B58" s="49"/>
      <c r="C58" s="17"/>
      <c r="D58" s="13">
        <v>24104</v>
      </c>
      <c r="E58" s="70">
        <v>600</v>
      </c>
      <c r="F58" s="14"/>
      <c r="G58" s="9"/>
      <c r="H58" s="76"/>
      <c r="I58" s="10" t="s">
        <v>64</v>
      </c>
      <c r="J58" s="53">
        <v>24209</v>
      </c>
      <c r="K58" s="72">
        <v>1300</v>
      </c>
      <c r="L58" s="54" t="s">
        <v>37</v>
      </c>
      <c r="M58" s="75">
        <v>24248</v>
      </c>
      <c r="N58" s="73">
        <v>250</v>
      </c>
      <c r="O58" s="15"/>
    </row>
    <row r="59" spans="1:15" x14ac:dyDescent="0.25">
      <c r="A59" s="16"/>
      <c r="B59" s="49"/>
      <c r="C59" s="17"/>
      <c r="D59" s="13">
        <v>24105</v>
      </c>
      <c r="E59" s="70">
        <v>600</v>
      </c>
      <c r="F59" s="23" t="s">
        <v>73</v>
      </c>
      <c r="G59" s="9">
        <v>24170</v>
      </c>
      <c r="H59" s="76">
        <v>400</v>
      </c>
      <c r="I59" s="10"/>
      <c r="J59" s="53"/>
      <c r="K59" s="72"/>
      <c r="L59" s="54" t="s">
        <v>23</v>
      </c>
      <c r="M59" s="75">
        <v>24249</v>
      </c>
      <c r="N59" s="73">
        <v>500</v>
      </c>
      <c r="O59" s="15"/>
    </row>
    <row r="60" spans="1:15" x14ac:dyDescent="0.25">
      <c r="A60" s="16"/>
      <c r="B60" s="49"/>
      <c r="C60" s="17"/>
      <c r="D60" s="13"/>
      <c r="E60" s="70"/>
      <c r="F60" s="14" t="s">
        <v>18</v>
      </c>
      <c r="G60" s="9">
        <v>24171</v>
      </c>
      <c r="H60" s="76">
        <v>50</v>
      </c>
      <c r="I60" s="10" t="s">
        <v>69</v>
      </c>
      <c r="J60" s="53"/>
      <c r="K60" s="78"/>
      <c r="L60" s="51" t="s">
        <v>137</v>
      </c>
      <c r="M60" s="75">
        <v>24250</v>
      </c>
      <c r="N60" s="73">
        <v>1000</v>
      </c>
      <c r="O60" s="15" t="s">
        <v>73</v>
      </c>
    </row>
    <row r="61" spans="1:15" x14ac:dyDescent="0.25">
      <c r="A61" s="16"/>
      <c r="B61" s="49"/>
      <c r="C61" s="17"/>
      <c r="D61" s="13">
        <v>24106</v>
      </c>
      <c r="E61" s="70">
        <v>500</v>
      </c>
      <c r="F61" s="14" t="s">
        <v>51</v>
      </c>
      <c r="G61" s="9">
        <v>24172</v>
      </c>
      <c r="H61" s="76">
        <v>500</v>
      </c>
      <c r="I61" s="10"/>
      <c r="J61" s="53">
        <v>24210</v>
      </c>
      <c r="K61" s="72">
        <v>500</v>
      </c>
      <c r="L61" s="51"/>
      <c r="M61" s="75"/>
      <c r="N61" s="73"/>
      <c r="O61" s="15" t="s">
        <v>64</v>
      </c>
    </row>
    <row r="62" spans="1:15" x14ac:dyDescent="0.25">
      <c r="A62" s="16"/>
      <c r="B62" s="49"/>
      <c r="C62" s="21"/>
      <c r="D62" s="13">
        <v>24107</v>
      </c>
      <c r="E62" s="70">
        <v>200</v>
      </c>
      <c r="F62" s="14"/>
      <c r="G62" s="9">
        <v>24173</v>
      </c>
      <c r="H62" s="76">
        <v>400</v>
      </c>
      <c r="I62" s="10"/>
      <c r="J62" s="53"/>
      <c r="K62" s="72"/>
      <c r="L62" s="54"/>
      <c r="M62" s="75">
        <v>24251</v>
      </c>
      <c r="N62" s="73">
        <v>700</v>
      </c>
      <c r="O62" s="15" t="s">
        <v>131</v>
      </c>
    </row>
    <row r="63" spans="1:15" x14ac:dyDescent="0.25">
      <c r="A63" s="16"/>
      <c r="B63" s="49"/>
      <c r="C63" s="17"/>
      <c r="D63" s="13">
        <v>24108</v>
      </c>
      <c r="E63" s="70">
        <v>4300</v>
      </c>
      <c r="F63" s="14" t="s">
        <v>119</v>
      </c>
      <c r="G63" s="9">
        <v>24174</v>
      </c>
      <c r="H63" s="76">
        <v>500</v>
      </c>
      <c r="I63" s="10" t="s">
        <v>37</v>
      </c>
      <c r="J63" s="53"/>
      <c r="K63" s="72"/>
      <c r="L63" s="54"/>
      <c r="M63" s="75"/>
      <c r="N63" s="73"/>
      <c r="O63" s="15" t="s">
        <v>21</v>
      </c>
    </row>
    <row r="64" spans="1:15" x14ac:dyDescent="0.25">
      <c r="A64" s="16"/>
      <c r="B64" s="49"/>
      <c r="C64" s="17"/>
      <c r="D64" s="13"/>
      <c r="E64" s="70"/>
      <c r="F64" s="14" t="s">
        <v>120</v>
      </c>
      <c r="G64" s="9"/>
      <c r="H64" s="76"/>
      <c r="I64" s="10" t="s">
        <v>16</v>
      </c>
      <c r="J64" s="53"/>
      <c r="K64" s="72"/>
      <c r="L64" s="54"/>
      <c r="M64" s="75">
        <v>24252</v>
      </c>
      <c r="N64" s="73">
        <v>2000</v>
      </c>
      <c r="O64" s="15" t="s">
        <v>139</v>
      </c>
    </row>
    <row r="65" spans="1:15" x14ac:dyDescent="0.25">
      <c r="A65" s="16"/>
      <c r="B65" s="49"/>
      <c r="C65" s="17"/>
      <c r="D65" s="13"/>
      <c r="E65" s="70"/>
      <c r="F65" s="14" t="s">
        <v>47</v>
      </c>
      <c r="G65" s="9">
        <v>24175</v>
      </c>
      <c r="H65" s="76">
        <v>300</v>
      </c>
      <c r="I65" s="10"/>
      <c r="J65" s="53"/>
      <c r="K65" s="72"/>
      <c r="L65" s="54"/>
      <c r="M65" s="75"/>
      <c r="N65" s="73"/>
      <c r="O65" s="15" t="s">
        <v>140</v>
      </c>
    </row>
    <row r="66" spans="1:15" x14ac:dyDescent="0.25">
      <c r="A66" s="16"/>
      <c r="B66" s="49"/>
      <c r="C66" s="17"/>
      <c r="D66" s="13">
        <v>24109</v>
      </c>
      <c r="E66" s="70">
        <v>1000</v>
      </c>
      <c r="F66" s="14" t="s">
        <v>54</v>
      </c>
      <c r="G66" s="9"/>
      <c r="H66" s="76"/>
      <c r="I66" s="10"/>
      <c r="J66" s="53"/>
      <c r="K66" s="72"/>
      <c r="L66" s="54"/>
      <c r="M66" s="75">
        <v>24253</v>
      </c>
      <c r="N66" s="73">
        <v>500</v>
      </c>
      <c r="O66" s="15"/>
    </row>
    <row r="67" spans="1:15" x14ac:dyDescent="0.25">
      <c r="A67" s="16"/>
      <c r="B67" s="49"/>
      <c r="C67" s="17"/>
      <c r="D67" s="13"/>
      <c r="E67" s="70"/>
      <c r="F67" s="14" t="s">
        <v>16</v>
      </c>
      <c r="G67" s="9"/>
      <c r="H67" s="76"/>
      <c r="I67" s="10"/>
      <c r="J67" s="53"/>
      <c r="K67" s="72"/>
      <c r="L67" s="54"/>
      <c r="M67" s="75">
        <v>24254</v>
      </c>
      <c r="N67" s="73">
        <v>500</v>
      </c>
      <c r="O67" s="15" t="s">
        <v>122</v>
      </c>
    </row>
    <row r="68" spans="1:15" x14ac:dyDescent="0.25">
      <c r="A68" s="16"/>
      <c r="B68" s="49"/>
      <c r="C68" s="83"/>
      <c r="D68" s="13">
        <v>24110</v>
      </c>
      <c r="E68" s="70">
        <v>250</v>
      </c>
      <c r="F68" s="14"/>
      <c r="G68" s="9"/>
      <c r="H68" s="76"/>
      <c r="I68" s="10"/>
      <c r="J68" s="53"/>
      <c r="K68" s="72"/>
      <c r="L68" s="54"/>
      <c r="M68" s="75">
        <v>24255</v>
      </c>
      <c r="N68" s="73">
        <v>300</v>
      </c>
      <c r="O68" s="15"/>
    </row>
    <row r="69" spans="1:15" x14ac:dyDescent="0.25">
      <c r="A69" s="16"/>
      <c r="B69" s="49"/>
      <c r="C69" s="17"/>
      <c r="D69" s="13">
        <v>24111</v>
      </c>
      <c r="E69" s="70">
        <v>450</v>
      </c>
      <c r="F69" s="14"/>
      <c r="G69" s="9"/>
      <c r="H69" s="76"/>
      <c r="I69" s="10"/>
      <c r="J69" s="53"/>
      <c r="K69" s="72"/>
      <c r="L69" s="54"/>
      <c r="M69" s="75">
        <v>24256</v>
      </c>
      <c r="N69" s="73">
        <v>500</v>
      </c>
      <c r="O69" s="15"/>
    </row>
    <row r="70" spans="1:15" x14ac:dyDescent="0.25">
      <c r="A70" s="16"/>
      <c r="B70" s="49"/>
      <c r="C70" s="17"/>
      <c r="D70" s="13">
        <v>24112</v>
      </c>
      <c r="E70" s="70">
        <v>500</v>
      </c>
      <c r="F70" s="14"/>
      <c r="G70" s="9"/>
      <c r="H70" s="76"/>
      <c r="I70" s="10"/>
      <c r="J70" s="53"/>
      <c r="K70" s="72"/>
      <c r="L70" s="54"/>
      <c r="M70" s="75">
        <v>24257</v>
      </c>
      <c r="N70" s="73">
        <v>500</v>
      </c>
      <c r="O70" s="15" t="s">
        <v>73</v>
      </c>
    </row>
    <row r="71" spans="1:15" x14ac:dyDescent="0.25">
      <c r="A71" s="16"/>
      <c r="B71" s="49"/>
      <c r="C71" s="22"/>
      <c r="D71" s="13">
        <v>24113</v>
      </c>
      <c r="E71" s="70">
        <v>5500</v>
      </c>
      <c r="F71" s="14" t="s">
        <v>28</v>
      </c>
      <c r="G71" s="9"/>
      <c r="H71" s="76"/>
      <c r="I71" s="10"/>
      <c r="J71" s="53"/>
      <c r="K71" s="72"/>
      <c r="L71" s="54"/>
      <c r="M71" s="75"/>
      <c r="N71" s="73"/>
      <c r="O71" s="15" t="s">
        <v>16</v>
      </c>
    </row>
    <row r="72" spans="1:15" x14ac:dyDescent="0.25">
      <c r="A72" s="16"/>
      <c r="B72" s="49"/>
      <c r="C72" s="17"/>
      <c r="D72" s="13"/>
      <c r="E72" s="70"/>
      <c r="F72" s="14" t="s">
        <v>64</v>
      </c>
      <c r="G72" s="11"/>
      <c r="H72" s="67"/>
      <c r="I72" s="12"/>
      <c r="J72" s="53"/>
      <c r="K72" s="72"/>
      <c r="L72" s="54"/>
      <c r="M72" s="75">
        <v>24258</v>
      </c>
      <c r="N72" s="73">
        <v>600</v>
      </c>
      <c r="O72" s="15" t="s">
        <v>131</v>
      </c>
    </row>
    <row r="73" spans="1:15" x14ac:dyDescent="0.25">
      <c r="A73" s="16"/>
      <c r="B73" s="49"/>
      <c r="C73" s="17"/>
      <c r="D73" s="13"/>
      <c r="E73" s="70"/>
      <c r="F73" s="14" t="s">
        <v>47</v>
      </c>
      <c r="G73" s="11"/>
      <c r="H73" s="67"/>
      <c r="I73" s="12"/>
      <c r="J73" s="53"/>
      <c r="K73" s="72"/>
      <c r="L73" s="54"/>
      <c r="M73" s="75"/>
      <c r="N73" s="73"/>
      <c r="O73" s="15" t="s">
        <v>18</v>
      </c>
    </row>
    <row r="74" spans="1:15" x14ac:dyDescent="0.25">
      <c r="A74" s="16"/>
      <c r="B74" s="49"/>
      <c r="C74" s="17"/>
      <c r="D74" s="13">
        <v>24114</v>
      </c>
      <c r="E74" s="70">
        <v>300</v>
      </c>
      <c r="F74" s="14"/>
      <c r="G74" s="11"/>
      <c r="H74" s="67"/>
      <c r="I74" s="12"/>
      <c r="J74" s="53"/>
      <c r="K74" s="72"/>
      <c r="L74" s="54"/>
      <c r="M74" s="75">
        <v>24259</v>
      </c>
      <c r="N74" s="73">
        <v>300</v>
      </c>
      <c r="O74" s="15"/>
    </row>
    <row r="75" spans="1:15" x14ac:dyDescent="0.25">
      <c r="A75" s="16"/>
      <c r="B75" s="49"/>
      <c r="C75" s="17"/>
      <c r="D75" s="13">
        <v>24115</v>
      </c>
      <c r="E75" s="70">
        <v>500</v>
      </c>
      <c r="F75" s="14"/>
      <c r="G75" s="11"/>
      <c r="H75" s="67"/>
      <c r="I75" s="12"/>
      <c r="J75" s="53"/>
      <c r="K75" s="72"/>
      <c r="L75" s="54"/>
      <c r="M75" s="75">
        <v>24260</v>
      </c>
      <c r="N75" s="73">
        <v>1000</v>
      </c>
      <c r="O75" s="15" t="s">
        <v>141</v>
      </c>
    </row>
    <row r="76" spans="1:15" x14ac:dyDescent="0.25">
      <c r="A76" s="16"/>
      <c r="B76" s="49"/>
      <c r="C76" s="17"/>
      <c r="D76" s="13">
        <v>24116</v>
      </c>
      <c r="E76" s="70">
        <v>1000</v>
      </c>
      <c r="F76" s="14" t="s">
        <v>37</v>
      </c>
      <c r="G76" s="11"/>
      <c r="H76" s="67"/>
      <c r="I76" s="12"/>
      <c r="J76" s="53"/>
      <c r="K76" s="72"/>
      <c r="L76" s="54"/>
      <c r="M76" s="75"/>
      <c r="N76" s="73"/>
      <c r="O76" s="15" t="s">
        <v>64</v>
      </c>
    </row>
    <row r="77" spans="1:15" x14ac:dyDescent="0.25">
      <c r="A77" s="16"/>
      <c r="B77" s="49"/>
      <c r="C77" s="17"/>
      <c r="D77" s="13"/>
      <c r="E77" s="70"/>
      <c r="F77" s="14" t="s">
        <v>64</v>
      </c>
      <c r="G77" s="11"/>
      <c r="H77" s="67"/>
      <c r="I77" s="12"/>
      <c r="J77" s="53"/>
      <c r="K77" s="72"/>
      <c r="L77" s="54"/>
      <c r="M77" s="75">
        <v>24261</v>
      </c>
      <c r="N77" s="73">
        <v>1000</v>
      </c>
      <c r="O77" s="15" t="s">
        <v>131</v>
      </c>
    </row>
    <row r="78" spans="1:15" x14ac:dyDescent="0.25">
      <c r="A78" s="16"/>
      <c r="B78" s="49"/>
      <c r="C78" s="17"/>
      <c r="D78" s="13">
        <v>24117</v>
      </c>
      <c r="E78" s="70">
        <v>500</v>
      </c>
      <c r="F78" s="14"/>
      <c r="G78" s="11"/>
      <c r="H78" s="67"/>
      <c r="I78" s="12"/>
      <c r="J78" s="53"/>
      <c r="K78" s="72"/>
      <c r="L78" s="54"/>
      <c r="M78" s="75"/>
      <c r="N78" s="73"/>
      <c r="O78" s="15" t="s">
        <v>64</v>
      </c>
    </row>
    <row r="79" spans="1:15" x14ac:dyDescent="0.25">
      <c r="A79" s="16"/>
      <c r="B79" s="49"/>
      <c r="C79" s="17"/>
      <c r="D79" s="13">
        <v>24118</v>
      </c>
      <c r="E79" s="70">
        <v>400</v>
      </c>
      <c r="F79" s="14"/>
      <c r="G79" s="11"/>
      <c r="H79" s="67"/>
      <c r="I79" s="12"/>
      <c r="J79" s="53"/>
      <c r="K79" s="72"/>
      <c r="L79" s="54"/>
      <c r="M79" s="75">
        <v>24262</v>
      </c>
      <c r="N79" s="73">
        <v>1500</v>
      </c>
      <c r="O79" s="15" t="s">
        <v>30</v>
      </c>
    </row>
    <row r="80" spans="1:15" x14ac:dyDescent="0.25">
      <c r="A80" s="16"/>
      <c r="B80" s="49"/>
      <c r="C80" s="17"/>
      <c r="D80" s="13">
        <v>24119</v>
      </c>
      <c r="E80" s="70">
        <v>300</v>
      </c>
      <c r="F80" s="14" t="s">
        <v>121</v>
      </c>
      <c r="G80" s="11"/>
      <c r="H80" s="67"/>
      <c r="I80" s="12"/>
      <c r="J80" s="53"/>
      <c r="K80" s="72"/>
      <c r="L80" s="54"/>
      <c r="M80" s="75"/>
      <c r="N80" s="73"/>
      <c r="O80" s="15" t="s">
        <v>64</v>
      </c>
    </row>
    <row r="81" spans="1:15" x14ac:dyDescent="0.25">
      <c r="A81" s="16"/>
      <c r="B81" s="49"/>
      <c r="C81" s="17"/>
      <c r="D81" s="13">
        <v>24120</v>
      </c>
      <c r="E81" s="70">
        <v>300</v>
      </c>
      <c r="F81" s="14"/>
      <c r="G81" s="11"/>
      <c r="H81" s="67"/>
      <c r="I81" s="12"/>
      <c r="J81" s="53"/>
      <c r="K81" s="72"/>
      <c r="L81" s="54"/>
      <c r="M81" s="75"/>
      <c r="N81" s="73"/>
      <c r="O81" s="15"/>
    </row>
    <row r="82" spans="1:15" x14ac:dyDescent="0.25">
      <c r="A82" s="16"/>
      <c r="B82" s="49"/>
      <c r="C82" s="17"/>
      <c r="D82" s="13">
        <v>24121</v>
      </c>
      <c r="E82" s="70">
        <v>500</v>
      </c>
      <c r="F82" s="14"/>
      <c r="G82" s="11"/>
      <c r="H82" s="67"/>
      <c r="I82" s="12"/>
      <c r="J82" s="53"/>
      <c r="K82" s="72"/>
      <c r="L82" s="54"/>
      <c r="M82" s="75"/>
      <c r="N82" s="73"/>
      <c r="O82" s="15"/>
    </row>
    <row r="83" spans="1:15" x14ac:dyDescent="0.25">
      <c r="A83" s="16"/>
      <c r="B83" s="49"/>
      <c r="C83" s="17"/>
      <c r="D83" s="13">
        <v>24122</v>
      </c>
      <c r="E83" s="70">
        <v>300</v>
      </c>
      <c r="F83" s="14"/>
      <c r="G83" s="11"/>
      <c r="H83" s="67"/>
      <c r="I83" s="12"/>
      <c r="J83" s="53"/>
      <c r="K83" s="72"/>
      <c r="L83" s="54"/>
      <c r="M83" s="75"/>
      <c r="N83" s="73"/>
      <c r="O83" s="15"/>
    </row>
    <row r="84" spans="1:15" x14ac:dyDescent="0.25">
      <c r="A84" s="16"/>
      <c r="B84" s="49"/>
      <c r="C84" s="17"/>
      <c r="D84" s="13">
        <v>24123</v>
      </c>
      <c r="E84" s="70">
        <v>500</v>
      </c>
      <c r="F84" s="14"/>
      <c r="G84" s="11"/>
      <c r="H84" s="67"/>
      <c r="I84" s="12"/>
      <c r="J84" s="53"/>
      <c r="K84" s="72"/>
      <c r="L84" s="54"/>
      <c r="M84" s="75"/>
      <c r="N84" s="73"/>
      <c r="O84" s="15"/>
    </row>
    <row r="85" spans="1:15" x14ac:dyDescent="0.25">
      <c r="A85" s="16"/>
      <c r="B85" s="49"/>
      <c r="C85" s="17"/>
      <c r="D85" s="13">
        <v>24124</v>
      </c>
      <c r="E85" s="70">
        <v>1000</v>
      </c>
      <c r="F85" s="14" t="s">
        <v>37</v>
      </c>
      <c r="G85" s="11"/>
      <c r="H85" s="67"/>
      <c r="I85" s="12"/>
      <c r="J85" s="53"/>
      <c r="K85" s="72"/>
      <c r="L85" s="54"/>
      <c r="M85" s="75"/>
      <c r="N85" s="73"/>
      <c r="O85" s="15"/>
    </row>
    <row r="86" spans="1:15" x14ac:dyDescent="0.25">
      <c r="A86" s="16"/>
      <c r="B86" s="49"/>
      <c r="C86" s="17"/>
      <c r="D86" s="13"/>
      <c r="E86" s="70"/>
      <c r="F86" s="14" t="s">
        <v>64</v>
      </c>
      <c r="G86" s="11"/>
      <c r="H86" s="67"/>
      <c r="I86" s="12"/>
      <c r="J86" s="53"/>
      <c r="K86" s="72"/>
      <c r="L86" s="54"/>
      <c r="M86" s="75"/>
      <c r="N86" s="73"/>
      <c r="O86" s="15"/>
    </row>
    <row r="87" spans="1:15" x14ac:dyDescent="0.25">
      <c r="A87" s="16"/>
      <c r="B87" s="49"/>
      <c r="C87" s="17"/>
      <c r="D87" s="13">
        <v>24125</v>
      </c>
      <c r="E87" s="70">
        <v>300</v>
      </c>
      <c r="F87" s="14" t="s">
        <v>98</v>
      </c>
      <c r="G87" s="11"/>
      <c r="H87" s="67"/>
      <c r="I87" s="12"/>
      <c r="J87" s="53"/>
      <c r="K87" s="72"/>
      <c r="L87" s="54"/>
      <c r="M87" s="75"/>
      <c r="N87" s="73"/>
      <c r="O87" s="15"/>
    </row>
    <row r="88" spans="1:15" x14ac:dyDescent="0.25">
      <c r="A88" s="16"/>
      <c r="B88" s="49"/>
      <c r="C88" s="17"/>
      <c r="D88" s="13">
        <v>24126</v>
      </c>
      <c r="E88" s="70">
        <v>250</v>
      </c>
      <c r="F88" s="14" t="s">
        <v>122</v>
      </c>
      <c r="G88" s="11"/>
      <c r="H88" s="67"/>
      <c r="I88" s="12"/>
      <c r="J88" s="53"/>
      <c r="K88" s="72"/>
      <c r="L88" s="54"/>
      <c r="M88" s="75"/>
      <c r="N88" s="73"/>
      <c r="O88" s="15"/>
    </row>
    <row r="89" spans="1:15" x14ac:dyDescent="0.25">
      <c r="A89" s="16"/>
      <c r="B89" s="49"/>
      <c r="C89" s="17"/>
      <c r="D89" s="13">
        <v>24127</v>
      </c>
      <c r="E89" s="70">
        <v>500</v>
      </c>
      <c r="F89" s="14" t="s">
        <v>98</v>
      </c>
      <c r="G89" s="11"/>
      <c r="H89" s="67"/>
      <c r="I89" s="12"/>
      <c r="J89" s="53"/>
      <c r="K89" s="72"/>
      <c r="L89" s="54"/>
      <c r="M89" s="75"/>
      <c r="N89" s="73"/>
      <c r="O89" s="15"/>
    </row>
    <row r="90" spans="1:15" x14ac:dyDescent="0.25">
      <c r="A90" s="16"/>
      <c r="B90" s="49"/>
      <c r="C90" s="17"/>
      <c r="D90" s="13">
        <v>24128</v>
      </c>
      <c r="E90" s="70">
        <v>500</v>
      </c>
      <c r="F90" s="14" t="s">
        <v>98</v>
      </c>
      <c r="G90" s="11"/>
      <c r="H90" s="67"/>
      <c r="I90" s="12"/>
      <c r="J90" s="53"/>
      <c r="K90" s="72"/>
      <c r="L90" s="54"/>
      <c r="M90" s="75"/>
      <c r="N90" s="73"/>
      <c r="O90" s="15"/>
    </row>
    <row r="91" spans="1:15" x14ac:dyDescent="0.25">
      <c r="A91" s="16"/>
      <c r="B91" s="49"/>
      <c r="C91" s="17"/>
      <c r="D91" s="13">
        <v>24129</v>
      </c>
      <c r="E91" s="70">
        <v>1000</v>
      </c>
      <c r="F91" s="14" t="s">
        <v>29</v>
      </c>
      <c r="G91" s="11"/>
      <c r="H91" s="67"/>
      <c r="I91" s="12"/>
      <c r="J91" s="53"/>
      <c r="K91" s="72"/>
      <c r="L91" s="54"/>
      <c r="M91" s="75"/>
      <c r="N91" s="73"/>
      <c r="O91" s="15"/>
    </row>
    <row r="92" spans="1:15" x14ac:dyDescent="0.25">
      <c r="A92" s="16"/>
      <c r="B92" s="49"/>
      <c r="C92" s="17"/>
      <c r="D92" s="13"/>
      <c r="E92" s="70"/>
      <c r="F92" s="14" t="s">
        <v>64</v>
      </c>
      <c r="G92" s="11"/>
      <c r="H92" s="67"/>
      <c r="I92" s="12"/>
      <c r="J92" s="53"/>
      <c r="K92" s="72"/>
      <c r="L92" s="54"/>
      <c r="M92" s="75"/>
      <c r="N92" s="73"/>
      <c r="O92" s="15"/>
    </row>
    <row r="93" spans="1:15" x14ac:dyDescent="0.25">
      <c r="A93" s="16"/>
      <c r="B93" s="49"/>
      <c r="C93" s="17"/>
      <c r="D93" s="13">
        <v>24130</v>
      </c>
      <c r="E93" s="70">
        <v>1000</v>
      </c>
      <c r="F93" s="14" t="s">
        <v>29</v>
      </c>
      <c r="G93" s="11"/>
      <c r="H93" s="67"/>
      <c r="I93" s="12"/>
      <c r="J93" s="53"/>
      <c r="K93" s="72"/>
      <c r="L93" s="54"/>
      <c r="M93" s="75"/>
      <c r="N93" s="73"/>
      <c r="O93" s="15"/>
    </row>
    <row r="94" spans="1:15" x14ac:dyDescent="0.25">
      <c r="A94" s="16"/>
      <c r="B94" s="49"/>
      <c r="C94" s="17"/>
      <c r="D94" s="13"/>
      <c r="E94" s="70"/>
      <c r="F94" s="14" t="s">
        <v>64</v>
      </c>
      <c r="G94" s="11"/>
      <c r="H94" s="67"/>
      <c r="I94" s="12"/>
      <c r="J94" s="53"/>
      <c r="K94" s="72"/>
      <c r="L94" s="54"/>
      <c r="M94" s="75"/>
      <c r="N94" s="73"/>
      <c r="O94" s="15"/>
    </row>
    <row r="95" spans="1:15" x14ac:dyDescent="0.25">
      <c r="A95" s="16"/>
      <c r="B95" s="49"/>
      <c r="C95" s="17"/>
      <c r="D95" s="13">
        <v>24131</v>
      </c>
      <c r="E95" s="70">
        <v>400</v>
      </c>
      <c r="F95" s="14" t="s">
        <v>98</v>
      </c>
      <c r="G95" s="11"/>
      <c r="H95" s="67"/>
      <c r="I95" s="12"/>
      <c r="J95" s="53"/>
      <c r="K95" s="72"/>
      <c r="L95" s="54"/>
      <c r="M95" s="75"/>
      <c r="N95" s="73"/>
      <c r="O95" s="15"/>
    </row>
    <row r="96" spans="1:15" x14ac:dyDescent="0.25">
      <c r="A96" s="16"/>
      <c r="B96" s="49"/>
      <c r="C96" s="17"/>
      <c r="D96" s="13">
        <v>24132</v>
      </c>
      <c r="E96" s="70">
        <v>600</v>
      </c>
      <c r="F96" s="14"/>
      <c r="G96" s="11"/>
      <c r="H96" s="67"/>
      <c r="I96" s="12"/>
      <c r="J96" s="53"/>
      <c r="K96" s="72"/>
      <c r="L96" s="54"/>
      <c r="M96" s="75"/>
      <c r="N96" s="73"/>
      <c r="O96" s="15"/>
    </row>
    <row r="97" spans="1:15" x14ac:dyDescent="0.25">
      <c r="A97" s="16"/>
      <c r="B97" s="49"/>
      <c r="C97" s="17"/>
      <c r="D97" s="13">
        <v>24133</v>
      </c>
      <c r="E97" s="70">
        <v>2000</v>
      </c>
      <c r="F97" s="14" t="s">
        <v>54</v>
      </c>
      <c r="G97" s="11"/>
      <c r="H97" s="67"/>
      <c r="I97" s="12"/>
      <c r="J97" s="53"/>
      <c r="K97" s="72"/>
      <c r="L97" s="54"/>
      <c r="M97" s="75"/>
      <c r="N97" s="73"/>
      <c r="O97" s="15"/>
    </row>
    <row r="98" spans="1:15" x14ac:dyDescent="0.25">
      <c r="A98" s="16"/>
      <c r="B98" s="49"/>
      <c r="C98" s="17"/>
      <c r="D98" s="13"/>
      <c r="E98" s="70"/>
      <c r="F98" s="14" t="s">
        <v>64</v>
      </c>
      <c r="G98" s="11"/>
      <c r="H98" s="67"/>
      <c r="I98" s="12"/>
      <c r="J98" s="53"/>
      <c r="K98" s="72"/>
      <c r="L98" s="54"/>
      <c r="M98" s="75"/>
      <c r="N98" s="73"/>
      <c r="O98" s="15"/>
    </row>
    <row r="99" spans="1:15" x14ac:dyDescent="0.25">
      <c r="A99" s="16"/>
      <c r="B99" s="49"/>
      <c r="C99" s="17"/>
      <c r="D99" s="13">
        <v>24134</v>
      </c>
      <c r="E99" s="70">
        <v>300</v>
      </c>
      <c r="F99" s="14"/>
      <c r="G99" s="11"/>
      <c r="H99" s="67"/>
      <c r="I99" s="12"/>
      <c r="J99" s="53"/>
      <c r="K99" s="72"/>
      <c r="L99" s="54"/>
      <c r="M99" s="75"/>
      <c r="N99" s="73"/>
      <c r="O99" s="15"/>
    </row>
    <row r="100" spans="1:15" x14ac:dyDescent="0.25">
      <c r="A100" s="16"/>
      <c r="B100" s="49"/>
      <c r="C100" s="17"/>
      <c r="D100" s="13">
        <v>24135</v>
      </c>
      <c r="E100" s="70">
        <v>1200</v>
      </c>
      <c r="F100" s="14" t="s">
        <v>30</v>
      </c>
      <c r="G100" s="11"/>
      <c r="H100" s="67"/>
      <c r="I100" s="12"/>
      <c r="J100" s="53"/>
      <c r="K100" s="72"/>
      <c r="L100" s="57"/>
      <c r="M100" s="75"/>
      <c r="N100" s="73"/>
      <c r="O100" s="15"/>
    </row>
    <row r="101" spans="1:15" x14ac:dyDescent="0.25">
      <c r="A101" s="16"/>
      <c r="B101" s="49"/>
      <c r="C101" s="17"/>
      <c r="D101" s="13"/>
      <c r="E101" s="70"/>
      <c r="F101" s="14" t="s">
        <v>17</v>
      </c>
      <c r="G101" s="11"/>
      <c r="H101" s="67"/>
      <c r="I101" s="12"/>
      <c r="J101" s="53"/>
      <c r="K101" s="72"/>
      <c r="L101" s="54"/>
      <c r="M101" s="75"/>
      <c r="N101" s="73"/>
      <c r="O101" s="15"/>
    </row>
    <row r="102" spans="1:15" x14ac:dyDescent="0.25">
      <c r="A102" s="16"/>
      <c r="B102" s="49"/>
      <c r="C102" s="17"/>
      <c r="D102" s="13"/>
      <c r="E102" s="70"/>
      <c r="F102" s="14"/>
      <c r="G102" s="11"/>
      <c r="H102" s="67"/>
      <c r="I102" s="12"/>
      <c r="J102" s="53"/>
      <c r="K102" s="72"/>
      <c r="L102" s="54"/>
      <c r="M102" s="75"/>
      <c r="N102" s="73"/>
      <c r="O102" s="15"/>
    </row>
    <row r="103" spans="1:15" x14ac:dyDescent="0.25">
      <c r="A103" s="16"/>
      <c r="B103" s="49"/>
      <c r="C103" s="17"/>
      <c r="D103" s="13"/>
      <c r="E103" s="70"/>
      <c r="F103" s="14"/>
      <c r="G103" s="11"/>
      <c r="H103" s="67"/>
      <c r="I103" s="12"/>
      <c r="J103" s="53"/>
      <c r="K103" s="72"/>
      <c r="L103" s="54"/>
      <c r="M103" s="75"/>
      <c r="N103" s="73"/>
      <c r="O103" s="15"/>
    </row>
    <row r="104" spans="1:15" x14ac:dyDescent="0.25">
      <c r="A104" s="16"/>
      <c r="B104" s="49"/>
      <c r="C104" s="17"/>
      <c r="D104" s="13"/>
      <c r="E104" s="70"/>
      <c r="F104" s="14"/>
      <c r="G104" s="11"/>
      <c r="H104" s="67"/>
      <c r="I104" s="12"/>
      <c r="J104" s="53"/>
      <c r="K104" s="72"/>
      <c r="L104" s="54"/>
      <c r="M104" s="75"/>
      <c r="N104" s="73"/>
      <c r="O104" s="15"/>
    </row>
    <row r="105" spans="1:15" x14ac:dyDescent="0.25">
      <c r="A105" s="16"/>
      <c r="B105" s="49"/>
      <c r="C105" s="17"/>
      <c r="D105" s="13"/>
      <c r="E105" s="70"/>
      <c r="F105" s="14"/>
      <c r="G105" s="11"/>
      <c r="H105" s="67"/>
      <c r="I105" s="12"/>
      <c r="J105" s="53"/>
      <c r="K105" s="72"/>
      <c r="L105" s="54"/>
      <c r="M105" s="75"/>
      <c r="N105" s="73"/>
      <c r="O105" s="15"/>
    </row>
    <row r="106" spans="1:15" x14ac:dyDescent="0.25">
      <c r="A106" s="16"/>
      <c r="B106" s="49"/>
      <c r="C106" s="17"/>
      <c r="D106" s="13"/>
      <c r="E106" s="70"/>
      <c r="F106" s="14"/>
      <c r="G106" s="11"/>
      <c r="H106" s="67"/>
      <c r="I106" s="12"/>
      <c r="J106" s="53"/>
      <c r="K106" s="72"/>
      <c r="L106" s="54"/>
      <c r="M106" s="75"/>
      <c r="N106" s="73"/>
      <c r="O106" s="15"/>
    </row>
    <row r="107" spans="1:15" x14ac:dyDescent="0.25">
      <c r="A107" s="16"/>
      <c r="B107" s="49"/>
      <c r="C107" s="17"/>
      <c r="D107" s="13"/>
      <c r="E107" s="70"/>
      <c r="F107" s="14"/>
      <c r="G107" s="11"/>
      <c r="H107" s="67"/>
      <c r="I107" s="12"/>
      <c r="J107" s="53"/>
      <c r="K107" s="72"/>
      <c r="L107" s="54"/>
      <c r="M107" s="75"/>
      <c r="N107" s="73"/>
      <c r="O107" s="15"/>
    </row>
    <row r="108" spans="1:15" x14ac:dyDescent="0.25">
      <c r="A108" s="16"/>
      <c r="B108" s="49"/>
      <c r="C108" s="17"/>
      <c r="D108" s="13"/>
      <c r="E108" s="70"/>
      <c r="F108" s="14"/>
      <c r="G108" s="11"/>
      <c r="H108" s="67"/>
      <c r="I108" s="12"/>
      <c r="J108" s="53"/>
      <c r="K108" s="72"/>
      <c r="L108" s="54"/>
      <c r="M108" s="75"/>
      <c r="N108" s="73"/>
      <c r="O108" s="15"/>
    </row>
    <row r="109" spans="1:15" x14ac:dyDescent="0.25">
      <c r="A109" s="16"/>
      <c r="B109" s="49"/>
      <c r="C109" s="17"/>
      <c r="D109" s="13"/>
      <c r="E109" s="70"/>
      <c r="F109" s="14"/>
      <c r="G109" s="11"/>
      <c r="H109" s="67"/>
      <c r="I109" s="12"/>
      <c r="J109" s="53"/>
      <c r="K109" s="72"/>
      <c r="L109" s="54"/>
      <c r="M109" s="75"/>
      <c r="N109" s="73"/>
      <c r="O109" s="15"/>
    </row>
    <row r="110" spans="1:15" x14ac:dyDescent="0.25">
      <c r="A110" s="16"/>
      <c r="B110" s="49"/>
      <c r="C110" s="17"/>
      <c r="D110" s="13"/>
      <c r="E110" s="70"/>
      <c r="F110" s="14"/>
      <c r="G110" s="11"/>
      <c r="H110" s="67"/>
      <c r="I110" s="12"/>
      <c r="J110" s="53"/>
      <c r="K110" s="72"/>
      <c r="L110" s="54"/>
      <c r="M110" s="75"/>
      <c r="N110" s="73"/>
      <c r="O110" s="15"/>
    </row>
    <row r="111" spans="1:15" x14ac:dyDescent="0.25">
      <c r="A111" s="16"/>
      <c r="B111" s="49"/>
      <c r="C111" s="17"/>
      <c r="D111" s="13"/>
      <c r="E111" s="70"/>
      <c r="F111" s="14"/>
      <c r="G111" s="11"/>
      <c r="H111" s="67"/>
      <c r="I111" s="12"/>
      <c r="J111" s="53"/>
      <c r="K111" s="72"/>
      <c r="L111" s="54"/>
      <c r="M111" s="75"/>
      <c r="N111" s="73"/>
      <c r="O111" s="15"/>
    </row>
    <row r="112" spans="1:15" x14ac:dyDescent="0.25">
      <c r="A112" s="16"/>
      <c r="B112" s="49"/>
      <c r="C112" s="17"/>
      <c r="D112" s="13"/>
      <c r="E112" s="70"/>
      <c r="F112" s="14"/>
      <c r="G112" s="11"/>
      <c r="H112" s="67"/>
      <c r="I112" s="12"/>
      <c r="J112" s="53"/>
      <c r="K112" s="72"/>
      <c r="L112" s="54"/>
      <c r="M112" s="75"/>
      <c r="N112" s="73"/>
      <c r="O112" s="15"/>
    </row>
    <row r="113" spans="1:15" x14ac:dyDescent="0.25">
      <c r="A113" s="16"/>
      <c r="B113" s="49"/>
      <c r="C113" s="17"/>
      <c r="D113" s="13"/>
      <c r="E113" s="70"/>
      <c r="F113" s="14"/>
      <c r="G113" s="11"/>
      <c r="H113" s="67"/>
      <c r="I113" s="12"/>
      <c r="J113" s="53"/>
      <c r="K113" s="72"/>
      <c r="L113" s="54"/>
      <c r="M113" s="75"/>
      <c r="N113" s="73"/>
      <c r="O113" s="15"/>
    </row>
    <row r="114" spans="1:15" x14ac:dyDescent="0.25">
      <c r="A114" s="16"/>
      <c r="B114" s="49"/>
      <c r="C114" s="17"/>
      <c r="D114" s="13"/>
      <c r="E114" s="70"/>
      <c r="F114" s="14"/>
      <c r="G114" s="11"/>
      <c r="H114" s="67"/>
      <c r="I114" s="12"/>
      <c r="J114" s="53"/>
      <c r="K114" s="72"/>
      <c r="L114" s="54"/>
      <c r="M114" s="75"/>
      <c r="N114" s="73"/>
      <c r="O114" s="15"/>
    </row>
    <row r="115" spans="1:15" x14ac:dyDescent="0.25">
      <c r="A115" s="16"/>
      <c r="B115" s="49"/>
      <c r="C115" s="17"/>
      <c r="D115" s="13"/>
      <c r="E115" s="70"/>
      <c r="F115" s="14"/>
      <c r="G115" s="11"/>
      <c r="H115" s="67"/>
      <c r="I115" s="12"/>
      <c r="J115" s="53"/>
      <c r="K115" s="72"/>
      <c r="L115" s="54"/>
      <c r="M115" s="75"/>
      <c r="N115" s="73"/>
      <c r="O115" s="15"/>
    </row>
    <row r="116" spans="1:15" x14ac:dyDescent="0.25">
      <c r="A116" s="16"/>
      <c r="B116" s="49"/>
      <c r="C116" s="17"/>
      <c r="D116" s="13"/>
      <c r="E116" s="70"/>
      <c r="F116" s="14"/>
      <c r="G116" s="11"/>
      <c r="H116" s="67"/>
      <c r="I116" s="12"/>
      <c r="J116" s="53"/>
      <c r="K116" s="72"/>
      <c r="L116" s="54"/>
      <c r="M116" s="75"/>
      <c r="N116" s="73"/>
      <c r="O116" s="15"/>
    </row>
    <row r="117" spans="1:15" x14ac:dyDescent="0.25">
      <c r="A117" s="16"/>
      <c r="B117" s="49"/>
      <c r="C117" s="17"/>
      <c r="D117" s="13"/>
      <c r="E117" s="70"/>
      <c r="F117" s="14"/>
      <c r="G117" s="11"/>
      <c r="H117" s="67"/>
      <c r="I117" s="12"/>
      <c r="J117" s="53"/>
      <c r="K117" s="72"/>
      <c r="L117" s="54"/>
      <c r="M117" s="75"/>
      <c r="N117" s="73"/>
      <c r="O117" s="15"/>
    </row>
    <row r="118" spans="1:15" x14ac:dyDescent="0.25">
      <c r="A118" s="16"/>
      <c r="B118" s="49"/>
      <c r="C118" s="17"/>
      <c r="D118" s="13"/>
      <c r="E118" s="70"/>
      <c r="F118" s="14"/>
      <c r="G118" s="11"/>
      <c r="H118" s="67"/>
      <c r="I118" s="12"/>
      <c r="J118" s="53"/>
      <c r="K118" s="72"/>
      <c r="L118" s="54"/>
      <c r="M118" s="75"/>
      <c r="N118" s="73"/>
      <c r="O118" s="15"/>
    </row>
    <row r="119" spans="1:15" x14ac:dyDescent="0.25">
      <c r="A119" s="16"/>
      <c r="B119" s="49"/>
      <c r="C119" s="17"/>
      <c r="D119" s="13"/>
      <c r="E119" s="70"/>
      <c r="F119" s="14"/>
      <c r="G119" s="11"/>
      <c r="H119" s="67"/>
      <c r="I119" s="12"/>
      <c r="J119" s="53"/>
      <c r="K119" s="72"/>
      <c r="L119" s="54"/>
      <c r="M119" s="75"/>
      <c r="N119" s="73"/>
      <c r="O119" s="15"/>
    </row>
    <row r="120" spans="1:15" x14ac:dyDescent="0.25">
      <c r="A120" s="16"/>
      <c r="B120" s="49"/>
      <c r="C120" s="17"/>
      <c r="D120" s="13"/>
      <c r="E120" s="70"/>
      <c r="F120" s="14"/>
      <c r="G120" s="11"/>
      <c r="H120" s="67"/>
      <c r="I120" s="12"/>
      <c r="J120" s="53"/>
      <c r="K120" s="72"/>
      <c r="L120" s="54"/>
      <c r="M120" s="75"/>
      <c r="N120" s="73"/>
      <c r="O120" s="15"/>
    </row>
    <row r="121" spans="1:15" x14ac:dyDescent="0.25">
      <c r="A121" s="16"/>
      <c r="B121" s="49"/>
      <c r="C121" s="17"/>
      <c r="D121" s="13"/>
      <c r="E121" s="70"/>
      <c r="F121" s="14"/>
      <c r="G121" s="11"/>
      <c r="H121" s="67"/>
      <c r="I121" s="12"/>
      <c r="J121" s="53"/>
      <c r="K121" s="72"/>
      <c r="L121" s="54"/>
      <c r="M121" s="75"/>
      <c r="N121" s="73"/>
      <c r="O121" s="15"/>
    </row>
    <row r="122" spans="1:15" x14ac:dyDescent="0.25">
      <c r="A122" s="16"/>
      <c r="B122" s="49"/>
      <c r="C122" s="17"/>
      <c r="D122" s="13"/>
      <c r="E122" s="70"/>
      <c r="F122" s="14"/>
      <c r="G122" s="11"/>
      <c r="H122" s="67"/>
      <c r="I122" s="12"/>
      <c r="J122" s="53"/>
      <c r="K122" s="72"/>
      <c r="L122" s="54"/>
      <c r="M122" s="75"/>
      <c r="N122" s="73"/>
      <c r="O122" s="15"/>
    </row>
    <row r="123" spans="1:15" x14ac:dyDescent="0.25">
      <c r="A123" s="16"/>
      <c r="B123" s="49"/>
      <c r="C123" s="17"/>
      <c r="D123" s="13"/>
      <c r="E123" s="70"/>
      <c r="F123" s="14"/>
      <c r="G123" s="11"/>
      <c r="H123" s="67"/>
      <c r="I123" s="12"/>
      <c r="J123" s="53"/>
      <c r="K123" s="72"/>
      <c r="L123" s="54"/>
      <c r="M123" s="75"/>
      <c r="N123" s="73"/>
      <c r="O123" s="15"/>
    </row>
    <row r="124" spans="1:15" x14ac:dyDescent="0.25">
      <c r="A124" s="16"/>
      <c r="B124" s="49"/>
      <c r="C124" s="17"/>
      <c r="D124" s="13"/>
      <c r="E124" s="70"/>
      <c r="F124" s="14"/>
      <c r="G124" s="11"/>
      <c r="H124" s="67"/>
      <c r="I124" s="12"/>
      <c r="J124" s="53"/>
      <c r="K124" s="72"/>
      <c r="L124" s="54"/>
      <c r="M124" s="75"/>
      <c r="N124" s="73"/>
      <c r="O124" s="15"/>
    </row>
    <row r="125" spans="1:15" x14ac:dyDescent="0.25">
      <c r="A125" s="16"/>
      <c r="B125" s="49"/>
      <c r="C125" s="17"/>
      <c r="D125" s="13"/>
      <c r="E125" s="70"/>
      <c r="F125" s="14"/>
      <c r="G125" s="11"/>
      <c r="H125" s="67"/>
      <c r="I125" s="12"/>
      <c r="J125" s="53"/>
      <c r="K125" s="72"/>
      <c r="L125" s="54"/>
      <c r="M125" s="75"/>
      <c r="N125" s="73"/>
      <c r="O125" s="15"/>
    </row>
    <row r="126" spans="1:15" x14ac:dyDescent="0.25">
      <c r="A126" s="16"/>
      <c r="B126" s="49"/>
      <c r="C126" s="17"/>
      <c r="D126" s="13"/>
      <c r="E126" s="70"/>
      <c r="F126" s="14"/>
      <c r="G126" s="11"/>
      <c r="H126" s="67"/>
      <c r="I126" s="12"/>
      <c r="J126" s="53"/>
      <c r="K126" s="72"/>
      <c r="L126" s="54"/>
      <c r="M126" s="75"/>
      <c r="N126" s="73"/>
      <c r="O126" s="15"/>
    </row>
    <row r="127" spans="1:15" x14ac:dyDescent="0.25">
      <c r="A127" s="16"/>
      <c r="B127" s="49"/>
      <c r="C127" s="17"/>
      <c r="D127" s="13"/>
      <c r="E127" s="70"/>
      <c r="F127" s="14"/>
      <c r="G127" s="11"/>
      <c r="H127" s="67"/>
      <c r="I127" s="12"/>
      <c r="J127" s="53"/>
      <c r="K127" s="72"/>
      <c r="L127" s="54"/>
      <c r="M127" s="75"/>
      <c r="N127" s="73"/>
      <c r="O127" s="15"/>
    </row>
    <row r="128" spans="1:15" x14ac:dyDescent="0.25">
      <c r="A128" s="16"/>
      <c r="B128" s="49"/>
      <c r="C128" s="17"/>
      <c r="D128" s="13"/>
      <c r="E128" s="70"/>
      <c r="F128" s="14"/>
      <c r="G128" s="11"/>
      <c r="H128" s="67"/>
      <c r="I128" s="12"/>
      <c r="J128" s="53"/>
      <c r="K128" s="72"/>
      <c r="L128" s="54"/>
      <c r="M128" s="75"/>
      <c r="N128" s="73"/>
      <c r="O128" s="15"/>
    </row>
    <row r="129" spans="1:15" x14ac:dyDescent="0.25">
      <c r="A129" s="16"/>
      <c r="B129" s="49"/>
      <c r="C129" s="17"/>
      <c r="D129" s="13"/>
      <c r="E129" s="70"/>
      <c r="F129" s="14"/>
      <c r="G129" s="11"/>
      <c r="H129" s="67"/>
      <c r="I129" s="12"/>
      <c r="J129" s="53"/>
      <c r="K129" s="72"/>
      <c r="L129" s="54"/>
      <c r="M129" s="75"/>
      <c r="N129" s="73"/>
      <c r="O129" s="15"/>
    </row>
    <row r="130" spans="1:15" x14ac:dyDescent="0.25">
      <c r="A130" s="16"/>
      <c r="B130" s="49"/>
      <c r="C130" s="17"/>
      <c r="D130" s="13"/>
      <c r="E130" s="70"/>
      <c r="F130" s="14"/>
      <c r="G130" s="11"/>
      <c r="H130" s="67"/>
      <c r="I130" s="12"/>
      <c r="J130" s="53"/>
      <c r="K130" s="72"/>
      <c r="L130" s="54"/>
      <c r="M130" s="75"/>
      <c r="N130" s="73"/>
      <c r="O130" s="15"/>
    </row>
    <row r="131" spans="1:15" x14ac:dyDescent="0.25">
      <c r="A131" s="16"/>
      <c r="B131" s="49"/>
      <c r="C131" s="17"/>
      <c r="D131" s="13"/>
      <c r="E131" s="70"/>
      <c r="F131" s="14"/>
      <c r="G131" s="11"/>
      <c r="H131" s="67"/>
      <c r="I131" s="12"/>
      <c r="J131" s="53"/>
      <c r="K131" s="72"/>
      <c r="L131" s="54"/>
      <c r="M131" s="75"/>
      <c r="N131" s="73"/>
      <c r="O131" s="15"/>
    </row>
    <row r="132" spans="1:15" x14ac:dyDescent="0.25">
      <c r="A132" s="16"/>
      <c r="B132" s="49"/>
      <c r="C132" s="17"/>
      <c r="D132" s="13"/>
      <c r="E132" s="70"/>
      <c r="F132" s="14"/>
      <c r="G132" s="11"/>
      <c r="H132" s="67"/>
      <c r="I132" s="12"/>
      <c r="J132" s="53"/>
      <c r="K132" s="72"/>
      <c r="L132" s="54"/>
      <c r="M132" s="75"/>
      <c r="N132" s="73"/>
      <c r="O132" s="15"/>
    </row>
    <row r="133" spans="1:15" x14ac:dyDescent="0.25">
      <c r="A133" s="26"/>
      <c r="B133" s="26"/>
      <c r="C133" s="58"/>
      <c r="D133" s="26"/>
      <c r="E133" s="58"/>
      <c r="F133" s="58"/>
      <c r="G133" s="26"/>
      <c r="H133" s="58"/>
      <c r="I133" s="58"/>
      <c r="J133" s="26"/>
      <c r="K133" s="58"/>
      <c r="L133" s="58"/>
      <c r="M133" s="58"/>
      <c r="N133" s="58"/>
      <c r="O133" s="58"/>
    </row>
    <row r="134" spans="1:15" x14ac:dyDescent="0.25">
      <c r="A134" s="26"/>
      <c r="B134" s="26"/>
      <c r="C134" s="58"/>
      <c r="D134" s="26"/>
      <c r="E134" s="58"/>
      <c r="F134" s="58"/>
      <c r="G134" s="26"/>
      <c r="H134" s="58"/>
      <c r="I134" s="58"/>
      <c r="J134" s="26"/>
      <c r="K134" s="58"/>
      <c r="L134" s="58"/>
      <c r="M134" s="58"/>
      <c r="N134" s="58"/>
      <c r="O134" s="58"/>
    </row>
    <row r="135" spans="1:15" x14ac:dyDescent="0.25">
      <c r="A135" s="26"/>
      <c r="B135" s="26"/>
      <c r="C135" s="58"/>
      <c r="D135" s="26"/>
      <c r="E135" s="58"/>
      <c r="F135" s="58"/>
      <c r="G135" s="26"/>
      <c r="H135" s="58"/>
      <c r="I135" s="58"/>
      <c r="J135" s="26"/>
      <c r="K135" s="58"/>
      <c r="L135" s="58"/>
      <c r="M135" s="58"/>
      <c r="N135" s="58"/>
      <c r="O135" s="58"/>
    </row>
    <row r="136" spans="1:15" x14ac:dyDescent="0.25">
      <c r="A136" s="26"/>
      <c r="B136" s="26"/>
      <c r="C136" s="58"/>
      <c r="D136" s="26"/>
      <c r="E136" s="58"/>
      <c r="F136" s="58"/>
      <c r="G136" s="26"/>
      <c r="H136" s="58"/>
      <c r="I136" s="58"/>
      <c r="J136" s="26"/>
      <c r="K136" s="58"/>
      <c r="L136" s="58"/>
      <c r="M136" s="58"/>
      <c r="N136" s="58"/>
      <c r="O136" s="58"/>
    </row>
    <row r="137" spans="1:15" x14ac:dyDescent="0.25">
      <c r="A137" s="26"/>
      <c r="B137" s="26"/>
      <c r="C137" s="58"/>
      <c r="D137" s="26"/>
      <c r="E137" s="58"/>
      <c r="F137" s="58"/>
      <c r="G137" s="26"/>
      <c r="H137" s="58"/>
      <c r="I137" s="58"/>
      <c r="J137" s="26"/>
      <c r="K137" s="58"/>
      <c r="L137" s="58"/>
      <c r="M137" s="58"/>
      <c r="N137" s="58"/>
      <c r="O137" s="58"/>
    </row>
    <row r="138" spans="1:15" x14ac:dyDescent="0.25">
      <c r="A138" s="26"/>
      <c r="B138" s="26"/>
      <c r="C138" s="58"/>
      <c r="D138" s="26"/>
      <c r="E138" s="58"/>
      <c r="F138" s="58"/>
      <c r="G138" s="26"/>
      <c r="H138" s="58"/>
      <c r="I138" s="58"/>
      <c r="J138" s="26"/>
      <c r="K138" s="58"/>
      <c r="L138" s="58"/>
      <c r="M138" s="58"/>
      <c r="N138" s="58"/>
      <c r="O138" s="58"/>
    </row>
    <row r="139" spans="1:15" x14ac:dyDescent="0.25">
      <c r="A139" s="26"/>
      <c r="B139" s="26"/>
      <c r="C139" s="58"/>
      <c r="D139" s="26"/>
      <c r="E139" s="58"/>
      <c r="F139" s="58"/>
      <c r="G139" s="26"/>
      <c r="H139" s="58"/>
      <c r="I139" s="58"/>
      <c r="J139" s="26"/>
      <c r="K139" s="58"/>
      <c r="L139" s="58"/>
      <c r="M139" s="58"/>
      <c r="N139" s="58"/>
      <c r="O139" s="58"/>
    </row>
    <row r="140" spans="1:15" x14ac:dyDescent="0.25">
      <c r="A140" s="26"/>
      <c r="B140" s="26"/>
      <c r="C140" s="58"/>
      <c r="D140" s="26"/>
      <c r="E140" s="58"/>
      <c r="F140" s="58"/>
      <c r="G140" s="26"/>
      <c r="H140" s="58"/>
      <c r="I140" s="58"/>
      <c r="J140" s="26"/>
      <c r="K140" s="58"/>
      <c r="L140" s="58"/>
      <c r="M140" s="58"/>
      <c r="N140" s="58"/>
      <c r="O140" s="58"/>
    </row>
    <row r="141" spans="1:15" x14ac:dyDescent="0.25">
      <c r="A141" s="26"/>
      <c r="B141" s="26"/>
      <c r="C141" s="58"/>
      <c r="D141" s="26"/>
      <c r="E141" s="58"/>
      <c r="F141" s="58"/>
      <c r="G141" s="26"/>
      <c r="H141" s="58"/>
      <c r="I141" s="58"/>
      <c r="J141" s="26"/>
      <c r="K141" s="58"/>
      <c r="L141" s="58"/>
      <c r="M141" s="58"/>
      <c r="N141" s="58"/>
      <c r="O141" s="58"/>
    </row>
    <row r="142" spans="1:15" x14ac:dyDescent="0.25">
      <c r="A142" s="26"/>
      <c r="B142" s="26"/>
      <c r="C142" s="58"/>
      <c r="D142" s="26"/>
      <c r="E142" s="58"/>
      <c r="F142" s="58"/>
      <c r="G142" s="26"/>
      <c r="H142" s="58"/>
      <c r="I142" s="58"/>
      <c r="J142" s="26"/>
      <c r="K142" s="58"/>
      <c r="L142" s="58"/>
      <c r="M142" s="58"/>
      <c r="N142" s="58"/>
      <c r="O142" s="58"/>
    </row>
    <row r="143" spans="1:15" x14ac:dyDescent="0.25">
      <c r="A143" s="26"/>
      <c r="B143" s="26"/>
      <c r="C143" s="58"/>
      <c r="D143" s="26"/>
      <c r="E143" s="58"/>
      <c r="F143" s="58"/>
      <c r="G143" s="26"/>
      <c r="H143" s="58"/>
      <c r="I143" s="58"/>
      <c r="J143" s="26"/>
      <c r="K143" s="58"/>
      <c r="L143" s="58"/>
      <c r="M143" s="58"/>
      <c r="N143" s="58"/>
      <c r="O143" s="58"/>
    </row>
    <row r="144" spans="1:15" x14ac:dyDescent="0.25">
      <c r="A144" s="26"/>
      <c r="B144" s="26"/>
      <c r="C144" s="58"/>
      <c r="D144" s="26"/>
      <c r="E144" s="58"/>
      <c r="F144" s="58"/>
      <c r="G144" s="26"/>
      <c r="H144" s="58"/>
      <c r="I144" s="58"/>
      <c r="J144" s="26"/>
      <c r="K144" s="58"/>
      <c r="L144" s="58"/>
      <c r="M144" s="58"/>
      <c r="N144" s="58"/>
      <c r="O144" s="58"/>
    </row>
    <row r="145" spans="1:15" x14ac:dyDescent="0.25">
      <c r="A145" s="26"/>
      <c r="B145" s="26"/>
      <c r="C145" s="58"/>
      <c r="D145" s="26"/>
      <c r="E145" s="58"/>
      <c r="F145" s="58"/>
      <c r="G145" s="26"/>
      <c r="H145" s="58"/>
      <c r="I145" s="58"/>
      <c r="J145" s="26"/>
      <c r="K145" s="58"/>
      <c r="L145" s="58"/>
      <c r="M145" s="58"/>
      <c r="N145" s="58"/>
      <c r="O145" s="58"/>
    </row>
    <row r="146" spans="1:15" x14ac:dyDescent="0.25">
      <c r="A146" s="26"/>
      <c r="B146" s="26"/>
      <c r="C146" s="58"/>
      <c r="D146" s="26"/>
      <c r="E146" s="58"/>
      <c r="F146" s="58"/>
      <c r="G146" s="26"/>
      <c r="H146" s="58"/>
      <c r="I146" s="58"/>
      <c r="J146" s="26"/>
      <c r="K146" s="58"/>
      <c r="L146" s="58"/>
      <c r="M146" s="58"/>
      <c r="N146" s="58"/>
      <c r="O146" s="58"/>
    </row>
    <row r="147" spans="1:15" x14ac:dyDescent="0.25">
      <c r="A147" s="26"/>
      <c r="B147" s="26"/>
      <c r="C147" s="58"/>
      <c r="D147" s="26"/>
      <c r="E147" s="58"/>
      <c r="F147" s="58"/>
      <c r="G147" s="26"/>
      <c r="H147" s="58"/>
      <c r="I147" s="58"/>
      <c r="J147" s="26"/>
      <c r="K147" s="58"/>
      <c r="L147" s="58"/>
      <c r="M147" s="58"/>
      <c r="N147" s="58"/>
      <c r="O147" s="58"/>
    </row>
    <row r="148" spans="1:15" x14ac:dyDescent="0.25">
      <c r="A148" s="26"/>
      <c r="B148" s="26"/>
      <c r="C148" s="58"/>
      <c r="D148" s="26"/>
      <c r="E148" s="58"/>
      <c r="F148" s="58"/>
      <c r="G148" s="26"/>
      <c r="H148" s="58"/>
      <c r="I148" s="58"/>
      <c r="J148" s="26"/>
      <c r="K148" s="58"/>
      <c r="L148" s="58"/>
      <c r="M148" s="58"/>
      <c r="N148" s="58"/>
      <c r="O148" s="58"/>
    </row>
    <row r="149" spans="1:15" x14ac:dyDescent="0.25">
      <c r="A149" s="26"/>
      <c r="B149" s="26"/>
      <c r="C149" s="58"/>
      <c r="D149" s="26"/>
      <c r="E149" s="58"/>
      <c r="F149" s="58"/>
      <c r="G149" s="26"/>
      <c r="H149" s="58"/>
      <c r="I149" s="58"/>
      <c r="J149" s="26"/>
      <c r="K149" s="58"/>
      <c r="L149" s="58"/>
      <c r="M149" s="58"/>
      <c r="N149" s="58"/>
      <c r="O149" s="58"/>
    </row>
    <row r="150" spans="1:15" x14ac:dyDescent="0.25">
      <c r="A150" s="26"/>
      <c r="B150" s="26"/>
      <c r="C150" s="58"/>
      <c r="D150" s="26"/>
      <c r="E150" s="58"/>
      <c r="F150" s="58"/>
      <c r="G150" s="26"/>
      <c r="H150" s="58"/>
      <c r="I150" s="58"/>
      <c r="J150" s="26"/>
      <c r="K150" s="58"/>
      <c r="L150" s="58"/>
      <c r="M150" s="58"/>
      <c r="N150" s="58"/>
      <c r="O150" s="58"/>
    </row>
    <row r="151" spans="1:15" x14ac:dyDescent="0.25">
      <c r="A151" s="26"/>
      <c r="B151" s="2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</row>
    <row r="152" spans="1:15" x14ac:dyDescent="0.25">
      <c r="A152" s="26"/>
      <c r="B152" s="2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</row>
    <row r="153" spans="1:15" x14ac:dyDescent="0.25">
      <c r="A153" s="26"/>
      <c r="B153" s="2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</row>
    <row r="154" spans="1:15" x14ac:dyDescent="0.25">
      <c r="A154" s="26"/>
      <c r="B154" s="2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</row>
    <row r="155" spans="1:15" x14ac:dyDescent="0.25">
      <c r="A155" s="26"/>
      <c r="B155" s="2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</row>
    <row r="156" spans="1:15" x14ac:dyDescent="0.25">
      <c r="A156" s="26"/>
      <c r="B156" s="2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</row>
    <row r="157" spans="1:15" x14ac:dyDescent="0.25">
      <c r="A157" s="26"/>
      <c r="B157" s="2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</row>
    <row r="158" spans="1:15" x14ac:dyDescent="0.25">
      <c r="A158" s="26"/>
      <c r="B158" s="2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</row>
    <row r="159" spans="1:15" x14ac:dyDescent="0.25">
      <c r="A159" s="26"/>
      <c r="B159" s="2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2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2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2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2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2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2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2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2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2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2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2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2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2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2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2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2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2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2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2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2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2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2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2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2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2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2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2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2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2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2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2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2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2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2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2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2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2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2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2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2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2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2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2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2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2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2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2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2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2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2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2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2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2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2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2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2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2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2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2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2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2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2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2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2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2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2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2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2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2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2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2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2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2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2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2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2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2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2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2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2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2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2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2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2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2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2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2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2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2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2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2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2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2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2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2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2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2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2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2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2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2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2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2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2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2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2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2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2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2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2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2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2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2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2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2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2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2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2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2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2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2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2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2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2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2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2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2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2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2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2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2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2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2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2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2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2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2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2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2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2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2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2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2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2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2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2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2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2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2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2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2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2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2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2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2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2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2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2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2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2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2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2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2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2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2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2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2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2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2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2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2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2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2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2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2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2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2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2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2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2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2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2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2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2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2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2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2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2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2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2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2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2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2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2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2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2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2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2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2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2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2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2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2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2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2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2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2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2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2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2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2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2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2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2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2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2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2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2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2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2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2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2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2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2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2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2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2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2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2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2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2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2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2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2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2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2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2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2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2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2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2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2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2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2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2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2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2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2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2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2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2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2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2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2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2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2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2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2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2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2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2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2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2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2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2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2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2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2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2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2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2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2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2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2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2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2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2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2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2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2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2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2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2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2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2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2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2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2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2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2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2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2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2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2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2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2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2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2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2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2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2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2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2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2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2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2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2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2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2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2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2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2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2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2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2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2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2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2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2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2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2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2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2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2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2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2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2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2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2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2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2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2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2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2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2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2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2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2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2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2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2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2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2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2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2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2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2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2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2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2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2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2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2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2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2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2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2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2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2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2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2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2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2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2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2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2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2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2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2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2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2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2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2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2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2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A535" s="26"/>
      <c r="B535" s="26"/>
      <c r="C535" s="58"/>
      <c r="D535" s="26"/>
      <c r="E535" s="58"/>
      <c r="F535" s="58"/>
      <c r="G535" s="26"/>
      <c r="H535" s="58"/>
      <c r="I535" s="58"/>
      <c r="J535" s="26"/>
      <c r="K535" s="58"/>
      <c r="L535" s="58"/>
      <c r="M535" s="58"/>
      <c r="N535" s="58"/>
      <c r="O535" s="58"/>
    </row>
    <row r="536" spans="1:15" x14ac:dyDescent="0.25">
      <c r="A536" s="26"/>
      <c r="B536" s="26"/>
      <c r="C536" s="58"/>
      <c r="D536" s="26"/>
      <c r="E536" s="58"/>
      <c r="F536" s="58"/>
      <c r="G536" s="26"/>
      <c r="H536" s="58"/>
      <c r="I536" s="58"/>
      <c r="J536" s="26"/>
      <c r="K536" s="58"/>
      <c r="L536" s="58"/>
      <c r="M536" s="58"/>
      <c r="N536" s="58"/>
      <c r="O536" s="58"/>
    </row>
    <row r="537" spans="1:15" x14ac:dyDescent="0.25">
      <c r="A537" s="26"/>
      <c r="B537" s="26"/>
      <c r="C537" s="58"/>
      <c r="D537" s="26"/>
      <c r="E537" s="58"/>
      <c r="F537" s="58"/>
      <c r="G537" s="26"/>
      <c r="H537" s="58"/>
      <c r="I537" s="58"/>
      <c r="J537" s="26"/>
      <c r="K537" s="58"/>
      <c r="L537" s="58"/>
      <c r="M537" s="58"/>
      <c r="N537" s="58"/>
      <c r="O537" s="58"/>
    </row>
    <row r="538" spans="1:15" x14ac:dyDescent="0.25">
      <c r="A538" s="26"/>
      <c r="B538" s="26"/>
      <c r="C538" s="58"/>
      <c r="D538" s="26"/>
      <c r="E538" s="58"/>
      <c r="F538" s="58"/>
      <c r="G538" s="26"/>
      <c r="H538" s="58"/>
      <c r="I538" s="58"/>
      <c r="J538" s="26"/>
      <c r="K538" s="58"/>
      <c r="L538" s="58"/>
      <c r="M538" s="58"/>
      <c r="N538" s="58"/>
      <c r="O538" s="58"/>
    </row>
    <row r="539" spans="1:15" x14ac:dyDescent="0.25">
      <c r="A539" s="26"/>
      <c r="B539" s="26"/>
      <c r="C539" s="58"/>
      <c r="D539" s="26"/>
      <c r="E539" s="58"/>
      <c r="F539" s="58"/>
      <c r="G539" s="26"/>
      <c r="H539" s="58"/>
      <c r="I539" s="58"/>
      <c r="J539" s="26"/>
      <c r="K539" s="58"/>
      <c r="L539" s="58"/>
      <c r="M539" s="58"/>
      <c r="N539" s="58"/>
      <c r="O539" s="58"/>
    </row>
    <row r="540" spans="1:15" x14ac:dyDescent="0.25">
      <c r="A540" s="26"/>
      <c r="B540" s="26"/>
      <c r="C540" s="58"/>
      <c r="D540" s="26"/>
      <c r="E540" s="58"/>
      <c r="F540" s="58"/>
      <c r="G540" s="26"/>
      <c r="H540" s="58"/>
      <c r="I540" s="58"/>
      <c r="J540" s="26"/>
      <c r="K540" s="58"/>
      <c r="L540" s="58"/>
      <c r="M540" s="58"/>
      <c r="N540" s="58"/>
      <c r="O540" s="58"/>
    </row>
    <row r="541" spans="1:15" x14ac:dyDescent="0.25">
      <c r="A541" s="26"/>
      <c r="B541" s="26"/>
      <c r="C541" s="58"/>
      <c r="D541" s="26"/>
      <c r="E541" s="58"/>
      <c r="F541" s="58"/>
      <c r="G541" s="26"/>
      <c r="H541" s="58"/>
      <c r="I541" s="58"/>
      <c r="J541" s="26"/>
      <c r="K541" s="58"/>
      <c r="L541" s="58"/>
      <c r="M541" s="58"/>
      <c r="N541" s="58"/>
      <c r="O541" s="58"/>
    </row>
    <row r="542" spans="1:15" x14ac:dyDescent="0.25">
      <c r="A542" s="26"/>
      <c r="B542" s="26"/>
      <c r="C542" s="58"/>
      <c r="D542" s="26"/>
      <c r="E542" s="58"/>
      <c r="F542" s="58"/>
      <c r="G542" s="26"/>
      <c r="H542" s="58"/>
      <c r="I542" s="58"/>
      <c r="J542" s="26"/>
      <c r="K542" s="58"/>
      <c r="L542" s="58"/>
      <c r="M542" s="58"/>
      <c r="N542" s="58"/>
      <c r="O542" s="58"/>
    </row>
    <row r="543" spans="1:15" x14ac:dyDescent="0.25">
      <c r="A543" s="26"/>
      <c r="B543" s="26"/>
      <c r="C543" s="58"/>
      <c r="D543" s="26"/>
      <c r="E543" s="58"/>
      <c r="F543" s="58"/>
      <c r="G543" s="26"/>
      <c r="H543" s="58"/>
      <c r="I543" s="58"/>
      <c r="J543" s="26"/>
      <c r="K543" s="58"/>
      <c r="L543" s="58"/>
      <c r="M543" s="58"/>
      <c r="N543" s="58"/>
      <c r="O543" s="58"/>
    </row>
    <row r="544" spans="1:15" x14ac:dyDescent="0.25">
      <c r="A544" s="26"/>
      <c r="B544" s="26"/>
      <c r="C544" s="58"/>
      <c r="D544" s="26"/>
      <c r="E544" s="58"/>
      <c r="F544" s="58"/>
      <c r="G544" s="26"/>
      <c r="H544" s="58"/>
      <c r="I544" s="58"/>
      <c r="J544" s="26"/>
      <c r="K544" s="58"/>
      <c r="L544" s="58"/>
      <c r="M544" s="58"/>
      <c r="N544" s="58"/>
      <c r="O544" s="58"/>
    </row>
    <row r="545" spans="1:15" x14ac:dyDescent="0.25">
      <c r="A545" s="26"/>
      <c r="B545" s="26"/>
      <c r="C545" s="58"/>
      <c r="D545" s="26"/>
      <c r="E545" s="58"/>
      <c r="F545" s="58"/>
      <c r="G545" s="26"/>
      <c r="H545" s="58"/>
      <c r="I545" s="58"/>
      <c r="J545" s="26"/>
      <c r="K545" s="58"/>
      <c r="L545" s="58"/>
      <c r="M545" s="58"/>
      <c r="N545" s="58"/>
      <c r="O545" s="58"/>
    </row>
    <row r="546" spans="1:15" x14ac:dyDescent="0.25">
      <c r="A546" s="26"/>
      <c r="B546" s="26"/>
      <c r="C546" s="58"/>
      <c r="D546" s="26"/>
      <c r="E546" s="58"/>
      <c r="F546" s="58"/>
      <c r="G546" s="26"/>
      <c r="H546" s="58"/>
      <c r="I546" s="58"/>
      <c r="J546" s="26"/>
      <c r="K546" s="58"/>
      <c r="L546" s="58"/>
      <c r="M546" s="58"/>
      <c r="N546" s="58"/>
      <c r="O546" s="58"/>
    </row>
    <row r="547" spans="1:15" x14ac:dyDescent="0.25">
      <c r="A547" s="26"/>
      <c r="B547" s="26"/>
      <c r="C547" s="58"/>
      <c r="D547" s="26"/>
      <c r="E547" s="58"/>
      <c r="F547" s="58"/>
      <c r="G547" s="26"/>
      <c r="H547" s="58"/>
      <c r="I547" s="58"/>
      <c r="J547" s="26"/>
      <c r="K547" s="58"/>
      <c r="L547" s="58"/>
      <c r="M547" s="58"/>
      <c r="N547" s="58"/>
      <c r="O547" s="58"/>
    </row>
    <row r="548" spans="1:15" x14ac:dyDescent="0.25">
      <c r="A548" s="26"/>
      <c r="B548" s="26"/>
      <c r="C548" s="58"/>
      <c r="D548" s="26"/>
      <c r="E548" s="58"/>
      <c r="F548" s="58"/>
      <c r="G548" s="26"/>
      <c r="H548" s="58"/>
      <c r="I548" s="58"/>
      <c r="J548" s="26"/>
      <c r="K548" s="58"/>
      <c r="L548" s="58"/>
      <c r="M548" s="58"/>
      <c r="N548" s="58"/>
      <c r="O548" s="58"/>
    </row>
    <row r="549" spans="1:15" x14ac:dyDescent="0.25">
      <c r="A549" s="26"/>
      <c r="B549" s="26"/>
      <c r="C549" s="58"/>
      <c r="D549" s="26"/>
      <c r="E549" s="58"/>
      <c r="F549" s="58"/>
      <c r="G549" s="26"/>
      <c r="H549" s="58"/>
      <c r="I549" s="58"/>
      <c r="J549" s="26"/>
      <c r="K549" s="58"/>
      <c r="L549" s="58"/>
      <c r="M549" s="58"/>
      <c r="N549" s="58"/>
      <c r="O549" s="58"/>
    </row>
    <row r="550" spans="1:15" x14ac:dyDescent="0.25">
      <c r="A550" s="26"/>
      <c r="B550" s="26"/>
      <c r="C550" s="58"/>
      <c r="D550" s="26"/>
      <c r="E550" s="58"/>
      <c r="F550" s="58"/>
      <c r="G550" s="26"/>
      <c r="H550" s="58"/>
      <c r="I550" s="58"/>
      <c r="J550" s="26"/>
      <c r="K550" s="58"/>
      <c r="L550" s="58"/>
      <c r="M550" s="58"/>
      <c r="N550" s="58"/>
      <c r="O550" s="58"/>
    </row>
    <row r="551" spans="1:15" x14ac:dyDescent="0.25">
      <c r="A551" s="26"/>
      <c r="B551" s="26"/>
      <c r="C551" s="58"/>
      <c r="D551" s="26"/>
      <c r="E551" s="58"/>
      <c r="F551" s="58"/>
      <c r="G551" s="26"/>
      <c r="H551" s="58"/>
      <c r="I551" s="58"/>
      <c r="J551" s="26"/>
      <c r="K551" s="58"/>
      <c r="L551" s="58"/>
      <c r="M551" s="58"/>
      <c r="N551" s="58"/>
      <c r="O551" s="58"/>
    </row>
    <row r="552" spans="1:15" x14ac:dyDescent="0.25">
      <c r="A552" s="26"/>
      <c r="B552" s="26"/>
      <c r="C552" s="58"/>
      <c r="D552" s="26"/>
      <c r="E552" s="58"/>
      <c r="F552" s="58"/>
      <c r="G552" s="26"/>
      <c r="H552" s="58"/>
      <c r="I552" s="58"/>
      <c r="J552" s="26"/>
      <c r="K552" s="58"/>
      <c r="L552" s="58"/>
      <c r="M552" s="58"/>
      <c r="N552" s="58"/>
      <c r="O552" s="58"/>
    </row>
    <row r="553" spans="1:15" x14ac:dyDescent="0.25">
      <c r="A553" s="26"/>
      <c r="B553" s="26"/>
      <c r="C553" s="58"/>
      <c r="D553" s="26"/>
      <c r="E553" s="58"/>
      <c r="F553" s="58"/>
      <c r="G553" s="26"/>
      <c r="H553" s="58"/>
      <c r="I553" s="58"/>
      <c r="J553" s="26"/>
      <c r="K553" s="58"/>
      <c r="L553" s="58"/>
      <c r="M553" s="58"/>
      <c r="N553" s="58"/>
      <c r="O553" s="58"/>
    </row>
    <row r="554" spans="1:15" x14ac:dyDescent="0.25">
      <c r="A554" s="26"/>
      <c r="B554" s="26"/>
      <c r="C554" s="58"/>
      <c r="D554" s="26"/>
      <c r="E554" s="58"/>
      <c r="F554" s="58"/>
      <c r="G554" s="26"/>
      <c r="H554" s="58"/>
      <c r="I554" s="58"/>
      <c r="J554" s="26"/>
      <c r="K554" s="58"/>
      <c r="L554" s="58"/>
      <c r="M554" s="58"/>
      <c r="N554" s="58"/>
      <c r="O554" s="58"/>
    </row>
    <row r="555" spans="1:15" x14ac:dyDescent="0.25">
      <c r="A555" s="26"/>
      <c r="B555" s="26"/>
      <c r="C555" s="58"/>
      <c r="D555" s="26"/>
      <c r="E555" s="58"/>
      <c r="F555" s="58"/>
      <c r="G555" s="26"/>
      <c r="H555" s="58"/>
      <c r="I555" s="58"/>
      <c r="J555" s="26"/>
      <c r="K555" s="58"/>
      <c r="L555" s="58"/>
      <c r="M555" s="58"/>
      <c r="N555" s="58"/>
      <c r="O555" s="58"/>
    </row>
    <row r="556" spans="1:15" x14ac:dyDescent="0.25">
      <c r="A556" s="26"/>
      <c r="B556" s="26"/>
      <c r="C556" s="58"/>
      <c r="D556" s="26"/>
      <c r="E556" s="58"/>
      <c r="F556" s="58"/>
      <c r="G556" s="26"/>
      <c r="H556" s="58"/>
      <c r="I556" s="58"/>
      <c r="J556" s="26"/>
      <c r="K556" s="58"/>
      <c r="L556" s="58"/>
      <c r="M556" s="58"/>
      <c r="N556" s="58"/>
      <c r="O556" s="58"/>
    </row>
    <row r="557" spans="1:15" x14ac:dyDescent="0.25">
      <c r="A557" s="26"/>
      <c r="B557" s="26"/>
      <c r="C557" s="58"/>
      <c r="D557" s="26"/>
      <c r="E557" s="58"/>
      <c r="F557" s="58"/>
      <c r="G557" s="26"/>
      <c r="H557" s="58"/>
      <c r="I557" s="58"/>
      <c r="J557" s="26"/>
      <c r="K557" s="58"/>
      <c r="L557" s="58"/>
      <c r="M557" s="58"/>
      <c r="N557" s="58"/>
      <c r="O557" s="58"/>
    </row>
    <row r="558" spans="1:15" x14ac:dyDescent="0.25">
      <c r="A558" s="26"/>
      <c r="B558" s="26"/>
      <c r="C558" s="58"/>
      <c r="D558" s="26"/>
      <c r="E558" s="58"/>
      <c r="F558" s="58"/>
      <c r="G558" s="26"/>
      <c r="H558" s="58"/>
      <c r="I558" s="58"/>
      <c r="J558" s="26"/>
      <c r="K558" s="58"/>
      <c r="L558" s="58"/>
      <c r="M558" s="58"/>
      <c r="N558" s="58"/>
      <c r="O558" s="58"/>
    </row>
    <row r="559" spans="1:15" x14ac:dyDescent="0.25">
      <c r="A559" s="26"/>
      <c r="B559" s="26"/>
      <c r="C559" s="58"/>
      <c r="D559" s="26"/>
      <c r="E559" s="58"/>
      <c r="F559" s="58"/>
      <c r="G559" s="26"/>
      <c r="H559" s="58"/>
      <c r="I559" s="58"/>
      <c r="J559" s="26"/>
      <c r="K559" s="58"/>
      <c r="L559" s="58"/>
      <c r="M559" s="58"/>
      <c r="N559" s="58"/>
      <c r="O559" s="58"/>
    </row>
    <row r="560" spans="1:15" x14ac:dyDescent="0.25">
      <c r="A560" s="26"/>
      <c r="B560" s="26"/>
      <c r="C560" s="58"/>
      <c r="D560" s="26"/>
      <c r="E560" s="58"/>
      <c r="F560" s="58"/>
      <c r="G560" s="26"/>
      <c r="H560" s="58"/>
      <c r="I560" s="58"/>
      <c r="J560" s="26"/>
      <c r="K560" s="58"/>
      <c r="L560" s="58"/>
      <c r="M560" s="58"/>
      <c r="N560" s="58"/>
      <c r="O560" s="58"/>
    </row>
    <row r="561" spans="1:15" x14ac:dyDescent="0.25">
      <c r="A561" s="26"/>
      <c r="B561" s="26"/>
      <c r="C561" s="58"/>
      <c r="D561" s="26"/>
      <c r="E561" s="58"/>
      <c r="F561" s="58"/>
      <c r="G561" s="26"/>
      <c r="H561" s="58"/>
      <c r="I561" s="58"/>
      <c r="J561" s="26"/>
      <c r="K561" s="58"/>
      <c r="L561" s="58"/>
      <c r="M561" s="58"/>
      <c r="N561" s="58"/>
      <c r="O561" s="58"/>
    </row>
    <row r="562" spans="1:15" x14ac:dyDescent="0.25">
      <c r="A562" s="26"/>
      <c r="B562" s="26"/>
      <c r="C562" s="58"/>
      <c r="D562" s="26"/>
      <c r="E562" s="58"/>
      <c r="F562" s="58"/>
      <c r="G562" s="26"/>
      <c r="H562" s="58"/>
      <c r="I562" s="58"/>
      <c r="J562" s="26"/>
      <c r="K562" s="58"/>
      <c r="L562" s="58"/>
      <c r="M562" s="58"/>
      <c r="N562" s="58"/>
      <c r="O562" s="58"/>
    </row>
    <row r="563" spans="1:15" x14ac:dyDescent="0.25">
      <c r="A563" s="26"/>
      <c r="B563" s="26"/>
      <c r="C563" s="58"/>
      <c r="D563" s="26"/>
      <c r="E563" s="58"/>
      <c r="F563" s="58"/>
      <c r="G563" s="26"/>
      <c r="H563" s="58"/>
      <c r="I563" s="58"/>
      <c r="J563" s="26"/>
      <c r="K563" s="58"/>
      <c r="L563" s="58"/>
      <c r="M563" s="58"/>
      <c r="N563" s="58"/>
      <c r="O563" s="58"/>
    </row>
    <row r="564" spans="1:15" x14ac:dyDescent="0.25">
      <c r="A564" s="26"/>
      <c r="B564" s="26"/>
      <c r="C564" s="58"/>
      <c r="D564" s="26"/>
      <c r="E564" s="58"/>
      <c r="F564" s="58"/>
      <c r="G564" s="26"/>
      <c r="H564" s="58"/>
      <c r="I564" s="58"/>
      <c r="J564" s="26"/>
      <c r="K564" s="58"/>
      <c r="L564" s="58"/>
      <c r="M564" s="58"/>
      <c r="N564" s="58"/>
      <c r="O564" s="58"/>
    </row>
    <row r="565" spans="1:15" x14ac:dyDescent="0.25">
      <c r="A565" s="26"/>
      <c r="B565" s="26"/>
      <c r="C565" s="58"/>
      <c r="D565" s="26"/>
      <c r="E565" s="58"/>
      <c r="F565" s="58"/>
      <c r="G565" s="26"/>
      <c r="H565" s="58"/>
      <c r="I565" s="58"/>
      <c r="J565" s="26"/>
      <c r="K565" s="58"/>
      <c r="L565" s="58"/>
      <c r="M565" s="58"/>
      <c r="N565" s="58"/>
      <c r="O565" s="58"/>
    </row>
    <row r="566" spans="1:15" x14ac:dyDescent="0.25">
      <c r="A566" s="26"/>
      <c r="B566" s="26"/>
      <c r="C566" s="58"/>
      <c r="D566" s="26"/>
      <c r="E566" s="58"/>
      <c r="F566" s="58"/>
      <c r="G566" s="26"/>
      <c r="H566" s="58"/>
      <c r="I566" s="58"/>
      <c r="J566" s="26"/>
      <c r="K566" s="58"/>
      <c r="L566" s="58"/>
      <c r="M566" s="58"/>
      <c r="N566" s="58"/>
      <c r="O566" s="58"/>
    </row>
    <row r="567" spans="1:15" x14ac:dyDescent="0.25">
      <c r="A567" s="26"/>
      <c r="B567" s="26"/>
      <c r="C567" s="58"/>
      <c r="D567" s="26"/>
      <c r="E567" s="58"/>
      <c r="F567" s="58"/>
      <c r="G567" s="26"/>
      <c r="H567" s="58"/>
      <c r="I567" s="58"/>
      <c r="J567" s="26"/>
      <c r="K567" s="58"/>
      <c r="L567" s="58"/>
      <c r="M567" s="58"/>
      <c r="N567" s="58"/>
      <c r="O567" s="58"/>
    </row>
    <row r="568" spans="1:15" x14ac:dyDescent="0.25">
      <c r="A568" s="26"/>
      <c r="B568" s="26"/>
      <c r="C568" s="58"/>
      <c r="D568" s="26"/>
      <c r="E568" s="58"/>
      <c r="F568" s="58"/>
      <c r="G568" s="26"/>
      <c r="H568" s="58"/>
      <c r="I568" s="58"/>
      <c r="J568" s="26"/>
      <c r="K568" s="58"/>
      <c r="L568" s="58"/>
      <c r="M568" s="58"/>
      <c r="N568" s="58"/>
      <c r="O568" s="58"/>
    </row>
    <row r="569" spans="1:15" x14ac:dyDescent="0.25">
      <c r="A569" s="26"/>
      <c r="B569" s="26"/>
      <c r="C569" s="58"/>
      <c r="D569" s="26"/>
      <c r="E569" s="58"/>
      <c r="F569" s="58"/>
      <c r="G569" s="26"/>
      <c r="H569" s="58"/>
      <c r="I569" s="58"/>
      <c r="J569" s="26"/>
      <c r="K569" s="58"/>
      <c r="L569" s="58"/>
      <c r="M569" s="58"/>
      <c r="N569" s="58"/>
      <c r="O569" s="58"/>
    </row>
    <row r="570" spans="1:15" x14ac:dyDescent="0.25">
      <c r="A570" s="26"/>
      <c r="B570" s="26"/>
      <c r="C570" s="58"/>
      <c r="D570" s="26"/>
      <c r="E570" s="58"/>
      <c r="F570" s="58"/>
      <c r="G570" s="26"/>
      <c r="H570" s="58"/>
      <c r="I570" s="58"/>
      <c r="J570" s="26"/>
      <c r="K570" s="58"/>
      <c r="L570" s="58"/>
      <c r="M570" s="58"/>
      <c r="N570" s="58"/>
      <c r="O570" s="58"/>
    </row>
    <row r="571" spans="1:15" x14ac:dyDescent="0.25">
      <c r="A571" s="26"/>
      <c r="B571" s="26"/>
      <c r="C571" s="58"/>
      <c r="D571" s="26"/>
      <c r="E571" s="58"/>
      <c r="F571" s="58"/>
      <c r="G571" s="26"/>
      <c r="H571" s="58"/>
      <c r="I571" s="58"/>
      <c r="J571" s="26"/>
      <c r="K571" s="58"/>
      <c r="L571" s="58"/>
      <c r="M571" s="58"/>
      <c r="N571" s="58"/>
      <c r="O571" s="58"/>
    </row>
    <row r="572" spans="1:15" x14ac:dyDescent="0.25">
      <c r="A572" s="26"/>
      <c r="B572" s="26"/>
      <c r="C572" s="58"/>
      <c r="D572" s="26"/>
      <c r="E572" s="58"/>
      <c r="F572" s="58"/>
      <c r="G572" s="26"/>
      <c r="H572" s="58"/>
      <c r="I572" s="58"/>
      <c r="J572" s="26"/>
      <c r="K572" s="58"/>
      <c r="L572" s="58"/>
      <c r="M572" s="58"/>
      <c r="N572" s="58"/>
      <c r="O572" s="58"/>
    </row>
    <row r="573" spans="1:15" x14ac:dyDescent="0.25">
      <c r="A573" s="26"/>
      <c r="B573" s="26"/>
      <c r="C573" s="58"/>
      <c r="D573" s="26"/>
      <c r="E573" s="58"/>
      <c r="F573" s="58"/>
      <c r="G573" s="26"/>
      <c r="H573" s="58"/>
      <c r="I573" s="58"/>
      <c r="J573" s="26"/>
      <c r="K573" s="58"/>
      <c r="L573" s="58"/>
      <c r="M573" s="58"/>
      <c r="N573" s="58"/>
      <c r="O573" s="58"/>
    </row>
    <row r="574" spans="1:15" x14ac:dyDescent="0.25">
      <c r="A574" s="26"/>
      <c r="B574" s="26"/>
      <c r="C574" s="58"/>
      <c r="D574" s="26"/>
      <c r="E574" s="58"/>
      <c r="F574" s="58"/>
      <c r="G574" s="26"/>
      <c r="H574" s="58"/>
      <c r="I574" s="58"/>
      <c r="J574" s="26"/>
      <c r="K574" s="58"/>
      <c r="L574" s="58"/>
      <c r="M574" s="58"/>
      <c r="N574" s="58"/>
      <c r="O574" s="58"/>
    </row>
    <row r="575" spans="1:15" x14ac:dyDescent="0.25">
      <c r="A575" s="26"/>
      <c r="B575" s="26"/>
      <c r="C575" s="58"/>
      <c r="D575" s="26"/>
      <c r="E575" s="58"/>
      <c r="F575" s="58"/>
      <c r="G575" s="26"/>
      <c r="H575" s="58"/>
      <c r="I575" s="58"/>
      <c r="J575" s="26"/>
      <c r="K575" s="58"/>
      <c r="L575" s="58"/>
      <c r="M575" s="58"/>
      <c r="N575" s="58"/>
      <c r="O575" s="58"/>
    </row>
    <row r="576" spans="1:15" x14ac:dyDescent="0.25">
      <c r="A576" s="26"/>
      <c r="B576" s="26"/>
      <c r="C576" s="58"/>
      <c r="D576" s="26"/>
      <c r="E576" s="58"/>
      <c r="F576" s="58"/>
      <c r="G576" s="26"/>
      <c r="H576" s="58"/>
      <c r="I576" s="58"/>
      <c r="J576" s="26"/>
      <c r="K576" s="58"/>
      <c r="L576" s="58"/>
      <c r="M576" s="58"/>
      <c r="N576" s="58"/>
      <c r="O576" s="58"/>
    </row>
    <row r="577" spans="1:15" x14ac:dyDescent="0.25">
      <c r="A577" s="26"/>
      <c r="B577" s="26"/>
      <c r="C577" s="58"/>
      <c r="D577" s="26"/>
      <c r="E577" s="58"/>
      <c r="F577" s="58"/>
      <c r="G577" s="26"/>
      <c r="H577" s="58"/>
      <c r="I577" s="58"/>
      <c r="J577" s="26"/>
      <c r="K577" s="58"/>
      <c r="L577" s="58"/>
      <c r="M577" s="58"/>
      <c r="N577" s="58"/>
      <c r="O577" s="58"/>
    </row>
    <row r="578" spans="1:15" x14ac:dyDescent="0.25">
      <c r="A578" s="26"/>
      <c r="B578" s="26"/>
      <c r="C578" s="58"/>
      <c r="D578" s="26"/>
      <c r="E578" s="58"/>
      <c r="F578" s="58"/>
      <c r="G578" s="26"/>
      <c r="H578" s="58"/>
      <c r="I578" s="58"/>
      <c r="J578" s="26"/>
      <c r="K578" s="58"/>
      <c r="L578" s="58"/>
      <c r="M578" s="58"/>
      <c r="N578" s="58"/>
      <c r="O578" s="58"/>
    </row>
    <row r="579" spans="1:15" x14ac:dyDescent="0.25">
      <c r="A579" s="26"/>
      <c r="B579" s="26"/>
      <c r="C579" s="58"/>
      <c r="D579" s="26"/>
      <c r="E579" s="58"/>
      <c r="F579" s="58"/>
      <c r="G579" s="26"/>
      <c r="H579" s="58"/>
      <c r="I579" s="58"/>
      <c r="J579" s="26"/>
      <c r="K579" s="58"/>
      <c r="L579" s="58"/>
      <c r="M579" s="58"/>
      <c r="N579" s="58"/>
      <c r="O579" s="58"/>
    </row>
    <row r="580" spans="1:15" x14ac:dyDescent="0.25">
      <c r="A580" s="26"/>
      <c r="B580" s="26"/>
      <c r="C580" s="58"/>
      <c r="D580" s="26"/>
      <c r="E580" s="58"/>
      <c r="F580" s="58"/>
      <c r="G580" s="26"/>
      <c r="H580" s="58"/>
      <c r="I580" s="58"/>
      <c r="J580" s="26"/>
      <c r="K580" s="58"/>
      <c r="L580" s="58"/>
      <c r="M580" s="58"/>
      <c r="N580" s="58"/>
      <c r="O580" s="58"/>
    </row>
    <row r="581" spans="1:15" x14ac:dyDescent="0.25">
      <c r="A581" s="26"/>
      <c r="B581" s="26"/>
      <c r="C581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35"/>
  <sheetViews>
    <sheetView topLeftCell="A5" zoomScaleNormal="100" workbookViewId="0">
      <pane ySplit="3" topLeftCell="A8" activePane="bottomLeft" state="frozen"/>
      <selection activeCell="A5" sqref="A5"/>
      <selection pane="bottomLeft" sqref="A1:K1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10.42578125" customWidth="1"/>
    <col min="12" max="12" width="25.14062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34" t="s">
        <v>10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6" t="s">
        <v>11</v>
      </c>
      <c r="M1" s="136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37" t="s">
        <v>8</v>
      </c>
      <c r="D3" s="137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38" t="s">
        <v>0</v>
      </c>
      <c r="B5" s="138"/>
      <c r="C5" s="138"/>
      <c r="D5" s="139" t="s">
        <v>4</v>
      </c>
      <c r="E5" s="139"/>
      <c r="F5" s="139"/>
      <c r="G5" s="140" t="s">
        <v>5</v>
      </c>
      <c r="H5" s="140"/>
      <c r="I5" s="140"/>
      <c r="J5" s="141" t="s">
        <v>6</v>
      </c>
      <c r="K5" s="141"/>
      <c r="L5" s="141"/>
      <c r="M5" s="133" t="s">
        <v>12</v>
      </c>
      <c r="N5" s="143"/>
      <c r="O5" s="144"/>
      <c r="Q5" s="142" t="s">
        <v>13</v>
      </c>
      <c r="R5" s="142"/>
    </row>
    <row r="6" spans="1:18" x14ac:dyDescent="0.25">
      <c r="A6" s="8">
        <f>SUBTOTAL(3,A8:A120)</f>
        <v>77</v>
      </c>
      <c r="B6" s="8">
        <f>SUBTOTAL(9,B8:B141)</f>
        <v>53750</v>
      </c>
      <c r="C6" s="35">
        <v>44262</v>
      </c>
      <c r="D6" s="8">
        <f>SUBTOTAL(3,D9:D121)</f>
        <v>41</v>
      </c>
      <c r="E6" s="1">
        <f>SUBTOTAL(9,E8:E121)</f>
        <v>24000</v>
      </c>
      <c r="F6" s="38">
        <v>44269</v>
      </c>
      <c r="G6" s="8">
        <f>SUBTOTAL(3,G8:G120)</f>
        <v>27</v>
      </c>
      <c r="H6" s="1">
        <f>SUBTOTAL(9,H8:H120)</f>
        <v>16900</v>
      </c>
      <c r="I6" s="39">
        <v>44276</v>
      </c>
      <c r="J6" s="8">
        <f>SUBTOTAL(3,J8:J110)</f>
        <v>44</v>
      </c>
      <c r="K6" s="1">
        <f>SUBTOTAL(9,K8:K110)</f>
        <v>25600</v>
      </c>
      <c r="L6" s="79">
        <v>44283</v>
      </c>
      <c r="M6" s="1">
        <f>SUBTOTAL(3,M8:M120)</f>
        <v>0</v>
      </c>
      <c r="N6" s="1">
        <f>SUBTOTAL(9,N8:N120)</f>
        <v>0</v>
      </c>
      <c r="O6" s="81"/>
      <c r="Q6" s="30">
        <f>+A6+D6+G6+J6+M6</f>
        <v>189</v>
      </c>
      <c r="R6" s="34">
        <f>+B6+E6+H6+K6+N6</f>
        <v>120250</v>
      </c>
    </row>
    <row r="7" spans="1:18" x14ac:dyDescent="0.25">
      <c r="A7" s="43" t="s">
        <v>1</v>
      </c>
      <c r="B7" s="43" t="s">
        <v>3</v>
      </c>
      <c r="C7" s="43" t="s">
        <v>2</v>
      </c>
      <c r="D7" s="44" t="s">
        <v>1</v>
      </c>
      <c r="E7" s="44" t="s">
        <v>3</v>
      </c>
      <c r="F7" s="44" t="s">
        <v>2</v>
      </c>
      <c r="G7" s="45" t="s">
        <v>1</v>
      </c>
      <c r="H7" s="45" t="s">
        <v>3</v>
      </c>
      <c r="I7" s="45" t="s">
        <v>2</v>
      </c>
      <c r="J7" s="77" t="s">
        <v>1</v>
      </c>
      <c r="K7" s="77" t="s">
        <v>3</v>
      </c>
      <c r="L7" s="77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24263</v>
      </c>
      <c r="B8" s="49">
        <v>500</v>
      </c>
      <c r="C8" s="17" t="s">
        <v>122</v>
      </c>
      <c r="D8" s="110">
        <v>24340</v>
      </c>
      <c r="E8" s="70">
        <v>500</v>
      </c>
      <c r="F8" s="117"/>
      <c r="G8" s="11">
        <v>24382</v>
      </c>
      <c r="H8" s="67">
        <v>500</v>
      </c>
      <c r="I8" s="12" t="s">
        <v>98</v>
      </c>
      <c r="J8" s="53">
        <v>24409</v>
      </c>
      <c r="K8" s="72">
        <v>800</v>
      </c>
      <c r="L8" s="54" t="s">
        <v>131</v>
      </c>
      <c r="M8" s="75"/>
      <c r="N8" s="73"/>
      <c r="O8" s="15"/>
      <c r="Q8" s="32"/>
      <c r="R8" s="32"/>
    </row>
    <row r="9" spans="1:18" x14ac:dyDescent="0.25">
      <c r="A9" s="16">
        <v>24264</v>
      </c>
      <c r="B9" s="49">
        <v>500</v>
      </c>
      <c r="C9" s="17" t="s">
        <v>72</v>
      </c>
      <c r="D9" s="13">
        <v>24341</v>
      </c>
      <c r="E9" s="70">
        <v>600</v>
      </c>
      <c r="F9" s="116" t="s">
        <v>156</v>
      </c>
      <c r="G9" s="11">
        <v>24383</v>
      </c>
      <c r="H9" s="67">
        <v>600</v>
      </c>
      <c r="I9" s="12" t="s">
        <v>73</v>
      </c>
      <c r="J9" s="53"/>
      <c r="K9" s="72"/>
      <c r="L9" s="54" t="s">
        <v>17</v>
      </c>
      <c r="M9" s="75"/>
      <c r="N9" s="73"/>
      <c r="O9" s="15"/>
    </row>
    <row r="10" spans="1:18" x14ac:dyDescent="0.25">
      <c r="A10" s="16">
        <v>24265</v>
      </c>
      <c r="B10" s="49">
        <v>300</v>
      </c>
      <c r="C10" s="17"/>
      <c r="D10" s="13">
        <v>24342</v>
      </c>
      <c r="E10" s="70"/>
      <c r="F10" s="14"/>
      <c r="G10" s="11"/>
      <c r="H10" s="67"/>
      <c r="I10" s="12" t="s">
        <v>18</v>
      </c>
      <c r="J10" s="53">
        <v>24410</v>
      </c>
      <c r="K10" s="72">
        <v>600</v>
      </c>
      <c r="L10" s="54"/>
      <c r="M10" s="75"/>
      <c r="N10" s="73"/>
      <c r="O10" s="15"/>
    </row>
    <row r="11" spans="1:18" x14ac:dyDescent="0.25">
      <c r="A11" s="16">
        <v>24266</v>
      </c>
      <c r="B11" s="49">
        <v>400</v>
      </c>
      <c r="C11" s="17" t="s">
        <v>73</v>
      </c>
      <c r="D11" s="13">
        <v>24343</v>
      </c>
      <c r="E11" s="70"/>
      <c r="F11" s="14"/>
      <c r="G11" s="11">
        <v>4384</v>
      </c>
      <c r="H11" s="67">
        <v>300</v>
      </c>
      <c r="I11" s="96" t="s">
        <v>165</v>
      </c>
      <c r="J11" s="53">
        <v>24411</v>
      </c>
      <c r="K11" s="72">
        <v>1200</v>
      </c>
      <c r="L11" s="54" t="s">
        <v>168</v>
      </c>
      <c r="M11" s="75"/>
      <c r="N11" s="73"/>
      <c r="O11" s="15"/>
    </row>
    <row r="12" spans="1:18" x14ac:dyDescent="0.25">
      <c r="A12" s="16"/>
      <c r="B12" s="49"/>
      <c r="C12" s="17" t="s">
        <v>52</v>
      </c>
      <c r="D12" s="13">
        <v>24344</v>
      </c>
      <c r="E12" s="70">
        <v>300</v>
      </c>
      <c r="F12" s="99"/>
      <c r="G12" s="11">
        <v>24385</v>
      </c>
      <c r="H12" s="67">
        <v>500</v>
      </c>
      <c r="I12" s="12"/>
      <c r="J12" s="53"/>
      <c r="K12" s="72"/>
      <c r="L12" s="54" t="s">
        <v>18</v>
      </c>
      <c r="M12" s="75"/>
      <c r="N12" s="73"/>
      <c r="O12" s="15"/>
    </row>
    <row r="13" spans="1:18" x14ac:dyDescent="0.25">
      <c r="A13" s="16">
        <v>24267</v>
      </c>
      <c r="B13" s="49">
        <v>600</v>
      </c>
      <c r="C13" s="17" t="s">
        <v>142</v>
      </c>
      <c r="D13" s="13">
        <v>24345</v>
      </c>
      <c r="E13" s="70">
        <v>500</v>
      </c>
      <c r="F13" s="14"/>
      <c r="G13" s="11">
        <v>24386</v>
      </c>
      <c r="H13" s="67">
        <v>5500</v>
      </c>
      <c r="I13" s="12" t="s">
        <v>28</v>
      </c>
      <c r="J13" s="53">
        <v>24412</v>
      </c>
      <c r="K13" s="72">
        <v>1750</v>
      </c>
      <c r="L13" s="54" t="s">
        <v>169</v>
      </c>
      <c r="M13" s="75"/>
      <c r="N13" s="73"/>
      <c r="O13" s="15"/>
    </row>
    <row r="14" spans="1:18" x14ac:dyDescent="0.25">
      <c r="A14" s="16">
        <v>24268</v>
      </c>
      <c r="B14" s="49">
        <v>250</v>
      </c>
      <c r="C14" s="17"/>
      <c r="D14" s="13">
        <v>24346</v>
      </c>
      <c r="E14" s="70">
        <v>300</v>
      </c>
      <c r="F14" s="14" t="s">
        <v>157</v>
      </c>
      <c r="G14" s="11"/>
      <c r="H14" s="67"/>
      <c r="I14" s="12" t="s">
        <v>64</v>
      </c>
      <c r="J14" s="53"/>
      <c r="K14" s="72"/>
      <c r="L14" s="54" t="s">
        <v>21</v>
      </c>
      <c r="M14" s="75"/>
      <c r="N14" s="73"/>
      <c r="O14" s="31"/>
    </row>
    <row r="15" spans="1:18" x14ac:dyDescent="0.25">
      <c r="A15" s="16">
        <v>24269</v>
      </c>
      <c r="B15" s="49">
        <v>500</v>
      </c>
      <c r="C15" s="17" t="s">
        <v>72</v>
      </c>
      <c r="D15" s="13">
        <v>24347</v>
      </c>
      <c r="E15" s="70"/>
      <c r="F15" s="14"/>
      <c r="G15" s="11">
        <v>24387</v>
      </c>
      <c r="H15" s="67">
        <v>400</v>
      </c>
      <c r="I15" s="12"/>
      <c r="J15" s="53">
        <v>24413</v>
      </c>
      <c r="K15" s="72">
        <v>400</v>
      </c>
      <c r="L15" s="54" t="s">
        <v>72</v>
      </c>
      <c r="M15" s="75"/>
      <c r="N15" s="73"/>
      <c r="O15" s="15"/>
    </row>
    <row r="16" spans="1:18" x14ac:dyDescent="0.25">
      <c r="A16" s="16">
        <v>24270</v>
      </c>
      <c r="B16" s="49">
        <v>6000</v>
      </c>
      <c r="C16" s="17" t="s">
        <v>143</v>
      </c>
      <c r="D16" s="13">
        <v>23248</v>
      </c>
      <c r="E16" s="70"/>
      <c r="F16" s="91"/>
      <c r="G16" s="11">
        <v>24388</v>
      </c>
      <c r="H16" s="67">
        <v>50</v>
      </c>
      <c r="I16" s="12" t="s">
        <v>19</v>
      </c>
      <c r="J16" s="53">
        <v>24414</v>
      </c>
      <c r="K16" s="72">
        <v>500</v>
      </c>
      <c r="L16" s="54" t="s">
        <v>170</v>
      </c>
      <c r="M16" s="75"/>
      <c r="N16" s="73"/>
      <c r="O16" s="15"/>
    </row>
    <row r="17" spans="1:15" x14ac:dyDescent="0.25">
      <c r="A17" s="16"/>
      <c r="B17" s="49"/>
      <c r="C17" s="17" t="s">
        <v>18</v>
      </c>
      <c r="D17" s="13">
        <v>23249</v>
      </c>
      <c r="E17" s="70">
        <v>1250</v>
      </c>
      <c r="F17" s="91" t="s">
        <v>158</v>
      </c>
      <c r="G17" s="11">
        <v>24389</v>
      </c>
      <c r="H17" s="67">
        <v>1500</v>
      </c>
      <c r="I17" s="12" t="s">
        <v>166</v>
      </c>
      <c r="J17" s="53"/>
      <c r="K17" s="72"/>
      <c r="L17" s="54" t="s">
        <v>171</v>
      </c>
      <c r="M17" s="75"/>
      <c r="N17" s="73"/>
      <c r="O17" s="15"/>
    </row>
    <row r="18" spans="1:15" x14ac:dyDescent="0.25">
      <c r="A18" s="16">
        <v>24271</v>
      </c>
      <c r="B18" s="49">
        <v>300</v>
      </c>
      <c r="C18" s="17" t="s">
        <v>144</v>
      </c>
      <c r="D18" s="13"/>
      <c r="E18" s="70"/>
      <c r="F18" s="14" t="s">
        <v>16</v>
      </c>
      <c r="G18" s="11"/>
      <c r="H18" s="67"/>
      <c r="I18" s="12" t="s">
        <v>64</v>
      </c>
      <c r="J18" s="53">
        <v>24415</v>
      </c>
      <c r="K18" s="72">
        <v>500</v>
      </c>
      <c r="L18" s="54" t="s">
        <v>121</v>
      </c>
      <c r="M18" s="75"/>
      <c r="N18" s="73"/>
      <c r="O18" s="15"/>
    </row>
    <row r="19" spans="1:15" x14ac:dyDescent="0.25">
      <c r="A19" s="16">
        <v>24272</v>
      </c>
      <c r="B19" s="49">
        <v>1000</v>
      </c>
      <c r="C19" s="17" t="s">
        <v>145</v>
      </c>
      <c r="D19" s="13">
        <v>23250</v>
      </c>
      <c r="E19" s="70">
        <v>250</v>
      </c>
      <c r="F19" s="14" t="s">
        <v>72</v>
      </c>
      <c r="G19" s="11">
        <v>24390</v>
      </c>
      <c r="H19" s="67"/>
      <c r="I19" s="12" t="s">
        <v>20</v>
      </c>
      <c r="J19" s="53">
        <v>24416</v>
      </c>
      <c r="K19" s="72">
        <v>500</v>
      </c>
      <c r="L19" s="54" t="s">
        <v>121</v>
      </c>
      <c r="M19" s="75"/>
      <c r="N19" s="73"/>
      <c r="O19" s="15"/>
    </row>
    <row r="20" spans="1:15" x14ac:dyDescent="0.25">
      <c r="A20" s="16"/>
      <c r="B20" s="49"/>
      <c r="C20" s="17" t="s">
        <v>64</v>
      </c>
      <c r="D20" s="13">
        <v>23251</v>
      </c>
      <c r="E20" s="70">
        <v>1000</v>
      </c>
      <c r="F20" s="14" t="s">
        <v>159</v>
      </c>
      <c r="G20" s="11">
        <v>24391</v>
      </c>
      <c r="H20" s="67">
        <v>300</v>
      </c>
      <c r="I20" s="12"/>
      <c r="J20" s="53">
        <v>24417</v>
      </c>
      <c r="K20" s="72">
        <v>500</v>
      </c>
      <c r="L20" s="54" t="s">
        <v>98</v>
      </c>
      <c r="M20" s="75"/>
      <c r="N20" s="73"/>
      <c r="O20" s="15"/>
    </row>
    <row r="21" spans="1:15" x14ac:dyDescent="0.25">
      <c r="A21" s="16">
        <v>24273</v>
      </c>
      <c r="B21" s="49">
        <v>200</v>
      </c>
      <c r="C21" s="17" t="s">
        <v>72</v>
      </c>
      <c r="D21" s="13"/>
      <c r="E21" s="70"/>
      <c r="F21" s="14" t="s">
        <v>160</v>
      </c>
      <c r="G21" s="11">
        <v>24392</v>
      </c>
      <c r="H21" s="67">
        <v>500</v>
      </c>
      <c r="I21" s="12"/>
      <c r="J21" s="53">
        <v>24418</v>
      </c>
      <c r="K21" s="72">
        <v>500</v>
      </c>
      <c r="L21" s="54"/>
      <c r="M21" s="75"/>
      <c r="N21" s="73"/>
      <c r="O21" s="15"/>
    </row>
    <row r="22" spans="1:15" x14ac:dyDescent="0.25">
      <c r="A22" s="16">
        <v>24274</v>
      </c>
      <c r="B22" s="49">
        <v>500</v>
      </c>
      <c r="C22" s="17"/>
      <c r="D22" s="13">
        <v>23252</v>
      </c>
      <c r="E22" s="70">
        <v>600</v>
      </c>
      <c r="F22" s="14" t="s">
        <v>73</v>
      </c>
      <c r="G22" s="11">
        <v>24393</v>
      </c>
      <c r="H22" s="67">
        <v>300</v>
      </c>
      <c r="I22" s="12"/>
      <c r="J22" s="53">
        <v>24419</v>
      </c>
      <c r="K22" s="72">
        <v>500</v>
      </c>
      <c r="L22" s="54"/>
      <c r="M22" s="75"/>
      <c r="N22" s="73"/>
      <c r="O22" s="15"/>
    </row>
    <row r="23" spans="1:15" x14ac:dyDescent="0.25">
      <c r="A23" s="16">
        <v>24275</v>
      </c>
      <c r="B23" s="49">
        <v>1500</v>
      </c>
      <c r="C23" s="17" t="s">
        <v>146</v>
      </c>
      <c r="D23" s="13"/>
      <c r="E23" s="70"/>
      <c r="F23" s="14" t="s">
        <v>18</v>
      </c>
      <c r="G23" s="11">
        <v>24394</v>
      </c>
      <c r="H23" s="67">
        <v>400</v>
      </c>
      <c r="I23" s="12"/>
      <c r="J23" s="53">
        <v>24420</v>
      </c>
      <c r="K23" s="72">
        <v>500</v>
      </c>
      <c r="L23" s="54"/>
      <c r="M23" s="75"/>
      <c r="N23" s="73"/>
      <c r="O23" s="15"/>
    </row>
    <row r="24" spans="1:15" x14ac:dyDescent="0.25">
      <c r="A24" s="16"/>
      <c r="B24" s="49"/>
      <c r="C24" s="17" t="s">
        <v>64</v>
      </c>
      <c r="D24" s="13">
        <v>23253</v>
      </c>
      <c r="E24" s="70">
        <v>500</v>
      </c>
      <c r="F24" s="14"/>
      <c r="G24" s="11">
        <v>24395</v>
      </c>
      <c r="H24" s="67">
        <v>500</v>
      </c>
      <c r="I24" s="12"/>
      <c r="J24" s="53">
        <v>24421</v>
      </c>
      <c r="K24" s="72">
        <v>500</v>
      </c>
      <c r="L24" s="54" t="s">
        <v>172</v>
      </c>
      <c r="M24" s="75"/>
      <c r="N24" s="73"/>
      <c r="O24" s="15"/>
    </row>
    <row r="25" spans="1:15" x14ac:dyDescent="0.25">
      <c r="A25" s="16">
        <v>24276</v>
      </c>
      <c r="B25" s="49">
        <v>500</v>
      </c>
      <c r="C25" s="17" t="s">
        <v>72</v>
      </c>
      <c r="D25" s="13">
        <v>23254</v>
      </c>
      <c r="E25" s="70">
        <v>500</v>
      </c>
      <c r="F25" s="101" t="s">
        <v>72</v>
      </c>
      <c r="G25" s="11">
        <v>24396</v>
      </c>
      <c r="H25" s="67">
        <v>500</v>
      </c>
      <c r="I25" s="12"/>
      <c r="J25" s="53">
        <v>24422</v>
      </c>
      <c r="K25" s="72">
        <v>1000</v>
      </c>
      <c r="L25" s="54" t="s">
        <v>173</v>
      </c>
      <c r="M25" s="75"/>
      <c r="N25" s="73"/>
      <c r="O25" s="15"/>
    </row>
    <row r="26" spans="1:15" x14ac:dyDescent="0.25">
      <c r="A26" s="16">
        <v>24277</v>
      </c>
      <c r="B26" s="49">
        <v>500</v>
      </c>
      <c r="C26" s="17" t="s">
        <v>72</v>
      </c>
      <c r="D26" s="13">
        <v>24255</v>
      </c>
      <c r="E26" s="70">
        <v>350</v>
      </c>
      <c r="F26" s="14" t="s">
        <v>118</v>
      </c>
      <c r="G26" s="11">
        <v>24397</v>
      </c>
      <c r="H26" s="67">
        <v>250</v>
      </c>
      <c r="I26" s="12"/>
      <c r="J26" s="53"/>
      <c r="K26" s="72"/>
      <c r="L26" s="54" t="s">
        <v>64</v>
      </c>
      <c r="M26" s="75"/>
      <c r="N26" s="73"/>
      <c r="O26" s="15"/>
    </row>
    <row r="27" spans="1:15" x14ac:dyDescent="0.25">
      <c r="A27" s="16">
        <v>24278</v>
      </c>
      <c r="B27" s="49">
        <v>500</v>
      </c>
      <c r="C27" s="17"/>
      <c r="D27" s="13">
        <v>24256</v>
      </c>
      <c r="E27" s="70">
        <v>50</v>
      </c>
      <c r="F27" s="14" t="s">
        <v>19</v>
      </c>
      <c r="G27" s="11">
        <v>24398</v>
      </c>
      <c r="H27" s="67">
        <v>300</v>
      </c>
      <c r="I27" s="12"/>
      <c r="J27" s="53">
        <v>24423</v>
      </c>
      <c r="K27" s="72">
        <v>300</v>
      </c>
      <c r="L27" s="54"/>
      <c r="M27" s="75"/>
      <c r="N27" s="73"/>
      <c r="O27" s="31"/>
    </row>
    <row r="28" spans="1:15" x14ac:dyDescent="0.25">
      <c r="A28" s="16">
        <v>24279</v>
      </c>
      <c r="B28" s="49">
        <v>400</v>
      </c>
      <c r="C28" s="17" t="s">
        <v>72</v>
      </c>
      <c r="D28" s="13">
        <v>24257</v>
      </c>
      <c r="E28" s="70">
        <v>2000</v>
      </c>
      <c r="F28" s="14" t="s">
        <v>161</v>
      </c>
      <c r="G28" s="11">
        <v>24399</v>
      </c>
      <c r="H28" s="67">
        <v>400</v>
      </c>
      <c r="I28" s="12"/>
      <c r="J28" s="53">
        <v>24424</v>
      </c>
      <c r="K28" s="72">
        <v>1000</v>
      </c>
      <c r="L28" s="87" t="s">
        <v>159</v>
      </c>
      <c r="M28" s="75"/>
      <c r="N28" s="73"/>
      <c r="O28" s="15"/>
    </row>
    <row r="29" spans="1:15" x14ac:dyDescent="0.25">
      <c r="A29" s="16">
        <v>24280</v>
      </c>
      <c r="B29" s="49">
        <v>500</v>
      </c>
      <c r="C29" s="17"/>
      <c r="D29" s="13"/>
      <c r="E29" s="70"/>
      <c r="F29" s="14" t="s">
        <v>64</v>
      </c>
      <c r="G29" s="11">
        <v>24400</v>
      </c>
      <c r="H29" s="67">
        <v>500</v>
      </c>
      <c r="I29" s="12"/>
      <c r="J29" s="53"/>
      <c r="K29" s="72"/>
      <c r="L29" s="54" t="s">
        <v>64</v>
      </c>
      <c r="M29" s="75"/>
      <c r="N29" s="73"/>
      <c r="O29" s="15"/>
    </row>
    <row r="30" spans="1:15" x14ac:dyDescent="0.25">
      <c r="A30" s="16">
        <v>24281</v>
      </c>
      <c r="B30" s="49">
        <v>600</v>
      </c>
      <c r="C30" s="17" t="s">
        <v>73</v>
      </c>
      <c r="D30" s="13">
        <v>24258</v>
      </c>
      <c r="E30" s="70">
        <v>500</v>
      </c>
      <c r="F30" s="14"/>
      <c r="G30" s="11">
        <v>24401</v>
      </c>
      <c r="H30" s="67">
        <v>200</v>
      </c>
      <c r="I30" s="12" t="s">
        <v>72</v>
      </c>
      <c r="J30" s="53">
        <v>24425</v>
      </c>
      <c r="K30" s="72">
        <v>500</v>
      </c>
      <c r="L30" s="54" t="s">
        <v>121</v>
      </c>
      <c r="M30" s="75"/>
      <c r="N30" s="73"/>
      <c r="O30" s="15"/>
    </row>
    <row r="31" spans="1:15" x14ac:dyDescent="0.25">
      <c r="A31" s="16"/>
      <c r="B31" s="49"/>
      <c r="C31" s="17" t="s">
        <v>18</v>
      </c>
      <c r="D31" s="13">
        <v>24259</v>
      </c>
      <c r="E31" s="70">
        <v>3000</v>
      </c>
      <c r="F31" s="14" t="s">
        <v>143</v>
      </c>
      <c r="G31" s="11">
        <v>24402</v>
      </c>
      <c r="H31" s="67">
        <v>1000</v>
      </c>
      <c r="I31" s="12" t="s">
        <v>131</v>
      </c>
      <c r="J31" s="53">
        <v>24426</v>
      </c>
      <c r="K31" s="72">
        <v>500</v>
      </c>
      <c r="L31" s="54"/>
      <c r="M31" s="75"/>
      <c r="N31" s="73"/>
      <c r="O31" s="15"/>
    </row>
    <row r="32" spans="1:15" x14ac:dyDescent="0.25">
      <c r="A32" s="16">
        <v>24282</v>
      </c>
      <c r="B32" s="49">
        <v>3000</v>
      </c>
      <c r="C32" s="17" t="s">
        <v>147</v>
      </c>
      <c r="D32" s="13"/>
      <c r="E32" s="70"/>
      <c r="F32" s="14" t="s">
        <v>16</v>
      </c>
      <c r="G32" s="11"/>
      <c r="H32" s="67"/>
      <c r="I32" s="12" t="s">
        <v>64</v>
      </c>
      <c r="J32" s="53">
        <v>24427</v>
      </c>
      <c r="K32" s="72">
        <v>500</v>
      </c>
      <c r="L32" s="54"/>
      <c r="M32" s="75"/>
      <c r="N32" s="73"/>
      <c r="O32" s="15"/>
    </row>
    <row r="33" spans="1:15" x14ac:dyDescent="0.25">
      <c r="A33" s="16"/>
      <c r="B33" s="49"/>
      <c r="C33" s="17" t="s">
        <v>148</v>
      </c>
      <c r="D33" s="13">
        <v>24260</v>
      </c>
      <c r="E33" s="70">
        <v>750</v>
      </c>
      <c r="F33" s="14" t="s">
        <v>30</v>
      </c>
      <c r="G33" s="11">
        <v>24403</v>
      </c>
      <c r="H33" s="67">
        <v>500</v>
      </c>
      <c r="I33" s="12"/>
      <c r="J33" s="53">
        <v>24428</v>
      </c>
      <c r="K33" s="72">
        <v>250</v>
      </c>
      <c r="L33" s="54"/>
      <c r="M33" s="75"/>
      <c r="N33" s="73"/>
      <c r="O33" s="15"/>
    </row>
    <row r="34" spans="1:15" x14ac:dyDescent="0.25">
      <c r="A34" s="16">
        <v>24283</v>
      </c>
      <c r="B34" s="49">
        <v>400</v>
      </c>
      <c r="C34" s="17"/>
      <c r="D34" s="13"/>
      <c r="E34" s="70"/>
      <c r="F34" s="14" t="s">
        <v>16</v>
      </c>
      <c r="G34" s="11">
        <v>24404</v>
      </c>
      <c r="H34" s="67">
        <v>300</v>
      </c>
      <c r="I34" s="12"/>
      <c r="J34" s="53">
        <v>24429</v>
      </c>
      <c r="K34" s="72">
        <v>1500</v>
      </c>
      <c r="L34" s="54" t="s">
        <v>152</v>
      </c>
      <c r="M34" s="75"/>
      <c r="N34" s="73"/>
      <c r="O34" s="31"/>
    </row>
    <row r="35" spans="1:15" x14ac:dyDescent="0.25">
      <c r="A35" s="16">
        <v>24284</v>
      </c>
      <c r="B35" s="49">
        <v>2000</v>
      </c>
      <c r="C35" s="17" t="s">
        <v>54</v>
      </c>
      <c r="D35" s="13">
        <v>24261</v>
      </c>
      <c r="E35" s="70">
        <v>800</v>
      </c>
      <c r="F35" s="14" t="s">
        <v>162</v>
      </c>
      <c r="G35" s="11">
        <v>24405</v>
      </c>
      <c r="H35" s="67">
        <v>500</v>
      </c>
      <c r="I35" s="12"/>
      <c r="J35" s="53"/>
      <c r="K35" s="72"/>
      <c r="L35" s="54" t="s">
        <v>64</v>
      </c>
      <c r="M35" s="75"/>
      <c r="N35" s="73"/>
      <c r="O35" s="15"/>
    </row>
    <row r="36" spans="1:15" x14ac:dyDescent="0.25">
      <c r="A36" s="16"/>
      <c r="B36" s="49"/>
      <c r="C36" s="17" t="s">
        <v>64</v>
      </c>
      <c r="D36" s="13"/>
      <c r="E36" s="70"/>
      <c r="F36" s="14" t="s">
        <v>163</v>
      </c>
      <c r="G36" s="11">
        <v>24406</v>
      </c>
      <c r="H36" s="67">
        <v>300</v>
      </c>
      <c r="I36" s="12"/>
      <c r="J36" s="53">
        <v>24430</v>
      </c>
      <c r="K36" s="72">
        <v>500</v>
      </c>
      <c r="L36" s="54"/>
      <c r="M36" s="75"/>
      <c r="N36" s="73"/>
      <c r="O36" s="15"/>
    </row>
    <row r="37" spans="1:15" x14ac:dyDescent="0.25">
      <c r="A37" s="16">
        <v>24285</v>
      </c>
      <c r="B37" s="49">
        <v>500</v>
      </c>
      <c r="C37" s="17"/>
      <c r="D37" s="13">
        <v>24262</v>
      </c>
      <c r="E37" s="70">
        <v>300</v>
      </c>
      <c r="F37" s="14"/>
      <c r="G37" s="11">
        <v>24407</v>
      </c>
      <c r="H37" s="67">
        <v>300</v>
      </c>
      <c r="I37" s="12"/>
      <c r="J37" s="53">
        <v>24431</v>
      </c>
      <c r="K37" s="72">
        <v>500</v>
      </c>
      <c r="L37" s="54" t="s">
        <v>72</v>
      </c>
      <c r="M37" s="75"/>
      <c r="N37" s="73"/>
      <c r="O37" s="15"/>
    </row>
    <row r="38" spans="1:15" x14ac:dyDescent="0.25">
      <c r="A38" s="16">
        <v>24286</v>
      </c>
      <c r="B38" s="49">
        <v>500</v>
      </c>
      <c r="C38" s="17"/>
      <c r="D38" s="13">
        <v>24263</v>
      </c>
      <c r="E38" s="70">
        <v>500</v>
      </c>
      <c r="F38" s="14"/>
      <c r="G38" s="11">
        <v>24408</v>
      </c>
      <c r="H38" s="67">
        <v>500</v>
      </c>
      <c r="I38" s="12" t="s">
        <v>131</v>
      </c>
      <c r="J38" s="53">
        <v>24432</v>
      </c>
      <c r="K38" s="72">
        <v>200</v>
      </c>
      <c r="L38" s="54"/>
      <c r="M38" s="75"/>
      <c r="N38" s="73"/>
      <c r="O38" s="15"/>
    </row>
    <row r="39" spans="1:15" x14ac:dyDescent="0.25">
      <c r="A39" s="16">
        <v>24287</v>
      </c>
      <c r="B39" s="49">
        <v>500</v>
      </c>
      <c r="C39" s="17"/>
      <c r="D39" s="13">
        <v>24264</v>
      </c>
      <c r="E39" s="70">
        <v>500</v>
      </c>
      <c r="F39" s="14" t="s">
        <v>164</v>
      </c>
      <c r="G39" s="11"/>
      <c r="H39" s="67"/>
      <c r="I39" s="12" t="s">
        <v>167</v>
      </c>
      <c r="J39" s="53">
        <v>24433</v>
      </c>
      <c r="K39" s="72">
        <v>500</v>
      </c>
      <c r="L39" s="54" t="s">
        <v>121</v>
      </c>
      <c r="M39" s="75"/>
      <c r="N39" s="73"/>
      <c r="O39" s="15"/>
    </row>
    <row r="40" spans="1:15" x14ac:dyDescent="0.25">
      <c r="A40" s="16">
        <v>24288</v>
      </c>
      <c r="B40" s="49">
        <v>500</v>
      </c>
      <c r="C40" s="17"/>
      <c r="D40" s="13">
        <v>24265</v>
      </c>
      <c r="E40" s="70">
        <v>500</v>
      </c>
      <c r="F40" s="14"/>
      <c r="G40" s="11"/>
      <c r="H40" s="67"/>
      <c r="I40" s="12"/>
      <c r="J40" s="53">
        <v>24434</v>
      </c>
      <c r="K40" s="72">
        <v>500</v>
      </c>
      <c r="L40" s="54"/>
      <c r="M40" s="75"/>
      <c r="N40" s="73"/>
      <c r="O40" s="15"/>
    </row>
    <row r="41" spans="1:15" x14ac:dyDescent="0.25">
      <c r="A41" s="16">
        <v>24289</v>
      </c>
      <c r="B41" s="49">
        <v>600</v>
      </c>
      <c r="C41" s="17" t="s">
        <v>73</v>
      </c>
      <c r="D41" s="13">
        <v>24266</v>
      </c>
      <c r="E41" s="70">
        <v>400</v>
      </c>
      <c r="F41" s="14" t="s">
        <v>37</v>
      </c>
      <c r="G41" s="11"/>
      <c r="H41" s="67"/>
      <c r="I41" s="12"/>
      <c r="J41" s="53">
        <v>24435</v>
      </c>
      <c r="K41" s="72">
        <v>800</v>
      </c>
      <c r="L41" s="54" t="s">
        <v>131</v>
      </c>
      <c r="M41" s="75"/>
      <c r="N41" s="73"/>
      <c r="O41" s="15"/>
    </row>
    <row r="42" spans="1:15" x14ac:dyDescent="0.25">
      <c r="A42" s="16"/>
      <c r="B42" s="49"/>
      <c r="C42" s="17" t="s">
        <v>18</v>
      </c>
      <c r="D42" s="13"/>
      <c r="E42" s="70"/>
      <c r="F42" s="14" t="s">
        <v>52</v>
      </c>
      <c r="G42" s="11"/>
      <c r="H42" s="67"/>
      <c r="I42" s="12"/>
      <c r="J42" s="53"/>
      <c r="K42" s="72"/>
      <c r="L42" s="54" t="s">
        <v>17</v>
      </c>
      <c r="M42" s="75"/>
      <c r="N42" s="73"/>
      <c r="O42" s="15"/>
    </row>
    <row r="43" spans="1:15" x14ac:dyDescent="0.25">
      <c r="A43" s="16">
        <v>24290</v>
      </c>
      <c r="B43" s="49">
        <v>500</v>
      </c>
      <c r="C43" s="17" t="s">
        <v>72</v>
      </c>
      <c r="D43" s="13">
        <v>24267</v>
      </c>
      <c r="E43" s="70">
        <v>400</v>
      </c>
      <c r="F43" s="14" t="s">
        <v>37</v>
      </c>
      <c r="G43" s="11"/>
      <c r="H43" s="67"/>
      <c r="I43" s="12"/>
      <c r="J43" s="53">
        <v>24436</v>
      </c>
      <c r="K43" s="72">
        <v>50</v>
      </c>
      <c r="L43" s="54" t="s">
        <v>19</v>
      </c>
      <c r="M43" s="75"/>
      <c r="N43" s="73"/>
      <c r="O43" s="15"/>
    </row>
    <row r="44" spans="1:15" x14ac:dyDescent="0.25">
      <c r="A44" s="16">
        <v>24291</v>
      </c>
      <c r="B44" s="49">
        <v>500</v>
      </c>
      <c r="C44" s="17"/>
      <c r="D44" s="13"/>
      <c r="E44" s="70"/>
      <c r="F44" s="14" t="s">
        <v>52</v>
      </c>
      <c r="G44" s="11"/>
      <c r="H44" s="67"/>
      <c r="I44" s="12"/>
      <c r="J44" s="53">
        <v>24437</v>
      </c>
      <c r="K44" s="72">
        <v>500</v>
      </c>
      <c r="L44" s="54" t="s">
        <v>131</v>
      </c>
      <c r="M44" s="75"/>
      <c r="N44" s="73"/>
      <c r="O44" s="15"/>
    </row>
    <row r="45" spans="1:15" x14ac:dyDescent="0.25">
      <c r="A45" s="16">
        <v>24292</v>
      </c>
      <c r="B45" s="49">
        <v>400</v>
      </c>
      <c r="C45" s="17"/>
      <c r="D45" s="13">
        <v>24268</v>
      </c>
      <c r="E45" s="70">
        <v>250</v>
      </c>
      <c r="F45" s="14"/>
      <c r="G45" s="11"/>
      <c r="H45" s="67"/>
      <c r="I45" s="12"/>
      <c r="J45" s="53"/>
      <c r="K45" s="72"/>
      <c r="L45" s="54" t="s">
        <v>16</v>
      </c>
      <c r="M45" s="75"/>
      <c r="N45" s="73"/>
      <c r="O45" s="15"/>
    </row>
    <row r="46" spans="1:15" x14ac:dyDescent="0.25">
      <c r="A46" s="16">
        <v>24293</v>
      </c>
      <c r="B46" s="49">
        <v>500</v>
      </c>
      <c r="C46" s="17" t="s">
        <v>72</v>
      </c>
      <c r="D46" s="13">
        <v>24269</v>
      </c>
      <c r="E46" s="70">
        <v>500</v>
      </c>
      <c r="F46" s="14"/>
      <c r="G46" s="11"/>
      <c r="H46" s="67"/>
      <c r="I46" s="12"/>
      <c r="J46" s="53">
        <v>24438</v>
      </c>
      <c r="K46" s="72">
        <v>600</v>
      </c>
      <c r="L46" s="54" t="s">
        <v>174</v>
      </c>
      <c r="M46" s="75"/>
      <c r="N46" s="73"/>
      <c r="O46" s="15"/>
    </row>
    <row r="47" spans="1:15" x14ac:dyDescent="0.25">
      <c r="A47" s="16">
        <v>24294</v>
      </c>
      <c r="B47" s="49">
        <v>1500</v>
      </c>
      <c r="C47" s="17" t="s">
        <v>149</v>
      </c>
      <c r="D47" s="13">
        <v>24270</v>
      </c>
      <c r="E47" s="70">
        <v>400</v>
      </c>
      <c r="F47" s="14" t="s">
        <v>72</v>
      </c>
      <c r="G47" s="11"/>
      <c r="H47" s="67"/>
      <c r="I47" s="12"/>
      <c r="J47" s="53">
        <v>24439</v>
      </c>
      <c r="K47" s="72">
        <v>1200</v>
      </c>
      <c r="L47" s="54" t="s">
        <v>146</v>
      </c>
      <c r="M47" s="75"/>
      <c r="N47" s="73"/>
      <c r="O47" s="15"/>
    </row>
    <row r="48" spans="1:15" x14ac:dyDescent="0.25">
      <c r="A48" s="16"/>
      <c r="B48" s="49"/>
      <c r="C48" s="17" t="s">
        <v>16</v>
      </c>
      <c r="D48" s="13">
        <v>24271</v>
      </c>
      <c r="E48" s="70">
        <v>500</v>
      </c>
      <c r="F48" s="14"/>
      <c r="G48" s="11"/>
      <c r="H48" s="67"/>
      <c r="I48" s="12"/>
      <c r="J48" s="53"/>
      <c r="K48" s="72"/>
      <c r="L48" s="54" t="s">
        <v>17</v>
      </c>
      <c r="M48" s="75"/>
      <c r="N48" s="73"/>
      <c r="O48" s="15"/>
    </row>
    <row r="49" spans="1:15" x14ac:dyDescent="0.25">
      <c r="A49" s="16">
        <v>24295</v>
      </c>
      <c r="B49" s="49"/>
      <c r="C49" s="17" t="s">
        <v>20</v>
      </c>
      <c r="D49" s="13">
        <v>24272</v>
      </c>
      <c r="E49" s="70">
        <v>500</v>
      </c>
      <c r="F49" s="14"/>
      <c r="G49" s="11"/>
      <c r="H49" s="67"/>
      <c r="I49" s="12"/>
      <c r="J49" s="53">
        <v>24440</v>
      </c>
      <c r="K49" s="72">
        <v>500</v>
      </c>
      <c r="L49" s="54" t="s">
        <v>131</v>
      </c>
      <c r="M49" s="75"/>
      <c r="N49" s="73"/>
      <c r="O49" s="15"/>
    </row>
    <row r="50" spans="1:15" x14ac:dyDescent="0.25">
      <c r="A50" s="16">
        <v>24296</v>
      </c>
      <c r="B50" s="49">
        <v>500</v>
      </c>
      <c r="C50" s="17" t="s">
        <v>72</v>
      </c>
      <c r="D50" s="13">
        <v>24273</v>
      </c>
      <c r="E50" s="70">
        <v>500</v>
      </c>
      <c r="F50" s="14"/>
      <c r="G50" s="11"/>
      <c r="H50" s="67"/>
      <c r="I50" s="12"/>
      <c r="J50" s="53"/>
      <c r="K50" s="72"/>
      <c r="L50" s="54" t="s">
        <v>16</v>
      </c>
      <c r="M50" s="75"/>
      <c r="N50" s="73"/>
      <c r="O50" s="15"/>
    </row>
    <row r="51" spans="1:15" x14ac:dyDescent="0.25">
      <c r="A51" s="16">
        <v>24297</v>
      </c>
      <c r="B51" s="49">
        <v>500</v>
      </c>
      <c r="C51" s="17"/>
      <c r="D51" s="13">
        <v>24274</v>
      </c>
      <c r="E51" s="70">
        <v>300</v>
      </c>
      <c r="F51" s="14"/>
      <c r="G51" s="11"/>
      <c r="H51" s="67"/>
      <c r="I51" s="12"/>
      <c r="J51" s="53">
        <v>24441</v>
      </c>
      <c r="K51" s="72">
        <v>1000</v>
      </c>
      <c r="L51" s="54" t="s">
        <v>159</v>
      </c>
      <c r="M51" s="75"/>
      <c r="N51" s="73"/>
      <c r="O51" s="15"/>
    </row>
    <row r="52" spans="1:15" x14ac:dyDescent="0.25">
      <c r="A52" s="16">
        <v>24298</v>
      </c>
      <c r="B52" s="49">
        <v>1500</v>
      </c>
      <c r="C52" s="17" t="s">
        <v>150</v>
      </c>
      <c r="D52" s="13">
        <v>24275</v>
      </c>
      <c r="E52" s="70">
        <v>500</v>
      </c>
      <c r="F52" s="14" t="s">
        <v>121</v>
      </c>
      <c r="G52" s="11"/>
      <c r="H52" s="67"/>
      <c r="I52" s="12"/>
      <c r="J52" s="53"/>
      <c r="K52" s="72"/>
      <c r="L52" s="54" t="s">
        <v>64</v>
      </c>
      <c r="M52" s="75"/>
      <c r="N52" s="73"/>
      <c r="O52" s="15"/>
    </row>
    <row r="53" spans="1:15" x14ac:dyDescent="0.25">
      <c r="A53" s="16"/>
      <c r="B53" s="49"/>
      <c r="C53" s="17" t="s">
        <v>18</v>
      </c>
      <c r="D53" s="13">
        <v>24276</v>
      </c>
      <c r="E53" s="70">
        <v>500</v>
      </c>
      <c r="F53" s="14"/>
      <c r="G53" s="11"/>
      <c r="H53" s="67"/>
      <c r="I53" s="12"/>
      <c r="J53" s="53">
        <v>24442</v>
      </c>
      <c r="K53" s="72">
        <v>400</v>
      </c>
      <c r="L53" s="54"/>
      <c r="M53" s="75"/>
      <c r="N53" s="73"/>
      <c r="O53" s="15"/>
    </row>
    <row r="54" spans="1:15" x14ac:dyDescent="0.25">
      <c r="A54" s="16">
        <v>24299</v>
      </c>
      <c r="B54" s="49">
        <v>500</v>
      </c>
      <c r="C54" s="17" t="s">
        <v>131</v>
      </c>
      <c r="D54" s="13">
        <v>24277</v>
      </c>
      <c r="E54" s="70">
        <v>1000</v>
      </c>
      <c r="F54" s="14" t="s">
        <v>73</v>
      </c>
      <c r="G54" s="11"/>
      <c r="H54" s="67"/>
      <c r="I54" s="12"/>
      <c r="J54" s="53">
        <v>24443</v>
      </c>
      <c r="K54" s="72">
        <v>350</v>
      </c>
      <c r="L54" s="54"/>
      <c r="M54" s="75"/>
      <c r="N54" s="73"/>
      <c r="O54" s="15"/>
    </row>
    <row r="55" spans="1:15" x14ac:dyDescent="0.25">
      <c r="A55" s="16"/>
      <c r="B55" s="49"/>
      <c r="C55" s="17" t="s">
        <v>16</v>
      </c>
      <c r="D55" s="13"/>
      <c r="E55" s="70"/>
      <c r="F55" s="69" t="s">
        <v>64</v>
      </c>
      <c r="G55" s="11"/>
      <c r="H55" s="67"/>
      <c r="I55" s="12"/>
      <c r="J55" s="53">
        <v>24444</v>
      </c>
      <c r="K55" s="72">
        <v>250</v>
      </c>
      <c r="L55" s="54"/>
      <c r="M55" s="75"/>
      <c r="N55" s="73"/>
      <c r="O55" s="15"/>
    </row>
    <row r="56" spans="1:15" x14ac:dyDescent="0.25">
      <c r="A56" s="16">
        <v>24300</v>
      </c>
      <c r="B56" s="49">
        <v>500</v>
      </c>
      <c r="C56" s="17"/>
      <c r="D56" s="13">
        <v>24278</v>
      </c>
      <c r="E56" s="70">
        <v>500</v>
      </c>
      <c r="F56" s="14"/>
      <c r="G56" s="11"/>
      <c r="H56" s="67"/>
      <c r="I56" s="12"/>
      <c r="J56" s="53">
        <v>24445</v>
      </c>
      <c r="K56" s="72">
        <v>500</v>
      </c>
      <c r="L56" s="54" t="s">
        <v>131</v>
      </c>
      <c r="M56" s="75"/>
      <c r="N56" s="73"/>
      <c r="O56" s="15"/>
    </row>
    <row r="57" spans="1:15" x14ac:dyDescent="0.25">
      <c r="A57" s="16">
        <v>24301</v>
      </c>
      <c r="B57" s="49">
        <v>250</v>
      </c>
      <c r="C57" s="17" t="s">
        <v>121</v>
      </c>
      <c r="D57" s="13">
        <v>24279</v>
      </c>
      <c r="E57" s="70">
        <v>800</v>
      </c>
      <c r="F57" s="14" t="s">
        <v>131</v>
      </c>
      <c r="G57" s="11"/>
      <c r="H57" s="67"/>
      <c r="I57" s="12"/>
      <c r="J57" s="53"/>
      <c r="K57" s="72"/>
      <c r="L57" s="87" t="s">
        <v>16</v>
      </c>
      <c r="M57" s="75"/>
      <c r="N57" s="73"/>
      <c r="O57" s="15"/>
    </row>
    <row r="58" spans="1:15" x14ac:dyDescent="0.25">
      <c r="A58" s="16">
        <v>24302</v>
      </c>
      <c r="B58" s="49">
        <v>600</v>
      </c>
      <c r="C58" s="17"/>
      <c r="D58" s="13"/>
      <c r="E58" s="70"/>
      <c r="F58" s="14" t="s">
        <v>17</v>
      </c>
      <c r="G58" s="11"/>
      <c r="H58" s="67"/>
      <c r="I58" s="12"/>
      <c r="J58" s="53">
        <v>24446</v>
      </c>
      <c r="K58" s="72">
        <v>300</v>
      </c>
      <c r="L58" s="54" t="s">
        <v>175</v>
      </c>
      <c r="M58" s="75"/>
      <c r="N58" s="73"/>
      <c r="O58" s="15"/>
    </row>
    <row r="59" spans="1:15" x14ac:dyDescent="0.25">
      <c r="A59" s="16">
        <v>24303</v>
      </c>
      <c r="B59" s="49">
        <v>450</v>
      </c>
      <c r="C59" s="17"/>
      <c r="D59" s="13">
        <v>24280</v>
      </c>
      <c r="E59" s="70">
        <v>400</v>
      </c>
      <c r="F59" s="14"/>
      <c r="G59" s="11"/>
      <c r="H59" s="67"/>
      <c r="I59" s="12"/>
      <c r="J59" s="53">
        <v>24447</v>
      </c>
      <c r="K59" s="72">
        <v>500</v>
      </c>
      <c r="L59" s="54"/>
      <c r="M59" s="75"/>
      <c r="N59" s="73"/>
      <c r="O59" s="15"/>
    </row>
    <row r="60" spans="1:15" x14ac:dyDescent="0.25">
      <c r="A60" s="16">
        <v>24304</v>
      </c>
      <c r="B60" s="49">
        <v>200</v>
      </c>
      <c r="C60" s="85"/>
      <c r="D60" s="13">
        <v>24281</v>
      </c>
      <c r="E60" s="70">
        <v>1000</v>
      </c>
      <c r="F60" s="14" t="s">
        <v>73</v>
      </c>
      <c r="G60" s="11"/>
      <c r="H60" s="67"/>
      <c r="I60" s="12"/>
      <c r="J60" s="53">
        <v>24448</v>
      </c>
      <c r="K60" s="72">
        <v>50</v>
      </c>
      <c r="L60" s="54" t="s">
        <v>19</v>
      </c>
      <c r="M60" s="75"/>
      <c r="N60" s="73"/>
      <c r="O60" s="15"/>
    </row>
    <row r="61" spans="1:15" x14ac:dyDescent="0.25">
      <c r="A61" s="16">
        <v>24305</v>
      </c>
      <c r="B61" s="49">
        <v>100</v>
      </c>
      <c r="C61" s="17" t="s">
        <v>151</v>
      </c>
      <c r="D61" s="13"/>
      <c r="E61" s="70"/>
      <c r="F61" s="14" t="s">
        <v>64</v>
      </c>
      <c r="G61" s="11"/>
      <c r="H61" s="67"/>
      <c r="I61" s="12"/>
      <c r="J61" s="53">
        <v>24449</v>
      </c>
      <c r="K61" s="72">
        <v>400</v>
      </c>
      <c r="L61" s="54" t="s">
        <v>72</v>
      </c>
      <c r="M61" s="75"/>
      <c r="N61" s="73"/>
      <c r="O61" s="15"/>
    </row>
    <row r="62" spans="1:15" x14ac:dyDescent="0.25">
      <c r="A62" s="16">
        <v>24306</v>
      </c>
      <c r="B62" s="49">
        <v>250</v>
      </c>
      <c r="C62" s="17"/>
      <c r="D62" s="13"/>
      <c r="E62" s="70"/>
      <c r="F62" s="14"/>
      <c r="G62" s="11"/>
      <c r="H62" s="67"/>
      <c r="I62" s="12"/>
      <c r="J62" s="53">
        <v>24450</v>
      </c>
      <c r="K62" s="72">
        <v>500</v>
      </c>
      <c r="L62" s="54"/>
      <c r="M62" s="75"/>
      <c r="N62" s="73"/>
      <c r="O62" s="15"/>
    </row>
    <row r="63" spans="1:15" x14ac:dyDescent="0.25">
      <c r="A63" s="16">
        <v>24307</v>
      </c>
      <c r="B63" s="49">
        <v>1200</v>
      </c>
      <c r="C63" s="17" t="s">
        <v>152</v>
      </c>
      <c r="D63" s="13"/>
      <c r="E63" s="70"/>
      <c r="F63" s="14"/>
      <c r="G63" s="11"/>
      <c r="H63" s="67"/>
      <c r="I63" s="12"/>
      <c r="J63" s="53">
        <v>24451</v>
      </c>
      <c r="K63" s="72">
        <v>800</v>
      </c>
      <c r="L63" s="54" t="s">
        <v>73</v>
      </c>
      <c r="M63" s="75"/>
      <c r="N63" s="73"/>
      <c r="O63" s="15"/>
    </row>
    <row r="64" spans="1:15" x14ac:dyDescent="0.25">
      <c r="A64" s="16"/>
      <c r="B64" s="49"/>
      <c r="C64" s="17" t="s">
        <v>17</v>
      </c>
      <c r="D64" s="13"/>
      <c r="E64" s="70"/>
      <c r="F64" s="14"/>
      <c r="G64" s="11"/>
      <c r="H64" s="67"/>
      <c r="I64" s="12"/>
      <c r="J64" s="53"/>
      <c r="K64" s="72"/>
      <c r="L64" s="54" t="s">
        <v>17</v>
      </c>
      <c r="M64" s="75"/>
      <c r="N64" s="73"/>
      <c r="O64" s="15"/>
    </row>
    <row r="65" spans="1:15" x14ac:dyDescent="0.25">
      <c r="A65" s="16">
        <v>24308</v>
      </c>
      <c r="B65" s="49">
        <v>1000</v>
      </c>
      <c r="C65" s="17" t="s">
        <v>73</v>
      </c>
      <c r="D65" s="13"/>
      <c r="E65" s="70"/>
      <c r="F65" s="14"/>
      <c r="G65" s="11"/>
      <c r="H65" s="67"/>
      <c r="I65" s="12"/>
      <c r="J65" s="53">
        <v>24452</v>
      </c>
      <c r="K65" s="72">
        <v>400</v>
      </c>
      <c r="L65" s="54"/>
      <c r="M65" s="75"/>
      <c r="N65" s="73"/>
      <c r="O65" s="15"/>
    </row>
    <row r="66" spans="1:15" x14ac:dyDescent="0.25">
      <c r="A66" s="16"/>
      <c r="B66" s="49"/>
      <c r="C66" s="115" t="s">
        <v>64</v>
      </c>
      <c r="D66" s="13"/>
      <c r="E66" s="70"/>
      <c r="F66" s="14"/>
      <c r="G66" s="11"/>
      <c r="H66" s="67"/>
      <c r="I66" s="12"/>
      <c r="J66" s="53"/>
      <c r="K66" s="72"/>
      <c r="L66" s="54"/>
      <c r="M66" s="75"/>
      <c r="N66" s="73"/>
      <c r="O66" s="15"/>
    </row>
    <row r="67" spans="1:15" x14ac:dyDescent="0.25">
      <c r="A67" s="16">
        <v>24309</v>
      </c>
      <c r="B67" s="49">
        <v>500</v>
      </c>
      <c r="C67" s="17"/>
      <c r="D67" s="13"/>
      <c r="E67" s="70"/>
      <c r="F67" s="14"/>
      <c r="G67" s="11"/>
      <c r="H67" s="67"/>
      <c r="I67" s="12"/>
      <c r="J67" s="53"/>
      <c r="K67" s="72"/>
      <c r="L67" s="54"/>
      <c r="M67" s="75"/>
      <c r="N67" s="73"/>
      <c r="O67" s="15"/>
    </row>
    <row r="68" spans="1:15" x14ac:dyDescent="0.25">
      <c r="A68" s="16">
        <v>24310</v>
      </c>
      <c r="B68" s="49">
        <v>400</v>
      </c>
      <c r="C68" s="17"/>
      <c r="D68" s="13"/>
      <c r="E68" s="70"/>
      <c r="F68" s="14"/>
      <c r="G68" s="11"/>
      <c r="H68" s="67"/>
      <c r="I68" s="12"/>
      <c r="J68" s="53"/>
      <c r="K68" s="72"/>
      <c r="L68" s="54"/>
      <c r="M68" s="75"/>
      <c r="N68" s="73"/>
      <c r="O68" s="15"/>
    </row>
    <row r="69" spans="1:15" x14ac:dyDescent="0.25">
      <c r="A69" s="16">
        <v>24311</v>
      </c>
      <c r="B69" s="49">
        <v>3300</v>
      </c>
      <c r="C69" s="17" t="s">
        <v>28</v>
      </c>
      <c r="D69" s="13"/>
      <c r="E69" s="70"/>
      <c r="F69" s="14"/>
      <c r="G69" s="11"/>
      <c r="H69" s="67"/>
      <c r="I69" s="12"/>
      <c r="J69" s="53"/>
      <c r="K69" s="72"/>
      <c r="L69" s="54"/>
      <c r="M69" s="75"/>
      <c r="N69" s="73"/>
      <c r="O69" s="15"/>
    </row>
    <row r="70" spans="1:15" x14ac:dyDescent="0.25">
      <c r="A70" s="16"/>
      <c r="B70" s="49"/>
      <c r="C70" s="17" t="s">
        <v>18</v>
      </c>
      <c r="D70" s="13"/>
      <c r="E70" s="70"/>
      <c r="F70" s="14"/>
      <c r="G70" s="11"/>
      <c r="H70" s="67"/>
      <c r="I70" s="12"/>
      <c r="J70" s="53"/>
      <c r="K70" s="72"/>
      <c r="L70" s="54"/>
      <c r="M70" s="75"/>
      <c r="N70" s="73"/>
      <c r="O70" s="15"/>
    </row>
    <row r="71" spans="1:15" x14ac:dyDescent="0.25">
      <c r="A71" s="16"/>
      <c r="B71" s="49"/>
      <c r="C71" s="17" t="s">
        <v>110</v>
      </c>
      <c r="D71" s="13"/>
      <c r="E71" s="70"/>
      <c r="F71" s="14"/>
      <c r="G71" s="11"/>
      <c r="H71" s="67"/>
      <c r="I71" s="12"/>
      <c r="J71" s="53"/>
      <c r="K71" s="72"/>
      <c r="L71" s="54"/>
      <c r="M71" s="75"/>
      <c r="N71" s="73"/>
      <c r="O71" s="15"/>
    </row>
    <row r="72" spans="1:15" x14ac:dyDescent="0.25">
      <c r="A72" s="16">
        <v>24312</v>
      </c>
      <c r="B72" s="49">
        <v>1000</v>
      </c>
      <c r="C72" s="17" t="s">
        <v>37</v>
      </c>
      <c r="D72" s="13"/>
      <c r="E72" s="70"/>
      <c r="F72" s="14"/>
      <c r="G72" s="11"/>
      <c r="H72" s="67"/>
      <c r="I72" s="12"/>
      <c r="J72" s="53"/>
      <c r="K72" s="72"/>
      <c r="L72" s="54"/>
      <c r="M72" s="75"/>
      <c r="N72" s="73"/>
      <c r="O72" s="15"/>
    </row>
    <row r="73" spans="1:15" x14ac:dyDescent="0.25">
      <c r="A73" s="16"/>
      <c r="B73" s="49"/>
      <c r="C73" s="17" t="s">
        <v>64</v>
      </c>
      <c r="D73" s="13"/>
      <c r="E73" s="70"/>
      <c r="F73" s="14"/>
      <c r="G73" s="11"/>
      <c r="H73" s="67"/>
      <c r="I73" s="12"/>
      <c r="J73" s="53"/>
      <c r="K73" s="72"/>
      <c r="L73" s="54"/>
      <c r="M73" s="75"/>
      <c r="N73" s="73"/>
      <c r="O73" s="15"/>
    </row>
    <row r="74" spans="1:15" x14ac:dyDescent="0.25">
      <c r="A74" s="16">
        <v>24313</v>
      </c>
      <c r="B74" s="49"/>
      <c r="C74" s="17" t="s">
        <v>20</v>
      </c>
      <c r="D74" s="13"/>
      <c r="E74" s="70"/>
      <c r="F74" s="14"/>
      <c r="G74" s="11"/>
      <c r="H74" s="67"/>
      <c r="I74" s="12"/>
      <c r="J74" s="53"/>
      <c r="K74" s="72"/>
      <c r="L74" s="54"/>
      <c r="M74" s="75"/>
      <c r="N74" s="73"/>
      <c r="O74" s="15"/>
    </row>
    <row r="75" spans="1:15" x14ac:dyDescent="0.25">
      <c r="A75" s="16">
        <v>24314</v>
      </c>
      <c r="B75" s="49">
        <v>500</v>
      </c>
      <c r="C75" s="17"/>
      <c r="D75" s="13"/>
      <c r="E75" s="70"/>
      <c r="F75" s="14"/>
      <c r="G75" s="11"/>
      <c r="H75" s="67"/>
      <c r="I75" s="12"/>
      <c r="J75" s="53"/>
      <c r="K75" s="72"/>
      <c r="L75" s="54"/>
      <c r="M75" s="75"/>
      <c r="N75" s="73"/>
      <c r="O75" s="15"/>
    </row>
    <row r="76" spans="1:15" x14ac:dyDescent="0.25">
      <c r="A76" s="16">
        <v>24315</v>
      </c>
      <c r="B76" s="49">
        <v>1000</v>
      </c>
      <c r="C76" s="17" t="s">
        <v>37</v>
      </c>
      <c r="D76" s="13"/>
      <c r="E76" s="70"/>
      <c r="F76" s="14"/>
      <c r="G76" s="11"/>
      <c r="H76" s="67"/>
      <c r="I76" s="12"/>
      <c r="J76" s="53"/>
      <c r="K76" s="72"/>
      <c r="L76" s="54"/>
      <c r="M76" s="75"/>
      <c r="N76" s="73"/>
      <c r="O76" s="15"/>
    </row>
    <row r="77" spans="1:15" x14ac:dyDescent="0.25">
      <c r="A77" s="16"/>
      <c r="B77" s="49"/>
      <c r="C77" s="17" t="s">
        <v>64</v>
      </c>
      <c r="D77" s="13"/>
      <c r="E77" s="70"/>
      <c r="F77" s="14"/>
      <c r="G77" s="11"/>
      <c r="H77" s="67"/>
      <c r="I77" s="12"/>
      <c r="J77" s="53"/>
      <c r="K77" s="72"/>
      <c r="L77" s="54"/>
      <c r="M77" s="75"/>
      <c r="N77" s="73"/>
      <c r="O77" s="15"/>
    </row>
    <row r="78" spans="1:15" x14ac:dyDescent="0.25">
      <c r="A78" s="16">
        <v>24316</v>
      </c>
      <c r="B78" s="49">
        <v>500</v>
      </c>
      <c r="C78" s="17" t="s">
        <v>72</v>
      </c>
      <c r="D78" s="13"/>
      <c r="E78" s="70"/>
      <c r="F78" s="14"/>
      <c r="G78" s="11"/>
      <c r="H78" s="67"/>
      <c r="I78" s="12"/>
      <c r="J78" s="53"/>
      <c r="K78" s="72"/>
      <c r="L78" s="54"/>
      <c r="M78" s="75"/>
      <c r="N78" s="73"/>
      <c r="O78" s="15"/>
    </row>
    <row r="79" spans="1:15" x14ac:dyDescent="0.25">
      <c r="A79" s="16">
        <v>24317</v>
      </c>
      <c r="B79" s="49">
        <v>400</v>
      </c>
      <c r="C79" s="17" t="s">
        <v>72</v>
      </c>
      <c r="D79" s="13"/>
      <c r="E79" s="70"/>
      <c r="F79" s="14"/>
      <c r="G79" s="11"/>
      <c r="H79" s="67"/>
      <c r="I79" s="12"/>
      <c r="J79" s="53"/>
      <c r="K79" s="72"/>
      <c r="L79" s="54"/>
      <c r="M79" s="75"/>
      <c r="N79" s="73"/>
      <c r="O79" s="15"/>
    </row>
    <row r="80" spans="1:15" x14ac:dyDescent="0.25">
      <c r="A80" s="16">
        <v>24318</v>
      </c>
      <c r="B80" s="49">
        <v>500</v>
      </c>
      <c r="C80" s="17"/>
      <c r="D80" s="13"/>
      <c r="E80" s="70"/>
      <c r="F80" s="14"/>
      <c r="G80" s="11"/>
      <c r="H80" s="67"/>
      <c r="I80" s="12"/>
      <c r="J80" s="53"/>
      <c r="K80" s="72"/>
      <c r="L80" s="54"/>
      <c r="M80" s="75"/>
      <c r="N80" s="73"/>
      <c r="O80" s="15"/>
    </row>
    <row r="81" spans="1:15" x14ac:dyDescent="0.25">
      <c r="A81" s="16">
        <v>24319</v>
      </c>
      <c r="B81" s="49">
        <v>1000</v>
      </c>
      <c r="C81" s="17" t="s">
        <v>73</v>
      </c>
      <c r="D81" s="13"/>
      <c r="E81" s="70"/>
      <c r="F81" s="14"/>
      <c r="G81" s="11"/>
      <c r="H81" s="67"/>
      <c r="I81" s="12"/>
      <c r="J81" s="53"/>
      <c r="K81" s="72"/>
      <c r="L81" s="54"/>
      <c r="M81" s="75"/>
      <c r="N81" s="73"/>
      <c r="O81" s="15"/>
    </row>
    <row r="82" spans="1:15" x14ac:dyDescent="0.25">
      <c r="A82" s="16"/>
      <c r="B82" s="49"/>
      <c r="C82" s="17" t="s">
        <v>64</v>
      </c>
      <c r="D82" s="13"/>
      <c r="E82" s="70"/>
      <c r="F82" s="14"/>
      <c r="G82" s="11"/>
      <c r="H82" s="67"/>
      <c r="I82" s="12"/>
      <c r="J82" s="53"/>
      <c r="K82" s="72"/>
      <c r="L82" s="54"/>
      <c r="M82" s="75"/>
      <c r="N82" s="73"/>
      <c r="O82" s="15"/>
    </row>
    <row r="83" spans="1:15" x14ac:dyDescent="0.25">
      <c r="A83" s="16">
        <v>24320</v>
      </c>
      <c r="B83" s="49">
        <v>600</v>
      </c>
      <c r="C83" s="17"/>
      <c r="D83" s="13"/>
      <c r="E83" s="70"/>
      <c r="F83" s="14"/>
      <c r="G83" s="11"/>
      <c r="H83" s="67"/>
      <c r="I83" s="12"/>
      <c r="J83" s="53"/>
      <c r="K83" s="72"/>
      <c r="L83" s="54"/>
      <c r="M83" s="75"/>
      <c r="N83" s="73"/>
      <c r="O83" s="15"/>
    </row>
    <row r="84" spans="1:15" x14ac:dyDescent="0.25">
      <c r="A84" s="16">
        <v>24321</v>
      </c>
      <c r="B84" s="49">
        <v>500</v>
      </c>
      <c r="C84" s="17"/>
      <c r="D84" s="13"/>
      <c r="E84" s="70"/>
      <c r="F84" s="14"/>
      <c r="G84" s="11"/>
      <c r="H84" s="67"/>
      <c r="I84" s="12"/>
      <c r="J84" s="53"/>
      <c r="K84" s="72"/>
      <c r="L84" s="54"/>
      <c r="M84" s="75"/>
      <c r="N84" s="73"/>
      <c r="O84" s="15"/>
    </row>
    <row r="85" spans="1:15" x14ac:dyDescent="0.25">
      <c r="A85" s="16">
        <v>24322</v>
      </c>
      <c r="B85" s="49">
        <v>500</v>
      </c>
      <c r="C85" s="17" t="s">
        <v>98</v>
      </c>
      <c r="D85" s="13"/>
      <c r="E85" s="70"/>
      <c r="F85" s="14"/>
      <c r="G85" s="11"/>
      <c r="H85" s="67"/>
      <c r="I85" s="12"/>
      <c r="J85" s="53"/>
      <c r="K85" s="72"/>
      <c r="L85" s="54"/>
      <c r="M85" s="75"/>
      <c r="N85" s="73"/>
      <c r="O85" s="15"/>
    </row>
    <row r="86" spans="1:15" x14ac:dyDescent="0.25">
      <c r="A86" s="16">
        <v>24323</v>
      </c>
      <c r="B86" s="49">
        <v>500</v>
      </c>
      <c r="C86" s="17" t="s">
        <v>73</v>
      </c>
      <c r="D86" s="13"/>
      <c r="E86" s="70"/>
      <c r="F86" s="14"/>
      <c r="G86" s="11"/>
      <c r="H86" s="67"/>
      <c r="I86" s="12"/>
      <c r="J86" s="53"/>
      <c r="K86" s="72"/>
      <c r="L86" s="54"/>
      <c r="M86" s="75"/>
      <c r="N86" s="73"/>
      <c r="O86" s="15"/>
    </row>
    <row r="87" spans="1:15" x14ac:dyDescent="0.25">
      <c r="A87" s="16"/>
      <c r="B87" s="49"/>
      <c r="C87" s="17" t="s">
        <v>16</v>
      </c>
      <c r="D87" s="13"/>
      <c r="E87" s="70"/>
      <c r="F87" s="14"/>
      <c r="G87" s="11"/>
      <c r="H87" s="67"/>
      <c r="I87" s="12"/>
      <c r="J87" s="53"/>
      <c r="K87" s="72"/>
      <c r="L87" s="54"/>
      <c r="M87" s="75"/>
      <c r="N87" s="73"/>
      <c r="O87" s="15"/>
    </row>
    <row r="88" spans="1:15" x14ac:dyDescent="0.25">
      <c r="A88" s="16">
        <v>24324</v>
      </c>
      <c r="B88" s="49">
        <v>450</v>
      </c>
      <c r="C88" s="17"/>
      <c r="D88" s="13"/>
      <c r="E88" s="70"/>
      <c r="F88" s="14"/>
      <c r="G88" s="11"/>
      <c r="H88" s="67"/>
      <c r="I88" s="12"/>
      <c r="J88" s="53"/>
      <c r="K88" s="72"/>
      <c r="L88" s="54"/>
      <c r="M88" s="75"/>
      <c r="N88" s="73"/>
      <c r="O88" s="15"/>
    </row>
    <row r="89" spans="1:15" x14ac:dyDescent="0.25">
      <c r="A89" s="16">
        <v>24325</v>
      </c>
      <c r="B89" s="49">
        <v>300</v>
      </c>
      <c r="C89" s="17" t="s">
        <v>72</v>
      </c>
      <c r="D89" s="13"/>
      <c r="E89" s="70"/>
      <c r="F89" s="14"/>
      <c r="G89" s="11"/>
      <c r="H89" s="67"/>
      <c r="I89" s="12"/>
      <c r="J89" s="53"/>
      <c r="K89" s="72"/>
      <c r="L89" s="54"/>
      <c r="M89" s="75"/>
      <c r="N89" s="73"/>
      <c r="O89" s="15"/>
    </row>
    <row r="90" spans="1:15" x14ac:dyDescent="0.25">
      <c r="A90" s="16">
        <v>24326</v>
      </c>
      <c r="B90" s="49">
        <v>50</v>
      </c>
      <c r="C90" s="17" t="s">
        <v>19</v>
      </c>
      <c r="D90" s="13"/>
      <c r="E90" s="70"/>
      <c r="F90" s="14"/>
      <c r="G90" s="11"/>
      <c r="H90" s="67"/>
      <c r="I90" s="12"/>
      <c r="J90" s="53"/>
      <c r="K90" s="72"/>
      <c r="L90" s="54"/>
      <c r="M90" s="75"/>
      <c r="N90" s="73"/>
      <c r="O90" s="15"/>
    </row>
    <row r="91" spans="1:15" x14ac:dyDescent="0.25">
      <c r="A91" s="16">
        <v>24327</v>
      </c>
      <c r="B91" s="49">
        <v>400</v>
      </c>
      <c r="C91" s="17"/>
      <c r="D91" s="13"/>
      <c r="E91" s="70"/>
      <c r="F91" s="14"/>
      <c r="G91" s="11"/>
      <c r="H91" s="67"/>
      <c r="I91" s="12"/>
      <c r="J91" s="53"/>
      <c r="K91" s="72"/>
      <c r="L91" s="54"/>
      <c r="M91" s="75"/>
      <c r="N91" s="73"/>
      <c r="O91" s="15"/>
    </row>
    <row r="92" spans="1:15" x14ac:dyDescent="0.25">
      <c r="A92" s="16">
        <v>24328</v>
      </c>
      <c r="B92" s="49">
        <v>500</v>
      </c>
      <c r="C92" s="17"/>
      <c r="D92" s="13"/>
      <c r="E92" s="70"/>
      <c r="F92" s="14"/>
      <c r="G92" s="11"/>
      <c r="H92" s="67"/>
      <c r="I92" s="12"/>
      <c r="J92" s="53"/>
      <c r="K92" s="72"/>
      <c r="L92" s="54"/>
      <c r="M92" s="75"/>
      <c r="N92" s="73"/>
      <c r="O92" s="15"/>
    </row>
    <row r="93" spans="1:15" x14ac:dyDescent="0.25">
      <c r="A93" s="16">
        <v>24329</v>
      </c>
      <c r="B93" s="49">
        <v>1200</v>
      </c>
      <c r="C93" s="17" t="s">
        <v>153</v>
      </c>
      <c r="D93" s="13"/>
      <c r="E93" s="70"/>
      <c r="F93" s="14"/>
      <c r="G93" s="11"/>
      <c r="H93" s="67"/>
      <c r="I93" s="12"/>
      <c r="J93" s="53"/>
      <c r="K93" s="72"/>
      <c r="L93" s="54"/>
      <c r="M93" s="75"/>
      <c r="N93" s="73"/>
      <c r="O93" s="15"/>
    </row>
    <row r="94" spans="1:15" x14ac:dyDescent="0.25">
      <c r="A94" s="16"/>
      <c r="B94" s="49"/>
      <c r="C94" s="17" t="s">
        <v>154</v>
      </c>
      <c r="D94" s="13"/>
      <c r="E94" s="70"/>
      <c r="F94" s="14"/>
      <c r="G94" s="11"/>
      <c r="H94" s="67"/>
      <c r="I94" s="12"/>
      <c r="J94" s="53"/>
      <c r="K94" s="72"/>
      <c r="L94" s="54"/>
      <c r="M94" s="75"/>
      <c r="N94" s="73"/>
      <c r="O94" s="15"/>
    </row>
    <row r="95" spans="1:15" x14ac:dyDescent="0.25">
      <c r="A95" s="16"/>
      <c r="B95" s="49"/>
      <c r="C95" s="17" t="s">
        <v>155</v>
      </c>
      <c r="D95" s="13"/>
      <c r="E95" s="70"/>
      <c r="F95" s="14"/>
      <c r="G95" s="11"/>
      <c r="H95" s="67"/>
      <c r="I95" s="12"/>
      <c r="J95" s="53"/>
      <c r="K95" s="72"/>
      <c r="L95" s="54"/>
      <c r="M95" s="75"/>
      <c r="N95" s="73"/>
      <c r="O95" s="15"/>
    </row>
    <row r="96" spans="1:15" x14ac:dyDescent="0.25">
      <c r="A96" s="16">
        <v>24330</v>
      </c>
      <c r="B96" s="49">
        <v>300</v>
      </c>
      <c r="C96" s="17" t="s">
        <v>121</v>
      </c>
      <c r="D96" s="13"/>
      <c r="E96" s="70"/>
      <c r="F96" s="14"/>
      <c r="G96" s="11"/>
      <c r="H96" s="67"/>
      <c r="I96" s="12"/>
      <c r="J96" s="53"/>
      <c r="K96" s="72"/>
      <c r="L96" s="54"/>
      <c r="M96" s="75"/>
      <c r="N96" s="73"/>
      <c r="O96" s="15"/>
    </row>
    <row r="97" spans="1:15" x14ac:dyDescent="0.25">
      <c r="A97" s="16">
        <v>24331</v>
      </c>
      <c r="B97" s="49">
        <v>50</v>
      </c>
      <c r="C97" s="17" t="s">
        <v>19</v>
      </c>
      <c r="D97" s="13"/>
      <c r="E97" s="70"/>
      <c r="F97" s="14"/>
      <c r="G97" s="11"/>
      <c r="H97" s="67"/>
      <c r="I97" s="12"/>
      <c r="J97" s="53"/>
      <c r="K97" s="72"/>
      <c r="L97" s="54"/>
      <c r="M97" s="75"/>
      <c r="N97" s="73"/>
      <c r="O97" s="15"/>
    </row>
    <row r="98" spans="1:15" x14ac:dyDescent="0.25">
      <c r="A98" s="16">
        <v>24332</v>
      </c>
      <c r="B98" s="49">
        <v>1500</v>
      </c>
      <c r="C98" s="17" t="s">
        <v>24</v>
      </c>
      <c r="D98" s="13"/>
      <c r="E98" s="70"/>
      <c r="F98" s="14"/>
      <c r="G98" s="11"/>
      <c r="H98" s="67"/>
      <c r="I98" s="12"/>
      <c r="J98" s="53"/>
      <c r="K98" s="72"/>
      <c r="L98" s="54"/>
      <c r="M98" s="75"/>
      <c r="N98" s="73"/>
      <c r="O98" s="15"/>
    </row>
    <row r="99" spans="1:15" x14ac:dyDescent="0.25">
      <c r="A99" s="16"/>
      <c r="B99" s="49"/>
      <c r="C99" s="17" t="s">
        <v>64</v>
      </c>
      <c r="D99" s="13"/>
      <c r="E99" s="70"/>
      <c r="F99" s="14"/>
      <c r="G99" s="11"/>
      <c r="H99" s="67"/>
      <c r="I99" s="12"/>
      <c r="J99" s="53"/>
      <c r="K99" s="72"/>
      <c r="L99" s="54"/>
      <c r="M99" s="75"/>
      <c r="N99" s="73"/>
      <c r="O99" s="15"/>
    </row>
    <row r="100" spans="1:15" x14ac:dyDescent="0.25">
      <c r="A100" s="16">
        <v>24333</v>
      </c>
      <c r="B100" s="49">
        <v>500</v>
      </c>
      <c r="C100" s="17" t="s">
        <v>72</v>
      </c>
      <c r="D100" s="13"/>
      <c r="E100" s="70"/>
      <c r="F100" s="14"/>
      <c r="G100" s="11"/>
      <c r="H100" s="67"/>
      <c r="I100" s="12"/>
      <c r="J100" s="53"/>
      <c r="K100" s="72"/>
      <c r="L100" s="54"/>
      <c r="M100" s="75"/>
      <c r="N100" s="73"/>
      <c r="O100" s="15"/>
    </row>
    <row r="101" spans="1:15" x14ac:dyDescent="0.25">
      <c r="A101" s="16">
        <v>24334</v>
      </c>
      <c r="B101" s="49">
        <v>1000</v>
      </c>
      <c r="C101" s="17" t="s">
        <v>37</v>
      </c>
      <c r="D101" s="13"/>
      <c r="E101" s="70"/>
      <c r="F101" s="14"/>
      <c r="G101" s="11"/>
      <c r="H101" s="67"/>
      <c r="I101" s="12"/>
      <c r="J101" s="53"/>
      <c r="K101" s="72"/>
      <c r="L101" s="54"/>
      <c r="M101" s="75"/>
      <c r="N101" s="73"/>
      <c r="O101" s="15"/>
    </row>
    <row r="102" spans="1:15" x14ac:dyDescent="0.25">
      <c r="A102" s="16"/>
      <c r="B102" s="49"/>
      <c r="C102" s="17" t="s">
        <v>64</v>
      </c>
      <c r="D102" s="13"/>
      <c r="E102" s="70"/>
      <c r="F102" s="14"/>
      <c r="G102" s="11"/>
      <c r="H102" s="67"/>
      <c r="I102" s="12"/>
      <c r="J102" s="53"/>
      <c r="K102" s="72"/>
      <c r="L102" s="54"/>
      <c r="M102" s="75"/>
      <c r="N102" s="73"/>
      <c r="O102" s="15"/>
    </row>
    <row r="103" spans="1:15" x14ac:dyDescent="0.25">
      <c r="A103" s="16">
        <v>24335</v>
      </c>
      <c r="B103" s="49">
        <v>300</v>
      </c>
      <c r="C103" s="17"/>
      <c r="D103" s="13"/>
      <c r="E103" s="70"/>
      <c r="F103" s="14"/>
      <c r="G103" s="11"/>
      <c r="H103" s="67"/>
      <c r="I103" s="12"/>
      <c r="J103" s="53"/>
      <c r="K103" s="72"/>
      <c r="L103" s="54"/>
      <c r="M103" s="75"/>
      <c r="N103" s="73"/>
      <c r="O103" s="15"/>
    </row>
    <row r="104" spans="1:15" x14ac:dyDescent="0.25">
      <c r="A104" s="16">
        <v>24336</v>
      </c>
      <c r="B104" s="49">
        <v>500</v>
      </c>
      <c r="C104" s="17"/>
      <c r="D104" s="13"/>
      <c r="E104" s="70"/>
      <c r="F104" s="14"/>
      <c r="G104" s="11"/>
      <c r="H104" s="67"/>
      <c r="I104" s="12"/>
      <c r="J104" s="53"/>
      <c r="K104" s="72"/>
      <c r="L104" s="54"/>
      <c r="M104" s="75"/>
      <c r="N104" s="73"/>
      <c r="O104" s="15"/>
    </row>
    <row r="105" spans="1:15" x14ac:dyDescent="0.25">
      <c r="A105" s="16">
        <v>24337</v>
      </c>
      <c r="B105" s="49">
        <v>300</v>
      </c>
      <c r="C105" s="17"/>
      <c r="D105" s="13"/>
      <c r="E105" s="70"/>
      <c r="F105" s="14"/>
      <c r="G105" s="11"/>
      <c r="H105" s="67"/>
      <c r="I105" s="12"/>
      <c r="J105" s="53"/>
      <c r="K105" s="72"/>
      <c r="L105" s="54"/>
      <c r="M105" s="75"/>
      <c r="N105" s="73"/>
      <c r="O105" s="15"/>
    </row>
    <row r="106" spans="1:15" x14ac:dyDescent="0.25">
      <c r="A106" s="16">
        <v>24338</v>
      </c>
      <c r="B106" s="49">
        <v>300</v>
      </c>
      <c r="C106" s="17"/>
      <c r="D106" s="13"/>
      <c r="E106" s="70"/>
      <c r="F106" s="14"/>
      <c r="G106" s="11"/>
      <c r="H106" s="67"/>
      <c r="I106" s="12"/>
      <c r="J106" s="53"/>
      <c r="K106" s="72"/>
      <c r="L106" s="54"/>
      <c r="M106" s="75"/>
      <c r="N106" s="73"/>
      <c r="O106" s="15"/>
    </row>
    <row r="107" spans="1:15" x14ac:dyDescent="0.25">
      <c r="A107" s="16">
        <v>24339</v>
      </c>
      <c r="B107" s="49">
        <v>400</v>
      </c>
      <c r="C107" s="17" t="s">
        <v>72</v>
      </c>
      <c r="D107" s="13"/>
      <c r="E107" s="70"/>
      <c r="F107" s="14"/>
      <c r="G107" s="11"/>
      <c r="H107" s="67"/>
      <c r="I107" s="12"/>
      <c r="J107" s="53"/>
      <c r="K107" s="72"/>
      <c r="L107" s="54"/>
      <c r="M107" s="75"/>
      <c r="N107" s="73"/>
      <c r="O107" s="15"/>
    </row>
    <row r="108" spans="1:15" x14ac:dyDescent="0.25">
      <c r="A108" s="16"/>
      <c r="B108" s="49"/>
      <c r="C108" s="17"/>
      <c r="D108" s="13"/>
      <c r="E108" s="70"/>
      <c r="F108" s="14"/>
      <c r="G108" s="11"/>
      <c r="H108" s="67"/>
      <c r="I108" s="12"/>
      <c r="J108" s="53"/>
      <c r="K108" s="72"/>
      <c r="L108" s="54"/>
      <c r="M108" s="75"/>
      <c r="N108" s="73"/>
      <c r="O108" s="15"/>
    </row>
    <row r="109" spans="1:15" x14ac:dyDescent="0.25">
      <c r="A109" s="16"/>
      <c r="B109" s="49"/>
      <c r="C109" s="17"/>
      <c r="D109" s="13"/>
      <c r="E109" s="70"/>
      <c r="F109" s="14"/>
      <c r="G109" s="11"/>
      <c r="H109" s="67"/>
      <c r="I109" s="12"/>
      <c r="J109" s="53"/>
      <c r="K109" s="72"/>
      <c r="L109" s="54"/>
      <c r="M109" s="75"/>
      <c r="N109" s="73"/>
      <c r="O109" s="15"/>
    </row>
    <row r="110" spans="1:15" x14ac:dyDescent="0.25">
      <c r="A110" s="16"/>
      <c r="B110" s="49"/>
      <c r="C110" s="17"/>
      <c r="D110" s="13"/>
      <c r="E110" s="70"/>
      <c r="F110" s="14"/>
      <c r="G110" s="11"/>
      <c r="H110" s="67"/>
      <c r="I110" s="12"/>
      <c r="J110" s="53"/>
      <c r="K110" s="72"/>
      <c r="L110" s="54"/>
      <c r="M110" s="75"/>
      <c r="N110" s="73"/>
      <c r="O110" s="15"/>
    </row>
    <row r="111" spans="1:15" x14ac:dyDescent="0.25">
      <c r="A111" s="16"/>
      <c r="B111" s="49"/>
      <c r="C111" s="17"/>
      <c r="D111" s="13"/>
      <c r="E111" s="70"/>
      <c r="F111" s="14"/>
      <c r="G111" s="11"/>
      <c r="H111" s="67"/>
      <c r="I111" s="12"/>
      <c r="J111" s="53"/>
      <c r="K111" s="72"/>
      <c r="L111" s="54"/>
      <c r="M111" s="75"/>
      <c r="N111" s="73"/>
      <c r="O111" s="15"/>
    </row>
    <row r="112" spans="1:15" x14ac:dyDescent="0.25">
      <c r="A112" s="16"/>
      <c r="B112" s="49"/>
      <c r="C112" s="17"/>
      <c r="D112" s="13"/>
      <c r="E112" s="70"/>
      <c r="F112" s="14"/>
      <c r="G112" s="11"/>
      <c r="H112" s="67"/>
      <c r="I112" s="12"/>
      <c r="J112" s="53"/>
      <c r="K112" s="72"/>
      <c r="L112" s="54"/>
      <c r="M112" s="75"/>
      <c r="N112" s="73"/>
      <c r="O112" s="15"/>
    </row>
    <row r="113" spans="1:15" x14ac:dyDescent="0.25">
      <c r="A113" s="16"/>
      <c r="B113" s="49"/>
      <c r="C113" s="17"/>
      <c r="D113" s="13"/>
      <c r="E113" s="70"/>
      <c r="F113" s="14"/>
      <c r="G113" s="11"/>
      <c r="H113" s="67"/>
      <c r="I113" s="12"/>
      <c r="J113" s="53"/>
      <c r="K113" s="72"/>
      <c r="L113" s="54"/>
      <c r="M113" s="75"/>
      <c r="N113" s="73"/>
      <c r="O113" s="15"/>
    </row>
    <row r="114" spans="1:15" x14ac:dyDescent="0.25">
      <c r="A114" s="16"/>
      <c r="B114" s="49"/>
      <c r="C114" s="17"/>
      <c r="D114" s="13"/>
      <c r="E114" s="70"/>
      <c r="F114" s="14"/>
      <c r="G114" s="11"/>
      <c r="H114" s="67"/>
      <c r="I114" s="12"/>
      <c r="J114" s="53"/>
      <c r="K114" s="72"/>
      <c r="L114" s="54"/>
      <c r="M114" s="75"/>
      <c r="N114" s="73"/>
      <c r="O114" s="15"/>
    </row>
    <row r="115" spans="1:15" x14ac:dyDescent="0.25">
      <c r="A115" s="16"/>
      <c r="B115" s="49"/>
      <c r="C115" s="17"/>
      <c r="D115" s="13"/>
      <c r="E115" s="70"/>
      <c r="F115" s="14"/>
      <c r="G115" s="11"/>
      <c r="H115" s="67"/>
      <c r="I115" s="12"/>
      <c r="J115" s="53"/>
      <c r="K115" s="72"/>
      <c r="L115" s="54"/>
      <c r="M115" s="75"/>
      <c r="N115" s="73"/>
      <c r="O115" s="15"/>
    </row>
    <row r="116" spans="1:15" x14ac:dyDescent="0.25">
      <c r="A116" s="16"/>
      <c r="B116" s="49"/>
      <c r="C116" s="17"/>
      <c r="D116" s="13"/>
      <c r="E116" s="70"/>
      <c r="F116" s="14"/>
      <c r="G116" s="11"/>
      <c r="H116" s="67"/>
      <c r="I116" s="12"/>
      <c r="J116" s="53"/>
      <c r="K116" s="72"/>
      <c r="L116" s="54"/>
      <c r="M116" s="75"/>
      <c r="N116" s="73"/>
      <c r="O116" s="15"/>
    </row>
    <row r="117" spans="1:15" x14ac:dyDescent="0.25">
      <c r="A117" s="16"/>
      <c r="B117" s="49"/>
      <c r="C117" s="17"/>
      <c r="D117" s="13"/>
      <c r="E117" s="70"/>
      <c r="F117" s="14"/>
      <c r="G117" s="11"/>
      <c r="H117" s="67"/>
      <c r="I117" s="12"/>
      <c r="J117" s="53"/>
      <c r="K117" s="72"/>
      <c r="L117" s="54"/>
      <c r="M117" s="75"/>
      <c r="N117" s="73"/>
      <c r="O117" s="15"/>
    </row>
    <row r="118" spans="1:15" x14ac:dyDescent="0.25">
      <c r="A118" s="16"/>
      <c r="B118" s="49"/>
      <c r="C118" s="17"/>
      <c r="D118" s="13"/>
      <c r="E118" s="70"/>
      <c r="F118" s="14"/>
      <c r="G118" s="11"/>
      <c r="H118" s="67"/>
      <c r="I118" s="12"/>
      <c r="J118" s="53"/>
      <c r="K118" s="72"/>
      <c r="L118" s="54"/>
      <c r="M118" s="75"/>
      <c r="N118" s="73"/>
      <c r="O118" s="15"/>
    </row>
    <row r="119" spans="1:15" x14ac:dyDescent="0.25">
      <c r="A119" s="16"/>
      <c r="B119" s="49"/>
      <c r="C119" s="17"/>
      <c r="D119" s="13"/>
      <c r="E119" s="70"/>
      <c r="F119" s="14"/>
      <c r="G119" s="11"/>
      <c r="H119" s="67"/>
      <c r="I119" s="12"/>
      <c r="J119" s="53"/>
      <c r="K119" s="72"/>
      <c r="L119" s="54"/>
      <c r="M119" s="75"/>
      <c r="N119" s="73"/>
      <c r="O119" s="15"/>
    </row>
    <row r="120" spans="1:15" x14ac:dyDescent="0.25">
      <c r="A120" s="16"/>
      <c r="B120" s="49"/>
      <c r="C120" s="17"/>
      <c r="D120" s="13"/>
      <c r="E120" s="70"/>
      <c r="F120" s="14"/>
      <c r="G120" s="11"/>
      <c r="H120" s="67"/>
      <c r="I120" s="12"/>
      <c r="J120" s="53"/>
      <c r="K120" s="72"/>
      <c r="L120" s="54"/>
      <c r="M120" s="75"/>
      <c r="N120" s="73"/>
      <c r="O120" s="15"/>
    </row>
    <row r="121" spans="1:15" x14ac:dyDescent="0.25">
      <c r="A121" s="16"/>
      <c r="B121" s="49"/>
      <c r="C121" s="17"/>
      <c r="D121" s="13"/>
      <c r="E121" s="70"/>
      <c r="F121" s="14"/>
      <c r="G121" s="11"/>
      <c r="H121" s="67"/>
      <c r="I121" s="12"/>
      <c r="J121" s="53"/>
      <c r="K121" s="72"/>
      <c r="L121" s="54"/>
      <c r="M121" s="75"/>
      <c r="N121" s="73"/>
      <c r="O121" s="15"/>
    </row>
    <row r="122" spans="1:15" x14ac:dyDescent="0.25">
      <c r="A122" s="16"/>
      <c r="B122" s="49"/>
      <c r="C122" s="17"/>
      <c r="D122" s="13"/>
      <c r="E122" s="70"/>
      <c r="F122" s="14"/>
      <c r="G122" s="11"/>
      <c r="H122" s="67"/>
      <c r="I122" s="12"/>
      <c r="J122" s="53"/>
      <c r="K122" s="72"/>
      <c r="L122" s="54"/>
      <c r="M122" s="75"/>
      <c r="N122" s="73"/>
      <c r="O122" s="15"/>
    </row>
    <row r="123" spans="1:15" x14ac:dyDescent="0.25">
      <c r="A123" s="16"/>
      <c r="B123" s="49"/>
      <c r="C123" s="17"/>
      <c r="D123" s="13"/>
      <c r="E123" s="70"/>
      <c r="F123" s="14"/>
      <c r="G123" s="11"/>
      <c r="H123" s="67"/>
      <c r="I123" s="12"/>
      <c r="J123" s="53"/>
      <c r="K123" s="72"/>
      <c r="L123" s="54"/>
      <c r="M123" s="75"/>
      <c r="N123" s="73"/>
      <c r="O123" s="15"/>
    </row>
    <row r="124" spans="1:15" x14ac:dyDescent="0.25">
      <c r="A124" s="16"/>
      <c r="B124" s="49"/>
      <c r="C124" s="17"/>
      <c r="D124" s="13"/>
      <c r="E124" s="70"/>
      <c r="F124" s="14"/>
      <c r="G124" s="11"/>
      <c r="H124" s="67"/>
      <c r="I124" s="12"/>
      <c r="J124" s="53"/>
      <c r="K124" s="72"/>
      <c r="L124" s="54"/>
      <c r="M124" s="75"/>
      <c r="N124" s="73"/>
      <c r="O124" s="15"/>
    </row>
    <row r="125" spans="1:15" x14ac:dyDescent="0.25">
      <c r="A125" s="16"/>
      <c r="B125" s="49"/>
      <c r="C125" s="17"/>
      <c r="D125" s="13"/>
      <c r="E125" s="70"/>
      <c r="F125" s="14"/>
      <c r="G125" s="11"/>
      <c r="H125" s="67"/>
      <c r="I125" s="12"/>
      <c r="J125" s="53"/>
      <c r="K125" s="72"/>
      <c r="L125" s="54"/>
      <c r="M125" s="75"/>
      <c r="N125" s="73"/>
      <c r="O125" s="15"/>
    </row>
    <row r="126" spans="1:15" x14ac:dyDescent="0.25">
      <c r="A126" s="16"/>
      <c r="B126" s="49"/>
      <c r="C126" s="17"/>
      <c r="D126" s="13"/>
      <c r="E126" s="70"/>
      <c r="F126" s="14"/>
      <c r="G126" s="11"/>
      <c r="H126" s="67"/>
      <c r="I126" s="12"/>
      <c r="J126" s="53"/>
      <c r="K126" s="72"/>
      <c r="L126" s="54"/>
      <c r="M126" s="75"/>
      <c r="N126" s="73"/>
      <c r="O126" s="15"/>
    </row>
    <row r="127" spans="1:15" x14ac:dyDescent="0.25">
      <c r="A127" s="16"/>
      <c r="B127" s="49"/>
      <c r="C127" s="17"/>
      <c r="D127" s="13"/>
      <c r="E127" s="70"/>
      <c r="F127" s="14"/>
      <c r="G127" s="11"/>
      <c r="H127" s="67"/>
      <c r="I127" s="12"/>
      <c r="J127" s="53"/>
      <c r="K127" s="72"/>
      <c r="L127" s="54"/>
      <c r="M127" s="75"/>
      <c r="N127" s="73"/>
      <c r="O127" s="15"/>
    </row>
    <row r="128" spans="1:15" x14ac:dyDescent="0.25">
      <c r="A128" s="16"/>
      <c r="B128" s="49"/>
      <c r="C128" s="17"/>
      <c r="D128" s="13"/>
      <c r="E128" s="70"/>
      <c r="F128" s="14"/>
      <c r="G128" s="11"/>
      <c r="H128" s="67"/>
      <c r="I128" s="12"/>
      <c r="J128" s="53"/>
      <c r="K128" s="72"/>
      <c r="L128" s="54"/>
      <c r="M128" s="75"/>
      <c r="N128" s="73"/>
      <c r="O128" s="15"/>
    </row>
    <row r="129" spans="1:15" x14ac:dyDescent="0.25">
      <c r="A129" s="16"/>
      <c r="B129" s="49"/>
      <c r="C129" s="17"/>
      <c r="D129" s="13"/>
      <c r="E129" s="70"/>
      <c r="F129" s="14"/>
      <c r="G129" s="11"/>
      <c r="H129" s="67"/>
      <c r="I129" s="12"/>
      <c r="J129" s="53"/>
      <c r="K129" s="72"/>
      <c r="L129" s="54"/>
      <c r="M129" s="75"/>
      <c r="N129" s="73"/>
      <c r="O129" s="15"/>
    </row>
    <row r="130" spans="1:15" x14ac:dyDescent="0.25">
      <c r="A130" s="16"/>
      <c r="B130" s="49"/>
      <c r="C130" s="17"/>
      <c r="D130" s="13"/>
      <c r="E130" s="70"/>
      <c r="F130" s="14"/>
      <c r="G130" s="11"/>
      <c r="H130" s="67"/>
      <c r="I130" s="12"/>
      <c r="J130" s="53"/>
      <c r="K130" s="72"/>
      <c r="L130" s="54"/>
      <c r="M130" s="75"/>
      <c r="N130" s="73"/>
      <c r="O130" s="15"/>
    </row>
    <row r="131" spans="1:15" x14ac:dyDescent="0.25">
      <c r="A131" s="16"/>
      <c r="B131" s="49"/>
      <c r="C131" s="17"/>
      <c r="D131" s="13"/>
      <c r="E131" s="70"/>
      <c r="F131" s="14"/>
      <c r="G131" s="11"/>
      <c r="H131" s="67"/>
      <c r="I131" s="12"/>
      <c r="J131" s="53"/>
      <c r="K131" s="72"/>
      <c r="L131" s="54"/>
      <c r="M131" s="75"/>
      <c r="N131" s="73"/>
      <c r="O131" s="15"/>
    </row>
    <row r="132" spans="1:15" x14ac:dyDescent="0.25">
      <c r="A132" s="16"/>
      <c r="B132" s="49"/>
      <c r="C132" s="17"/>
      <c r="D132" s="13"/>
      <c r="E132" s="70"/>
      <c r="F132" s="14"/>
      <c r="G132" s="11"/>
      <c r="H132" s="67"/>
      <c r="I132" s="12"/>
      <c r="J132" s="53"/>
      <c r="K132" s="72"/>
      <c r="L132" s="54"/>
      <c r="M132" s="75"/>
      <c r="N132" s="73"/>
      <c r="O132" s="15"/>
    </row>
    <row r="133" spans="1:15" x14ac:dyDescent="0.25">
      <c r="A133" s="16"/>
      <c r="B133" s="49"/>
      <c r="C133" s="17"/>
      <c r="D133" s="13"/>
      <c r="E133" s="70"/>
      <c r="F133" s="14"/>
      <c r="G133" s="11"/>
      <c r="H133" s="67"/>
      <c r="I133" s="12"/>
      <c r="J133" s="53"/>
      <c r="K133" s="72"/>
      <c r="L133" s="54"/>
      <c r="M133" s="75"/>
      <c r="N133" s="73"/>
      <c r="O133" s="15"/>
    </row>
    <row r="134" spans="1:15" x14ac:dyDescent="0.25">
      <c r="A134" s="16"/>
      <c r="B134" s="49"/>
      <c r="C134" s="17"/>
      <c r="D134" s="13"/>
      <c r="E134" s="70"/>
      <c r="F134" s="14"/>
      <c r="G134" s="11"/>
      <c r="H134" s="67"/>
      <c r="I134" s="12"/>
      <c r="J134" s="53"/>
      <c r="K134" s="72"/>
      <c r="L134" s="54"/>
      <c r="M134" s="75"/>
      <c r="N134" s="73"/>
      <c r="O134" s="15"/>
    </row>
    <row r="135" spans="1:15" x14ac:dyDescent="0.25">
      <c r="A135" s="16"/>
      <c r="B135" s="49"/>
      <c r="C135" s="17"/>
      <c r="D135" s="13"/>
      <c r="E135" s="70"/>
      <c r="F135" s="14"/>
      <c r="G135" s="11"/>
      <c r="H135" s="67"/>
      <c r="I135" s="12"/>
      <c r="J135" s="53"/>
      <c r="K135" s="72"/>
      <c r="L135" s="54"/>
      <c r="M135" s="75"/>
      <c r="N135" s="73"/>
      <c r="O135" s="15"/>
    </row>
    <row r="136" spans="1:15" x14ac:dyDescent="0.25">
      <c r="A136" s="16"/>
      <c r="B136" s="49"/>
      <c r="C136" s="17"/>
      <c r="D136" s="13"/>
      <c r="E136" s="70"/>
      <c r="F136" s="14"/>
      <c r="G136" s="11"/>
      <c r="H136" s="67"/>
      <c r="I136" s="12"/>
      <c r="J136" s="53"/>
      <c r="K136" s="72"/>
      <c r="L136" s="54"/>
      <c r="M136" s="75"/>
      <c r="N136" s="73"/>
      <c r="O136" s="15"/>
    </row>
    <row r="137" spans="1:15" x14ac:dyDescent="0.25">
      <c r="A137" s="16"/>
      <c r="B137" s="49"/>
      <c r="C137" s="17"/>
      <c r="D137" s="13"/>
      <c r="E137" s="70"/>
      <c r="F137" s="14"/>
      <c r="G137" s="11"/>
      <c r="H137" s="67"/>
      <c r="I137" s="12"/>
      <c r="J137" s="53"/>
      <c r="K137" s="72"/>
      <c r="L137" s="54"/>
      <c r="M137" s="75"/>
      <c r="N137" s="73"/>
      <c r="O137" s="15"/>
    </row>
    <row r="138" spans="1:15" x14ac:dyDescent="0.25">
      <c r="A138" s="16"/>
      <c r="B138" s="49"/>
      <c r="C138" s="17"/>
      <c r="D138" s="13"/>
      <c r="E138" s="70"/>
      <c r="F138" s="14"/>
      <c r="G138" s="11"/>
      <c r="H138" s="67"/>
      <c r="I138" s="12"/>
      <c r="J138" s="53"/>
      <c r="K138" s="72"/>
      <c r="L138" s="54"/>
      <c r="M138" s="75"/>
      <c r="N138" s="73"/>
      <c r="O138" s="15"/>
    </row>
    <row r="139" spans="1:15" x14ac:dyDescent="0.25">
      <c r="A139" s="16"/>
      <c r="B139" s="49"/>
      <c r="C139" s="17"/>
      <c r="D139" s="13"/>
      <c r="E139" s="70"/>
      <c r="F139" s="14"/>
      <c r="G139" s="11"/>
      <c r="H139" s="67"/>
      <c r="I139" s="12"/>
      <c r="J139" s="53"/>
      <c r="K139" s="72"/>
      <c r="L139" s="54"/>
      <c r="M139" s="75"/>
      <c r="N139" s="73"/>
      <c r="O139" s="15"/>
    </row>
    <row r="140" spans="1:15" x14ac:dyDescent="0.25">
      <c r="A140" s="16"/>
      <c r="B140" s="49"/>
      <c r="C140" s="17"/>
      <c r="D140" s="13"/>
      <c r="E140" s="70"/>
      <c r="F140" s="14"/>
      <c r="G140" s="11"/>
      <c r="H140" s="67"/>
      <c r="I140" s="12"/>
      <c r="J140" s="53"/>
      <c r="K140" s="72"/>
      <c r="L140" s="54"/>
      <c r="M140" s="75"/>
      <c r="N140" s="73"/>
      <c r="O140" s="15"/>
    </row>
    <row r="141" spans="1:15" x14ac:dyDescent="0.25">
      <c r="A141" s="16"/>
      <c r="B141" s="49"/>
      <c r="C141" s="17"/>
      <c r="D141" s="13"/>
      <c r="E141" s="70"/>
      <c r="F141" s="14"/>
      <c r="G141" s="11"/>
      <c r="H141" s="67"/>
      <c r="I141" s="12"/>
      <c r="J141" s="53"/>
      <c r="K141" s="72"/>
      <c r="L141" s="54"/>
      <c r="M141" s="75"/>
      <c r="N141" s="73"/>
      <c r="O141" s="15"/>
    </row>
    <row r="142" spans="1:15" x14ac:dyDescent="0.25">
      <c r="A142" s="16"/>
      <c r="B142" s="49"/>
      <c r="C142" s="17"/>
      <c r="D142" s="13"/>
      <c r="E142" s="70"/>
      <c r="F142" s="14"/>
      <c r="G142" s="11"/>
      <c r="H142" s="67"/>
      <c r="I142" s="12"/>
      <c r="J142" s="53"/>
      <c r="K142" s="72"/>
      <c r="L142" s="54"/>
      <c r="M142" s="75"/>
      <c r="N142" s="73"/>
      <c r="O142" s="15"/>
    </row>
    <row r="143" spans="1:15" x14ac:dyDescent="0.25">
      <c r="A143" s="16"/>
      <c r="B143" s="49"/>
      <c r="C143" s="17"/>
      <c r="D143" s="13"/>
      <c r="E143" s="70"/>
      <c r="F143" s="14"/>
      <c r="G143" s="11"/>
      <c r="H143" s="67"/>
      <c r="I143" s="12"/>
      <c r="J143" s="53"/>
      <c r="K143" s="72"/>
      <c r="L143" s="54"/>
      <c r="M143" s="75"/>
      <c r="N143" s="73"/>
      <c r="O143" s="15"/>
    </row>
    <row r="144" spans="1:15" x14ac:dyDescent="0.25">
      <c r="A144" s="16"/>
      <c r="B144" s="49"/>
      <c r="C144" s="17"/>
      <c r="D144" s="13"/>
      <c r="E144" s="70"/>
      <c r="F144" s="14"/>
      <c r="G144" s="11"/>
      <c r="H144" s="67"/>
      <c r="I144" s="12"/>
      <c r="J144" s="53"/>
      <c r="K144" s="72"/>
      <c r="L144" s="54"/>
      <c r="M144" s="75"/>
      <c r="N144" s="73"/>
      <c r="O144" s="15"/>
    </row>
    <row r="145" spans="1:15" x14ac:dyDescent="0.25">
      <c r="A145" s="16"/>
      <c r="B145" s="49"/>
      <c r="C145" s="17"/>
      <c r="D145" s="13"/>
      <c r="E145" s="70"/>
      <c r="F145" s="14"/>
      <c r="G145" s="11"/>
      <c r="H145" s="67"/>
      <c r="I145" s="12"/>
      <c r="J145" s="53"/>
      <c r="K145" s="72"/>
      <c r="L145" s="54"/>
      <c r="M145" s="75"/>
      <c r="N145" s="73"/>
      <c r="O145" s="15"/>
    </row>
    <row r="146" spans="1:15" x14ac:dyDescent="0.25">
      <c r="A146" s="16"/>
      <c r="B146" s="49"/>
      <c r="C146" s="17"/>
      <c r="D146" s="13"/>
      <c r="E146" s="70"/>
      <c r="F146" s="14"/>
      <c r="G146" s="11"/>
      <c r="H146" s="67"/>
      <c r="I146" s="12"/>
      <c r="J146" s="53"/>
      <c r="K146" s="72"/>
      <c r="L146" s="54"/>
      <c r="M146" s="75"/>
      <c r="N146" s="73"/>
      <c r="O146" s="15"/>
    </row>
    <row r="147" spans="1:15" x14ac:dyDescent="0.25">
      <c r="A147" s="16"/>
      <c r="B147" s="49"/>
      <c r="C147" s="17"/>
      <c r="D147" s="13"/>
      <c r="E147" s="70"/>
      <c r="F147" s="14"/>
      <c r="G147" s="11"/>
      <c r="H147" s="67"/>
      <c r="I147" s="12"/>
      <c r="J147" s="53"/>
      <c r="K147" s="72"/>
      <c r="L147" s="54"/>
      <c r="M147" s="75"/>
      <c r="N147" s="73"/>
      <c r="O147" s="15"/>
    </row>
    <row r="148" spans="1:15" x14ac:dyDescent="0.25">
      <c r="A148" s="16"/>
      <c r="B148" s="49"/>
      <c r="C148" s="17"/>
      <c r="D148" s="13"/>
      <c r="E148" s="70"/>
      <c r="F148" s="14"/>
      <c r="G148" s="11"/>
      <c r="H148" s="67"/>
      <c r="I148" s="12"/>
      <c r="J148" s="53"/>
      <c r="K148" s="72"/>
      <c r="L148" s="54"/>
      <c r="M148" s="75"/>
      <c r="N148" s="73"/>
      <c r="O148" s="15"/>
    </row>
    <row r="149" spans="1:15" x14ac:dyDescent="0.25">
      <c r="A149" s="16"/>
      <c r="B149" s="49"/>
      <c r="C149" s="17"/>
      <c r="D149" s="13"/>
      <c r="E149" s="70"/>
      <c r="F149" s="14"/>
      <c r="G149" s="11"/>
      <c r="H149" s="67"/>
      <c r="I149" s="12"/>
      <c r="J149" s="53"/>
      <c r="K149" s="72"/>
      <c r="L149" s="54"/>
      <c r="M149" s="75"/>
      <c r="N149" s="73"/>
      <c r="O149" s="15"/>
    </row>
    <row r="150" spans="1:15" x14ac:dyDescent="0.25">
      <c r="A150" s="26"/>
      <c r="B150" s="26"/>
      <c r="C150" s="58"/>
      <c r="D150" s="26"/>
      <c r="E150" s="74"/>
      <c r="F150" s="58"/>
      <c r="G150" s="26"/>
      <c r="H150" s="58"/>
      <c r="I150" s="58"/>
      <c r="J150" s="26"/>
      <c r="K150" s="58"/>
      <c r="L150" s="58"/>
      <c r="M150" s="58"/>
      <c r="N150" s="58"/>
      <c r="O150" s="58"/>
    </row>
    <row r="151" spans="1:15" x14ac:dyDescent="0.25">
      <c r="A151" s="26"/>
      <c r="B151" s="2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</row>
    <row r="152" spans="1:15" x14ac:dyDescent="0.25">
      <c r="A152" s="26"/>
      <c r="B152" s="2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</row>
    <row r="153" spans="1:15" x14ac:dyDescent="0.25">
      <c r="A153" s="26"/>
      <c r="B153" s="2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</row>
    <row r="154" spans="1:15" x14ac:dyDescent="0.25">
      <c r="A154" s="26"/>
      <c r="B154" s="2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</row>
    <row r="155" spans="1:15" x14ac:dyDescent="0.25">
      <c r="A155" s="26"/>
      <c r="B155" s="2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</row>
    <row r="156" spans="1:15" x14ac:dyDescent="0.25">
      <c r="A156" s="26"/>
      <c r="B156" s="2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</row>
    <row r="157" spans="1:15" x14ac:dyDescent="0.25">
      <c r="A157" s="26"/>
      <c r="B157" s="2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</row>
    <row r="158" spans="1:15" x14ac:dyDescent="0.25">
      <c r="A158" s="26"/>
      <c r="B158" s="2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</row>
    <row r="159" spans="1:15" x14ac:dyDescent="0.25">
      <c r="A159" s="26"/>
      <c r="B159" s="2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2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2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2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2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2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2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2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2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2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2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2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2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2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2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2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2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2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2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2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2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2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2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2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2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2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2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2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2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2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2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2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2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2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2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2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2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2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2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2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2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2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2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2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2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2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2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2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2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2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2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2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2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2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2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2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2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2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2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2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2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2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2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2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2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2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2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2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2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2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2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2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2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2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2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2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2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2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2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2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2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2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2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2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2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2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2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2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2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2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2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2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2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2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2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2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2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2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2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2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2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2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2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2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2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2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2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2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2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2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2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2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2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2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2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2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2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2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2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2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2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2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2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2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2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2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2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2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2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2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2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2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2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2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2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2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2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2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2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2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2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2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2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2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2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2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2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2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2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2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2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2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2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2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2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2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2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2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2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2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2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2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2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2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2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2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2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2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2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2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2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2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2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2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2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2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2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2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2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2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2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2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2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2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2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2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2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2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2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2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2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2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2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2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2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2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2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2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2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2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2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2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2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2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2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2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2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2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2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2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2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2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2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2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2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2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2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2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2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2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2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2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2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2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2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2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2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2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2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2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2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2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2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2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2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2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2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2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2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2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2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2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2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2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2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2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2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2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2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2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2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2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2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2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2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2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2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2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2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2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2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2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2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2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2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2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2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2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2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2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2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2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2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2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2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2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2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2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2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2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2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2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2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2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2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2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2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2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2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2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2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2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2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2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2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2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2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2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2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2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2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2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2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2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2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2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2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2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2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2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2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2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2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2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2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2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2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2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2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2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2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2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2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2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2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2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2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2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2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2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2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2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2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2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2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2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2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2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2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2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2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2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2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2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2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2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2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2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2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2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2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2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2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2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2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2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2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2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2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2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2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2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2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2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2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2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2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2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2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2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2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2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2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2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2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2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D535" s="26"/>
      <c r="E535" s="58"/>
      <c r="F535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37"/>
  <sheetViews>
    <sheetView topLeftCell="A5" workbookViewId="0">
      <pane ySplit="3" topLeftCell="A51" activePane="bottomLeft" state="frozen"/>
      <selection activeCell="A5" sqref="A5"/>
      <selection pane="bottomLeft" activeCell="M62" sqref="M62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34" t="s">
        <v>10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6" t="s">
        <v>11</v>
      </c>
      <c r="M1" s="136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37" t="s">
        <v>8</v>
      </c>
      <c r="D3" s="137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38" t="s">
        <v>0</v>
      </c>
      <c r="B5" s="138"/>
      <c r="C5" s="138"/>
      <c r="D5" s="139" t="s">
        <v>4</v>
      </c>
      <c r="E5" s="139"/>
      <c r="F5" s="139"/>
      <c r="G5" s="140" t="s">
        <v>5</v>
      </c>
      <c r="H5" s="140"/>
      <c r="I5" s="140"/>
      <c r="J5" s="145" t="s">
        <v>6</v>
      </c>
      <c r="K5" s="145"/>
      <c r="L5" s="145"/>
      <c r="M5" s="133" t="s">
        <v>12</v>
      </c>
      <c r="N5" s="133"/>
      <c r="O5" s="133"/>
      <c r="Q5" s="142" t="s">
        <v>13</v>
      </c>
      <c r="R5" s="142"/>
    </row>
    <row r="6" spans="1:18" x14ac:dyDescent="0.25">
      <c r="A6" s="8">
        <f>SUBTOTAL(3,A8:A120)</f>
        <v>63</v>
      </c>
      <c r="B6" s="8">
        <f>SUBTOTAL(9,B8:B120)</f>
        <v>36650</v>
      </c>
      <c r="C6" s="35">
        <v>44290</v>
      </c>
      <c r="D6" s="8">
        <f>SUBTOTAL(3,D8:D121)</f>
        <v>72</v>
      </c>
      <c r="E6" s="1">
        <f>SUBTOTAL(9,E8:E121)</f>
        <v>41150</v>
      </c>
      <c r="F6" s="38">
        <v>44297</v>
      </c>
      <c r="G6" s="8">
        <f>SUBTOTAL(3,G8:G123)</f>
        <v>38</v>
      </c>
      <c r="H6" s="1">
        <f>SUBTOTAL(9,H8:H123)</f>
        <v>31900</v>
      </c>
      <c r="I6" s="39">
        <v>44304</v>
      </c>
      <c r="J6" s="8">
        <f>SUBTOTAL(3,J8:J110)</f>
        <v>44</v>
      </c>
      <c r="K6" s="1">
        <f>SUBTOTAL(9,K8:K110)</f>
        <v>28250</v>
      </c>
      <c r="L6" s="63">
        <v>43946</v>
      </c>
      <c r="M6" s="1">
        <f>SUBTOTAL(3,M8:M120)</f>
        <v>0</v>
      </c>
      <c r="N6" s="1">
        <f>SUBTOTAL(9,N8:N120)</f>
        <v>0</v>
      </c>
      <c r="O6" s="82"/>
      <c r="Q6" s="30">
        <f>+A6+D6+G6+J6+M6</f>
        <v>217</v>
      </c>
      <c r="R6" s="29">
        <f>+B6+E6+H6+K6+N6</f>
        <v>137950</v>
      </c>
    </row>
    <row r="7" spans="1:18" x14ac:dyDescent="0.25">
      <c r="A7" s="43" t="s">
        <v>1</v>
      </c>
      <c r="B7" s="43" t="s">
        <v>3</v>
      </c>
      <c r="C7" s="43" t="s">
        <v>2</v>
      </c>
      <c r="D7" s="44" t="s">
        <v>1</v>
      </c>
      <c r="E7" s="44" t="s">
        <v>3</v>
      </c>
      <c r="F7" s="44" t="s">
        <v>2</v>
      </c>
      <c r="G7" s="45" t="s">
        <v>1</v>
      </c>
      <c r="H7" s="45" t="s">
        <v>3</v>
      </c>
      <c r="I7" s="45" t="s">
        <v>2</v>
      </c>
      <c r="J7" s="60" t="s">
        <v>1</v>
      </c>
      <c r="K7" s="60" t="s">
        <v>3</v>
      </c>
      <c r="L7" s="60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24453</v>
      </c>
      <c r="B8" s="49">
        <v>350</v>
      </c>
      <c r="C8" s="17" t="s">
        <v>118</v>
      </c>
      <c r="D8" s="13">
        <v>24516</v>
      </c>
      <c r="E8" s="70"/>
      <c r="F8" s="14" t="s">
        <v>183</v>
      </c>
      <c r="G8" s="11">
        <v>24587</v>
      </c>
      <c r="H8" s="67">
        <v>5500</v>
      </c>
      <c r="I8" s="12" t="s">
        <v>28</v>
      </c>
      <c r="J8" s="61">
        <v>24625</v>
      </c>
      <c r="K8" s="71">
        <v>1000</v>
      </c>
      <c r="L8" s="62" t="s">
        <v>131</v>
      </c>
      <c r="M8" s="75"/>
      <c r="N8" s="106"/>
      <c r="O8" s="15"/>
      <c r="Q8" s="32"/>
      <c r="R8" s="32"/>
    </row>
    <row r="9" spans="1:18" x14ac:dyDescent="0.25">
      <c r="A9" s="16">
        <v>24454</v>
      </c>
      <c r="B9" s="49"/>
      <c r="C9" s="17" t="s">
        <v>20</v>
      </c>
      <c r="D9" s="13">
        <v>24517</v>
      </c>
      <c r="E9" s="70">
        <v>500</v>
      </c>
      <c r="F9" s="14" t="s">
        <v>122</v>
      </c>
      <c r="G9" s="11"/>
      <c r="H9" s="67"/>
      <c r="I9" s="12" t="s">
        <v>64</v>
      </c>
      <c r="J9" s="61"/>
      <c r="K9" s="71"/>
      <c r="L9" s="62" t="s">
        <v>64</v>
      </c>
      <c r="M9" s="75"/>
      <c r="N9" s="73"/>
      <c r="O9" s="15"/>
    </row>
    <row r="10" spans="1:18" x14ac:dyDescent="0.25">
      <c r="A10" s="16">
        <v>24455</v>
      </c>
      <c r="B10" s="49">
        <v>2150</v>
      </c>
      <c r="C10" s="17" t="s">
        <v>176</v>
      </c>
      <c r="D10" s="13">
        <v>24518</v>
      </c>
      <c r="E10" s="70"/>
      <c r="F10" s="14" t="s">
        <v>183</v>
      </c>
      <c r="G10" s="11"/>
      <c r="H10" s="67"/>
      <c r="I10" s="12" t="s">
        <v>94</v>
      </c>
      <c r="J10" s="61">
        <v>24626</v>
      </c>
      <c r="K10" s="71">
        <v>500</v>
      </c>
      <c r="L10" s="62" t="s">
        <v>131</v>
      </c>
      <c r="M10" s="75"/>
      <c r="N10" s="73"/>
      <c r="O10" s="15"/>
    </row>
    <row r="11" spans="1:18" x14ac:dyDescent="0.25">
      <c r="A11" s="16"/>
      <c r="B11" s="49"/>
      <c r="C11" s="17" t="s">
        <v>177</v>
      </c>
      <c r="D11" s="13">
        <v>24519</v>
      </c>
      <c r="E11" s="70">
        <v>500</v>
      </c>
      <c r="F11" s="14"/>
      <c r="G11" s="11">
        <v>24588</v>
      </c>
      <c r="H11" s="67">
        <v>1000</v>
      </c>
      <c r="I11" s="12" t="s">
        <v>159</v>
      </c>
      <c r="J11" s="61"/>
      <c r="K11" s="71"/>
      <c r="L11" s="62" t="s">
        <v>16</v>
      </c>
      <c r="M11" s="75"/>
      <c r="N11" s="73"/>
      <c r="O11" s="15"/>
    </row>
    <row r="12" spans="1:18" x14ac:dyDescent="0.25">
      <c r="A12" s="16"/>
      <c r="B12" s="49"/>
      <c r="C12" s="17" t="s">
        <v>178</v>
      </c>
      <c r="D12" s="13">
        <v>24520</v>
      </c>
      <c r="E12" s="70">
        <v>500</v>
      </c>
      <c r="F12" s="14"/>
      <c r="G12" s="11"/>
      <c r="H12" s="67"/>
      <c r="I12" s="12" t="s">
        <v>64</v>
      </c>
      <c r="J12" s="61">
        <v>24627</v>
      </c>
      <c r="K12" s="71">
        <v>500</v>
      </c>
      <c r="L12" s="62" t="s">
        <v>122</v>
      </c>
      <c r="M12" s="75"/>
      <c r="N12" s="73"/>
      <c r="O12" s="15"/>
    </row>
    <row r="13" spans="1:18" x14ac:dyDescent="0.25">
      <c r="A13" s="16">
        <v>24456</v>
      </c>
      <c r="B13" s="49">
        <v>500</v>
      </c>
      <c r="C13" s="17" t="s">
        <v>131</v>
      </c>
      <c r="D13" s="13">
        <v>24521</v>
      </c>
      <c r="E13" s="70"/>
      <c r="F13" s="14" t="s">
        <v>183</v>
      </c>
      <c r="G13" s="11">
        <v>24589</v>
      </c>
      <c r="H13" s="67">
        <v>500</v>
      </c>
      <c r="I13" s="12" t="s">
        <v>72</v>
      </c>
      <c r="J13" s="61">
        <v>24628</v>
      </c>
      <c r="K13" s="71">
        <v>4300</v>
      </c>
      <c r="L13" s="62" t="s">
        <v>198</v>
      </c>
      <c r="M13" s="75"/>
      <c r="N13" s="73"/>
      <c r="O13" s="15"/>
    </row>
    <row r="14" spans="1:18" ht="15" customHeight="1" x14ac:dyDescent="0.25">
      <c r="A14" s="16"/>
      <c r="B14" s="49"/>
      <c r="C14" s="17" t="s">
        <v>16</v>
      </c>
      <c r="D14" s="13">
        <v>24522</v>
      </c>
      <c r="E14" s="70">
        <v>600</v>
      </c>
      <c r="F14" s="14"/>
      <c r="G14" s="11">
        <v>24590</v>
      </c>
      <c r="H14" s="67">
        <v>1000</v>
      </c>
      <c r="I14" s="12" t="s">
        <v>159</v>
      </c>
      <c r="J14" s="61"/>
      <c r="K14" s="71"/>
      <c r="L14" s="62" t="s">
        <v>199</v>
      </c>
      <c r="M14" s="75"/>
      <c r="N14" s="73"/>
      <c r="O14" s="111"/>
    </row>
    <row r="15" spans="1:18" hidden="1" x14ac:dyDescent="0.25">
      <c r="A15" s="16"/>
      <c r="B15" s="49"/>
      <c r="C15" s="17"/>
      <c r="D15" s="13">
        <v>24522</v>
      </c>
      <c r="E15" s="70"/>
      <c r="F15" s="14"/>
      <c r="G15" s="11"/>
      <c r="H15" s="67"/>
      <c r="I15" s="12"/>
      <c r="J15" s="61"/>
      <c r="K15" s="71"/>
      <c r="L15" s="88"/>
      <c r="M15" s="75"/>
      <c r="N15" s="73"/>
      <c r="O15" s="15"/>
    </row>
    <row r="16" spans="1:18" x14ac:dyDescent="0.25">
      <c r="A16" s="16">
        <v>24457</v>
      </c>
      <c r="B16" s="49">
        <v>800</v>
      </c>
      <c r="C16" s="17" t="s">
        <v>159</v>
      </c>
      <c r="D16" s="13">
        <v>24523</v>
      </c>
      <c r="E16" s="70">
        <v>500</v>
      </c>
      <c r="F16" s="14" t="s">
        <v>122</v>
      </c>
      <c r="G16" s="11"/>
      <c r="H16" s="67"/>
      <c r="I16" s="12" t="s">
        <v>64</v>
      </c>
      <c r="J16" s="61"/>
      <c r="K16" s="71"/>
      <c r="L16" s="62" t="s">
        <v>200</v>
      </c>
      <c r="M16" s="75"/>
      <c r="N16" s="73"/>
      <c r="O16" s="15"/>
    </row>
    <row r="17" spans="1:15" x14ac:dyDescent="0.25">
      <c r="A17" s="16"/>
      <c r="B17" s="49"/>
      <c r="C17" s="17" t="s">
        <v>17</v>
      </c>
      <c r="D17" s="13">
        <v>24524</v>
      </c>
      <c r="E17" s="70">
        <v>1000</v>
      </c>
      <c r="F17" s="14" t="s">
        <v>131</v>
      </c>
      <c r="G17" s="11">
        <v>24591</v>
      </c>
      <c r="H17" s="67">
        <v>300</v>
      </c>
      <c r="I17" s="12"/>
      <c r="J17" s="61">
        <v>24629</v>
      </c>
      <c r="K17" s="71">
        <v>800</v>
      </c>
      <c r="L17" s="62" t="s">
        <v>73</v>
      </c>
      <c r="M17" s="75"/>
      <c r="N17" s="73"/>
      <c r="O17" s="15"/>
    </row>
    <row r="18" spans="1:15" x14ac:dyDescent="0.25">
      <c r="A18" s="16">
        <v>24458</v>
      </c>
      <c r="B18" s="49">
        <v>1000</v>
      </c>
      <c r="C18" s="17" t="s">
        <v>37</v>
      </c>
      <c r="D18" s="13"/>
      <c r="E18" s="70"/>
      <c r="F18" s="14" t="s">
        <v>64</v>
      </c>
      <c r="G18" s="11">
        <v>24592</v>
      </c>
      <c r="H18" s="67">
        <v>1000</v>
      </c>
      <c r="I18" s="12" t="s">
        <v>159</v>
      </c>
      <c r="J18" s="61"/>
      <c r="K18" s="71"/>
      <c r="L18" s="62" t="s">
        <v>201</v>
      </c>
      <c r="M18" s="75"/>
      <c r="N18" s="73"/>
      <c r="O18" s="15"/>
    </row>
    <row r="19" spans="1:15" x14ac:dyDescent="0.25">
      <c r="A19" s="16"/>
      <c r="B19" s="49"/>
      <c r="C19" s="17" t="s">
        <v>64</v>
      </c>
      <c r="D19" s="13">
        <v>24525</v>
      </c>
      <c r="E19" s="70">
        <v>1000</v>
      </c>
      <c r="F19" s="33" t="s">
        <v>73</v>
      </c>
      <c r="G19" s="11"/>
      <c r="H19" s="67"/>
      <c r="I19" s="12" t="s">
        <v>64</v>
      </c>
      <c r="J19" s="61">
        <v>24630</v>
      </c>
      <c r="K19" s="71">
        <v>400</v>
      </c>
      <c r="L19" s="62" t="s">
        <v>122</v>
      </c>
      <c r="M19" s="75"/>
      <c r="N19" s="73"/>
      <c r="O19" s="15"/>
    </row>
    <row r="20" spans="1:15" x14ac:dyDescent="0.25">
      <c r="A20" s="16">
        <v>24459</v>
      </c>
      <c r="B20" s="49">
        <v>300</v>
      </c>
      <c r="C20" s="17"/>
      <c r="D20" s="13"/>
      <c r="E20" s="70"/>
      <c r="F20" s="14" t="s">
        <v>64</v>
      </c>
      <c r="G20" s="11">
        <v>24593</v>
      </c>
      <c r="H20" s="67">
        <v>500</v>
      </c>
      <c r="I20" s="12" t="s">
        <v>122</v>
      </c>
      <c r="J20" s="61">
        <v>24631</v>
      </c>
      <c r="K20" s="71">
        <v>300</v>
      </c>
      <c r="L20" s="62"/>
      <c r="M20" s="75"/>
      <c r="N20" s="73"/>
      <c r="O20" s="15"/>
    </row>
    <row r="21" spans="1:15" x14ac:dyDescent="0.25">
      <c r="A21" s="16">
        <v>24460</v>
      </c>
      <c r="B21" s="49">
        <v>500</v>
      </c>
      <c r="C21" s="17"/>
      <c r="D21" s="13">
        <v>24526</v>
      </c>
      <c r="E21" s="70">
        <v>1000</v>
      </c>
      <c r="F21" s="14" t="s">
        <v>184</v>
      </c>
      <c r="G21" s="11">
        <v>24594</v>
      </c>
      <c r="H21" s="67">
        <v>500</v>
      </c>
      <c r="I21" s="12"/>
      <c r="J21" s="61">
        <v>24632</v>
      </c>
      <c r="K21" s="71">
        <v>500</v>
      </c>
      <c r="L21" s="62"/>
      <c r="M21" s="75"/>
      <c r="N21" s="73"/>
      <c r="O21" s="15"/>
    </row>
    <row r="22" spans="1:15" x14ac:dyDescent="0.25">
      <c r="A22" s="16">
        <v>24461</v>
      </c>
      <c r="B22" s="49">
        <v>500</v>
      </c>
      <c r="C22" s="17"/>
      <c r="D22" s="13"/>
      <c r="E22" s="70"/>
      <c r="F22" s="14" t="s">
        <v>64</v>
      </c>
      <c r="G22" s="11">
        <v>24595</v>
      </c>
      <c r="H22" s="67">
        <v>600</v>
      </c>
      <c r="I22" s="12" t="s">
        <v>131</v>
      </c>
      <c r="J22" s="61">
        <v>24633</v>
      </c>
      <c r="K22" s="71">
        <v>500</v>
      </c>
      <c r="L22" s="62"/>
      <c r="M22" s="75"/>
      <c r="N22" s="73"/>
      <c r="O22" s="15"/>
    </row>
    <row r="23" spans="1:15" x14ac:dyDescent="0.25">
      <c r="A23" s="16">
        <v>24462</v>
      </c>
      <c r="B23" s="49">
        <v>1500</v>
      </c>
      <c r="C23" s="17" t="s">
        <v>152</v>
      </c>
      <c r="D23" s="13">
        <v>24527</v>
      </c>
      <c r="E23" s="70">
        <v>50</v>
      </c>
      <c r="F23" s="14" t="s">
        <v>19</v>
      </c>
      <c r="G23" s="11"/>
      <c r="H23" s="67"/>
      <c r="I23" s="12" t="s">
        <v>18</v>
      </c>
      <c r="J23" s="61">
        <v>24634</v>
      </c>
      <c r="K23" s="71">
        <v>500</v>
      </c>
      <c r="L23" s="62"/>
      <c r="M23" s="75"/>
      <c r="N23" s="73"/>
      <c r="O23" s="15"/>
    </row>
    <row r="24" spans="1:15" x14ac:dyDescent="0.25">
      <c r="A24" s="16"/>
      <c r="B24" s="49"/>
      <c r="C24" s="17" t="s">
        <v>64</v>
      </c>
      <c r="D24" s="13">
        <v>24528</v>
      </c>
      <c r="E24" s="70">
        <v>200</v>
      </c>
      <c r="F24" s="14" t="s">
        <v>122</v>
      </c>
      <c r="G24" s="11">
        <v>24596</v>
      </c>
      <c r="H24" s="67">
        <v>1000</v>
      </c>
      <c r="I24" s="12" t="s">
        <v>73</v>
      </c>
      <c r="J24" s="61">
        <v>24635</v>
      </c>
      <c r="K24" s="71">
        <v>300</v>
      </c>
      <c r="L24" s="62"/>
      <c r="M24" s="75"/>
      <c r="N24" s="73"/>
      <c r="O24" s="15"/>
    </row>
    <row r="25" spans="1:15" x14ac:dyDescent="0.25">
      <c r="A25" s="16">
        <v>24463</v>
      </c>
      <c r="B25" s="49">
        <v>800</v>
      </c>
      <c r="C25" s="17"/>
      <c r="D25" s="13">
        <v>24529</v>
      </c>
      <c r="E25" s="70">
        <v>500</v>
      </c>
      <c r="F25" s="14" t="s">
        <v>131</v>
      </c>
      <c r="G25" s="11"/>
      <c r="H25" s="67"/>
      <c r="I25" s="12" t="s">
        <v>64</v>
      </c>
      <c r="J25" s="61">
        <v>24636</v>
      </c>
      <c r="K25" s="71"/>
      <c r="L25" s="62" t="s">
        <v>20</v>
      </c>
      <c r="M25" s="75"/>
      <c r="N25" s="73"/>
      <c r="O25" s="15"/>
    </row>
    <row r="26" spans="1:15" x14ac:dyDescent="0.25">
      <c r="A26" s="16">
        <v>24464</v>
      </c>
      <c r="B26" s="49">
        <v>1500</v>
      </c>
      <c r="C26" s="17" t="s">
        <v>146</v>
      </c>
      <c r="D26" s="13"/>
      <c r="E26" s="70"/>
      <c r="F26" s="14" t="s">
        <v>16</v>
      </c>
      <c r="G26" s="11">
        <v>24597</v>
      </c>
      <c r="H26" s="67">
        <v>1850</v>
      </c>
      <c r="I26" s="12" t="s">
        <v>152</v>
      </c>
      <c r="J26" s="61">
        <v>24637</v>
      </c>
      <c r="K26" s="71">
        <v>500</v>
      </c>
      <c r="L26" s="62" t="s">
        <v>180</v>
      </c>
      <c r="M26" s="75"/>
      <c r="N26" s="73"/>
      <c r="O26" s="15"/>
    </row>
    <row r="27" spans="1:15" x14ac:dyDescent="0.25">
      <c r="A27" s="16"/>
      <c r="B27" s="49"/>
      <c r="C27" s="17" t="s">
        <v>64</v>
      </c>
      <c r="D27" s="13">
        <v>24530</v>
      </c>
      <c r="E27" s="70">
        <v>1600</v>
      </c>
      <c r="F27" s="14" t="s">
        <v>152</v>
      </c>
      <c r="G27" s="11"/>
      <c r="H27" s="67"/>
      <c r="I27" s="12" t="s">
        <v>71</v>
      </c>
      <c r="J27" s="61">
        <v>24638</v>
      </c>
      <c r="K27" s="71">
        <v>500</v>
      </c>
      <c r="L27" s="62"/>
      <c r="M27" s="75"/>
      <c r="N27" s="73"/>
      <c r="O27" s="31"/>
    </row>
    <row r="28" spans="1:15" x14ac:dyDescent="0.25">
      <c r="A28" s="16">
        <v>24465</v>
      </c>
      <c r="B28" s="49">
        <v>500</v>
      </c>
      <c r="C28" s="17"/>
      <c r="D28" s="13"/>
      <c r="E28" s="70"/>
      <c r="F28" s="14" t="s">
        <v>64</v>
      </c>
      <c r="G28" s="11">
        <v>24598</v>
      </c>
      <c r="H28" s="67">
        <v>2000</v>
      </c>
      <c r="I28" s="12" t="s">
        <v>161</v>
      </c>
      <c r="J28" s="61">
        <v>24639</v>
      </c>
      <c r="K28" s="71">
        <v>500</v>
      </c>
      <c r="L28" s="62"/>
      <c r="M28" s="75"/>
      <c r="N28" s="73"/>
      <c r="O28" s="15"/>
    </row>
    <row r="29" spans="1:15" x14ac:dyDescent="0.25">
      <c r="A29" s="16">
        <v>24466</v>
      </c>
      <c r="B29" s="49">
        <v>1500</v>
      </c>
      <c r="C29" s="17" t="s">
        <v>152</v>
      </c>
      <c r="D29" s="13"/>
      <c r="E29" s="70"/>
      <c r="F29" s="14" t="s">
        <v>185</v>
      </c>
      <c r="G29" s="11"/>
      <c r="H29" s="67"/>
      <c r="I29" s="12" t="s">
        <v>64</v>
      </c>
      <c r="J29" s="61">
        <v>24640</v>
      </c>
      <c r="K29" s="71">
        <v>500</v>
      </c>
      <c r="L29" s="62"/>
      <c r="M29" s="75"/>
      <c r="N29" s="73"/>
      <c r="O29" s="15"/>
    </row>
    <row r="30" spans="1:15" x14ac:dyDescent="0.25">
      <c r="A30" s="16"/>
      <c r="B30" s="49"/>
      <c r="C30" s="17" t="s">
        <v>64</v>
      </c>
      <c r="D30" s="13">
        <v>24531</v>
      </c>
      <c r="E30" s="70">
        <v>500</v>
      </c>
      <c r="F30" s="14" t="s">
        <v>122</v>
      </c>
      <c r="G30" s="11">
        <v>24599</v>
      </c>
      <c r="H30" s="67">
        <v>1000</v>
      </c>
      <c r="I30" s="12" t="s">
        <v>73</v>
      </c>
      <c r="J30" s="61">
        <v>24641</v>
      </c>
      <c r="K30" s="71">
        <v>350</v>
      </c>
      <c r="L30" s="62" t="s">
        <v>118</v>
      </c>
      <c r="M30" s="75"/>
      <c r="N30" s="73"/>
      <c r="O30" s="15"/>
    </row>
    <row r="31" spans="1:15" x14ac:dyDescent="0.25">
      <c r="A31" s="16">
        <v>24467</v>
      </c>
      <c r="B31" s="49">
        <v>1200</v>
      </c>
      <c r="C31" s="17" t="s">
        <v>146</v>
      </c>
      <c r="D31" s="13">
        <v>24532</v>
      </c>
      <c r="E31" s="70">
        <v>500</v>
      </c>
      <c r="F31" s="14" t="s">
        <v>122</v>
      </c>
      <c r="G31" s="11"/>
      <c r="H31" s="67"/>
      <c r="I31" s="12" t="s">
        <v>64</v>
      </c>
      <c r="J31" s="61">
        <v>24642</v>
      </c>
      <c r="K31" s="71">
        <v>300</v>
      </c>
      <c r="L31" s="62"/>
      <c r="M31" s="75"/>
      <c r="N31" s="73"/>
      <c r="O31" s="15"/>
    </row>
    <row r="32" spans="1:15" x14ac:dyDescent="0.25">
      <c r="A32" s="16"/>
      <c r="B32" s="49"/>
      <c r="C32" s="17" t="s">
        <v>17</v>
      </c>
      <c r="D32" s="13">
        <v>24533</v>
      </c>
      <c r="E32" s="70">
        <v>500</v>
      </c>
      <c r="F32" s="14"/>
      <c r="G32" s="11">
        <v>24600</v>
      </c>
      <c r="H32" s="67">
        <v>1000</v>
      </c>
      <c r="I32" s="12" t="s">
        <v>73</v>
      </c>
      <c r="J32" s="61">
        <v>24643</v>
      </c>
      <c r="K32" s="71">
        <v>500</v>
      </c>
      <c r="L32" s="62"/>
      <c r="M32" s="75"/>
      <c r="N32" s="73"/>
      <c r="O32" s="15"/>
    </row>
    <row r="33" spans="1:15" x14ac:dyDescent="0.25">
      <c r="A33" s="16">
        <v>24468</v>
      </c>
      <c r="B33" s="49">
        <v>500</v>
      </c>
      <c r="C33" s="17" t="s">
        <v>131</v>
      </c>
      <c r="D33" s="13">
        <v>24534</v>
      </c>
      <c r="E33" s="70">
        <v>500</v>
      </c>
      <c r="F33" s="14"/>
      <c r="G33" s="11"/>
      <c r="H33" s="67"/>
      <c r="I33" s="12" t="s">
        <v>64</v>
      </c>
      <c r="J33" s="61">
        <v>24644</v>
      </c>
      <c r="K33" s="71">
        <v>350</v>
      </c>
      <c r="L33" s="62" t="s">
        <v>180</v>
      </c>
      <c r="M33" s="75"/>
      <c r="N33" s="73"/>
      <c r="O33" s="15"/>
    </row>
    <row r="34" spans="1:15" x14ac:dyDescent="0.25">
      <c r="A34" s="16"/>
      <c r="B34" s="49"/>
      <c r="C34" s="17" t="s">
        <v>16</v>
      </c>
      <c r="D34" s="13">
        <v>24535</v>
      </c>
      <c r="E34" s="70">
        <v>300</v>
      </c>
      <c r="F34" s="14"/>
      <c r="G34" s="11">
        <v>24601</v>
      </c>
      <c r="H34" s="67">
        <v>500</v>
      </c>
      <c r="I34" s="12" t="s">
        <v>122</v>
      </c>
      <c r="J34" s="61">
        <v>24645</v>
      </c>
      <c r="K34" s="71">
        <v>500</v>
      </c>
      <c r="L34" s="62"/>
      <c r="M34" s="75"/>
      <c r="N34" s="73"/>
      <c r="O34" s="31"/>
    </row>
    <row r="35" spans="1:15" x14ac:dyDescent="0.25">
      <c r="A35" s="16">
        <v>24469</v>
      </c>
      <c r="B35" s="49">
        <v>500</v>
      </c>
      <c r="C35" s="17" t="s">
        <v>131</v>
      </c>
      <c r="D35" s="13">
        <v>24536</v>
      </c>
      <c r="E35" s="70">
        <v>300</v>
      </c>
      <c r="F35" s="14"/>
      <c r="G35" s="11">
        <v>24602</v>
      </c>
      <c r="H35" s="67">
        <v>500</v>
      </c>
      <c r="I35" s="12"/>
      <c r="J35" s="61">
        <v>24646</v>
      </c>
      <c r="K35" s="71">
        <v>1200</v>
      </c>
      <c r="L35" s="62" t="s">
        <v>152</v>
      </c>
      <c r="M35" s="75"/>
      <c r="N35" s="73"/>
      <c r="O35" s="15"/>
    </row>
    <row r="36" spans="1:15" x14ac:dyDescent="0.25">
      <c r="A36" s="16"/>
      <c r="B36" s="49"/>
      <c r="C36" s="17" t="s">
        <v>16</v>
      </c>
      <c r="D36" s="13">
        <v>24537</v>
      </c>
      <c r="E36" s="70">
        <v>1000</v>
      </c>
      <c r="F36" s="14" t="s">
        <v>159</v>
      </c>
      <c r="G36" s="11">
        <v>24603</v>
      </c>
      <c r="H36" s="67">
        <v>500</v>
      </c>
      <c r="I36" s="12"/>
      <c r="J36" s="61"/>
      <c r="K36" s="71"/>
      <c r="L36" s="62" t="s">
        <v>17</v>
      </c>
      <c r="M36" s="75"/>
      <c r="N36" s="73"/>
      <c r="O36" s="15"/>
    </row>
    <row r="37" spans="1:15" x14ac:dyDescent="0.25">
      <c r="A37" s="16">
        <v>24470</v>
      </c>
      <c r="B37" s="49">
        <v>500</v>
      </c>
      <c r="C37" s="17" t="s">
        <v>122</v>
      </c>
      <c r="D37" s="13"/>
      <c r="E37" s="70"/>
      <c r="F37" s="14" t="s">
        <v>64</v>
      </c>
      <c r="G37" s="11">
        <v>24604</v>
      </c>
      <c r="H37" s="67">
        <v>1000</v>
      </c>
      <c r="I37" s="12" t="s">
        <v>194</v>
      </c>
      <c r="J37" s="61">
        <v>24647</v>
      </c>
      <c r="K37" s="71">
        <v>1000</v>
      </c>
      <c r="L37" s="62" t="s">
        <v>131</v>
      </c>
      <c r="M37" s="75"/>
      <c r="N37" s="73"/>
      <c r="O37" s="15"/>
    </row>
    <row r="38" spans="1:15" x14ac:dyDescent="0.25">
      <c r="A38" s="16">
        <v>24471</v>
      </c>
      <c r="B38" s="49">
        <v>500</v>
      </c>
      <c r="C38" s="17"/>
      <c r="D38" s="13">
        <v>24538</v>
      </c>
      <c r="E38" s="70">
        <v>500</v>
      </c>
      <c r="F38" s="14" t="s">
        <v>122</v>
      </c>
      <c r="G38" s="11"/>
      <c r="H38" s="67"/>
      <c r="I38" s="12" t="s">
        <v>195</v>
      </c>
      <c r="J38" s="61"/>
      <c r="K38" s="71"/>
      <c r="L38" s="68" t="s">
        <v>64</v>
      </c>
      <c r="M38" s="75"/>
      <c r="N38" s="73"/>
      <c r="O38" s="15"/>
    </row>
    <row r="39" spans="1:15" x14ac:dyDescent="0.25">
      <c r="A39" s="16">
        <v>24472</v>
      </c>
      <c r="B39" s="49">
        <v>300</v>
      </c>
      <c r="C39" s="17" t="s">
        <v>179</v>
      </c>
      <c r="D39" s="13">
        <v>24539</v>
      </c>
      <c r="E39" s="70">
        <v>500</v>
      </c>
      <c r="F39" s="14" t="s">
        <v>122</v>
      </c>
      <c r="G39" s="11">
        <v>24605</v>
      </c>
      <c r="H39" s="67">
        <v>1000</v>
      </c>
      <c r="I39" s="12" t="s">
        <v>159</v>
      </c>
      <c r="J39" s="61">
        <v>24648</v>
      </c>
      <c r="K39" s="71">
        <v>500</v>
      </c>
      <c r="L39" s="62" t="s">
        <v>122</v>
      </c>
      <c r="M39" s="75"/>
      <c r="N39" s="73"/>
      <c r="O39" s="15"/>
    </row>
    <row r="40" spans="1:15" x14ac:dyDescent="0.25">
      <c r="A40" s="16">
        <v>24473</v>
      </c>
      <c r="B40" s="49">
        <v>400</v>
      </c>
      <c r="C40" s="17" t="s">
        <v>122</v>
      </c>
      <c r="D40" s="13">
        <v>24540</v>
      </c>
      <c r="E40" s="70">
        <v>450</v>
      </c>
      <c r="F40" s="14"/>
      <c r="G40" s="11"/>
      <c r="H40" s="67"/>
      <c r="I40" s="12" t="s">
        <v>64</v>
      </c>
      <c r="J40" s="61">
        <v>24649</v>
      </c>
      <c r="K40" s="71">
        <v>600</v>
      </c>
      <c r="L40" s="62" t="s">
        <v>73</v>
      </c>
      <c r="M40" s="75"/>
      <c r="N40" s="73"/>
      <c r="O40" s="15"/>
    </row>
    <row r="41" spans="1:15" x14ac:dyDescent="0.25">
      <c r="A41" s="16">
        <v>24474</v>
      </c>
      <c r="B41" s="49">
        <v>600</v>
      </c>
      <c r="C41" s="17"/>
      <c r="D41" s="13">
        <v>24541</v>
      </c>
      <c r="E41" s="70">
        <v>250</v>
      </c>
      <c r="F41" s="14"/>
      <c r="G41" s="11">
        <v>24606</v>
      </c>
      <c r="H41" s="67">
        <v>500</v>
      </c>
      <c r="I41" s="12"/>
      <c r="J41" s="61"/>
      <c r="K41" s="71"/>
      <c r="L41" s="62" t="s">
        <v>18</v>
      </c>
      <c r="M41" s="75"/>
      <c r="N41" s="73"/>
      <c r="O41" s="15"/>
    </row>
    <row r="42" spans="1:15" x14ac:dyDescent="0.25">
      <c r="A42" s="16">
        <v>24475</v>
      </c>
      <c r="B42" s="49">
        <v>300</v>
      </c>
      <c r="C42" s="17"/>
      <c r="D42" s="13">
        <v>24542</v>
      </c>
      <c r="E42" s="70">
        <v>500</v>
      </c>
      <c r="F42" s="14"/>
      <c r="G42" s="11">
        <v>24607</v>
      </c>
      <c r="H42" s="67">
        <v>600</v>
      </c>
      <c r="I42" s="12" t="s">
        <v>159</v>
      </c>
      <c r="J42" s="61">
        <v>24650</v>
      </c>
      <c r="K42" s="71">
        <v>500</v>
      </c>
      <c r="L42" s="62"/>
      <c r="M42" s="75"/>
      <c r="N42" s="73"/>
      <c r="O42" s="15"/>
    </row>
    <row r="43" spans="1:15" x14ac:dyDescent="0.25">
      <c r="A43" s="16">
        <v>24476</v>
      </c>
      <c r="B43" s="49">
        <v>500</v>
      </c>
      <c r="C43" s="17"/>
      <c r="D43" s="13">
        <v>24543</v>
      </c>
      <c r="E43" s="70">
        <v>500</v>
      </c>
      <c r="F43" s="14" t="s">
        <v>72</v>
      </c>
      <c r="G43" s="11"/>
      <c r="H43" s="67"/>
      <c r="I43" s="12" t="s">
        <v>18</v>
      </c>
      <c r="J43" s="61">
        <v>24651</v>
      </c>
      <c r="K43" s="71">
        <v>2000</v>
      </c>
      <c r="L43" s="62" t="s">
        <v>202</v>
      </c>
      <c r="M43" s="75"/>
      <c r="N43" s="73"/>
      <c r="O43" s="15"/>
    </row>
    <row r="44" spans="1:15" x14ac:dyDescent="0.25">
      <c r="A44" s="16">
        <v>24477</v>
      </c>
      <c r="B44" s="49">
        <v>200</v>
      </c>
      <c r="C44" s="17"/>
      <c r="D44" s="13">
        <v>24544</v>
      </c>
      <c r="E44" s="70">
        <v>500</v>
      </c>
      <c r="F44" s="14"/>
      <c r="G44" s="11">
        <v>24608</v>
      </c>
      <c r="H44" s="67">
        <v>500</v>
      </c>
      <c r="I44" s="12" t="s">
        <v>159</v>
      </c>
      <c r="J44" s="61"/>
      <c r="K44" s="71"/>
      <c r="L44" s="62" t="s">
        <v>64</v>
      </c>
      <c r="M44" s="75"/>
      <c r="N44" s="73"/>
      <c r="O44" s="15"/>
    </row>
    <row r="45" spans="1:15" x14ac:dyDescent="0.25">
      <c r="A45" s="16">
        <v>24478</v>
      </c>
      <c r="B45" s="49">
        <v>250</v>
      </c>
      <c r="C45" s="17" t="s">
        <v>180</v>
      </c>
      <c r="D45" s="13">
        <v>24545</v>
      </c>
      <c r="E45" s="70">
        <v>400</v>
      </c>
      <c r="F45" s="14"/>
      <c r="G45" s="11"/>
      <c r="H45" s="67"/>
      <c r="I45" s="12" t="s">
        <v>16</v>
      </c>
      <c r="J45" s="61">
        <v>24652</v>
      </c>
      <c r="K45" s="71">
        <v>500</v>
      </c>
      <c r="L45" s="62"/>
      <c r="M45" s="75"/>
      <c r="N45" s="73"/>
      <c r="O45" s="15"/>
    </row>
    <row r="46" spans="1:15" x14ac:dyDescent="0.25">
      <c r="A46" s="16">
        <v>24479</v>
      </c>
      <c r="B46" s="49">
        <v>400</v>
      </c>
      <c r="C46" s="17" t="s">
        <v>131</v>
      </c>
      <c r="D46" s="13">
        <v>24546</v>
      </c>
      <c r="E46" s="70">
        <v>600</v>
      </c>
      <c r="F46" s="14" t="s">
        <v>159</v>
      </c>
      <c r="G46" s="11">
        <v>24609</v>
      </c>
      <c r="H46" s="67">
        <v>250</v>
      </c>
      <c r="I46" s="12" t="s">
        <v>122</v>
      </c>
      <c r="J46" s="61">
        <v>24653</v>
      </c>
      <c r="K46" s="71">
        <v>500</v>
      </c>
      <c r="L46" s="62"/>
      <c r="M46" s="75"/>
      <c r="N46" s="73"/>
      <c r="O46" s="15"/>
    </row>
    <row r="47" spans="1:15" x14ac:dyDescent="0.25">
      <c r="A47" s="16"/>
      <c r="B47" s="49"/>
      <c r="C47" s="17" t="s">
        <v>52</v>
      </c>
      <c r="D47" s="13"/>
      <c r="E47" s="70"/>
      <c r="F47" s="14" t="s">
        <v>18</v>
      </c>
      <c r="G47" s="11">
        <v>24610</v>
      </c>
      <c r="H47" s="67">
        <v>500</v>
      </c>
      <c r="I47" s="12" t="s">
        <v>159</v>
      </c>
      <c r="J47" s="61">
        <v>24654</v>
      </c>
      <c r="K47" s="71">
        <v>400</v>
      </c>
      <c r="L47" s="62"/>
      <c r="M47" s="75"/>
      <c r="N47" s="73"/>
      <c r="O47" s="15"/>
    </row>
    <row r="48" spans="1:15" x14ac:dyDescent="0.25">
      <c r="A48" s="16">
        <v>24480</v>
      </c>
      <c r="B48" s="49">
        <v>500</v>
      </c>
      <c r="C48" s="17"/>
      <c r="D48" s="13">
        <v>24547</v>
      </c>
      <c r="E48" s="70">
        <v>600</v>
      </c>
      <c r="F48" s="14" t="s">
        <v>131</v>
      </c>
      <c r="G48" s="11"/>
      <c r="H48" s="67"/>
      <c r="I48" s="12" t="s">
        <v>16</v>
      </c>
      <c r="J48" s="61">
        <v>24655</v>
      </c>
      <c r="K48" s="71">
        <v>600</v>
      </c>
      <c r="L48" s="62" t="s">
        <v>196</v>
      </c>
      <c r="M48" s="75"/>
      <c r="N48" s="73"/>
      <c r="O48" s="15"/>
    </row>
    <row r="49" spans="1:15" x14ac:dyDescent="0.25">
      <c r="A49" s="16">
        <v>24481</v>
      </c>
      <c r="B49" s="49">
        <v>700</v>
      </c>
      <c r="C49" s="17" t="s">
        <v>159</v>
      </c>
      <c r="D49" s="13"/>
      <c r="E49" s="70"/>
      <c r="F49" s="14" t="s">
        <v>18</v>
      </c>
      <c r="G49" s="11">
        <v>24611</v>
      </c>
      <c r="H49" s="67">
        <v>500</v>
      </c>
      <c r="I49" s="12"/>
      <c r="J49" s="61"/>
      <c r="K49" s="71"/>
      <c r="L49" s="62" t="s">
        <v>18</v>
      </c>
      <c r="M49" s="75"/>
      <c r="N49" s="73"/>
      <c r="O49" s="15"/>
    </row>
    <row r="50" spans="1:15" x14ac:dyDescent="0.25">
      <c r="A50" s="16"/>
      <c r="B50" s="49"/>
      <c r="C50" s="17" t="s">
        <v>21</v>
      </c>
      <c r="D50" s="13">
        <v>24548</v>
      </c>
      <c r="E50" s="70">
        <v>400</v>
      </c>
      <c r="F50" s="14"/>
      <c r="G50" s="11">
        <v>24612</v>
      </c>
      <c r="H50" s="67">
        <v>400</v>
      </c>
      <c r="I50" s="12"/>
      <c r="J50" s="61">
        <v>24656</v>
      </c>
      <c r="K50" s="71">
        <v>500</v>
      </c>
      <c r="L50" s="62"/>
      <c r="M50" s="75"/>
      <c r="N50" s="73"/>
      <c r="O50" s="15"/>
    </row>
    <row r="51" spans="1:15" x14ac:dyDescent="0.25">
      <c r="A51" s="16">
        <v>24482</v>
      </c>
      <c r="B51" s="49"/>
      <c r="C51" s="17" t="s">
        <v>20</v>
      </c>
      <c r="D51" s="13">
        <v>24549</v>
      </c>
      <c r="E51" s="70">
        <v>400</v>
      </c>
      <c r="F51" s="14"/>
      <c r="G51" s="11">
        <v>24613</v>
      </c>
      <c r="H51" s="67">
        <v>400</v>
      </c>
      <c r="I51" s="12"/>
      <c r="J51" s="61">
        <v>24657</v>
      </c>
      <c r="K51" s="71">
        <v>400</v>
      </c>
      <c r="L51" s="62"/>
      <c r="M51" s="75"/>
      <c r="N51" s="73"/>
      <c r="O51" s="15"/>
    </row>
    <row r="52" spans="1:15" x14ac:dyDescent="0.25">
      <c r="A52" s="16">
        <v>24483</v>
      </c>
      <c r="B52" s="49">
        <v>1800</v>
      </c>
      <c r="C52" s="17" t="s">
        <v>152</v>
      </c>
      <c r="D52" s="13">
        <v>24550</v>
      </c>
      <c r="E52" s="70">
        <v>1500</v>
      </c>
      <c r="F52" s="14" t="s">
        <v>152</v>
      </c>
      <c r="G52" s="11">
        <v>24614</v>
      </c>
      <c r="H52" s="67">
        <v>600</v>
      </c>
      <c r="I52" s="12" t="s">
        <v>131</v>
      </c>
      <c r="J52" s="61">
        <v>24658</v>
      </c>
      <c r="K52" s="71">
        <v>1000</v>
      </c>
      <c r="L52" s="62" t="s">
        <v>131</v>
      </c>
      <c r="M52" s="75"/>
      <c r="N52" s="73"/>
      <c r="O52" s="15"/>
    </row>
    <row r="53" spans="1:15" x14ac:dyDescent="0.25">
      <c r="A53" s="16"/>
      <c r="B53" s="49"/>
      <c r="C53" s="17" t="s">
        <v>181</v>
      </c>
      <c r="D53" s="13"/>
      <c r="E53" s="70"/>
      <c r="F53" s="14" t="s">
        <v>64</v>
      </c>
      <c r="G53" s="11"/>
      <c r="H53" s="67"/>
      <c r="I53" s="12" t="s">
        <v>18</v>
      </c>
      <c r="J53" s="61"/>
      <c r="K53" s="71"/>
      <c r="L53" s="62" t="s">
        <v>64</v>
      </c>
      <c r="M53" s="75"/>
      <c r="N53" s="73"/>
      <c r="O53" s="15"/>
    </row>
    <row r="54" spans="1:15" x14ac:dyDescent="0.25">
      <c r="A54" s="16">
        <v>24484</v>
      </c>
      <c r="B54" s="49">
        <v>500</v>
      </c>
      <c r="C54" s="17"/>
      <c r="D54" s="13">
        <v>24551</v>
      </c>
      <c r="E54" s="70">
        <v>500</v>
      </c>
      <c r="F54" s="14"/>
      <c r="G54" s="11">
        <v>24615</v>
      </c>
      <c r="H54" s="67">
        <v>500</v>
      </c>
      <c r="I54" s="12"/>
      <c r="J54" s="61">
        <v>24659</v>
      </c>
      <c r="K54" s="71">
        <v>350</v>
      </c>
      <c r="L54" s="62" t="s">
        <v>118</v>
      </c>
      <c r="M54" s="75"/>
      <c r="N54" s="73"/>
      <c r="O54" s="15"/>
    </row>
    <row r="55" spans="1:15" x14ac:dyDescent="0.25">
      <c r="A55" s="16">
        <v>24485</v>
      </c>
      <c r="B55" s="49">
        <v>600</v>
      </c>
      <c r="C55" s="17"/>
      <c r="D55" s="13">
        <v>24552</v>
      </c>
      <c r="E55" s="70">
        <v>1000</v>
      </c>
      <c r="F55" s="14" t="s">
        <v>131</v>
      </c>
      <c r="G55" s="11">
        <v>24616</v>
      </c>
      <c r="H55" s="67">
        <v>1000</v>
      </c>
      <c r="I55" s="12" t="s">
        <v>159</v>
      </c>
      <c r="J55" s="61">
        <v>24660</v>
      </c>
      <c r="K55" s="71">
        <v>300</v>
      </c>
      <c r="L55" s="62" t="s">
        <v>203</v>
      </c>
      <c r="M55" s="75"/>
      <c r="N55" s="73"/>
      <c r="O55" s="15"/>
    </row>
    <row r="56" spans="1:15" x14ac:dyDescent="0.25">
      <c r="A56" s="16">
        <v>24486</v>
      </c>
      <c r="B56" s="49">
        <v>500</v>
      </c>
      <c r="C56" s="17"/>
      <c r="D56" s="13"/>
      <c r="E56" s="70"/>
      <c r="F56" s="99" t="s">
        <v>64</v>
      </c>
      <c r="G56" s="11"/>
      <c r="H56" s="67"/>
      <c r="I56" s="12" t="s">
        <v>64</v>
      </c>
      <c r="J56" s="61">
        <v>24661</v>
      </c>
      <c r="K56" s="71">
        <v>300</v>
      </c>
      <c r="L56" s="62"/>
      <c r="M56" s="75"/>
      <c r="N56" s="73"/>
      <c r="O56" s="15"/>
    </row>
    <row r="57" spans="1:15" x14ac:dyDescent="0.25">
      <c r="A57" s="16">
        <v>24487</v>
      </c>
      <c r="B57" s="49">
        <v>1000</v>
      </c>
      <c r="C57" s="17" t="s">
        <v>131</v>
      </c>
      <c r="D57" s="13">
        <v>24553</v>
      </c>
      <c r="E57" s="70">
        <v>1500</v>
      </c>
      <c r="F57" s="14" t="s">
        <v>176</v>
      </c>
      <c r="G57" s="11">
        <v>24617</v>
      </c>
      <c r="H57" s="67">
        <v>1000</v>
      </c>
      <c r="I57" s="12" t="s">
        <v>196</v>
      </c>
      <c r="J57" s="61">
        <v>24662</v>
      </c>
      <c r="K57" s="71">
        <v>500</v>
      </c>
      <c r="L57" s="62"/>
      <c r="M57" s="75"/>
      <c r="N57" s="73"/>
      <c r="O57" s="15"/>
    </row>
    <row r="58" spans="1:15" x14ac:dyDescent="0.25">
      <c r="A58" s="16"/>
      <c r="B58" s="49"/>
      <c r="C58" s="17" t="s">
        <v>64</v>
      </c>
      <c r="D58" s="13"/>
      <c r="E58" s="70"/>
      <c r="F58" s="14" t="s">
        <v>64</v>
      </c>
      <c r="G58" s="11"/>
      <c r="H58" s="67"/>
      <c r="I58" s="12" t="s">
        <v>64</v>
      </c>
      <c r="J58" s="61">
        <v>24663</v>
      </c>
      <c r="K58" s="71">
        <v>1000</v>
      </c>
      <c r="L58" s="62" t="s">
        <v>131</v>
      </c>
      <c r="M58" s="75"/>
      <c r="N58" s="73"/>
      <c r="O58" s="15"/>
    </row>
    <row r="59" spans="1:15" x14ac:dyDescent="0.25">
      <c r="A59" s="16">
        <v>24488</v>
      </c>
      <c r="B59" s="49">
        <v>600</v>
      </c>
      <c r="C59" s="17"/>
      <c r="D59" s="13">
        <v>24554</v>
      </c>
      <c r="E59" s="70">
        <v>500</v>
      </c>
      <c r="F59" s="14" t="s">
        <v>122</v>
      </c>
      <c r="G59" s="11">
        <v>24618</v>
      </c>
      <c r="H59" s="67">
        <v>500</v>
      </c>
      <c r="I59" s="12"/>
      <c r="J59" s="61"/>
      <c r="K59" s="71"/>
      <c r="L59" s="62" t="s">
        <v>64</v>
      </c>
      <c r="M59" s="75"/>
      <c r="N59" s="73"/>
      <c r="O59" s="15"/>
    </row>
    <row r="60" spans="1:15" x14ac:dyDescent="0.25">
      <c r="A60" s="16">
        <v>24489</v>
      </c>
      <c r="B60" s="49">
        <v>500</v>
      </c>
      <c r="C60" s="17" t="s">
        <v>122</v>
      </c>
      <c r="D60" s="13">
        <v>24555</v>
      </c>
      <c r="E60" s="70">
        <v>750</v>
      </c>
      <c r="F60" s="14" t="s">
        <v>176</v>
      </c>
      <c r="G60" s="11">
        <v>24619</v>
      </c>
      <c r="H60" s="67">
        <v>600</v>
      </c>
      <c r="I60" s="12" t="s">
        <v>196</v>
      </c>
      <c r="J60" s="61">
        <v>24664</v>
      </c>
      <c r="K60" s="71">
        <v>600</v>
      </c>
      <c r="L60" s="62" t="s">
        <v>131</v>
      </c>
      <c r="M60" s="75"/>
      <c r="N60" s="73"/>
      <c r="O60" s="15"/>
    </row>
    <row r="61" spans="1:15" x14ac:dyDescent="0.25">
      <c r="A61" s="16">
        <v>24490</v>
      </c>
      <c r="B61" s="49">
        <v>450</v>
      </c>
      <c r="C61" s="17"/>
      <c r="D61" s="13"/>
      <c r="E61" s="70"/>
      <c r="F61" s="14" t="s">
        <v>16</v>
      </c>
      <c r="G61" s="11"/>
      <c r="H61" s="67"/>
      <c r="I61" s="12" t="s">
        <v>18</v>
      </c>
      <c r="J61" s="61"/>
      <c r="K61" s="71"/>
      <c r="L61" s="62" t="s">
        <v>18</v>
      </c>
      <c r="M61" s="75"/>
      <c r="N61" s="73"/>
      <c r="O61" s="15"/>
    </row>
    <row r="62" spans="1:15" x14ac:dyDescent="0.25">
      <c r="A62" s="16">
        <v>24491</v>
      </c>
      <c r="B62" s="49">
        <v>300</v>
      </c>
      <c r="C62" s="17" t="s">
        <v>122</v>
      </c>
      <c r="D62" s="13">
        <v>24556</v>
      </c>
      <c r="E62" s="70">
        <v>350</v>
      </c>
      <c r="F62" s="14"/>
      <c r="G62" s="11">
        <v>24620</v>
      </c>
      <c r="H62" s="67">
        <v>800</v>
      </c>
      <c r="I62" s="12" t="s">
        <v>131</v>
      </c>
      <c r="J62" s="61">
        <v>24665</v>
      </c>
      <c r="K62" s="71"/>
      <c r="L62" s="62" t="s">
        <v>20</v>
      </c>
      <c r="M62" s="75"/>
      <c r="N62" s="73"/>
      <c r="O62" s="15"/>
    </row>
    <row r="63" spans="1:15" x14ac:dyDescent="0.25">
      <c r="A63" s="16">
        <v>24492</v>
      </c>
      <c r="B63" s="49">
        <v>500</v>
      </c>
      <c r="C63" s="17"/>
      <c r="D63" s="13">
        <v>24557</v>
      </c>
      <c r="E63" s="70">
        <v>500</v>
      </c>
      <c r="F63" s="14" t="s">
        <v>122</v>
      </c>
      <c r="G63" s="11"/>
      <c r="H63" s="67"/>
      <c r="I63" s="12" t="s">
        <v>17</v>
      </c>
      <c r="J63" s="61">
        <v>24666</v>
      </c>
      <c r="K63" s="71">
        <v>600</v>
      </c>
      <c r="L63" s="62" t="s">
        <v>131</v>
      </c>
      <c r="M63" s="75"/>
      <c r="N63" s="73"/>
      <c r="O63" s="15"/>
    </row>
    <row r="64" spans="1:15" x14ac:dyDescent="0.25">
      <c r="A64" s="16">
        <v>24493</v>
      </c>
      <c r="B64" s="49">
        <v>500</v>
      </c>
      <c r="C64" s="17"/>
      <c r="D64" s="13">
        <v>24558</v>
      </c>
      <c r="E64" s="70">
        <v>200</v>
      </c>
      <c r="F64" s="14"/>
      <c r="G64" s="11">
        <v>24621</v>
      </c>
      <c r="H64" s="67">
        <v>1000</v>
      </c>
      <c r="I64" s="12" t="s">
        <v>159</v>
      </c>
      <c r="J64" s="61"/>
      <c r="K64" s="71"/>
      <c r="L64" s="62" t="s">
        <v>18</v>
      </c>
      <c r="M64" s="75"/>
      <c r="N64" s="73"/>
      <c r="O64" s="15"/>
    </row>
    <row r="65" spans="1:15" x14ac:dyDescent="0.25">
      <c r="A65" s="16">
        <v>24494</v>
      </c>
      <c r="B65" s="49">
        <v>50</v>
      </c>
      <c r="C65" s="17" t="s">
        <v>19</v>
      </c>
      <c r="D65" s="13">
        <v>24559</v>
      </c>
      <c r="E65" s="70">
        <v>1000</v>
      </c>
      <c r="F65" s="14" t="s">
        <v>159</v>
      </c>
      <c r="G65" s="11"/>
      <c r="H65" s="67"/>
      <c r="I65" s="12" t="s">
        <v>197</v>
      </c>
      <c r="J65" s="61">
        <v>24667</v>
      </c>
      <c r="K65" s="71">
        <v>800</v>
      </c>
      <c r="L65" s="62" t="s">
        <v>131</v>
      </c>
      <c r="M65" s="75"/>
      <c r="N65" s="73"/>
      <c r="O65" s="15"/>
    </row>
    <row r="66" spans="1:15" x14ac:dyDescent="0.25">
      <c r="A66" s="16">
        <v>24495</v>
      </c>
      <c r="B66" s="49">
        <v>300</v>
      </c>
      <c r="C66" s="85"/>
      <c r="D66" s="13"/>
      <c r="E66" s="70"/>
      <c r="F66" s="14" t="s">
        <v>64</v>
      </c>
      <c r="G66" s="11">
        <v>24622</v>
      </c>
      <c r="H66" s="67">
        <v>500</v>
      </c>
      <c r="I66" s="12"/>
      <c r="J66" s="61"/>
      <c r="K66" s="71"/>
      <c r="L66" s="62" t="s">
        <v>17</v>
      </c>
      <c r="M66" s="75"/>
      <c r="N66" s="73"/>
      <c r="O66" s="15"/>
    </row>
    <row r="67" spans="1:15" x14ac:dyDescent="0.25">
      <c r="A67" s="16">
        <v>24496</v>
      </c>
      <c r="B67" s="49">
        <v>300</v>
      </c>
      <c r="C67" s="17"/>
      <c r="D67" s="13">
        <v>24560</v>
      </c>
      <c r="E67" s="70">
        <v>1000</v>
      </c>
      <c r="F67" s="14" t="s">
        <v>131</v>
      </c>
      <c r="G67" s="11">
        <v>24623</v>
      </c>
      <c r="H67" s="67"/>
      <c r="I67" s="12" t="s">
        <v>20</v>
      </c>
      <c r="J67" s="61">
        <v>24668</v>
      </c>
      <c r="K67" s="71">
        <v>500</v>
      </c>
      <c r="L67" s="62" t="s">
        <v>122</v>
      </c>
      <c r="M67" s="75"/>
      <c r="N67" s="73"/>
      <c r="O67" s="15"/>
    </row>
    <row r="68" spans="1:15" x14ac:dyDescent="0.25">
      <c r="A68" s="16">
        <v>24497</v>
      </c>
      <c r="B68" s="49">
        <v>500</v>
      </c>
      <c r="C68" s="17"/>
      <c r="D68" s="13"/>
      <c r="E68" s="70"/>
      <c r="F68" s="14" t="s">
        <v>64</v>
      </c>
      <c r="G68" s="11">
        <v>24624</v>
      </c>
      <c r="H68" s="67">
        <v>500</v>
      </c>
      <c r="I68" s="12"/>
      <c r="J68" s="61"/>
      <c r="K68" s="71"/>
      <c r="L68" s="62"/>
      <c r="M68" s="75"/>
      <c r="N68" s="73"/>
      <c r="O68" s="15"/>
    </row>
    <row r="69" spans="1:15" x14ac:dyDescent="0.25">
      <c r="A69" s="16">
        <v>24498</v>
      </c>
      <c r="B69" s="49">
        <v>500</v>
      </c>
      <c r="C69" s="17" t="s">
        <v>122</v>
      </c>
      <c r="D69" s="13">
        <v>24561</v>
      </c>
      <c r="E69" s="70">
        <v>250</v>
      </c>
      <c r="F69" s="14" t="s">
        <v>98</v>
      </c>
      <c r="G69" s="11"/>
      <c r="H69" s="67"/>
      <c r="I69" s="12"/>
      <c r="J69" s="61"/>
      <c r="K69" s="71"/>
      <c r="L69" s="62"/>
      <c r="M69" s="75"/>
      <c r="N69" s="73"/>
      <c r="O69" s="15"/>
    </row>
    <row r="70" spans="1:15" x14ac:dyDescent="0.25">
      <c r="A70" s="16">
        <v>24499</v>
      </c>
      <c r="B70" s="49">
        <v>1000</v>
      </c>
      <c r="C70" s="17" t="s">
        <v>131</v>
      </c>
      <c r="D70" s="13">
        <v>24562</v>
      </c>
      <c r="E70" s="70">
        <v>1500</v>
      </c>
      <c r="F70" s="14" t="s">
        <v>152</v>
      </c>
      <c r="G70" s="11"/>
      <c r="H70" s="67"/>
      <c r="I70" s="96"/>
      <c r="J70" s="61"/>
      <c r="K70" s="71"/>
      <c r="L70" s="62"/>
      <c r="M70" s="75"/>
      <c r="N70" s="73"/>
      <c r="O70" s="15"/>
    </row>
    <row r="71" spans="1:15" x14ac:dyDescent="0.25">
      <c r="A71" s="16"/>
      <c r="B71" s="49"/>
      <c r="C71" s="17" t="s">
        <v>64</v>
      </c>
      <c r="D71" s="13"/>
      <c r="E71" s="70"/>
      <c r="F71" s="14" t="s">
        <v>64</v>
      </c>
      <c r="G71" s="11"/>
      <c r="H71" s="67"/>
      <c r="I71" s="12"/>
      <c r="J71" s="61"/>
      <c r="K71" s="71"/>
      <c r="L71" s="62"/>
      <c r="M71" s="75"/>
      <c r="N71" s="73"/>
      <c r="O71" s="15"/>
    </row>
    <row r="72" spans="1:15" x14ac:dyDescent="0.25">
      <c r="A72" s="16">
        <v>24500</v>
      </c>
      <c r="B72" s="49">
        <v>300</v>
      </c>
      <c r="C72" s="17" t="s">
        <v>122</v>
      </c>
      <c r="D72" s="13">
        <v>24563</v>
      </c>
      <c r="E72" s="70">
        <v>500</v>
      </c>
      <c r="F72" s="14" t="s">
        <v>131</v>
      </c>
      <c r="G72" s="11"/>
      <c r="H72" s="67"/>
      <c r="I72" s="12"/>
      <c r="J72" s="61"/>
      <c r="K72" s="71"/>
      <c r="L72" s="62"/>
      <c r="M72" s="75"/>
      <c r="N72" s="73"/>
      <c r="O72" s="15"/>
    </row>
    <row r="73" spans="1:15" x14ac:dyDescent="0.25">
      <c r="A73" s="16">
        <v>24501</v>
      </c>
      <c r="B73" s="49">
        <v>500</v>
      </c>
      <c r="C73" s="17" t="s">
        <v>122</v>
      </c>
      <c r="D73" s="13"/>
      <c r="E73" s="70"/>
      <c r="F73" s="14" t="s">
        <v>16</v>
      </c>
      <c r="G73" s="11"/>
      <c r="H73" s="67"/>
      <c r="I73" s="12"/>
      <c r="J73" s="61"/>
      <c r="K73" s="71"/>
      <c r="L73" s="62"/>
      <c r="M73" s="75"/>
      <c r="N73" s="73"/>
      <c r="O73" s="15"/>
    </row>
    <row r="74" spans="1:15" x14ac:dyDescent="0.25">
      <c r="A74" s="16">
        <v>24502</v>
      </c>
      <c r="B74" s="49">
        <v>500</v>
      </c>
      <c r="C74" s="17"/>
      <c r="D74" s="13">
        <v>24564</v>
      </c>
      <c r="E74" s="70">
        <v>500</v>
      </c>
      <c r="F74" s="14"/>
      <c r="G74" s="11"/>
      <c r="H74" s="67"/>
      <c r="I74" s="12"/>
      <c r="J74" s="61"/>
      <c r="K74" s="71"/>
      <c r="L74" s="62"/>
      <c r="M74" s="75"/>
      <c r="N74" s="73"/>
      <c r="O74" s="15"/>
    </row>
    <row r="75" spans="1:15" x14ac:dyDescent="0.25">
      <c r="A75" s="16">
        <v>24503</v>
      </c>
      <c r="B75" s="49">
        <v>50</v>
      </c>
      <c r="C75" s="17" t="s">
        <v>182</v>
      </c>
      <c r="D75" s="13">
        <v>24565</v>
      </c>
      <c r="E75" s="70">
        <v>500</v>
      </c>
      <c r="F75" s="14"/>
      <c r="G75" s="11"/>
      <c r="H75" s="67"/>
      <c r="I75" s="12"/>
      <c r="J75" s="61"/>
      <c r="K75" s="71"/>
      <c r="L75" s="62"/>
      <c r="M75" s="75"/>
      <c r="N75" s="73"/>
      <c r="O75" s="15"/>
    </row>
    <row r="76" spans="1:15" x14ac:dyDescent="0.25">
      <c r="A76" s="16">
        <v>24504</v>
      </c>
      <c r="B76" s="49">
        <v>500</v>
      </c>
      <c r="C76" s="17" t="s">
        <v>122</v>
      </c>
      <c r="D76" s="13">
        <v>24566</v>
      </c>
      <c r="E76" s="70">
        <v>500</v>
      </c>
      <c r="F76" s="14" t="s">
        <v>122</v>
      </c>
      <c r="G76" s="11"/>
      <c r="H76" s="67"/>
      <c r="I76" s="12"/>
      <c r="J76" s="61"/>
      <c r="K76" s="71"/>
      <c r="L76" s="62"/>
      <c r="M76" s="75"/>
      <c r="N76" s="73"/>
      <c r="O76" s="15"/>
    </row>
    <row r="77" spans="1:15" x14ac:dyDescent="0.25">
      <c r="A77" s="16">
        <v>24505</v>
      </c>
      <c r="B77" s="49">
        <v>500</v>
      </c>
      <c r="C77" s="17"/>
      <c r="D77" s="13">
        <v>24567</v>
      </c>
      <c r="E77" s="70">
        <v>250</v>
      </c>
      <c r="F77" s="14"/>
      <c r="G77" s="11"/>
      <c r="H77" s="67"/>
      <c r="I77" s="12"/>
      <c r="J77" s="61"/>
      <c r="K77" s="71"/>
      <c r="L77" s="62"/>
      <c r="M77" s="75"/>
      <c r="N77" s="73"/>
      <c r="O77" s="15"/>
    </row>
    <row r="78" spans="1:15" x14ac:dyDescent="0.25">
      <c r="A78" s="16">
        <v>24506</v>
      </c>
      <c r="B78" s="49">
        <v>400</v>
      </c>
      <c r="C78" s="17"/>
      <c r="D78" s="13">
        <v>24568</v>
      </c>
      <c r="E78" s="70">
        <v>500</v>
      </c>
      <c r="F78" s="14" t="s">
        <v>180</v>
      </c>
      <c r="G78" s="11"/>
      <c r="H78" s="67"/>
      <c r="I78" s="12"/>
      <c r="J78" s="61"/>
      <c r="K78" s="71"/>
      <c r="L78" s="62"/>
      <c r="M78" s="75"/>
      <c r="N78" s="73"/>
      <c r="O78" s="15"/>
    </row>
    <row r="79" spans="1:15" x14ac:dyDescent="0.25">
      <c r="A79" s="16">
        <v>24507</v>
      </c>
      <c r="B79" s="49">
        <v>600</v>
      </c>
      <c r="C79" s="17" t="s">
        <v>152</v>
      </c>
      <c r="D79" s="13">
        <v>24569</v>
      </c>
      <c r="E79" s="70">
        <v>400</v>
      </c>
      <c r="F79" s="14"/>
      <c r="G79" s="11"/>
      <c r="H79" s="67"/>
      <c r="I79" s="12"/>
      <c r="J79" s="61"/>
      <c r="K79" s="71"/>
      <c r="L79" s="62"/>
      <c r="M79" s="75"/>
      <c r="N79" s="73"/>
      <c r="O79" s="15"/>
    </row>
    <row r="80" spans="1:15" x14ac:dyDescent="0.25">
      <c r="A80" s="16"/>
      <c r="B80" s="49"/>
      <c r="C80" s="17" t="s">
        <v>52</v>
      </c>
      <c r="D80" s="13">
        <v>24570</v>
      </c>
      <c r="E80" s="70">
        <v>300</v>
      </c>
      <c r="F80" s="14"/>
      <c r="G80" s="11"/>
      <c r="H80" s="67"/>
      <c r="I80" s="12"/>
      <c r="J80" s="61"/>
      <c r="K80" s="71"/>
      <c r="L80" s="62"/>
      <c r="M80" s="75"/>
      <c r="N80" s="73"/>
      <c r="O80" s="15"/>
    </row>
    <row r="81" spans="1:15" x14ac:dyDescent="0.25">
      <c r="A81" s="16">
        <v>24508</v>
      </c>
      <c r="B81" s="49">
        <v>250</v>
      </c>
      <c r="C81" s="17"/>
      <c r="D81" s="13">
        <v>24571</v>
      </c>
      <c r="E81" s="70">
        <v>500</v>
      </c>
      <c r="F81" s="14" t="s">
        <v>122</v>
      </c>
      <c r="G81" s="11"/>
      <c r="H81" s="67"/>
      <c r="I81" s="12"/>
      <c r="J81" s="61"/>
      <c r="K81" s="71"/>
      <c r="L81" s="62"/>
      <c r="M81" s="75"/>
      <c r="N81" s="73"/>
      <c r="O81" s="15"/>
    </row>
    <row r="82" spans="1:15" x14ac:dyDescent="0.25">
      <c r="A82" s="16">
        <v>24509</v>
      </c>
      <c r="B82" s="49">
        <v>300</v>
      </c>
      <c r="C82" s="17" t="s">
        <v>122</v>
      </c>
      <c r="D82" s="13">
        <v>24572</v>
      </c>
      <c r="E82" s="70"/>
      <c r="F82" s="14" t="s">
        <v>183</v>
      </c>
      <c r="G82" s="11"/>
      <c r="H82" s="67"/>
      <c r="I82" s="12"/>
      <c r="J82" s="61"/>
      <c r="K82" s="71"/>
      <c r="L82" s="62"/>
      <c r="M82" s="75"/>
      <c r="N82" s="73"/>
      <c r="O82" s="15"/>
    </row>
    <row r="83" spans="1:15" x14ac:dyDescent="0.25">
      <c r="A83" s="16">
        <v>24510</v>
      </c>
      <c r="B83" s="49">
        <v>500</v>
      </c>
      <c r="C83" s="17" t="s">
        <v>122</v>
      </c>
      <c r="D83" s="13">
        <v>24573</v>
      </c>
      <c r="E83" s="70">
        <v>250</v>
      </c>
      <c r="F83" s="14" t="s">
        <v>72</v>
      </c>
      <c r="G83" s="11"/>
      <c r="H83" s="67"/>
      <c r="I83" s="12"/>
      <c r="J83" s="61"/>
      <c r="K83" s="71"/>
      <c r="L83" s="62"/>
      <c r="M83" s="75"/>
      <c r="N83" s="73"/>
      <c r="O83" s="15"/>
    </row>
    <row r="84" spans="1:15" x14ac:dyDescent="0.25">
      <c r="A84" s="16">
        <v>24511</v>
      </c>
      <c r="B84" s="49">
        <v>1000</v>
      </c>
      <c r="C84" s="17" t="s">
        <v>73</v>
      </c>
      <c r="D84" s="13">
        <v>24574</v>
      </c>
      <c r="E84" s="70">
        <v>300</v>
      </c>
      <c r="F84" s="14" t="s">
        <v>186</v>
      </c>
      <c r="G84" s="11"/>
      <c r="H84" s="67"/>
      <c r="I84" s="12"/>
      <c r="J84" s="61"/>
      <c r="K84" s="71"/>
      <c r="L84" s="62"/>
      <c r="M84" s="75"/>
      <c r="N84" s="73"/>
      <c r="O84" s="15"/>
    </row>
    <row r="85" spans="1:15" x14ac:dyDescent="0.25">
      <c r="A85" s="16"/>
      <c r="B85" s="49"/>
      <c r="C85" s="17" t="s">
        <v>64</v>
      </c>
      <c r="D85" s="13">
        <v>24575</v>
      </c>
      <c r="E85" s="70">
        <v>300</v>
      </c>
      <c r="F85" s="14" t="s">
        <v>187</v>
      </c>
      <c r="G85" s="11"/>
      <c r="H85" s="67"/>
      <c r="I85" s="12"/>
      <c r="J85" s="61"/>
      <c r="K85" s="71"/>
      <c r="L85" s="62"/>
      <c r="M85" s="75"/>
      <c r="N85" s="73"/>
      <c r="O85" s="15"/>
    </row>
    <row r="86" spans="1:15" x14ac:dyDescent="0.25">
      <c r="A86" s="16">
        <v>24512</v>
      </c>
      <c r="B86" s="49">
        <v>500</v>
      </c>
      <c r="C86" s="17"/>
      <c r="D86" s="13">
        <v>24576</v>
      </c>
      <c r="E86" s="70">
        <v>250</v>
      </c>
      <c r="F86" s="14" t="s">
        <v>122</v>
      </c>
      <c r="G86" s="11"/>
      <c r="H86" s="67"/>
      <c r="I86" s="12"/>
      <c r="J86" s="61"/>
      <c r="K86" s="71"/>
      <c r="L86" s="62"/>
      <c r="M86" s="75"/>
      <c r="N86" s="73"/>
      <c r="O86" s="15"/>
    </row>
    <row r="87" spans="1:15" x14ac:dyDescent="0.25">
      <c r="A87" s="16">
        <v>24513</v>
      </c>
      <c r="B87" s="49">
        <v>500</v>
      </c>
      <c r="C87" s="17"/>
      <c r="D87" s="13">
        <v>24577</v>
      </c>
      <c r="E87" s="70">
        <v>1000</v>
      </c>
      <c r="F87" s="14" t="s">
        <v>131</v>
      </c>
      <c r="G87" s="11"/>
      <c r="H87" s="67"/>
      <c r="I87" s="12"/>
      <c r="J87" s="61"/>
      <c r="K87" s="71"/>
      <c r="L87" s="62"/>
      <c r="M87" s="75"/>
      <c r="N87" s="73"/>
      <c r="O87" s="15"/>
    </row>
    <row r="88" spans="1:15" x14ac:dyDescent="0.25">
      <c r="A88" s="16">
        <v>24514</v>
      </c>
      <c r="B88" s="49">
        <v>500</v>
      </c>
      <c r="C88" s="17" t="s">
        <v>72</v>
      </c>
      <c r="D88" s="13"/>
      <c r="E88" s="70"/>
      <c r="F88" s="14" t="s">
        <v>64</v>
      </c>
      <c r="G88" s="11"/>
      <c r="H88" s="67"/>
      <c r="I88" s="12"/>
      <c r="J88" s="61"/>
      <c r="K88" s="71"/>
      <c r="L88" s="62"/>
      <c r="M88" s="75"/>
      <c r="N88" s="73"/>
      <c r="O88" s="15"/>
    </row>
    <row r="89" spans="1:15" x14ac:dyDescent="0.25">
      <c r="A89" s="16">
        <v>24515</v>
      </c>
      <c r="B89" s="49">
        <v>600</v>
      </c>
      <c r="C89" s="17" t="s">
        <v>131</v>
      </c>
      <c r="D89" s="13">
        <v>24578</v>
      </c>
      <c r="E89" s="70">
        <v>1000</v>
      </c>
      <c r="F89" s="14" t="s">
        <v>188</v>
      </c>
      <c r="G89" s="11"/>
      <c r="H89" s="67"/>
      <c r="I89" s="12"/>
      <c r="J89" s="61"/>
      <c r="K89" s="71"/>
      <c r="L89" s="62"/>
      <c r="M89" s="75"/>
      <c r="N89" s="73"/>
      <c r="O89" s="15"/>
    </row>
    <row r="90" spans="1:15" x14ac:dyDescent="0.25">
      <c r="A90" s="16"/>
      <c r="B90" s="49"/>
      <c r="C90" s="17" t="s">
        <v>18</v>
      </c>
      <c r="D90" s="13"/>
      <c r="E90" s="70"/>
      <c r="F90" s="14" t="s">
        <v>189</v>
      </c>
      <c r="G90" s="11"/>
      <c r="H90" s="67"/>
      <c r="I90" s="12"/>
      <c r="J90" s="61"/>
      <c r="K90" s="71"/>
      <c r="L90" s="62"/>
      <c r="M90" s="75"/>
      <c r="N90" s="73"/>
      <c r="O90" s="15"/>
    </row>
    <row r="91" spans="1:15" x14ac:dyDescent="0.25">
      <c r="A91" s="16"/>
      <c r="B91" s="49"/>
      <c r="C91" s="17"/>
      <c r="D91" s="13"/>
      <c r="E91" s="70"/>
      <c r="F91" s="14" t="s">
        <v>190</v>
      </c>
      <c r="G91" s="11"/>
      <c r="H91" s="67"/>
      <c r="I91" s="12"/>
      <c r="J91" s="61"/>
      <c r="K91" s="71"/>
      <c r="L91" s="62"/>
      <c r="M91" s="75"/>
      <c r="N91" s="73"/>
      <c r="O91" s="15"/>
    </row>
    <row r="92" spans="1:15" x14ac:dyDescent="0.25">
      <c r="A92" s="16"/>
      <c r="B92" s="49"/>
      <c r="C92" s="17"/>
      <c r="D92" s="13">
        <v>24579</v>
      </c>
      <c r="E92" s="70">
        <v>250</v>
      </c>
      <c r="F92" s="14"/>
      <c r="G92" s="11"/>
      <c r="H92" s="67"/>
      <c r="I92" s="12"/>
      <c r="J92" s="61"/>
      <c r="K92" s="71"/>
      <c r="L92" s="62"/>
      <c r="M92" s="75"/>
      <c r="N92" s="73"/>
      <c r="O92" s="15"/>
    </row>
    <row r="93" spans="1:15" x14ac:dyDescent="0.25">
      <c r="A93" s="16"/>
      <c r="B93" s="49"/>
      <c r="C93" s="17"/>
      <c r="D93" s="13">
        <v>24580</v>
      </c>
      <c r="E93" s="70">
        <v>350</v>
      </c>
      <c r="F93" s="14" t="s">
        <v>118</v>
      </c>
      <c r="G93" s="11"/>
      <c r="H93" s="67"/>
      <c r="I93" s="12"/>
      <c r="J93" s="61"/>
      <c r="K93" s="71"/>
      <c r="L93" s="62"/>
      <c r="M93" s="75"/>
      <c r="N93" s="73"/>
      <c r="O93" s="15"/>
    </row>
    <row r="94" spans="1:15" x14ac:dyDescent="0.25">
      <c r="A94" s="16"/>
      <c r="B94" s="49"/>
      <c r="C94" s="17"/>
      <c r="D94" s="13">
        <v>24581</v>
      </c>
      <c r="E94" s="70">
        <v>1500</v>
      </c>
      <c r="F94" s="14" t="s">
        <v>152</v>
      </c>
      <c r="G94" s="11"/>
      <c r="H94" s="67"/>
      <c r="I94" s="12"/>
      <c r="J94" s="61"/>
      <c r="K94" s="71"/>
      <c r="L94" s="62"/>
      <c r="M94" s="75"/>
      <c r="N94" s="73"/>
      <c r="O94" s="15"/>
    </row>
    <row r="95" spans="1:15" x14ac:dyDescent="0.25">
      <c r="A95" s="16"/>
      <c r="B95" s="49"/>
      <c r="C95" s="17"/>
      <c r="D95" s="13"/>
      <c r="E95" s="70"/>
      <c r="F95" s="14" t="s">
        <v>64</v>
      </c>
      <c r="G95" s="11"/>
      <c r="H95" s="67"/>
      <c r="I95" s="12"/>
      <c r="J95" s="61"/>
      <c r="K95" s="71"/>
      <c r="L95" s="62"/>
      <c r="M95" s="75"/>
      <c r="N95" s="73"/>
      <c r="O95" s="15"/>
    </row>
    <row r="96" spans="1:15" x14ac:dyDescent="0.25">
      <c r="A96" s="16"/>
      <c r="B96" s="49"/>
      <c r="C96" s="17"/>
      <c r="D96" s="13">
        <v>24582</v>
      </c>
      <c r="E96" s="70">
        <v>500</v>
      </c>
      <c r="F96" s="14"/>
      <c r="G96" s="11"/>
      <c r="H96" s="67"/>
      <c r="I96" s="12"/>
      <c r="J96" s="61"/>
      <c r="K96" s="71"/>
      <c r="L96" s="62"/>
      <c r="M96" s="75"/>
      <c r="N96" s="73"/>
      <c r="O96" s="15"/>
    </row>
    <row r="97" spans="1:15" x14ac:dyDescent="0.25">
      <c r="A97" s="16"/>
      <c r="B97" s="49"/>
      <c r="C97" s="17"/>
      <c r="D97" s="13">
        <v>24583</v>
      </c>
      <c r="E97" s="70">
        <v>1500</v>
      </c>
      <c r="F97" s="14" t="s">
        <v>176</v>
      </c>
      <c r="G97" s="11"/>
      <c r="H97" s="67"/>
      <c r="I97" s="12"/>
      <c r="J97" s="61"/>
      <c r="K97" s="71"/>
      <c r="L97" s="62"/>
      <c r="M97" s="75"/>
      <c r="N97" s="73"/>
      <c r="O97" s="15"/>
    </row>
    <row r="98" spans="1:15" x14ac:dyDescent="0.25">
      <c r="A98" s="16"/>
      <c r="B98" s="49"/>
      <c r="C98" s="17"/>
      <c r="D98" s="13"/>
      <c r="E98" s="70"/>
      <c r="F98" s="14" t="s">
        <v>64</v>
      </c>
      <c r="G98" s="11"/>
      <c r="H98" s="67"/>
      <c r="I98" s="12"/>
      <c r="J98" s="61"/>
      <c r="K98" s="71"/>
      <c r="L98" s="62"/>
      <c r="M98" s="75"/>
      <c r="N98" s="73"/>
      <c r="O98" s="15"/>
    </row>
    <row r="99" spans="1:15" x14ac:dyDescent="0.25">
      <c r="A99" s="16"/>
      <c r="B99" s="49"/>
      <c r="C99" s="17"/>
      <c r="D99" s="13">
        <v>24584</v>
      </c>
      <c r="E99" s="70">
        <v>1600</v>
      </c>
      <c r="F99" s="14" t="s">
        <v>191</v>
      </c>
      <c r="G99" s="11"/>
      <c r="H99" s="67"/>
      <c r="I99" s="12"/>
      <c r="J99" s="61"/>
      <c r="K99" s="71"/>
      <c r="L99" s="62"/>
      <c r="M99" s="75"/>
      <c r="N99" s="73"/>
      <c r="O99" s="15"/>
    </row>
    <row r="100" spans="1:15" x14ac:dyDescent="0.25">
      <c r="A100" s="16"/>
      <c r="B100" s="49"/>
      <c r="C100" s="17"/>
      <c r="D100" s="13"/>
      <c r="E100" s="70"/>
      <c r="F100" s="14" t="s">
        <v>192</v>
      </c>
      <c r="G100" s="11"/>
      <c r="H100" s="67"/>
      <c r="I100" s="12"/>
      <c r="J100" s="61"/>
      <c r="K100" s="71"/>
      <c r="L100" s="62"/>
      <c r="M100" s="75"/>
      <c r="N100" s="73"/>
      <c r="O100" s="15"/>
    </row>
    <row r="101" spans="1:15" x14ac:dyDescent="0.25">
      <c r="A101" s="16"/>
      <c r="B101" s="49"/>
      <c r="C101" s="17"/>
      <c r="D101" s="13">
        <v>24585</v>
      </c>
      <c r="E101" s="70">
        <v>400</v>
      </c>
      <c r="F101" s="14" t="s">
        <v>131</v>
      </c>
      <c r="G101" s="11"/>
      <c r="H101" s="67"/>
      <c r="I101" s="12"/>
      <c r="J101" s="61"/>
      <c r="K101" s="71"/>
      <c r="L101" s="62"/>
      <c r="M101" s="75"/>
      <c r="N101" s="73"/>
      <c r="O101" s="15"/>
    </row>
    <row r="102" spans="1:15" x14ac:dyDescent="0.25">
      <c r="A102" s="16"/>
      <c r="B102" s="49"/>
      <c r="C102" s="17"/>
      <c r="D102" s="13"/>
      <c r="E102" s="70"/>
      <c r="F102" s="14" t="s">
        <v>52</v>
      </c>
      <c r="G102" s="11"/>
      <c r="H102" s="67"/>
      <c r="I102" s="12"/>
      <c r="J102" s="61"/>
      <c r="K102" s="71"/>
      <c r="L102" s="62"/>
      <c r="M102" s="75"/>
      <c r="N102" s="73"/>
      <c r="O102" s="15"/>
    </row>
    <row r="103" spans="1:15" x14ac:dyDescent="0.25">
      <c r="A103" s="16"/>
      <c r="B103" s="49"/>
      <c r="C103" s="17"/>
      <c r="D103" s="13">
        <v>24586</v>
      </c>
      <c r="E103" s="70">
        <v>300</v>
      </c>
      <c r="F103" s="14" t="s">
        <v>193</v>
      </c>
      <c r="G103" s="11"/>
      <c r="H103" s="67"/>
      <c r="I103" s="12"/>
      <c r="J103" s="61"/>
      <c r="K103" s="71"/>
      <c r="L103" s="62"/>
      <c r="M103" s="75"/>
      <c r="N103" s="73"/>
      <c r="O103" s="15"/>
    </row>
    <row r="104" spans="1:15" x14ac:dyDescent="0.25">
      <c r="A104" s="16"/>
      <c r="B104" s="49"/>
      <c r="C104" s="17"/>
      <c r="D104" s="13"/>
      <c r="E104" s="70"/>
      <c r="F104" s="14"/>
      <c r="G104" s="11"/>
      <c r="H104" s="67"/>
      <c r="I104" s="12"/>
      <c r="J104" s="61"/>
      <c r="K104" s="71"/>
      <c r="L104" s="62"/>
      <c r="M104" s="75"/>
      <c r="N104" s="73"/>
      <c r="O104" s="15"/>
    </row>
    <row r="105" spans="1:15" x14ac:dyDescent="0.25">
      <c r="A105" s="16"/>
      <c r="B105" s="49"/>
      <c r="C105" s="17"/>
      <c r="D105" s="13"/>
      <c r="E105" s="70"/>
      <c r="F105" s="14"/>
      <c r="G105" s="11"/>
      <c r="H105" s="67"/>
      <c r="I105" s="12"/>
      <c r="J105" s="61"/>
      <c r="K105" s="71"/>
      <c r="L105" s="62"/>
      <c r="M105" s="75"/>
      <c r="N105" s="73"/>
      <c r="O105" s="15"/>
    </row>
    <row r="106" spans="1:15" x14ac:dyDescent="0.25">
      <c r="A106" s="16"/>
      <c r="B106" s="49"/>
      <c r="C106" s="17"/>
      <c r="D106" s="13"/>
      <c r="E106" s="70"/>
      <c r="F106" s="14"/>
      <c r="G106" s="11"/>
      <c r="H106" s="67"/>
      <c r="I106" s="12"/>
      <c r="J106" s="61"/>
      <c r="K106" s="71"/>
      <c r="L106" s="62"/>
      <c r="M106" s="75"/>
      <c r="N106" s="73"/>
      <c r="O106" s="15"/>
    </row>
    <row r="107" spans="1:15" x14ac:dyDescent="0.25">
      <c r="A107" s="16"/>
      <c r="B107" s="49"/>
      <c r="C107" s="17"/>
      <c r="D107" s="13"/>
      <c r="E107" s="70"/>
      <c r="F107" s="14"/>
      <c r="G107" s="11"/>
      <c r="H107" s="67"/>
      <c r="I107" s="12"/>
      <c r="J107" s="61"/>
      <c r="K107" s="71"/>
      <c r="L107" s="62"/>
      <c r="M107" s="75"/>
      <c r="N107" s="73"/>
      <c r="O107" s="15"/>
    </row>
    <row r="108" spans="1:15" x14ac:dyDescent="0.25">
      <c r="A108" s="16"/>
      <c r="B108" s="49"/>
      <c r="C108" s="17"/>
      <c r="D108" s="13"/>
      <c r="E108" s="70"/>
      <c r="F108" s="14"/>
      <c r="G108" s="11"/>
      <c r="H108" s="67"/>
      <c r="I108" s="12"/>
      <c r="J108" s="61"/>
      <c r="K108" s="71"/>
      <c r="L108" s="62"/>
      <c r="M108" s="75"/>
      <c r="N108" s="73"/>
      <c r="O108" s="15"/>
    </row>
    <row r="109" spans="1:15" x14ac:dyDescent="0.25">
      <c r="A109" s="16"/>
      <c r="B109" s="49"/>
      <c r="C109" s="17"/>
      <c r="D109" s="13"/>
      <c r="E109" s="70"/>
      <c r="F109" s="14"/>
      <c r="G109" s="11"/>
      <c r="H109" s="67"/>
      <c r="I109" s="12"/>
      <c r="J109" s="61"/>
      <c r="K109" s="71"/>
      <c r="L109" s="62"/>
      <c r="M109" s="75"/>
      <c r="N109" s="73"/>
      <c r="O109" s="15"/>
    </row>
    <row r="110" spans="1:15" x14ac:dyDescent="0.25">
      <c r="A110" s="16"/>
      <c r="B110" s="49"/>
      <c r="C110" s="17"/>
      <c r="D110" s="13"/>
      <c r="E110" s="70"/>
      <c r="F110" s="14"/>
      <c r="G110" s="11"/>
      <c r="H110" s="67"/>
      <c r="I110" s="12"/>
      <c r="J110" s="61"/>
      <c r="K110" s="71"/>
      <c r="L110" s="62"/>
      <c r="M110" s="75"/>
      <c r="N110" s="73"/>
      <c r="O110" s="15"/>
    </row>
    <row r="111" spans="1:15" x14ac:dyDescent="0.25">
      <c r="A111" s="16"/>
      <c r="B111" s="49"/>
      <c r="C111" s="17"/>
      <c r="D111" s="13"/>
      <c r="E111" s="70"/>
      <c r="F111" s="14"/>
      <c r="G111" s="11"/>
      <c r="H111" s="67"/>
      <c r="I111" s="12"/>
      <c r="J111" s="61"/>
      <c r="K111" s="71"/>
      <c r="L111" s="62"/>
      <c r="M111" s="75"/>
      <c r="N111" s="73"/>
      <c r="O111" s="15"/>
    </row>
    <row r="112" spans="1:15" x14ac:dyDescent="0.25">
      <c r="A112" s="16"/>
      <c r="B112" s="49"/>
      <c r="C112" s="17"/>
      <c r="D112" s="13"/>
      <c r="E112" s="70"/>
      <c r="F112" s="14"/>
      <c r="G112" s="11"/>
      <c r="H112" s="67"/>
      <c r="I112" s="12"/>
      <c r="J112" s="61"/>
      <c r="K112" s="71"/>
      <c r="L112" s="62"/>
      <c r="M112" s="75"/>
      <c r="N112" s="73"/>
      <c r="O112" s="15"/>
    </row>
    <row r="113" spans="1:15" x14ac:dyDescent="0.25">
      <c r="A113" s="16"/>
      <c r="B113" s="49"/>
      <c r="C113" s="17"/>
      <c r="D113" s="13"/>
      <c r="E113" s="70"/>
      <c r="F113" s="14"/>
      <c r="G113" s="11"/>
      <c r="H113" s="67"/>
      <c r="I113" s="12"/>
      <c r="J113" s="61"/>
      <c r="K113" s="71"/>
      <c r="L113" s="62"/>
      <c r="M113" s="75"/>
      <c r="N113" s="73"/>
      <c r="O113" s="15"/>
    </row>
    <row r="114" spans="1:15" x14ac:dyDescent="0.25">
      <c r="A114" s="26"/>
      <c r="B114" s="26"/>
      <c r="C114" s="58"/>
      <c r="D114" s="26"/>
      <c r="E114" s="58"/>
      <c r="F114" s="58"/>
      <c r="G114" s="26"/>
      <c r="H114" s="58"/>
      <c r="I114" s="58"/>
      <c r="J114" s="26"/>
      <c r="K114" s="58"/>
      <c r="L114" s="58"/>
      <c r="M114" s="58"/>
      <c r="N114" s="58"/>
      <c r="O114" s="58"/>
    </row>
    <row r="115" spans="1:15" x14ac:dyDescent="0.25">
      <c r="A115" s="26"/>
      <c r="B115" s="26"/>
      <c r="C115" s="58"/>
      <c r="D115" s="26"/>
      <c r="E115" s="58"/>
      <c r="F115" s="58"/>
      <c r="G115" s="26"/>
      <c r="H115" s="58"/>
      <c r="I115" s="58"/>
      <c r="J115" s="26"/>
      <c r="K115" s="58"/>
      <c r="L115" s="58"/>
      <c r="M115" s="58"/>
      <c r="N115" s="58"/>
      <c r="O115" s="58"/>
    </row>
    <row r="116" spans="1:15" x14ac:dyDescent="0.25">
      <c r="A116" s="26"/>
      <c r="B116" s="26"/>
      <c r="C116" s="58"/>
      <c r="D116" s="26"/>
      <c r="E116" s="58"/>
      <c r="F116" s="58"/>
      <c r="G116" s="26"/>
      <c r="H116" s="58"/>
      <c r="I116" s="58"/>
      <c r="J116" s="26"/>
      <c r="K116" s="58"/>
      <c r="L116" s="58"/>
      <c r="M116" s="58"/>
      <c r="N116" s="58"/>
      <c r="O116" s="58"/>
    </row>
    <row r="117" spans="1:15" x14ac:dyDescent="0.25">
      <c r="A117" s="26"/>
      <c r="B117" s="26"/>
      <c r="C117" s="58"/>
      <c r="D117" s="26"/>
      <c r="E117" s="58"/>
      <c r="F117" s="58"/>
      <c r="G117" s="26"/>
      <c r="H117" s="58"/>
      <c r="I117" s="58"/>
      <c r="J117" s="26"/>
      <c r="K117" s="58"/>
      <c r="L117" s="58"/>
      <c r="M117" s="58"/>
      <c r="N117" s="58"/>
      <c r="O117" s="58"/>
    </row>
    <row r="118" spans="1:15" x14ac:dyDescent="0.25">
      <c r="A118" s="26"/>
      <c r="B118" s="26"/>
      <c r="C118" s="58"/>
      <c r="D118" s="26"/>
      <c r="E118" s="58"/>
      <c r="F118" s="58"/>
      <c r="G118" s="26"/>
      <c r="H118" s="58"/>
      <c r="I118" s="58"/>
      <c r="J118" s="26"/>
      <c r="K118" s="58"/>
      <c r="L118" s="58"/>
      <c r="M118" s="58"/>
      <c r="N118" s="58"/>
      <c r="O118" s="58"/>
    </row>
    <row r="119" spans="1:15" x14ac:dyDescent="0.25">
      <c r="A119" s="26"/>
      <c r="B119" s="26"/>
      <c r="C119" s="58"/>
      <c r="D119" s="26"/>
      <c r="E119" s="58"/>
      <c r="F119" s="58"/>
      <c r="G119" s="26"/>
      <c r="H119" s="58"/>
      <c r="I119" s="58"/>
      <c r="J119" s="26"/>
      <c r="K119" s="58"/>
      <c r="L119" s="58"/>
      <c r="M119" s="58"/>
      <c r="N119" s="58"/>
      <c r="O119" s="58"/>
    </row>
    <row r="120" spans="1:15" x14ac:dyDescent="0.25">
      <c r="A120" s="26"/>
      <c r="B120" s="26"/>
      <c r="C120" s="58"/>
      <c r="D120" s="26"/>
      <c r="E120" s="58"/>
      <c r="F120" s="58"/>
      <c r="G120" s="26"/>
      <c r="H120" s="58"/>
      <c r="I120" s="58"/>
      <c r="J120" s="26"/>
      <c r="K120" s="58"/>
      <c r="L120" s="58"/>
      <c r="M120" s="58"/>
      <c r="N120" s="58"/>
      <c r="O120" s="58"/>
    </row>
    <row r="121" spans="1:15" x14ac:dyDescent="0.25">
      <c r="A121" s="26"/>
      <c r="B121" s="26"/>
      <c r="C121" s="58"/>
      <c r="D121" s="26"/>
      <c r="E121" s="58"/>
      <c r="F121" s="58"/>
      <c r="G121" s="26"/>
      <c r="H121" s="58"/>
      <c r="I121" s="58"/>
      <c r="J121" s="26"/>
      <c r="K121" s="58"/>
      <c r="L121" s="58"/>
      <c r="M121" s="58"/>
      <c r="N121" s="58"/>
      <c r="O121" s="58"/>
    </row>
    <row r="122" spans="1:15" x14ac:dyDescent="0.25">
      <c r="A122" s="26"/>
      <c r="B122" s="26"/>
      <c r="C122" s="58"/>
      <c r="D122" s="26"/>
      <c r="E122" s="58"/>
      <c r="F122" s="58"/>
      <c r="G122" s="26"/>
      <c r="H122" s="58"/>
      <c r="I122" s="58"/>
      <c r="J122" s="26"/>
      <c r="K122" s="58"/>
      <c r="L122" s="58"/>
      <c r="M122" s="58"/>
      <c r="N122" s="58"/>
      <c r="O122" s="58"/>
    </row>
    <row r="123" spans="1:15" x14ac:dyDescent="0.25">
      <c r="A123" s="26"/>
      <c r="B123" s="26"/>
      <c r="C123" s="58"/>
      <c r="D123" s="26"/>
      <c r="E123" s="58"/>
      <c r="F123" s="58"/>
      <c r="G123" s="26"/>
      <c r="H123" s="58"/>
      <c r="I123" s="58"/>
      <c r="J123" s="26"/>
      <c r="K123" s="58"/>
      <c r="L123" s="58"/>
      <c r="M123" s="58"/>
      <c r="N123" s="58"/>
      <c r="O123" s="58"/>
    </row>
    <row r="124" spans="1:15" x14ac:dyDescent="0.25">
      <c r="A124" s="26"/>
      <c r="B124" s="26"/>
      <c r="C124" s="58"/>
      <c r="D124" s="26"/>
      <c r="E124" s="58"/>
      <c r="F124" s="58"/>
      <c r="G124" s="26"/>
      <c r="H124" s="58"/>
      <c r="I124" s="58"/>
      <c r="J124" s="26"/>
      <c r="K124" s="58"/>
      <c r="L124" s="58"/>
      <c r="M124" s="58"/>
      <c r="N124" s="58"/>
      <c r="O124" s="58"/>
    </row>
    <row r="125" spans="1:15" x14ac:dyDescent="0.25">
      <c r="A125" s="26"/>
      <c r="B125" s="26"/>
      <c r="C125" s="58"/>
      <c r="D125" s="26"/>
      <c r="E125" s="58"/>
      <c r="F125" s="58"/>
      <c r="G125" s="26"/>
      <c r="H125" s="58"/>
      <c r="I125" s="58"/>
      <c r="J125" s="26"/>
      <c r="K125" s="58"/>
      <c r="L125" s="58"/>
      <c r="M125" s="58"/>
      <c r="N125" s="58"/>
      <c r="O125" s="58"/>
    </row>
    <row r="126" spans="1:15" x14ac:dyDescent="0.25">
      <c r="A126" s="26"/>
      <c r="B126" s="26"/>
      <c r="C126" s="58"/>
      <c r="D126" s="26"/>
      <c r="E126" s="58"/>
      <c r="F126" s="58"/>
      <c r="G126" s="26"/>
      <c r="H126" s="58"/>
      <c r="I126" s="58"/>
      <c r="J126" s="26"/>
      <c r="K126" s="58"/>
      <c r="L126" s="58"/>
      <c r="M126" s="58"/>
      <c r="N126" s="58"/>
      <c r="O126" s="58"/>
    </row>
    <row r="127" spans="1:15" x14ac:dyDescent="0.25">
      <c r="A127" s="26"/>
      <c r="B127" s="26"/>
      <c r="C127" s="58"/>
      <c r="D127" s="26"/>
      <c r="E127" s="58"/>
      <c r="F127" s="58"/>
      <c r="G127" s="26"/>
      <c r="H127" s="58"/>
      <c r="I127" s="58"/>
      <c r="J127" s="26"/>
      <c r="K127" s="58"/>
      <c r="L127" s="58"/>
      <c r="M127" s="58"/>
      <c r="N127" s="58"/>
      <c r="O127" s="58"/>
    </row>
    <row r="128" spans="1:15" x14ac:dyDescent="0.25">
      <c r="A128" s="26"/>
      <c r="B128" s="26"/>
      <c r="C128" s="58"/>
      <c r="D128" s="26"/>
      <c r="E128" s="58"/>
      <c r="F128" s="58"/>
      <c r="G128" s="26"/>
      <c r="H128" s="58"/>
      <c r="I128" s="58"/>
      <c r="J128" s="26"/>
      <c r="K128" s="58"/>
      <c r="L128" s="58"/>
      <c r="M128" s="58"/>
      <c r="N128" s="58"/>
      <c r="O128" s="58"/>
    </row>
    <row r="129" spans="1:15" x14ac:dyDescent="0.25">
      <c r="A129" s="26"/>
      <c r="B129" s="26"/>
      <c r="C129" s="58"/>
      <c r="D129" s="26"/>
      <c r="E129" s="58"/>
      <c r="F129" s="58"/>
      <c r="G129" s="26"/>
      <c r="H129" s="58"/>
      <c r="I129" s="58"/>
      <c r="J129" s="26"/>
      <c r="K129" s="58"/>
      <c r="L129" s="58"/>
      <c r="M129" s="58"/>
      <c r="N129" s="58"/>
      <c r="O129" s="58"/>
    </row>
    <row r="130" spans="1:15" x14ac:dyDescent="0.25">
      <c r="A130" s="26"/>
      <c r="B130" s="26"/>
      <c r="C130" s="58"/>
      <c r="D130" s="26"/>
      <c r="E130" s="58"/>
      <c r="F130" s="58"/>
      <c r="G130" s="26"/>
      <c r="H130" s="58"/>
      <c r="I130" s="58"/>
      <c r="J130" s="26"/>
      <c r="K130" s="58"/>
      <c r="L130" s="58"/>
      <c r="M130" s="58"/>
      <c r="N130" s="58"/>
      <c r="O130" s="58"/>
    </row>
    <row r="131" spans="1:15" x14ac:dyDescent="0.25">
      <c r="A131" s="26"/>
      <c r="B131" s="26"/>
      <c r="C131" s="58"/>
      <c r="D131" s="26"/>
      <c r="E131" s="58"/>
      <c r="F131" s="58"/>
      <c r="G131" s="26"/>
      <c r="H131" s="58"/>
      <c r="I131" s="58"/>
      <c r="J131" s="26"/>
      <c r="K131" s="58"/>
      <c r="L131" s="58"/>
      <c r="M131" s="58"/>
      <c r="N131" s="58"/>
      <c r="O131" s="58"/>
    </row>
    <row r="132" spans="1:15" x14ac:dyDescent="0.25">
      <c r="A132" s="26"/>
      <c r="B132" s="26"/>
      <c r="C132" s="58"/>
      <c r="D132" s="26"/>
      <c r="E132" s="58"/>
      <c r="F132" s="58"/>
      <c r="G132" s="26"/>
      <c r="H132" s="58"/>
      <c r="I132" s="58"/>
      <c r="J132" s="26"/>
      <c r="K132" s="58"/>
      <c r="L132" s="58"/>
      <c r="M132" s="58"/>
      <c r="N132" s="58"/>
      <c r="O132" s="58"/>
    </row>
    <row r="133" spans="1:15" x14ac:dyDescent="0.25">
      <c r="A133" s="26"/>
      <c r="B133" s="26"/>
      <c r="C133" s="58"/>
      <c r="D133" s="26"/>
      <c r="E133" s="58"/>
      <c r="F133" s="58"/>
      <c r="G133" s="26"/>
      <c r="H133" s="58"/>
      <c r="I133" s="58"/>
      <c r="J133" s="26"/>
      <c r="K133" s="58"/>
      <c r="L133" s="58"/>
      <c r="M133" s="58"/>
      <c r="N133" s="58"/>
      <c r="O133" s="58"/>
    </row>
    <row r="134" spans="1:15" x14ac:dyDescent="0.25">
      <c r="A134" s="26"/>
      <c r="B134" s="26"/>
      <c r="C134" s="58"/>
      <c r="D134" s="26"/>
      <c r="E134" s="58"/>
      <c r="F134" s="58"/>
      <c r="G134" s="26"/>
      <c r="H134" s="58"/>
      <c r="I134" s="58"/>
      <c r="J134" s="26"/>
      <c r="K134" s="58"/>
      <c r="L134" s="58"/>
      <c r="M134" s="58"/>
      <c r="N134" s="58"/>
      <c r="O134" s="58"/>
    </row>
    <row r="135" spans="1:15" x14ac:dyDescent="0.25">
      <c r="A135" s="26"/>
      <c r="B135" s="26"/>
      <c r="C135" s="58"/>
      <c r="D135" s="26"/>
      <c r="E135" s="58"/>
      <c r="F135" s="58"/>
      <c r="G135" s="26"/>
      <c r="H135" s="58"/>
      <c r="I135" s="58"/>
      <c r="J135" s="26"/>
      <c r="K135" s="58"/>
      <c r="L135" s="58"/>
      <c r="M135" s="58"/>
      <c r="N135" s="58"/>
      <c r="O135" s="58"/>
    </row>
    <row r="136" spans="1:15" x14ac:dyDescent="0.25">
      <c r="A136" s="26"/>
      <c r="B136" s="26"/>
      <c r="C136" s="58"/>
      <c r="D136" s="26"/>
      <c r="E136" s="58"/>
      <c r="F136" s="58"/>
      <c r="G136" s="26"/>
      <c r="H136" s="58"/>
      <c r="I136" s="58"/>
      <c r="J136" s="26"/>
      <c r="K136" s="58"/>
      <c r="L136" s="58"/>
      <c r="M136" s="58"/>
      <c r="N136" s="58"/>
      <c r="O136" s="58"/>
    </row>
    <row r="137" spans="1:15" x14ac:dyDescent="0.25">
      <c r="A137" s="26"/>
      <c r="B137" s="26"/>
      <c r="C137" s="58"/>
      <c r="D137" s="26"/>
      <c r="E137" s="58"/>
      <c r="F137" s="58"/>
      <c r="G137" s="26"/>
      <c r="H137" s="58"/>
      <c r="I137" s="58"/>
      <c r="J137" s="26"/>
      <c r="K137" s="58"/>
      <c r="L137" s="58"/>
      <c r="M137" s="58"/>
      <c r="N137" s="58"/>
      <c r="O137" s="58"/>
    </row>
    <row r="138" spans="1:15" x14ac:dyDescent="0.25">
      <c r="A138" s="26"/>
      <c r="B138" s="26"/>
      <c r="C138" s="58"/>
      <c r="D138" s="26"/>
      <c r="E138" s="58"/>
      <c r="F138" s="58"/>
      <c r="G138" s="26"/>
      <c r="H138" s="58"/>
      <c r="I138" s="58"/>
      <c r="J138" s="26"/>
      <c r="K138" s="58"/>
      <c r="L138" s="58"/>
      <c r="M138" s="58"/>
      <c r="N138" s="58"/>
      <c r="O138" s="58"/>
    </row>
    <row r="139" spans="1:15" x14ac:dyDescent="0.25">
      <c r="A139" s="26"/>
      <c r="B139" s="26"/>
      <c r="C139" s="58"/>
      <c r="D139" s="26"/>
      <c r="E139" s="58"/>
      <c r="F139" s="58"/>
      <c r="G139" s="26"/>
      <c r="H139" s="58"/>
      <c r="I139" s="58"/>
      <c r="J139" s="26"/>
      <c r="K139" s="58"/>
      <c r="L139" s="58"/>
      <c r="M139" s="58"/>
      <c r="N139" s="58"/>
      <c r="O139" s="58"/>
    </row>
    <row r="140" spans="1:15" x14ac:dyDescent="0.25">
      <c r="A140" s="26"/>
      <c r="B140" s="26"/>
      <c r="C140" s="58"/>
      <c r="D140" s="26"/>
      <c r="E140" s="58"/>
      <c r="F140" s="58"/>
      <c r="G140" s="26"/>
      <c r="H140" s="58"/>
      <c r="I140" s="58"/>
      <c r="J140" s="26"/>
      <c r="K140" s="58"/>
      <c r="L140" s="58"/>
      <c r="M140" s="58"/>
      <c r="N140" s="58"/>
      <c r="O140" s="58"/>
    </row>
    <row r="141" spans="1:15" x14ac:dyDescent="0.25">
      <c r="A141" s="26"/>
      <c r="B141" s="26"/>
      <c r="C141" s="58"/>
      <c r="D141" s="26"/>
      <c r="E141" s="58"/>
      <c r="F141" s="58"/>
      <c r="G141" s="26"/>
      <c r="H141" s="58"/>
      <c r="I141" s="58"/>
      <c r="J141" s="26"/>
      <c r="K141" s="58"/>
      <c r="L141" s="58"/>
      <c r="M141" s="58"/>
      <c r="N141" s="58"/>
      <c r="O141" s="58"/>
    </row>
    <row r="142" spans="1:15" x14ac:dyDescent="0.25">
      <c r="A142" s="26"/>
      <c r="B142" s="26"/>
      <c r="C142" s="58"/>
      <c r="D142" s="26"/>
      <c r="E142" s="58"/>
      <c r="F142" s="58"/>
      <c r="G142" s="26"/>
      <c r="H142" s="58"/>
      <c r="I142" s="58"/>
      <c r="J142" s="26"/>
      <c r="K142" s="58"/>
      <c r="L142" s="58"/>
      <c r="M142" s="58"/>
      <c r="N142" s="58"/>
      <c r="O142" s="58"/>
    </row>
    <row r="143" spans="1:15" x14ac:dyDescent="0.25">
      <c r="A143" s="26"/>
      <c r="B143" s="26"/>
      <c r="C143" s="58"/>
      <c r="D143" s="26"/>
      <c r="E143" s="58"/>
      <c r="F143" s="58"/>
      <c r="G143" s="26"/>
      <c r="H143" s="58"/>
      <c r="I143" s="58"/>
      <c r="J143" s="26"/>
      <c r="K143" s="58"/>
      <c r="L143" s="58"/>
      <c r="M143" s="58"/>
      <c r="N143" s="58"/>
      <c r="O143" s="58"/>
    </row>
    <row r="144" spans="1:15" x14ac:dyDescent="0.25">
      <c r="A144" s="26"/>
      <c r="B144" s="26"/>
      <c r="C144" s="58"/>
      <c r="D144" s="26"/>
      <c r="E144" s="58"/>
      <c r="F144" s="58"/>
      <c r="G144" s="26"/>
      <c r="H144" s="58"/>
      <c r="I144" s="58"/>
      <c r="J144" s="26"/>
      <c r="K144" s="58"/>
      <c r="L144" s="58"/>
      <c r="M144" s="58"/>
      <c r="N144" s="58"/>
      <c r="O144" s="58"/>
    </row>
    <row r="145" spans="1:15" x14ac:dyDescent="0.25">
      <c r="A145" s="26"/>
      <c r="B145" s="26"/>
      <c r="C145" s="58"/>
      <c r="D145" s="26"/>
      <c r="E145" s="58"/>
      <c r="F145" s="58"/>
      <c r="G145" s="26"/>
      <c r="H145" s="58"/>
      <c r="I145" s="58"/>
      <c r="J145" s="26"/>
      <c r="K145" s="58"/>
      <c r="L145" s="58"/>
      <c r="M145" s="58"/>
      <c r="N145" s="58"/>
      <c r="O145" s="58"/>
    </row>
    <row r="146" spans="1:15" x14ac:dyDescent="0.25">
      <c r="A146" s="26"/>
      <c r="B146" s="26"/>
      <c r="C146" s="58"/>
      <c r="D146" s="26"/>
      <c r="E146" s="58"/>
      <c r="F146" s="58"/>
      <c r="G146" s="26"/>
      <c r="H146" s="58"/>
      <c r="I146" s="58"/>
      <c r="J146" s="26"/>
      <c r="K146" s="58"/>
      <c r="L146" s="58"/>
      <c r="M146" s="58"/>
      <c r="N146" s="58"/>
      <c r="O146" s="58"/>
    </row>
    <row r="147" spans="1:15" x14ac:dyDescent="0.25">
      <c r="A147" s="26"/>
      <c r="B147" s="26"/>
      <c r="C147" s="58"/>
      <c r="D147" s="26"/>
      <c r="E147" s="58"/>
      <c r="F147" s="58"/>
      <c r="G147" s="26"/>
      <c r="H147" s="58"/>
      <c r="I147" s="58"/>
      <c r="J147" s="26"/>
      <c r="K147" s="58"/>
      <c r="L147" s="58"/>
      <c r="M147" s="58"/>
      <c r="N147" s="58"/>
      <c r="O147" s="58"/>
    </row>
    <row r="148" spans="1:15" x14ac:dyDescent="0.25">
      <c r="A148" s="26"/>
      <c r="B148" s="26"/>
      <c r="C148" s="58"/>
      <c r="D148" s="26"/>
      <c r="E148" s="58"/>
      <c r="F148" s="58"/>
      <c r="G148" s="26"/>
      <c r="H148" s="58"/>
      <c r="I148" s="58"/>
      <c r="J148" s="26"/>
      <c r="K148" s="58"/>
      <c r="L148" s="58"/>
      <c r="M148" s="58"/>
      <c r="N148" s="58"/>
      <c r="O148" s="58"/>
    </row>
    <row r="149" spans="1:15" x14ac:dyDescent="0.25">
      <c r="A149" s="26"/>
      <c r="B149" s="26"/>
      <c r="C149" s="58"/>
      <c r="D149" s="26"/>
      <c r="E149" s="58"/>
      <c r="F149" s="58"/>
      <c r="G149" s="26"/>
      <c r="H149" s="58"/>
      <c r="I149" s="58"/>
      <c r="J149" s="26"/>
      <c r="K149" s="58"/>
      <c r="L149" s="58"/>
      <c r="M149" s="58"/>
      <c r="N149" s="58"/>
      <c r="O149" s="58"/>
    </row>
    <row r="150" spans="1:15" x14ac:dyDescent="0.25">
      <c r="A150" s="26"/>
      <c r="B150" s="26"/>
      <c r="C150" s="58"/>
      <c r="D150" s="26"/>
      <c r="E150" s="58"/>
      <c r="F150" s="58"/>
      <c r="G150" s="26"/>
      <c r="H150" s="58"/>
      <c r="I150" s="58"/>
      <c r="J150" s="26"/>
      <c r="K150" s="58"/>
      <c r="L150" s="58"/>
      <c r="M150" s="58"/>
      <c r="N150" s="58"/>
      <c r="O150" s="58"/>
    </row>
    <row r="151" spans="1:15" x14ac:dyDescent="0.25">
      <c r="A151" s="26"/>
      <c r="B151" s="2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</row>
    <row r="152" spans="1:15" x14ac:dyDescent="0.25">
      <c r="A152" s="26"/>
      <c r="B152" s="2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</row>
    <row r="153" spans="1:15" x14ac:dyDescent="0.25">
      <c r="A153" s="26"/>
      <c r="B153" s="2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</row>
    <row r="154" spans="1:15" x14ac:dyDescent="0.25">
      <c r="A154" s="26"/>
      <c r="B154" s="2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</row>
    <row r="155" spans="1:15" x14ac:dyDescent="0.25">
      <c r="A155" s="26"/>
      <c r="B155" s="2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</row>
    <row r="156" spans="1:15" x14ac:dyDescent="0.25">
      <c r="A156" s="26"/>
      <c r="B156" s="2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</row>
    <row r="157" spans="1:15" x14ac:dyDescent="0.25">
      <c r="A157" s="26"/>
      <c r="B157" s="2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</row>
    <row r="158" spans="1:15" x14ac:dyDescent="0.25">
      <c r="A158" s="26"/>
      <c r="B158" s="2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</row>
    <row r="159" spans="1:15" x14ac:dyDescent="0.25">
      <c r="A159" s="26"/>
      <c r="B159" s="2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2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2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2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2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2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2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2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2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2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2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2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2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2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2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2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2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2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2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2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2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2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2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2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2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2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2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2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2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2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2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2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2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2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2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2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2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2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2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2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2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2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2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2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2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2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2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2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2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2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2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2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2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2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2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2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2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2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2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2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2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2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2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2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2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2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2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2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2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2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2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2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2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2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2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2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2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2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2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2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2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2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2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2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2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2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2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2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2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2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2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2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2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2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2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2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2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2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2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2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2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2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2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2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2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2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2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2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2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2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2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2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2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2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2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2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2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2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2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2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2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2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2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2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2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2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2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2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2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2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2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2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2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2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2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2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2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2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2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2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2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2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2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2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2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2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2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2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2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2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2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2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2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2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2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2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2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2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2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2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2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2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2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2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2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2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2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2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2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2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2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2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2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2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2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2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2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2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2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2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2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2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2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2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2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2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2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2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2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2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2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2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2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2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2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2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2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2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2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2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2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2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2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2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2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2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2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2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2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2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2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2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2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2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2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2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2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2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2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2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2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2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2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2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2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2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2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2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2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2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2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2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2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2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2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2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2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2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2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2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2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2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2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2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2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2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2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2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2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2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2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2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2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2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2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2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2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2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2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2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2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2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2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2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2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2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2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2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2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2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2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2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2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2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2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2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2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2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2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2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2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2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2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2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2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2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2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2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2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2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2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2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2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2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2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2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2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2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2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2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2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2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2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2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2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2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2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2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2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2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2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2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2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2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2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2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2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2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2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2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2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2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2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2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2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2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2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2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2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2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2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2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2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2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2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2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2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2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2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2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2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2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2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2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2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2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2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2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2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2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2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2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2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2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2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2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2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2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2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2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2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2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2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2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2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2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2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2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2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2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8" x14ac:dyDescent="0.25">
      <c r="A529" s="26"/>
      <c r="B529" s="2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8" x14ac:dyDescent="0.25">
      <c r="A530" s="26"/>
      <c r="B530" s="2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8" x14ac:dyDescent="0.25">
      <c r="A531" s="26"/>
      <c r="B531" s="2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8" x14ac:dyDescent="0.25">
      <c r="A532" s="26"/>
      <c r="B532" s="2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8" x14ac:dyDescent="0.25">
      <c r="A533" s="26"/>
      <c r="B533" s="2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8" x14ac:dyDescent="0.25">
      <c r="A534" s="26"/>
      <c r="B534" s="2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8" x14ac:dyDescent="0.25">
      <c r="D535" s="26"/>
      <c r="E535" s="58"/>
      <c r="F535" s="58"/>
      <c r="G535" s="26"/>
      <c r="H535" s="58"/>
      <c r="I535" s="58"/>
    </row>
    <row r="536" spans="1:18" x14ac:dyDescent="0.25">
      <c r="G536" s="26"/>
      <c r="H536" s="58"/>
      <c r="I536" s="58"/>
      <c r="R536" t="s">
        <v>14</v>
      </c>
    </row>
    <row r="537" spans="1:18" x14ac:dyDescent="0.25">
      <c r="G537" s="26"/>
      <c r="H537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35"/>
  <sheetViews>
    <sheetView topLeftCell="C5" zoomScale="98" zoomScaleNormal="98" workbookViewId="0">
      <pane ySplit="3" topLeftCell="A47" activePane="bottomLeft" state="frozen"/>
      <selection activeCell="A5" sqref="A5"/>
      <selection pane="bottomLeft" activeCell="N64" sqref="N64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5.7109375" customWidth="1"/>
    <col min="13" max="13" width="7.7109375" style="6" customWidth="1"/>
    <col min="14" max="14" width="8.7109375" customWidth="1"/>
    <col min="15" max="15" width="23.7109375" customWidth="1"/>
    <col min="16" max="16" width="1" customWidth="1"/>
    <col min="17" max="17" width="9.85546875" customWidth="1"/>
    <col min="18" max="18" width="13.7109375" customWidth="1"/>
  </cols>
  <sheetData>
    <row r="1" spans="1:18" ht="15.75" x14ac:dyDescent="0.25">
      <c r="A1" s="146" t="s">
        <v>10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36" t="s">
        <v>11</v>
      </c>
      <c r="M1" s="136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37" t="s">
        <v>8</v>
      </c>
      <c r="D3" s="137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48" t="s">
        <v>0</v>
      </c>
      <c r="B5" s="148"/>
      <c r="C5" s="148"/>
      <c r="D5" s="149" t="s">
        <v>4</v>
      </c>
      <c r="E5" s="149"/>
      <c r="F5" s="149"/>
      <c r="G5" s="150" t="s">
        <v>5</v>
      </c>
      <c r="H5" s="150"/>
      <c r="I5" s="150"/>
      <c r="J5" s="151" t="s">
        <v>6</v>
      </c>
      <c r="K5" s="151"/>
      <c r="L5" s="151"/>
      <c r="M5" s="152" t="s">
        <v>12</v>
      </c>
      <c r="N5" s="152"/>
      <c r="O5" s="152"/>
      <c r="Q5" s="142" t="s">
        <v>13</v>
      </c>
      <c r="R5" s="142"/>
    </row>
    <row r="6" spans="1:18" x14ac:dyDescent="0.25">
      <c r="A6" s="8">
        <f>SUBTOTAL(3,A8:A121)</f>
        <v>83</v>
      </c>
      <c r="B6" s="8">
        <f>SUBTOTAL(9,B8:B121)</f>
        <v>51850</v>
      </c>
      <c r="C6" s="35">
        <v>44318</v>
      </c>
      <c r="D6" s="8">
        <f>SUBTOTAL(3,D8:D119)</f>
        <v>36</v>
      </c>
      <c r="E6" s="1">
        <f>SUBTOTAL(9,E8:E119)</f>
        <v>21100</v>
      </c>
      <c r="F6" s="38">
        <v>44325</v>
      </c>
      <c r="G6" s="8">
        <f>SUBTOTAL(3,G8:G120)</f>
        <v>28</v>
      </c>
      <c r="H6" s="1">
        <f>SUBTOTAL(9,H8:H120)</f>
        <v>13850</v>
      </c>
      <c r="I6" s="39">
        <v>44332</v>
      </c>
      <c r="J6" s="8">
        <f>SUBTOTAL(3,J8:J110)</f>
        <v>28</v>
      </c>
      <c r="K6" s="1">
        <f>SUBTOTAL(9,K8:K110)</f>
        <v>14350</v>
      </c>
      <c r="L6" s="63">
        <v>44339</v>
      </c>
      <c r="M6" s="8">
        <f>SUBTOTAL(3,M8:M110)</f>
        <v>38</v>
      </c>
      <c r="N6" s="1">
        <f>SUBTOTAL(9,N8:N110)</f>
        <v>23200</v>
      </c>
      <c r="O6" s="81">
        <v>44347</v>
      </c>
      <c r="Q6" s="30">
        <f>+A6+D6+G6+J6+M6</f>
        <v>213</v>
      </c>
      <c r="R6" s="29">
        <f>+B6+E6+H6+K6+N6</f>
        <v>124350</v>
      </c>
    </row>
    <row r="7" spans="1:18" x14ac:dyDescent="0.25">
      <c r="A7" s="36" t="s">
        <v>1</v>
      </c>
      <c r="B7" s="36" t="s">
        <v>3</v>
      </c>
      <c r="C7" s="36" t="s">
        <v>2</v>
      </c>
      <c r="D7" s="37" t="s">
        <v>1</v>
      </c>
      <c r="E7" s="37" t="s">
        <v>3</v>
      </c>
      <c r="F7" s="37" t="s">
        <v>2</v>
      </c>
      <c r="G7" s="40" t="s">
        <v>1</v>
      </c>
      <c r="H7" s="40" t="s">
        <v>3</v>
      </c>
      <c r="I7" s="40" t="s">
        <v>2</v>
      </c>
      <c r="J7" s="60" t="s">
        <v>1</v>
      </c>
      <c r="K7" s="60" t="s">
        <v>3</v>
      </c>
      <c r="L7" s="60" t="s">
        <v>2</v>
      </c>
      <c r="M7" s="92" t="s">
        <v>1</v>
      </c>
      <c r="N7" s="92" t="s">
        <v>3</v>
      </c>
      <c r="O7" s="92" t="s">
        <v>2</v>
      </c>
      <c r="Q7" s="28" t="s">
        <v>9</v>
      </c>
      <c r="R7" s="28" t="s">
        <v>3</v>
      </c>
    </row>
    <row r="8" spans="1:18" x14ac:dyDescent="0.25">
      <c r="A8" s="16">
        <v>24669</v>
      </c>
      <c r="B8" s="49">
        <v>1000</v>
      </c>
      <c r="C8" s="17" t="s">
        <v>131</v>
      </c>
      <c r="D8" s="13">
        <v>24752</v>
      </c>
      <c r="E8" s="70">
        <v>600</v>
      </c>
      <c r="F8" s="14" t="s">
        <v>159</v>
      </c>
      <c r="G8" s="11">
        <v>24788</v>
      </c>
      <c r="H8" s="67">
        <v>100</v>
      </c>
      <c r="I8" s="12" t="s">
        <v>91</v>
      </c>
      <c r="J8" s="61">
        <v>24816</v>
      </c>
      <c r="K8" s="71">
        <v>350</v>
      </c>
      <c r="L8" s="62" t="s">
        <v>220</v>
      </c>
      <c r="M8" s="75">
        <v>24844</v>
      </c>
      <c r="N8" s="73">
        <v>300</v>
      </c>
      <c r="O8" s="15"/>
      <c r="Q8" s="32"/>
      <c r="R8" s="32"/>
    </row>
    <row r="9" spans="1:18" x14ac:dyDescent="0.25">
      <c r="A9" s="16"/>
      <c r="B9" s="49"/>
      <c r="C9" s="17" t="s">
        <v>64</v>
      </c>
      <c r="D9" s="13"/>
      <c r="E9" s="70"/>
      <c r="F9" s="14" t="s">
        <v>18</v>
      </c>
      <c r="G9" s="11">
        <v>24789</v>
      </c>
      <c r="H9" s="67">
        <v>250</v>
      </c>
      <c r="I9" s="12" t="s">
        <v>121</v>
      </c>
      <c r="J9" s="61">
        <v>24817</v>
      </c>
      <c r="K9" s="71">
        <v>500</v>
      </c>
      <c r="L9" s="62" t="s">
        <v>159</v>
      </c>
      <c r="M9" s="75">
        <v>24845</v>
      </c>
      <c r="N9" s="73">
        <v>500</v>
      </c>
      <c r="O9" s="15" t="s">
        <v>131</v>
      </c>
    </row>
    <row r="10" spans="1:18" x14ac:dyDescent="0.25">
      <c r="A10" s="16">
        <v>24670</v>
      </c>
      <c r="B10" s="49">
        <v>250</v>
      </c>
      <c r="C10" s="17" t="s">
        <v>204</v>
      </c>
      <c r="D10" s="13">
        <v>24753</v>
      </c>
      <c r="E10" s="70">
        <v>500</v>
      </c>
      <c r="F10" s="14" t="s">
        <v>121</v>
      </c>
      <c r="G10" s="11">
        <v>24790</v>
      </c>
      <c r="H10" s="67">
        <v>500</v>
      </c>
      <c r="I10" s="12"/>
      <c r="J10" s="61"/>
      <c r="K10" s="71"/>
      <c r="L10" s="62" t="s">
        <v>16</v>
      </c>
      <c r="M10" s="75"/>
      <c r="N10" s="73"/>
      <c r="O10" s="15" t="s">
        <v>16</v>
      </c>
    </row>
    <row r="11" spans="1:18" x14ac:dyDescent="0.25">
      <c r="A11" s="16">
        <v>24671</v>
      </c>
      <c r="B11" s="49">
        <v>1000</v>
      </c>
      <c r="C11" s="17" t="s">
        <v>131</v>
      </c>
      <c r="D11" s="13">
        <v>24754</v>
      </c>
      <c r="E11" s="70">
        <v>2000</v>
      </c>
      <c r="F11" s="14" t="s">
        <v>134</v>
      </c>
      <c r="G11" s="11">
        <v>24791</v>
      </c>
      <c r="H11" s="67">
        <v>500</v>
      </c>
      <c r="I11" s="12"/>
      <c r="J11" s="61">
        <v>24818</v>
      </c>
      <c r="K11" s="71">
        <v>550</v>
      </c>
      <c r="L11" s="62" t="s">
        <v>221</v>
      </c>
      <c r="M11" s="75">
        <v>24846</v>
      </c>
      <c r="N11" s="73">
        <v>1500</v>
      </c>
      <c r="O11" s="15" t="s">
        <v>152</v>
      </c>
    </row>
    <row r="12" spans="1:18" x14ac:dyDescent="0.25">
      <c r="A12" s="16"/>
      <c r="B12" s="49"/>
      <c r="C12" s="17" t="s">
        <v>64</v>
      </c>
      <c r="D12" s="13"/>
      <c r="E12" s="70"/>
      <c r="F12" s="14" t="s">
        <v>64</v>
      </c>
      <c r="G12" s="11">
        <v>24792</v>
      </c>
      <c r="H12" s="67">
        <v>500</v>
      </c>
      <c r="I12" s="12" t="s">
        <v>121</v>
      </c>
      <c r="J12" s="61">
        <v>24819</v>
      </c>
      <c r="K12" s="71">
        <v>500</v>
      </c>
      <c r="L12" s="62" t="s">
        <v>121</v>
      </c>
      <c r="M12" s="75"/>
      <c r="N12" s="73"/>
      <c r="O12" s="15" t="s">
        <v>64</v>
      </c>
    </row>
    <row r="13" spans="1:18" x14ac:dyDescent="0.25">
      <c r="A13" s="16">
        <v>24672</v>
      </c>
      <c r="B13" s="49">
        <v>1000</v>
      </c>
      <c r="C13" s="17" t="s">
        <v>131</v>
      </c>
      <c r="D13" s="13">
        <v>24755</v>
      </c>
      <c r="E13" s="70">
        <v>600</v>
      </c>
      <c r="F13" s="14"/>
      <c r="G13" s="11">
        <v>24793</v>
      </c>
      <c r="H13" s="67">
        <v>500</v>
      </c>
      <c r="I13" s="12" t="s">
        <v>121</v>
      </c>
      <c r="J13" s="61">
        <v>24820</v>
      </c>
      <c r="K13" s="71">
        <v>500</v>
      </c>
      <c r="L13" s="62"/>
      <c r="M13" s="75">
        <v>24847</v>
      </c>
      <c r="N13" s="73">
        <v>650</v>
      </c>
      <c r="O13" s="15" t="s">
        <v>159</v>
      </c>
    </row>
    <row r="14" spans="1:18" x14ac:dyDescent="0.25">
      <c r="A14" s="16"/>
      <c r="B14" s="49"/>
      <c r="C14" s="17" t="s">
        <v>64</v>
      </c>
      <c r="D14" s="13">
        <v>24756</v>
      </c>
      <c r="E14" s="70">
        <v>300</v>
      </c>
      <c r="F14" s="14"/>
      <c r="G14" s="11">
        <v>24794</v>
      </c>
      <c r="H14" s="67">
        <v>500</v>
      </c>
      <c r="I14" s="12"/>
      <c r="J14" s="61">
        <v>24821</v>
      </c>
      <c r="K14" s="71">
        <v>1000</v>
      </c>
      <c r="L14" s="62" t="s">
        <v>196</v>
      </c>
      <c r="M14" s="75"/>
      <c r="N14" s="73"/>
      <c r="O14" s="15" t="s">
        <v>225</v>
      </c>
    </row>
    <row r="15" spans="1:18" x14ac:dyDescent="0.25">
      <c r="A15" s="16">
        <v>24673</v>
      </c>
      <c r="B15" s="49">
        <v>500</v>
      </c>
      <c r="C15" s="17" t="s">
        <v>121</v>
      </c>
      <c r="D15" s="13">
        <v>24757</v>
      </c>
      <c r="E15" s="70">
        <v>1000</v>
      </c>
      <c r="F15" s="14" t="s">
        <v>196</v>
      </c>
      <c r="G15" s="11">
        <v>24795</v>
      </c>
      <c r="H15" s="67">
        <v>800</v>
      </c>
      <c r="I15" s="12" t="s">
        <v>196</v>
      </c>
      <c r="J15" s="61"/>
      <c r="K15" s="71"/>
      <c r="L15" s="62" t="s">
        <v>64</v>
      </c>
      <c r="M15" s="75"/>
      <c r="N15" s="73"/>
      <c r="O15" s="93" t="s">
        <v>226</v>
      </c>
    </row>
    <row r="16" spans="1:18" x14ac:dyDescent="0.25">
      <c r="A16" s="16">
        <v>24674</v>
      </c>
      <c r="B16" s="49">
        <v>500</v>
      </c>
      <c r="C16" s="17" t="s">
        <v>121</v>
      </c>
      <c r="D16" s="13"/>
      <c r="E16" s="70"/>
      <c r="F16" s="14" t="s">
        <v>64</v>
      </c>
      <c r="G16" s="11"/>
      <c r="H16" s="67"/>
      <c r="I16" s="12" t="s">
        <v>17</v>
      </c>
      <c r="J16" s="61">
        <v>24822</v>
      </c>
      <c r="K16" s="71">
        <v>400</v>
      </c>
      <c r="L16" s="62"/>
      <c r="M16" s="75">
        <v>24848</v>
      </c>
      <c r="N16" s="73">
        <v>150</v>
      </c>
      <c r="O16" s="15" t="s">
        <v>227</v>
      </c>
    </row>
    <row r="17" spans="1:15" x14ac:dyDescent="0.25">
      <c r="A17" s="16">
        <v>24675</v>
      </c>
      <c r="B17" s="49">
        <v>500</v>
      </c>
      <c r="C17" s="17"/>
      <c r="D17" s="13">
        <v>24758</v>
      </c>
      <c r="E17" s="70">
        <v>400</v>
      </c>
      <c r="F17" s="33" t="s">
        <v>131</v>
      </c>
      <c r="G17" s="11">
        <v>24796</v>
      </c>
      <c r="H17" s="67">
        <v>500</v>
      </c>
      <c r="I17" s="12"/>
      <c r="J17" s="61">
        <v>24823</v>
      </c>
      <c r="K17" s="71">
        <v>500</v>
      </c>
      <c r="L17" s="88"/>
      <c r="M17" s="75">
        <v>24849</v>
      </c>
      <c r="N17" s="73">
        <v>1800</v>
      </c>
      <c r="O17" s="15" t="s">
        <v>152</v>
      </c>
    </row>
    <row r="18" spans="1:15" x14ac:dyDescent="0.25">
      <c r="A18" s="16">
        <v>24676</v>
      </c>
      <c r="B18" s="49">
        <v>500</v>
      </c>
      <c r="C18" s="17"/>
      <c r="D18" s="13"/>
      <c r="E18" s="70"/>
      <c r="F18" s="14" t="s">
        <v>52</v>
      </c>
      <c r="G18" s="11">
        <v>24797</v>
      </c>
      <c r="H18" s="67">
        <v>500</v>
      </c>
      <c r="I18" s="94" t="s">
        <v>196</v>
      </c>
      <c r="J18" s="61">
        <v>24824</v>
      </c>
      <c r="K18" s="71">
        <v>350</v>
      </c>
      <c r="L18" s="62" t="s">
        <v>118</v>
      </c>
      <c r="M18" s="75"/>
      <c r="N18" s="73"/>
      <c r="O18" s="15" t="s">
        <v>52</v>
      </c>
    </row>
    <row r="19" spans="1:15" x14ac:dyDescent="0.25">
      <c r="A19" s="16">
        <v>24677</v>
      </c>
      <c r="B19" s="49">
        <v>500</v>
      </c>
      <c r="C19" s="17"/>
      <c r="D19" s="13">
        <v>24759</v>
      </c>
      <c r="E19" s="70">
        <v>500</v>
      </c>
      <c r="F19" s="14"/>
      <c r="G19" s="11"/>
      <c r="H19" s="67"/>
      <c r="I19" s="12" t="s">
        <v>16</v>
      </c>
      <c r="J19" s="61">
        <v>24825</v>
      </c>
      <c r="K19" s="71">
        <v>300</v>
      </c>
      <c r="L19" s="62" t="s">
        <v>222</v>
      </c>
      <c r="M19" s="75"/>
      <c r="N19" s="73"/>
      <c r="O19" s="15" t="s">
        <v>228</v>
      </c>
    </row>
    <row r="20" spans="1:15" x14ac:dyDescent="0.25">
      <c r="A20" s="16">
        <v>24678</v>
      </c>
      <c r="B20" s="49">
        <v>500</v>
      </c>
      <c r="C20" s="17"/>
      <c r="D20" s="13">
        <v>24760</v>
      </c>
      <c r="E20" s="70">
        <v>250</v>
      </c>
      <c r="F20" s="14"/>
      <c r="G20" s="11">
        <v>24798</v>
      </c>
      <c r="H20" s="67">
        <v>400</v>
      </c>
      <c r="I20" s="12"/>
      <c r="J20" s="61">
        <v>24826</v>
      </c>
      <c r="K20" s="71">
        <v>500</v>
      </c>
      <c r="L20" s="62"/>
      <c r="M20" s="75">
        <v>24850</v>
      </c>
      <c r="N20" s="73">
        <v>300</v>
      </c>
      <c r="O20" s="15" t="s">
        <v>229</v>
      </c>
    </row>
    <row r="21" spans="1:15" x14ac:dyDescent="0.25">
      <c r="A21" s="16">
        <v>24679</v>
      </c>
      <c r="B21" s="49">
        <v>500</v>
      </c>
      <c r="C21" s="17"/>
      <c r="D21" s="13">
        <v>24761</v>
      </c>
      <c r="E21" s="70">
        <v>600</v>
      </c>
      <c r="F21" s="14" t="s">
        <v>159</v>
      </c>
      <c r="G21" s="11">
        <v>24799</v>
      </c>
      <c r="H21" s="67">
        <v>300</v>
      </c>
      <c r="I21" s="12"/>
      <c r="J21" s="61">
        <v>24827</v>
      </c>
      <c r="K21" s="71">
        <v>500</v>
      </c>
      <c r="L21" s="62" t="s">
        <v>121</v>
      </c>
      <c r="M21" s="75">
        <v>24851</v>
      </c>
      <c r="N21" s="73">
        <v>500</v>
      </c>
      <c r="O21" s="15" t="s">
        <v>196</v>
      </c>
    </row>
    <row r="22" spans="1:15" x14ac:dyDescent="0.25">
      <c r="A22" s="16">
        <v>24680</v>
      </c>
      <c r="B22" s="49">
        <v>500</v>
      </c>
      <c r="C22" s="17" t="s">
        <v>121</v>
      </c>
      <c r="D22" s="13"/>
      <c r="E22" s="70"/>
      <c r="F22" s="14" t="s">
        <v>18</v>
      </c>
      <c r="G22" s="11">
        <v>24800</v>
      </c>
      <c r="H22" s="67">
        <v>400</v>
      </c>
      <c r="I22" s="12"/>
      <c r="J22" s="61">
        <v>24828</v>
      </c>
      <c r="K22" s="71">
        <v>400</v>
      </c>
      <c r="L22" s="62"/>
      <c r="M22" s="75"/>
      <c r="N22" s="73"/>
      <c r="O22" s="127" t="s">
        <v>64</v>
      </c>
    </row>
    <row r="23" spans="1:15" x14ac:dyDescent="0.25">
      <c r="A23" s="16">
        <v>24681</v>
      </c>
      <c r="B23" s="49">
        <v>500</v>
      </c>
      <c r="C23" s="17"/>
      <c r="D23" s="13">
        <v>24762</v>
      </c>
      <c r="E23" s="70">
        <v>200</v>
      </c>
      <c r="F23" s="14" t="s">
        <v>121</v>
      </c>
      <c r="G23" s="11">
        <v>24801</v>
      </c>
      <c r="H23" s="67">
        <v>400</v>
      </c>
      <c r="I23" s="12"/>
      <c r="J23" s="61">
        <v>24829</v>
      </c>
      <c r="K23" s="71">
        <v>300</v>
      </c>
      <c r="L23" s="62"/>
      <c r="M23" s="75">
        <v>24852</v>
      </c>
      <c r="N23" s="73">
        <v>1000</v>
      </c>
      <c r="O23" s="15" t="s">
        <v>202</v>
      </c>
    </row>
    <row r="24" spans="1:15" x14ac:dyDescent="0.25">
      <c r="A24" s="16">
        <v>24682</v>
      </c>
      <c r="B24" s="49">
        <v>500</v>
      </c>
      <c r="C24" s="17"/>
      <c r="D24" s="13">
        <v>24763</v>
      </c>
      <c r="E24" s="70">
        <v>500</v>
      </c>
      <c r="F24" s="14" t="s">
        <v>121</v>
      </c>
      <c r="G24" s="11">
        <v>24802</v>
      </c>
      <c r="H24" s="67">
        <v>500</v>
      </c>
      <c r="I24" s="12"/>
      <c r="J24" s="61">
        <v>24830</v>
      </c>
      <c r="K24" s="71">
        <v>600</v>
      </c>
      <c r="L24" s="62" t="s">
        <v>223</v>
      </c>
      <c r="M24" s="75"/>
      <c r="N24" s="73"/>
      <c r="O24" s="127" t="s">
        <v>16</v>
      </c>
    </row>
    <row r="25" spans="1:15" x14ac:dyDescent="0.25">
      <c r="A25" s="16">
        <v>24683</v>
      </c>
      <c r="B25" s="49">
        <v>400</v>
      </c>
      <c r="C25" s="17" t="s">
        <v>205</v>
      </c>
      <c r="D25" s="13">
        <v>24764</v>
      </c>
      <c r="E25" s="70">
        <v>300</v>
      </c>
      <c r="F25" s="14"/>
      <c r="G25" s="11">
        <v>24803</v>
      </c>
      <c r="H25" s="67">
        <v>350</v>
      </c>
      <c r="I25" s="12"/>
      <c r="J25" s="61"/>
      <c r="K25" s="71"/>
      <c r="L25" s="62" t="s">
        <v>18</v>
      </c>
      <c r="M25" s="75">
        <v>24853</v>
      </c>
      <c r="N25" s="73">
        <v>250</v>
      </c>
      <c r="O25" s="15" t="s">
        <v>121</v>
      </c>
    </row>
    <row r="26" spans="1:15" x14ac:dyDescent="0.25">
      <c r="A26" s="16">
        <v>24684</v>
      </c>
      <c r="B26" s="49"/>
      <c r="C26" s="17" t="s">
        <v>20</v>
      </c>
      <c r="D26" s="13">
        <v>24765</v>
      </c>
      <c r="E26" s="70">
        <v>500</v>
      </c>
      <c r="F26" s="14" t="s">
        <v>121</v>
      </c>
      <c r="G26" s="11">
        <v>24804</v>
      </c>
      <c r="H26" s="67">
        <v>50</v>
      </c>
      <c r="I26" s="12" t="s">
        <v>19</v>
      </c>
      <c r="J26" s="61">
        <v>24831</v>
      </c>
      <c r="K26" s="71">
        <v>500</v>
      </c>
      <c r="L26" s="62"/>
      <c r="M26" s="75">
        <v>24854</v>
      </c>
      <c r="N26" s="73">
        <v>500</v>
      </c>
      <c r="O26" s="15" t="s">
        <v>196</v>
      </c>
    </row>
    <row r="27" spans="1:15" x14ac:dyDescent="0.25">
      <c r="A27" s="16">
        <v>24685</v>
      </c>
      <c r="B27" s="49">
        <v>600</v>
      </c>
      <c r="C27" s="17"/>
      <c r="D27" s="13">
        <v>24766</v>
      </c>
      <c r="E27" s="70">
        <v>800</v>
      </c>
      <c r="F27" s="14" t="s">
        <v>159</v>
      </c>
      <c r="G27" s="11">
        <v>24805</v>
      </c>
      <c r="H27" s="67">
        <v>500</v>
      </c>
      <c r="I27" s="12"/>
      <c r="J27" s="61">
        <v>24832</v>
      </c>
      <c r="K27" s="71">
        <v>500</v>
      </c>
      <c r="L27" s="62"/>
      <c r="M27" s="75"/>
      <c r="N27" s="73"/>
      <c r="O27" s="15" t="s">
        <v>16</v>
      </c>
    </row>
    <row r="28" spans="1:15" x14ac:dyDescent="0.25">
      <c r="A28" s="16">
        <v>24686</v>
      </c>
      <c r="B28" s="49">
        <v>1000</v>
      </c>
      <c r="C28" s="17" t="s">
        <v>196</v>
      </c>
      <c r="D28" s="13"/>
      <c r="E28" s="70"/>
      <c r="F28" s="14" t="s">
        <v>17</v>
      </c>
      <c r="G28" s="11">
        <v>24806</v>
      </c>
      <c r="H28" s="67">
        <v>500</v>
      </c>
      <c r="I28" s="12" t="s">
        <v>196</v>
      </c>
      <c r="J28" s="61">
        <v>24833</v>
      </c>
      <c r="K28" s="71">
        <v>500</v>
      </c>
      <c r="L28" s="62" t="s">
        <v>121</v>
      </c>
      <c r="M28" s="75">
        <v>24855</v>
      </c>
      <c r="N28" s="73">
        <v>500</v>
      </c>
      <c r="O28" s="15"/>
    </row>
    <row r="29" spans="1:15" x14ac:dyDescent="0.25">
      <c r="A29" s="16"/>
      <c r="B29" s="49"/>
      <c r="C29" s="17" t="s">
        <v>64</v>
      </c>
      <c r="D29" s="13">
        <v>24767</v>
      </c>
      <c r="E29" s="70">
        <v>300</v>
      </c>
      <c r="F29" s="14" t="s">
        <v>213</v>
      </c>
      <c r="G29" s="11"/>
      <c r="H29" s="67"/>
      <c r="I29" s="12" t="s">
        <v>16</v>
      </c>
      <c r="J29" s="61">
        <v>24834</v>
      </c>
      <c r="K29" s="71">
        <v>500</v>
      </c>
      <c r="L29" s="62"/>
      <c r="M29" s="75">
        <v>24856</v>
      </c>
      <c r="N29" s="73">
        <v>1000</v>
      </c>
      <c r="O29" s="15" t="s">
        <v>196</v>
      </c>
    </row>
    <row r="30" spans="1:15" x14ac:dyDescent="0.25">
      <c r="A30" s="16">
        <v>24687</v>
      </c>
      <c r="B30" s="49">
        <v>400</v>
      </c>
      <c r="C30" s="17" t="s">
        <v>196</v>
      </c>
      <c r="D30" s="13">
        <v>24768</v>
      </c>
      <c r="E30" s="70">
        <v>200</v>
      </c>
      <c r="F30" s="14" t="s">
        <v>121</v>
      </c>
      <c r="G30" s="11">
        <v>24807</v>
      </c>
      <c r="H30" s="67">
        <v>500</v>
      </c>
      <c r="I30" s="12"/>
      <c r="J30" s="61">
        <v>24835</v>
      </c>
      <c r="K30" s="71">
        <v>400</v>
      </c>
      <c r="L30" s="62"/>
      <c r="M30" s="75"/>
      <c r="N30" s="73"/>
      <c r="O30" s="15" t="s">
        <v>64</v>
      </c>
    </row>
    <row r="31" spans="1:15" x14ac:dyDescent="0.25">
      <c r="A31" s="16"/>
      <c r="B31" s="49"/>
      <c r="C31" s="17" t="s">
        <v>52</v>
      </c>
      <c r="D31" s="13">
        <v>24769</v>
      </c>
      <c r="E31" s="70">
        <v>300</v>
      </c>
      <c r="F31" s="14" t="s">
        <v>121</v>
      </c>
      <c r="G31" s="11">
        <v>24808</v>
      </c>
      <c r="H31" s="67">
        <v>500</v>
      </c>
      <c r="I31" s="12" t="s">
        <v>121</v>
      </c>
      <c r="J31" s="61">
        <v>24836</v>
      </c>
      <c r="K31" s="71">
        <v>800</v>
      </c>
      <c r="L31" s="62" t="s">
        <v>159</v>
      </c>
      <c r="M31" s="75">
        <v>24857</v>
      </c>
      <c r="N31" s="73">
        <v>800</v>
      </c>
      <c r="O31" s="15" t="s">
        <v>230</v>
      </c>
    </row>
    <row r="32" spans="1:15" x14ac:dyDescent="0.25">
      <c r="A32" s="16">
        <v>24688</v>
      </c>
      <c r="B32" s="49">
        <v>800</v>
      </c>
      <c r="C32" s="17"/>
      <c r="D32" s="13">
        <v>24770</v>
      </c>
      <c r="E32" s="70">
        <v>1000</v>
      </c>
      <c r="F32" s="14" t="s">
        <v>159</v>
      </c>
      <c r="G32" s="11">
        <v>24809</v>
      </c>
      <c r="H32" s="67">
        <v>200</v>
      </c>
      <c r="I32" s="12"/>
      <c r="J32" s="61"/>
      <c r="K32" s="71"/>
      <c r="L32" s="62" t="s">
        <v>17</v>
      </c>
      <c r="M32" s="75">
        <v>24858</v>
      </c>
      <c r="N32" s="73">
        <v>1000</v>
      </c>
      <c r="O32" s="15" t="s">
        <v>159</v>
      </c>
    </row>
    <row r="33" spans="1:15" x14ac:dyDescent="0.25">
      <c r="A33" s="16">
        <v>24689</v>
      </c>
      <c r="B33" s="49">
        <v>850</v>
      </c>
      <c r="C33" s="17" t="s">
        <v>206</v>
      </c>
      <c r="D33" s="13"/>
      <c r="E33" s="70"/>
      <c r="F33" s="14" t="s">
        <v>64</v>
      </c>
      <c r="G33" s="11">
        <v>24810</v>
      </c>
      <c r="H33" s="67">
        <v>500</v>
      </c>
      <c r="I33" s="12"/>
      <c r="J33" s="61">
        <v>24837</v>
      </c>
      <c r="K33" s="71">
        <v>250</v>
      </c>
      <c r="L33" s="62"/>
      <c r="M33" s="75"/>
      <c r="N33" s="73"/>
      <c r="O33" s="15" t="s">
        <v>64</v>
      </c>
    </row>
    <row r="34" spans="1:15" x14ac:dyDescent="0.25">
      <c r="A34" s="16">
        <v>24690</v>
      </c>
      <c r="B34" s="49">
        <v>450</v>
      </c>
      <c r="C34" s="17"/>
      <c r="D34" s="13">
        <v>24771</v>
      </c>
      <c r="E34" s="70">
        <v>500</v>
      </c>
      <c r="F34" s="14"/>
      <c r="G34" s="11">
        <v>24811</v>
      </c>
      <c r="H34" s="67">
        <v>350</v>
      </c>
      <c r="I34" s="12" t="s">
        <v>217</v>
      </c>
      <c r="J34" s="61">
        <v>24838</v>
      </c>
      <c r="K34" s="71">
        <v>400</v>
      </c>
      <c r="L34" s="62"/>
      <c r="M34" s="75">
        <v>24859</v>
      </c>
      <c r="N34" s="73">
        <v>1000</v>
      </c>
      <c r="O34" s="15" t="s">
        <v>223</v>
      </c>
    </row>
    <row r="35" spans="1:15" x14ac:dyDescent="0.25">
      <c r="A35" s="16">
        <v>24691</v>
      </c>
      <c r="B35" s="49">
        <v>500</v>
      </c>
      <c r="C35" s="17" t="s">
        <v>121</v>
      </c>
      <c r="D35" s="13">
        <v>24772</v>
      </c>
      <c r="E35" s="70">
        <v>500</v>
      </c>
      <c r="F35" s="14" t="s">
        <v>121</v>
      </c>
      <c r="G35" s="11">
        <v>24812</v>
      </c>
      <c r="H35" s="67">
        <v>750</v>
      </c>
      <c r="I35" s="12" t="s">
        <v>218</v>
      </c>
      <c r="J35" s="61">
        <v>24839</v>
      </c>
      <c r="K35" s="71">
        <v>500</v>
      </c>
      <c r="L35" s="62"/>
      <c r="M35" s="75"/>
      <c r="N35" s="73"/>
      <c r="O35" s="15" t="s">
        <v>64</v>
      </c>
    </row>
    <row r="36" spans="1:15" x14ac:dyDescent="0.25">
      <c r="A36" s="16">
        <v>24692</v>
      </c>
      <c r="B36" s="49">
        <v>500</v>
      </c>
      <c r="C36" s="17"/>
      <c r="D36" s="13">
        <v>24773</v>
      </c>
      <c r="E36" s="70">
        <v>300</v>
      </c>
      <c r="F36" s="14" t="s">
        <v>121</v>
      </c>
      <c r="G36" s="11"/>
      <c r="H36" s="67"/>
      <c r="I36" s="12" t="s">
        <v>219</v>
      </c>
      <c r="J36" s="61">
        <v>24840</v>
      </c>
      <c r="K36" s="71">
        <v>1000</v>
      </c>
      <c r="L36" s="62" t="s">
        <v>159</v>
      </c>
      <c r="M36" s="75">
        <v>24860</v>
      </c>
      <c r="N36" s="73">
        <v>500</v>
      </c>
      <c r="O36" s="15"/>
    </row>
    <row r="37" spans="1:15" x14ac:dyDescent="0.25">
      <c r="A37" s="16">
        <v>24693</v>
      </c>
      <c r="B37" s="49">
        <v>500</v>
      </c>
      <c r="C37" s="17"/>
      <c r="D37" s="13">
        <v>24774</v>
      </c>
      <c r="E37" s="70">
        <v>200</v>
      </c>
      <c r="F37" s="14"/>
      <c r="G37" s="11">
        <v>24813</v>
      </c>
      <c r="H37" s="67">
        <v>500</v>
      </c>
      <c r="I37" s="12"/>
      <c r="J37" s="61"/>
      <c r="K37" s="71"/>
      <c r="L37" s="62" t="s">
        <v>64</v>
      </c>
      <c r="M37" s="75">
        <v>24861</v>
      </c>
      <c r="N37" s="73">
        <v>300</v>
      </c>
      <c r="O37" s="15" t="s">
        <v>231</v>
      </c>
    </row>
    <row r="38" spans="1:15" x14ac:dyDescent="0.25">
      <c r="A38" s="16">
        <v>24694</v>
      </c>
      <c r="B38" s="49">
        <v>500</v>
      </c>
      <c r="C38" s="17"/>
      <c r="D38" s="13">
        <v>24775</v>
      </c>
      <c r="E38" s="70">
        <v>300</v>
      </c>
      <c r="F38" s="14" t="s">
        <v>121</v>
      </c>
      <c r="G38" s="11">
        <v>24814</v>
      </c>
      <c r="H38" s="67">
        <v>500</v>
      </c>
      <c r="I38" s="12"/>
      <c r="J38" s="61">
        <v>24841</v>
      </c>
      <c r="K38" s="71">
        <v>500</v>
      </c>
      <c r="L38" s="62" t="s">
        <v>172</v>
      </c>
      <c r="M38" s="75">
        <v>24862</v>
      </c>
      <c r="N38" s="73">
        <v>500</v>
      </c>
      <c r="O38" s="15" t="s">
        <v>172</v>
      </c>
    </row>
    <row r="39" spans="1:15" x14ac:dyDescent="0.25">
      <c r="A39" s="16">
        <v>24695</v>
      </c>
      <c r="B39" s="49">
        <v>400</v>
      </c>
      <c r="C39" s="17"/>
      <c r="D39" s="13">
        <v>24776</v>
      </c>
      <c r="E39" s="70">
        <v>600</v>
      </c>
      <c r="F39" s="14"/>
      <c r="G39" s="11">
        <v>24815</v>
      </c>
      <c r="H39" s="67">
        <v>2000</v>
      </c>
      <c r="I39" s="12" t="s">
        <v>202</v>
      </c>
      <c r="J39" s="61">
        <v>24842</v>
      </c>
      <c r="K39" s="71">
        <v>1000</v>
      </c>
      <c r="L39" s="62" t="s">
        <v>202</v>
      </c>
      <c r="M39" s="75">
        <v>24863</v>
      </c>
      <c r="N39" s="73">
        <v>500</v>
      </c>
      <c r="O39" s="15"/>
    </row>
    <row r="40" spans="1:15" x14ac:dyDescent="0.25">
      <c r="A40" s="16">
        <v>24696</v>
      </c>
      <c r="B40" s="49">
        <v>1000</v>
      </c>
      <c r="C40" s="17" t="s">
        <v>196</v>
      </c>
      <c r="D40" s="13">
        <v>24777</v>
      </c>
      <c r="E40" s="70">
        <v>250</v>
      </c>
      <c r="F40" s="14"/>
      <c r="G40" s="11"/>
      <c r="H40" s="67"/>
      <c r="I40" s="12" t="s">
        <v>64</v>
      </c>
      <c r="J40" s="61"/>
      <c r="K40" s="71"/>
      <c r="L40" s="62" t="s">
        <v>16</v>
      </c>
      <c r="M40" s="75">
        <v>24864</v>
      </c>
      <c r="N40" s="73">
        <v>500</v>
      </c>
      <c r="O40" s="15"/>
    </row>
    <row r="41" spans="1:15" x14ac:dyDescent="0.25">
      <c r="A41" s="16"/>
      <c r="B41" s="49"/>
      <c r="C41" s="17" t="s">
        <v>64</v>
      </c>
      <c r="D41" s="13">
        <v>24778</v>
      </c>
      <c r="E41" s="70">
        <v>400</v>
      </c>
      <c r="F41" s="14"/>
      <c r="G41" s="11"/>
      <c r="H41" s="67"/>
      <c r="I41" s="12"/>
      <c r="J41" s="61">
        <v>24843</v>
      </c>
      <c r="K41" s="71">
        <v>250</v>
      </c>
      <c r="L41" s="62" t="s">
        <v>224</v>
      </c>
      <c r="M41" s="75">
        <v>24865</v>
      </c>
      <c r="N41" s="73">
        <v>600</v>
      </c>
      <c r="O41" s="15" t="s">
        <v>159</v>
      </c>
    </row>
    <row r="42" spans="1:15" x14ac:dyDescent="0.25">
      <c r="A42" s="16">
        <v>24697</v>
      </c>
      <c r="B42" s="49">
        <v>400</v>
      </c>
      <c r="C42" s="17"/>
      <c r="D42" s="13">
        <v>24779</v>
      </c>
      <c r="E42" s="70">
        <v>500</v>
      </c>
      <c r="F42" s="14" t="s">
        <v>159</v>
      </c>
      <c r="G42" s="11"/>
      <c r="H42" s="67"/>
      <c r="I42" s="12"/>
      <c r="J42" s="61"/>
      <c r="K42" s="71"/>
      <c r="L42" s="62"/>
      <c r="M42" s="75"/>
      <c r="N42" s="73"/>
      <c r="O42" s="15" t="s">
        <v>232</v>
      </c>
    </row>
    <row r="43" spans="1:15" x14ac:dyDescent="0.25">
      <c r="A43" s="16">
        <v>24698</v>
      </c>
      <c r="B43" s="49">
        <v>350</v>
      </c>
      <c r="C43" s="17" t="s">
        <v>207</v>
      </c>
      <c r="D43" s="13"/>
      <c r="E43" s="70"/>
      <c r="F43" s="14" t="s">
        <v>16</v>
      </c>
      <c r="G43" s="11"/>
      <c r="H43" s="67"/>
      <c r="I43" s="12"/>
      <c r="J43" s="61"/>
      <c r="K43" s="71"/>
      <c r="L43" s="62"/>
      <c r="M43" s="75">
        <v>24866</v>
      </c>
      <c r="N43" s="73">
        <v>1000</v>
      </c>
      <c r="O43" s="15" t="s">
        <v>196</v>
      </c>
    </row>
    <row r="44" spans="1:15" x14ac:dyDescent="0.25">
      <c r="A44" s="16">
        <v>24699</v>
      </c>
      <c r="B44" s="49">
        <v>500</v>
      </c>
      <c r="C44" s="17"/>
      <c r="D44" s="13">
        <v>24780</v>
      </c>
      <c r="E44" s="70">
        <v>500</v>
      </c>
      <c r="F44" s="14" t="s">
        <v>214</v>
      </c>
      <c r="G44" s="11"/>
      <c r="H44" s="67"/>
      <c r="I44" s="12"/>
      <c r="J44" s="61"/>
      <c r="K44" s="71"/>
      <c r="L44" s="62"/>
      <c r="M44" s="75"/>
      <c r="N44" s="73"/>
      <c r="O44" s="15" t="s">
        <v>64</v>
      </c>
    </row>
    <row r="45" spans="1:15" x14ac:dyDescent="0.25">
      <c r="A45" s="16">
        <v>24700</v>
      </c>
      <c r="B45" s="49">
        <v>600</v>
      </c>
      <c r="C45" s="17" t="s">
        <v>196</v>
      </c>
      <c r="D45" s="13">
        <v>24781</v>
      </c>
      <c r="E45" s="70">
        <v>250</v>
      </c>
      <c r="F45" s="14" t="s">
        <v>172</v>
      </c>
      <c r="G45" s="11"/>
      <c r="H45" s="67"/>
      <c r="I45" s="12"/>
      <c r="J45" s="61"/>
      <c r="K45" s="71"/>
      <c r="L45" s="62"/>
      <c r="M45" s="75">
        <v>24867</v>
      </c>
      <c r="N45" s="73">
        <v>500</v>
      </c>
      <c r="O45" s="15"/>
    </row>
    <row r="46" spans="1:15" x14ac:dyDescent="0.25">
      <c r="A46" s="16"/>
      <c r="B46" s="49"/>
      <c r="C46" s="17" t="s">
        <v>18</v>
      </c>
      <c r="D46" s="13">
        <v>24782</v>
      </c>
      <c r="E46" s="70">
        <v>1000</v>
      </c>
      <c r="F46" s="14" t="s">
        <v>159</v>
      </c>
      <c r="G46" s="11"/>
      <c r="H46" s="67"/>
      <c r="I46" s="94"/>
      <c r="J46" s="61"/>
      <c r="K46" s="71"/>
      <c r="L46" s="62"/>
      <c r="M46" s="75">
        <v>24868</v>
      </c>
      <c r="N46" s="73">
        <v>400</v>
      </c>
      <c r="O46" s="15"/>
    </row>
    <row r="47" spans="1:15" x14ac:dyDescent="0.25">
      <c r="A47" s="16">
        <v>24701</v>
      </c>
      <c r="B47" s="49">
        <v>500</v>
      </c>
      <c r="C47" s="17"/>
      <c r="D47" s="13"/>
      <c r="E47" s="70"/>
      <c r="F47" s="14" t="s">
        <v>64</v>
      </c>
      <c r="G47" s="11"/>
      <c r="H47" s="67"/>
      <c r="I47" s="12"/>
      <c r="J47" s="61"/>
      <c r="K47" s="71"/>
      <c r="L47" s="62"/>
      <c r="M47" s="75">
        <v>24869</v>
      </c>
      <c r="N47" s="73">
        <v>100</v>
      </c>
      <c r="O47" s="15" t="s">
        <v>91</v>
      </c>
    </row>
    <row r="48" spans="1:15" x14ac:dyDescent="0.25">
      <c r="A48" s="16">
        <v>24702</v>
      </c>
      <c r="B48" s="49">
        <v>500</v>
      </c>
      <c r="C48" s="17"/>
      <c r="D48" s="13">
        <v>24783</v>
      </c>
      <c r="E48" s="70">
        <v>1000</v>
      </c>
      <c r="F48" s="14" t="s">
        <v>159</v>
      </c>
      <c r="G48" s="11"/>
      <c r="H48" s="67"/>
      <c r="I48" s="12"/>
      <c r="J48" s="61"/>
      <c r="K48" s="71"/>
      <c r="L48" s="62"/>
      <c r="M48" s="75">
        <v>24870</v>
      </c>
      <c r="N48" s="73">
        <v>600</v>
      </c>
      <c r="O48" s="15" t="s">
        <v>196</v>
      </c>
    </row>
    <row r="49" spans="1:15" x14ac:dyDescent="0.25">
      <c r="A49" s="16">
        <v>24703</v>
      </c>
      <c r="B49" s="49">
        <v>1500</v>
      </c>
      <c r="C49" s="17" t="s">
        <v>152</v>
      </c>
      <c r="D49" s="13"/>
      <c r="E49" s="70"/>
      <c r="F49" s="14" t="s">
        <v>64</v>
      </c>
      <c r="G49" s="11"/>
      <c r="H49" s="67"/>
      <c r="I49" s="12"/>
      <c r="J49" s="61"/>
      <c r="K49" s="71"/>
      <c r="L49" s="62"/>
      <c r="M49" s="75"/>
      <c r="N49" s="73"/>
      <c r="O49" s="15" t="s">
        <v>18</v>
      </c>
    </row>
    <row r="50" spans="1:15" x14ac:dyDescent="0.25">
      <c r="A50" s="16"/>
      <c r="B50" s="49"/>
      <c r="C50" s="17" t="s">
        <v>64</v>
      </c>
      <c r="D50" s="13">
        <v>24784</v>
      </c>
      <c r="E50" s="70">
        <v>1000</v>
      </c>
      <c r="F50" s="14" t="s">
        <v>159</v>
      </c>
      <c r="G50" s="11"/>
      <c r="H50" s="67"/>
      <c r="I50" s="12"/>
      <c r="J50" s="61"/>
      <c r="K50" s="71"/>
      <c r="L50" s="62"/>
      <c r="M50" s="75">
        <v>24871</v>
      </c>
      <c r="N50" s="73">
        <v>600</v>
      </c>
      <c r="O50" s="15" t="s">
        <v>223</v>
      </c>
    </row>
    <row r="51" spans="1:15" x14ac:dyDescent="0.25">
      <c r="A51" s="16">
        <v>24704</v>
      </c>
      <c r="B51" s="49">
        <v>2000</v>
      </c>
      <c r="C51" s="17" t="s">
        <v>202</v>
      </c>
      <c r="D51" s="13"/>
      <c r="E51" s="70"/>
      <c r="F51" s="14" t="s">
        <v>64</v>
      </c>
      <c r="G51" s="11"/>
      <c r="H51" s="67"/>
      <c r="I51" s="12"/>
      <c r="J51" s="61"/>
      <c r="K51" s="71"/>
      <c r="L51" s="62"/>
      <c r="M51" s="75"/>
      <c r="N51" s="73"/>
      <c r="O51" s="15" t="s">
        <v>64</v>
      </c>
    </row>
    <row r="52" spans="1:15" x14ac:dyDescent="0.25">
      <c r="A52" s="16"/>
      <c r="B52" s="49"/>
      <c r="C52" s="17" t="s">
        <v>64</v>
      </c>
      <c r="D52" s="13">
        <v>24785</v>
      </c>
      <c r="E52" s="70">
        <v>350</v>
      </c>
      <c r="F52" s="14" t="s">
        <v>118</v>
      </c>
      <c r="G52" s="11"/>
      <c r="H52" s="67"/>
      <c r="I52" s="12"/>
      <c r="J52" s="61"/>
      <c r="K52" s="71"/>
      <c r="L52" s="62"/>
      <c r="M52" s="75">
        <v>24872</v>
      </c>
      <c r="N52" s="73">
        <v>200</v>
      </c>
      <c r="O52" s="15"/>
    </row>
    <row r="53" spans="1:15" x14ac:dyDescent="0.25">
      <c r="A53" s="16">
        <v>24705</v>
      </c>
      <c r="B53" s="49">
        <v>300</v>
      </c>
      <c r="C53" s="17" t="s">
        <v>208</v>
      </c>
      <c r="D53" s="13">
        <v>24786</v>
      </c>
      <c r="E53" s="70">
        <v>600</v>
      </c>
      <c r="F53" s="14" t="s">
        <v>159</v>
      </c>
      <c r="G53" s="11"/>
      <c r="H53" s="67"/>
      <c r="I53" s="12"/>
      <c r="J53" s="61"/>
      <c r="K53" s="71"/>
      <c r="L53" s="62"/>
      <c r="M53" s="75">
        <v>24873</v>
      </c>
      <c r="N53" s="73">
        <v>500</v>
      </c>
      <c r="O53" s="15"/>
    </row>
    <row r="54" spans="1:15" x14ac:dyDescent="0.25">
      <c r="A54" s="16">
        <v>24706</v>
      </c>
      <c r="B54" s="49">
        <v>500</v>
      </c>
      <c r="C54" s="17"/>
      <c r="D54" s="13"/>
      <c r="E54" s="70"/>
      <c r="F54" s="14" t="s">
        <v>18</v>
      </c>
      <c r="G54" s="11"/>
      <c r="H54" s="67"/>
      <c r="I54" s="114"/>
      <c r="J54" s="61"/>
      <c r="K54" s="71"/>
      <c r="L54" s="62"/>
      <c r="M54" s="75">
        <v>24874</v>
      </c>
      <c r="N54" s="73">
        <v>600</v>
      </c>
      <c r="O54" s="15" t="s">
        <v>172</v>
      </c>
    </row>
    <row r="55" spans="1:15" x14ac:dyDescent="0.25">
      <c r="A55" s="16">
        <v>24707</v>
      </c>
      <c r="B55" s="49">
        <v>400</v>
      </c>
      <c r="C55" s="17" t="s">
        <v>121</v>
      </c>
      <c r="D55" s="13">
        <v>24787</v>
      </c>
      <c r="E55" s="70">
        <v>2000</v>
      </c>
      <c r="F55" s="14" t="s">
        <v>215</v>
      </c>
      <c r="G55" s="11"/>
      <c r="H55" s="67"/>
      <c r="I55" s="12"/>
      <c r="J55" s="61"/>
      <c r="K55" s="71"/>
      <c r="L55" s="62"/>
      <c r="M55" s="75">
        <v>24875</v>
      </c>
      <c r="N55" s="73">
        <v>500</v>
      </c>
      <c r="O55" s="15"/>
    </row>
    <row r="56" spans="1:15" x14ac:dyDescent="0.25">
      <c r="A56" s="16">
        <v>24708</v>
      </c>
      <c r="B56" s="49">
        <v>500</v>
      </c>
      <c r="C56" s="17"/>
      <c r="D56" s="13"/>
      <c r="E56" s="70"/>
      <c r="F56" s="14" t="s">
        <v>216</v>
      </c>
      <c r="G56" s="11"/>
      <c r="H56" s="67"/>
      <c r="I56" s="12"/>
      <c r="J56" s="61"/>
      <c r="K56" s="71"/>
      <c r="L56" s="62"/>
      <c r="M56" s="75">
        <v>24876</v>
      </c>
      <c r="N56" s="73">
        <v>350</v>
      </c>
      <c r="O56" s="15" t="s">
        <v>233</v>
      </c>
    </row>
    <row r="57" spans="1:15" x14ac:dyDescent="0.25">
      <c r="A57" s="16">
        <v>24709</v>
      </c>
      <c r="B57" s="49">
        <v>2000</v>
      </c>
      <c r="C57" s="17" t="s">
        <v>209</v>
      </c>
      <c r="D57" s="13"/>
      <c r="E57" s="70"/>
      <c r="F57" s="14"/>
      <c r="G57" s="11"/>
      <c r="H57" s="67"/>
      <c r="I57" s="12"/>
      <c r="J57" s="61"/>
      <c r="K57" s="71"/>
      <c r="L57" s="62"/>
      <c r="M57" s="75">
        <v>24877</v>
      </c>
      <c r="N57" s="73">
        <v>1000</v>
      </c>
      <c r="O57" s="15" t="s">
        <v>234</v>
      </c>
    </row>
    <row r="58" spans="1:15" x14ac:dyDescent="0.25">
      <c r="A58" s="16"/>
      <c r="B58" s="49"/>
      <c r="C58" s="17" t="s">
        <v>64</v>
      </c>
      <c r="D58" s="13"/>
      <c r="E58" s="70"/>
      <c r="F58" s="14"/>
      <c r="G58" s="11"/>
      <c r="H58" s="67"/>
      <c r="I58" s="12"/>
      <c r="J58" s="61"/>
      <c r="K58" s="71"/>
      <c r="L58" s="62"/>
      <c r="M58" s="75"/>
      <c r="N58" s="73"/>
      <c r="O58" s="15" t="s">
        <v>64</v>
      </c>
    </row>
    <row r="59" spans="1:15" x14ac:dyDescent="0.25">
      <c r="A59" s="16">
        <v>24710</v>
      </c>
      <c r="B59" s="49">
        <v>1000</v>
      </c>
      <c r="C59" s="17" t="s">
        <v>54</v>
      </c>
      <c r="D59" s="13"/>
      <c r="E59" s="70"/>
      <c r="F59" s="14"/>
      <c r="G59" s="11"/>
      <c r="H59" s="67"/>
      <c r="I59" s="12"/>
      <c r="J59" s="61"/>
      <c r="K59" s="71"/>
      <c r="L59" s="62"/>
      <c r="M59" s="75">
        <v>24878</v>
      </c>
      <c r="N59" s="73">
        <v>300</v>
      </c>
      <c r="O59" s="15"/>
    </row>
    <row r="60" spans="1:15" x14ac:dyDescent="0.25">
      <c r="A60" s="16"/>
      <c r="B60" s="49"/>
      <c r="C60" s="17" t="s">
        <v>16</v>
      </c>
      <c r="D60" s="13"/>
      <c r="E60" s="70"/>
      <c r="F60" s="14"/>
      <c r="G60" s="11"/>
      <c r="H60" s="67"/>
      <c r="I60" s="12"/>
      <c r="J60" s="61"/>
      <c r="K60" s="71"/>
      <c r="L60" s="62"/>
      <c r="M60" s="75">
        <v>24879</v>
      </c>
      <c r="N60" s="73">
        <v>500</v>
      </c>
      <c r="O60" s="15"/>
    </row>
    <row r="61" spans="1:15" x14ac:dyDescent="0.25">
      <c r="A61" s="16">
        <v>24711</v>
      </c>
      <c r="B61" s="49">
        <v>1000</v>
      </c>
      <c r="C61" s="17" t="s">
        <v>159</v>
      </c>
      <c r="D61" s="13"/>
      <c r="E61" s="70"/>
      <c r="F61" s="14"/>
      <c r="G61" s="11"/>
      <c r="H61" s="67"/>
      <c r="I61" s="12"/>
      <c r="J61" s="61"/>
      <c r="K61" s="71"/>
      <c r="L61" s="62"/>
      <c r="M61" s="75">
        <v>24880</v>
      </c>
      <c r="N61" s="73">
        <v>400</v>
      </c>
      <c r="O61" s="15"/>
    </row>
    <row r="62" spans="1:15" x14ac:dyDescent="0.25">
      <c r="A62" s="16"/>
      <c r="B62" s="49"/>
      <c r="C62" s="17" t="s">
        <v>64</v>
      </c>
      <c r="D62" s="13"/>
      <c r="E62" s="70"/>
      <c r="F62" s="14"/>
      <c r="G62" s="11"/>
      <c r="H62" s="67"/>
      <c r="I62" s="12"/>
      <c r="J62" s="61"/>
      <c r="K62" s="71"/>
      <c r="L62" s="62"/>
      <c r="M62" s="75">
        <v>24881</v>
      </c>
      <c r="N62" s="73">
        <v>1000</v>
      </c>
      <c r="O62" s="15" t="s">
        <v>159</v>
      </c>
    </row>
    <row r="63" spans="1:15" x14ac:dyDescent="0.25">
      <c r="A63" s="16">
        <v>24712</v>
      </c>
      <c r="B63" s="49">
        <v>400</v>
      </c>
      <c r="C63" s="17" t="s">
        <v>121</v>
      </c>
      <c r="D63" s="13"/>
      <c r="E63" s="70"/>
      <c r="F63" s="14"/>
      <c r="G63" s="11"/>
      <c r="H63" s="67"/>
      <c r="I63" s="12"/>
      <c r="J63" s="61"/>
      <c r="K63" s="71"/>
      <c r="L63" s="62"/>
      <c r="M63" s="75"/>
      <c r="N63" s="73"/>
      <c r="O63" s="15" t="s">
        <v>64</v>
      </c>
    </row>
    <row r="64" spans="1:15" x14ac:dyDescent="0.25">
      <c r="A64" s="16">
        <v>24713</v>
      </c>
      <c r="B64" s="49">
        <v>1000</v>
      </c>
      <c r="C64" s="17" t="s">
        <v>131</v>
      </c>
      <c r="D64" s="13"/>
      <c r="E64" s="70"/>
      <c r="F64" s="14"/>
      <c r="G64" s="11"/>
      <c r="H64" s="67"/>
      <c r="I64" s="12"/>
      <c r="J64" s="61"/>
      <c r="K64" s="71"/>
      <c r="L64" s="62"/>
      <c r="M64" s="75"/>
      <c r="N64" s="73"/>
      <c r="O64" s="15"/>
    </row>
    <row r="65" spans="1:15" x14ac:dyDescent="0.25">
      <c r="A65" s="16"/>
      <c r="B65" s="49"/>
      <c r="C65" s="17" t="s">
        <v>64</v>
      </c>
      <c r="D65" s="13"/>
      <c r="E65" s="70"/>
      <c r="F65" s="14"/>
      <c r="G65" s="11"/>
      <c r="H65" s="67"/>
      <c r="I65" s="12"/>
      <c r="J65" s="61"/>
      <c r="K65" s="71"/>
      <c r="L65" s="62"/>
      <c r="M65" s="75"/>
      <c r="N65" s="73"/>
      <c r="O65" s="15"/>
    </row>
    <row r="66" spans="1:15" x14ac:dyDescent="0.25">
      <c r="A66" s="16">
        <v>24714</v>
      </c>
      <c r="B66" s="49">
        <v>100</v>
      </c>
      <c r="C66" s="17" t="s">
        <v>210</v>
      </c>
      <c r="D66" s="13"/>
      <c r="E66" s="70"/>
      <c r="F66" s="14"/>
      <c r="G66" s="11"/>
      <c r="H66" s="67"/>
      <c r="I66" s="12"/>
      <c r="J66" s="61"/>
      <c r="K66" s="71"/>
      <c r="L66" s="62"/>
      <c r="M66" s="75"/>
      <c r="N66" s="73"/>
      <c r="O66" s="15"/>
    </row>
    <row r="67" spans="1:15" x14ac:dyDescent="0.25">
      <c r="A67" s="16">
        <v>24715</v>
      </c>
      <c r="B67" s="49">
        <v>400</v>
      </c>
      <c r="C67" s="17"/>
      <c r="D67" s="13"/>
      <c r="E67" s="70"/>
      <c r="F67" s="14"/>
      <c r="G67" s="11"/>
      <c r="H67" s="67"/>
      <c r="I67" s="12"/>
      <c r="J67" s="61"/>
      <c r="K67" s="71"/>
      <c r="L67" s="62"/>
      <c r="M67" s="75"/>
      <c r="N67" s="73"/>
      <c r="O67" s="15"/>
    </row>
    <row r="68" spans="1:15" x14ac:dyDescent="0.25">
      <c r="A68" s="16">
        <v>24716</v>
      </c>
      <c r="B68" s="49">
        <v>500</v>
      </c>
      <c r="C68" s="17"/>
      <c r="D68" s="13"/>
      <c r="E68" s="70"/>
      <c r="F68" s="14"/>
      <c r="G68" s="11"/>
      <c r="H68" s="67"/>
      <c r="I68" s="107"/>
      <c r="J68" s="61"/>
      <c r="K68" s="71"/>
      <c r="L68" s="62"/>
      <c r="M68" s="75"/>
      <c r="N68" s="73"/>
      <c r="O68" s="15"/>
    </row>
    <row r="69" spans="1:15" x14ac:dyDescent="0.25">
      <c r="A69" s="16">
        <v>24717</v>
      </c>
      <c r="B69" s="49">
        <v>1000</v>
      </c>
      <c r="C69" s="17" t="s">
        <v>131</v>
      </c>
      <c r="D69" s="13"/>
      <c r="E69" s="70"/>
      <c r="F69" s="14"/>
      <c r="G69" s="11"/>
      <c r="H69" s="67"/>
      <c r="I69" s="12"/>
      <c r="J69" s="61"/>
      <c r="K69" s="71"/>
      <c r="L69" s="62"/>
      <c r="M69" s="75"/>
      <c r="N69" s="73"/>
      <c r="O69" s="15"/>
    </row>
    <row r="70" spans="1:15" x14ac:dyDescent="0.25">
      <c r="A70" s="16"/>
      <c r="B70" s="49"/>
      <c r="C70" s="17" t="s">
        <v>64</v>
      </c>
      <c r="D70" s="13"/>
      <c r="E70" s="70"/>
      <c r="F70" s="14"/>
      <c r="G70" s="11"/>
      <c r="H70" s="67"/>
      <c r="I70" s="12"/>
      <c r="J70" s="61"/>
      <c r="K70" s="71"/>
      <c r="L70" s="62"/>
      <c r="M70" s="75"/>
      <c r="N70" s="73"/>
      <c r="O70" s="15"/>
    </row>
    <row r="71" spans="1:15" x14ac:dyDescent="0.25">
      <c r="A71" s="16">
        <v>24718</v>
      </c>
      <c r="B71" s="49">
        <v>500</v>
      </c>
      <c r="C71" s="17"/>
      <c r="D71" s="13"/>
      <c r="E71" s="70"/>
      <c r="F71" s="14"/>
      <c r="G71" s="11"/>
      <c r="H71" s="67"/>
      <c r="I71" s="12"/>
      <c r="J71" s="61"/>
      <c r="K71" s="71"/>
      <c r="L71" s="62"/>
      <c r="M71" s="75"/>
      <c r="N71" s="73"/>
      <c r="O71" s="15"/>
    </row>
    <row r="72" spans="1:15" x14ac:dyDescent="0.25">
      <c r="A72" s="16">
        <v>24719</v>
      </c>
      <c r="B72" s="49">
        <v>500</v>
      </c>
      <c r="C72" s="17" t="s">
        <v>121</v>
      </c>
      <c r="D72" s="13"/>
      <c r="E72" s="70"/>
      <c r="F72" s="14"/>
      <c r="G72" s="11"/>
      <c r="H72" s="67"/>
      <c r="I72" s="12"/>
      <c r="J72" s="61"/>
      <c r="K72" s="71"/>
      <c r="L72" s="62"/>
      <c r="M72" s="75"/>
      <c r="N72" s="73"/>
      <c r="O72" s="15"/>
    </row>
    <row r="73" spans="1:15" x14ac:dyDescent="0.25">
      <c r="A73" s="16">
        <v>24720</v>
      </c>
      <c r="B73" s="49">
        <v>600</v>
      </c>
      <c r="C73" s="17"/>
      <c r="D73" s="13"/>
      <c r="E73" s="70"/>
      <c r="F73" s="14"/>
      <c r="G73" s="11"/>
      <c r="H73" s="67"/>
      <c r="I73" s="12"/>
      <c r="J73" s="61"/>
      <c r="K73" s="71"/>
      <c r="L73" s="62"/>
      <c r="M73" s="75"/>
      <c r="N73" s="73"/>
      <c r="O73" s="15"/>
    </row>
    <row r="74" spans="1:15" x14ac:dyDescent="0.25">
      <c r="A74" s="16">
        <v>24721</v>
      </c>
      <c r="B74" s="49">
        <v>500</v>
      </c>
      <c r="C74" s="17"/>
      <c r="D74" s="13"/>
      <c r="E74" s="70"/>
      <c r="F74" s="14"/>
      <c r="G74" s="11"/>
      <c r="H74" s="67"/>
      <c r="I74" s="12"/>
      <c r="J74" s="61"/>
      <c r="K74" s="71"/>
      <c r="L74" s="62"/>
      <c r="M74" s="75"/>
      <c r="N74" s="73"/>
      <c r="O74" s="15"/>
    </row>
    <row r="75" spans="1:15" x14ac:dyDescent="0.25">
      <c r="A75" s="16">
        <v>24722</v>
      </c>
      <c r="B75" s="49">
        <v>300</v>
      </c>
      <c r="C75" s="17"/>
      <c r="D75" s="13"/>
      <c r="E75" s="70"/>
      <c r="F75" s="14"/>
      <c r="G75" s="11"/>
      <c r="H75" s="67"/>
      <c r="I75" s="12"/>
      <c r="J75" s="61"/>
      <c r="K75" s="71"/>
      <c r="L75" s="62"/>
      <c r="M75" s="75"/>
      <c r="N75" s="73"/>
      <c r="O75" s="15"/>
    </row>
    <row r="76" spans="1:15" x14ac:dyDescent="0.25">
      <c r="A76" s="16">
        <v>24723</v>
      </c>
      <c r="B76" s="49">
        <v>600</v>
      </c>
      <c r="C76" s="17" t="s">
        <v>159</v>
      </c>
      <c r="D76" s="13"/>
      <c r="E76" s="70"/>
      <c r="F76" s="14"/>
      <c r="G76" s="11"/>
      <c r="H76" s="67"/>
      <c r="I76" s="12"/>
      <c r="J76" s="61"/>
      <c r="K76" s="71"/>
      <c r="L76" s="62"/>
      <c r="M76" s="75"/>
      <c r="N76" s="73"/>
      <c r="O76" s="15"/>
    </row>
    <row r="77" spans="1:15" x14ac:dyDescent="0.25">
      <c r="A77" s="16"/>
      <c r="B77" s="49"/>
      <c r="C77" s="17" t="s">
        <v>18</v>
      </c>
      <c r="D77" s="13"/>
      <c r="E77" s="70"/>
      <c r="F77" s="14"/>
      <c r="G77" s="11"/>
      <c r="H77" s="67"/>
      <c r="I77" s="12"/>
      <c r="J77" s="61"/>
      <c r="K77" s="71"/>
      <c r="L77" s="62"/>
      <c r="M77" s="75"/>
      <c r="N77" s="73"/>
      <c r="O77" s="15"/>
    </row>
    <row r="78" spans="1:15" x14ac:dyDescent="0.25">
      <c r="A78" s="16">
        <v>24724</v>
      </c>
      <c r="B78" s="49">
        <v>500</v>
      </c>
      <c r="C78" s="17" t="s">
        <v>121</v>
      </c>
      <c r="D78" s="13"/>
      <c r="E78" s="70"/>
      <c r="F78" s="14"/>
      <c r="G78" s="11"/>
      <c r="H78" s="67"/>
      <c r="I78" s="12"/>
      <c r="J78" s="61"/>
      <c r="K78" s="71"/>
      <c r="L78" s="62"/>
      <c r="M78" s="75"/>
      <c r="N78" s="73"/>
      <c r="O78" s="15"/>
    </row>
    <row r="79" spans="1:15" x14ac:dyDescent="0.25">
      <c r="A79" s="16">
        <v>24725</v>
      </c>
      <c r="B79" s="49">
        <v>1200</v>
      </c>
      <c r="C79" s="17" t="s">
        <v>146</v>
      </c>
      <c r="D79" s="13"/>
      <c r="E79" s="70"/>
      <c r="F79" s="14"/>
      <c r="G79" s="11"/>
      <c r="H79" s="67"/>
      <c r="I79" s="12"/>
      <c r="J79" s="61"/>
      <c r="K79" s="71"/>
      <c r="L79" s="62"/>
      <c r="M79" s="75"/>
      <c r="N79" s="73"/>
      <c r="O79" s="15"/>
    </row>
    <row r="80" spans="1:15" x14ac:dyDescent="0.25">
      <c r="A80" s="16"/>
      <c r="B80" s="49"/>
      <c r="C80" s="17" t="s">
        <v>17</v>
      </c>
      <c r="D80" s="13"/>
      <c r="E80" s="70"/>
      <c r="F80" s="14"/>
      <c r="G80" s="11"/>
      <c r="H80" s="67"/>
      <c r="I80" s="12"/>
      <c r="J80" s="61"/>
      <c r="K80" s="71"/>
      <c r="L80" s="62"/>
      <c r="M80" s="75"/>
      <c r="N80" s="73"/>
      <c r="O80" s="15"/>
    </row>
    <row r="81" spans="1:15" x14ac:dyDescent="0.25">
      <c r="A81" s="16">
        <v>24726</v>
      </c>
      <c r="B81" s="49">
        <v>500</v>
      </c>
      <c r="C81" s="17" t="s">
        <v>121</v>
      </c>
      <c r="D81" s="13"/>
      <c r="E81" s="70"/>
      <c r="F81" s="14"/>
      <c r="G81" s="11"/>
      <c r="H81" s="67"/>
      <c r="I81" s="12"/>
      <c r="J81" s="61"/>
      <c r="K81" s="71"/>
      <c r="L81" s="62"/>
      <c r="M81" s="75"/>
      <c r="N81" s="73"/>
      <c r="O81" s="15"/>
    </row>
    <row r="82" spans="1:15" x14ac:dyDescent="0.25">
      <c r="A82" s="16">
        <v>24727</v>
      </c>
      <c r="B82" s="49">
        <v>1000</v>
      </c>
      <c r="C82" s="17" t="s">
        <v>159</v>
      </c>
      <c r="D82" s="13"/>
      <c r="E82" s="70"/>
      <c r="F82" s="14"/>
      <c r="G82" s="11"/>
      <c r="H82" s="67"/>
      <c r="I82" s="12"/>
      <c r="J82" s="61"/>
      <c r="K82" s="71"/>
      <c r="L82" s="62"/>
      <c r="M82" s="75"/>
      <c r="N82" s="73"/>
      <c r="O82" s="15"/>
    </row>
    <row r="83" spans="1:15" x14ac:dyDescent="0.25">
      <c r="A83" s="16"/>
      <c r="B83" s="49"/>
      <c r="C83" s="17" t="s">
        <v>64</v>
      </c>
      <c r="D83" s="13"/>
      <c r="E83" s="70"/>
      <c r="F83" s="14"/>
      <c r="G83" s="11"/>
      <c r="H83" s="67"/>
      <c r="I83" s="12"/>
      <c r="J83" s="61"/>
      <c r="K83" s="71"/>
      <c r="L83" s="62"/>
      <c r="M83" s="75"/>
      <c r="N83" s="73"/>
      <c r="O83" s="15"/>
    </row>
    <row r="84" spans="1:15" x14ac:dyDescent="0.25">
      <c r="A84" s="16">
        <v>24728</v>
      </c>
      <c r="B84" s="49">
        <v>500</v>
      </c>
      <c r="C84" s="17"/>
      <c r="D84" s="13"/>
      <c r="E84" s="70"/>
      <c r="F84" s="14"/>
      <c r="G84" s="11"/>
      <c r="H84" s="67"/>
      <c r="I84" s="12"/>
      <c r="J84" s="61"/>
      <c r="K84" s="71"/>
      <c r="L84" s="62"/>
      <c r="M84" s="75"/>
      <c r="N84" s="73"/>
      <c r="O84" s="15"/>
    </row>
    <row r="85" spans="1:15" x14ac:dyDescent="0.25">
      <c r="A85" s="16">
        <v>24729</v>
      </c>
      <c r="B85" s="49">
        <v>1500</v>
      </c>
      <c r="C85" s="17" t="s">
        <v>152</v>
      </c>
      <c r="D85" s="13"/>
      <c r="E85" s="70"/>
      <c r="F85" s="14"/>
      <c r="G85" s="11"/>
      <c r="H85" s="67"/>
      <c r="I85" s="12"/>
      <c r="J85" s="61"/>
      <c r="K85" s="71"/>
      <c r="L85" s="62"/>
      <c r="M85" s="75"/>
      <c r="N85" s="73"/>
      <c r="O85" s="15"/>
    </row>
    <row r="86" spans="1:15" x14ac:dyDescent="0.25">
      <c r="A86" s="16"/>
      <c r="B86" s="49"/>
      <c r="C86" s="17" t="s">
        <v>64</v>
      </c>
      <c r="D86" s="13"/>
      <c r="E86" s="70"/>
      <c r="F86" s="14"/>
      <c r="G86" s="11"/>
      <c r="H86" s="67"/>
      <c r="I86" s="12"/>
      <c r="J86" s="61"/>
      <c r="K86" s="71"/>
      <c r="L86" s="62"/>
      <c r="M86" s="75"/>
      <c r="N86" s="73"/>
      <c r="O86" s="15"/>
    </row>
    <row r="87" spans="1:15" x14ac:dyDescent="0.25">
      <c r="A87" s="16">
        <v>24730</v>
      </c>
      <c r="B87" s="49">
        <v>300</v>
      </c>
      <c r="C87" s="17"/>
      <c r="D87" s="13"/>
      <c r="E87" s="70"/>
      <c r="F87" s="14"/>
      <c r="G87" s="11"/>
      <c r="H87" s="67"/>
      <c r="I87" s="12"/>
      <c r="J87" s="61"/>
      <c r="K87" s="71"/>
      <c r="L87" s="62"/>
      <c r="M87" s="75"/>
      <c r="N87" s="73"/>
      <c r="O87" s="15"/>
    </row>
    <row r="88" spans="1:15" x14ac:dyDescent="0.25">
      <c r="A88" s="16">
        <v>24731</v>
      </c>
      <c r="B88" s="49">
        <v>600</v>
      </c>
      <c r="C88" s="17" t="s">
        <v>196</v>
      </c>
      <c r="D88" s="13"/>
      <c r="E88" s="70"/>
      <c r="F88" s="14"/>
      <c r="G88" s="11"/>
      <c r="H88" s="67"/>
      <c r="I88" s="12"/>
      <c r="J88" s="61"/>
      <c r="K88" s="71"/>
      <c r="L88" s="62"/>
      <c r="M88" s="75"/>
      <c r="N88" s="73"/>
      <c r="O88" s="15"/>
    </row>
    <row r="89" spans="1:15" x14ac:dyDescent="0.25">
      <c r="A89" s="16"/>
      <c r="B89" s="49"/>
      <c r="C89" s="17" t="s">
        <v>18</v>
      </c>
      <c r="D89" s="13"/>
      <c r="E89" s="70"/>
      <c r="F89" s="14"/>
      <c r="G89" s="11"/>
      <c r="H89" s="67"/>
      <c r="I89" s="12"/>
      <c r="J89" s="61"/>
      <c r="K89" s="71"/>
      <c r="L89" s="62"/>
      <c r="M89" s="75"/>
      <c r="N89" s="73"/>
      <c r="O89" s="15"/>
    </row>
    <row r="90" spans="1:15" x14ac:dyDescent="0.25">
      <c r="A90" s="16">
        <v>24732</v>
      </c>
      <c r="B90" s="49">
        <v>300</v>
      </c>
      <c r="C90" s="17"/>
      <c r="D90" s="13"/>
      <c r="E90" s="70"/>
      <c r="F90" s="14"/>
      <c r="G90" s="11"/>
      <c r="H90" s="67"/>
      <c r="I90" s="12"/>
      <c r="J90" s="61"/>
      <c r="K90" s="71"/>
      <c r="L90" s="62"/>
      <c r="M90" s="75"/>
      <c r="N90" s="73"/>
      <c r="O90" s="15"/>
    </row>
    <row r="91" spans="1:15" x14ac:dyDescent="0.25">
      <c r="A91" s="16">
        <v>24733</v>
      </c>
      <c r="B91" s="49">
        <v>500</v>
      </c>
      <c r="C91" s="17" t="s">
        <v>196</v>
      </c>
      <c r="D91" s="13"/>
      <c r="E91" s="70"/>
      <c r="F91" s="14"/>
      <c r="G91" s="11"/>
      <c r="H91" s="67"/>
      <c r="I91" s="12"/>
      <c r="J91" s="61"/>
      <c r="K91" s="71"/>
      <c r="L91" s="62"/>
      <c r="M91" s="75"/>
      <c r="N91" s="73"/>
      <c r="O91" s="15"/>
    </row>
    <row r="92" spans="1:15" x14ac:dyDescent="0.25">
      <c r="A92" s="16"/>
      <c r="B92" s="49"/>
      <c r="C92" s="17" t="s">
        <v>16</v>
      </c>
      <c r="D92" s="13"/>
      <c r="E92" s="70"/>
      <c r="F92" s="14"/>
      <c r="G92" s="11"/>
      <c r="H92" s="67"/>
      <c r="I92" s="12"/>
      <c r="J92" s="61"/>
      <c r="K92" s="71"/>
      <c r="L92" s="62"/>
      <c r="M92" s="75"/>
      <c r="N92" s="73"/>
      <c r="O92" s="15"/>
    </row>
    <row r="93" spans="1:15" x14ac:dyDescent="0.25">
      <c r="A93" s="16">
        <v>24734</v>
      </c>
      <c r="B93" s="49">
        <v>250</v>
      </c>
      <c r="C93" s="17"/>
      <c r="D93" s="13"/>
      <c r="E93" s="70"/>
      <c r="F93" s="14"/>
      <c r="G93" s="11"/>
      <c r="H93" s="67"/>
      <c r="I93" s="12"/>
      <c r="J93" s="61"/>
      <c r="K93" s="71"/>
      <c r="L93" s="62"/>
      <c r="M93" s="75"/>
      <c r="N93" s="73"/>
      <c r="O93" s="15"/>
    </row>
    <row r="94" spans="1:15" x14ac:dyDescent="0.25">
      <c r="A94" s="16">
        <v>24735</v>
      </c>
      <c r="B94" s="49">
        <v>450</v>
      </c>
      <c r="C94" s="17"/>
      <c r="D94" s="13"/>
      <c r="E94" s="70"/>
      <c r="F94" s="14"/>
      <c r="G94" s="11"/>
      <c r="H94" s="67"/>
      <c r="I94" s="12"/>
      <c r="J94" s="61"/>
      <c r="K94" s="71"/>
      <c r="L94" s="62"/>
      <c r="M94" s="75"/>
      <c r="N94" s="73"/>
      <c r="O94" s="15"/>
    </row>
    <row r="95" spans="1:15" x14ac:dyDescent="0.25">
      <c r="A95" s="16">
        <v>24736</v>
      </c>
      <c r="B95" s="49">
        <v>500</v>
      </c>
      <c r="C95" s="17" t="s">
        <v>121</v>
      </c>
      <c r="D95" s="13"/>
      <c r="E95" s="70"/>
      <c r="F95" s="14"/>
      <c r="G95" s="11"/>
      <c r="H95" s="67"/>
      <c r="I95" s="12"/>
      <c r="J95" s="61"/>
      <c r="K95" s="71"/>
      <c r="L95" s="62"/>
      <c r="M95" s="75"/>
      <c r="N95" s="73"/>
      <c r="O95" s="15"/>
    </row>
    <row r="96" spans="1:15" x14ac:dyDescent="0.25">
      <c r="A96" s="16">
        <v>24737</v>
      </c>
      <c r="B96" s="49">
        <v>1000</v>
      </c>
      <c r="C96" s="17" t="s">
        <v>159</v>
      </c>
      <c r="D96" s="13"/>
      <c r="E96" s="70"/>
      <c r="F96" s="14"/>
      <c r="G96" s="11"/>
      <c r="H96" s="67"/>
      <c r="I96" s="12"/>
      <c r="J96" s="61"/>
      <c r="K96" s="71"/>
      <c r="L96" s="62"/>
      <c r="M96" s="75"/>
      <c r="N96" s="73"/>
      <c r="O96" s="15"/>
    </row>
    <row r="97" spans="1:15" x14ac:dyDescent="0.25">
      <c r="A97" s="16"/>
      <c r="B97" s="49"/>
      <c r="C97" s="17" t="s">
        <v>64</v>
      </c>
      <c r="D97" s="13"/>
      <c r="E97" s="70"/>
      <c r="F97" s="14"/>
      <c r="G97" s="11"/>
      <c r="H97" s="67"/>
      <c r="I97" s="12"/>
      <c r="J97" s="61"/>
      <c r="K97" s="71"/>
      <c r="L97" s="62"/>
      <c r="M97" s="75"/>
      <c r="N97" s="73"/>
      <c r="O97" s="15"/>
    </row>
    <row r="98" spans="1:15" x14ac:dyDescent="0.25">
      <c r="A98" s="16">
        <v>24738</v>
      </c>
      <c r="B98" s="49">
        <v>500</v>
      </c>
      <c r="C98" s="17" t="s">
        <v>121</v>
      </c>
      <c r="D98" s="13"/>
      <c r="E98" s="70"/>
      <c r="F98" s="14"/>
      <c r="G98" s="11"/>
      <c r="H98" s="67"/>
      <c r="I98" s="12"/>
      <c r="J98" s="61"/>
      <c r="K98" s="71"/>
      <c r="L98" s="62"/>
      <c r="M98" s="75"/>
      <c r="N98" s="73"/>
      <c r="O98" s="15"/>
    </row>
    <row r="99" spans="1:15" x14ac:dyDescent="0.25">
      <c r="A99" s="16">
        <v>24739</v>
      </c>
      <c r="B99" s="49">
        <v>650</v>
      </c>
      <c r="C99" s="17" t="s">
        <v>211</v>
      </c>
      <c r="D99" s="13"/>
      <c r="E99" s="70"/>
      <c r="F99" s="14"/>
      <c r="G99" s="11"/>
      <c r="H99" s="67"/>
      <c r="I99" s="12"/>
      <c r="J99" s="61"/>
      <c r="K99" s="71"/>
      <c r="L99" s="62"/>
      <c r="M99" s="75"/>
      <c r="N99" s="73"/>
      <c r="O99" s="15"/>
    </row>
    <row r="100" spans="1:15" x14ac:dyDescent="0.25">
      <c r="A100" s="16">
        <v>24740</v>
      </c>
      <c r="B100" s="49">
        <v>500</v>
      </c>
      <c r="C100" s="17" t="s">
        <v>121</v>
      </c>
      <c r="D100" s="13"/>
      <c r="E100" s="70"/>
      <c r="F100" s="14"/>
      <c r="G100" s="11"/>
      <c r="H100" s="67"/>
      <c r="I100" s="12"/>
      <c r="J100" s="61"/>
      <c r="K100" s="71"/>
      <c r="L100" s="62"/>
      <c r="M100" s="75"/>
      <c r="N100" s="73"/>
      <c r="O100" s="15"/>
    </row>
    <row r="101" spans="1:15" x14ac:dyDescent="0.25">
      <c r="A101" s="16">
        <v>24741</v>
      </c>
      <c r="B101" s="49">
        <v>500</v>
      </c>
      <c r="C101" s="17"/>
      <c r="D101" s="13"/>
      <c r="E101" s="70"/>
      <c r="F101" s="14"/>
      <c r="G101" s="11"/>
      <c r="H101" s="67"/>
      <c r="I101" s="12"/>
      <c r="J101" s="61"/>
      <c r="K101" s="71"/>
      <c r="L101" s="62"/>
      <c r="M101" s="75"/>
      <c r="N101" s="73"/>
      <c r="O101" s="15"/>
    </row>
    <row r="102" spans="1:15" x14ac:dyDescent="0.25">
      <c r="A102" s="16">
        <v>24742</v>
      </c>
      <c r="B102" s="49">
        <v>500</v>
      </c>
      <c r="C102" s="17" t="s">
        <v>121</v>
      </c>
      <c r="D102" s="13"/>
      <c r="E102" s="70"/>
      <c r="F102" s="14"/>
      <c r="G102" s="11"/>
      <c r="H102" s="67"/>
      <c r="I102" s="12"/>
      <c r="J102" s="61"/>
      <c r="K102" s="71"/>
      <c r="L102" s="62"/>
      <c r="M102" s="75"/>
      <c r="N102" s="73"/>
      <c r="O102" s="15"/>
    </row>
    <row r="103" spans="1:15" x14ac:dyDescent="0.25">
      <c r="A103" s="16">
        <v>24743</v>
      </c>
      <c r="B103" s="49">
        <v>800</v>
      </c>
      <c r="C103" s="17" t="s">
        <v>131</v>
      </c>
      <c r="D103" s="13"/>
      <c r="E103" s="70"/>
      <c r="F103" s="14"/>
      <c r="G103" s="11"/>
      <c r="H103" s="67"/>
      <c r="I103" s="12"/>
      <c r="J103" s="61"/>
      <c r="K103" s="71"/>
      <c r="L103" s="62"/>
      <c r="M103" s="75"/>
      <c r="N103" s="73"/>
      <c r="O103" s="15"/>
    </row>
    <row r="104" spans="1:15" x14ac:dyDescent="0.25">
      <c r="A104" s="16"/>
      <c r="B104" s="49"/>
      <c r="C104" s="17" t="s">
        <v>17</v>
      </c>
      <c r="D104" s="13"/>
      <c r="E104" s="70"/>
      <c r="F104" s="14"/>
      <c r="G104" s="11"/>
      <c r="H104" s="67"/>
      <c r="I104" s="12"/>
      <c r="J104" s="61"/>
      <c r="K104" s="71"/>
      <c r="L104" s="62"/>
      <c r="M104" s="75"/>
      <c r="N104" s="73"/>
      <c r="O104" s="15"/>
    </row>
    <row r="105" spans="1:15" x14ac:dyDescent="0.25">
      <c r="A105" s="16">
        <v>24744</v>
      </c>
      <c r="B105" s="49">
        <v>1000</v>
      </c>
      <c r="C105" s="17" t="s">
        <v>159</v>
      </c>
      <c r="D105" s="13"/>
      <c r="E105" s="70"/>
      <c r="F105" s="14"/>
      <c r="G105" s="11"/>
      <c r="H105" s="67"/>
      <c r="I105" s="12"/>
      <c r="J105" s="61"/>
      <c r="K105" s="71"/>
      <c r="L105" s="62"/>
      <c r="M105" s="75"/>
      <c r="N105" s="73"/>
      <c r="O105" s="15"/>
    </row>
    <row r="106" spans="1:15" x14ac:dyDescent="0.25">
      <c r="A106" s="16"/>
      <c r="B106" s="49"/>
      <c r="C106" s="17" t="s">
        <v>64</v>
      </c>
      <c r="D106" s="13"/>
      <c r="E106" s="70"/>
      <c r="F106" s="14"/>
      <c r="G106" s="11"/>
      <c r="H106" s="67"/>
      <c r="I106" s="12"/>
      <c r="J106" s="61"/>
      <c r="K106" s="71"/>
      <c r="L106" s="62"/>
      <c r="M106" s="75"/>
      <c r="N106" s="73"/>
      <c r="O106" s="15"/>
    </row>
    <row r="107" spans="1:15" x14ac:dyDescent="0.25">
      <c r="A107" s="16">
        <v>24745</v>
      </c>
      <c r="B107" s="49">
        <v>500</v>
      </c>
      <c r="C107" s="17"/>
      <c r="D107" s="13"/>
      <c r="E107" s="70"/>
      <c r="F107" s="14"/>
      <c r="G107" s="11"/>
      <c r="H107" s="67"/>
      <c r="I107" s="12"/>
      <c r="J107" s="61"/>
      <c r="K107" s="71"/>
      <c r="L107" s="62"/>
      <c r="M107" s="75"/>
      <c r="N107" s="73"/>
      <c r="O107" s="15"/>
    </row>
    <row r="108" spans="1:15" x14ac:dyDescent="0.25">
      <c r="A108" s="16">
        <v>24746</v>
      </c>
      <c r="B108" s="49">
        <v>400</v>
      </c>
      <c r="C108" s="17"/>
      <c r="D108" s="13"/>
      <c r="E108" s="70"/>
      <c r="F108" s="14"/>
      <c r="G108" s="11"/>
      <c r="H108" s="67"/>
      <c r="I108" s="12"/>
      <c r="J108" s="61"/>
      <c r="K108" s="71"/>
      <c r="L108" s="62"/>
      <c r="M108" s="75"/>
      <c r="N108" s="73"/>
      <c r="O108" s="15"/>
    </row>
    <row r="109" spans="1:15" x14ac:dyDescent="0.25">
      <c r="A109" s="16">
        <v>24747</v>
      </c>
      <c r="B109" s="49">
        <v>500</v>
      </c>
      <c r="C109" s="17"/>
      <c r="D109" s="13"/>
      <c r="E109" s="70"/>
      <c r="F109" s="14"/>
      <c r="G109" s="11"/>
      <c r="H109" s="67"/>
      <c r="I109" s="12"/>
      <c r="J109" s="61"/>
      <c r="K109" s="71"/>
      <c r="L109" s="62"/>
      <c r="M109" s="75"/>
      <c r="N109" s="73"/>
      <c r="O109" s="15"/>
    </row>
    <row r="110" spans="1:15" x14ac:dyDescent="0.25">
      <c r="A110" s="16">
        <v>24748</v>
      </c>
      <c r="B110" s="49">
        <v>300</v>
      </c>
      <c r="C110" s="17"/>
      <c r="D110" s="13"/>
      <c r="E110" s="70"/>
      <c r="F110" s="14"/>
      <c r="G110" s="11"/>
      <c r="H110" s="67"/>
      <c r="I110" s="12"/>
      <c r="J110" s="61"/>
      <c r="K110" s="71"/>
      <c r="L110" s="62"/>
      <c r="M110" s="75"/>
      <c r="N110" s="73"/>
      <c r="O110" s="15"/>
    </row>
    <row r="111" spans="1:15" x14ac:dyDescent="0.25">
      <c r="A111" s="16">
        <v>24749</v>
      </c>
      <c r="B111" s="49">
        <v>800</v>
      </c>
      <c r="C111" s="17" t="s">
        <v>131</v>
      </c>
      <c r="D111" s="13"/>
      <c r="E111" s="70"/>
      <c r="F111" s="14"/>
      <c r="G111" s="11"/>
      <c r="H111" s="67"/>
      <c r="I111" s="12"/>
      <c r="J111" s="61"/>
      <c r="K111" s="71"/>
      <c r="L111" s="62"/>
      <c r="M111" s="75"/>
      <c r="N111" s="73"/>
      <c r="O111" s="15"/>
    </row>
    <row r="112" spans="1:15" x14ac:dyDescent="0.25">
      <c r="A112" s="16"/>
      <c r="B112" s="49"/>
      <c r="C112" s="17" t="s">
        <v>17</v>
      </c>
      <c r="D112" s="13"/>
      <c r="E112" s="70"/>
      <c r="F112" s="14"/>
      <c r="G112" s="11"/>
      <c r="H112" s="67"/>
      <c r="I112" s="12"/>
      <c r="J112" s="61"/>
      <c r="K112" s="71"/>
      <c r="L112" s="62"/>
      <c r="M112" s="75"/>
      <c r="N112" s="73"/>
      <c r="O112" s="15"/>
    </row>
    <row r="113" spans="1:15" x14ac:dyDescent="0.25">
      <c r="A113" s="16">
        <v>24750</v>
      </c>
      <c r="B113" s="49">
        <v>200</v>
      </c>
      <c r="C113" s="17" t="s">
        <v>212</v>
      </c>
      <c r="D113" s="13"/>
      <c r="E113" s="70"/>
      <c r="F113" s="14"/>
      <c r="G113" s="11"/>
      <c r="H113" s="67"/>
      <c r="I113" s="12"/>
      <c r="J113" s="61"/>
      <c r="K113" s="71"/>
      <c r="L113" s="62"/>
      <c r="M113" s="75"/>
      <c r="N113" s="73"/>
      <c r="O113" s="15"/>
    </row>
    <row r="114" spans="1:15" x14ac:dyDescent="0.25">
      <c r="A114" s="16">
        <v>24751</v>
      </c>
      <c r="B114" s="49">
        <v>1000</v>
      </c>
      <c r="C114" s="17" t="s">
        <v>27</v>
      </c>
      <c r="D114" s="13"/>
      <c r="E114" s="70"/>
      <c r="F114" s="14"/>
      <c r="G114" s="11"/>
      <c r="H114" s="67"/>
      <c r="I114" s="12"/>
      <c r="J114" s="61"/>
      <c r="K114" s="71"/>
      <c r="L114" s="62"/>
      <c r="M114" s="75"/>
      <c r="N114" s="73"/>
      <c r="O114" s="15"/>
    </row>
    <row r="115" spans="1:15" x14ac:dyDescent="0.25">
      <c r="A115" s="16"/>
      <c r="B115" s="49"/>
      <c r="C115" s="17" t="s">
        <v>64</v>
      </c>
      <c r="D115" s="13"/>
      <c r="E115" s="70"/>
      <c r="F115" s="14"/>
      <c r="G115" s="11"/>
      <c r="H115" s="67"/>
      <c r="I115" s="12"/>
      <c r="J115" s="61"/>
      <c r="K115" s="71"/>
      <c r="L115" s="62"/>
      <c r="M115" s="75"/>
      <c r="N115" s="73"/>
      <c r="O115" s="15"/>
    </row>
    <row r="116" spans="1:15" x14ac:dyDescent="0.25">
      <c r="A116" s="16"/>
      <c r="B116" s="49"/>
      <c r="C116" s="17"/>
      <c r="D116" s="13"/>
      <c r="E116" s="70"/>
      <c r="F116" s="14"/>
      <c r="G116" s="11"/>
      <c r="H116" s="67"/>
      <c r="I116" s="12"/>
      <c r="J116" s="61"/>
      <c r="K116" s="71"/>
      <c r="L116" s="62"/>
      <c r="M116" s="75"/>
      <c r="N116" s="73"/>
      <c r="O116" s="15"/>
    </row>
    <row r="117" spans="1:15" x14ac:dyDescent="0.25">
      <c r="A117" s="16"/>
      <c r="B117" s="49"/>
      <c r="C117" s="17"/>
      <c r="D117" s="13"/>
      <c r="E117" s="70"/>
      <c r="F117" s="14"/>
      <c r="G117" s="11"/>
      <c r="H117" s="67"/>
      <c r="I117" s="12"/>
      <c r="J117" s="61"/>
      <c r="K117" s="71"/>
      <c r="L117" s="62"/>
      <c r="M117" s="75"/>
      <c r="N117" s="73"/>
      <c r="O117" s="15"/>
    </row>
    <row r="118" spans="1:15" x14ac:dyDescent="0.25">
      <c r="A118" s="16"/>
      <c r="B118" s="49"/>
      <c r="C118" s="17"/>
      <c r="D118" s="13"/>
      <c r="E118" s="70"/>
      <c r="F118" s="14"/>
      <c r="G118" s="11"/>
      <c r="H118" s="67"/>
      <c r="I118" s="12"/>
      <c r="J118" s="61"/>
      <c r="K118" s="71"/>
      <c r="L118" s="62"/>
      <c r="M118" s="75"/>
      <c r="N118" s="73"/>
      <c r="O118" s="15"/>
    </row>
    <row r="119" spans="1:15" x14ac:dyDescent="0.25">
      <c r="A119" s="16"/>
      <c r="B119" s="49"/>
      <c r="C119" s="17"/>
      <c r="D119" s="13"/>
      <c r="E119" s="70"/>
      <c r="F119" s="14"/>
      <c r="G119" s="11"/>
      <c r="H119" s="67"/>
      <c r="I119" s="12"/>
      <c r="J119" s="61"/>
      <c r="K119" s="71"/>
      <c r="L119" s="62"/>
      <c r="M119" s="75"/>
      <c r="N119" s="73"/>
      <c r="O119" s="15"/>
    </row>
    <row r="120" spans="1:15" x14ac:dyDescent="0.25">
      <c r="A120" s="16"/>
      <c r="B120" s="49"/>
      <c r="C120" s="17"/>
      <c r="D120" s="13"/>
      <c r="E120" s="70"/>
      <c r="F120" s="14"/>
      <c r="G120" s="11"/>
      <c r="H120" s="67"/>
      <c r="I120" s="12"/>
      <c r="J120" s="61"/>
      <c r="K120" s="71"/>
      <c r="L120" s="62"/>
      <c r="M120" s="75"/>
      <c r="N120" s="73"/>
      <c r="O120" s="15"/>
    </row>
    <row r="121" spans="1:15" x14ac:dyDescent="0.25">
      <c r="A121" s="64"/>
      <c r="B121" s="64"/>
      <c r="C121" s="65"/>
      <c r="D121" s="64"/>
      <c r="E121" s="65"/>
      <c r="F121" s="65"/>
      <c r="G121" s="64"/>
      <c r="H121" s="65"/>
      <c r="I121" s="65"/>
      <c r="J121" s="64"/>
      <c r="K121" s="65"/>
      <c r="L121" s="65"/>
      <c r="M121" s="64"/>
      <c r="N121" s="65"/>
      <c r="O121" s="65"/>
    </row>
    <row r="122" spans="1:15" x14ac:dyDescent="0.25">
      <c r="A122" s="64"/>
      <c r="B122" s="64"/>
      <c r="C122" s="65"/>
      <c r="D122" s="64"/>
      <c r="E122" s="65"/>
      <c r="F122" s="65"/>
      <c r="G122" s="64"/>
      <c r="H122" s="65"/>
      <c r="I122" s="65"/>
      <c r="J122" s="64"/>
      <c r="K122" s="65"/>
      <c r="L122" s="65"/>
      <c r="M122" s="64"/>
      <c r="N122" s="65"/>
      <c r="O122" s="65"/>
    </row>
    <row r="123" spans="1:15" x14ac:dyDescent="0.25">
      <c r="A123" s="64"/>
      <c r="B123" s="64"/>
      <c r="C123" s="65"/>
      <c r="D123" s="64"/>
      <c r="E123" s="65"/>
      <c r="F123" s="65"/>
      <c r="G123" s="64"/>
      <c r="H123" s="65"/>
      <c r="I123" s="65"/>
      <c r="J123" s="64"/>
      <c r="K123" s="65"/>
      <c r="L123" s="65"/>
      <c r="M123" s="64"/>
      <c r="N123" s="65"/>
      <c r="O123" s="65"/>
    </row>
    <row r="124" spans="1:15" x14ac:dyDescent="0.25">
      <c r="A124" s="64"/>
      <c r="B124" s="64"/>
      <c r="C124" s="65"/>
      <c r="D124" s="64"/>
      <c r="E124" s="65"/>
      <c r="F124" s="65"/>
      <c r="G124" s="64"/>
      <c r="H124" s="65"/>
      <c r="I124" s="65"/>
      <c r="J124" s="64"/>
      <c r="K124" s="65"/>
      <c r="L124" s="65"/>
      <c r="M124" s="64"/>
      <c r="N124" s="65"/>
      <c r="O124" s="65"/>
    </row>
    <row r="125" spans="1:15" x14ac:dyDescent="0.25">
      <c r="A125" s="64"/>
      <c r="B125" s="64"/>
      <c r="C125" s="65"/>
      <c r="D125" s="64"/>
      <c r="E125" s="65"/>
      <c r="F125" s="65"/>
      <c r="G125" s="64"/>
      <c r="H125" s="65"/>
      <c r="I125" s="65"/>
      <c r="J125" s="64"/>
      <c r="K125" s="65"/>
      <c r="L125" s="65"/>
      <c r="M125" s="64"/>
      <c r="N125" s="65"/>
      <c r="O125" s="65"/>
    </row>
    <row r="126" spans="1:15" x14ac:dyDescent="0.25">
      <c r="A126" s="64"/>
      <c r="B126" s="64"/>
      <c r="C126" s="65"/>
      <c r="D126" s="64"/>
      <c r="E126" s="65"/>
      <c r="F126" s="65"/>
      <c r="G126" s="64"/>
      <c r="H126" s="65"/>
      <c r="I126" s="65"/>
      <c r="J126" s="64"/>
      <c r="K126" s="65"/>
      <c r="L126" s="65"/>
      <c r="M126" s="64"/>
      <c r="N126" s="65"/>
      <c r="O126" s="65"/>
    </row>
    <row r="127" spans="1:15" x14ac:dyDescent="0.25">
      <c r="A127" s="64"/>
      <c r="B127" s="64"/>
      <c r="C127" s="65"/>
      <c r="D127" s="64"/>
      <c r="E127" s="65"/>
      <c r="F127" s="65"/>
      <c r="G127" s="64"/>
      <c r="H127" s="65"/>
      <c r="I127" s="65"/>
      <c r="J127" s="64"/>
      <c r="K127" s="65"/>
      <c r="L127" s="65"/>
      <c r="M127" s="64"/>
      <c r="N127" s="65"/>
      <c r="O127" s="65"/>
    </row>
    <row r="128" spans="1:15" x14ac:dyDescent="0.25">
      <c r="A128" s="64"/>
      <c r="B128" s="64"/>
      <c r="C128" s="65"/>
      <c r="D128" s="64"/>
      <c r="E128" s="65"/>
      <c r="F128" s="65"/>
      <c r="G128" s="64"/>
      <c r="H128" s="65"/>
      <c r="I128" s="65"/>
      <c r="J128" s="64"/>
      <c r="K128" s="65"/>
      <c r="L128" s="65"/>
      <c r="M128" s="64"/>
      <c r="N128" s="65"/>
      <c r="O128" s="65"/>
    </row>
    <row r="129" spans="1:15" x14ac:dyDescent="0.25">
      <c r="A129" s="64"/>
      <c r="B129" s="64"/>
      <c r="C129" s="65"/>
      <c r="D129" s="64"/>
      <c r="E129" s="65"/>
      <c r="F129" s="65"/>
      <c r="G129" s="64"/>
      <c r="H129" s="65"/>
      <c r="I129" s="65"/>
      <c r="J129" s="64"/>
      <c r="K129" s="65"/>
      <c r="L129" s="65"/>
      <c r="M129" s="64"/>
      <c r="N129" s="65"/>
      <c r="O129" s="65"/>
    </row>
    <row r="130" spans="1:15" x14ac:dyDescent="0.25">
      <c r="A130" s="64"/>
      <c r="B130" s="64"/>
      <c r="C130" s="65"/>
      <c r="D130" s="64"/>
      <c r="E130" s="65"/>
      <c r="F130" s="65"/>
      <c r="G130" s="64"/>
      <c r="H130" s="65"/>
      <c r="I130" s="65"/>
      <c r="J130" s="64"/>
      <c r="K130" s="65"/>
      <c r="L130" s="65"/>
      <c r="M130" s="64"/>
      <c r="N130" s="65"/>
      <c r="O130" s="65"/>
    </row>
    <row r="131" spans="1:15" x14ac:dyDescent="0.25">
      <c r="A131" s="64"/>
      <c r="B131" s="64"/>
      <c r="C131" s="65"/>
      <c r="D131" s="64"/>
      <c r="E131" s="65"/>
      <c r="F131" s="65"/>
      <c r="G131" s="64"/>
      <c r="H131" s="65"/>
      <c r="I131" s="65"/>
      <c r="J131" s="64"/>
      <c r="K131" s="65"/>
      <c r="L131" s="65"/>
      <c r="M131" s="64"/>
      <c r="N131" s="65"/>
      <c r="O131" s="65"/>
    </row>
    <row r="132" spans="1:15" x14ac:dyDescent="0.25">
      <c r="A132" s="64"/>
      <c r="B132" s="64"/>
      <c r="C132" s="65"/>
      <c r="D132" s="64"/>
      <c r="E132" s="65"/>
      <c r="F132" s="65"/>
      <c r="G132" s="64"/>
      <c r="H132" s="65"/>
      <c r="I132" s="65"/>
      <c r="J132" s="64"/>
      <c r="K132" s="65"/>
      <c r="L132" s="65"/>
      <c r="M132" s="64"/>
      <c r="N132" s="65"/>
      <c r="O132" s="65"/>
    </row>
    <row r="133" spans="1:15" x14ac:dyDescent="0.25">
      <c r="A133" s="64"/>
      <c r="B133" s="64"/>
      <c r="C133" s="65"/>
      <c r="D133" s="64"/>
      <c r="E133" s="65"/>
      <c r="F133" s="65"/>
      <c r="G133" s="64"/>
      <c r="H133" s="65"/>
      <c r="I133" s="65"/>
      <c r="J133" s="64"/>
      <c r="K133" s="65"/>
      <c r="L133" s="65"/>
      <c r="M133" s="64"/>
      <c r="N133" s="65"/>
      <c r="O133" s="65"/>
    </row>
    <row r="134" spans="1:15" x14ac:dyDescent="0.25">
      <c r="A134" s="64"/>
      <c r="B134" s="64"/>
      <c r="C134" s="65"/>
      <c r="D134" s="64"/>
      <c r="E134" s="65"/>
      <c r="F134" s="65"/>
      <c r="G134" s="64"/>
      <c r="H134" s="65"/>
      <c r="I134" s="65"/>
      <c r="J134" s="64"/>
      <c r="K134" s="65"/>
      <c r="L134" s="65"/>
      <c r="M134" s="64"/>
      <c r="N134" s="65"/>
      <c r="O134" s="65"/>
    </row>
    <row r="135" spans="1:15" x14ac:dyDescent="0.25">
      <c r="A135" s="64"/>
      <c r="B135" s="64"/>
      <c r="C135" s="65"/>
      <c r="D135" s="64"/>
      <c r="E135" s="65"/>
      <c r="F135" s="65"/>
      <c r="G135" s="64"/>
      <c r="H135" s="65"/>
      <c r="I135" s="65"/>
      <c r="J135" s="64"/>
      <c r="K135" s="65"/>
      <c r="L135" s="65"/>
      <c r="M135" s="64"/>
      <c r="N135" s="65"/>
      <c r="O135" s="65"/>
    </row>
    <row r="136" spans="1:15" x14ac:dyDescent="0.25">
      <c r="A136" s="64"/>
      <c r="B136" s="64"/>
      <c r="C136" s="65"/>
      <c r="D136" s="64"/>
      <c r="E136" s="65"/>
      <c r="F136" s="65"/>
      <c r="G136" s="64"/>
      <c r="H136" s="65"/>
      <c r="I136" s="65"/>
      <c r="J136" s="64"/>
      <c r="K136" s="65"/>
      <c r="L136" s="65"/>
      <c r="M136" s="64"/>
      <c r="N136" s="65"/>
      <c r="O136" s="65"/>
    </row>
    <row r="137" spans="1:15" x14ac:dyDescent="0.25">
      <c r="A137" s="64"/>
      <c r="B137" s="64"/>
      <c r="C137" s="65"/>
      <c r="D137" s="64"/>
      <c r="E137" s="65"/>
      <c r="F137" s="65"/>
      <c r="G137" s="64"/>
      <c r="H137" s="65"/>
      <c r="I137" s="65"/>
      <c r="J137" s="64"/>
      <c r="K137" s="65"/>
      <c r="L137" s="65"/>
      <c r="M137" s="64"/>
      <c r="N137" s="65"/>
      <c r="O137" s="65"/>
    </row>
    <row r="138" spans="1:15" x14ac:dyDescent="0.25">
      <c r="A138" s="64"/>
      <c r="B138" s="64"/>
      <c r="C138" s="65"/>
      <c r="D138" s="64"/>
      <c r="E138" s="65"/>
      <c r="F138" s="65"/>
      <c r="G138" s="64"/>
      <c r="H138" s="65"/>
      <c r="I138" s="65"/>
      <c r="J138" s="64"/>
      <c r="K138" s="65"/>
      <c r="L138" s="65"/>
      <c r="M138" s="64"/>
      <c r="N138" s="65"/>
      <c r="O138" s="65"/>
    </row>
    <row r="139" spans="1:15" x14ac:dyDescent="0.25">
      <c r="A139" s="64"/>
      <c r="B139" s="64"/>
      <c r="C139" s="65"/>
      <c r="D139" s="64"/>
      <c r="E139" s="65"/>
      <c r="F139" s="65"/>
      <c r="G139" s="64"/>
      <c r="H139" s="65"/>
      <c r="I139" s="65"/>
      <c r="J139" s="64"/>
      <c r="K139" s="65"/>
      <c r="L139" s="65"/>
      <c r="M139" s="64"/>
      <c r="N139" s="65"/>
      <c r="O139" s="65"/>
    </row>
    <row r="140" spans="1:15" x14ac:dyDescent="0.25">
      <c r="A140" s="64"/>
      <c r="B140" s="64"/>
      <c r="C140" s="65"/>
      <c r="D140" s="64"/>
      <c r="E140" s="65"/>
      <c r="F140" s="65"/>
      <c r="G140" s="64"/>
      <c r="H140" s="65"/>
      <c r="I140" s="65"/>
      <c r="J140" s="64"/>
      <c r="K140" s="65"/>
      <c r="L140" s="65"/>
      <c r="M140" s="64"/>
      <c r="N140" s="65"/>
      <c r="O140" s="65"/>
    </row>
    <row r="141" spans="1:15" x14ac:dyDescent="0.25">
      <c r="A141" s="64"/>
      <c r="B141" s="64"/>
      <c r="C141" s="65"/>
      <c r="D141" s="64"/>
      <c r="E141" s="65"/>
      <c r="F141" s="65"/>
      <c r="G141" s="64"/>
      <c r="H141" s="65"/>
      <c r="I141" s="65"/>
      <c r="J141" s="64"/>
      <c r="K141" s="65"/>
      <c r="L141" s="65"/>
      <c r="M141" s="64"/>
      <c r="N141" s="65"/>
      <c r="O141" s="65"/>
    </row>
    <row r="142" spans="1:15" x14ac:dyDescent="0.25">
      <c r="A142" s="64"/>
      <c r="B142" s="64"/>
      <c r="C142" s="65"/>
      <c r="D142" s="64"/>
      <c r="E142" s="65"/>
      <c r="F142" s="65"/>
      <c r="G142" s="64"/>
      <c r="H142" s="65"/>
      <c r="I142" s="65"/>
      <c r="J142" s="64"/>
      <c r="K142" s="65"/>
      <c r="L142" s="65"/>
      <c r="M142" s="64"/>
      <c r="N142" s="65"/>
      <c r="O142" s="65"/>
    </row>
    <row r="143" spans="1:15" x14ac:dyDescent="0.25">
      <c r="A143" s="64"/>
      <c r="B143" s="64"/>
      <c r="C143" s="65"/>
      <c r="D143" s="64"/>
      <c r="E143" s="65"/>
      <c r="F143" s="65"/>
      <c r="G143" s="64"/>
      <c r="H143" s="65"/>
      <c r="I143" s="65"/>
      <c r="J143" s="64"/>
      <c r="K143" s="65"/>
      <c r="L143" s="65"/>
      <c r="M143" s="64"/>
      <c r="N143" s="65"/>
      <c r="O143" s="65"/>
    </row>
    <row r="144" spans="1:15" x14ac:dyDescent="0.25">
      <c r="A144" s="64"/>
      <c r="B144" s="64"/>
      <c r="C144" s="65"/>
      <c r="D144" s="64"/>
      <c r="E144" s="65"/>
      <c r="F144" s="65"/>
      <c r="G144" s="64"/>
      <c r="H144" s="65"/>
      <c r="I144" s="65"/>
      <c r="J144" s="64"/>
      <c r="K144" s="65"/>
      <c r="L144" s="65"/>
      <c r="M144" s="64"/>
      <c r="N144" s="65"/>
      <c r="O144" s="65"/>
    </row>
    <row r="145" spans="1:15" x14ac:dyDescent="0.25">
      <c r="A145" s="64"/>
      <c r="B145" s="64"/>
      <c r="C145" s="65"/>
      <c r="D145" s="64"/>
      <c r="E145" s="65"/>
      <c r="F145" s="65"/>
      <c r="G145" s="64"/>
      <c r="H145" s="65"/>
      <c r="I145" s="65"/>
      <c r="J145" s="64"/>
      <c r="K145" s="65"/>
      <c r="L145" s="65"/>
      <c r="M145" s="64"/>
      <c r="N145" s="65"/>
      <c r="O145" s="65"/>
    </row>
    <row r="146" spans="1:15" x14ac:dyDescent="0.25">
      <c r="A146" s="64"/>
      <c r="B146" s="64"/>
      <c r="C146" s="65"/>
      <c r="D146" s="64"/>
      <c r="E146" s="65"/>
      <c r="F146" s="65"/>
      <c r="G146" s="64"/>
      <c r="H146" s="65"/>
      <c r="I146" s="65"/>
      <c r="J146" s="64"/>
      <c r="K146" s="65"/>
      <c r="L146" s="65"/>
      <c r="M146" s="64"/>
      <c r="N146" s="65"/>
      <c r="O146" s="65"/>
    </row>
    <row r="147" spans="1:15" x14ac:dyDescent="0.25">
      <c r="A147" s="64"/>
      <c r="B147" s="64"/>
      <c r="C147" s="65"/>
      <c r="D147" s="64"/>
      <c r="E147" s="65"/>
      <c r="F147" s="65"/>
      <c r="G147" s="64"/>
      <c r="H147" s="65"/>
      <c r="I147" s="65"/>
      <c r="J147" s="64"/>
      <c r="K147" s="65"/>
      <c r="L147" s="65"/>
      <c r="M147" s="64"/>
      <c r="N147" s="65"/>
      <c r="O147" s="65"/>
    </row>
    <row r="148" spans="1:15" x14ac:dyDescent="0.25">
      <c r="A148" s="64"/>
      <c r="B148" s="64"/>
      <c r="C148" s="65"/>
      <c r="D148" s="64"/>
      <c r="E148" s="65"/>
      <c r="F148" s="65"/>
      <c r="G148" s="64"/>
      <c r="H148" s="65"/>
      <c r="I148" s="65"/>
      <c r="J148" s="64"/>
      <c r="K148" s="65"/>
      <c r="L148" s="65"/>
      <c r="M148" s="64"/>
      <c r="N148" s="65"/>
      <c r="O148" s="65"/>
    </row>
    <row r="149" spans="1:15" x14ac:dyDescent="0.25">
      <c r="A149" s="64"/>
      <c r="B149" s="64"/>
      <c r="C149" s="65"/>
      <c r="D149" s="64"/>
      <c r="E149" s="65"/>
      <c r="F149" s="65"/>
      <c r="G149" s="64"/>
      <c r="H149" s="65"/>
      <c r="I149" s="65"/>
      <c r="J149" s="64"/>
      <c r="K149" s="65"/>
      <c r="L149" s="65"/>
      <c r="M149" s="64"/>
      <c r="N149" s="65"/>
      <c r="O149" s="65"/>
    </row>
    <row r="150" spans="1:15" x14ac:dyDescent="0.25">
      <c r="A150" s="64"/>
      <c r="B150" s="64"/>
      <c r="C150" s="65"/>
      <c r="D150" s="64"/>
      <c r="E150" s="65"/>
      <c r="F150" s="65"/>
      <c r="G150" s="64"/>
      <c r="H150" s="65"/>
      <c r="I150" s="65"/>
      <c r="J150" s="64"/>
      <c r="K150" s="65"/>
      <c r="L150" s="65"/>
      <c r="M150" s="64"/>
      <c r="N150" s="65"/>
      <c r="O150" s="65"/>
    </row>
    <row r="151" spans="1:15" x14ac:dyDescent="0.25">
      <c r="A151" s="64"/>
      <c r="B151" s="64"/>
      <c r="C151" s="65"/>
      <c r="D151" s="64"/>
      <c r="E151" s="65"/>
      <c r="F151" s="65"/>
      <c r="G151" s="64"/>
      <c r="H151" s="65"/>
      <c r="I151" s="65"/>
      <c r="J151" s="64"/>
      <c r="K151" s="65"/>
      <c r="L151" s="65"/>
      <c r="M151" s="64"/>
      <c r="N151" s="65"/>
      <c r="O151" s="65"/>
    </row>
    <row r="152" spans="1:15" x14ac:dyDescent="0.25">
      <c r="A152" s="64"/>
      <c r="B152" s="64"/>
      <c r="C152" s="65"/>
      <c r="D152" s="64"/>
      <c r="E152" s="65"/>
      <c r="F152" s="65"/>
      <c r="G152" s="64"/>
      <c r="H152" s="65"/>
      <c r="I152" s="65"/>
      <c r="J152" s="64"/>
      <c r="K152" s="65"/>
      <c r="L152" s="65"/>
      <c r="M152" s="64"/>
      <c r="N152" s="65"/>
      <c r="O152" s="65"/>
    </row>
    <row r="153" spans="1:15" x14ac:dyDescent="0.25">
      <c r="A153" s="64"/>
      <c r="B153" s="64"/>
      <c r="C153" s="65"/>
      <c r="D153" s="64"/>
      <c r="E153" s="65"/>
      <c r="F153" s="65"/>
      <c r="G153" s="64"/>
      <c r="H153" s="65"/>
      <c r="I153" s="65"/>
      <c r="J153" s="64"/>
      <c r="K153" s="65"/>
      <c r="L153" s="65"/>
      <c r="M153" s="64"/>
      <c r="N153" s="65"/>
      <c r="O153" s="65"/>
    </row>
    <row r="154" spans="1:15" x14ac:dyDescent="0.25">
      <c r="A154" s="64"/>
      <c r="B154" s="64"/>
      <c r="C154" s="65"/>
      <c r="D154" s="64"/>
      <c r="E154" s="65"/>
      <c r="F154" s="65"/>
      <c r="G154" s="64"/>
      <c r="H154" s="65"/>
      <c r="I154" s="65"/>
      <c r="J154" s="64"/>
      <c r="K154" s="65"/>
      <c r="L154" s="65"/>
      <c r="M154" s="64"/>
      <c r="N154" s="65"/>
      <c r="O154" s="65"/>
    </row>
    <row r="155" spans="1:15" x14ac:dyDescent="0.25">
      <c r="A155" s="64"/>
      <c r="B155" s="64"/>
      <c r="C155" s="65"/>
      <c r="D155" s="64"/>
      <c r="E155" s="65"/>
      <c r="F155" s="65"/>
      <c r="G155" s="64"/>
      <c r="H155" s="65"/>
      <c r="I155" s="65"/>
      <c r="J155" s="64"/>
      <c r="K155" s="65"/>
      <c r="L155" s="65"/>
      <c r="M155" s="64"/>
      <c r="N155" s="65"/>
      <c r="O155" s="65"/>
    </row>
    <row r="156" spans="1:15" x14ac:dyDescent="0.25">
      <c r="A156" s="64"/>
      <c r="B156" s="64"/>
      <c r="C156" s="65"/>
      <c r="D156" s="64"/>
      <c r="E156" s="65"/>
      <c r="F156" s="65"/>
      <c r="G156" s="64"/>
      <c r="H156" s="65"/>
      <c r="I156" s="65"/>
      <c r="J156" s="64"/>
      <c r="K156" s="65"/>
      <c r="L156" s="65"/>
      <c r="M156" s="64"/>
      <c r="N156" s="65"/>
      <c r="O156" s="65"/>
    </row>
    <row r="157" spans="1:15" x14ac:dyDescent="0.25">
      <c r="A157" s="64"/>
      <c r="B157" s="64"/>
      <c r="C157" s="65"/>
      <c r="D157" s="64"/>
      <c r="E157" s="65"/>
      <c r="F157" s="65"/>
      <c r="G157" s="64"/>
      <c r="H157" s="65"/>
      <c r="I157" s="65"/>
      <c r="J157" s="64"/>
      <c r="K157" s="65"/>
      <c r="L157" s="65"/>
      <c r="M157" s="64"/>
      <c r="N157" s="65"/>
      <c r="O157" s="65"/>
    </row>
    <row r="158" spans="1:15" x14ac:dyDescent="0.25">
      <c r="A158" s="64"/>
      <c r="B158" s="64"/>
      <c r="C158" s="65"/>
      <c r="D158" s="64"/>
      <c r="E158" s="65"/>
      <c r="F158" s="65"/>
      <c r="G158" s="64"/>
      <c r="H158" s="65"/>
      <c r="I158" s="65"/>
      <c r="J158" s="64"/>
      <c r="K158" s="65"/>
      <c r="L158" s="65"/>
      <c r="M158" s="64"/>
      <c r="N158" s="65"/>
      <c r="O158" s="65"/>
    </row>
    <row r="159" spans="1:15" x14ac:dyDescent="0.25">
      <c r="A159" s="64"/>
      <c r="B159" s="64"/>
      <c r="C159" s="65"/>
      <c r="D159" s="64"/>
      <c r="E159" s="65"/>
      <c r="F159" s="65"/>
      <c r="G159" s="64"/>
      <c r="H159" s="65"/>
      <c r="I159" s="65"/>
      <c r="J159" s="64"/>
      <c r="K159" s="65"/>
      <c r="L159" s="65"/>
      <c r="M159" s="64"/>
      <c r="N159" s="65"/>
      <c r="O159" s="65"/>
    </row>
    <row r="160" spans="1:15" x14ac:dyDescent="0.25">
      <c r="A160" s="64"/>
      <c r="B160" s="64"/>
      <c r="C160" s="65"/>
      <c r="D160" s="64"/>
      <c r="E160" s="65"/>
      <c r="F160" s="65"/>
      <c r="G160" s="64"/>
      <c r="H160" s="65"/>
      <c r="I160" s="65"/>
      <c r="J160" s="64"/>
      <c r="K160" s="65"/>
      <c r="L160" s="65"/>
      <c r="M160" s="64"/>
      <c r="N160" s="65"/>
      <c r="O160" s="65"/>
    </row>
    <row r="161" spans="1:15" x14ac:dyDescent="0.25">
      <c r="A161" s="64"/>
      <c r="B161" s="64"/>
      <c r="C161" s="65"/>
      <c r="D161" s="64"/>
      <c r="E161" s="65"/>
      <c r="F161" s="65"/>
      <c r="G161" s="64"/>
      <c r="H161" s="65"/>
      <c r="I161" s="65"/>
      <c r="J161" s="64"/>
      <c r="K161" s="65"/>
      <c r="L161" s="65"/>
      <c r="M161" s="64"/>
      <c r="N161" s="65"/>
      <c r="O161" s="65"/>
    </row>
    <row r="162" spans="1:15" x14ac:dyDescent="0.25">
      <c r="A162" s="64"/>
      <c r="B162" s="64"/>
      <c r="C162" s="65"/>
      <c r="D162" s="64"/>
      <c r="E162" s="65"/>
      <c r="F162" s="65"/>
      <c r="G162" s="64"/>
      <c r="H162" s="65"/>
      <c r="I162" s="65"/>
      <c r="J162" s="64"/>
      <c r="K162" s="65"/>
      <c r="L162" s="65"/>
      <c r="M162" s="64"/>
      <c r="N162" s="65"/>
      <c r="O162" s="65"/>
    </row>
    <row r="163" spans="1:15" x14ac:dyDescent="0.25">
      <c r="A163" s="64"/>
      <c r="B163" s="64"/>
      <c r="C163" s="65"/>
      <c r="D163" s="64"/>
      <c r="E163" s="65"/>
      <c r="F163" s="65"/>
      <c r="G163" s="64"/>
      <c r="H163" s="65"/>
      <c r="I163" s="65"/>
      <c r="J163" s="64"/>
      <c r="K163" s="65"/>
      <c r="L163" s="65"/>
      <c r="M163" s="64"/>
      <c r="N163" s="65"/>
      <c r="O163" s="65"/>
    </row>
    <row r="164" spans="1:15" x14ac:dyDescent="0.25">
      <c r="A164" s="64"/>
      <c r="B164" s="64"/>
      <c r="C164" s="65"/>
      <c r="D164" s="64"/>
      <c r="E164" s="65"/>
      <c r="F164" s="65"/>
      <c r="G164" s="64"/>
      <c r="H164" s="65"/>
      <c r="I164" s="65"/>
      <c r="J164" s="64"/>
      <c r="K164" s="65"/>
      <c r="L164" s="65"/>
      <c r="M164" s="64"/>
      <c r="N164" s="65"/>
      <c r="O164" s="65"/>
    </row>
    <row r="165" spans="1:15" x14ac:dyDescent="0.25">
      <c r="A165" s="64"/>
      <c r="B165" s="64"/>
      <c r="C165" s="65"/>
      <c r="D165" s="64"/>
      <c r="E165" s="65"/>
      <c r="F165" s="65"/>
      <c r="G165" s="64"/>
      <c r="H165" s="65"/>
      <c r="I165" s="65"/>
      <c r="J165" s="64"/>
      <c r="K165" s="65"/>
      <c r="L165" s="65"/>
      <c r="M165" s="64"/>
      <c r="N165" s="65"/>
      <c r="O165" s="65"/>
    </row>
    <row r="166" spans="1:15" x14ac:dyDescent="0.25">
      <c r="A166" s="64"/>
      <c r="B166" s="64"/>
      <c r="C166" s="65"/>
      <c r="D166" s="64"/>
      <c r="E166" s="65"/>
      <c r="F166" s="65"/>
      <c r="G166" s="64"/>
      <c r="H166" s="65"/>
      <c r="I166" s="65"/>
      <c r="J166" s="64"/>
      <c r="K166" s="65"/>
      <c r="L166" s="65"/>
      <c r="M166" s="64"/>
      <c r="N166" s="65"/>
      <c r="O166" s="65"/>
    </row>
    <row r="167" spans="1:15" x14ac:dyDescent="0.25">
      <c r="A167" s="64"/>
      <c r="B167" s="64"/>
      <c r="C167" s="65"/>
      <c r="D167" s="64"/>
      <c r="E167" s="65"/>
      <c r="F167" s="65"/>
      <c r="G167" s="64"/>
      <c r="H167" s="65"/>
      <c r="I167" s="65"/>
      <c r="J167" s="64"/>
      <c r="K167" s="65"/>
      <c r="L167" s="65"/>
      <c r="M167" s="64"/>
      <c r="N167" s="65"/>
      <c r="O167" s="65"/>
    </row>
    <row r="168" spans="1:15" x14ac:dyDescent="0.25">
      <c r="A168" s="64"/>
      <c r="B168" s="64"/>
      <c r="C168" s="65"/>
      <c r="D168" s="64"/>
      <c r="E168" s="65"/>
      <c r="F168" s="65"/>
      <c r="G168" s="64"/>
      <c r="H168" s="65"/>
      <c r="I168" s="65"/>
      <c r="J168" s="64"/>
      <c r="K168" s="65"/>
      <c r="L168" s="65"/>
      <c r="M168" s="64"/>
      <c r="N168" s="65"/>
      <c r="O168" s="65"/>
    </row>
    <row r="169" spans="1:15" x14ac:dyDescent="0.25">
      <c r="A169" s="64"/>
      <c r="B169" s="64"/>
      <c r="C169" s="65"/>
      <c r="D169" s="64"/>
      <c r="E169" s="65"/>
      <c r="F169" s="65"/>
      <c r="G169" s="64"/>
      <c r="H169" s="65"/>
      <c r="I169" s="65"/>
      <c r="J169" s="64"/>
      <c r="K169" s="65"/>
      <c r="L169" s="65"/>
      <c r="M169" s="64"/>
      <c r="N169" s="65"/>
      <c r="O169" s="65"/>
    </row>
    <row r="170" spans="1:15" x14ac:dyDescent="0.25">
      <c r="A170" s="64"/>
      <c r="B170" s="64"/>
      <c r="C170" s="65"/>
      <c r="D170" s="64"/>
      <c r="E170" s="65"/>
      <c r="F170" s="65"/>
      <c r="G170" s="64"/>
      <c r="H170" s="65"/>
      <c r="I170" s="65"/>
      <c r="J170" s="64"/>
      <c r="K170" s="65"/>
      <c r="L170" s="65"/>
      <c r="M170" s="64"/>
      <c r="N170" s="65"/>
      <c r="O170" s="65"/>
    </row>
    <row r="171" spans="1:15" x14ac:dyDescent="0.25">
      <c r="A171" s="64"/>
      <c r="B171" s="64"/>
      <c r="C171" s="65"/>
      <c r="D171" s="64"/>
      <c r="E171" s="65"/>
      <c r="F171" s="65"/>
      <c r="G171" s="64"/>
      <c r="H171" s="65"/>
      <c r="I171" s="65"/>
      <c r="J171" s="64"/>
      <c r="K171" s="65"/>
      <c r="L171" s="65"/>
      <c r="M171" s="64"/>
      <c r="N171" s="65"/>
      <c r="O171" s="65"/>
    </row>
    <row r="172" spans="1:15" x14ac:dyDescent="0.25">
      <c r="A172" s="64"/>
      <c r="B172" s="64"/>
      <c r="C172" s="65"/>
      <c r="D172" s="64"/>
      <c r="E172" s="65"/>
      <c r="F172" s="65"/>
      <c r="G172" s="64"/>
      <c r="H172" s="65"/>
      <c r="I172" s="65"/>
      <c r="J172" s="64"/>
      <c r="K172" s="65"/>
      <c r="L172" s="65"/>
      <c r="M172" s="64"/>
      <c r="N172" s="65"/>
      <c r="O172" s="65"/>
    </row>
    <row r="173" spans="1:15" x14ac:dyDescent="0.25">
      <c r="A173" s="64"/>
      <c r="B173" s="64"/>
      <c r="C173" s="65"/>
      <c r="D173" s="64"/>
      <c r="E173" s="65"/>
      <c r="F173" s="65"/>
      <c r="G173" s="64"/>
      <c r="H173" s="65"/>
      <c r="I173" s="65"/>
      <c r="J173" s="64"/>
      <c r="K173" s="65"/>
      <c r="L173" s="65"/>
      <c r="M173" s="64"/>
      <c r="N173" s="65"/>
      <c r="O173" s="65"/>
    </row>
    <row r="174" spans="1:15" x14ac:dyDescent="0.25">
      <c r="A174" s="64"/>
      <c r="B174" s="64"/>
      <c r="C174" s="65"/>
      <c r="D174" s="64"/>
      <c r="E174" s="65"/>
      <c r="F174" s="65"/>
      <c r="G174" s="64"/>
      <c r="H174" s="65"/>
      <c r="I174" s="65"/>
      <c r="J174" s="64"/>
      <c r="K174" s="65"/>
      <c r="L174" s="65"/>
      <c r="M174" s="64"/>
      <c r="N174" s="65"/>
      <c r="O174" s="65"/>
    </row>
    <row r="175" spans="1:15" x14ac:dyDescent="0.25">
      <c r="A175" s="64"/>
      <c r="B175" s="64"/>
      <c r="C175" s="65"/>
      <c r="D175" s="64"/>
      <c r="E175" s="65"/>
      <c r="F175" s="65"/>
      <c r="G175" s="64"/>
      <c r="H175" s="65"/>
      <c r="I175" s="65"/>
      <c r="J175" s="64"/>
      <c r="K175" s="65"/>
      <c r="L175" s="65"/>
      <c r="M175" s="64"/>
      <c r="N175" s="65"/>
      <c r="O175" s="65"/>
    </row>
    <row r="176" spans="1:15" x14ac:dyDescent="0.25">
      <c r="A176" s="64"/>
      <c r="B176" s="64"/>
      <c r="C176" s="65"/>
      <c r="D176" s="64"/>
      <c r="E176" s="65"/>
      <c r="F176" s="65"/>
      <c r="G176" s="64"/>
      <c r="H176" s="65"/>
      <c r="I176" s="65"/>
      <c r="J176" s="64"/>
      <c r="K176" s="65"/>
      <c r="L176" s="65"/>
      <c r="M176" s="64"/>
      <c r="N176" s="65"/>
      <c r="O176" s="65"/>
    </row>
    <row r="177" spans="1:15" x14ac:dyDescent="0.25">
      <c r="A177" s="64"/>
      <c r="B177" s="64"/>
      <c r="C177" s="65"/>
      <c r="D177" s="64"/>
      <c r="E177" s="65"/>
      <c r="F177" s="65"/>
      <c r="G177" s="64"/>
      <c r="H177" s="65"/>
      <c r="I177" s="65"/>
      <c r="J177" s="64"/>
      <c r="K177" s="65"/>
      <c r="L177" s="65"/>
      <c r="M177" s="64"/>
      <c r="N177" s="65"/>
      <c r="O177" s="65"/>
    </row>
    <row r="178" spans="1:15" x14ac:dyDescent="0.25">
      <c r="A178" s="64"/>
      <c r="B178" s="64"/>
      <c r="C178" s="65"/>
      <c r="D178" s="64"/>
      <c r="E178" s="65"/>
      <c r="F178" s="65"/>
      <c r="G178" s="64"/>
      <c r="H178" s="65"/>
      <c r="I178" s="65"/>
      <c r="J178" s="64"/>
      <c r="K178" s="65"/>
      <c r="L178" s="65"/>
      <c r="M178" s="64"/>
      <c r="N178" s="65"/>
      <c r="O178" s="65"/>
    </row>
    <row r="179" spans="1:15" x14ac:dyDescent="0.25">
      <c r="A179" s="64"/>
      <c r="B179" s="64"/>
      <c r="C179" s="65"/>
      <c r="D179" s="64"/>
      <c r="E179" s="65"/>
      <c r="F179" s="65"/>
      <c r="G179" s="64"/>
      <c r="H179" s="65"/>
      <c r="I179" s="65"/>
      <c r="J179" s="64"/>
      <c r="K179" s="65"/>
      <c r="L179" s="65"/>
      <c r="M179" s="64"/>
      <c r="N179" s="65"/>
      <c r="O179" s="65"/>
    </row>
    <row r="180" spans="1:15" x14ac:dyDescent="0.25">
      <c r="A180" s="64"/>
      <c r="B180" s="64"/>
      <c r="C180" s="65"/>
      <c r="D180" s="64"/>
      <c r="E180" s="65"/>
      <c r="F180" s="65"/>
      <c r="G180" s="64"/>
      <c r="H180" s="65"/>
      <c r="I180" s="65"/>
      <c r="J180" s="64"/>
      <c r="K180" s="65"/>
      <c r="L180" s="65"/>
      <c r="M180" s="64"/>
      <c r="N180" s="65"/>
      <c r="O180" s="65"/>
    </row>
    <row r="181" spans="1:15" x14ac:dyDescent="0.25">
      <c r="A181" s="64"/>
      <c r="B181" s="64"/>
      <c r="C181" s="65"/>
      <c r="D181" s="64"/>
      <c r="E181" s="65"/>
      <c r="F181" s="65"/>
      <c r="G181" s="64"/>
      <c r="H181" s="65"/>
      <c r="I181" s="65"/>
      <c r="J181" s="64"/>
      <c r="K181" s="65"/>
      <c r="L181" s="65"/>
      <c r="M181" s="64"/>
      <c r="N181" s="65"/>
      <c r="O181" s="65"/>
    </row>
    <row r="182" spans="1:15" x14ac:dyDescent="0.25">
      <c r="A182" s="64"/>
      <c r="B182" s="64"/>
      <c r="C182" s="65"/>
      <c r="D182" s="64"/>
      <c r="E182" s="65"/>
      <c r="F182" s="65"/>
      <c r="G182" s="64"/>
      <c r="H182" s="65"/>
      <c r="I182" s="65"/>
      <c r="J182" s="64"/>
      <c r="K182" s="65"/>
      <c r="L182" s="65"/>
      <c r="M182" s="64"/>
      <c r="N182" s="65"/>
      <c r="O182" s="65"/>
    </row>
    <row r="183" spans="1:15" x14ac:dyDescent="0.25">
      <c r="A183" s="64"/>
      <c r="B183" s="64"/>
      <c r="C183" s="65"/>
      <c r="D183" s="64"/>
      <c r="E183" s="65"/>
      <c r="F183" s="65"/>
      <c r="G183" s="64"/>
      <c r="H183" s="65"/>
      <c r="I183" s="65"/>
      <c r="J183" s="64"/>
      <c r="K183" s="65"/>
      <c r="L183" s="65"/>
      <c r="M183" s="64"/>
      <c r="N183" s="65"/>
      <c r="O183" s="65"/>
    </row>
    <row r="184" spans="1:15" x14ac:dyDescent="0.25">
      <c r="A184" s="64"/>
      <c r="B184" s="64"/>
      <c r="C184" s="65"/>
      <c r="D184" s="64"/>
      <c r="E184" s="65"/>
      <c r="F184" s="65"/>
      <c r="G184" s="64"/>
      <c r="H184" s="65"/>
      <c r="I184" s="65"/>
      <c r="J184" s="64"/>
      <c r="K184" s="65"/>
      <c r="L184" s="65"/>
      <c r="M184" s="64"/>
      <c r="N184" s="65"/>
      <c r="O184" s="65"/>
    </row>
    <row r="185" spans="1:15" x14ac:dyDescent="0.25">
      <c r="A185" s="64"/>
      <c r="B185" s="64"/>
      <c r="C185" s="65"/>
      <c r="D185" s="64"/>
      <c r="E185" s="65"/>
      <c r="F185" s="65"/>
      <c r="G185" s="64"/>
      <c r="H185" s="65"/>
      <c r="I185" s="65"/>
      <c r="J185" s="64"/>
      <c r="K185" s="65"/>
      <c r="L185" s="65"/>
      <c r="M185" s="64"/>
      <c r="N185" s="65"/>
      <c r="O185" s="65"/>
    </row>
    <row r="186" spans="1:15" x14ac:dyDescent="0.25">
      <c r="A186" s="64"/>
      <c r="B186" s="64"/>
      <c r="C186" s="65"/>
      <c r="D186" s="64"/>
      <c r="E186" s="65"/>
      <c r="F186" s="65"/>
      <c r="G186" s="64"/>
      <c r="H186" s="65"/>
      <c r="I186" s="65"/>
      <c r="J186" s="64"/>
      <c r="K186" s="65"/>
      <c r="L186" s="65"/>
      <c r="M186" s="64"/>
      <c r="N186" s="65"/>
      <c r="O186" s="65"/>
    </row>
    <row r="187" spans="1:15" x14ac:dyDescent="0.25">
      <c r="A187" s="64"/>
      <c r="B187" s="64"/>
      <c r="C187" s="65"/>
      <c r="D187" s="64"/>
      <c r="E187" s="65"/>
      <c r="F187" s="65"/>
      <c r="G187" s="64"/>
      <c r="H187" s="65"/>
      <c r="I187" s="65"/>
      <c r="J187" s="64"/>
      <c r="K187" s="65"/>
      <c r="L187" s="65"/>
      <c r="M187" s="64"/>
      <c r="N187" s="65"/>
      <c r="O187" s="65"/>
    </row>
    <row r="188" spans="1:15" x14ac:dyDescent="0.25">
      <c r="A188" s="64"/>
      <c r="B188" s="64"/>
      <c r="C188" s="65"/>
      <c r="D188" s="64"/>
      <c r="E188" s="65"/>
      <c r="F188" s="65"/>
      <c r="G188" s="64"/>
      <c r="H188" s="65"/>
      <c r="I188" s="65"/>
      <c r="J188" s="64"/>
      <c r="K188" s="65"/>
      <c r="L188" s="65"/>
      <c r="M188" s="64"/>
      <c r="N188" s="65"/>
      <c r="O188" s="65"/>
    </row>
    <row r="189" spans="1:15" x14ac:dyDescent="0.25">
      <c r="A189" s="64"/>
      <c r="B189" s="64"/>
      <c r="C189" s="65"/>
      <c r="D189" s="64"/>
      <c r="E189" s="65"/>
      <c r="F189" s="65"/>
      <c r="G189" s="64"/>
      <c r="H189" s="65"/>
      <c r="I189" s="65"/>
      <c r="J189" s="64"/>
      <c r="K189" s="65"/>
      <c r="L189" s="65"/>
      <c r="M189" s="64"/>
      <c r="N189" s="65"/>
      <c r="O189" s="65"/>
    </row>
    <row r="190" spans="1:15" x14ac:dyDescent="0.25">
      <c r="A190" s="64"/>
      <c r="B190" s="64"/>
      <c r="C190" s="65"/>
      <c r="D190" s="64"/>
      <c r="E190" s="65"/>
      <c r="F190" s="65"/>
      <c r="G190" s="64"/>
      <c r="H190" s="65"/>
      <c r="I190" s="65"/>
      <c r="J190" s="64"/>
      <c r="K190" s="65"/>
      <c r="L190" s="65"/>
      <c r="M190" s="64"/>
      <c r="N190" s="65"/>
      <c r="O190" s="65"/>
    </row>
    <row r="191" spans="1:15" x14ac:dyDescent="0.25">
      <c r="A191" s="64"/>
      <c r="B191" s="64"/>
      <c r="C191" s="65"/>
      <c r="D191" s="64"/>
      <c r="E191" s="65"/>
      <c r="F191" s="65"/>
      <c r="G191" s="64"/>
      <c r="H191" s="65"/>
      <c r="I191" s="65"/>
      <c r="J191" s="64"/>
      <c r="K191" s="65"/>
      <c r="L191" s="65"/>
      <c r="M191" s="64"/>
      <c r="N191" s="65"/>
      <c r="O191" s="65"/>
    </row>
    <row r="192" spans="1:15" x14ac:dyDescent="0.25">
      <c r="A192" s="64"/>
      <c r="B192" s="64"/>
      <c r="C192" s="65"/>
      <c r="D192" s="64"/>
      <c r="E192" s="65"/>
      <c r="F192" s="65"/>
      <c r="G192" s="64"/>
      <c r="H192" s="65"/>
      <c r="I192" s="65"/>
      <c r="J192" s="64"/>
      <c r="K192" s="65"/>
      <c r="L192" s="65"/>
      <c r="M192" s="64"/>
      <c r="N192" s="65"/>
      <c r="O192" s="65"/>
    </row>
    <row r="193" spans="1:15" x14ac:dyDescent="0.25">
      <c r="A193" s="64"/>
      <c r="B193" s="64"/>
      <c r="C193" s="65"/>
      <c r="D193" s="64"/>
      <c r="E193" s="65"/>
      <c r="F193" s="65"/>
      <c r="G193" s="64"/>
      <c r="H193" s="65"/>
      <c r="I193" s="65"/>
      <c r="J193" s="64"/>
      <c r="K193" s="65"/>
      <c r="L193" s="65"/>
      <c r="M193" s="64"/>
      <c r="N193" s="65"/>
      <c r="O193" s="65"/>
    </row>
    <row r="194" spans="1:15" x14ac:dyDescent="0.25">
      <c r="A194" s="64"/>
      <c r="B194" s="64"/>
      <c r="C194" s="65"/>
      <c r="D194" s="64"/>
      <c r="E194" s="65"/>
      <c r="F194" s="65"/>
      <c r="G194" s="64"/>
      <c r="H194" s="65"/>
      <c r="I194" s="65"/>
      <c r="J194" s="64"/>
      <c r="K194" s="65"/>
      <c r="L194" s="65"/>
      <c r="M194" s="64"/>
      <c r="N194" s="65"/>
      <c r="O194" s="65"/>
    </row>
    <row r="195" spans="1:15" x14ac:dyDescent="0.25">
      <c r="A195" s="64"/>
      <c r="B195" s="64"/>
      <c r="C195" s="65"/>
      <c r="D195" s="64"/>
      <c r="E195" s="65"/>
      <c r="F195" s="65"/>
      <c r="G195" s="64"/>
      <c r="H195" s="65"/>
      <c r="I195" s="65"/>
      <c r="J195" s="64"/>
      <c r="K195" s="65"/>
      <c r="L195" s="65"/>
      <c r="M195" s="64"/>
      <c r="N195" s="65"/>
      <c r="O195" s="65"/>
    </row>
    <row r="196" spans="1:15" x14ac:dyDescent="0.25">
      <c r="A196" s="64"/>
      <c r="B196" s="64"/>
      <c r="C196" s="65"/>
      <c r="D196" s="64"/>
      <c r="E196" s="65"/>
      <c r="F196" s="65"/>
      <c r="G196" s="64"/>
      <c r="H196" s="65"/>
      <c r="I196" s="65"/>
      <c r="J196" s="64"/>
      <c r="K196" s="65"/>
      <c r="L196" s="65"/>
      <c r="M196" s="64"/>
      <c r="N196" s="65"/>
      <c r="O196" s="65"/>
    </row>
    <row r="197" spans="1:15" x14ac:dyDescent="0.25">
      <c r="A197" s="64"/>
      <c r="B197" s="64"/>
      <c r="C197" s="65"/>
      <c r="D197" s="64"/>
      <c r="E197" s="65"/>
      <c r="F197" s="65"/>
      <c r="G197" s="64"/>
      <c r="H197" s="65"/>
      <c r="I197" s="65"/>
      <c r="J197" s="64"/>
      <c r="K197" s="65"/>
      <c r="L197" s="65"/>
      <c r="M197" s="64"/>
      <c r="N197" s="65"/>
      <c r="O197" s="65"/>
    </row>
    <row r="198" spans="1:15" x14ac:dyDescent="0.25">
      <c r="A198" s="64"/>
      <c r="B198" s="64"/>
      <c r="C198" s="65"/>
      <c r="D198" s="64"/>
      <c r="E198" s="65"/>
      <c r="F198" s="65"/>
      <c r="G198" s="64"/>
      <c r="H198" s="65"/>
      <c r="I198" s="65"/>
      <c r="J198" s="64"/>
      <c r="K198" s="65"/>
      <c r="L198" s="65"/>
      <c r="M198" s="64"/>
      <c r="N198" s="65"/>
      <c r="O198" s="65"/>
    </row>
    <row r="199" spans="1:15" x14ac:dyDescent="0.25">
      <c r="A199" s="64"/>
      <c r="B199" s="64"/>
      <c r="C199" s="65"/>
      <c r="D199" s="64"/>
      <c r="E199" s="65"/>
      <c r="F199" s="65"/>
      <c r="G199" s="64"/>
      <c r="H199" s="65"/>
      <c r="I199" s="65"/>
      <c r="J199" s="64"/>
      <c r="K199" s="65"/>
      <c r="L199" s="65"/>
      <c r="M199" s="64"/>
      <c r="N199" s="65"/>
      <c r="O199" s="65"/>
    </row>
    <row r="200" spans="1:15" x14ac:dyDescent="0.25">
      <c r="A200" s="64"/>
      <c r="B200" s="64"/>
      <c r="C200" s="65"/>
      <c r="D200" s="64"/>
      <c r="E200" s="65"/>
      <c r="F200" s="65"/>
      <c r="G200" s="64"/>
      <c r="H200" s="65"/>
      <c r="I200" s="65"/>
      <c r="J200" s="64"/>
      <c r="K200" s="65"/>
      <c r="L200" s="65"/>
      <c r="M200" s="64"/>
      <c r="N200" s="65"/>
      <c r="O200" s="65"/>
    </row>
    <row r="201" spans="1:15" x14ac:dyDescent="0.25">
      <c r="A201" s="64"/>
      <c r="B201" s="64"/>
      <c r="C201" s="65"/>
      <c r="D201" s="64"/>
      <c r="E201" s="65"/>
      <c r="F201" s="65"/>
      <c r="G201" s="64"/>
      <c r="H201" s="65"/>
      <c r="I201" s="65"/>
      <c r="J201" s="64"/>
      <c r="K201" s="65"/>
      <c r="L201" s="65"/>
      <c r="M201" s="64"/>
      <c r="N201" s="65"/>
      <c r="O201" s="65"/>
    </row>
    <row r="202" spans="1:15" x14ac:dyDescent="0.25">
      <c r="A202" s="64"/>
      <c r="B202" s="64"/>
      <c r="C202" s="65"/>
      <c r="D202" s="64"/>
      <c r="E202" s="65"/>
      <c r="F202" s="65"/>
      <c r="G202" s="64"/>
      <c r="H202" s="65"/>
      <c r="I202" s="65"/>
      <c r="J202" s="64"/>
      <c r="K202" s="65"/>
      <c r="L202" s="65"/>
      <c r="M202" s="64"/>
      <c r="N202" s="65"/>
      <c r="O202" s="65"/>
    </row>
    <row r="203" spans="1:15" x14ac:dyDescent="0.25">
      <c r="A203" s="64"/>
      <c r="B203" s="64"/>
      <c r="C203" s="65"/>
      <c r="D203" s="64"/>
      <c r="E203" s="65"/>
      <c r="F203" s="65"/>
      <c r="G203" s="64"/>
      <c r="H203" s="65"/>
      <c r="I203" s="65"/>
      <c r="J203" s="64"/>
      <c r="K203" s="65"/>
      <c r="L203" s="65"/>
      <c r="M203" s="64"/>
      <c r="N203" s="65"/>
      <c r="O203" s="65"/>
    </row>
    <row r="204" spans="1:15" x14ac:dyDescent="0.25">
      <c r="A204" s="64"/>
      <c r="B204" s="64"/>
      <c r="C204" s="65"/>
      <c r="D204" s="64"/>
      <c r="E204" s="65"/>
      <c r="F204" s="65"/>
      <c r="G204" s="64"/>
      <c r="H204" s="65"/>
      <c r="I204" s="65"/>
      <c r="J204" s="64"/>
      <c r="K204" s="65"/>
      <c r="L204" s="65"/>
      <c r="M204" s="64"/>
      <c r="N204" s="65"/>
      <c r="O204" s="65"/>
    </row>
    <row r="205" spans="1:15" x14ac:dyDescent="0.25">
      <c r="A205" s="64"/>
      <c r="B205" s="64"/>
      <c r="C205" s="65"/>
      <c r="D205" s="64"/>
      <c r="E205" s="65"/>
      <c r="F205" s="65"/>
      <c r="G205" s="64"/>
      <c r="H205" s="65"/>
      <c r="I205" s="65"/>
      <c r="J205" s="64"/>
      <c r="K205" s="65"/>
      <c r="L205" s="65"/>
      <c r="M205" s="64"/>
      <c r="N205" s="65"/>
      <c r="O205" s="65"/>
    </row>
    <row r="206" spans="1:15" x14ac:dyDescent="0.25">
      <c r="A206" s="64"/>
      <c r="B206" s="64"/>
      <c r="C206" s="65"/>
      <c r="D206" s="64"/>
      <c r="E206" s="65"/>
      <c r="F206" s="65"/>
      <c r="G206" s="64"/>
      <c r="H206" s="65"/>
      <c r="I206" s="65"/>
      <c r="J206" s="64"/>
      <c r="K206" s="65"/>
      <c r="L206" s="65"/>
      <c r="M206" s="64"/>
      <c r="N206" s="65"/>
      <c r="O206" s="65"/>
    </row>
    <row r="207" spans="1:15" x14ac:dyDescent="0.25">
      <c r="A207" s="64"/>
      <c r="B207" s="64"/>
      <c r="C207" s="65"/>
      <c r="D207" s="64"/>
      <c r="E207" s="65"/>
      <c r="F207" s="65"/>
      <c r="G207" s="64"/>
      <c r="H207" s="65"/>
      <c r="I207" s="65"/>
      <c r="J207" s="64"/>
      <c r="K207" s="65"/>
      <c r="L207" s="65"/>
      <c r="M207" s="64"/>
      <c r="N207" s="65"/>
      <c r="O207" s="65"/>
    </row>
    <row r="208" spans="1:15" x14ac:dyDescent="0.25">
      <c r="A208" s="64"/>
      <c r="B208" s="64"/>
      <c r="C208" s="65"/>
      <c r="D208" s="64"/>
      <c r="E208" s="65"/>
      <c r="F208" s="65"/>
      <c r="G208" s="64"/>
      <c r="H208" s="65"/>
      <c r="I208" s="65"/>
      <c r="J208" s="64"/>
      <c r="K208" s="65"/>
      <c r="L208" s="65"/>
      <c r="M208" s="64"/>
      <c r="N208" s="65"/>
      <c r="O208" s="65"/>
    </row>
    <row r="209" spans="1:15" x14ac:dyDescent="0.25">
      <c r="A209" s="64"/>
      <c r="B209" s="64"/>
      <c r="C209" s="65"/>
      <c r="D209" s="64"/>
      <c r="E209" s="65"/>
      <c r="F209" s="65"/>
      <c r="G209" s="64"/>
      <c r="H209" s="65"/>
      <c r="I209" s="65"/>
      <c r="J209" s="64"/>
      <c r="K209" s="65"/>
      <c r="L209" s="65"/>
      <c r="M209" s="64"/>
      <c r="N209" s="65"/>
      <c r="O209" s="65"/>
    </row>
    <row r="210" spans="1:15" x14ac:dyDescent="0.25">
      <c r="A210" s="64"/>
      <c r="B210" s="64"/>
      <c r="C210" s="65"/>
      <c r="D210" s="64"/>
      <c r="E210" s="65"/>
      <c r="F210" s="65"/>
      <c r="G210" s="64"/>
      <c r="H210" s="65"/>
      <c r="I210" s="65"/>
      <c r="J210" s="64"/>
      <c r="K210" s="65"/>
      <c r="L210" s="65"/>
      <c r="M210" s="64"/>
      <c r="N210" s="65"/>
      <c r="O210" s="65"/>
    </row>
    <row r="211" spans="1:15" x14ac:dyDescent="0.25">
      <c r="A211" s="64"/>
      <c r="B211" s="64"/>
      <c r="C211" s="65"/>
      <c r="D211" s="64"/>
      <c r="E211" s="65"/>
      <c r="F211" s="65"/>
      <c r="G211" s="64"/>
      <c r="H211" s="65"/>
      <c r="I211" s="65"/>
      <c r="J211" s="64"/>
      <c r="K211" s="65"/>
      <c r="L211" s="65"/>
      <c r="M211" s="64"/>
      <c r="N211" s="65"/>
      <c r="O211" s="65"/>
    </row>
    <row r="212" spans="1:15" x14ac:dyDescent="0.25">
      <c r="A212" s="64"/>
      <c r="B212" s="64"/>
      <c r="C212" s="65"/>
      <c r="D212" s="64"/>
      <c r="E212" s="65"/>
      <c r="F212" s="65"/>
      <c r="G212" s="64"/>
      <c r="H212" s="65"/>
      <c r="I212" s="65"/>
      <c r="J212" s="64"/>
      <c r="K212" s="65"/>
      <c r="L212" s="65"/>
      <c r="M212" s="64"/>
      <c r="N212" s="65"/>
      <c r="O212" s="65"/>
    </row>
    <row r="213" spans="1:15" x14ac:dyDescent="0.25">
      <c r="A213" s="64"/>
      <c r="B213" s="64"/>
      <c r="C213" s="65"/>
      <c r="D213" s="64"/>
      <c r="E213" s="65"/>
      <c r="F213" s="65"/>
      <c r="G213" s="64"/>
      <c r="H213" s="65"/>
      <c r="I213" s="65"/>
      <c r="J213" s="64"/>
      <c r="K213" s="65"/>
      <c r="L213" s="65"/>
      <c r="M213" s="64"/>
      <c r="N213" s="65"/>
      <c r="O213" s="65"/>
    </row>
    <row r="214" spans="1:15" x14ac:dyDescent="0.25">
      <c r="A214" s="64"/>
      <c r="B214" s="64"/>
      <c r="C214" s="65"/>
      <c r="D214" s="64"/>
      <c r="E214" s="65"/>
      <c r="F214" s="65"/>
      <c r="G214" s="64"/>
      <c r="H214" s="65"/>
      <c r="I214" s="65"/>
      <c r="J214" s="64"/>
      <c r="K214" s="65"/>
      <c r="L214" s="65"/>
      <c r="M214" s="64"/>
      <c r="N214" s="65"/>
      <c r="O214" s="65"/>
    </row>
    <row r="215" spans="1:15" x14ac:dyDescent="0.25">
      <c r="A215" s="64"/>
      <c r="B215" s="64"/>
      <c r="C215" s="65"/>
      <c r="D215" s="64"/>
      <c r="E215" s="65"/>
      <c r="F215" s="65"/>
      <c r="G215" s="64"/>
      <c r="H215" s="65"/>
      <c r="I215" s="65"/>
      <c r="J215" s="64"/>
      <c r="K215" s="65"/>
      <c r="L215" s="65"/>
      <c r="M215" s="64"/>
      <c r="N215" s="65"/>
      <c r="O215" s="65"/>
    </row>
    <row r="216" spans="1:15" x14ac:dyDescent="0.25">
      <c r="A216" s="64"/>
      <c r="B216" s="64"/>
      <c r="C216" s="65"/>
      <c r="D216" s="64"/>
      <c r="E216" s="65"/>
      <c r="F216" s="65"/>
      <c r="G216" s="64"/>
      <c r="H216" s="65"/>
      <c r="I216" s="65"/>
      <c r="J216" s="64"/>
      <c r="K216" s="65"/>
      <c r="L216" s="65"/>
      <c r="M216" s="64"/>
      <c r="N216" s="65"/>
      <c r="O216" s="65"/>
    </row>
    <row r="217" spans="1:15" x14ac:dyDescent="0.25">
      <c r="A217" s="64"/>
      <c r="B217" s="64"/>
      <c r="C217" s="65"/>
      <c r="D217" s="64"/>
      <c r="E217" s="65"/>
      <c r="F217" s="65"/>
      <c r="G217" s="64"/>
      <c r="H217" s="65"/>
      <c r="I217" s="65"/>
      <c r="J217" s="64"/>
      <c r="K217" s="65"/>
      <c r="L217" s="65"/>
      <c r="M217" s="64"/>
      <c r="N217" s="65"/>
      <c r="O217" s="65"/>
    </row>
    <row r="218" spans="1:15" x14ac:dyDescent="0.25">
      <c r="A218" s="64"/>
      <c r="B218" s="64"/>
      <c r="C218" s="65"/>
      <c r="D218" s="64"/>
      <c r="E218" s="65"/>
      <c r="F218" s="65"/>
      <c r="G218" s="64"/>
      <c r="H218" s="65"/>
      <c r="I218" s="65"/>
      <c r="J218" s="64"/>
      <c r="K218" s="65"/>
      <c r="L218" s="65"/>
      <c r="M218" s="64"/>
      <c r="N218" s="65"/>
      <c r="O218" s="65"/>
    </row>
    <row r="219" spans="1:15" x14ac:dyDescent="0.25">
      <c r="A219" s="64"/>
      <c r="B219" s="64"/>
      <c r="C219" s="65"/>
      <c r="D219" s="64"/>
      <c r="E219" s="65"/>
      <c r="F219" s="65"/>
      <c r="G219" s="64"/>
      <c r="H219" s="65"/>
      <c r="I219" s="65"/>
      <c r="J219" s="64"/>
      <c r="K219" s="65"/>
      <c r="L219" s="65"/>
      <c r="M219" s="64"/>
      <c r="N219" s="65"/>
      <c r="O219" s="65"/>
    </row>
    <row r="220" spans="1:15" x14ac:dyDescent="0.25">
      <c r="A220" s="64"/>
      <c r="B220" s="64"/>
      <c r="C220" s="65"/>
      <c r="D220" s="64"/>
      <c r="E220" s="65"/>
      <c r="F220" s="65"/>
      <c r="G220" s="64"/>
      <c r="H220" s="65"/>
      <c r="I220" s="65"/>
      <c r="J220" s="64"/>
      <c r="K220" s="65"/>
      <c r="L220" s="65"/>
      <c r="M220" s="64"/>
      <c r="N220" s="65"/>
      <c r="O220" s="65"/>
    </row>
    <row r="221" spans="1:15" x14ac:dyDescent="0.25">
      <c r="A221" s="64"/>
      <c r="B221" s="64"/>
      <c r="C221" s="65"/>
      <c r="D221" s="64"/>
      <c r="E221" s="65"/>
      <c r="F221" s="65"/>
      <c r="G221" s="64"/>
      <c r="H221" s="65"/>
      <c r="I221" s="65"/>
      <c r="J221" s="64"/>
      <c r="K221" s="65"/>
      <c r="L221" s="65"/>
      <c r="M221" s="64"/>
      <c r="N221" s="65"/>
      <c r="O221" s="65"/>
    </row>
    <row r="222" spans="1:15" x14ac:dyDescent="0.25">
      <c r="A222" s="64"/>
      <c r="B222" s="64"/>
      <c r="C222" s="65"/>
      <c r="D222" s="64"/>
      <c r="E222" s="65"/>
      <c r="F222" s="65"/>
      <c r="G222" s="64"/>
      <c r="H222" s="65"/>
      <c r="I222" s="65"/>
      <c r="J222" s="64"/>
      <c r="K222" s="65"/>
      <c r="L222" s="65"/>
      <c r="M222" s="64"/>
      <c r="N222" s="65"/>
      <c r="O222" s="65"/>
    </row>
    <row r="223" spans="1:15" x14ac:dyDescent="0.25">
      <c r="A223" s="64"/>
      <c r="B223" s="64"/>
      <c r="C223" s="65"/>
      <c r="D223" s="64"/>
      <c r="E223" s="65"/>
      <c r="F223" s="65"/>
      <c r="G223" s="64"/>
      <c r="H223" s="65"/>
      <c r="I223" s="65"/>
      <c r="J223" s="64"/>
      <c r="K223" s="65"/>
      <c r="L223" s="65"/>
      <c r="M223" s="64"/>
      <c r="N223" s="65"/>
      <c r="O223" s="65"/>
    </row>
    <row r="224" spans="1:15" x14ac:dyDescent="0.25">
      <c r="A224" s="64"/>
      <c r="B224" s="64"/>
      <c r="C224" s="65"/>
      <c r="D224" s="64"/>
      <c r="E224" s="65"/>
      <c r="F224" s="65"/>
      <c r="G224" s="64"/>
      <c r="H224" s="65"/>
      <c r="I224" s="65"/>
      <c r="J224" s="64"/>
      <c r="K224" s="65"/>
      <c r="L224" s="65"/>
      <c r="M224" s="64"/>
      <c r="N224" s="65"/>
      <c r="O224" s="65"/>
    </row>
    <row r="225" spans="1:15" x14ac:dyDescent="0.25">
      <c r="A225" s="64"/>
      <c r="B225" s="64"/>
      <c r="C225" s="65"/>
      <c r="D225" s="64"/>
      <c r="E225" s="65"/>
      <c r="F225" s="65"/>
      <c r="G225" s="64"/>
      <c r="H225" s="65"/>
      <c r="I225" s="65"/>
      <c r="J225" s="64"/>
      <c r="K225" s="65"/>
      <c r="L225" s="65"/>
      <c r="M225" s="64"/>
      <c r="N225" s="65"/>
      <c r="O225" s="65"/>
    </row>
    <row r="226" spans="1:15" x14ac:dyDescent="0.25">
      <c r="A226" s="64"/>
      <c r="B226" s="64"/>
      <c r="C226" s="65"/>
      <c r="D226" s="64"/>
      <c r="E226" s="65"/>
      <c r="F226" s="65"/>
      <c r="G226" s="64"/>
      <c r="H226" s="65"/>
      <c r="I226" s="65"/>
      <c r="J226" s="64"/>
      <c r="K226" s="65"/>
      <c r="L226" s="65"/>
      <c r="M226" s="64"/>
      <c r="N226" s="65"/>
      <c r="O226" s="65"/>
    </row>
    <row r="227" spans="1:15" x14ac:dyDescent="0.25">
      <c r="A227" s="64"/>
      <c r="B227" s="64"/>
      <c r="C227" s="65"/>
      <c r="D227" s="64"/>
      <c r="E227" s="65"/>
      <c r="F227" s="65"/>
      <c r="G227" s="64"/>
      <c r="H227" s="65"/>
      <c r="I227" s="65"/>
      <c r="J227" s="64"/>
      <c r="K227" s="65"/>
      <c r="L227" s="65"/>
      <c r="M227" s="64"/>
      <c r="N227" s="65"/>
      <c r="O227" s="65"/>
    </row>
    <row r="228" spans="1:15" x14ac:dyDescent="0.25">
      <c r="A228" s="64"/>
      <c r="B228" s="64"/>
      <c r="C228" s="65"/>
      <c r="D228" s="64"/>
      <c r="E228" s="65"/>
      <c r="F228" s="65"/>
      <c r="G228" s="64"/>
      <c r="H228" s="65"/>
      <c r="I228" s="65"/>
      <c r="J228" s="64"/>
      <c r="K228" s="65"/>
      <c r="L228" s="65"/>
      <c r="M228" s="64"/>
      <c r="N228" s="65"/>
      <c r="O228" s="65"/>
    </row>
    <row r="229" spans="1:15" x14ac:dyDescent="0.25">
      <c r="A229" s="64"/>
      <c r="B229" s="64"/>
      <c r="C229" s="65"/>
      <c r="D229" s="64"/>
      <c r="E229" s="65"/>
      <c r="F229" s="65"/>
      <c r="G229" s="64"/>
      <c r="H229" s="65"/>
      <c r="I229" s="65"/>
      <c r="J229" s="64"/>
      <c r="K229" s="65"/>
      <c r="L229" s="65"/>
      <c r="M229" s="64"/>
      <c r="N229" s="65"/>
      <c r="O229" s="65"/>
    </row>
    <row r="230" spans="1:15" x14ac:dyDescent="0.25">
      <c r="A230" s="64"/>
      <c r="B230" s="64"/>
      <c r="C230" s="65"/>
      <c r="D230" s="64"/>
      <c r="E230" s="65"/>
      <c r="F230" s="65"/>
      <c r="G230" s="64"/>
      <c r="H230" s="65"/>
      <c r="I230" s="65"/>
      <c r="J230" s="64"/>
      <c r="K230" s="65"/>
      <c r="L230" s="65"/>
      <c r="M230" s="64"/>
      <c r="N230" s="65"/>
      <c r="O230" s="65"/>
    </row>
    <row r="231" spans="1:15" x14ac:dyDescent="0.25">
      <c r="A231" s="64"/>
      <c r="B231" s="64"/>
      <c r="C231" s="65"/>
      <c r="D231" s="64"/>
      <c r="E231" s="65"/>
      <c r="F231" s="65"/>
      <c r="G231" s="64"/>
      <c r="H231" s="65"/>
      <c r="I231" s="65"/>
      <c r="J231" s="64"/>
      <c r="K231" s="65"/>
      <c r="L231" s="65"/>
      <c r="M231" s="64"/>
      <c r="N231" s="65"/>
      <c r="O231" s="65"/>
    </row>
    <row r="232" spans="1:15" x14ac:dyDescent="0.25">
      <c r="A232" s="64"/>
      <c r="B232" s="64"/>
      <c r="C232" s="65"/>
      <c r="D232" s="64"/>
      <c r="E232" s="65"/>
      <c r="F232" s="65"/>
      <c r="G232" s="64"/>
      <c r="H232" s="65"/>
      <c r="I232" s="65"/>
      <c r="J232" s="64"/>
      <c r="K232" s="65"/>
      <c r="L232" s="65"/>
      <c r="M232" s="64"/>
      <c r="N232" s="65"/>
      <c r="O232" s="65"/>
    </row>
    <row r="233" spans="1:15" x14ac:dyDescent="0.25">
      <c r="A233" s="64"/>
      <c r="B233" s="64"/>
      <c r="C233" s="65"/>
      <c r="D233" s="64"/>
      <c r="E233" s="65"/>
      <c r="F233" s="65"/>
      <c r="G233" s="64"/>
      <c r="H233" s="65"/>
      <c r="I233" s="65"/>
      <c r="J233" s="64"/>
      <c r="K233" s="65"/>
      <c r="L233" s="65"/>
      <c r="M233" s="64"/>
      <c r="N233" s="65"/>
      <c r="O233" s="65"/>
    </row>
    <row r="234" spans="1:15" x14ac:dyDescent="0.25">
      <c r="A234" s="64"/>
      <c r="B234" s="64"/>
      <c r="C234" s="65"/>
      <c r="D234" s="64"/>
      <c r="E234" s="65"/>
      <c r="F234" s="65"/>
      <c r="G234" s="64"/>
      <c r="H234" s="65"/>
      <c r="I234" s="65"/>
      <c r="J234" s="64"/>
      <c r="K234" s="65"/>
      <c r="L234" s="65"/>
      <c r="M234" s="64"/>
      <c r="N234" s="65"/>
      <c r="O234" s="65"/>
    </row>
    <row r="235" spans="1:15" x14ac:dyDescent="0.25">
      <c r="A235" s="64"/>
      <c r="B235" s="64"/>
      <c r="C235" s="65"/>
      <c r="D235" s="64"/>
      <c r="E235" s="65"/>
      <c r="F235" s="65"/>
      <c r="G235" s="64"/>
      <c r="H235" s="65"/>
      <c r="I235" s="65"/>
      <c r="J235" s="64"/>
      <c r="K235" s="65"/>
      <c r="L235" s="65"/>
      <c r="M235" s="64"/>
      <c r="N235" s="65"/>
      <c r="O235" s="65"/>
    </row>
    <row r="236" spans="1:15" x14ac:dyDescent="0.25">
      <c r="A236" s="64"/>
      <c r="B236" s="64"/>
      <c r="C236" s="65"/>
      <c r="D236" s="64"/>
      <c r="E236" s="65"/>
      <c r="F236" s="65"/>
      <c r="G236" s="64"/>
      <c r="H236" s="65"/>
      <c r="I236" s="65"/>
      <c r="J236" s="64"/>
      <c r="K236" s="65"/>
      <c r="L236" s="65"/>
      <c r="M236" s="64"/>
      <c r="N236" s="65"/>
      <c r="O236" s="65"/>
    </row>
    <row r="237" spans="1:15" x14ac:dyDescent="0.25">
      <c r="A237" s="64"/>
      <c r="B237" s="64"/>
      <c r="C237" s="65"/>
      <c r="D237" s="64"/>
      <c r="E237" s="65"/>
      <c r="F237" s="65"/>
      <c r="G237" s="64"/>
      <c r="H237" s="65"/>
      <c r="I237" s="65"/>
      <c r="J237" s="64"/>
      <c r="K237" s="65"/>
      <c r="L237" s="65"/>
      <c r="M237" s="64"/>
      <c r="N237" s="65"/>
      <c r="O237" s="65"/>
    </row>
    <row r="238" spans="1:15" x14ac:dyDescent="0.25">
      <c r="A238" s="64"/>
      <c r="B238" s="64"/>
      <c r="C238" s="65"/>
      <c r="D238" s="64"/>
      <c r="E238" s="65"/>
      <c r="F238" s="65"/>
      <c r="G238" s="64"/>
      <c r="H238" s="65"/>
      <c r="I238" s="65"/>
      <c r="J238" s="64"/>
      <c r="K238" s="65"/>
      <c r="L238" s="65"/>
      <c r="M238" s="64"/>
      <c r="N238" s="65"/>
      <c r="O238" s="65"/>
    </row>
    <row r="239" spans="1:15" x14ac:dyDescent="0.25">
      <c r="A239" s="64"/>
      <c r="B239" s="64"/>
      <c r="C239" s="65"/>
      <c r="D239" s="64"/>
      <c r="E239" s="65"/>
      <c r="F239" s="65"/>
      <c r="G239" s="64"/>
      <c r="H239" s="65"/>
      <c r="I239" s="65"/>
      <c r="J239" s="64"/>
      <c r="K239" s="65"/>
      <c r="L239" s="65"/>
      <c r="M239" s="64"/>
      <c r="N239" s="65"/>
      <c r="O239" s="65"/>
    </row>
    <row r="240" spans="1:15" x14ac:dyDescent="0.25">
      <c r="A240" s="64"/>
      <c r="B240" s="64"/>
      <c r="C240" s="65"/>
      <c r="D240" s="64"/>
      <c r="E240" s="65"/>
      <c r="F240" s="65"/>
      <c r="G240" s="64"/>
      <c r="H240" s="65"/>
      <c r="I240" s="65"/>
      <c r="J240" s="64"/>
      <c r="K240" s="65"/>
      <c r="L240" s="65"/>
      <c r="M240" s="64"/>
      <c r="N240" s="65"/>
      <c r="O240" s="65"/>
    </row>
    <row r="241" spans="1:15" x14ac:dyDescent="0.25">
      <c r="A241" s="64"/>
      <c r="B241" s="64"/>
      <c r="C241" s="65"/>
      <c r="D241" s="64"/>
      <c r="E241" s="65"/>
      <c r="F241" s="65"/>
      <c r="G241" s="64"/>
      <c r="H241" s="65"/>
      <c r="I241" s="65"/>
      <c r="J241" s="64"/>
      <c r="K241" s="65"/>
      <c r="L241" s="65"/>
      <c r="M241" s="64"/>
      <c r="N241" s="65"/>
      <c r="O241" s="65"/>
    </row>
    <row r="242" spans="1:15" x14ac:dyDescent="0.25">
      <c r="A242" s="64"/>
      <c r="B242" s="64"/>
      <c r="C242" s="65"/>
      <c r="D242" s="64"/>
      <c r="E242" s="65"/>
      <c r="F242" s="65"/>
      <c r="G242" s="64"/>
      <c r="H242" s="65"/>
      <c r="I242" s="65"/>
      <c r="J242" s="64"/>
      <c r="K242" s="65"/>
      <c r="L242" s="65"/>
      <c r="M242" s="64"/>
      <c r="N242" s="65"/>
      <c r="O242" s="65"/>
    </row>
    <row r="243" spans="1:15" x14ac:dyDescent="0.25">
      <c r="A243" s="64"/>
      <c r="B243" s="64"/>
      <c r="C243" s="65"/>
      <c r="D243" s="64"/>
      <c r="E243" s="65"/>
      <c r="F243" s="65"/>
      <c r="G243" s="64"/>
      <c r="H243" s="65"/>
      <c r="I243" s="65"/>
      <c r="J243" s="64"/>
      <c r="K243" s="65"/>
      <c r="L243" s="65"/>
      <c r="M243" s="64"/>
      <c r="N243" s="65"/>
      <c r="O243" s="65"/>
    </row>
    <row r="244" spans="1:15" x14ac:dyDescent="0.25">
      <c r="A244" s="64"/>
      <c r="B244" s="64"/>
      <c r="C244" s="65"/>
      <c r="D244" s="64"/>
      <c r="E244" s="65"/>
      <c r="F244" s="65"/>
      <c r="G244" s="64"/>
      <c r="H244" s="65"/>
      <c r="I244" s="65"/>
      <c r="J244" s="64"/>
      <c r="K244" s="65"/>
      <c r="L244" s="65"/>
      <c r="M244" s="64"/>
      <c r="N244" s="65"/>
      <c r="O244" s="65"/>
    </row>
    <row r="245" spans="1:15" x14ac:dyDescent="0.25">
      <c r="A245" s="64"/>
      <c r="B245" s="64"/>
      <c r="C245" s="65"/>
      <c r="D245" s="64"/>
      <c r="E245" s="65"/>
      <c r="F245" s="65"/>
      <c r="G245" s="64"/>
      <c r="H245" s="65"/>
      <c r="I245" s="65"/>
      <c r="J245" s="64"/>
      <c r="K245" s="65"/>
      <c r="L245" s="65"/>
      <c r="M245" s="64"/>
      <c r="N245" s="65"/>
      <c r="O245" s="65"/>
    </row>
    <row r="246" spans="1:15" x14ac:dyDescent="0.25">
      <c r="A246" s="64"/>
      <c r="B246" s="64"/>
      <c r="C246" s="65"/>
      <c r="D246" s="64"/>
      <c r="E246" s="65"/>
      <c r="F246" s="65"/>
      <c r="G246" s="64"/>
      <c r="H246" s="65"/>
      <c r="I246" s="65"/>
      <c r="J246" s="64"/>
      <c r="K246" s="65"/>
      <c r="L246" s="65"/>
      <c r="M246" s="64"/>
      <c r="N246" s="65"/>
      <c r="O246" s="65"/>
    </row>
    <row r="247" spans="1:15" x14ac:dyDescent="0.25">
      <c r="A247" s="64"/>
      <c r="B247" s="64"/>
      <c r="C247" s="65"/>
      <c r="D247" s="64"/>
      <c r="E247" s="65"/>
      <c r="F247" s="65"/>
      <c r="G247" s="64"/>
      <c r="H247" s="65"/>
      <c r="I247" s="65"/>
      <c r="J247" s="64"/>
      <c r="K247" s="65"/>
      <c r="L247" s="65"/>
      <c r="M247" s="64"/>
      <c r="N247" s="65"/>
      <c r="O247" s="65"/>
    </row>
    <row r="248" spans="1:15" x14ac:dyDescent="0.25">
      <c r="A248" s="64"/>
      <c r="B248" s="64"/>
      <c r="C248" s="65"/>
      <c r="D248" s="64"/>
      <c r="E248" s="65"/>
      <c r="F248" s="65"/>
      <c r="G248" s="64"/>
      <c r="H248" s="65"/>
      <c r="I248" s="65"/>
      <c r="J248" s="64"/>
      <c r="K248" s="65"/>
      <c r="L248" s="65"/>
      <c r="M248" s="64"/>
      <c r="N248" s="65"/>
      <c r="O248" s="65"/>
    </row>
    <row r="249" spans="1:15" x14ac:dyDescent="0.25">
      <c r="A249" s="64"/>
      <c r="B249" s="64"/>
      <c r="C249" s="65"/>
      <c r="D249" s="64"/>
      <c r="E249" s="65"/>
      <c r="F249" s="65"/>
      <c r="G249" s="64"/>
      <c r="H249" s="65"/>
      <c r="I249" s="65"/>
      <c r="J249" s="64"/>
      <c r="K249" s="65"/>
      <c r="L249" s="65"/>
      <c r="M249" s="64"/>
      <c r="N249" s="65"/>
      <c r="O249" s="65"/>
    </row>
    <row r="250" spans="1:15" x14ac:dyDescent="0.25">
      <c r="A250" s="64"/>
      <c r="B250" s="64"/>
      <c r="C250" s="65"/>
      <c r="D250" s="64"/>
      <c r="E250" s="65"/>
      <c r="F250" s="65"/>
      <c r="G250" s="64"/>
      <c r="H250" s="65"/>
      <c r="I250" s="65"/>
      <c r="J250" s="64"/>
      <c r="K250" s="65"/>
      <c r="L250" s="65"/>
      <c r="M250" s="64"/>
      <c r="N250" s="65"/>
      <c r="O250" s="65"/>
    </row>
    <row r="251" spans="1:15" x14ac:dyDescent="0.25">
      <c r="A251" s="64"/>
      <c r="B251" s="64"/>
      <c r="C251" s="65"/>
      <c r="D251" s="64"/>
      <c r="E251" s="65"/>
      <c r="F251" s="65"/>
      <c r="G251" s="64"/>
      <c r="H251" s="65"/>
      <c r="I251" s="65"/>
      <c r="J251" s="64"/>
      <c r="K251" s="65"/>
      <c r="L251" s="65"/>
      <c r="M251" s="64"/>
      <c r="N251" s="65"/>
      <c r="O251" s="65"/>
    </row>
    <row r="252" spans="1:15" x14ac:dyDescent="0.25">
      <c r="A252" s="64"/>
      <c r="B252" s="64"/>
      <c r="C252" s="65"/>
      <c r="D252" s="64"/>
      <c r="E252" s="65"/>
      <c r="F252" s="65"/>
      <c r="G252" s="64"/>
      <c r="H252" s="65"/>
      <c r="I252" s="65"/>
      <c r="J252" s="64"/>
      <c r="K252" s="65"/>
      <c r="L252" s="65"/>
      <c r="M252" s="64"/>
      <c r="N252" s="65"/>
      <c r="O252" s="65"/>
    </row>
    <row r="253" spans="1:15" x14ac:dyDescent="0.25">
      <c r="A253" s="64"/>
      <c r="B253" s="64"/>
      <c r="C253" s="65"/>
      <c r="D253" s="64"/>
      <c r="E253" s="65"/>
      <c r="F253" s="65"/>
      <c r="G253" s="64"/>
      <c r="H253" s="65"/>
      <c r="I253" s="65"/>
      <c r="J253" s="64"/>
      <c r="K253" s="65"/>
      <c r="L253" s="65"/>
      <c r="M253" s="64"/>
      <c r="N253" s="65"/>
      <c r="O253" s="65"/>
    </row>
    <row r="254" spans="1:15" x14ac:dyDescent="0.25">
      <c r="A254" s="64"/>
      <c r="B254" s="64"/>
      <c r="C254" s="65"/>
      <c r="D254" s="64"/>
      <c r="E254" s="65"/>
      <c r="F254" s="65"/>
      <c r="G254" s="64"/>
      <c r="H254" s="65"/>
      <c r="I254" s="65"/>
      <c r="J254" s="64"/>
      <c r="K254" s="65"/>
      <c r="L254" s="65"/>
      <c r="M254" s="64"/>
      <c r="N254" s="65"/>
      <c r="O254" s="65"/>
    </row>
    <row r="255" spans="1:15" x14ac:dyDescent="0.25">
      <c r="A255" s="64"/>
      <c r="B255" s="64"/>
      <c r="C255" s="65"/>
      <c r="D255" s="64"/>
      <c r="E255" s="65"/>
      <c r="F255" s="65"/>
      <c r="G255" s="64"/>
      <c r="H255" s="65"/>
      <c r="I255" s="65"/>
      <c r="J255" s="64"/>
      <c r="K255" s="65"/>
      <c r="L255" s="65"/>
      <c r="M255" s="64"/>
      <c r="N255" s="65"/>
      <c r="O255" s="65"/>
    </row>
    <row r="256" spans="1:15" x14ac:dyDescent="0.25">
      <c r="A256" s="64"/>
      <c r="B256" s="64"/>
      <c r="C256" s="65"/>
      <c r="D256" s="64"/>
      <c r="E256" s="65"/>
      <c r="F256" s="65"/>
      <c r="G256" s="64"/>
      <c r="H256" s="65"/>
      <c r="I256" s="65"/>
      <c r="J256" s="64"/>
      <c r="K256" s="65"/>
      <c r="L256" s="65"/>
      <c r="M256" s="64"/>
      <c r="N256" s="65"/>
      <c r="O256" s="65"/>
    </row>
    <row r="257" spans="1:15" x14ac:dyDescent="0.25">
      <c r="A257" s="64"/>
      <c r="B257" s="64"/>
      <c r="C257" s="65"/>
      <c r="D257" s="64"/>
      <c r="E257" s="65"/>
      <c r="F257" s="65"/>
      <c r="G257" s="64"/>
      <c r="H257" s="65"/>
      <c r="I257" s="65"/>
      <c r="J257" s="64"/>
      <c r="K257" s="65"/>
      <c r="L257" s="65"/>
      <c r="M257" s="64"/>
      <c r="N257" s="65"/>
      <c r="O257" s="65"/>
    </row>
    <row r="258" spans="1:15" x14ac:dyDescent="0.25">
      <c r="A258" s="64"/>
      <c r="B258" s="64"/>
      <c r="C258" s="65"/>
      <c r="D258" s="64"/>
      <c r="E258" s="65"/>
      <c r="F258" s="65"/>
      <c r="G258" s="64"/>
      <c r="H258" s="65"/>
      <c r="I258" s="65"/>
      <c r="J258" s="64"/>
      <c r="K258" s="65"/>
      <c r="L258" s="65"/>
      <c r="M258" s="64"/>
      <c r="N258" s="65"/>
      <c r="O258" s="65"/>
    </row>
    <row r="259" spans="1:15" x14ac:dyDescent="0.25">
      <c r="A259" s="64"/>
      <c r="B259" s="64"/>
      <c r="C259" s="65"/>
      <c r="D259" s="64"/>
      <c r="E259" s="65"/>
      <c r="F259" s="65"/>
      <c r="G259" s="64"/>
      <c r="H259" s="65"/>
      <c r="I259" s="65"/>
      <c r="J259" s="64"/>
      <c r="K259" s="65"/>
      <c r="L259" s="65"/>
      <c r="M259" s="64"/>
      <c r="N259" s="65"/>
      <c r="O259" s="65"/>
    </row>
    <row r="260" spans="1:15" x14ac:dyDescent="0.25">
      <c r="A260" s="64"/>
      <c r="B260" s="64"/>
      <c r="C260" s="65"/>
      <c r="D260" s="64"/>
      <c r="E260" s="65"/>
      <c r="F260" s="65"/>
      <c r="G260" s="64"/>
      <c r="H260" s="65"/>
      <c r="I260" s="65"/>
      <c r="J260" s="64"/>
      <c r="K260" s="65"/>
      <c r="L260" s="65"/>
      <c r="M260" s="64"/>
      <c r="N260" s="65"/>
      <c r="O260" s="65"/>
    </row>
    <row r="261" spans="1:15" x14ac:dyDescent="0.25">
      <c r="A261" s="64"/>
      <c r="B261" s="64"/>
      <c r="C261" s="65"/>
      <c r="D261" s="64"/>
      <c r="E261" s="65"/>
      <c r="F261" s="65"/>
      <c r="G261" s="64"/>
      <c r="H261" s="65"/>
      <c r="I261" s="65"/>
      <c r="J261" s="64"/>
      <c r="K261" s="65"/>
      <c r="L261" s="65"/>
      <c r="M261" s="64"/>
      <c r="N261" s="65"/>
      <c r="O261" s="65"/>
    </row>
    <row r="262" spans="1:15" x14ac:dyDescent="0.25">
      <c r="A262" s="64"/>
      <c r="B262" s="64"/>
      <c r="C262" s="65"/>
      <c r="D262" s="64"/>
      <c r="E262" s="65"/>
      <c r="F262" s="65"/>
      <c r="G262" s="64"/>
      <c r="H262" s="65"/>
      <c r="I262" s="65"/>
      <c r="J262" s="64"/>
      <c r="K262" s="65"/>
      <c r="L262" s="65"/>
      <c r="M262" s="64"/>
      <c r="N262" s="65"/>
      <c r="O262" s="65"/>
    </row>
    <row r="263" spans="1:15" x14ac:dyDescent="0.25">
      <c r="A263" s="64"/>
      <c r="B263" s="64"/>
      <c r="C263" s="65"/>
      <c r="D263" s="64"/>
      <c r="E263" s="65"/>
      <c r="F263" s="65"/>
      <c r="G263" s="64"/>
      <c r="H263" s="65"/>
      <c r="I263" s="65"/>
      <c r="J263" s="64"/>
      <c r="K263" s="65"/>
      <c r="L263" s="65"/>
      <c r="M263" s="64"/>
      <c r="N263" s="65"/>
      <c r="O263" s="65"/>
    </row>
    <row r="264" spans="1:15" x14ac:dyDescent="0.25">
      <c r="A264" s="64"/>
      <c r="B264" s="64"/>
      <c r="C264" s="65"/>
      <c r="D264" s="64"/>
      <c r="E264" s="65"/>
      <c r="F264" s="65"/>
      <c r="G264" s="64"/>
      <c r="H264" s="65"/>
      <c r="I264" s="65"/>
      <c r="J264" s="64"/>
      <c r="K264" s="65"/>
      <c r="L264" s="65"/>
      <c r="M264" s="64"/>
      <c r="N264" s="65"/>
      <c r="O264" s="65"/>
    </row>
    <row r="265" spans="1:15" x14ac:dyDescent="0.25">
      <c r="A265" s="64"/>
      <c r="B265" s="64"/>
      <c r="C265" s="65"/>
      <c r="D265" s="64"/>
      <c r="E265" s="65"/>
      <c r="F265" s="65"/>
      <c r="G265" s="64"/>
      <c r="H265" s="65"/>
      <c r="I265" s="65"/>
      <c r="J265" s="64"/>
      <c r="K265" s="65"/>
      <c r="L265" s="65"/>
      <c r="M265" s="64"/>
      <c r="N265" s="65"/>
      <c r="O265" s="65"/>
    </row>
    <row r="266" spans="1:15" x14ac:dyDescent="0.25">
      <c r="A266" s="64"/>
      <c r="B266" s="64"/>
      <c r="C266" s="65"/>
      <c r="D266" s="64"/>
      <c r="E266" s="65"/>
      <c r="F266" s="65"/>
      <c r="G266" s="64"/>
      <c r="H266" s="65"/>
      <c r="I266" s="65"/>
      <c r="J266" s="64"/>
      <c r="K266" s="65"/>
      <c r="L266" s="65"/>
      <c r="M266" s="64"/>
      <c r="N266" s="65"/>
      <c r="O266" s="65"/>
    </row>
    <row r="267" spans="1:15" x14ac:dyDescent="0.25">
      <c r="A267" s="64"/>
      <c r="B267" s="64"/>
      <c r="C267" s="65"/>
      <c r="D267" s="64"/>
      <c r="E267" s="65"/>
      <c r="F267" s="65"/>
      <c r="G267" s="64"/>
      <c r="H267" s="65"/>
      <c r="I267" s="65"/>
      <c r="J267" s="64"/>
      <c r="K267" s="65"/>
      <c r="L267" s="65"/>
      <c r="M267" s="64"/>
      <c r="N267" s="65"/>
      <c r="O267" s="65"/>
    </row>
    <row r="268" spans="1:15" x14ac:dyDescent="0.25">
      <c r="A268" s="64"/>
      <c r="B268" s="64"/>
      <c r="C268" s="65"/>
      <c r="D268" s="64"/>
      <c r="E268" s="65"/>
      <c r="F268" s="65"/>
      <c r="G268" s="64"/>
      <c r="H268" s="65"/>
      <c r="I268" s="65"/>
      <c r="J268" s="64"/>
      <c r="K268" s="65"/>
      <c r="L268" s="65"/>
      <c r="M268" s="64"/>
      <c r="N268" s="65"/>
      <c r="O268" s="65"/>
    </row>
    <row r="269" spans="1:15" x14ac:dyDescent="0.25">
      <c r="A269" s="64"/>
      <c r="B269" s="64"/>
      <c r="C269" s="65"/>
      <c r="D269" s="64"/>
      <c r="E269" s="65"/>
      <c r="F269" s="65"/>
      <c r="G269" s="64"/>
      <c r="H269" s="65"/>
      <c r="I269" s="65"/>
      <c r="J269" s="64"/>
      <c r="K269" s="65"/>
      <c r="L269" s="65"/>
      <c r="M269" s="64"/>
      <c r="N269" s="65"/>
      <c r="O269" s="65"/>
    </row>
    <row r="270" spans="1:15" x14ac:dyDescent="0.25">
      <c r="A270" s="64"/>
      <c r="B270" s="64"/>
      <c r="C270" s="65"/>
      <c r="D270" s="64"/>
      <c r="E270" s="65"/>
      <c r="F270" s="65"/>
      <c r="G270" s="64"/>
      <c r="H270" s="65"/>
      <c r="I270" s="65"/>
      <c r="J270" s="64"/>
      <c r="K270" s="65"/>
      <c r="L270" s="65"/>
      <c r="M270" s="64"/>
      <c r="N270" s="65"/>
      <c r="O270" s="65"/>
    </row>
    <row r="271" spans="1:15" x14ac:dyDescent="0.25">
      <c r="A271" s="64"/>
      <c r="B271" s="64"/>
      <c r="C271" s="65"/>
      <c r="D271" s="64"/>
      <c r="E271" s="65"/>
      <c r="F271" s="65"/>
      <c r="G271" s="64"/>
      <c r="H271" s="65"/>
      <c r="I271" s="65"/>
      <c r="J271" s="64"/>
      <c r="K271" s="65"/>
      <c r="L271" s="65"/>
      <c r="M271" s="64"/>
      <c r="N271" s="65"/>
      <c r="O271" s="65"/>
    </row>
    <row r="272" spans="1:15" x14ac:dyDescent="0.25">
      <c r="A272" s="64"/>
      <c r="B272" s="64"/>
      <c r="C272" s="65"/>
      <c r="D272" s="64"/>
      <c r="E272" s="65"/>
      <c r="F272" s="65"/>
      <c r="G272" s="64"/>
      <c r="H272" s="65"/>
      <c r="I272" s="65"/>
      <c r="J272" s="64"/>
      <c r="K272" s="65"/>
      <c r="L272" s="65"/>
      <c r="M272" s="64"/>
      <c r="N272" s="65"/>
      <c r="O272" s="65"/>
    </row>
    <row r="273" spans="1:15" x14ac:dyDescent="0.25">
      <c r="A273" s="64"/>
      <c r="B273" s="64"/>
      <c r="C273" s="65"/>
      <c r="D273" s="64"/>
      <c r="E273" s="65"/>
      <c r="F273" s="65"/>
      <c r="G273" s="64"/>
      <c r="H273" s="65"/>
      <c r="I273" s="65"/>
      <c r="J273" s="64"/>
      <c r="K273" s="65"/>
      <c r="L273" s="65"/>
      <c r="M273" s="64"/>
      <c r="N273" s="65"/>
      <c r="O273" s="65"/>
    </row>
    <row r="274" spans="1:15" x14ac:dyDescent="0.25">
      <c r="A274" s="64"/>
      <c r="B274" s="64"/>
      <c r="C274" s="65"/>
      <c r="D274" s="64"/>
      <c r="E274" s="65"/>
      <c r="F274" s="65"/>
      <c r="G274" s="64"/>
      <c r="H274" s="65"/>
      <c r="I274" s="65"/>
      <c r="J274" s="64"/>
      <c r="K274" s="65"/>
      <c r="L274" s="65"/>
      <c r="M274" s="64"/>
      <c r="N274" s="65"/>
      <c r="O274" s="65"/>
    </row>
    <row r="275" spans="1:15" x14ac:dyDescent="0.25">
      <c r="A275" s="64"/>
      <c r="B275" s="64"/>
      <c r="C275" s="65"/>
      <c r="D275" s="64"/>
      <c r="E275" s="65"/>
      <c r="F275" s="65"/>
      <c r="G275" s="64"/>
      <c r="H275" s="65"/>
      <c r="I275" s="65"/>
      <c r="J275" s="64"/>
      <c r="K275" s="65"/>
      <c r="L275" s="65"/>
      <c r="M275" s="64"/>
      <c r="N275" s="65"/>
      <c r="O275" s="65"/>
    </row>
    <row r="276" spans="1:15" x14ac:dyDescent="0.25">
      <c r="A276" s="64"/>
      <c r="B276" s="64"/>
      <c r="C276" s="65"/>
      <c r="D276" s="64"/>
      <c r="E276" s="65"/>
      <c r="F276" s="65"/>
      <c r="G276" s="64"/>
      <c r="H276" s="65"/>
      <c r="I276" s="65"/>
      <c r="J276" s="64"/>
      <c r="K276" s="65"/>
      <c r="L276" s="65"/>
      <c r="M276" s="64"/>
      <c r="N276" s="65"/>
      <c r="O276" s="65"/>
    </row>
    <row r="277" spans="1:15" x14ac:dyDescent="0.25">
      <c r="A277" s="64"/>
      <c r="B277" s="64"/>
      <c r="C277" s="65"/>
      <c r="D277" s="64"/>
      <c r="E277" s="65"/>
      <c r="F277" s="65"/>
      <c r="G277" s="64"/>
      <c r="H277" s="65"/>
      <c r="I277" s="65"/>
      <c r="J277" s="64"/>
      <c r="K277" s="65"/>
      <c r="L277" s="65"/>
      <c r="M277" s="64"/>
      <c r="N277" s="65"/>
      <c r="O277" s="65"/>
    </row>
    <row r="278" spans="1:15" x14ac:dyDescent="0.25">
      <c r="A278" s="64"/>
      <c r="B278" s="64"/>
      <c r="C278" s="65"/>
      <c r="D278" s="64"/>
      <c r="E278" s="65"/>
      <c r="F278" s="65"/>
      <c r="G278" s="64"/>
      <c r="H278" s="65"/>
      <c r="I278" s="65"/>
      <c r="J278" s="64"/>
      <c r="K278" s="65"/>
      <c r="L278" s="65"/>
      <c r="M278" s="64"/>
      <c r="N278" s="65"/>
      <c r="O278" s="65"/>
    </row>
    <row r="279" spans="1:15" x14ac:dyDescent="0.25">
      <c r="A279" s="64"/>
      <c r="B279" s="64"/>
      <c r="C279" s="65"/>
      <c r="D279" s="64"/>
      <c r="E279" s="65"/>
      <c r="F279" s="65"/>
      <c r="G279" s="64"/>
      <c r="H279" s="65"/>
      <c r="I279" s="65"/>
      <c r="J279" s="64"/>
      <c r="K279" s="65"/>
      <c r="L279" s="65"/>
      <c r="M279" s="64"/>
      <c r="N279" s="65"/>
      <c r="O279" s="65"/>
    </row>
    <row r="280" spans="1:15" x14ac:dyDescent="0.25">
      <c r="A280" s="64"/>
      <c r="B280" s="64"/>
      <c r="C280" s="65"/>
      <c r="D280" s="64"/>
      <c r="E280" s="65"/>
      <c r="F280" s="65"/>
      <c r="G280" s="64"/>
      <c r="H280" s="65"/>
      <c r="I280" s="65"/>
      <c r="J280" s="64"/>
      <c r="K280" s="65"/>
      <c r="L280" s="65"/>
      <c r="M280" s="64"/>
      <c r="N280" s="65"/>
      <c r="O280" s="65"/>
    </row>
    <row r="281" spans="1:15" x14ac:dyDescent="0.25">
      <c r="A281" s="64"/>
      <c r="B281" s="64"/>
      <c r="C281" s="65"/>
      <c r="D281" s="64"/>
      <c r="E281" s="65"/>
      <c r="F281" s="65"/>
      <c r="G281" s="64"/>
      <c r="H281" s="65"/>
      <c r="I281" s="65"/>
      <c r="J281" s="64"/>
      <c r="K281" s="65"/>
      <c r="L281" s="65"/>
      <c r="M281" s="64"/>
      <c r="N281" s="65"/>
      <c r="O281" s="65"/>
    </row>
    <row r="282" spans="1:15" x14ac:dyDescent="0.25">
      <c r="A282" s="64"/>
      <c r="B282" s="64"/>
      <c r="C282" s="65"/>
      <c r="D282" s="64"/>
      <c r="E282" s="65"/>
      <c r="F282" s="65"/>
      <c r="G282" s="64"/>
      <c r="H282" s="65"/>
      <c r="I282" s="65"/>
      <c r="J282" s="64"/>
      <c r="K282" s="65"/>
      <c r="L282" s="65"/>
      <c r="M282" s="64"/>
      <c r="N282" s="65"/>
      <c r="O282" s="65"/>
    </row>
    <row r="283" spans="1:15" x14ac:dyDescent="0.25">
      <c r="A283" s="64"/>
      <c r="B283" s="64"/>
      <c r="C283" s="65"/>
      <c r="D283" s="64"/>
      <c r="E283" s="65"/>
      <c r="F283" s="65"/>
      <c r="G283" s="64"/>
      <c r="H283" s="65"/>
      <c r="I283" s="65"/>
      <c r="J283" s="64"/>
      <c r="K283" s="65"/>
      <c r="L283" s="65"/>
      <c r="M283" s="64"/>
      <c r="N283" s="65"/>
      <c r="O283" s="65"/>
    </row>
    <row r="284" spans="1:15" x14ac:dyDescent="0.25">
      <c r="A284" s="64"/>
      <c r="B284" s="64"/>
      <c r="C284" s="65"/>
      <c r="D284" s="64"/>
      <c r="E284" s="65"/>
      <c r="F284" s="65"/>
      <c r="G284" s="64"/>
      <c r="H284" s="65"/>
      <c r="I284" s="65"/>
      <c r="J284" s="64"/>
      <c r="K284" s="65"/>
      <c r="L284" s="65"/>
      <c r="M284" s="64"/>
      <c r="N284" s="65"/>
      <c r="O284" s="65"/>
    </row>
    <row r="285" spans="1:15" x14ac:dyDescent="0.25">
      <c r="A285" s="64"/>
      <c r="B285" s="64"/>
      <c r="C285" s="65"/>
      <c r="D285" s="64"/>
      <c r="E285" s="65"/>
      <c r="F285" s="65"/>
      <c r="G285" s="64"/>
      <c r="H285" s="65"/>
      <c r="I285" s="65"/>
      <c r="J285" s="64"/>
      <c r="K285" s="65"/>
      <c r="L285" s="65"/>
      <c r="M285" s="64"/>
      <c r="N285" s="65"/>
      <c r="O285" s="65"/>
    </row>
    <row r="286" spans="1:15" x14ac:dyDescent="0.25">
      <c r="A286" s="64"/>
      <c r="B286" s="64"/>
      <c r="C286" s="65"/>
      <c r="D286" s="64"/>
      <c r="E286" s="65"/>
      <c r="F286" s="65"/>
      <c r="G286" s="64"/>
      <c r="H286" s="65"/>
      <c r="I286" s="65"/>
      <c r="J286" s="64"/>
      <c r="K286" s="65"/>
      <c r="L286" s="65"/>
      <c r="M286" s="64"/>
      <c r="N286" s="65"/>
      <c r="O286" s="65"/>
    </row>
    <row r="287" spans="1:15" x14ac:dyDescent="0.25">
      <c r="A287" s="64"/>
      <c r="B287" s="64"/>
      <c r="C287" s="65"/>
      <c r="D287" s="64"/>
      <c r="E287" s="65"/>
      <c r="F287" s="65"/>
      <c r="G287" s="64"/>
      <c r="H287" s="65"/>
      <c r="I287" s="65"/>
      <c r="J287" s="64"/>
      <c r="K287" s="65"/>
      <c r="L287" s="65"/>
      <c r="M287" s="64"/>
      <c r="N287" s="65"/>
      <c r="O287" s="65"/>
    </row>
    <row r="288" spans="1:15" x14ac:dyDescent="0.25">
      <c r="A288" s="64"/>
      <c r="B288" s="64"/>
      <c r="C288" s="65"/>
      <c r="D288" s="64"/>
      <c r="E288" s="65"/>
      <c r="F288" s="65"/>
      <c r="G288" s="64"/>
      <c r="H288" s="65"/>
      <c r="I288" s="65"/>
      <c r="J288" s="64"/>
      <c r="K288" s="65"/>
      <c r="L288" s="65"/>
      <c r="M288" s="64"/>
      <c r="N288" s="65"/>
      <c r="O288" s="65"/>
    </row>
    <row r="289" spans="1:15" x14ac:dyDescent="0.25">
      <c r="A289" s="64"/>
      <c r="B289" s="64"/>
      <c r="C289" s="65"/>
      <c r="D289" s="64"/>
      <c r="E289" s="65"/>
      <c r="F289" s="65"/>
      <c r="G289" s="64"/>
      <c r="H289" s="65"/>
      <c r="I289" s="65"/>
      <c r="J289" s="64"/>
      <c r="K289" s="65"/>
      <c r="L289" s="65"/>
      <c r="M289" s="64"/>
      <c r="N289" s="65"/>
      <c r="O289" s="65"/>
    </row>
    <row r="290" spans="1:15" x14ac:dyDescent="0.25">
      <c r="A290" s="64"/>
      <c r="B290" s="64"/>
      <c r="C290" s="65"/>
      <c r="D290" s="64"/>
      <c r="E290" s="65"/>
      <c r="F290" s="65"/>
      <c r="G290" s="64"/>
      <c r="H290" s="65"/>
      <c r="I290" s="65"/>
      <c r="J290" s="64"/>
      <c r="K290" s="65"/>
      <c r="L290" s="65"/>
      <c r="M290" s="64"/>
      <c r="N290" s="65"/>
      <c r="O290" s="65"/>
    </row>
    <row r="291" spans="1:15" x14ac:dyDescent="0.25">
      <c r="A291" s="64"/>
      <c r="B291" s="64"/>
      <c r="C291" s="65"/>
      <c r="D291" s="64"/>
      <c r="E291" s="65"/>
      <c r="F291" s="65"/>
      <c r="G291" s="64"/>
      <c r="H291" s="65"/>
      <c r="I291" s="65"/>
      <c r="J291" s="64"/>
      <c r="K291" s="65"/>
      <c r="L291" s="65"/>
      <c r="M291" s="64"/>
      <c r="N291" s="65"/>
      <c r="O291" s="65"/>
    </row>
    <row r="292" spans="1:15" x14ac:dyDescent="0.25">
      <c r="A292" s="64"/>
      <c r="B292" s="64"/>
      <c r="C292" s="65"/>
      <c r="D292" s="64"/>
      <c r="E292" s="65"/>
      <c r="F292" s="65"/>
      <c r="G292" s="64"/>
      <c r="H292" s="65"/>
      <c r="I292" s="65"/>
      <c r="J292" s="64"/>
      <c r="K292" s="65"/>
      <c r="L292" s="65"/>
      <c r="M292" s="64"/>
      <c r="N292" s="65"/>
      <c r="O292" s="65"/>
    </row>
    <row r="293" spans="1:15" x14ac:dyDescent="0.25">
      <c r="A293" s="64"/>
      <c r="B293" s="64"/>
      <c r="C293" s="65"/>
      <c r="D293" s="64"/>
      <c r="E293" s="65"/>
      <c r="F293" s="65"/>
      <c r="G293" s="64"/>
      <c r="H293" s="65"/>
      <c r="I293" s="65"/>
      <c r="J293" s="64"/>
      <c r="K293" s="65"/>
      <c r="L293" s="65"/>
      <c r="M293" s="64"/>
      <c r="N293" s="65"/>
      <c r="O293" s="65"/>
    </row>
    <row r="294" spans="1:15" x14ac:dyDescent="0.25">
      <c r="A294" s="64"/>
      <c r="B294" s="64"/>
      <c r="C294" s="65"/>
      <c r="D294" s="64"/>
      <c r="E294" s="65"/>
      <c r="F294" s="65"/>
      <c r="G294" s="64"/>
      <c r="H294" s="65"/>
      <c r="I294" s="65"/>
      <c r="J294" s="64"/>
      <c r="K294" s="65"/>
      <c r="L294" s="65"/>
      <c r="M294" s="64"/>
      <c r="N294" s="65"/>
      <c r="O294" s="65"/>
    </row>
    <row r="295" spans="1:15" x14ac:dyDescent="0.25">
      <c r="A295" s="64"/>
      <c r="B295" s="64"/>
      <c r="C295" s="65"/>
      <c r="D295" s="64"/>
      <c r="E295" s="65"/>
      <c r="F295" s="65"/>
      <c r="G295" s="64"/>
      <c r="H295" s="65"/>
      <c r="I295" s="65"/>
      <c r="J295" s="64"/>
      <c r="K295" s="65"/>
      <c r="L295" s="65"/>
      <c r="M295" s="64"/>
      <c r="N295" s="65"/>
      <c r="O295" s="65"/>
    </row>
    <row r="296" spans="1:15" x14ac:dyDescent="0.25">
      <c r="A296" s="64"/>
      <c r="B296" s="64"/>
      <c r="C296" s="65"/>
      <c r="D296" s="64"/>
      <c r="E296" s="65"/>
      <c r="F296" s="65"/>
      <c r="G296" s="64"/>
      <c r="H296" s="65"/>
      <c r="I296" s="65"/>
      <c r="J296" s="64"/>
      <c r="K296" s="65"/>
      <c r="L296" s="65"/>
      <c r="M296" s="64"/>
      <c r="N296" s="65"/>
      <c r="O296" s="65"/>
    </row>
    <row r="297" spans="1:15" x14ac:dyDescent="0.25">
      <c r="A297" s="64"/>
      <c r="B297" s="64"/>
      <c r="C297" s="65"/>
      <c r="D297" s="64"/>
      <c r="E297" s="65"/>
      <c r="F297" s="65"/>
      <c r="G297" s="64"/>
      <c r="H297" s="65"/>
      <c r="I297" s="65"/>
      <c r="J297" s="64"/>
      <c r="K297" s="65"/>
      <c r="L297" s="65"/>
      <c r="M297" s="64"/>
      <c r="N297" s="65"/>
      <c r="O297" s="65"/>
    </row>
    <row r="298" spans="1:15" x14ac:dyDescent="0.25">
      <c r="A298" s="64"/>
      <c r="B298" s="64"/>
      <c r="C298" s="65"/>
      <c r="D298" s="64"/>
      <c r="E298" s="65"/>
      <c r="F298" s="65"/>
      <c r="G298" s="64"/>
      <c r="H298" s="65"/>
      <c r="I298" s="65"/>
      <c r="J298" s="64"/>
      <c r="K298" s="65"/>
      <c r="L298" s="65"/>
      <c r="M298" s="64"/>
      <c r="N298" s="65"/>
      <c r="O298" s="65"/>
    </row>
    <row r="299" spans="1:15" x14ac:dyDescent="0.25">
      <c r="A299" s="64"/>
      <c r="B299" s="64"/>
      <c r="C299" s="65"/>
      <c r="D299" s="64"/>
      <c r="E299" s="65"/>
      <c r="F299" s="65"/>
      <c r="G299" s="64"/>
      <c r="H299" s="65"/>
      <c r="I299" s="65"/>
      <c r="J299" s="64"/>
      <c r="K299" s="65"/>
      <c r="L299" s="65"/>
      <c r="M299" s="64"/>
      <c r="N299" s="65"/>
      <c r="O299" s="65"/>
    </row>
    <row r="300" spans="1:15" x14ac:dyDescent="0.25">
      <c r="A300" s="64"/>
      <c r="B300" s="64"/>
      <c r="C300" s="65"/>
      <c r="D300" s="64"/>
      <c r="E300" s="65"/>
      <c r="F300" s="65"/>
      <c r="G300" s="64"/>
      <c r="H300" s="65"/>
      <c r="I300" s="65"/>
      <c r="J300" s="64"/>
      <c r="K300" s="65"/>
      <c r="L300" s="65"/>
      <c r="M300" s="64"/>
      <c r="N300" s="65"/>
      <c r="O300" s="65"/>
    </row>
    <row r="301" spans="1:15" x14ac:dyDescent="0.25">
      <c r="A301" s="64"/>
      <c r="B301" s="64"/>
      <c r="C301" s="65"/>
      <c r="D301" s="64"/>
      <c r="E301" s="65"/>
      <c r="F301" s="65"/>
      <c r="G301" s="64"/>
      <c r="H301" s="65"/>
      <c r="I301" s="65"/>
      <c r="J301" s="64"/>
      <c r="K301" s="65"/>
      <c r="L301" s="65"/>
      <c r="M301" s="64"/>
      <c r="N301" s="65"/>
      <c r="O301" s="65"/>
    </row>
    <row r="302" spans="1:15" x14ac:dyDescent="0.25">
      <c r="A302" s="64"/>
      <c r="B302" s="64"/>
      <c r="C302" s="65"/>
      <c r="D302" s="64"/>
      <c r="E302" s="65"/>
      <c r="F302" s="65"/>
      <c r="G302" s="64"/>
      <c r="H302" s="65"/>
      <c r="I302" s="65"/>
      <c r="J302" s="64"/>
      <c r="K302" s="65"/>
      <c r="L302" s="65"/>
      <c r="M302" s="64"/>
      <c r="N302" s="65"/>
      <c r="O302" s="65"/>
    </row>
    <row r="303" spans="1:15" x14ac:dyDescent="0.25">
      <c r="A303" s="64"/>
      <c r="B303" s="64"/>
      <c r="C303" s="65"/>
      <c r="D303" s="64"/>
      <c r="E303" s="65"/>
      <c r="F303" s="65"/>
      <c r="G303" s="64"/>
      <c r="H303" s="65"/>
      <c r="I303" s="65"/>
      <c r="J303" s="64"/>
      <c r="K303" s="65"/>
      <c r="L303" s="65"/>
      <c r="M303" s="64"/>
      <c r="N303" s="65"/>
      <c r="O303" s="65"/>
    </row>
    <row r="304" spans="1:15" x14ac:dyDescent="0.25">
      <c r="A304" s="64"/>
      <c r="B304" s="64"/>
      <c r="C304" s="65"/>
      <c r="D304" s="64"/>
      <c r="E304" s="65"/>
      <c r="F304" s="65"/>
      <c r="G304" s="64"/>
      <c r="H304" s="65"/>
      <c r="I304" s="65"/>
      <c r="J304" s="64"/>
      <c r="K304" s="65"/>
      <c r="L304" s="65"/>
      <c r="M304" s="64"/>
      <c r="N304" s="65"/>
      <c r="O304" s="65"/>
    </row>
    <row r="305" spans="1:15" x14ac:dyDescent="0.25">
      <c r="A305" s="64"/>
      <c r="B305" s="64"/>
      <c r="C305" s="65"/>
      <c r="D305" s="64"/>
      <c r="E305" s="65"/>
      <c r="F305" s="65"/>
      <c r="G305" s="64"/>
      <c r="H305" s="65"/>
      <c r="I305" s="65"/>
      <c r="J305" s="64"/>
      <c r="K305" s="65"/>
      <c r="L305" s="65"/>
      <c r="M305" s="64"/>
      <c r="N305" s="65"/>
      <c r="O305" s="65"/>
    </row>
    <row r="306" spans="1:15" x14ac:dyDescent="0.25">
      <c r="A306" s="64"/>
      <c r="B306" s="64"/>
      <c r="C306" s="65"/>
      <c r="D306" s="64"/>
      <c r="E306" s="65"/>
      <c r="F306" s="65"/>
      <c r="G306" s="64"/>
      <c r="H306" s="65"/>
      <c r="I306" s="65"/>
      <c r="J306" s="64"/>
      <c r="K306" s="65"/>
      <c r="L306" s="65"/>
      <c r="M306" s="64"/>
      <c r="N306" s="65"/>
      <c r="O306" s="65"/>
    </row>
    <row r="307" spans="1:15" x14ac:dyDescent="0.25">
      <c r="A307" s="64"/>
      <c r="B307" s="64"/>
      <c r="C307" s="65"/>
      <c r="D307" s="64"/>
      <c r="E307" s="65"/>
      <c r="F307" s="65"/>
      <c r="G307" s="64"/>
      <c r="H307" s="65"/>
      <c r="I307" s="65"/>
      <c r="J307" s="64"/>
      <c r="K307" s="65"/>
      <c r="L307" s="65"/>
      <c r="M307" s="64"/>
      <c r="N307" s="65"/>
      <c r="O307" s="65"/>
    </row>
    <row r="308" spans="1:15" x14ac:dyDescent="0.25">
      <c r="A308" s="64"/>
      <c r="B308" s="64"/>
      <c r="C308" s="65"/>
      <c r="D308" s="64"/>
      <c r="E308" s="65"/>
      <c r="F308" s="65"/>
      <c r="G308" s="64"/>
      <c r="H308" s="65"/>
      <c r="I308" s="65"/>
      <c r="J308" s="64"/>
      <c r="K308" s="65"/>
      <c r="L308" s="65"/>
      <c r="M308" s="64"/>
      <c r="N308" s="65"/>
      <c r="O308" s="65"/>
    </row>
    <row r="309" spans="1:15" x14ac:dyDescent="0.25">
      <c r="A309" s="64"/>
      <c r="B309" s="64"/>
      <c r="C309" s="65"/>
      <c r="D309" s="64"/>
      <c r="E309" s="65"/>
      <c r="F309" s="65"/>
      <c r="G309" s="64"/>
      <c r="H309" s="65"/>
      <c r="I309" s="65"/>
      <c r="J309" s="64"/>
      <c r="K309" s="65"/>
      <c r="L309" s="65"/>
      <c r="M309" s="64"/>
      <c r="N309" s="65"/>
      <c r="O309" s="65"/>
    </row>
    <row r="310" spans="1:15" x14ac:dyDescent="0.25">
      <c r="A310" s="64"/>
      <c r="B310" s="64"/>
      <c r="C310" s="65"/>
      <c r="D310" s="64"/>
      <c r="E310" s="65"/>
      <c r="F310" s="65"/>
      <c r="G310" s="64"/>
      <c r="H310" s="65"/>
      <c r="I310" s="65"/>
      <c r="J310" s="64"/>
      <c r="K310" s="65"/>
      <c r="L310" s="65"/>
      <c r="M310" s="64"/>
      <c r="N310" s="65"/>
      <c r="O310" s="65"/>
    </row>
    <row r="311" spans="1:15" x14ac:dyDescent="0.25">
      <c r="A311" s="64"/>
      <c r="B311" s="64"/>
      <c r="C311" s="65"/>
      <c r="D311" s="64"/>
      <c r="E311" s="65"/>
      <c r="F311" s="65"/>
      <c r="G311" s="64"/>
      <c r="H311" s="65"/>
      <c r="I311" s="65"/>
      <c r="J311" s="64"/>
      <c r="K311" s="65"/>
      <c r="L311" s="65"/>
      <c r="M311" s="64"/>
      <c r="N311" s="65"/>
      <c r="O311" s="65"/>
    </row>
    <row r="312" spans="1:15" x14ac:dyDescent="0.25">
      <c r="A312" s="64"/>
      <c r="B312" s="64"/>
      <c r="C312" s="65"/>
      <c r="D312" s="64"/>
      <c r="E312" s="65"/>
      <c r="F312" s="65"/>
      <c r="G312" s="64"/>
      <c r="H312" s="65"/>
      <c r="I312" s="65"/>
      <c r="J312" s="64"/>
      <c r="K312" s="65"/>
      <c r="L312" s="65"/>
      <c r="M312" s="64"/>
      <c r="N312" s="65"/>
      <c r="O312" s="65"/>
    </row>
    <row r="313" spans="1:15" x14ac:dyDescent="0.25">
      <c r="A313" s="64"/>
      <c r="B313" s="64"/>
      <c r="C313" s="65"/>
      <c r="D313" s="64"/>
      <c r="E313" s="65"/>
      <c r="F313" s="65"/>
      <c r="G313" s="64"/>
      <c r="H313" s="65"/>
      <c r="I313" s="65"/>
      <c r="J313" s="64"/>
      <c r="K313" s="65"/>
      <c r="L313" s="65"/>
      <c r="M313" s="64"/>
      <c r="N313" s="65"/>
      <c r="O313" s="65"/>
    </row>
    <row r="314" spans="1:15" x14ac:dyDescent="0.25">
      <c r="A314" s="64"/>
      <c r="B314" s="64"/>
      <c r="C314" s="65"/>
      <c r="D314" s="64"/>
      <c r="E314" s="65"/>
      <c r="F314" s="65"/>
      <c r="G314" s="64"/>
      <c r="H314" s="65"/>
      <c r="I314" s="65"/>
      <c r="J314" s="64"/>
      <c r="K314" s="65"/>
      <c r="L314" s="65"/>
      <c r="M314" s="64"/>
      <c r="N314" s="65"/>
      <c r="O314" s="65"/>
    </row>
    <row r="315" spans="1:15" x14ac:dyDescent="0.25">
      <c r="A315" s="64"/>
      <c r="B315" s="64"/>
      <c r="C315" s="65"/>
      <c r="D315" s="64"/>
      <c r="E315" s="65"/>
      <c r="F315" s="65"/>
      <c r="G315" s="64"/>
      <c r="H315" s="65"/>
      <c r="I315" s="65"/>
      <c r="J315" s="64"/>
      <c r="K315" s="65"/>
      <c r="L315" s="65"/>
      <c r="M315" s="64"/>
      <c r="N315" s="65"/>
      <c r="O315" s="65"/>
    </row>
    <row r="316" spans="1:15" x14ac:dyDescent="0.25">
      <c r="A316" s="64"/>
      <c r="B316" s="64"/>
      <c r="C316" s="65"/>
      <c r="D316" s="64"/>
      <c r="E316" s="65"/>
      <c r="F316" s="65"/>
      <c r="G316" s="64"/>
      <c r="H316" s="65"/>
      <c r="I316" s="65"/>
      <c r="J316" s="64"/>
      <c r="K316" s="65"/>
      <c r="L316" s="65"/>
      <c r="M316" s="64"/>
      <c r="N316" s="65"/>
      <c r="O316" s="65"/>
    </row>
    <row r="317" spans="1:15" x14ac:dyDescent="0.25">
      <c r="A317" s="64"/>
      <c r="B317" s="64"/>
      <c r="C317" s="65"/>
      <c r="D317" s="64"/>
      <c r="E317" s="65"/>
      <c r="F317" s="65"/>
      <c r="G317" s="64"/>
      <c r="H317" s="65"/>
      <c r="I317" s="65"/>
      <c r="J317" s="64"/>
      <c r="K317" s="65"/>
      <c r="L317" s="65"/>
      <c r="M317" s="64"/>
      <c r="N317" s="65"/>
      <c r="O317" s="65"/>
    </row>
    <row r="318" spans="1:15" x14ac:dyDescent="0.25">
      <c r="A318" s="64"/>
      <c r="B318" s="64"/>
      <c r="C318" s="65"/>
      <c r="D318" s="64"/>
      <c r="E318" s="65"/>
      <c r="F318" s="65"/>
      <c r="G318" s="64"/>
      <c r="H318" s="65"/>
      <c r="I318" s="65"/>
      <c r="J318" s="64"/>
      <c r="K318" s="65"/>
      <c r="L318" s="65"/>
      <c r="M318" s="64"/>
      <c r="N318" s="65"/>
      <c r="O318" s="65"/>
    </row>
    <row r="319" spans="1:15" x14ac:dyDescent="0.25">
      <c r="A319" s="64"/>
      <c r="B319" s="64"/>
      <c r="C319" s="65"/>
      <c r="D319" s="64"/>
      <c r="E319" s="65"/>
      <c r="F319" s="65"/>
      <c r="G319" s="64"/>
      <c r="H319" s="65"/>
      <c r="I319" s="65"/>
      <c r="J319" s="64"/>
      <c r="K319" s="65"/>
      <c r="L319" s="65"/>
      <c r="M319" s="64"/>
      <c r="N319" s="65"/>
      <c r="O319" s="65"/>
    </row>
    <row r="320" spans="1:15" x14ac:dyDescent="0.25">
      <c r="A320" s="64"/>
      <c r="B320" s="64"/>
      <c r="C320" s="65"/>
      <c r="D320" s="64"/>
      <c r="E320" s="65"/>
      <c r="F320" s="65"/>
      <c r="G320" s="64"/>
      <c r="H320" s="65"/>
      <c r="I320" s="65"/>
      <c r="J320" s="64"/>
      <c r="K320" s="65"/>
      <c r="L320" s="65"/>
      <c r="M320" s="64"/>
      <c r="N320" s="65"/>
      <c r="O320" s="65"/>
    </row>
    <row r="321" spans="1:15" x14ac:dyDescent="0.25">
      <c r="A321" s="64"/>
      <c r="B321" s="64"/>
      <c r="C321" s="65"/>
      <c r="D321" s="64"/>
      <c r="E321" s="65"/>
      <c r="F321" s="65"/>
      <c r="G321" s="64"/>
      <c r="H321" s="65"/>
      <c r="I321" s="65"/>
      <c r="J321" s="64"/>
      <c r="K321" s="65"/>
      <c r="L321" s="65"/>
      <c r="M321" s="64"/>
      <c r="N321" s="65"/>
      <c r="O321" s="65"/>
    </row>
    <row r="322" spans="1:15" x14ac:dyDescent="0.25">
      <c r="A322" s="64"/>
      <c r="B322" s="64"/>
      <c r="C322" s="65"/>
      <c r="D322" s="64"/>
      <c r="E322" s="65"/>
      <c r="F322" s="65"/>
      <c r="G322" s="64"/>
      <c r="H322" s="65"/>
      <c r="I322" s="65"/>
      <c r="J322" s="64"/>
      <c r="K322" s="65"/>
      <c r="L322" s="65"/>
      <c r="M322" s="64"/>
      <c r="N322" s="65"/>
      <c r="O322" s="65"/>
    </row>
    <row r="323" spans="1:15" x14ac:dyDescent="0.25">
      <c r="A323" s="64"/>
      <c r="B323" s="64"/>
      <c r="C323" s="65"/>
      <c r="D323" s="64"/>
      <c r="E323" s="65"/>
      <c r="F323" s="65"/>
      <c r="G323" s="64"/>
      <c r="H323" s="65"/>
      <c r="I323" s="65"/>
      <c r="J323" s="64"/>
      <c r="K323" s="65"/>
      <c r="L323" s="65"/>
      <c r="M323" s="64"/>
      <c r="N323" s="65"/>
      <c r="O323" s="65"/>
    </row>
    <row r="324" spans="1:15" x14ac:dyDescent="0.25">
      <c r="A324" s="64"/>
      <c r="B324" s="64"/>
      <c r="C324" s="65"/>
      <c r="D324" s="64"/>
      <c r="E324" s="65"/>
      <c r="F324" s="65"/>
      <c r="G324" s="64"/>
      <c r="H324" s="65"/>
      <c r="I324" s="65"/>
      <c r="J324" s="64"/>
      <c r="K324" s="65"/>
      <c r="L324" s="65"/>
      <c r="M324" s="64"/>
      <c r="N324" s="65"/>
      <c r="O324" s="65"/>
    </row>
    <row r="325" spans="1:15" x14ac:dyDescent="0.25">
      <c r="A325" s="64"/>
      <c r="B325" s="64"/>
      <c r="C325" s="65"/>
      <c r="D325" s="64"/>
      <c r="E325" s="65"/>
      <c r="F325" s="65"/>
      <c r="G325" s="64"/>
      <c r="H325" s="65"/>
      <c r="I325" s="65"/>
      <c r="J325" s="64"/>
      <c r="K325" s="65"/>
      <c r="L325" s="65"/>
      <c r="M325" s="64"/>
      <c r="N325" s="65"/>
      <c r="O325" s="65"/>
    </row>
    <row r="326" spans="1:15" x14ac:dyDescent="0.25">
      <c r="A326" s="64"/>
      <c r="B326" s="64"/>
      <c r="C326" s="65"/>
      <c r="D326" s="64"/>
      <c r="E326" s="65"/>
      <c r="F326" s="65"/>
      <c r="G326" s="64"/>
      <c r="H326" s="65"/>
      <c r="I326" s="65"/>
      <c r="J326" s="64"/>
      <c r="K326" s="65"/>
      <c r="L326" s="65"/>
      <c r="M326" s="64"/>
      <c r="N326" s="65"/>
      <c r="O326" s="65"/>
    </row>
    <row r="327" spans="1:15" x14ac:dyDescent="0.25">
      <c r="A327" s="64"/>
      <c r="B327" s="64"/>
      <c r="C327" s="65"/>
      <c r="D327" s="64"/>
      <c r="E327" s="65"/>
      <c r="F327" s="65"/>
      <c r="G327" s="64"/>
      <c r="H327" s="65"/>
      <c r="I327" s="65"/>
      <c r="J327" s="64"/>
      <c r="K327" s="65"/>
      <c r="L327" s="65"/>
      <c r="M327" s="64"/>
      <c r="N327" s="65"/>
      <c r="O327" s="65"/>
    </row>
    <row r="328" spans="1:15" x14ac:dyDescent="0.25">
      <c r="A328" s="64"/>
      <c r="B328" s="64"/>
      <c r="C328" s="65"/>
      <c r="D328" s="64"/>
      <c r="E328" s="65"/>
      <c r="F328" s="65"/>
      <c r="G328" s="64"/>
      <c r="H328" s="65"/>
      <c r="I328" s="65"/>
      <c r="J328" s="64"/>
      <c r="K328" s="65"/>
      <c r="L328" s="65"/>
      <c r="M328" s="64"/>
      <c r="N328" s="65"/>
      <c r="O328" s="65"/>
    </row>
    <row r="329" spans="1:15" x14ac:dyDescent="0.25">
      <c r="A329" s="64"/>
      <c r="B329" s="64"/>
      <c r="C329" s="65"/>
      <c r="D329" s="64"/>
      <c r="E329" s="65"/>
      <c r="F329" s="65"/>
      <c r="G329" s="64"/>
      <c r="H329" s="65"/>
      <c r="I329" s="65"/>
      <c r="J329" s="64"/>
      <c r="K329" s="65"/>
      <c r="L329" s="65"/>
      <c r="M329" s="64"/>
      <c r="N329" s="65"/>
      <c r="O329" s="65"/>
    </row>
    <row r="330" spans="1:15" x14ac:dyDescent="0.25">
      <c r="A330" s="64"/>
      <c r="B330" s="64"/>
      <c r="C330" s="65"/>
      <c r="D330" s="64"/>
      <c r="E330" s="65"/>
      <c r="F330" s="65"/>
      <c r="G330" s="64"/>
      <c r="H330" s="65"/>
      <c r="I330" s="65"/>
      <c r="J330" s="64"/>
      <c r="K330" s="65"/>
      <c r="L330" s="65"/>
      <c r="M330" s="64"/>
      <c r="N330" s="65"/>
      <c r="O330" s="65"/>
    </row>
    <row r="331" spans="1:15" x14ac:dyDescent="0.25">
      <c r="A331" s="64"/>
      <c r="B331" s="64"/>
      <c r="C331" s="65"/>
      <c r="D331" s="64"/>
      <c r="E331" s="65"/>
      <c r="F331" s="65"/>
      <c r="G331" s="64"/>
      <c r="H331" s="65"/>
      <c r="I331" s="65"/>
      <c r="J331" s="64"/>
      <c r="K331" s="65"/>
      <c r="L331" s="65"/>
      <c r="M331" s="64"/>
      <c r="N331" s="65"/>
      <c r="O331" s="65"/>
    </row>
    <row r="332" spans="1:15" x14ac:dyDescent="0.25">
      <c r="A332" s="64"/>
      <c r="B332" s="64"/>
      <c r="C332" s="65"/>
      <c r="D332" s="64"/>
      <c r="E332" s="65"/>
      <c r="F332" s="65"/>
      <c r="G332" s="64"/>
      <c r="H332" s="65"/>
      <c r="I332" s="65"/>
      <c r="J332" s="64"/>
      <c r="K332" s="65"/>
      <c r="L332" s="65"/>
      <c r="M332" s="64"/>
      <c r="N332" s="65"/>
      <c r="O332" s="65"/>
    </row>
    <row r="333" spans="1:15" x14ac:dyDescent="0.25">
      <c r="A333" s="64"/>
      <c r="B333" s="64"/>
      <c r="C333" s="65"/>
      <c r="D333" s="64"/>
      <c r="E333" s="65"/>
      <c r="F333" s="65"/>
      <c r="G333" s="64"/>
      <c r="H333" s="65"/>
      <c r="I333" s="65"/>
      <c r="J333" s="64"/>
      <c r="K333" s="65"/>
      <c r="L333" s="65"/>
      <c r="M333" s="64"/>
      <c r="N333" s="65"/>
      <c r="O333" s="65"/>
    </row>
    <row r="334" spans="1:15" x14ac:dyDescent="0.25">
      <c r="A334" s="64"/>
      <c r="B334" s="64"/>
      <c r="C334" s="65"/>
      <c r="D334" s="64"/>
      <c r="E334" s="65"/>
      <c r="F334" s="65"/>
      <c r="G334" s="64"/>
      <c r="H334" s="65"/>
      <c r="I334" s="65"/>
      <c r="J334" s="64"/>
      <c r="K334" s="65"/>
      <c r="L334" s="65"/>
      <c r="M334" s="64"/>
      <c r="N334" s="65"/>
      <c r="O334" s="65"/>
    </row>
    <row r="335" spans="1:15" x14ac:dyDescent="0.25">
      <c r="A335" s="64"/>
      <c r="B335" s="64"/>
      <c r="C335" s="65"/>
      <c r="D335" s="64"/>
      <c r="E335" s="65"/>
      <c r="F335" s="65"/>
      <c r="G335" s="64"/>
      <c r="H335" s="65"/>
      <c r="I335" s="65"/>
      <c r="J335" s="64"/>
      <c r="K335" s="65"/>
      <c r="L335" s="65"/>
      <c r="M335" s="64"/>
      <c r="N335" s="65"/>
      <c r="O335" s="65"/>
    </row>
    <row r="336" spans="1:15" x14ac:dyDescent="0.25">
      <c r="A336" s="64"/>
      <c r="B336" s="64"/>
      <c r="C336" s="65"/>
      <c r="D336" s="64"/>
      <c r="E336" s="65"/>
      <c r="F336" s="65"/>
      <c r="G336" s="64"/>
      <c r="H336" s="65"/>
      <c r="I336" s="65"/>
      <c r="J336" s="64"/>
      <c r="K336" s="65"/>
      <c r="L336" s="65"/>
      <c r="M336" s="64"/>
      <c r="N336" s="65"/>
      <c r="O336" s="65"/>
    </row>
    <row r="337" spans="1:15" x14ac:dyDescent="0.25">
      <c r="A337" s="64"/>
      <c r="B337" s="64"/>
      <c r="C337" s="65"/>
      <c r="D337" s="64"/>
      <c r="E337" s="65"/>
      <c r="F337" s="65"/>
      <c r="G337" s="64"/>
      <c r="H337" s="65"/>
      <c r="I337" s="65"/>
      <c r="J337" s="64"/>
      <c r="K337" s="65"/>
      <c r="L337" s="65"/>
      <c r="M337" s="64"/>
      <c r="N337" s="65"/>
      <c r="O337" s="65"/>
    </row>
    <row r="338" spans="1:15" x14ac:dyDescent="0.25">
      <c r="A338" s="64"/>
      <c r="B338" s="64"/>
      <c r="C338" s="65"/>
      <c r="D338" s="64"/>
      <c r="E338" s="65"/>
      <c r="F338" s="65"/>
      <c r="G338" s="64"/>
      <c r="H338" s="65"/>
      <c r="I338" s="65"/>
      <c r="J338" s="64"/>
      <c r="K338" s="65"/>
      <c r="L338" s="65"/>
      <c r="M338" s="64"/>
      <c r="N338" s="65"/>
      <c r="O338" s="65"/>
    </row>
    <row r="339" spans="1:15" x14ac:dyDescent="0.25">
      <c r="A339" s="64"/>
      <c r="B339" s="64"/>
      <c r="C339" s="65"/>
      <c r="D339" s="64"/>
      <c r="E339" s="65"/>
      <c r="F339" s="65"/>
      <c r="G339" s="64"/>
      <c r="H339" s="65"/>
      <c r="I339" s="65"/>
      <c r="J339" s="64"/>
      <c r="K339" s="65"/>
      <c r="L339" s="65"/>
      <c r="M339" s="64"/>
      <c r="N339" s="65"/>
      <c r="O339" s="65"/>
    </row>
    <row r="340" spans="1:15" x14ac:dyDescent="0.25">
      <c r="A340" s="64"/>
      <c r="B340" s="64"/>
      <c r="C340" s="65"/>
      <c r="D340" s="64"/>
      <c r="E340" s="65"/>
      <c r="F340" s="65"/>
      <c r="G340" s="64"/>
      <c r="H340" s="65"/>
      <c r="I340" s="65"/>
      <c r="J340" s="64"/>
      <c r="K340" s="65"/>
      <c r="L340" s="65"/>
      <c r="M340" s="64"/>
      <c r="N340" s="65"/>
      <c r="O340" s="65"/>
    </row>
    <row r="341" spans="1:15" x14ac:dyDescent="0.25">
      <c r="A341" s="64"/>
      <c r="B341" s="64"/>
      <c r="C341" s="65"/>
      <c r="D341" s="64"/>
      <c r="E341" s="65"/>
      <c r="F341" s="65"/>
      <c r="G341" s="64"/>
      <c r="H341" s="65"/>
      <c r="I341" s="65"/>
      <c r="J341" s="64"/>
      <c r="K341" s="65"/>
      <c r="L341" s="65"/>
      <c r="M341" s="64"/>
      <c r="N341" s="65"/>
      <c r="O341" s="65"/>
    </row>
    <row r="342" spans="1:15" x14ac:dyDescent="0.25">
      <c r="A342" s="64"/>
      <c r="B342" s="64"/>
      <c r="C342" s="65"/>
      <c r="D342" s="64"/>
      <c r="E342" s="65"/>
      <c r="F342" s="65"/>
      <c r="G342" s="64"/>
      <c r="H342" s="65"/>
      <c r="I342" s="65"/>
      <c r="J342" s="64"/>
      <c r="K342" s="65"/>
      <c r="L342" s="65"/>
      <c r="M342" s="64"/>
      <c r="N342" s="65"/>
      <c r="O342" s="65"/>
    </row>
    <row r="343" spans="1:15" x14ac:dyDescent="0.25">
      <c r="A343" s="64"/>
      <c r="B343" s="64"/>
      <c r="C343" s="65"/>
      <c r="D343" s="64"/>
      <c r="E343" s="65"/>
      <c r="F343" s="65"/>
      <c r="G343" s="64"/>
      <c r="H343" s="65"/>
      <c r="I343" s="65"/>
      <c r="J343" s="64"/>
      <c r="K343" s="65"/>
      <c r="L343" s="65"/>
      <c r="M343" s="64"/>
      <c r="N343" s="65"/>
      <c r="O343" s="65"/>
    </row>
    <row r="344" spans="1:15" x14ac:dyDescent="0.25">
      <c r="A344" s="64"/>
      <c r="B344" s="64"/>
      <c r="C344" s="65"/>
      <c r="D344" s="64"/>
      <c r="E344" s="65"/>
      <c r="F344" s="65"/>
      <c r="G344" s="64"/>
      <c r="H344" s="65"/>
      <c r="I344" s="65"/>
      <c r="J344" s="64"/>
      <c r="K344" s="65"/>
      <c r="L344" s="65"/>
      <c r="M344" s="64"/>
      <c r="N344" s="65"/>
      <c r="O344" s="65"/>
    </row>
    <row r="345" spans="1:15" x14ac:dyDescent="0.25">
      <c r="A345" s="64"/>
      <c r="B345" s="64"/>
      <c r="C345" s="65"/>
      <c r="D345" s="64"/>
      <c r="E345" s="65"/>
      <c r="F345" s="65"/>
      <c r="G345" s="64"/>
      <c r="H345" s="65"/>
      <c r="I345" s="65"/>
      <c r="J345" s="64"/>
      <c r="K345" s="65"/>
      <c r="L345" s="65"/>
      <c r="M345" s="64"/>
      <c r="N345" s="65"/>
      <c r="O345" s="65"/>
    </row>
    <row r="346" spans="1:15" x14ac:dyDescent="0.25">
      <c r="A346" s="64"/>
      <c r="B346" s="64"/>
      <c r="C346" s="65"/>
      <c r="D346" s="64"/>
      <c r="E346" s="65"/>
      <c r="F346" s="65"/>
      <c r="G346" s="64"/>
      <c r="H346" s="65"/>
      <c r="I346" s="65"/>
      <c r="J346" s="64"/>
      <c r="K346" s="65"/>
      <c r="L346" s="65"/>
      <c r="M346" s="64"/>
      <c r="N346" s="65"/>
      <c r="O346" s="65"/>
    </row>
    <row r="347" spans="1:15" x14ac:dyDescent="0.25">
      <c r="A347" s="64"/>
      <c r="B347" s="64"/>
      <c r="C347" s="65"/>
      <c r="D347" s="64"/>
      <c r="E347" s="65"/>
      <c r="F347" s="65"/>
      <c r="G347" s="64"/>
      <c r="H347" s="65"/>
      <c r="I347" s="65"/>
      <c r="J347" s="64"/>
      <c r="K347" s="65"/>
      <c r="L347" s="65"/>
      <c r="M347" s="64"/>
      <c r="N347" s="65"/>
      <c r="O347" s="65"/>
    </row>
    <row r="348" spans="1:15" x14ac:dyDescent="0.25">
      <c r="A348" s="64"/>
      <c r="B348" s="64"/>
      <c r="C348" s="65"/>
      <c r="D348" s="64"/>
      <c r="E348" s="65"/>
      <c r="F348" s="65"/>
      <c r="G348" s="64"/>
      <c r="H348" s="65"/>
      <c r="I348" s="65"/>
      <c r="J348" s="64"/>
      <c r="K348" s="65"/>
      <c r="L348" s="65"/>
      <c r="M348" s="64"/>
      <c r="N348" s="65"/>
      <c r="O348" s="65"/>
    </row>
    <row r="349" spans="1:15" x14ac:dyDescent="0.25">
      <c r="A349" s="64"/>
      <c r="B349" s="64"/>
      <c r="C349" s="65"/>
      <c r="D349" s="64"/>
      <c r="E349" s="65"/>
      <c r="F349" s="65"/>
      <c r="G349" s="64"/>
      <c r="H349" s="65"/>
      <c r="I349" s="65"/>
      <c r="J349" s="64"/>
      <c r="K349" s="65"/>
      <c r="L349" s="65"/>
      <c r="M349" s="64"/>
      <c r="N349" s="65"/>
      <c r="O349" s="65"/>
    </row>
    <row r="350" spans="1:15" x14ac:dyDescent="0.25">
      <c r="A350" s="64"/>
      <c r="B350" s="64"/>
      <c r="C350" s="65"/>
      <c r="D350" s="64"/>
      <c r="E350" s="65"/>
      <c r="F350" s="65"/>
      <c r="G350" s="64"/>
      <c r="H350" s="65"/>
      <c r="I350" s="65"/>
      <c r="J350" s="64"/>
      <c r="K350" s="65"/>
      <c r="L350" s="65"/>
      <c r="M350" s="64"/>
      <c r="N350" s="65"/>
      <c r="O350" s="65"/>
    </row>
    <row r="351" spans="1:15" x14ac:dyDescent="0.25">
      <c r="A351" s="64"/>
      <c r="B351" s="64"/>
      <c r="C351" s="65"/>
      <c r="D351" s="64"/>
      <c r="E351" s="65"/>
      <c r="F351" s="65"/>
      <c r="G351" s="64"/>
      <c r="H351" s="65"/>
      <c r="I351" s="65"/>
      <c r="J351" s="64"/>
      <c r="K351" s="65"/>
      <c r="L351" s="65"/>
      <c r="M351" s="64"/>
      <c r="N351" s="65"/>
      <c r="O351" s="65"/>
    </row>
    <row r="352" spans="1:15" x14ac:dyDescent="0.25">
      <c r="A352" s="64"/>
      <c r="B352" s="64"/>
      <c r="C352" s="65"/>
      <c r="D352" s="64"/>
      <c r="E352" s="65"/>
      <c r="F352" s="65"/>
      <c r="G352" s="64"/>
      <c r="H352" s="65"/>
      <c r="I352" s="65"/>
      <c r="J352" s="64"/>
      <c r="K352" s="65"/>
      <c r="L352" s="65"/>
      <c r="M352" s="64"/>
      <c r="N352" s="65"/>
      <c r="O352" s="65"/>
    </row>
    <row r="353" spans="1:15" x14ac:dyDescent="0.25">
      <c r="A353" s="64"/>
      <c r="B353" s="64"/>
      <c r="C353" s="65"/>
      <c r="D353" s="64"/>
      <c r="E353" s="65"/>
      <c r="F353" s="65"/>
      <c r="G353" s="64"/>
      <c r="H353" s="65"/>
      <c r="I353" s="65"/>
      <c r="J353" s="64"/>
      <c r="K353" s="65"/>
      <c r="L353" s="65"/>
      <c r="M353" s="64"/>
      <c r="N353" s="65"/>
      <c r="O353" s="65"/>
    </row>
    <row r="354" spans="1:15" x14ac:dyDescent="0.25">
      <c r="A354" s="64"/>
      <c r="B354" s="64"/>
      <c r="C354" s="65"/>
      <c r="D354" s="64"/>
      <c r="E354" s="65"/>
      <c r="F354" s="65"/>
      <c r="G354" s="64"/>
      <c r="H354" s="65"/>
      <c r="I354" s="65"/>
      <c r="J354" s="64"/>
      <c r="K354" s="65"/>
      <c r="L354" s="65"/>
      <c r="M354" s="64"/>
      <c r="N354" s="65"/>
      <c r="O354" s="65"/>
    </row>
    <row r="355" spans="1:15" x14ac:dyDescent="0.25">
      <c r="A355" s="64"/>
      <c r="B355" s="64"/>
      <c r="C355" s="65"/>
      <c r="D355" s="64"/>
      <c r="E355" s="65"/>
      <c r="F355" s="65"/>
      <c r="G355" s="64"/>
      <c r="H355" s="65"/>
      <c r="I355" s="65"/>
      <c r="J355" s="64"/>
      <c r="K355" s="65"/>
      <c r="L355" s="65"/>
      <c r="M355" s="64"/>
      <c r="N355" s="65"/>
      <c r="O355" s="65"/>
    </row>
    <row r="356" spans="1:15" x14ac:dyDescent="0.25">
      <c r="A356" s="64"/>
      <c r="B356" s="64"/>
      <c r="C356" s="65"/>
      <c r="D356" s="64"/>
      <c r="E356" s="65"/>
      <c r="F356" s="65"/>
      <c r="G356" s="64"/>
      <c r="H356" s="65"/>
      <c r="I356" s="65"/>
      <c r="J356" s="64"/>
      <c r="K356" s="65"/>
      <c r="L356" s="65"/>
      <c r="M356" s="64"/>
      <c r="N356" s="65"/>
      <c r="O356" s="65"/>
    </row>
    <row r="357" spans="1:15" x14ac:dyDescent="0.25">
      <c r="A357" s="64"/>
      <c r="B357" s="64"/>
      <c r="C357" s="65"/>
      <c r="D357" s="64"/>
      <c r="E357" s="65"/>
      <c r="F357" s="65"/>
      <c r="G357" s="64"/>
      <c r="H357" s="65"/>
      <c r="I357" s="65"/>
      <c r="J357" s="64"/>
      <c r="K357" s="65"/>
      <c r="L357" s="65"/>
      <c r="M357" s="64"/>
      <c r="N357" s="65"/>
      <c r="O357" s="65"/>
    </row>
    <row r="358" spans="1:15" x14ac:dyDescent="0.25">
      <c r="A358" s="64"/>
      <c r="B358" s="64"/>
      <c r="C358" s="65"/>
      <c r="D358" s="64"/>
      <c r="E358" s="65"/>
      <c r="F358" s="65"/>
      <c r="G358" s="64"/>
      <c r="H358" s="65"/>
      <c r="I358" s="65"/>
      <c r="J358" s="64"/>
      <c r="K358" s="65"/>
      <c r="L358" s="65"/>
      <c r="M358" s="64"/>
      <c r="N358" s="65"/>
      <c r="O358" s="65"/>
    </row>
    <row r="359" spans="1:15" x14ac:dyDescent="0.25">
      <c r="A359" s="64"/>
      <c r="B359" s="64"/>
      <c r="C359" s="65"/>
      <c r="D359" s="64"/>
      <c r="E359" s="65"/>
      <c r="F359" s="65"/>
      <c r="G359" s="64"/>
      <c r="H359" s="65"/>
      <c r="I359" s="65"/>
      <c r="J359" s="64"/>
      <c r="K359" s="65"/>
      <c r="L359" s="65"/>
      <c r="M359" s="64"/>
      <c r="N359" s="65"/>
      <c r="O359" s="65"/>
    </row>
    <row r="360" spans="1:15" x14ac:dyDescent="0.25">
      <c r="A360" s="64"/>
      <c r="B360" s="64"/>
      <c r="C360" s="65"/>
      <c r="D360" s="64"/>
      <c r="E360" s="65"/>
      <c r="F360" s="65"/>
      <c r="G360" s="64"/>
      <c r="H360" s="65"/>
      <c r="I360" s="65"/>
      <c r="J360" s="64"/>
      <c r="K360" s="65"/>
      <c r="L360" s="65"/>
      <c r="M360" s="64"/>
      <c r="N360" s="65"/>
      <c r="O360" s="65"/>
    </row>
    <row r="361" spans="1:15" x14ac:dyDescent="0.25">
      <c r="A361" s="64"/>
      <c r="B361" s="64"/>
      <c r="C361" s="65"/>
      <c r="D361" s="64"/>
      <c r="E361" s="65"/>
      <c r="F361" s="65"/>
      <c r="G361" s="64"/>
      <c r="H361" s="65"/>
      <c r="I361" s="65"/>
      <c r="J361" s="64"/>
      <c r="K361" s="65"/>
      <c r="L361" s="65"/>
      <c r="M361" s="64"/>
      <c r="N361" s="65"/>
      <c r="O361" s="65"/>
    </row>
    <row r="362" spans="1:15" x14ac:dyDescent="0.25">
      <c r="A362" s="64"/>
      <c r="B362" s="64"/>
      <c r="C362" s="65"/>
      <c r="D362" s="64"/>
      <c r="E362" s="65"/>
      <c r="F362" s="65"/>
      <c r="G362" s="64"/>
      <c r="H362" s="65"/>
      <c r="I362" s="65"/>
      <c r="J362" s="64"/>
      <c r="K362" s="65"/>
      <c r="L362" s="65"/>
      <c r="M362" s="64"/>
      <c r="N362" s="65"/>
      <c r="O362" s="65"/>
    </row>
    <row r="363" spans="1:15" x14ac:dyDescent="0.25">
      <c r="A363" s="64"/>
      <c r="B363" s="64"/>
      <c r="C363" s="65"/>
      <c r="D363" s="64"/>
      <c r="E363" s="65"/>
      <c r="F363" s="65"/>
      <c r="G363" s="64"/>
      <c r="H363" s="65"/>
      <c r="I363" s="65"/>
      <c r="J363" s="64"/>
      <c r="K363" s="65"/>
      <c r="L363" s="65"/>
      <c r="M363" s="64"/>
      <c r="N363" s="65"/>
      <c r="O363" s="65"/>
    </row>
    <row r="364" spans="1:15" x14ac:dyDescent="0.25">
      <c r="A364" s="64"/>
      <c r="B364" s="64"/>
      <c r="C364" s="65"/>
      <c r="D364" s="64"/>
      <c r="E364" s="65"/>
      <c r="F364" s="65"/>
      <c r="G364" s="64"/>
      <c r="H364" s="65"/>
      <c r="I364" s="65"/>
      <c r="J364" s="64"/>
      <c r="K364" s="65"/>
      <c r="L364" s="65"/>
      <c r="M364" s="64"/>
      <c r="N364" s="65"/>
      <c r="O364" s="65"/>
    </row>
    <row r="365" spans="1:15" x14ac:dyDescent="0.25">
      <c r="A365" s="64"/>
      <c r="B365" s="64"/>
      <c r="C365" s="65"/>
      <c r="D365" s="64"/>
      <c r="E365" s="65"/>
      <c r="F365" s="65"/>
      <c r="G365" s="64"/>
      <c r="H365" s="65"/>
      <c r="I365" s="65"/>
      <c r="J365" s="64"/>
      <c r="K365" s="65"/>
      <c r="L365" s="65"/>
      <c r="M365" s="64"/>
      <c r="N365" s="65"/>
      <c r="O365" s="65"/>
    </row>
    <row r="366" spans="1:15" x14ac:dyDescent="0.25">
      <c r="A366" s="64"/>
      <c r="B366" s="64"/>
      <c r="C366" s="65"/>
      <c r="D366" s="64"/>
      <c r="E366" s="65"/>
      <c r="F366" s="65"/>
      <c r="G366" s="64"/>
      <c r="H366" s="65"/>
      <c r="I366" s="65"/>
      <c r="J366" s="64"/>
      <c r="K366" s="65"/>
      <c r="L366" s="65"/>
      <c r="M366" s="64"/>
      <c r="N366" s="65"/>
      <c r="O366" s="65"/>
    </row>
    <row r="367" spans="1:15" x14ac:dyDescent="0.25">
      <c r="A367" s="64"/>
      <c r="B367" s="64"/>
      <c r="C367" s="65"/>
      <c r="D367" s="64"/>
      <c r="E367" s="65"/>
      <c r="F367" s="65"/>
      <c r="G367" s="64"/>
      <c r="H367" s="65"/>
      <c r="I367" s="65"/>
      <c r="J367" s="64"/>
      <c r="K367" s="65"/>
      <c r="L367" s="65"/>
      <c r="M367" s="64"/>
      <c r="N367" s="65"/>
      <c r="O367" s="65"/>
    </row>
    <row r="368" spans="1:15" x14ac:dyDescent="0.25">
      <c r="A368" s="64"/>
      <c r="B368" s="64"/>
      <c r="C368" s="65"/>
      <c r="D368" s="64"/>
      <c r="E368" s="65"/>
      <c r="F368" s="65"/>
      <c r="G368" s="64"/>
      <c r="H368" s="65"/>
      <c r="I368" s="65"/>
      <c r="J368" s="64"/>
      <c r="K368" s="65"/>
      <c r="L368" s="65"/>
      <c r="M368" s="64"/>
      <c r="N368" s="65"/>
      <c r="O368" s="65"/>
    </row>
    <row r="369" spans="1:15" x14ac:dyDescent="0.25">
      <c r="A369" s="64"/>
      <c r="B369" s="64"/>
      <c r="C369" s="65"/>
      <c r="D369" s="64"/>
      <c r="E369" s="65"/>
      <c r="F369" s="65"/>
      <c r="G369" s="64"/>
      <c r="H369" s="65"/>
      <c r="I369" s="65"/>
      <c r="J369" s="64"/>
      <c r="K369" s="65"/>
      <c r="L369" s="65"/>
      <c r="M369" s="64"/>
      <c r="N369" s="65"/>
      <c r="O369" s="65"/>
    </row>
    <row r="370" spans="1:15" x14ac:dyDescent="0.25">
      <c r="A370" s="64"/>
      <c r="B370" s="64"/>
      <c r="C370" s="65"/>
      <c r="D370" s="64"/>
      <c r="E370" s="65"/>
      <c r="F370" s="65"/>
      <c r="G370" s="64"/>
      <c r="H370" s="65"/>
      <c r="I370" s="65"/>
      <c r="J370" s="64"/>
      <c r="K370" s="65"/>
      <c r="L370" s="65"/>
      <c r="M370" s="64"/>
      <c r="N370" s="65"/>
      <c r="O370" s="65"/>
    </row>
    <row r="371" spans="1:15" x14ac:dyDescent="0.25">
      <c r="A371" s="64"/>
      <c r="B371" s="64"/>
      <c r="C371" s="65"/>
      <c r="D371" s="64"/>
      <c r="E371" s="65"/>
      <c r="F371" s="65"/>
      <c r="G371" s="64"/>
      <c r="H371" s="65"/>
      <c r="I371" s="65"/>
      <c r="J371" s="64"/>
      <c r="K371" s="65"/>
      <c r="L371" s="65"/>
      <c r="M371" s="64"/>
      <c r="N371" s="65"/>
      <c r="O371" s="65"/>
    </row>
    <row r="372" spans="1:15" x14ac:dyDescent="0.25">
      <c r="A372" s="64"/>
      <c r="B372" s="64"/>
      <c r="C372" s="65"/>
      <c r="D372" s="64"/>
      <c r="E372" s="65"/>
      <c r="F372" s="65"/>
      <c r="G372" s="64"/>
      <c r="H372" s="65"/>
      <c r="I372" s="65"/>
      <c r="J372" s="64"/>
      <c r="K372" s="65"/>
      <c r="L372" s="65"/>
      <c r="M372" s="64"/>
      <c r="N372" s="65"/>
      <c r="O372" s="65"/>
    </row>
    <row r="373" spans="1:15" x14ac:dyDescent="0.25">
      <c r="A373" s="64"/>
      <c r="B373" s="64"/>
      <c r="C373" s="65"/>
      <c r="D373" s="64"/>
      <c r="E373" s="65"/>
      <c r="F373" s="65"/>
      <c r="G373" s="64"/>
      <c r="H373" s="65"/>
      <c r="I373" s="65"/>
      <c r="J373" s="64"/>
      <c r="K373" s="65"/>
      <c r="L373" s="65"/>
      <c r="M373" s="64"/>
      <c r="N373" s="65"/>
      <c r="O373" s="65"/>
    </row>
    <row r="374" spans="1:15" x14ac:dyDescent="0.25">
      <c r="A374" s="64"/>
      <c r="B374" s="64"/>
      <c r="C374" s="65"/>
      <c r="D374" s="64"/>
      <c r="E374" s="65"/>
      <c r="F374" s="65"/>
      <c r="G374" s="64"/>
      <c r="H374" s="65"/>
      <c r="I374" s="65"/>
      <c r="J374" s="64"/>
      <c r="K374" s="65"/>
      <c r="L374" s="65"/>
      <c r="M374" s="64"/>
      <c r="N374" s="65"/>
      <c r="O374" s="65"/>
    </row>
    <row r="375" spans="1:15" x14ac:dyDescent="0.25">
      <c r="A375" s="64"/>
      <c r="B375" s="64"/>
      <c r="C375" s="65"/>
      <c r="D375" s="64"/>
      <c r="E375" s="65"/>
      <c r="F375" s="65"/>
      <c r="G375" s="64"/>
      <c r="H375" s="65"/>
      <c r="I375" s="65"/>
      <c r="J375" s="64"/>
      <c r="K375" s="65"/>
      <c r="L375" s="65"/>
      <c r="M375" s="64"/>
      <c r="N375" s="65"/>
      <c r="O375" s="65"/>
    </row>
    <row r="376" spans="1:15" x14ac:dyDescent="0.25">
      <c r="A376" s="64"/>
      <c r="B376" s="64"/>
      <c r="C376" s="65"/>
      <c r="D376" s="64"/>
      <c r="E376" s="65"/>
      <c r="F376" s="65"/>
      <c r="G376" s="64"/>
      <c r="H376" s="65"/>
      <c r="I376" s="65"/>
      <c r="J376" s="64"/>
      <c r="K376" s="65"/>
      <c r="L376" s="65"/>
      <c r="M376" s="64"/>
      <c r="N376" s="65"/>
      <c r="O376" s="65"/>
    </row>
    <row r="377" spans="1:15" x14ac:dyDescent="0.25">
      <c r="A377" s="64"/>
      <c r="B377" s="64"/>
      <c r="C377" s="65"/>
      <c r="D377" s="64"/>
      <c r="E377" s="65"/>
      <c r="F377" s="65"/>
      <c r="G377" s="64"/>
      <c r="H377" s="65"/>
      <c r="I377" s="65"/>
      <c r="J377" s="64"/>
      <c r="K377" s="65"/>
      <c r="L377" s="65"/>
      <c r="M377" s="64"/>
      <c r="N377" s="65"/>
      <c r="O377" s="65"/>
    </row>
    <row r="378" spans="1:15" x14ac:dyDescent="0.25">
      <c r="A378" s="64"/>
      <c r="B378" s="64"/>
      <c r="C378" s="65"/>
      <c r="D378" s="64"/>
      <c r="E378" s="65"/>
      <c r="F378" s="65"/>
      <c r="G378" s="64"/>
      <c r="H378" s="65"/>
      <c r="I378" s="65"/>
      <c r="J378" s="64"/>
      <c r="K378" s="65"/>
      <c r="L378" s="65"/>
      <c r="M378" s="64"/>
      <c r="N378" s="65"/>
      <c r="O378" s="65"/>
    </row>
    <row r="379" spans="1:15" x14ac:dyDescent="0.25">
      <c r="A379" s="64"/>
      <c r="B379" s="64"/>
      <c r="C379" s="65"/>
      <c r="D379" s="64"/>
      <c r="E379" s="65"/>
      <c r="F379" s="65"/>
      <c r="G379" s="64"/>
      <c r="H379" s="65"/>
      <c r="I379" s="65"/>
      <c r="J379" s="64"/>
      <c r="K379" s="65"/>
      <c r="L379" s="65"/>
      <c r="M379" s="64"/>
      <c r="N379" s="65"/>
      <c r="O379" s="65"/>
    </row>
    <row r="380" spans="1:15" x14ac:dyDescent="0.25">
      <c r="A380" s="64"/>
      <c r="B380" s="64"/>
      <c r="C380" s="65"/>
      <c r="D380" s="64"/>
      <c r="E380" s="65"/>
      <c r="F380" s="65"/>
      <c r="G380" s="64"/>
      <c r="H380" s="65"/>
      <c r="I380" s="65"/>
      <c r="J380" s="64"/>
      <c r="K380" s="65"/>
      <c r="L380" s="65"/>
      <c r="M380" s="64"/>
      <c r="N380" s="65"/>
      <c r="O380" s="65"/>
    </row>
    <row r="381" spans="1:15" x14ac:dyDescent="0.25">
      <c r="A381" s="64"/>
      <c r="B381" s="64"/>
      <c r="C381" s="65"/>
      <c r="D381" s="64"/>
      <c r="E381" s="65"/>
      <c r="F381" s="65"/>
      <c r="G381" s="64"/>
      <c r="H381" s="65"/>
      <c r="I381" s="65"/>
      <c r="J381" s="64"/>
      <c r="K381" s="65"/>
      <c r="L381" s="65"/>
      <c r="M381" s="64"/>
      <c r="N381" s="65"/>
      <c r="O381" s="65"/>
    </row>
    <row r="382" spans="1:15" x14ac:dyDescent="0.25">
      <c r="A382" s="64"/>
      <c r="B382" s="64"/>
      <c r="C382" s="65"/>
      <c r="D382" s="64"/>
      <c r="E382" s="65"/>
      <c r="F382" s="65"/>
      <c r="G382" s="64"/>
      <c r="H382" s="65"/>
      <c r="I382" s="65"/>
      <c r="J382" s="64"/>
      <c r="K382" s="65"/>
      <c r="L382" s="65"/>
      <c r="M382" s="64"/>
      <c r="N382" s="65"/>
      <c r="O382" s="65"/>
    </row>
    <row r="383" spans="1:15" x14ac:dyDescent="0.25">
      <c r="A383" s="64"/>
      <c r="B383" s="64"/>
      <c r="C383" s="65"/>
      <c r="D383" s="64"/>
      <c r="E383" s="65"/>
      <c r="F383" s="65"/>
      <c r="G383" s="64"/>
      <c r="H383" s="65"/>
      <c r="I383" s="65"/>
      <c r="J383" s="64"/>
      <c r="K383" s="65"/>
      <c r="L383" s="65"/>
      <c r="M383" s="64"/>
      <c r="N383" s="65"/>
      <c r="O383" s="65"/>
    </row>
    <row r="384" spans="1:15" x14ac:dyDescent="0.25">
      <c r="A384" s="64"/>
      <c r="B384" s="64"/>
      <c r="C384" s="65"/>
      <c r="D384" s="64"/>
      <c r="E384" s="65"/>
      <c r="F384" s="65"/>
      <c r="G384" s="64"/>
      <c r="H384" s="65"/>
      <c r="I384" s="65"/>
      <c r="J384" s="64"/>
      <c r="K384" s="65"/>
      <c r="L384" s="65"/>
      <c r="M384" s="64"/>
      <c r="N384" s="65"/>
      <c r="O384" s="65"/>
    </row>
    <row r="385" spans="1:15" x14ac:dyDescent="0.25">
      <c r="A385" s="64"/>
      <c r="B385" s="64"/>
      <c r="C385" s="65"/>
      <c r="D385" s="64"/>
      <c r="E385" s="65"/>
      <c r="F385" s="65"/>
      <c r="G385" s="64"/>
      <c r="H385" s="65"/>
      <c r="I385" s="65"/>
      <c r="J385" s="64"/>
      <c r="K385" s="65"/>
      <c r="L385" s="65"/>
      <c r="M385" s="64"/>
      <c r="N385" s="65"/>
      <c r="O385" s="65"/>
    </row>
    <row r="386" spans="1:15" x14ac:dyDescent="0.25">
      <c r="A386" s="64"/>
      <c r="B386" s="64"/>
      <c r="C386" s="65"/>
      <c r="D386" s="64"/>
      <c r="E386" s="65"/>
      <c r="F386" s="65"/>
      <c r="G386" s="64"/>
      <c r="H386" s="65"/>
      <c r="I386" s="65"/>
      <c r="J386" s="64"/>
      <c r="K386" s="65"/>
      <c r="L386" s="65"/>
      <c r="M386" s="64"/>
      <c r="N386" s="65"/>
      <c r="O386" s="65"/>
    </row>
    <row r="387" spans="1:15" x14ac:dyDescent="0.25">
      <c r="A387" s="64"/>
      <c r="B387" s="64"/>
      <c r="C387" s="65"/>
      <c r="D387" s="64"/>
      <c r="E387" s="65"/>
      <c r="F387" s="65"/>
      <c r="G387" s="64"/>
      <c r="H387" s="65"/>
      <c r="I387" s="65"/>
      <c r="J387" s="64"/>
      <c r="K387" s="65"/>
      <c r="L387" s="65"/>
      <c r="M387" s="64"/>
      <c r="N387" s="65"/>
      <c r="O387" s="65"/>
    </row>
    <row r="388" spans="1:15" x14ac:dyDescent="0.25">
      <c r="A388" s="64"/>
      <c r="B388" s="64"/>
      <c r="C388" s="65"/>
      <c r="D388" s="64"/>
      <c r="E388" s="65"/>
      <c r="F388" s="65"/>
      <c r="G388" s="64"/>
      <c r="H388" s="65"/>
      <c r="I388" s="65"/>
      <c r="J388" s="64"/>
      <c r="K388" s="65"/>
      <c r="L388" s="65"/>
      <c r="M388" s="64"/>
      <c r="N388" s="65"/>
      <c r="O388" s="65"/>
    </row>
    <row r="389" spans="1:15" x14ac:dyDescent="0.25">
      <c r="A389" s="64"/>
      <c r="B389" s="64"/>
      <c r="C389" s="65"/>
      <c r="D389" s="64"/>
      <c r="E389" s="65"/>
      <c r="F389" s="65"/>
      <c r="G389" s="64"/>
      <c r="H389" s="65"/>
      <c r="I389" s="65"/>
      <c r="J389" s="64"/>
      <c r="K389" s="65"/>
      <c r="L389" s="65"/>
      <c r="M389" s="64"/>
      <c r="N389" s="65"/>
      <c r="O389" s="65"/>
    </row>
    <row r="390" spans="1:15" x14ac:dyDescent="0.25">
      <c r="A390" s="64"/>
      <c r="B390" s="64"/>
      <c r="C390" s="65"/>
      <c r="D390" s="64"/>
      <c r="E390" s="65"/>
      <c r="F390" s="65"/>
      <c r="G390" s="64"/>
      <c r="H390" s="65"/>
      <c r="I390" s="65"/>
      <c r="J390" s="64"/>
      <c r="K390" s="65"/>
      <c r="L390" s="65"/>
      <c r="M390" s="64"/>
      <c r="N390" s="65"/>
      <c r="O390" s="65"/>
    </row>
    <row r="391" spans="1:15" x14ac:dyDescent="0.25">
      <c r="A391" s="64"/>
      <c r="B391" s="64"/>
      <c r="C391" s="65"/>
      <c r="D391" s="64"/>
      <c r="E391" s="65"/>
      <c r="F391" s="65"/>
      <c r="G391" s="64"/>
      <c r="H391" s="65"/>
      <c r="I391" s="65"/>
      <c r="J391" s="64"/>
      <c r="K391" s="65"/>
      <c r="L391" s="65"/>
      <c r="M391" s="64"/>
      <c r="N391" s="65"/>
      <c r="O391" s="65"/>
    </row>
    <row r="392" spans="1:15" x14ac:dyDescent="0.25">
      <c r="A392" s="64"/>
      <c r="B392" s="64"/>
      <c r="C392" s="65"/>
      <c r="D392" s="64"/>
      <c r="E392" s="65"/>
      <c r="F392" s="65"/>
      <c r="G392" s="64"/>
      <c r="H392" s="65"/>
      <c r="I392" s="65"/>
      <c r="J392" s="64"/>
      <c r="K392" s="65"/>
      <c r="L392" s="65"/>
      <c r="M392" s="64"/>
      <c r="N392" s="65"/>
      <c r="O392" s="65"/>
    </row>
    <row r="393" spans="1:15" x14ac:dyDescent="0.25">
      <c r="A393" s="64"/>
      <c r="B393" s="64"/>
      <c r="C393" s="65"/>
      <c r="D393" s="64"/>
      <c r="E393" s="65"/>
      <c r="F393" s="65"/>
      <c r="G393" s="64"/>
      <c r="H393" s="65"/>
      <c r="I393" s="65"/>
      <c r="J393" s="64"/>
      <c r="K393" s="65"/>
      <c r="L393" s="65"/>
      <c r="M393" s="64"/>
      <c r="N393" s="65"/>
      <c r="O393" s="65"/>
    </row>
    <row r="394" spans="1:15" x14ac:dyDescent="0.25">
      <c r="A394" s="64"/>
      <c r="B394" s="64"/>
      <c r="C394" s="65"/>
      <c r="D394" s="64"/>
      <c r="E394" s="65"/>
      <c r="F394" s="65"/>
      <c r="G394" s="64"/>
      <c r="H394" s="65"/>
      <c r="I394" s="65"/>
      <c r="J394" s="64"/>
      <c r="K394" s="65"/>
      <c r="L394" s="65"/>
      <c r="M394" s="64"/>
      <c r="N394" s="65"/>
      <c r="O394" s="65"/>
    </row>
    <row r="395" spans="1:15" x14ac:dyDescent="0.25">
      <c r="A395" s="64"/>
      <c r="B395" s="64"/>
      <c r="C395" s="65"/>
      <c r="D395" s="64"/>
      <c r="E395" s="65"/>
      <c r="F395" s="65"/>
      <c r="G395" s="64"/>
      <c r="H395" s="65"/>
      <c r="I395" s="65"/>
      <c r="J395" s="64"/>
      <c r="K395" s="65"/>
      <c r="L395" s="65"/>
      <c r="M395" s="64"/>
      <c r="N395" s="65"/>
      <c r="O395" s="65"/>
    </row>
    <row r="396" spans="1:15" x14ac:dyDescent="0.25">
      <c r="A396" s="64"/>
      <c r="B396" s="64"/>
      <c r="C396" s="65"/>
      <c r="D396" s="64"/>
      <c r="E396" s="65"/>
      <c r="F396" s="65"/>
      <c r="G396" s="64"/>
      <c r="H396" s="65"/>
      <c r="I396" s="65"/>
      <c r="J396" s="64"/>
      <c r="K396" s="65"/>
      <c r="L396" s="65"/>
      <c r="M396" s="64"/>
      <c r="N396" s="65"/>
      <c r="O396" s="65"/>
    </row>
    <row r="397" spans="1:15" x14ac:dyDescent="0.25">
      <c r="A397" s="64"/>
      <c r="B397" s="64"/>
      <c r="C397" s="65"/>
      <c r="D397" s="64"/>
      <c r="E397" s="65"/>
      <c r="F397" s="65"/>
      <c r="G397" s="64"/>
      <c r="H397" s="65"/>
      <c r="I397" s="65"/>
      <c r="J397" s="64"/>
      <c r="K397" s="65"/>
      <c r="L397" s="65"/>
      <c r="M397" s="64"/>
      <c r="N397" s="65"/>
      <c r="O397" s="65"/>
    </row>
    <row r="398" spans="1:15" x14ac:dyDescent="0.25">
      <c r="A398" s="64"/>
      <c r="B398" s="64"/>
      <c r="C398" s="65"/>
      <c r="D398" s="64"/>
      <c r="E398" s="65"/>
      <c r="F398" s="65"/>
      <c r="G398" s="64"/>
      <c r="H398" s="65"/>
      <c r="I398" s="65"/>
      <c r="J398" s="64"/>
      <c r="K398" s="65"/>
      <c r="L398" s="65"/>
      <c r="M398" s="64"/>
      <c r="N398" s="65"/>
      <c r="O398" s="65"/>
    </row>
    <row r="399" spans="1:15" x14ac:dyDescent="0.25">
      <c r="A399" s="64"/>
      <c r="B399" s="64"/>
      <c r="C399" s="65"/>
      <c r="D399" s="64"/>
      <c r="E399" s="65"/>
      <c r="F399" s="65"/>
      <c r="G399" s="64"/>
      <c r="H399" s="65"/>
      <c r="I399" s="65"/>
      <c r="J399" s="64"/>
      <c r="K399" s="65"/>
      <c r="L399" s="65"/>
      <c r="M399" s="64"/>
      <c r="N399" s="65"/>
      <c r="O399" s="65"/>
    </row>
    <row r="400" spans="1:15" x14ac:dyDescent="0.25">
      <c r="A400" s="64"/>
      <c r="B400" s="64"/>
      <c r="C400" s="65"/>
      <c r="D400" s="64"/>
      <c r="E400" s="65"/>
      <c r="F400" s="65"/>
      <c r="G400" s="64"/>
      <c r="H400" s="65"/>
      <c r="I400" s="65"/>
      <c r="J400" s="64"/>
      <c r="K400" s="65"/>
      <c r="L400" s="65"/>
      <c r="M400" s="64"/>
      <c r="N400" s="65"/>
      <c r="O400" s="65"/>
    </row>
    <row r="401" spans="1:15" x14ac:dyDescent="0.25">
      <c r="A401" s="64"/>
      <c r="B401" s="64"/>
      <c r="C401" s="65"/>
      <c r="D401" s="64"/>
      <c r="E401" s="65"/>
      <c r="F401" s="65"/>
      <c r="G401" s="64"/>
      <c r="H401" s="65"/>
      <c r="I401" s="65"/>
      <c r="J401" s="64"/>
      <c r="K401" s="65"/>
      <c r="L401" s="65"/>
      <c r="M401" s="64"/>
      <c r="N401" s="65"/>
      <c r="O401" s="65"/>
    </row>
    <row r="402" spans="1:15" x14ac:dyDescent="0.25">
      <c r="A402" s="64"/>
      <c r="B402" s="64"/>
      <c r="C402" s="65"/>
      <c r="D402" s="64"/>
      <c r="E402" s="65"/>
      <c r="F402" s="65"/>
      <c r="G402" s="64"/>
      <c r="H402" s="65"/>
      <c r="I402" s="65"/>
      <c r="J402" s="64"/>
      <c r="K402" s="65"/>
      <c r="L402" s="65"/>
      <c r="M402" s="64"/>
      <c r="N402" s="65"/>
      <c r="O402" s="65"/>
    </row>
    <row r="403" spans="1:15" x14ac:dyDescent="0.25">
      <c r="A403" s="64"/>
      <c r="B403" s="64"/>
      <c r="C403" s="65"/>
      <c r="D403" s="64"/>
      <c r="E403" s="65"/>
      <c r="F403" s="65"/>
      <c r="G403" s="64"/>
      <c r="H403" s="65"/>
      <c r="I403" s="65"/>
      <c r="J403" s="64"/>
      <c r="K403" s="65"/>
      <c r="L403" s="65"/>
      <c r="M403" s="64"/>
      <c r="N403" s="65"/>
      <c r="O403" s="65"/>
    </row>
    <row r="404" spans="1:15" x14ac:dyDescent="0.25">
      <c r="A404" s="64"/>
      <c r="B404" s="64"/>
      <c r="C404" s="65"/>
      <c r="D404" s="64"/>
      <c r="E404" s="65"/>
      <c r="F404" s="65"/>
      <c r="G404" s="64"/>
      <c r="H404" s="65"/>
      <c r="I404" s="65"/>
      <c r="J404" s="64"/>
      <c r="K404" s="65"/>
      <c r="L404" s="65"/>
      <c r="M404" s="64"/>
      <c r="N404" s="65"/>
      <c r="O404" s="65"/>
    </row>
    <row r="405" spans="1:15" x14ac:dyDescent="0.25">
      <c r="A405" s="64"/>
      <c r="B405" s="64"/>
      <c r="C405" s="65"/>
      <c r="D405" s="64"/>
      <c r="E405" s="65"/>
      <c r="F405" s="65"/>
      <c r="G405" s="64"/>
      <c r="H405" s="65"/>
      <c r="I405" s="65"/>
      <c r="J405" s="64"/>
      <c r="K405" s="65"/>
      <c r="L405" s="65"/>
      <c r="M405" s="64"/>
      <c r="N405" s="65"/>
      <c r="O405" s="65"/>
    </row>
    <row r="406" spans="1:15" x14ac:dyDescent="0.25">
      <c r="A406" s="64"/>
      <c r="B406" s="64"/>
      <c r="C406" s="65"/>
      <c r="D406" s="64"/>
      <c r="E406" s="65"/>
      <c r="F406" s="65"/>
      <c r="G406" s="64"/>
      <c r="H406" s="65"/>
      <c r="I406" s="65"/>
      <c r="J406" s="64"/>
      <c r="K406" s="65"/>
      <c r="L406" s="65"/>
      <c r="M406" s="64"/>
      <c r="N406" s="65"/>
      <c r="O406" s="65"/>
    </row>
    <row r="407" spans="1:15" x14ac:dyDescent="0.25">
      <c r="A407" s="64"/>
      <c r="B407" s="64"/>
      <c r="C407" s="65"/>
      <c r="D407" s="64"/>
      <c r="E407" s="65"/>
      <c r="F407" s="65"/>
      <c r="G407" s="64"/>
      <c r="H407" s="65"/>
      <c r="I407" s="65"/>
      <c r="J407" s="64"/>
      <c r="K407" s="65"/>
      <c r="L407" s="65"/>
      <c r="M407" s="64"/>
      <c r="N407" s="65"/>
      <c r="O407" s="65"/>
    </row>
    <row r="408" spans="1:15" x14ac:dyDescent="0.25">
      <c r="A408" s="64"/>
      <c r="B408" s="64"/>
      <c r="C408" s="65"/>
      <c r="D408" s="64"/>
      <c r="E408" s="65"/>
      <c r="F408" s="65"/>
      <c r="G408" s="64"/>
      <c r="H408" s="65"/>
      <c r="I408" s="65"/>
      <c r="J408" s="64"/>
      <c r="K408" s="65"/>
      <c r="L408" s="65"/>
      <c r="M408" s="64"/>
      <c r="N408" s="65"/>
      <c r="O408" s="65"/>
    </row>
    <row r="409" spans="1:15" x14ac:dyDescent="0.25">
      <c r="A409" s="64"/>
      <c r="B409" s="64"/>
      <c r="C409" s="65"/>
      <c r="D409" s="64"/>
      <c r="E409" s="65"/>
      <c r="F409" s="65"/>
      <c r="G409" s="64"/>
      <c r="H409" s="65"/>
      <c r="I409" s="65"/>
      <c r="J409" s="64"/>
      <c r="K409" s="65"/>
      <c r="L409" s="65"/>
      <c r="M409" s="64"/>
      <c r="N409" s="65"/>
      <c r="O409" s="65"/>
    </row>
    <row r="410" spans="1:15" x14ac:dyDescent="0.25">
      <c r="A410" s="64"/>
      <c r="B410" s="64"/>
      <c r="C410" s="65"/>
      <c r="D410" s="64"/>
      <c r="E410" s="65"/>
      <c r="F410" s="65"/>
      <c r="G410" s="64"/>
      <c r="H410" s="65"/>
      <c r="I410" s="65"/>
      <c r="J410" s="64"/>
      <c r="K410" s="65"/>
      <c r="L410" s="65"/>
      <c r="M410" s="64"/>
      <c r="N410" s="65"/>
      <c r="O410" s="65"/>
    </row>
    <row r="411" spans="1:15" x14ac:dyDescent="0.25">
      <c r="A411" s="64"/>
      <c r="B411" s="64"/>
      <c r="C411" s="65"/>
      <c r="D411" s="64"/>
      <c r="E411" s="65"/>
      <c r="F411" s="65"/>
      <c r="G411" s="64"/>
      <c r="H411" s="65"/>
      <c r="I411" s="65"/>
      <c r="J411" s="64"/>
      <c r="K411" s="65"/>
      <c r="L411" s="65"/>
      <c r="M411" s="64"/>
      <c r="N411" s="65"/>
      <c r="O411" s="65"/>
    </row>
    <row r="412" spans="1:15" x14ac:dyDescent="0.25">
      <c r="A412" s="64"/>
      <c r="B412" s="64"/>
      <c r="C412" s="65"/>
      <c r="D412" s="64"/>
      <c r="E412" s="65"/>
      <c r="F412" s="65"/>
      <c r="G412" s="64"/>
      <c r="H412" s="65"/>
      <c r="I412" s="65"/>
      <c r="J412" s="64"/>
      <c r="K412" s="65"/>
      <c r="L412" s="65"/>
      <c r="M412" s="64"/>
      <c r="N412" s="65"/>
      <c r="O412" s="65"/>
    </row>
    <row r="413" spans="1:15" x14ac:dyDescent="0.25">
      <c r="A413" s="64"/>
      <c r="B413" s="64"/>
      <c r="C413" s="65"/>
      <c r="D413" s="64"/>
      <c r="E413" s="65"/>
      <c r="F413" s="65"/>
      <c r="G413" s="64"/>
      <c r="H413" s="65"/>
      <c r="I413" s="65"/>
      <c r="J413" s="64"/>
      <c r="K413" s="65"/>
      <c r="L413" s="65"/>
      <c r="M413" s="64"/>
      <c r="N413" s="65"/>
      <c r="O413" s="65"/>
    </row>
    <row r="414" spans="1:15" x14ac:dyDescent="0.25">
      <c r="A414" s="64"/>
      <c r="B414" s="64"/>
      <c r="C414" s="65"/>
      <c r="D414" s="64"/>
      <c r="E414" s="65"/>
      <c r="F414" s="65"/>
      <c r="G414" s="64"/>
      <c r="H414" s="65"/>
      <c r="I414" s="65"/>
      <c r="J414" s="64"/>
      <c r="K414" s="65"/>
      <c r="L414" s="65"/>
      <c r="M414" s="64"/>
      <c r="N414" s="65"/>
      <c r="O414" s="65"/>
    </row>
    <row r="415" spans="1:15" x14ac:dyDescent="0.25">
      <c r="A415" s="64"/>
      <c r="B415" s="64"/>
      <c r="C415" s="65"/>
      <c r="D415" s="64"/>
      <c r="E415" s="65"/>
      <c r="F415" s="65"/>
      <c r="G415" s="64"/>
      <c r="H415" s="65"/>
      <c r="I415" s="65"/>
      <c r="J415" s="64"/>
      <c r="K415" s="65"/>
      <c r="L415" s="65"/>
      <c r="M415" s="64"/>
      <c r="N415" s="65"/>
      <c r="O415" s="65"/>
    </row>
    <row r="416" spans="1:15" x14ac:dyDescent="0.25">
      <c r="A416" s="64"/>
      <c r="B416" s="64"/>
      <c r="C416" s="65"/>
      <c r="D416" s="64"/>
      <c r="E416" s="65"/>
      <c r="F416" s="65"/>
      <c r="G416" s="64"/>
      <c r="H416" s="65"/>
      <c r="I416" s="65"/>
      <c r="J416" s="64"/>
      <c r="K416" s="65"/>
      <c r="L416" s="65"/>
      <c r="M416" s="64"/>
      <c r="N416" s="65"/>
      <c r="O416" s="65"/>
    </row>
    <row r="417" spans="1:15" x14ac:dyDescent="0.25">
      <c r="A417" s="64"/>
      <c r="B417" s="64"/>
      <c r="C417" s="65"/>
      <c r="D417" s="64"/>
      <c r="E417" s="65"/>
      <c r="F417" s="65"/>
      <c r="G417" s="64"/>
      <c r="H417" s="65"/>
      <c r="I417" s="65"/>
      <c r="J417" s="64"/>
      <c r="K417" s="65"/>
      <c r="L417" s="65"/>
      <c r="M417" s="64"/>
      <c r="N417" s="65"/>
      <c r="O417" s="65"/>
    </row>
    <row r="418" spans="1:15" x14ac:dyDescent="0.25">
      <c r="A418" s="64"/>
      <c r="B418" s="64"/>
      <c r="C418" s="65"/>
      <c r="D418" s="64"/>
      <c r="E418" s="65"/>
      <c r="F418" s="65"/>
      <c r="G418" s="64"/>
      <c r="H418" s="65"/>
      <c r="I418" s="65"/>
      <c r="J418" s="64"/>
      <c r="K418" s="65"/>
      <c r="L418" s="65"/>
      <c r="M418" s="64"/>
      <c r="N418" s="65"/>
      <c r="O418" s="65"/>
    </row>
    <row r="419" spans="1:15" x14ac:dyDescent="0.25">
      <c r="A419" s="64"/>
      <c r="B419" s="64"/>
      <c r="C419" s="65"/>
      <c r="D419" s="64"/>
      <c r="E419" s="65"/>
      <c r="F419" s="65"/>
      <c r="G419" s="64"/>
      <c r="H419" s="65"/>
      <c r="I419" s="65"/>
      <c r="J419" s="64"/>
      <c r="K419" s="65"/>
      <c r="L419" s="65"/>
      <c r="M419" s="64"/>
      <c r="N419" s="65"/>
      <c r="O419" s="65"/>
    </row>
    <row r="420" spans="1:15" x14ac:dyDescent="0.25">
      <c r="A420" s="64"/>
      <c r="B420" s="64"/>
      <c r="C420" s="65"/>
      <c r="D420" s="64"/>
      <c r="E420" s="65"/>
      <c r="F420" s="65"/>
      <c r="G420" s="64"/>
      <c r="H420" s="65"/>
      <c r="I420" s="65"/>
      <c r="J420" s="64"/>
      <c r="K420" s="65"/>
      <c r="L420" s="65"/>
      <c r="M420" s="64"/>
      <c r="N420" s="65"/>
      <c r="O420" s="65"/>
    </row>
    <row r="421" spans="1:15" x14ac:dyDescent="0.25">
      <c r="A421" s="64"/>
      <c r="B421" s="64"/>
      <c r="C421" s="65"/>
      <c r="D421" s="64"/>
      <c r="E421" s="65"/>
      <c r="F421" s="65"/>
      <c r="G421" s="64"/>
      <c r="H421" s="65"/>
      <c r="I421" s="65"/>
      <c r="J421" s="64"/>
      <c r="K421" s="65"/>
      <c r="L421" s="65"/>
      <c r="M421" s="64"/>
      <c r="N421" s="65"/>
      <c r="O421" s="65"/>
    </row>
    <row r="422" spans="1:15" x14ac:dyDescent="0.25">
      <c r="A422" s="64"/>
      <c r="B422" s="64"/>
      <c r="C422" s="65"/>
      <c r="D422" s="64"/>
      <c r="E422" s="65"/>
      <c r="F422" s="65"/>
      <c r="G422" s="64"/>
      <c r="H422" s="65"/>
      <c r="I422" s="65"/>
      <c r="J422" s="64"/>
      <c r="K422" s="65"/>
      <c r="L422" s="65"/>
      <c r="M422" s="64"/>
      <c r="N422" s="65"/>
      <c r="O422" s="65"/>
    </row>
    <row r="423" spans="1:15" x14ac:dyDescent="0.25">
      <c r="A423" s="64"/>
      <c r="B423" s="64"/>
      <c r="C423" s="65"/>
      <c r="D423" s="64"/>
      <c r="E423" s="65"/>
      <c r="F423" s="65"/>
      <c r="G423" s="64"/>
      <c r="H423" s="65"/>
      <c r="I423" s="65"/>
      <c r="J423" s="64"/>
      <c r="K423" s="65"/>
      <c r="L423" s="65"/>
      <c r="M423" s="64"/>
      <c r="N423" s="65"/>
      <c r="O423" s="65"/>
    </row>
    <row r="424" spans="1:15" x14ac:dyDescent="0.25">
      <c r="A424" s="64"/>
      <c r="B424" s="64"/>
      <c r="C424" s="65"/>
      <c r="D424" s="64"/>
      <c r="E424" s="65"/>
      <c r="F424" s="65"/>
      <c r="G424" s="64"/>
      <c r="H424" s="65"/>
      <c r="I424" s="65"/>
      <c r="J424" s="64"/>
      <c r="K424" s="65"/>
      <c r="L424" s="65"/>
      <c r="M424" s="64"/>
      <c r="N424" s="65"/>
      <c r="O424" s="65"/>
    </row>
    <row r="425" spans="1:15" x14ac:dyDescent="0.25">
      <c r="A425" s="64"/>
      <c r="B425" s="64"/>
      <c r="C425" s="65"/>
      <c r="D425" s="64"/>
      <c r="E425" s="65"/>
      <c r="F425" s="65"/>
      <c r="G425" s="64"/>
      <c r="H425" s="65"/>
      <c r="I425" s="65"/>
      <c r="J425" s="64"/>
      <c r="K425" s="65"/>
      <c r="L425" s="65"/>
      <c r="M425" s="64"/>
      <c r="N425" s="65"/>
      <c r="O425" s="65"/>
    </row>
    <row r="426" spans="1:15" x14ac:dyDescent="0.25">
      <c r="A426" s="64"/>
      <c r="B426" s="64"/>
      <c r="C426" s="65"/>
      <c r="D426" s="64"/>
      <c r="E426" s="65"/>
      <c r="F426" s="65"/>
      <c r="G426" s="64"/>
      <c r="H426" s="65"/>
      <c r="I426" s="65"/>
      <c r="J426" s="64"/>
      <c r="K426" s="65"/>
      <c r="L426" s="65"/>
      <c r="M426" s="64"/>
      <c r="N426" s="65"/>
      <c r="O426" s="65"/>
    </row>
    <row r="427" spans="1:15" x14ac:dyDescent="0.25">
      <c r="A427" s="64"/>
      <c r="B427" s="64"/>
      <c r="C427" s="65"/>
      <c r="D427" s="64"/>
      <c r="E427" s="65"/>
      <c r="F427" s="65"/>
      <c r="G427" s="64"/>
      <c r="H427" s="65"/>
      <c r="I427" s="65"/>
      <c r="J427" s="64"/>
      <c r="K427" s="65"/>
      <c r="L427" s="65"/>
      <c r="M427" s="64"/>
      <c r="N427" s="65"/>
      <c r="O427" s="65"/>
    </row>
    <row r="428" spans="1:15" x14ac:dyDescent="0.25">
      <c r="A428" s="64"/>
      <c r="B428" s="64"/>
      <c r="C428" s="65"/>
      <c r="D428" s="64"/>
      <c r="E428" s="65"/>
      <c r="F428" s="65"/>
      <c r="G428" s="64"/>
      <c r="H428" s="65"/>
      <c r="I428" s="65"/>
      <c r="J428" s="64"/>
      <c r="K428" s="65"/>
      <c r="L428" s="65"/>
      <c r="M428" s="64"/>
      <c r="N428" s="65"/>
      <c r="O428" s="65"/>
    </row>
    <row r="429" spans="1:15" x14ac:dyDescent="0.25">
      <c r="A429" s="64"/>
      <c r="B429" s="64"/>
      <c r="C429" s="65"/>
      <c r="D429" s="64"/>
      <c r="E429" s="65"/>
      <c r="F429" s="65"/>
      <c r="G429" s="64"/>
      <c r="H429" s="65"/>
      <c r="I429" s="65"/>
      <c r="J429" s="64"/>
      <c r="K429" s="65"/>
      <c r="L429" s="65"/>
      <c r="M429" s="64"/>
      <c r="N429" s="65"/>
      <c r="O429" s="65"/>
    </row>
    <row r="430" spans="1:15" x14ac:dyDescent="0.25">
      <c r="A430" s="64"/>
      <c r="B430" s="64"/>
      <c r="C430" s="65"/>
      <c r="D430" s="64"/>
      <c r="E430" s="65"/>
      <c r="F430" s="65"/>
      <c r="G430" s="64"/>
      <c r="H430" s="65"/>
      <c r="I430" s="65"/>
      <c r="J430" s="64"/>
      <c r="K430" s="65"/>
      <c r="L430" s="65"/>
      <c r="M430" s="64"/>
      <c r="N430" s="65"/>
      <c r="O430" s="65"/>
    </row>
    <row r="431" spans="1:15" x14ac:dyDescent="0.25">
      <c r="A431" s="64"/>
      <c r="B431" s="64"/>
      <c r="C431" s="65"/>
      <c r="D431" s="64"/>
      <c r="E431" s="65"/>
      <c r="F431" s="65"/>
      <c r="G431" s="64"/>
      <c r="H431" s="65"/>
      <c r="I431" s="65"/>
      <c r="J431" s="64"/>
      <c r="K431" s="65"/>
      <c r="L431" s="65"/>
      <c r="M431" s="64"/>
      <c r="N431" s="65"/>
      <c r="O431" s="65"/>
    </row>
    <row r="432" spans="1:15" x14ac:dyDescent="0.25">
      <c r="A432" s="64"/>
      <c r="B432" s="64"/>
      <c r="C432" s="65"/>
      <c r="D432" s="64"/>
      <c r="E432" s="65"/>
      <c r="F432" s="65"/>
      <c r="G432" s="64"/>
      <c r="H432" s="65"/>
      <c r="I432" s="65"/>
      <c r="J432" s="64"/>
      <c r="K432" s="65"/>
      <c r="L432" s="65"/>
      <c r="M432" s="64"/>
      <c r="N432" s="65"/>
      <c r="O432" s="65"/>
    </row>
    <row r="433" spans="1:15" x14ac:dyDescent="0.25">
      <c r="A433" s="64"/>
      <c r="B433" s="64"/>
      <c r="C433" s="65"/>
      <c r="D433" s="64"/>
      <c r="E433" s="65"/>
      <c r="F433" s="65"/>
      <c r="G433" s="64"/>
      <c r="H433" s="65"/>
      <c r="I433" s="65"/>
      <c r="J433" s="64"/>
      <c r="K433" s="65"/>
      <c r="L433" s="65"/>
      <c r="M433" s="64"/>
      <c r="N433" s="65"/>
      <c r="O433" s="65"/>
    </row>
    <row r="434" spans="1:15" x14ac:dyDescent="0.25">
      <c r="A434" s="64"/>
      <c r="B434" s="64"/>
      <c r="C434" s="65"/>
      <c r="D434" s="64"/>
      <c r="E434" s="65"/>
      <c r="F434" s="65"/>
      <c r="G434" s="64"/>
      <c r="H434" s="65"/>
      <c r="I434" s="65"/>
      <c r="J434" s="64"/>
      <c r="K434" s="65"/>
      <c r="L434" s="65"/>
      <c r="M434" s="64"/>
      <c r="N434" s="65"/>
      <c r="O434" s="65"/>
    </row>
    <row r="435" spans="1:15" x14ac:dyDescent="0.25">
      <c r="A435" s="64"/>
      <c r="B435" s="64"/>
      <c r="C435" s="65"/>
      <c r="D435" s="64"/>
      <c r="E435" s="65"/>
      <c r="F435" s="65"/>
      <c r="G435" s="64"/>
      <c r="H435" s="65"/>
      <c r="I435" s="65"/>
      <c r="J435" s="64"/>
      <c r="K435" s="65"/>
      <c r="L435" s="65"/>
      <c r="M435" s="64"/>
      <c r="N435" s="65"/>
      <c r="O435" s="65"/>
    </row>
    <row r="436" spans="1:15" x14ac:dyDescent="0.25">
      <c r="A436" s="64"/>
      <c r="B436" s="64"/>
      <c r="C436" s="65"/>
      <c r="D436" s="64"/>
      <c r="E436" s="65"/>
      <c r="F436" s="65"/>
      <c r="G436" s="64"/>
      <c r="H436" s="65"/>
      <c r="I436" s="65"/>
      <c r="J436" s="64"/>
      <c r="K436" s="65"/>
      <c r="L436" s="65"/>
      <c r="M436" s="64"/>
      <c r="N436" s="65"/>
      <c r="O436" s="65"/>
    </row>
    <row r="437" spans="1:15" x14ac:dyDescent="0.25">
      <c r="A437" s="64"/>
      <c r="B437" s="64"/>
      <c r="C437" s="65"/>
      <c r="D437" s="64"/>
      <c r="E437" s="65"/>
      <c r="F437" s="65"/>
      <c r="G437" s="64"/>
      <c r="H437" s="65"/>
      <c r="I437" s="65"/>
      <c r="J437" s="64"/>
      <c r="K437" s="65"/>
      <c r="L437" s="65"/>
      <c r="M437" s="64"/>
      <c r="N437" s="65"/>
      <c r="O437" s="65"/>
    </row>
    <row r="438" spans="1:15" x14ac:dyDescent="0.25">
      <c r="A438" s="64"/>
      <c r="B438" s="64"/>
      <c r="C438" s="65"/>
      <c r="D438" s="64"/>
      <c r="E438" s="65"/>
      <c r="F438" s="65"/>
      <c r="G438" s="64"/>
      <c r="H438" s="65"/>
      <c r="I438" s="65"/>
      <c r="J438" s="64"/>
      <c r="K438" s="65"/>
      <c r="L438" s="65"/>
      <c r="M438" s="64"/>
      <c r="N438" s="65"/>
      <c r="O438" s="65"/>
    </row>
    <row r="439" spans="1:15" x14ac:dyDescent="0.25">
      <c r="A439" s="64"/>
      <c r="B439" s="64"/>
      <c r="C439" s="65"/>
      <c r="D439" s="64"/>
      <c r="E439" s="65"/>
      <c r="F439" s="65"/>
      <c r="G439" s="64"/>
      <c r="H439" s="65"/>
      <c r="I439" s="65"/>
      <c r="J439" s="64"/>
      <c r="K439" s="65"/>
      <c r="L439" s="65"/>
      <c r="M439" s="64"/>
      <c r="N439" s="65"/>
      <c r="O439" s="65"/>
    </row>
    <row r="440" spans="1:15" x14ac:dyDescent="0.25">
      <c r="A440" s="64"/>
      <c r="B440" s="64"/>
      <c r="C440" s="65"/>
      <c r="D440" s="64"/>
      <c r="E440" s="65"/>
      <c r="F440" s="65"/>
      <c r="G440" s="64"/>
      <c r="H440" s="65"/>
      <c r="I440" s="65"/>
      <c r="J440" s="64"/>
      <c r="K440" s="65"/>
      <c r="L440" s="65"/>
      <c r="M440" s="64"/>
      <c r="N440" s="65"/>
      <c r="O440" s="65"/>
    </row>
    <row r="441" spans="1:15" x14ac:dyDescent="0.25">
      <c r="A441" s="64"/>
      <c r="B441" s="64"/>
      <c r="C441" s="65"/>
      <c r="D441" s="64"/>
      <c r="E441" s="65"/>
      <c r="F441" s="65"/>
      <c r="G441" s="64"/>
      <c r="H441" s="65"/>
      <c r="I441" s="65"/>
      <c r="J441" s="64"/>
      <c r="K441" s="65"/>
      <c r="L441" s="65"/>
      <c r="M441" s="64"/>
      <c r="N441" s="65"/>
      <c r="O441" s="65"/>
    </row>
    <row r="442" spans="1:15" x14ac:dyDescent="0.25">
      <c r="A442" s="64"/>
      <c r="B442" s="64"/>
      <c r="C442" s="65"/>
      <c r="D442" s="64"/>
      <c r="E442" s="65"/>
      <c r="F442" s="65"/>
      <c r="G442" s="64"/>
      <c r="H442" s="65"/>
      <c r="I442" s="65"/>
      <c r="J442" s="64"/>
      <c r="K442" s="65"/>
      <c r="L442" s="65"/>
      <c r="M442" s="64"/>
      <c r="N442" s="65"/>
      <c r="O442" s="65"/>
    </row>
    <row r="443" spans="1:15" x14ac:dyDescent="0.25">
      <c r="A443" s="64"/>
      <c r="B443" s="64"/>
      <c r="C443" s="65"/>
      <c r="D443" s="64"/>
      <c r="E443" s="65"/>
      <c r="F443" s="65"/>
      <c r="G443" s="64"/>
      <c r="H443" s="65"/>
      <c r="I443" s="65"/>
      <c r="J443" s="64"/>
      <c r="K443" s="65"/>
      <c r="L443" s="65"/>
      <c r="M443" s="64"/>
      <c r="N443" s="65"/>
      <c r="O443" s="65"/>
    </row>
    <row r="444" spans="1:15" x14ac:dyDescent="0.25">
      <c r="A444" s="64"/>
      <c r="B444" s="64"/>
      <c r="C444" s="65"/>
      <c r="D444" s="64"/>
      <c r="E444" s="65"/>
      <c r="F444" s="65"/>
      <c r="G444" s="64"/>
      <c r="H444" s="65"/>
      <c r="I444" s="65"/>
      <c r="J444" s="64"/>
      <c r="K444" s="65"/>
      <c r="L444" s="65"/>
      <c r="M444" s="64"/>
      <c r="N444" s="65"/>
      <c r="O444" s="65"/>
    </row>
    <row r="445" spans="1:15" x14ac:dyDescent="0.25">
      <c r="A445" s="64"/>
      <c r="B445" s="64"/>
      <c r="C445" s="65"/>
      <c r="D445" s="64"/>
      <c r="E445" s="65"/>
      <c r="F445" s="65"/>
      <c r="G445" s="64"/>
      <c r="H445" s="65"/>
      <c r="I445" s="65"/>
      <c r="J445" s="64"/>
      <c r="K445" s="65"/>
      <c r="L445" s="65"/>
      <c r="M445" s="64"/>
      <c r="N445" s="65"/>
      <c r="O445" s="65"/>
    </row>
    <row r="446" spans="1:15" x14ac:dyDescent="0.25">
      <c r="A446" s="64"/>
      <c r="B446" s="64"/>
      <c r="C446" s="65"/>
      <c r="D446" s="64"/>
      <c r="E446" s="65"/>
      <c r="F446" s="65"/>
      <c r="G446" s="64"/>
      <c r="H446" s="65"/>
      <c r="I446" s="65"/>
      <c r="J446" s="64"/>
      <c r="K446" s="65"/>
      <c r="L446" s="65"/>
      <c r="M446" s="64"/>
      <c r="N446" s="65"/>
      <c r="O446" s="65"/>
    </row>
    <row r="447" spans="1:15" x14ac:dyDescent="0.25">
      <c r="A447" s="64"/>
      <c r="B447" s="64"/>
      <c r="C447" s="65"/>
      <c r="D447" s="64"/>
      <c r="E447" s="65"/>
      <c r="F447" s="65"/>
      <c r="G447" s="64"/>
      <c r="H447" s="65"/>
      <c r="I447" s="65"/>
      <c r="J447" s="64"/>
      <c r="K447" s="65"/>
      <c r="L447" s="65"/>
      <c r="M447" s="64"/>
      <c r="N447" s="65"/>
      <c r="O447" s="65"/>
    </row>
    <row r="448" spans="1:15" x14ac:dyDescent="0.25">
      <c r="A448" s="64"/>
      <c r="B448" s="64"/>
      <c r="C448" s="65"/>
      <c r="D448" s="64"/>
      <c r="E448" s="65"/>
      <c r="F448" s="65"/>
      <c r="G448" s="64"/>
      <c r="H448" s="65"/>
      <c r="I448" s="65"/>
      <c r="J448" s="64"/>
      <c r="K448" s="65"/>
      <c r="L448" s="65"/>
      <c r="M448" s="64"/>
      <c r="N448" s="65"/>
      <c r="O448" s="65"/>
    </row>
    <row r="449" spans="1:15" x14ac:dyDescent="0.25">
      <c r="A449" s="64"/>
      <c r="B449" s="64"/>
      <c r="C449" s="65"/>
      <c r="D449" s="64"/>
      <c r="E449" s="65"/>
      <c r="F449" s="65"/>
      <c r="G449" s="64"/>
      <c r="H449" s="65"/>
      <c r="I449" s="65"/>
      <c r="J449" s="64"/>
      <c r="K449" s="65"/>
      <c r="L449" s="65"/>
      <c r="M449" s="64"/>
      <c r="N449" s="65"/>
      <c r="O449" s="65"/>
    </row>
    <row r="450" spans="1:15" x14ac:dyDescent="0.25">
      <c r="A450" s="64"/>
      <c r="B450" s="64"/>
      <c r="C450" s="65"/>
      <c r="D450" s="64"/>
      <c r="E450" s="65"/>
      <c r="F450" s="65"/>
      <c r="G450" s="64"/>
      <c r="H450" s="65"/>
      <c r="I450" s="65"/>
      <c r="J450" s="64"/>
      <c r="K450" s="65"/>
      <c r="L450" s="65"/>
      <c r="M450" s="64"/>
      <c r="N450" s="65"/>
      <c r="O450" s="65"/>
    </row>
    <row r="451" spans="1:15" x14ac:dyDescent="0.25">
      <c r="A451" s="64"/>
      <c r="B451" s="64"/>
      <c r="C451" s="65"/>
      <c r="D451" s="64"/>
      <c r="E451" s="65"/>
      <c r="F451" s="65"/>
      <c r="G451" s="64"/>
      <c r="H451" s="65"/>
      <c r="I451" s="65"/>
      <c r="J451" s="64"/>
      <c r="K451" s="65"/>
      <c r="L451" s="65"/>
      <c r="M451" s="64"/>
      <c r="N451" s="65"/>
      <c r="O451" s="65"/>
    </row>
    <row r="452" spans="1:15" x14ac:dyDescent="0.25">
      <c r="A452" s="64"/>
      <c r="B452" s="64"/>
      <c r="C452" s="65"/>
      <c r="D452" s="64"/>
      <c r="E452" s="65"/>
      <c r="F452" s="65"/>
      <c r="G452" s="64"/>
      <c r="H452" s="65"/>
      <c r="I452" s="65"/>
      <c r="J452" s="64"/>
      <c r="K452" s="65"/>
      <c r="L452" s="65"/>
      <c r="M452" s="64"/>
      <c r="N452" s="65"/>
      <c r="O452" s="65"/>
    </row>
    <row r="453" spans="1:15" x14ac:dyDescent="0.25">
      <c r="A453" s="64"/>
      <c r="B453" s="64"/>
      <c r="C453" s="65"/>
      <c r="D453" s="64"/>
      <c r="E453" s="65"/>
      <c r="F453" s="65"/>
      <c r="G453" s="64"/>
      <c r="H453" s="65"/>
      <c r="I453" s="65"/>
      <c r="J453" s="64"/>
      <c r="K453" s="65"/>
      <c r="L453" s="65"/>
      <c r="M453" s="64"/>
      <c r="N453" s="65"/>
      <c r="O453" s="65"/>
    </row>
    <row r="454" spans="1:15" x14ac:dyDescent="0.25">
      <c r="A454" s="64"/>
      <c r="B454" s="64"/>
      <c r="C454" s="65"/>
      <c r="D454" s="64"/>
      <c r="E454" s="65"/>
      <c r="F454" s="65"/>
      <c r="G454" s="64"/>
      <c r="H454" s="65"/>
      <c r="I454" s="65"/>
      <c r="J454" s="64"/>
      <c r="K454" s="65"/>
      <c r="L454" s="65"/>
      <c r="M454" s="64"/>
      <c r="N454" s="65"/>
      <c r="O454" s="65"/>
    </row>
    <row r="455" spans="1:15" x14ac:dyDescent="0.25">
      <c r="A455" s="64"/>
      <c r="B455" s="64"/>
      <c r="C455" s="65"/>
      <c r="D455" s="64"/>
      <c r="E455" s="65"/>
      <c r="F455" s="65"/>
      <c r="G455" s="64"/>
      <c r="H455" s="65"/>
      <c r="I455" s="65"/>
      <c r="J455" s="64"/>
      <c r="K455" s="65"/>
      <c r="L455" s="65"/>
      <c r="M455" s="64"/>
      <c r="N455" s="65"/>
      <c r="O455" s="65"/>
    </row>
    <row r="456" spans="1:15" x14ac:dyDescent="0.25">
      <c r="A456" s="64"/>
      <c r="B456" s="64"/>
      <c r="C456" s="65"/>
      <c r="D456" s="64"/>
      <c r="E456" s="65"/>
      <c r="F456" s="65"/>
      <c r="G456" s="64"/>
      <c r="H456" s="65"/>
      <c r="I456" s="65"/>
      <c r="J456" s="64"/>
      <c r="K456" s="65"/>
      <c r="L456" s="65"/>
      <c r="M456" s="64"/>
      <c r="N456" s="65"/>
      <c r="O456" s="65"/>
    </row>
    <row r="457" spans="1:15" x14ac:dyDescent="0.25">
      <c r="A457" s="64"/>
      <c r="B457" s="64"/>
      <c r="C457" s="65"/>
      <c r="D457" s="64"/>
      <c r="E457" s="65"/>
      <c r="F457" s="65"/>
      <c r="G457" s="64"/>
      <c r="H457" s="65"/>
      <c r="I457" s="65"/>
      <c r="J457" s="64"/>
      <c r="K457" s="65"/>
      <c r="L457" s="65"/>
      <c r="M457" s="64"/>
      <c r="N457" s="65"/>
      <c r="O457" s="65"/>
    </row>
    <row r="458" spans="1:15" x14ac:dyDescent="0.25">
      <c r="A458" s="64"/>
      <c r="B458" s="64"/>
      <c r="C458" s="65"/>
      <c r="D458" s="64"/>
      <c r="E458" s="65"/>
      <c r="F458" s="65"/>
      <c r="G458" s="64"/>
      <c r="H458" s="65"/>
      <c r="I458" s="65"/>
      <c r="J458" s="64"/>
      <c r="K458" s="65"/>
      <c r="L458" s="65"/>
      <c r="M458" s="64"/>
      <c r="N458" s="65"/>
      <c r="O458" s="65"/>
    </row>
    <row r="459" spans="1:15" x14ac:dyDescent="0.25">
      <c r="A459" s="64"/>
      <c r="B459" s="64"/>
      <c r="C459" s="65"/>
      <c r="D459" s="64"/>
      <c r="E459" s="65"/>
      <c r="F459" s="65"/>
      <c r="G459" s="64"/>
      <c r="H459" s="65"/>
      <c r="I459" s="65"/>
      <c r="J459" s="64"/>
      <c r="K459" s="65"/>
      <c r="L459" s="65"/>
      <c r="M459" s="64"/>
      <c r="N459" s="65"/>
      <c r="O459" s="65"/>
    </row>
    <row r="460" spans="1:15" x14ac:dyDescent="0.25">
      <c r="A460" s="64"/>
      <c r="B460" s="64"/>
      <c r="C460" s="65"/>
      <c r="D460" s="64"/>
      <c r="E460" s="65"/>
      <c r="F460" s="65"/>
      <c r="G460" s="64"/>
      <c r="H460" s="65"/>
      <c r="I460" s="65"/>
      <c r="J460" s="64"/>
      <c r="K460" s="65"/>
      <c r="L460" s="65"/>
      <c r="M460" s="64"/>
      <c r="N460" s="65"/>
      <c r="O460" s="65"/>
    </row>
    <row r="461" spans="1:15" x14ac:dyDescent="0.25">
      <c r="A461" s="64"/>
      <c r="B461" s="64"/>
      <c r="C461" s="65"/>
      <c r="D461" s="64"/>
      <c r="E461" s="65"/>
      <c r="F461" s="65"/>
      <c r="G461" s="64"/>
      <c r="H461" s="65"/>
      <c r="I461" s="65"/>
      <c r="J461" s="64"/>
      <c r="K461" s="65"/>
      <c r="L461" s="65"/>
      <c r="M461" s="64"/>
      <c r="N461" s="65"/>
      <c r="O461" s="65"/>
    </row>
    <row r="462" spans="1:15" x14ac:dyDescent="0.25">
      <c r="A462" s="64"/>
      <c r="B462" s="64"/>
      <c r="C462" s="65"/>
      <c r="D462" s="64"/>
      <c r="E462" s="65"/>
      <c r="F462" s="65"/>
      <c r="G462" s="64"/>
      <c r="H462" s="65"/>
      <c r="I462" s="65"/>
      <c r="J462" s="64"/>
      <c r="K462" s="65"/>
      <c r="L462" s="65"/>
      <c r="M462" s="64"/>
      <c r="N462" s="65"/>
      <c r="O462" s="65"/>
    </row>
    <row r="463" spans="1:15" x14ac:dyDescent="0.25">
      <c r="A463" s="64"/>
      <c r="B463" s="64"/>
      <c r="C463" s="65"/>
      <c r="D463" s="64"/>
      <c r="E463" s="65"/>
      <c r="F463" s="65"/>
      <c r="G463" s="64"/>
      <c r="H463" s="65"/>
      <c r="I463" s="65"/>
      <c r="J463" s="64"/>
      <c r="K463" s="65"/>
      <c r="L463" s="65"/>
      <c r="M463" s="64"/>
      <c r="N463" s="65"/>
      <c r="O463" s="65"/>
    </row>
    <row r="464" spans="1:15" x14ac:dyDescent="0.25">
      <c r="A464" s="64"/>
      <c r="B464" s="64"/>
      <c r="C464" s="65"/>
      <c r="D464" s="64"/>
      <c r="E464" s="65"/>
      <c r="F464" s="65"/>
      <c r="G464" s="64"/>
      <c r="H464" s="65"/>
      <c r="I464" s="65"/>
      <c r="J464" s="64"/>
      <c r="K464" s="65"/>
      <c r="L464" s="65"/>
      <c r="M464" s="64"/>
      <c r="N464" s="65"/>
      <c r="O464" s="65"/>
    </row>
    <row r="465" spans="1:15" x14ac:dyDescent="0.25">
      <c r="A465" s="64"/>
      <c r="B465" s="64"/>
      <c r="C465" s="65"/>
      <c r="D465" s="64"/>
      <c r="E465" s="65"/>
      <c r="F465" s="65"/>
      <c r="G465" s="64"/>
      <c r="H465" s="65"/>
      <c r="I465" s="65"/>
      <c r="J465" s="64"/>
      <c r="K465" s="65"/>
      <c r="L465" s="65"/>
      <c r="M465" s="64"/>
      <c r="N465" s="65"/>
      <c r="O465" s="65"/>
    </row>
    <row r="466" spans="1:15" x14ac:dyDescent="0.25">
      <c r="A466" s="64"/>
      <c r="B466" s="64"/>
      <c r="C466" s="65"/>
      <c r="D466" s="64"/>
      <c r="E466" s="65"/>
      <c r="F466" s="65"/>
      <c r="G466" s="64"/>
      <c r="H466" s="65"/>
      <c r="I466" s="65"/>
      <c r="J466" s="64"/>
      <c r="K466" s="65"/>
      <c r="L466" s="65"/>
      <c r="M466" s="64"/>
      <c r="N466" s="65"/>
      <c r="O466" s="65"/>
    </row>
    <row r="467" spans="1:15" x14ac:dyDescent="0.25">
      <c r="A467" s="64"/>
      <c r="B467" s="64"/>
      <c r="C467" s="65"/>
      <c r="D467" s="64"/>
      <c r="E467" s="65"/>
      <c r="F467" s="65"/>
      <c r="G467" s="64"/>
      <c r="H467" s="65"/>
      <c r="I467" s="65"/>
      <c r="J467" s="64"/>
      <c r="K467" s="65"/>
      <c r="L467" s="65"/>
      <c r="M467" s="64"/>
      <c r="N467" s="65"/>
      <c r="O467" s="65"/>
    </row>
    <row r="468" spans="1:15" x14ac:dyDescent="0.25">
      <c r="A468" s="64"/>
      <c r="B468" s="64"/>
      <c r="C468" s="65"/>
      <c r="D468" s="64"/>
      <c r="E468" s="65"/>
      <c r="F468" s="65"/>
      <c r="G468" s="64"/>
      <c r="H468" s="65"/>
      <c r="I468" s="65"/>
      <c r="J468" s="64"/>
      <c r="K468" s="65"/>
      <c r="L468" s="65"/>
      <c r="M468" s="64"/>
      <c r="N468" s="65"/>
      <c r="O468" s="65"/>
    </row>
    <row r="469" spans="1:15" x14ac:dyDescent="0.25">
      <c r="A469" s="64"/>
      <c r="B469" s="64"/>
      <c r="C469" s="65"/>
      <c r="D469" s="64"/>
      <c r="E469" s="65"/>
      <c r="F469" s="65"/>
      <c r="G469" s="64"/>
      <c r="H469" s="65"/>
      <c r="I469" s="65"/>
      <c r="J469" s="64"/>
      <c r="K469" s="65"/>
      <c r="L469" s="65"/>
      <c r="M469" s="64"/>
      <c r="N469" s="65"/>
      <c r="O469" s="65"/>
    </row>
    <row r="470" spans="1:15" x14ac:dyDescent="0.25">
      <c r="A470" s="64"/>
      <c r="B470" s="64"/>
      <c r="C470" s="65"/>
      <c r="D470" s="64"/>
      <c r="E470" s="65"/>
      <c r="F470" s="65"/>
      <c r="G470" s="64"/>
      <c r="H470" s="65"/>
      <c r="I470" s="65"/>
      <c r="J470" s="64"/>
      <c r="K470" s="65"/>
      <c r="L470" s="65"/>
      <c r="M470" s="64"/>
      <c r="N470" s="65"/>
      <c r="O470" s="65"/>
    </row>
    <row r="471" spans="1:15" x14ac:dyDescent="0.25">
      <c r="A471" s="64"/>
      <c r="B471" s="64"/>
      <c r="C471" s="65"/>
      <c r="D471" s="64"/>
      <c r="E471" s="65"/>
      <c r="F471" s="65"/>
      <c r="G471" s="64"/>
      <c r="H471" s="65"/>
      <c r="I471" s="65"/>
      <c r="J471" s="64"/>
      <c r="K471" s="65"/>
      <c r="L471" s="65"/>
      <c r="M471" s="64"/>
      <c r="N471" s="65"/>
      <c r="O471" s="65"/>
    </row>
    <row r="472" spans="1:15" x14ac:dyDescent="0.25">
      <c r="A472" s="64"/>
      <c r="B472" s="64"/>
      <c r="C472" s="65"/>
      <c r="D472" s="64"/>
      <c r="E472" s="65"/>
      <c r="F472" s="65"/>
      <c r="G472" s="64"/>
      <c r="H472" s="65"/>
      <c r="I472" s="65"/>
      <c r="J472" s="64"/>
      <c r="K472" s="65"/>
      <c r="L472" s="65"/>
      <c r="M472" s="64"/>
      <c r="N472" s="65"/>
      <c r="O472" s="65"/>
    </row>
    <row r="473" spans="1:15" x14ac:dyDescent="0.25">
      <c r="A473" s="64"/>
      <c r="B473" s="64"/>
      <c r="C473" s="65"/>
      <c r="D473" s="64"/>
      <c r="E473" s="65"/>
      <c r="F473" s="65"/>
      <c r="G473" s="64"/>
      <c r="H473" s="65"/>
      <c r="I473" s="65"/>
      <c r="J473" s="64"/>
      <c r="K473" s="65"/>
      <c r="L473" s="65"/>
      <c r="M473" s="64"/>
      <c r="N473" s="65"/>
      <c r="O473" s="65"/>
    </row>
    <row r="474" spans="1:15" x14ac:dyDescent="0.25">
      <c r="A474" s="64"/>
      <c r="B474" s="64"/>
      <c r="C474" s="65"/>
      <c r="D474" s="64"/>
      <c r="E474" s="65"/>
      <c r="F474" s="65"/>
      <c r="G474" s="64"/>
      <c r="H474" s="65"/>
      <c r="I474" s="65"/>
      <c r="J474" s="64"/>
      <c r="K474" s="65"/>
      <c r="L474" s="65"/>
      <c r="M474" s="64"/>
      <c r="N474" s="65"/>
      <c r="O474" s="65"/>
    </row>
    <row r="475" spans="1:15" x14ac:dyDescent="0.25">
      <c r="A475" s="64"/>
      <c r="B475" s="64"/>
      <c r="C475" s="65"/>
      <c r="D475" s="64"/>
      <c r="E475" s="65"/>
      <c r="F475" s="65"/>
      <c r="G475" s="64"/>
      <c r="H475" s="65"/>
      <c r="I475" s="65"/>
      <c r="J475" s="64"/>
      <c r="K475" s="65"/>
      <c r="L475" s="65"/>
      <c r="M475" s="64"/>
      <c r="N475" s="65"/>
      <c r="O475" s="65"/>
    </row>
    <row r="476" spans="1:15" x14ac:dyDescent="0.25">
      <c r="A476" s="64"/>
      <c r="B476" s="64"/>
      <c r="C476" s="65"/>
      <c r="D476" s="64"/>
      <c r="E476" s="65"/>
      <c r="F476" s="65"/>
      <c r="G476" s="64"/>
      <c r="H476" s="65"/>
      <c r="I476" s="65"/>
      <c r="J476" s="64"/>
      <c r="K476" s="65"/>
      <c r="L476" s="65"/>
      <c r="M476" s="64"/>
      <c r="N476" s="65"/>
      <c r="O476" s="65"/>
    </row>
    <row r="477" spans="1:15" x14ac:dyDescent="0.25">
      <c r="A477" s="64"/>
      <c r="B477" s="64"/>
      <c r="C477" s="65"/>
      <c r="D477" s="64"/>
      <c r="E477" s="65"/>
      <c r="F477" s="65"/>
      <c r="G477" s="64"/>
      <c r="H477" s="65"/>
      <c r="I477" s="65"/>
      <c r="J477" s="64"/>
      <c r="K477" s="65"/>
      <c r="L477" s="65"/>
      <c r="M477" s="64"/>
      <c r="N477" s="65"/>
      <c r="O477" s="65"/>
    </row>
    <row r="478" spans="1:15" x14ac:dyDescent="0.25">
      <c r="A478" s="64"/>
      <c r="B478" s="64"/>
      <c r="C478" s="65"/>
      <c r="D478" s="64"/>
      <c r="E478" s="65"/>
      <c r="F478" s="65"/>
      <c r="G478" s="64"/>
      <c r="H478" s="65"/>
      <c r="I478" s="65"/>
      <c r="J478" s="64"/>
      <c r="K478" s="65"/>
      <c r="L478" s="65"/>
      <c r="M478" s="64"/>
      <c r="N478" s="65"/>
      <c r="O478" s="65"/>
    </row>
    <row r="479" spans="1:15" x14ac:dyDescent="0.25">
      <c r="A479" s="64"/>
      <c r="B479" s="64"/>
      <c r="C479" s="65"/>
      <c r="D479" s="64"/>
      <c r="E479" s="65"/>
      <c r="F479" s="65"/>
      <c r="G479" s="64"/>
      <c r="H479" s="65"/>
      <c r="I479" s="65"/>
      <c r="J479" s="64"/>
      <c r="K479" s="65"/>
      <c r="L479" s="65"/>
      <c r="M479" s="64"/>
      <c r="N479" s="65"/>
      <c r="O479" s="65"/>
    </row>
    <row r="480" spans="1:15" x14ac:dyDescent="0.25">
      <c r="A480" s="64"/>
      <c r="B480" s="64"/>
      <c r="C480" s="65"/>
      <c r="D480" s="64"/>
      <c r="E480" s="65"/>
      <c r="F480" s="65"/>
      <c r="G480" s="64"/>
      <c r="H480" s="65"/>
      <c r="I480" s="65"/>
      <c r="J480" s="64"/>
      <c r="K480" s="65"/>
      <c r="L480" s="65"/>
      <c r="M480" s="64"/>
      <c r="N480" s="65"/>
      <c r="O480" s="65"/>
    </row>
    <row r="481" spans="1:15" x14ac:dyDescent="0.25">
      <c r="A481" s="64"/>
      <c r="B481" s="64"/>
      <c r="C481" s="65"/>
      <c r="D481" s="64"/>
      <c r="E481" s="65"/>
      <c r="F481" s="65"/>
      <c r="G481" s="64"/>
      <c r="H481" s="65"/>
      <c r="I481" s="65"/>
      <c r="J481" s="64"/>
      <c r="K481" s="65"/>
      <c r="L481" s="65"/>
      <c r="M481" s="64"/>
      <c r="N481" s="65"/>
      <c r="O481" s="65"/>
    </row>
    <row r="482" spans="1:15" x14ac:dyDescent="0.25">
      <c r="A482" s="64"/>
      <c r="B482" s="64"/>
      <c r="C482" s="65"/>
      <c r="D482" s="64"/>
      <c r="E482" s="65"/>
      <c r="F482" s="65"/>
      <c r="G482" s="64"/>
      <c r="H482" s="65"/>
      <c r="I482" s="65"/>
      <c r="J482" s="64"/>
      <c r="K482" s="65"/>
      <c r="L482" s="65"/>
      <c r="M482" s="64"/>
      <c r="N482" s="65"/>
      <c r="O482" s="65"/>
    </row>
    <row r="483" spans="1:15" x14ac:dyDescent="0.25">
      <c r="A483" s="64"/>
      <c r="B483" s="64"/>
      <c r="C483" s="65"/>
      <c r="D483" s="64"/>
      <c r="E483" s="65"/>
      <c r="F483" s="65"/>
      <c r="G483" s="64"/>
      <c r="H483" s="65"/>
      <c r="I483" s="65"/>
      <c r="J483" s="64"/>
      <c r="K483" s="65"/>
      <c r="L483" s="65"/>
      <c r="M483" s="64"/>
      <c r="N483" s="65"/>
      <c r="O483" s="65"/>
    </row>
    <row r="484" spans="1:15" x14ac:dyDescent="0.25">
      <c r="A484" s="64"/>
      <c r="B484" s="64"/>
      <c r="C484" s="65"/>
      <c r="D484" s="64"/>
      <c r="E484" s="65"/>
      <c r="F484" s="65"/>
      <c r="G484" s="64"/>
      <c r="H484" s="65"/>
      <c r="I484" s="65"/>
      <c r="J484" s="64"/>
      <c r="K484" s="65"/>
      <c r="L484" s="65"/>
      <c r="M484" s="64"/>
      <c r="N484" s="65"/>
      <c r="O484" s="65"/>
    </row>
    <row r="485" spans="1:15" x14ac:dyDescent="0.25">
      <c r="A485" s="64"/>
      <c r="B485" s="64"/>
      <c r="C485" s="65"/>
      <c r="D485" s="64"/>
      <c r="E485" s="65"/>
      <c r="F485" s="65"/>
      <c r="G485" s="64"/>
      <c r="H485" s="65"/>
      <c r="I485" s="65"/>
      <c r="J485" s="64"/>
      <c r="K485" s="65"/>
      <c r="L485" s="65"/>
      <c r="M485" s="64"/>
      <c r="N485" s="65"/>
      <c r="O485" s="65"/>
    </row>
    <row r="486" spans="1:15" x14ac:dyDescent="0.25">
      <c r="A486" s="64"/>
      <c r="B486" s="64"/>
      <c r="C486" s="65"/>
      <c r="D486" s="64"/>
      <c r="E486" s="65"/>
      <c r="F486" s="65"/>
      <c r="G486" s="64"/>
      <c r="H486" s="65"/>
      <c r="I486" s="65"/>
      <c r="J486" s="64"/>
      <c r="K486" s="65"/>
      <c r="L486" s="65"/>
      <c r="M486" s="64"/>
      <c r="N486" s="65"/>
      <c r="O486" s="65"/>
    </row>
    <row r="487" spans="1:15" x14ac:dyDescent="0.25">
      <c r="A487" s="64"/>
      <c r="B487" s="64"/>
      <c r="C487" s="65"/>
      <c r="D487" s="64"/>
      <c r="E487" s="65"/>
      <c r="F487" s="65"/>
      <c r="G487" s="64"/>
      <c r="H487" s="65"/>
      <c r="I487" s="65"/>
      <c r="J487" s="64"/>
      <c r="K487" s="65"/>
      <c r="L487" s="65"/>
      <c r="M487" s="64"/>
      <c r="N487" s="65"/>
      <c r="O487" s="65"/>
    </row>
    <row r="488" spans="1:15" x14ac:dyDescent="0.25">
      <c r="A488" s="64"/>
      <c r="B488" s="64"/>
      <c r="C488" s="65"/>
      <c r="D488" s="64"/>
      <c r="E488" s="65"/>
      <c r="F488" s="65"/>
      <c r="G488" s="64"/>
      <c r="H488" s="65"/>
      <c r="I488" s="65"/>
      <c r="J488" s="64"/>
      <c r="K488" s="65"/>
      <c r="L488" s="65"/>
      <c r="M488" s="64"/>
      <c r="N488" s="65"/>
      <c r="O488" s="65"/>
    </row>
    <row r="489" spans="1:15" x14ac:dyDescent="0.25">
      <c r="A489" s="64"/>
      <c r="B489" s="64"/>
      <c r="C489" s="65"/>
      <c r="D489" s="64"/>
      <c r="E489" s="65"/>
      <c r="F489" s="65"/>
      <c r="G489" s="64"/>
      <c r="H489" s="65"/>
      <c r="I489" s="65"/>
      <c r="J489" s="64"/>
      <c r="K489" s="65"/>
      <c r="L489" s="65"/>
      <c r="M489" s="64"/>
      <c r="N489" s="65"/>
      <c r="O489" s="65"/>
    </row>
    <row r="490" spans="1:15" x14ac:dyDescent="0.25">
      <c r="A490" s="64"/>
      <c r="B490" s="64"/>
      <c r="C490" s="65"/>
      <c r="D490" s="64"/>
      <c r="E490" s="65"/>
      <c r="F490" s="65"/>
      <c r="G490" s="64"/>
      <c r="H490" s="65"/>
      <c r="I490" s="65"/>
      <c r="J490" s="64"/>
      <c r="K490" s="65"/>
      <c r="L490" s="65"/>
      <c r="M490" s="64"/>
      <c r="N490" s="65"/>
      <c r="O490" s="65"/>
    </row>
    <row r="491" spans="1:15" x14ac:dyDescent="0.25">
      <c r="A491" s="64"/>
      <c r="B491" s="64"/>
      <c r="C491" s="65"/>
      <c r="D491" s="64"/>
      <c r="E491" s="65"/>
      <c r="F491" s="65"/>
      <c r="G491" s="64"/>
      <c r="H491" s="65"/>
      <c r="I491" s="65"/>
      <c r="J491" s="64"/>
      <c r="K491" s="65"/>
      <c r="L491" s="65"/>
      <c r="M491" s="64"/>
      <c r="N491" s="65"/>
      <c r="O491" s="65"/>
    </row>
    <row r="492" spans="1:15" x14ac:dyDescent="0.25">
      <c r="A492" s="64"/>
      <c r="B492" s="64"/>
      <c r="C492" s="65"/>
      <c r="D492" s="64"/>
      <c r="E492" s="65"/>
      <c r="F492" s="65"/>
      <c r="G492" s="64"/>
      <c r="H492" s="65"/>
      <c r="I492" s="65"/>
      <c r="J492" s="64"/>
      <c r="K492" s="65"/>
      <c r="L492" s="65"/>
      <c r="M492" s="64"/>
      <c r="N492" s="65"/>
      <c r="O492" s="65"/>
    </row>
    <row r="493" spans="1:15" x14ac:dyDescent="0.25">
      <c r="A493" s="64"/>
      <c r="B493" s="64"/>
      <c r="C493" s="65"/>
      <c r="D493" s="64"/>
      <c r="E493" s="65"/>
      <c r="F493" s="65"/>
      <c r="G493" s="64"/>
      <c r="H493" s="65"/>
      <c r="I493" s="65"/>
      <c r="J493" s="64"/>
      <c r="K493" s="65"/>
      <c r="L493" s="65"/>
      <c r="M493" s="64"/>
      <c r="N493" s="65"/>
      <c r="O493" s="65"/>
    </row>
    <row r="494" spans="1:15" x14ac:dyDescent="0.25">
      <c r="A494" s="64"/>
      <c r="B494" s="64"/>
      <c r="C494" s="65"/>
      <c r="D494" s="64"/>
      <c r="E494" s="65"/>
      <c r="F494" s="65"/>
      <c r="G494" s="64"/>
      <c r="H494" s="65"/>
      <c r="I494" s="65"/>
      <c r="J494" s="64"/>
      <c r="K494" s="65"/>
      <c r="L494" s="65"/>
      <c r="M494" s="64"/>
      <c r="N494" s="65"/>
      <c r="O494" s="65"/>
    </row>
    <row r="495" spans="1:15" x14ac:dyDescent="0.25">
      <c r="A495" s="64"/>
      <c r="B495" s="64"/>
      <c r="C495" s="65"/>
      <c r="D495" s="64"/>
      <c r="E495" s="65"/>
      <c r="F495" s="65"/>
      <c r="G495" s="64"/>
      <c r="H495" s="65"/>
      <c r="I495" s="65"/>
      <c r="J495" s="64"/>
      <c r="K495" s="65"/>
      <c r="L495" s="65"/>
      <c r="M495" s="64"/>
      <c r="N495" s="65"/>
      <c r="O495" s="65"/>
    </row>
    <row r="496" spans="1:15" x14ac:dyDescent="0.25">
      <c r="A496" s="64"/>
      <c r="B496" s="64"/>
      <c r="C496" s="65"/>
      <c r="D496" s="64"/>
      <c r="E496" s="65"/>
      <c r="F496" s="65"/>
      <c r="G496" s="64"/>
      <c r="H496" s="65"/>
      <c r="I496" s="65"/>
      <c r="J496" s="64"/>
      <c r="K496" s="65"/>
      <c r="L496" s="65"/>
      <c r="M496" s="64"/>
      <c r="N496" s="65"/>
      <c r="O496" s="65"/>
    </row>
    <row r="497" spans="1:15" x14ac:dyDescent="0.25">
      <c r="A497" s="64"/>
      <c r="B497" s="64"/>
      <c r="C497" s="65"/>
      <c r="D497" s="64"/>
      <c r="E497" s="65"/>
      <c r="F497" s="65"/>
      <c r="G497" s="64"/>
      <c r="H497" s="65"/>
      <c r="I497" s="65"/>
      <c r="J497" s="64"/>
      <c r="K497" s="65"/>
      <c r="L497" s="65"/>
      <c r="M497" s="64"/>
      <c r="N497" s="65"/>
      <c r="O497" s="65"/>
    </row>
    <row r="498" spans="1:15" x14ac:dyDescent="0.25">
      <c r="A498" s="64"/>
      <c r="B498" s="64"/>
      <c r="C498" s="65"/>
      <c r="D498" s="64"/>
      <c r="E498" s="65"/>
      <c r="F498" s="65"/>
      <c r="G498" s="64"/>
      <c r="H498" s="65"/>
      <c r="I498" s="65"/>
      <c r="J498" s="64"/>
      <c r="K498" s="65"/>
      <c r="L498" s="65"/>
      <c r="M498" s="64"/>
      <c r="N498" s="65"/>
      <c r="O498" s="65"/>
    </row>
    <row r="499" spans="1:15" x14ac:dyDescent="0.25">
      <c r="A499" s="64"/>
      <c r="B499" s="64"/>
      <c r="C499" s="65"/>
      <c r="D499" s="64"/>
      <c r="E499" s="65"/>
      <c r="F499" s="65"/>
      <c r="G499" s="64"/>
      <c r="H499" s="65"/>
      <c r="I499" s="65"/>
      <c r="J499" s="64"/>
      <c r="K499" s="65"/>
      <c r="L499" s="65"/>
      <c r="M499" s="64"/>
      <c r="N499" s="65"/>
      <c r="O499" s="65"/>
    </row>
    <row r="500" spans="1:15" x14ac:dyDescent="0.25">
      <c r="A500" s="64"/>
      <c r="B500" s="64"/>
      <c r="C500" s="65"/>
      <c r="D500" s="64"/>
      <c r="E500" s="65"/>
      <c r="F500" s="65"/>
      <c r="G500" s="64"/>
      <c r="H500" s="65"/>
      <c r="I500" s="65"/>
      <c r="J500" s="64"/>
      <c r="K500" s="65"/>
      <c r="L500" s="65"/>
      <c r="M500" s="64"/>
      <c r="N500" s="65"/>
      <c r="O500" s="65"/>
    </row>
    <row r="501" spans="1:15" x14ac:dyDescent="0.25">
      <c r="A501" s="64"/>
      <c r="B501" s="64"/>
      <c r="C501" s="65"/>
      <c r="D501" s="64"/>
      <c r="E501" s="65"/>
      <c r="F501" s="65"/>
      <c r="G501" s="64"/>
      <c r="H501" s="65"/>
      <c r="I501" s="65"/>
      <c r="J501" s="64"/>
      <c r="K501" s="65"/>
      <c r="L501" s="65"/>
      <c r="M501" s="64"/>
      <c r="N501" s="65"/>
      <c r="O501" s="65"/>
    </row>
    <row r="502" spans="1:15" x14ac:dyDescent="0.25">
      <c r="A502" s="64"/>
      <c r="B502" s="64"/>
      <c r="C502" s="65"/>
      <c r="D502" s="64"/>
      <c r="E502" s="65"/>
      <c r="F502" s="65"/>
      <c r="G502" s="64"/>
      <c r="H502" s="65"/>
      <c r="I502" s="65"/>
      <c r="J502" s="64"/>
      <c r="K502" s="65"/>
      <c r="L502" s="65"/>
      <c r="M502" s="64"/>
      <c r="N502" s="65"/>
      <c r="O502" s="65"/>
    </row>
    <row r="503" spans="1:15" x14ac:dyDescent="0.25">
      <c r="A503" s="64"/>
      <c r="B503" s="64"/>
      <c r="C503" s="65"/>
      <c r="D503" s="64"/>
      <c r="E503" s="65"/>
      <c r="F503" s="65"/>
      <c r="G503" s="64"/>
      <c r="H503" s="65"/>
      <c r="I503" s="65"/>
      <c r="J503" s="64"/>
      <c r="K503" s="65"/>
      <c r="L503" s="65"/>
      <c r="M503" s="64"/>
      <c r="N503" s="65"/>
      <c r="O503" s="65"/>
    </row>
    <row r="504" spans="1:15" x14ac:dyDescent="0.25">
      <c r="A504" s="64"/>
      <c r="B504" s="64"/>
      <c r="C504" s="65"/>
      <c r="D504" s="64"/>
      <c r="E504" s="65"/>
      <c r="F504" s="65"/>
      <c r="G504" s="64"/>
      <c r="H504" s="65"/>
      <c r="I504" s="65"/>
      <c r="J504" s="64"/>
      <c r="K504" s="65"/>
      <c r="L504" s="65"/>
      <c r="M504" s="64"/>
      <c r="N504" s="65"/>
      <c r="O504" s="65"/>
    </row>
    <row r="505" spans="1:15" x14ac:dyDescent="0.25">
      <c r="A505" s="64"/>
      <c r="B505" s="64"/>
      <c r="C505" s="65"/>
      <c r="D505" s="64"/>
      <c r="E505" s="65"/>
      <c r="F505" s="65"/>
      <c r="G505" s="64"/>
      <c r="H505" s="65"/>
      <c r="I505" s="65"/>
      <c r="J505" s="64"/>
      <c r="K505" s="65"/>
      <c r="L505" s="65"/>
      <c r="M505" s="64"/>
      <c r="N505" s="65"/>
      <c r="O505" s="65"/>
    </row>
    <row r="506" spans="1:15" x14ac:dyDescent="0.25">
      <c r="A506" s="64"/>
      <c r="B506" s="64"/>
      <c r="C506" s="65"/>
      <c r="D506" s="64"/>
      <c r="E506" s="65"/>
      <c r="F506" s="65"/>
      <c r="G506" s="64"/>
      <c r="H506" s="65"/>
      <c r="I506" s="65"/>
      <c r="J506" s="64"/>
      <c r="K506" s="65"/>
      <c r="L506" s="65"/>
      <c r="M506" s="64"/>
      <c r="N506" s="65"/>
      <c r="O506" s="65"/>
    </row>
    <row r="507" spans="1:15" x14ac:dyDescent="0.25">
      <c r="A507" s="64"/>
      <c r="B507" s="64"/>
      <c r="C507" s="65"/>
      <c r="D507" s="64"/>
      <c r="E507" s="65"/>
      <c r="F507" s="65"/>
      <c r="G507" s="64"/>
      <c r="H507" s="65"/>
      <c r="I507" s="65"/>
      <c r="J507" s="64"/>
      <c r="K507" s="65"/>
      <c r="L507" s="65"/>
      <c r="M507" s="64"/>
      <c r="N507" s="65"/>
      <c r="O507" s="65"/>
    </row>
    <row r="508" spans="1:15" x14ac:dyDescent="0.25">
      <c r="A508" s="64"/>
      <c r="B508" s="64"/>
      <c r="C508" s="65"/>
      <c r="D508" s="64"/>
      <c r="E508" s="65"/>
      <c r="F508" s="65"/>
      <c r="G508" s="64"/>
      <c r="H508" s="65"/>
      <c r="I508" s="65"/>
      <c r="J508" s="64"/>
      <c r="K508" s="65"/>
      <c r="L508" s="65"/>
      <c r="M508" s="64"/>
      <c r="N508" s="65"/>
      <c r="O508" s="65"/>
    </row>
    <row r="509" spans="1:15" x14ac:dyDescent="0.25">
      <c r="A509" s="64"/>
      <c r="B509" s="64"/>
      <c r="C509" s="65"/>
      <c r="D509" s="64"/>
      <c r="E509" s="65"/>
      <c r="F509" s="65"/>
      <c r="G509" s="64"/>
      <c r="H509" s="65"/>
      <c r="I509" s="65"/>
      <c r="J509" s="64"/>
      <c r="K509" s="65"/>
      <c r="L509" s="65"/>
      <c r="M509" s="64"/>
      <c r="N509" s="65"/>
      <c r="O509" s="65"/>
    </row>
    <row r="510" spans="1:15" x14ac:dyDescent="0.25">
      <c r="A510" s="64"/>
      <c r="B510" s="64"/>
      <c r="C510" s="65"/>
      <c r="D510" s="64"/>
      <c r="E510" s="65"/>
      <c r="F510" s="65"/>
      <c r="G510" s="64"/>
      <c r="H510" s="65"/>
      <c r="I510" s="65"/>
      <c r="J510" s="64"/>
      <c r="K510" s="65"/>
      <c r="L510" s="65"/>
      <c r="M510" s="64"/>
      <c r="N510" s="65"/>
      <c r="O510" s="65"/>
    </row>
    <row r="511" spans="1:15" x14ac:dyDescent="0.25">
      <c r="A511" s="64"/>
      <c r="B511" s="64"/>
      <c r="C511" s="65"/>
      <c r="D511" s="64"/>
      <c r="E511" s="65"/>
      <c r="F511" s="65"/>
      <c r="G511" s="64"/>
      <c r="H511" s="65"/>
      <c r="I511" s="65"/>
      <c r="J511" s="64"/>
      <c r="K511" s="65"/>
      <c r="L511" s="65"/>
      <c r="M511" s="64"/>
      <c r="N511" s="65"/>
      <c r="O511" s="65"/>
    </row>
    <row r="512" spans="1:15" x14ac:dyDescent="0.25">
      <c r="A512" s="64"/>
      <c r="B512" s="64"/>
      <c r="C512" s="65"/>
      <c r="D512" s="64"/>
      <c r="E512" s="65"/>
      <c r="F512" s="65"/>
      <c r="G512" s="64"/>
      <c r="H512" s="65"/>
      <c r="I512" s="65"/>
      <c r="J512" s="64"/>
      <c r="K512" s="65"/>
      <c r="L512" s="65"/>
      <c r="M512" s="64"/>
      <c r="N512" s="65"/>
      <c r="O512" s="65"/>
    </row>
    <row r="513" spans="1:15" x14ac:dyDescent="0.25">
      <c r="A513" s="64"/>
      <c r="B513" s="64"/>
      <c r="C513" s="65"/>
      <c r="D513" s="64"/>
      <c r="E513" s="65"/>
      <c r="F513" s="65"/>
      <c r="G513" s="64"/>
      <c r="H513" s="65"/>
      <c r="I513" s="65"/>
      <c r="J513" s="64"/>
      <c r="K513" s="65"/>
      <c r="L513" s="65"/>
      <c r="M513" s="64"/>
      <c r="N513" s="65"/>
      <c r="O513" s="65"/>
    </row>
    <row r="514" spans="1:15" x14ac:dyDescent="0.25">
      <c r="A514" s="64"/>
      <c r="B514" s="64"/>
      <c r="C514" s="65"/>
      <c r="D514" s="64"/>
      <c r="E514" s="65"/>
      <c r="F514" s="65"/>
      <c r="G514" s="64"/>
      <c r="H514" s="65"/>
      <c r="I514" s="65"/>
      <c r="J514" s="64"/>
      <c r="K514" s="65"/>
      <c r="L514" s="65"/>
      <c r="M514" s="64"/>
      <c r="N514" s="65"/>
      <c r="O514" s="65"/>
    </row>
    <row r="515" spans="1:15" x14ac:dyDescent="0.25">
      <c r="A515" s="64"/>
      <c r="B515" s="64"/>
      <c r="C515" s="65"/>
      <c r="D515" s="64"/>
      <c r="E515" s="65"/>
      <c r="F515" s="65"/>
      <c r="G515" s="64"/>
      <c r="H515" s="65"/>
      <c r="I515" s="65"/>
      <c r="J515" s="64"/>
      <c r="K515" s="65"/>
      <c r="L515" s="65"/>
      <c r="M515" s="64"/>
      <c r="N515" s="65"/>
      <c r="O515" s="65"/>
    </row>
    <row r="516" spans="1:15" x14ac:dyDescent="0.25">
      <c r="A516" s="64"/>
      <c r="B516" s="64"/>
      <c r="C516" s="65"/>
      <c r="D516" s="64"/>
      <c r="E516" s="65"/>
      <c r="F516" s="65"/>
      <c r="G516" s="64"/>
      <c r="H516" s="65"/>
      <c r="I516" s="65"/>
      <c r="J516" s="64"/>
      <c r="K516" s="65"/>
      <c r="L516" s="65"/>
      <c r="M516" s="64"/>
      <c r="N516" s="65"/>
      <c r="O516" s="65"/>
    </row>
    <row r="517" spans="1:15" x14ac:dyDescent="0.25">
      <c r="A517" s="64"/>
      <c r="B517" s="64"/>
      <c r="C517" s="65"/>
      <c r="D517" s="64"/>
      <c r="E517" s="65"/>
      <c r="F517" s="65"/>
      <c r="G517" s="64"/>
      <c r="H517" s="65"/>
      <c r="I517" s="65"/>
      <c r="J517" s="64"/>
      <c r="K517" s="65"/>
      <c r="L517" s="65"/>
      <c r="M517" s="64"/>
      <c r="N517" s="65"/>
      <c r="O517" s="65"/>
    </row>
    <row r="518" spans="1:15" x14ac:dyDescent="0.25">
      <c r="A518" s="64"/>
      <c r="B518" s="64"/>
      <c r="C518" s="65"/>
      <c r="D518" s="64"/>
      <c r="E518" s="65"/>
      <c r="F518" s="65"/>
      <c r="G518" s="64"/>
      <c r="H518" s="65"/>
      <c r="I518" s="65"/>
      <c r="J518" s="64"/>
      <c r="K518" s="65"/>
      <c r="L518" s="65"/>
      <c r="M518" s="64"/>
      <c r="N518" s="65"/>
      <c r="O518" s="65"/>
    </row>
    <row r="519" spans="1:15" x14ac:dyDescent="0.25">
      <c r="A519" s="64"/>
      <c r="B519" s="64"/>
      <c r="C519" s="65"/>
      <c r="D519" s="64"/>
      <c r="E519" s="65"/>
      <c r="F519" s="65"/>
      <c r="G519" s="64"/>
      <c r="H519" s="65"/>
      <c r="I519" s="65"/>
      <c r="J519" s="64"/>
      <c r="K519" s="65"/>
      <c r="L519" s="65"/>
      <c r="M519" s="64"/>
      <c r="N519" s="65"/>
      <c r="O519" s="65"/>
    </row>
    <row r="520" spans="1:15" x14ac:dyDescent="0.25">
      <c r="A520" s="64"/>
      <c r="B520" s="64"/>
      <c r="C520" s="65"/>
      <c r="D520" s="64"/>
      <c r="E520" s="65"/>
      <c r="F520" s="65"/>
      <c r="G520" s="64"/>
      <c r="H520" s="65"/>
      <c r="I520" s="65"/>
      <c r="J520" s="64"/>
      <c r="K520" s="65"/>
      <c r="L520" s="65"/>
      <c r="M520" s="64"/>
      <c r="N520" s="65"/>
      <c r="O520" s="65"/>
    </row>
    <row r="521" spans="1:15" x14ac:dyDescent="0.25">
      <c r="A521" s="64"/>
      <c r="B521" s="64"/>
      <c r="C521" s="65"/>
      <c r="D521" s="64"/>
      <c r="E521" s="65"/>
      <c r="F521" s="65"/>
      <c r="G521" s="64"/>
      <c r="H521" s="65"/>
      <c r="I521" s="65"/>
      <c r="J521" s="64"/>
      <c r="K521" s="65"/>
      <c r="L521" s="65"/>
      <c r="M521" s="64"/>
      <c r="N521" s="65"/>
      <c r="O521" s="65"/>
    </row>
    <row r="522" spans="1:15" x14ac:dyDescent="0.25">
      <c r="A522" s="64"/>
      <c r="B522" s="64"/>
      <c r="C522" s="65"/>
      <c r="D522" s="64"/>
      <c r="E522" s="65"/>
      <c r="F522" s="65"/>
      <c r="G522" s="64"/>
      <c r="H522" s="65"/>
      <c r="I522" s="65"/>
      <c r="J522" s="64"/>
      <c r="K522" s="65"/>
      <c r="L522" s="65"/>
      <c r="M522" s="64"/>
      <c r="N522" s="65"/>
      <c r="O522" s="65"/>
    </row>
    <row r="523" spans="1:15" x14ac:dyDescent="0.25">
      <c r="A523" s="64"/>
      <c r="B523" s="64"/>
      <c r="C523" s="65"/>
      <c r="D523" s="64"/>
      <c r="E523" s="65"/>
      <c r="F523" s="65"/>
      <c r="G523" s="64"/>
      <c r="H523" s="65"/>
      <c r="I523" s="65"/>
      <c r="J523" s="64"/>
      <c r="K523" s="65"/>
      <c r="L523" s="65"/>
      <c r="M523" s="64"/>
      <c r="N523" s="65"/>
      <c r="O523" s="65"/>
    </row>
    <row r="524" spans="1:15" x14ac:dyDescent="0.25">
      <c r="A524" s="64"/>
      <c r="B524" s="64"/>
      <c r="C524" s="65"/>
      <c r="D524" s="64"/>
      <c r="E524" s="65"/>
      <c r="F524" s="65"/>
      <c r="G524" s="64"/>
      <c r="H524" s="65"/>
      <c r="I524" s="65"/>
      <c r="J524" s="64"/>
      <c r="K524" s="65"/>
      <c r="L524" s="65"/>
      <c r="M524" s="64"/>
      <c r="N524" s="65"/>
      <c r="O524" s="65"/>
    </row>
    <row r="525" spans="1:15" x14ac:dyDescent="0.25">
      <c r="A525" s="64"/>
      <c r="B525" s="64"/>
      <c r="C525" s="65"/>
      <c r="D525" s="64"/>
      <c r="E525" s="65"/>
      <c r="F525" s="65"/>
      <c r="G525" s="64"/>
      <c r="H525" s="65"/>
      <c r="I525" s="65"/>
      <c r="J525" s="64"/>
      <c r="K525" s="65"/>
      <c r="L525" s="65"/>
      <c r="M525" s="64"/>
      <c r="N525" s="65"/>
      <c r="O525" s="65"/>
    </row>
    <row r="526" spans="1:15" x14ac:dyDescent="0.25">
      <c r="A526" s="64"/>
      <c r="B526" s="64"/>
      <c r="C526" s="65"/>
      <c r="D526" s="64"/>
      <c r="E526" s="65"/>
      <c r="F526" s="65"/>
      <c r="G526" s="64"/>
      <c r="H526" s="65"/>
      <c r="I526" s="65"/>
      <c r="J526" s="64"/>
      <c r="K526" s="65"/>
      <c r="L526" s="65"/>
      <c r="M526" s="64"/>
      <c r="N526" s="65"/>
      <c r="O526" s="65"/>
    </row>
    <row r="527" spans="1:15" x14ac:dyDescent="0.25">
      <c r="A527" s="64"/>
      <c r="B527" s="64"/>
      <c r="C527" s="65"/>
      <c r="D527" s="64"/>
      <c r="E527" s="65"/>
      <c r="F527" s="65"/>
      <c r="G527" s="64"/>
      <c r="H527" s="65"/>
      <c r="I527" s="65"/>
      <c r="J527" s="64"/>
      <c r="K527" s="65"/>
      <c r="L527" s="65"/>
      <c r="M527" s="64"/>
      <c r="N527" s="65"/>
      <c r="O527" s="65"/>
    </row>
    <row r="528" spans="1:15" x14ac:dyDescent="0.25">
      <c r="A528" s="64"/>
      <c r="B528" s="64"/>
      <c r="C528" s="65"/>
      <c r="D528" s="64"/>
      <c r="E528" s="65"/>
      <c r="F528" s="65"/>
      <c r="G528" s="64"/>
      <c r="H528" s="65"/>
      <c r="I528" s="65"/>
      <c r="J528" s="64"/>
      <c r="K528" s="65"/>
      <c r="L528" s="65"/>
      <c r="M528" s="64"/>
      <c r="N528" s="65"/>
      <c r="O528" s="65"/>
    </row>
    <row r="529" spans="1:15" x14ac:dyDescent="0.25">
      <c r="A529" s="64"/>
      <c r="B529" s="64"/>
      <c r="C529" s="65"/>
      <c r="D529" s="64"/>
      <c r="E529" s="65"/>
      <c r="F529" s="65"/>
      <c r="G529" s="64"/>
      <c r="H529" s="65"/>
      <c r="I529" s="65"/>
      <c r="J529" s="64"/>
      <c r="K529" s="65"/>
      <c r="L529" s="65"/>
      <c r="M529" s="64"/>
      <c r="N529" s="65"/>
      <c r="O529" s="65"/>
    </row>
    <row r="530" spans="1:15" x14ac:dyDescent="0.25">
      <c r="A530" s="64"/>
      <c r="B530" s="64"/>
      <c r="C530" s="65"/>
      <c r="D530" s="64"/>
      <c r="E530" s="65"/>
      <c r="F530" s="65"/>
      <c r="G530" s="64"/>
      <c r="H530" s="65"/>
      <c r="I530" s="65"/>
      <c r="J530" s="64"/>
      <c r="K530" s="65"/>
      <c r="L530" s="65"/>
      <c r="M530" s="64"/>
      <c r="N530" s="65"/>
      <c r="O530" s="65"/>
    </row>
    <row r="531" spans="1:15" x14ac:dyDescent="0.25">
      <c r="A531" s="64"/>
      <c r="B531" s="64"/>
      <c r="C531" s="65"/>
      <c r="D531" s="64"/>
      <c r="E531" s="65"/>
      <c r="F531" s="65"/>
      <c r="G531" s="64"/>
      <c r="H531" s="65"/>
      <c r="I531" s="65"/>
      <c r="J531" s="64"/>
      <c r="K531" s="65"/>
      <c r="L531" s="65"/>
      <c r="M531" s="64"/>
      <c r="N531" s="65"/>
      <c r="O531" s="65"/>
    </row>
    <row r="532" spans="1:15" x14ac:dyDescent="0.25">
      <c r="A532" s="64"/>
      <c r="B532" s="64"/>
      <c r="C532" s="65"/>
      <c r="D532" s="64"/>
      <c r="E532" s="65"/>
      <c r="F532" s="65"/>
      <c r="G532" s="64"/>
      <c r="H532" s="65"/>
      <c r="I532" s="65"/>
      <c r="J532" s="64"/>
      <c r="K532" s="65"/>
      <c r="L532" s="65"/>
      <c r="M532" s="64"/>
      <c r="N532" s="65"/>
      <c r="O532" s="65"/>
    </row>
    <row r="533" spans="1:15" x14ac:dyDescent="0.25">
      <c r="A533" s="64"/>
      <c r="B533" s="64"/>
      <c r="C533" s="65"/>
      <c r="D533" s="64"/>
      <c r="E533" s="65"/>
      <c r="F533" s="65"/>
      <c r="G533" s="64"/>
      <c r="H533" s="65"/>
      <c r="I533" s="65"/>
      <c r="J533" s="64"/>
      <c r="K533" s="65"/>
      <c r="L533" s="65"/>
      <c r="M533" s="64"/>
      <c r="N533" s="65"/>
      <c r="O533" s="65"/>
    </row>
    <row r="534" spans="1:15" x14ac:dyDescent="0.25">
      <c r="A534" s="64"/>
      <c r="B534" s="64"/>
      <c r="C534" s="65"/>
      <c r="D534" s="64"/>
      <c r="E534" s="65"/>
      <c r="F534" s="65"/>
      <c r="G534" s="64"/>
      <c r="H534" s="65"/>
      <c r="I534" s="65"/>
      <c r="J534" s="64"/>
      <c r="K534" s="65"/>
      <c r="L534" s="65"/>
      <c r="M534" s="64"/>
      <c r="N534" s="65"/>
      <c r="O534" s="65"/>
    </row>
    <row r="535" spans="1:15" x14ac:dyDescent="0.25">
      <c r="A535" s="64"/>
      <c r="B535" s="64"/>
      <c r="C535" s="65"/>
      <c r="G535" s="64"/>
      <c r="H535" s="65"/>
      <c r="I535" s="65"/>
      <c r="J535" s="64"/>
      <c r="K535" s="65"/>
      <c r="L535" s="65"/>
      <c r="M535" s="64"/>
      <c r="N535" s="65"/>
      <c r="O535" s="65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534"/>
  <sheetViews>
    <sheetView zoomScaleNormal="100" workbookViewId="0">
      <pane ySplit="4" topLeftCell="A42" activePane="bottomLeft" state="frozen"/>
      <selection pane="bottomLeft" activeCell="L57" sqref="L57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4.28515625" customWidth="1"/>
    <col min="7" max="7" width="7.7109375" style="6" customWidth="1"/>
    <col min="8" max="8" width="8.7109375" customWidth="1"/>
    <col min="9" max="9" width="24.85546875" customWidth="1"/>
    <col min="10" max="10" width="7.7109375" style="6" customWidth="1"/>
    <col min="11" max="11" width="8.710937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2.25" customHeight="1" x14ac:dyDescent="0.25">
      <c r="A1" s="134" t="s">
        <v>10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6" t="s">
        <v>11</v>
      </c>
      <c r="M1" s="136"/>
      <c r="N1" s="5">
        <v>2014</v>
      </c>
      <c r="O1" s="4"/>
    </row>
    <row r="2" spans="1:18" x14ac:dyDescent="0.25">
      <c r="A2" s="138" t="s">
        <v>0</v>
      </c>
      <c r="B2" s="138"/>
      <c r="C2" s="138"/>
      <c r="D2" s="139" t="s">
        <v>4</v>
      </c>
      <c r="E2" s="139"/>
      <c r="F2" s="139"/>
      <c r="G2" s="140" t="s">
        <v>5</v>
      </c>
      <c r="H2" s="140"/>
      <c r="I2" s="140"/>
      <c r="J2" s="145"/>
      <c r="K2" s="145"/>
      <c r="L2" s="145"/>
      <c r="M2" s="133" t="s">
        <v>12</v>
      </c>
      <c r="N2" s="133"/>
      <c r="O2" s="133"/>
      <c r="Q2" s="142" t="s">
        <v>13</v>
      </c>
      <c r="R2" s="142"/>
    </row>
    <row r="3" spans="1:18" x14ac:dyDescent="0.25">
      <c r="A3" s="8">
        <f>SUBTOTAL(3,A5:A118)</f>
        <v>77</v>
      </c>
      <c r="B3" s="8">
        <f>SUBTOTAL(9,B5:B118)</f>
        <v>45900</v>
      </c>
      <c r="C3" s="35">
        <v>44353</v>
      </c>
      <c r="D3" s="8">
        <f>SUBTOTAL(3,D5:D117)</f>
        <v>42</v>
      </c>
      <c r="E3" s="1">
        <f>SUBTOTAL(9,E5:E155)</f>
        <v>23050</v>
      </c>
      <c r="F3" s="38">
        <v>44360</v>
      </c>
      <c r="G3" s="8">
        <f>SUBTOTAL(3,G5:G119)</f>
        <v>43</v>
      </c>
      <c r="H3" s="1">
        <f>SUBTOTAL(9,H5:H160)</f>
        <v>28300</v>
      </c>
      <c r="I3" s="39">
        <v>44367</v>
      </c>
      <c r="J3" s="8">
        <f>SUBTOTAL(3,J5:J107)</f>
        <v>35</v>
      </c>
      <c r="K3" s="1">
        <f>SUBTOTAL(9,K5:K107)</f>
        <v>25200</v>
      </c>
      <c r="L3" s="63">
        <v>44374</v>
      </c>
      <c r="M3" s="1">
        <f>SUBTOTAL(3,M5:M117)</f>
        <v>0</v>
      </c>
      <c r="N3" s="1">
        <f>SUBTOTAL(9,N5:N117)</f>
        <v>0</v>
      </c>
      <c r="O3" s="81"/>
      <c r="Q3" s="30">
        <f>+A3+D3+G3+J3+M3</f>
        <v>197</v>
      </c>
      <c r="R3" s="29">
        <f>+B3+E3+H3+K3+N3</f>
        <v>122450</v>
      </c>
    </row>
    <row r="4" spans="1:18" x14ac:dyDescent="0.25">
      <c r="A4" s="46" t="s">
        <v>1</v>
      </c>
      <c r="B4" s="46" t="s">
        <v>3</v>
      </c>
      <c r="C4" s="46" t="s">
        <v>2</v>
      </c>
      <c r="D4" s="47" t="s">
        <v>1</v>
      </c>
      <c r="E4" s="47" t="s">
        <v>3</v>
      </c>
      <c r="F4" s="47" t="s">
        <v>2</v>
      </c>
      <c r="G4" s="48" t="s">
        <v>1</v>
      </c>
      <c r="H4" s="48" t="s">
        <v>3</v>
      </c>
      <c r="I4" s="48" t="s">
        <v>2</v>
      </c>
      <c r="J4" s="60" t="s">
        <v>1</v>
      </c>
      <c r="K4" s="60" t="s">
        <v>3</v>
      </c>
      <c r="L4" s="60" t="s">
        <v>2</v>
      </c>
      <c r="M4" s="41" t="s">
        <v>1</v>
      </c>
      <c r="N4" s="41" t="s">
        <v>3</v>
      </c>
      <c r="O4" s="41" t="s">
        <v>2</v>
      </c>
      <c r="P4" s="27"/>
      <c r="Q4" s="42" t="s">
        <v>9</v>
      </c>
      <c r="R4" s="42" t="s">
        <v>3</v>
      </c>
    </row>
    <row r="5" spans="1:18" x14ac:dyDescent="0.25">
      <c r="A5" s="16">
        <v>24882</v>
      </c>
      <c r="B5" s="49">
        <v>300</v>
      </c>
      <c r="C5" s="17"/>
      <c r="D5" s="13">
        <v>24959</v>
      </c>
      <c r="E5" s="70">
        <v>1150</v>
      </c>
      <c r="F5" s="14" t="s">
        <v>242</v>
      </c>
      <c r="G5" s="11">
        <v>25001</v>
      </c>
      <c r="H5" s="67">
        <v>500</v>
      </c>
      <c r="I5" s="12" t="s">
        <v>98</v>
      </c>
      <c r="J5" s="61">
        <v>25044</v>
      </c>
      <c r="K5" s="71">
        <v>1000</v>
      </c>
      <c r="L5" s="62" t="s">
        <v>196</v>
      </c>
      <c r="M5" s="75"/>
      <c r="N5" s="73"/>
      <c r="O5" s="15"/>
      <c r="Q5" s="32"/>
      <c r="R5" s="32"/>
    </row>
    <row r="6" spans="1:18" x14ac:dyDescent="0.25">
      <c r="A6" s="16">
        <v>24883</v>
      </c>
      <c r="B6" s="49">
        <v>600</v>
      </c>
      <c r="C6" s="17" t="s">
        <v>196</v>
      </c>
      <c r="D6" s="13">
        <v>24960</v>
      </c>
      <c r="E6" s="70">
        <v>50</v>
      </c>
      <c r="F6" s="14" t="s">
        <v>19</v>
      </c>
      <c r="G6" s="11">
        <v>25002</v>
      </c>
      <c r="H6" s="67">
        <v>300</v>
      </c>
      <c r="I6" s="12"/>
      <c r="J6" s="61"/>
      <c r="K6" s="71"/>
      <c r="L6" s="62" t="s">
        <v>64</v>
      </c>
      <c r="M6" s="75"/>
      <c r="N6" s="73"/>
      <c r="O6" s="15"/>
    </row>
    <row r="7" spans="1:18" x14ac:dyDescent="0.25">
      <c r="A7" s="16"/>
      <c r="B7" s="49"/>
      <c r="C7" s="108" t="s">
        <v>18</v>
      </c>
      <c r="D7" s="13">
        <v>24961</v>
      </c>
      <c r="E7" s="70">
        <v>350</v>
      </c>
      <c r="F7" s="14" t="s">
        <v>243</v>
      </c>
      <c r="G7" s="11">
        <v>25003</v>
      </c>
      <c r="H7" s="67">
        <v>300</v>
      </c>
      <c r="I7" s="12" t="s">
        <v>214</v>
      </c>
      <c r="J7" s="61">
        <v>25045</v>
      </c>
      <c r="K7" s="71">
        <v>200</v>
      </c>
      <c r="L7" s="62" t="s">
        <v>180</v>
      </c>
      <c r="M7" s="75"/>
      <c r="N7" s="73"/>
      <c r="O7" s="15"/>
    </row>
    <row r="8" spans="1:18" x14ac:dyDescent="0.25">
      <c r="A8" s="16">
        <v>24884</v>
      </c>
      <c r="B8" s="49">
        <v>600</v>
      </c>
      <c r="C8" s="17"/>
      <c r="D8" s="13">
        <v>24962</v>
      </c>
      <c r="E8" s="70">
        <v>250</v>
      </c>
      <c r="F8" s="14"/>
      <c r="G8" s="11">
        <v>25004</v>
      </c>
      <c r="H8" s="67">
        <v>500</v>
      </c>
      <c r="I8" s="12" t="s">
        <v>196</v>
      </c>
      <c r="J8" s="61">
        <v>25046</v>
      </c>
      <c r="K8" s="71">
        <v>800</v>
      </c>
      <c r="L8" s="62" t="s">
        <v>223</v>
      </c>
      <c r="M8" s="75"/>
      <c r="N8" s="73"/>
      <c r="O8" s="15"/>
    </row>
    <row r="9" spans="1:18" x14ac:dyDescent="0.25">
      <c r="A9" s="16">
        <v>24885</v>
      </c>
      <c r="B9" s="49">
        <v>1000</v>
      </c>
      <c r="C9" s="17" t="s">
        <v>159</v>
      </c>
      <c r="D9" s="13">
        <v>24963</v>
      </c>
      <c r="E9" s="70">
        <v>500</v>
      </c>
      <c r="F9" s="14" t="s">
        <v>180</v>
      </c>
      <c r="G9" s="11"/>
      <c r="H9" s="67"/>
      <c r="I9" s="12" t="s">
        <v>16</v>
      </c>
      <c r="J9" s="61"/>
      <c r="K9" s="71"/>
      <c r="L9" s="62" t="s">
        <v>17</v>
      </c>
      <c r="M9" s="75"/>
      <c r="N9" s="73"/>
      <c r="O9" s="15"/>
    </row>
    <row r="10" spans="1:18" x14ac:dyDescent="0.25">
      <c r="A10" s="16"/>
      <c r="B10" s="49"/>
      <c r="C10" s="17" t="s">
        <v>64</v>
      </c>
      <c r="D10" s="13">
        <v>24964</v>
      </c>
      <c r="E10" s="70">
        <v>700</v>
      </c>
      <c r="F10" s="14" t="s">
        <v>244</v>
      </c>
      <c r="G10" s="11">
        <v>25005</v>
      </c>
      <c r="H10" s="67">
        <v>600</v>
      </c>
      <c r="I10" s="12" t="s">
        <v>250</v>
      </c>
      <c r="J10" s="61">
        <v>25047</v>
      </c>
      <c r="K10" s="71">
        <v>500</v>
      </c>
      <c r="L10" s="62" t="s">
        <v>214</v>
      </c>
      <c r="M10" s="75"/>
      <c r="N10" s="73"/>
      <c r="O10" s="15"/>
    </row>
    <row r="11" spans="1:18" x14ac:dyDescent="0.25">
      <c r="A11" s="16">
        <v>24886</v>
      </c>
      <c r="B11" s="49">
        <v>250</v>
      </c>
      <c r="C11" s="17"/>
      <c r="D11" s="13">
        <v>24965</v>
      </c>
      <c r="E11" s="70">
        <v>300</v>
      </c>
      <c r="F11" s="14"/>
      <c r="G11" s="11"/>
      <c r="H11" s="67"/>
      <c r="I11" s="114">
        <v>400</v>
      </c>
      <c r="J11" s="61">
        <v>25048</v>
      </c>
      <c r="K11" s="71">
        <v>250</v>
      </c>
      <c r="L11" s="62"/>
      <c r="M11" s="75"/>
      <c r="N11" s="73"/>
      <c r="O11" s="31"/>
    </row>
    <row r="12" spans="1:18" x14ac:dyDescent="0.25">
      <c r="A12" s="16">
        <v>24887</v>
      </c>
      <c r="B12" s="49">
        <v>500</v>
      </c>
      <c r="C12" s="17" t="s">
        <v>121</v>
      </c>
      <c r="D12" s="13">
        <v>24966</v>
      </c>
      <c r="E12" s="70">
        <v>1000</v>
      </c>
      <c r="F12" s="14" t="s">
        <v>209</v>
      </c>
      <c r="G12" s="11">
        <v>25006</v>
      </c>
      <c r="H12" s="67">
        <v>300</v>
      </c>
      <c r="I12" s="12" t="s">
        <v>180</v>
      </c>
      <c r="J12" s="61">
        <v>25049</v>
      </c>
      <c r="K12" s="71">
        <v>300</v>
      </c>
      <c r="L12" s="62"/>
      <c r="M12" s="75"/>
      <c r="N12" s="73"/>
      <c r="O12" s="15"/>
    </row>
    <row r="13" spans="1:18" x14ac:dyDescent="0.25">
      <c r="A13" s="16">
        <v>24888</v>
      </c>
      <c r="B13" s="49">
        <v>500</v>
      </c>
      <c r="C13" s="17"/>
      <c r="D13" s="13"/>
      <c r="E13" s="70"/>
      <c r="F13" s="14" t="s">
        <v>16</v>
      </c>
      <c r="G13" s="11">
        <v>25007</v>
      </c>
      <c r="H13" s="67">
        <v>600</v>
      </c>
      <c r="I13" s="12" t="s">
        <v>196</v>
      </c>
      <c r="J13" s="61">
        <v>25050</v>
      </c>
      <c r="K13" s="71">
        <v>1600</v>
      </c>
      <c r="L13" s="62" t="s">
        <v>255</v>
      </c>
      <c r="M13" s="75"/>
      <c r="N13" s="73"/>
      <c r="O13" s="15"/>
    </row>
    <row r="14" spans="1:18" x14ac:dyDescent="0.25">
      <c r="A14" s="16">
        <v>24889</v>
      </c>
      <c r="B14" s="49">
        <v>500</v>
      </c>
      <c r="C14" s="17" t="s">
        <v>180</v>
      </c>
      <c r="D14" s="13">
        <v>24967</v>
      </c>
      <c r="E14" s="70">
        <v>1400</v>
      </c>
      <c r="F14" s="14" t="s">
        <v>245</v>
      </c>
      <c r="G14" s="11"/>
      <c r="H14" s="67"/>
      <c r="I14" s="12" t="s">
        <v>18</v>
      </c>
      <c r="J14" s="61"/>
      <c r="K14" s="71"/>
      <c r="L14" s="62" t="s">
        <v>17</v>
      </c>
      <c r="M14" s="75"/>
      <c r="N14" s="73"/>
      <c r="O14" s="15"/>
    </row>
    <row r="15" spans="1:18" x14ac:dyDescent="0.25">
      <c r="A15" s="16">
        <v>24890</v>
      </c>
      <c r="B15" s="49">
        <v>1000</v>
      </c>
      <c r="C15" s="17" t="s">
        <v>223</v>
      </c>
      <c r="D15" s="13"/>
      <c r="E15" s="70"/>
      <c r="F15" s="33" t="s">
        <v>52</v>
      </c>
      <c r="G15" s="11">
        <v>25008</v>
      </c>
      <c r="H15" s="67">
        <v>500</v>
      </c>
      <c r="I15" s="12" t="s">
        <v>196</v>
      </c>
      <c r="J15" s="61">
        <v>25051</v>
      </c>
      <c r="K15" s="71">
        <v>500</v>
      </c>
      <c r="L15" s="89" t="s">
        <v>214</v>
      </c>
      <c r="M15" s="75"/>
      <c r="N15" s="73"/>
      <c r="O15" s="15"/>
    </row>
    <row r="16" spans="1:18" x14ac:dyDescent="0.25">
      <c r="A16" s="16"/>
      <c r="B16" s="49"/>
      <c r="C16" s="17" t="s">
        <v>64</v>
      </c>
      <c r="D16" s="13">
        <v>24968</v>
      </c>
      <c r="E16" s="70">
        <v>300</v>
      </c>
      <c r="F16" s="14" t="s">
        <v>246</v>
      </c>
      <c r="G16" s="11"/>
      <c r="H16" s="67"/>
      <c r="I16" s="12" t="s">
        <v>16</v>
      </c>
      <c r="J16" s="61">
        <v>25052</v>
      </c>
      <c r="K16" s="71">
        <v>500</v>
      </c>
      <c r="L16" s="62" t="s">
        <v>214</v>
      </c>
      <c r="M16" s="75"/>
      <c r="N16" s="73"/>
      <c r="O16" s="15"/>
    </row>
    <row r="17" spans="1:15" x14ac:dyDescent="0.25">
      <c r="A17" s="16">
        <v>24891</v>
      </c>
      <c r="B17" s="49">
        <v>400</v>
      </c>
      <c r="C17" s="17"/>
      <c r="D17" s="13">
        <v>24969</v>
      </c>
      <c r="E17" s="70">
        <v>500</v>
      </c>
      <c r="F17" s="14"/>
      <c r="G17" s="11">
        <v>25009</v>
      </c>
      <c r="H17" s="67">
        <v>1500</v>
      </c>
      <c r="I17" s="12" t="s">
        <v>251</v>
      </c>
      <c r="J17" s="61">
        <v>25053</v>
      </c>
      <c r="K17" s="71">
        <v>500</v>
      </c>
      <c r="L17" s="62"/>
      <c r="M17" s="75"/>
      <c r="N17" s="73"/>
      <c r="O17" s="15"/>
    </row>
    <row r="18" spans="1:15" x14ac:dyDescent="0.25">
      <c r="A18" s="16">
        <v>24892</v>
      </c>
      <c r="B18" s="49">
        <v>500</v>
      </c>
      <c r="C18" s="17"/>
      <c r="D18" s="13">
        <v>24970</v>
      </c>
      <c r="E18" s="70">
        <v>500</v>
      </c>
      <c r="F18" s="14"/>
      <c r="G18" s="11"/>
      <c r="H18" s="67"/>
      <c r="I18" s="12" t="s">
        <v>64</v>
      </c>
      <c r="J18" s="61">
        <v>25054</v>
      </c>
      <c r="K18" s="71">
        <v>300</v>
      </c>
      <c r="L18" s="62" t="s">
        <v>121</v>
      </c>
      <c r="M18" s="75"/>
      <c r="N18" s="73"/>
      <c r="O18" s="15"/>
    </row>
    <row r="19" spans="1:15" x14ac:dyDescent="0.25">
      <c r="A19" s="16">
        <v>24893</v>
      </c>
      <c r="B19" s="49">
        <v>900</v>
      </c>
      <c r="C19" s="17" t="s">
        <v>30</v>
      </c>
      <c r="D19" s="13">
        <v>24971</v>
      </c>
      <c r="E19" s="70">
        <v>400</v>
      </c>
      <c r="F19" s="14"/>
      <c r="G19" s="11">
        <v>25010</v>
      </c>
      <c r="H19" s="67">
        <v>900</v>
      </c>
      <c r="I19" s="12" t="s">
        <v>251</v>
      </c>
      <c r="J19" s="61">
        <v>25055</v>
      </c>
      <c r="K19" s="71">
        <v>500</v>
      </c>
      <c r="L19" s="62"/>
      <c r="M19" s="75"/>
      <c r="N19" s="73"/>
      <c r="O19" s="15"/>
    </row>
    <row r="20" spans="1:15" x14ac:dyDescent="0.25">
      <c r="A20" s="16"/>
      <c r="B20" s="49"/>
      <c r="C20" s="17" t="s">
        <v>18</v>
      </c>
      <c r="D20" s="13">
        <v>24972</v>
      </c>
      <c r="E20" s="70">
        <v>500</v>
      </c>
      <c r="F20" s="14"/>
      <c r="G20" s="11"/>
      <c r="H20" s="67"/>
      <c r="I20" s="12" t="s">
        <v>18</v>
      </c>
      <c r="J20" s="61">
        <v>25056</v>
      </c>
      <c r="K20" s="71">
        <v>1000</v>
      </c>
      <c r="L20" s="62" t="s">
        <v>259</v>
      </c>
      <c r="M20" s="75"/>
      <c r="N20" s="73"/>
      <c r="O20" s="15"/>
    </row>
    <row r="21" spans="1:15" x14ac:dyDescent="0.25">
      <c r="A21" s="16">
        <v>24894</v>
      </c>
      <c r="B21" s="49">
        <v>500</v>
      </c>
      <c r="C21" s="17" t="s">
        <v>180</v>
      </c>
      <c r="D21" s="13">
        <v>24973</v>
      </c>
      <c r="E21" s="70">
        <v>500</v>
      </c>
      <c r="F21" s="14" t="s">
        <v>180</v>
      </c>
      <c r="G21" s="11">
        <v>25011</v>
      </c>
      <c r="H21" s="67">
        <v>2250</v>
      </c>
      <c r="I21" s="12" t="s">
        <v>149</v>
      </c>
      <c r="J21" s="61"/>
      <c r="K21" s="71"/>
      <c r="L21" s="62" t="s">
        <v>16</v>
      </c>
      <c r="M21" s="75"/>
      <c r="N21" s="73"/>
      <c r="O21" s="15"/>
    </row>
    <row r="22" spans="1:15" x14ac:dyDescent="0.25">
      <c r="A22" s="16">
        <v>24895</v>
      </c>
      <c r="B22" s="49">
        <v>500</v>
      </c>
      <c r="C22" s="17"/>
      <c r="D22" s="13">
        <v>24974</v>
      </c>
      <c r="E22" s="70">
        <v>500</v>
      </c>
      <c r="F22" s="14" t="s">
        <v>180</v>
      </c>
      <c r="G22" s="11"/>
      <c r="H22" s="67"/>
      <c r="I22" s="12" t="s">
        <v>252</v>
      </c>
      <c r="J22" s="61">
        <v>25057</v>
      </c>
      <c r="K22" s="71">
        <v>1200</v>
      </c>
      <c r="L22" s="62" t="s">
        <v>260</v>
      </c>
      <c r="M22" s="75"/>
      <c r="N22" s="73"/>
      <c r="O22" s="15"/>
    </row>
    <row r="23" spans="1:15" x14ac:dyDescent="0.25">
      <c r="A23" s="16">
        <v>24896</v>
      </c>
      <c r="B23" s="49">
        <v>600</v>
      </c>
      <c r="C23" s="17"/>
      <c r="D23" s="13">
        <v>24975</v>
      </c>
      <c r="E23" s="70">
        <v>1000</v>
      </c>
      <c r="F23" s="14" t="s">
        <v>247</v>
      </c>
      <c r="G23" s="11"/>
      <c r="H23" s="67"/>
      <c r="I23" s="12" t="s">
        <v>253</v>
      </c>
      <c r="J23" s="61"/>
      <c r="K23" s="71"/>
      <c r="L23" s="62" t="s">
        <v>17</v>
      </c>
      <c r="M23" s="75"/>
      <c r="N23" s="73"/>
      <c r="O23" s="15"/>
    </row>
    <row r="24" spans="1:15" x14ac:dyDescent="0.25">
      <c r="A24" s="16">
        <v>24897</v>
      </c>
      <c r="B24" s="49">
        <v>500</v>
      </c>
      <c r="C24" s="17" t="s">
        <v>180</v>
      </c>
      <c r="D24" s="13"/>
      <c r="E24" s="70"/>
      <c r="F24" s="14" t="s">
        <v>64</v>
      </c>
      <c r="G24" s="11">
        <v>25012</v>
      </c>
      <c r="H24" s="67">
        <v>500</v>
      </c>
      <c r="I24" s="12"/>
      <c r="J24" s="61">
        <v>25058</v>
      </c>
      <c r="K24" s="71">
        <v>400</v>
      </c>
      <c r="L24" s="62" t="s">
        <v>261</v>
      </c>
      <c r="M24" s="75"/>
      <c r="N24" s="73"/>
      <c r="O24" s="31"/>
    </row>
    <row r="25" spans="1:15" x14ac:dyDescent="0.25">
      <c r="A25" s="16">
        <v>24898</v>
      </c>
      <c r="B25" s="49">
        <v>500</v>
      </c>
      <c r="C25" s="17"/>
      <c r="D25" s="13">
        <v>24976</v>
      </c>
      <c r="E25" s="70">
        <v>100</v>
      </c>
      <c r="F25" s="14" t="s">
        <v>91</v>
      </c>
      <c r="G25" s="11">
        <v>25013</v>
      </c>
      <c r="H25" s="67">
        <v>50</v>
      </c>
      <c r="I25" s="12" t="s">
        <v>19</v>
      </c>
      <c r="J25" s="61">
        <v>25059</v>
      </c>
      <c r="K25" s="71">
        <v>500</v>
      </c>
      <c r="L25" s="62" t="s">
        <v>196</v>
      </c>
      <c r="M25" s="75"/>
      <c r="N25" s="73"/>
      <c r="O25" s="15"/>
    </row>
    <row r="26" spans="1:15" x14ac:dyDescent="0.25">
      <c r="A26" s="16">
        <v>24899</v>
      </c>
      <c r="B26" s="49">
        <v>400</v>
      </c>
      <c r="C26" s="17" t="s">
        <v>180</v>
      </c>
      <c r="D26" s="13">
        <v>24977</v>
      </c>
      <c r="E26" s="70">
        <v>500</v>
      </c>
      <c r="F26" s="14" t="s">
        <v>180</v>
      </c>
      <c r="G26" s="11">
        <v>25014</v>
      </c>
      <c r="H26" s="67">
        <v>250</v>
      </c>
      <c r="I26" s="12"/>
      <c r="J26" s="61"/>
      <c r="K26" s="71"/>
      <c r="L26" s="62" t="s">
        <v>16</v>
      </c>
      <c r="M26" s="75"/>
      <c r="N26" s="73"/>
      <c r="O26" s="15"/>
    </row>
    <row r="27" spans="1:15" x14ac:dyDescent="0.25">
      <c r="A27" s="16">
        <v>24900</v>
      </c>
      <c r="B27" s="49">
        <v>600</v>
      </c>
      <c r="C27" s="17" t="s">
        <v>159</v>
      </c>
      <c r="D27" s="13">
        <v>24978</v>
      </c>
      <c r="E27" s="70">
        <v>350</v>
      </c>
      <c r="F27" s="14" t="s">
        <v>118</v>
      </c>
      <c r="G27" s="11">
        <v>25015</v>
      </c>
      <c r="H27" s="67">
        <v>300</v>
      </c>
      <c r="I27" s="12"/>
      <c r="J27" s="61">
        <v>25060</v>
      </c>
      <c r="K27" s="71">
        <v>1000</v>
      </c>
      <c r="L27" s="62" t="s">
        <v>238</v>
      </c>
      <c r="M27" s="75"/>
      <c r="N27" s="73"/>
      <c r="O27" s="15"/>
    </row>
    <row r="28" spans="1:15" x14ac:dyDescent="0.25">
      <c r="A28" s="16"/>
      <c r="B28" s="49"/>
      <c r="C28" s="17" t="s">
        <v>18</v>
      </c>
      <c r="D28" s="13">
        <v>24979</v>
      </c>
      <c r="E28" s="70">
        <v>500</v>
      </c>
      <c r="F28" s="14" t="s">
        <v>180</v>
      </c>
      <c r="G28" s="11">
        <v>25016</v>
      </c>
      <c r="H28" s="67">
        <v>500</v>
      </c>
      <c r="I28" s="12" t="s">
        <v>180</v>
      </c>
      <c r="J28" s="61"/>
      <c r="K28" s="71"/>
      <c r="L28" s="62" t="s">
        <v>64</v>
      </c>
      <c r="M28" s="75"/>
      <c r="N28" s="73"/>
      <c r="O28" s="15"/>
    </row>
    <row r="29" spans="1:15" x14ac:dyDescent="0.25">
      <c r="A29" s="16">
        <v>24901</v>
      </c>
      <c r="B29" s="49">
        <v>500</v>
      </c>
      <c r="C29" s="17"/>
      <c r="D29" s="13">
        <v>24980</v>
      </c>
      <c r="E29" s="70">
        <v>1500</v>
      </c>
      <c r="F29" s="14" t="s">
        <v>248</v>
      </c>
      <c r="G29" s="11">
        <v>25017</v>
      </c>
      <c r="H29" s="67">
        <v>500</v>
      </c>
      <c r="I29" s="95"/>
      <c r="J29" s="61">
        <v>25061</v>
      </c>
      <c r="K29" s="71">
        <v>1000</v>
      </c>
      <c r="L29" s="62" t="s">
        <v>196</v>
      </c>
      <c r="M29" s="75"/>
      <c r="N29" s="73"/>
      <c r="O29" s="15"/>
    </row>
    <row r="30" spans="1:15" x14ac:dyDescent="0.25">
      <c r="A30" s="16">
        <v>24902</v>
      </c>
      <c r="B30" s="49">
        <v>300</v>
      </c>
      <c r="C30" s="17"/>
      <c r="D30" s="13"/>
      <c r="E30" s="70"/>
      <c r="F30" s="14" t="s">
        <v>64</v>
      </c>
      <c r="G30" s="11">
        <v>25018</v>
      </c>
      <c r="H30" s="67">
        <v>500</v>
      </c>
      <c r="I30" s="12"/>
      <c r="J30" s="61"/>
      <c r="K30" s="71"/>
      <c r="L30" s="62" t="s">
        <v>64</v>
      </c>
      <c r="M30" s="75"/>
      <c r="N30" s="73"/>
      <c r="O30" s="15"/>
    </row>
    <row r="31" spans="1:15" x14ac:dyDescent="0.25">
      <c r="A31" s="16">
        <v>24903</v>
      </c>
      <c r="B31" s="49">
        <v>500</v>
      </c>
      <c r="C31" s="17"/>
      <c r="D31" s="13">
        <v>24981</v>
      </c>
      <c r="E31" s="70">
        <v>350</v>
      </c>
      <c r="F31" s="14"/>
      <c r="G31" s="11">
        <v>25019</v>
      </c>
      <c r="H31" s="67">
        <v>500</v>
      </c>
      <c r="I31" s="12" t="s">
        <v>180</v>
      </c>
      <c r="J31" s="61">
        <v>25062</v>
      </c>
      <c r="K31" s="71">
        <v>550</v>
      </c>
      <c r="L31" s="62" t="s">
        <v>262</v>
      </c>
      <c r="M31" s="75"/>
      <c r="N31" s="73"/>
      <c r="O31" s="31"/>
    </row>
    <row r="32" spans="1:15" x14ac:dyDescent="0.25">
      <c r="A32" s="16">
        <v>24904</v>
      </c>
      <c r="B32" s="49">
        <v>500</v>
      </c>
      <c r="C32" s="17"/>
      <c r="D32" s="13">
        <v>24982</v>
      </c>
      <c r="E32" s="70">
        <v>1000</v>
      </c>
      <c r="F32" s="14" t="s">
        <v>159</v>
      </c>
      <c r="G32" s="11">
        <v>25020</v>
      </c>
      <c r="H32" s="67">
        <v>500</v>
      </c>
      <c r="I32" s="12" t="s">
        <v>180</v>
      </c>
      <c r="J32" s="61">
        <v>25063</v>
      </c>
      <c r="K32" s="71">
        <v>1200</v>
      </c>
      <c r="L32" s="62" t="s">
        <v>248</v>
      </c>
      <c r="M32" s="75"/>
      <c r="N32" s="73"/>
      <c r="O32" s="15"/>
    </row>
    <row r="33" spans="1:15" x14ac:dyDescent="0.25">
      <c r="A33" s="16">
        <v>24905</v>
      </c>
      <c r="B33" s="49">
        <v>500</v>
      </c>
      <c r="C33" s="17"/>
      <c r="D33" s="13"/>
      <c r="E33" s="70"/>
      <c r="F33" s="14" t="s">
        <v>64</v>
      </c>
      <c r="G33" s="11">
        <v>25021</v>
      </c>
      <c r="H33" s="67">
        <v>1050</v>
      </c>
      <c r="I33" s="12" t="s">
        <v>196</v>
      </c>
      <c r="J33" s="61"/>
      <c r="K33" s="71"/>
      <c r="L33" s="62" t="s">
        <v>17</v>
      </c>
      <c r="M33" s="75"/>
      <c r="N33" s="73"/>
      <c r="O33" s="15"/>
    </row>
    <row r="34" spans="1:15" x14ac:dyDescent="0.25">
      <c r="A34" s="16">
        <v>24906</v>
      </c>
      <c r="B34" s="49">
        <v>500</v>
      </c>
      <c r="C34" s="17"/>
      <c r="D34" s="13">
        <v>24983</v>
      </c>
      <c r="E34" s="70">
        <v>500</v>
      </c>
      <c r="F34" s="14" t="s">
        <v>196</v>
      </c>
      <c r="G34" s="11"/>
      <c r="H34" s="67"/>
      <c r="I34" s="12" t="s">
        <v>254</v>
      </c>
      <c r="J34" s="61">
        <v>25064</v>
      </c>
      <c r="K34" s="71">
        <v>500</v>
      </c>
      <c r="L34" s="62"/>
      <c r="M34" s="75"/>
      <c r="N34" s="73"/>
      <c r="O34" s="15"/>
    </row>
    <row r="35" spans="1:15" x14ac:dyDescent="0.25">
      <c r="A35" s="16">
        <v>24907</v>
      </c>
      <c r="B35" s="49">
        <v>500</v>
      </c>
      <c r="C35" s="17"/>
      <c r="D35" s="13"/>
      <c r="E35" s="70"/>
      <c r="F35" s="14" t="s">
        <v>16</v>
      </c>
      <c r="G35" s="11">
        <v>25022</v>
      </c>
      <c r="H35" s="67">
        <v>2000</v>
      </c>
      <c r="I35" s="12" t="s">
        <v>255</v>
      </c>
      <c r="J35" s="61">
        <v>25065</v>
      </c>
      <c r="K35" s="71">
        <v>1000</v>
      </c>
      <c r="L35" s="62" t="s">
        <v>223</v>
      </c>
      <c r="M35" s="75"/>
      <c r="N35" s="73"/>
      <c r="O35" s="15"/>
    </row>
    <row r="36" spans="1:15" x14ac:dyDescent="0.25">
      <c r="A36" s="16">
        <v>24908</v>
      </c>
      <c r="B36" s="49">
        <v>700</v>
      </c>
      <c r="C36" s="17" t="s">
        <v>223</v>
      </c>
      <c r="D36" s="13">
        <v>24984</v>
      </c>
      <c r="E36" s="70">
        <v>500</v>
      </c>
      <c r="F36" s="14" t="s">
        <v>196</v>
      </c>
      <c r="G36" s="11"/>
      <c r="H36" s="67"/>
      <c r="I36" s="12" t="s">
        <v>64</v>
      </c>
      <c r="J36" s="61"/>
      <c r="K36" s="71"/>
      <c r="L36" s="62" t="s">
        <v>64</v>
      </c>
      <c r="M36" s="75"/>
      <c r="N36" s="73"/>
      <c r="O36" s="15"/>
    </row>
    <row r="37" spans="1:15" x14ac:dyDescent="0.25">
      <c r="A37" s="16"/>
      <c r="B37" s="49"/>
      <c r="C37" s="17" t="s">
        <v>21</v>
      </c>
      <c r="D37" s="13"/>
      <c r="E37" s="70"/>
      <c r="F37" s="14" t="s">
        <v>16</v>
      </c>
      <c r="G37" s="11">
        <v>25023</v>
      </c>
      <c r="H37" s="67">
        <v>500</v>
      </c>
      <c r="I37" s="12"/>
      <c r="J37" s="61">
        <v>25066</v>
      </c>
      <c r="K37" s="71">
        <v>300</v>
      </c>
      <c r="L37" s="62" t="s">
        <v>263</v>
      </c>
      <c r="M37" s="75"/>
      <c r="N37" s="73"/>
      <c r="O37" s="15"/>
    </row>
    <row r="38" spans="1:15" x14ac:dyDescent="0.25">
      <c r="A38" s="16">
        <v>24909</v>
      </c>
      <c r="B38" s="49">
        <v>800</v>
      </c>
      <c r="C38" s="17"/>
      <c r="D38" s="13">
        <v>24985</v>
      </c>
      <c r="E38" s="70">
        <v>300</v>
      </c>
      <c r="F38" s="14"/>
      <c r="G38" s="11">
        <v>25024</v>
      </c>
      <c r="H38" s="67">
        <v>500</v>
      </c>
      <c r="I38" s="12"/>
      <c r="J38" s="61">
        <v>25067</v>
      </c>
      <c r="K38" s="71">
        <v>1500</v>
      </c>
      <c r="L38" s="62" t="s">
        <v>264</v>
      </c>
      <c r="M38" s="75"/>
      <c r="N38" s="73"/>
      <c r="O38" s="15"/>
    </row>
    <row r="39" spans="1:15" x14ac:dyDescent="0.25">
      <c r="A39" s="16">
        <v>24910</v>
      </c>
      <c r="B39" s="49">
        <v>1000</v>
      </c>
      <c r="C39" s="17" t="s">
        <v>196</v>
      </c>
      <c r="D39" s="13">
        <v>24986</v>
      </c>
      <c r="E39" s="70">
        <v>500</v>
      </c>
      <c r="F39" s="14"/>
      <c r="G39" s="11">
        <v>25025</v>
      </c>
      <c r="H39" s="67">
        <v>2150</v>
      </c>
      <c r="I39" s="12" t="s">
        <v>256</v>
      </c>
      <c r="J39" s="61"/>
      <c r="K39" s="71"/>
      <c r="L39" s="62" t="s">
        <v>64</v>
      </c>
      <c r="M39" s="75"/>
      <c r="N39" s="73"/>
      <c r="O39" s="15"/>
    </row>
    <row r="40" spans="1:15" x14ac:dyDescent="0.25">
      <c r="A40" s="16"/>
      <c r="B40" s="49"/>
      <c r="C40" s="17" t="s">
        <v>64</v>
      </c>
      <c r="D40" s="13">
        <v>24987</v>
      </c>
      <c r="E40" s="70">
        <v>300</v>
      </c>
      <c r="F40" s="14" t="s">
        <v>180</v>
      </c>
      <c r="G40" s="11"/>
      <c r="H40" s="67"/>
      <c r="I40" s="12" t="s">
        <v>257</v>
      </c>
      <c r="J40" s="61">
        <v>25068</v>
      </c>
      <c r="K40" s="71">
        <v>500</v>
      </c>
      <c r="L40" s="68"/>
      <c r="M40" s="75"/>
      <c r="N40" s="73"/>
      <c r="O40" s="15"/>
    </row>
    <row r="41" spans="1:15" x14ac:dyDescent="0.25">
      <c r="A41" s="16">
        <v>24911</v>
      </c>
      <c r="B41" s="49">
        <v>500</v>
      </c>
      <c r="C41" s="17"/>
      <c r="D41" s="13">
        <v>24988</v>
      </c>
      <c r="E41" s="70">
        <v>300</v>
      </c>
      <c r="F41" s="14" t="s">
        <v>180</v>
      </c>
      <c r="G41" s="11">
        <v>25026</v>
      </c>
      <c r="H41" s="67">
        <v>400</v>
      </c>
      <c r="I41" s="12"/>
      <c r="J41" s="61">
        <v>25069</v>
      </c>
      <c r="K41" s="71">
        <v>600</v>
      </c>
      <c r="L41" s="62" t="s">
        <v>223</v>
      </c>
      <c r="M41" s="75"/>
      <c r="N41" s="73"/>
      <c r="O41" s="15"/>
    </row>
    <row r="42" spans="1:15" x14ac:dyDescent="0.25">
      <c r="A42" s="16">
        <v>24912</v>
      </c>
      <c r="B42" s="49">
        <v>250</v>
      </c>
      <c r="C42" s="85" t="s">
        <v>180</v>
      </c>
      <c r="D42" s="13">
        <v>24989</v>
      </c>
      <c r="E42" s="70">
        <v>500</v>
      </c>
      <c r="F42" s="14"/>
      <c r="G42" s="11">
        <v>25027</v>
      </c>
      <c r="H42" s="67">
        <v>500</v>
      </c>
      <c r="I42" s="12"/>
      <c r="J42" s="61"/>
      <c r="K42" s="71"/>
      <c r="L42" s="62" t="s">
        <v>18</v>
      </c>
      <c r="M42" s="75"/>
      <c r="N42" s="73"/>
      <c r="O42" s="15"/>
    </row>
    <row r="43" spans="1:15" x14ac:dyDescent="0.25">
      <c r="A43" s="16">
        <v>24913</v>
      </c>
      <c r="B43" s="49">
        <v>450</v>
      </c>
      <c r="C43" s="17"/>
      <c r="D43" s="13">
        <v>24990</v>
      </c>
      <c r="E43" s="70">
        <v>350</v>
      </c>
      <c r="F43" s="14" t="s">
        <v>118</v>
      </c>
      <c r="G43" s="11">
        <v>25028</v>
      </c>
      <c r="H43" s="67">
        <v>500</v>
      </c>
      <c r="I43" s="12"/>
      <c r="J43" s="61">
        <v>25070</v>
      </c>
      <c r="K43" s="71">
        <v>400</v>
      </c>
      <c r="L43" s="62"/>
      <c r="M43" s="75"/>
      <c r="N43" s="73"/>
      <c r="O43" s="15"/>
    </row>
    <row r="44" spans="1:15" x14ac:dyDescent="0.25">
      <c r="A44" s="16">
        <v>24914</v>
      </c>
      <c r="B44" s="49">
        <v>500</v>
      </c>
      <c r="C44" s="17"/>
      <c r="D44" s="13">
        <v>24991</v>
      </c>
      <c r="E44" s="70">
        <v>500</v>
      </c>
      <c r="F44" s="14"/>
      <c r="G44" s="11">
        <v>25029</v>
      </c>
      <c r="H44" s="67">
        <v>1000</v>
      </c>
      <c r="I44" s="12" t="s">
        <v>223</v>
      </c>
      <c r="J44" s="61">
        <v>25071</v>
      </c>
      <c r="K44" s="71">
        <v>500</v>
      </c>
      <c r="L44" s="62"/>
      <c r="M44" s="75"/>
      <c r="N44" s="73"/>
      <c r="O44" s="15"/>
    </row>
    <row r="45" spans="1:15" x14ac:dyDescent="0.25">
      <c r="A45" s="16">
        <v>24915</v>
      </c>
      <c r="B45" s="49">
        <v>500</v>
      </c>
      <c r="C45" s="17"/>
      <c r="D45" s="13">
        <v>24992</v>
      </c>
      <c r="E45" s="70">
        <v>300</v>
      </c>
      <c r="F45" s="14"/>
      <c r="G45" s="11"/>
      <c r="H45" s="67"/>
      <c r="I45" s="12" t="s">
        <v>64</v>
      </c>
      <c r="J45" s="61">
        <v>25072</v>
      </c>
      <c r="K45" s="71">
        <v>500</v>
      </c>
      <c r="L45" s="62"/>
      <c r="M45" s="75"/>
      <c r="N45" s="73"/>
      <c r="O45" s="15"/>
    </row>
    <row r="46" spans="1:15" x14ac:dyDescent="0.25">
      <c r="A46" s="16">
        <v>24916</v>
      </c>
      <c r="B46" s="49">
        <v>600</v>
      </c>
      <c r="C46" s="17" t="s">
        <v>196</v>
      </c>
      <c r="D46" s="13">
        <v>24993</v>
      </c>
      <c r="E46" s="70">
        <v>500</v>
      </c>
      <c r="F46" s="14"/>
      <c r="G46" s="11">
        <v>25030</v>
      </c>
      <c r="H46" s="67">
        <v>300</v>
      </c>
      <c r="I46" s="12"/>
      <c r="J46" s="61">
        <v>25073</v>
      </c>
      <c r="K46" s="71">
        <v>500</v>
      </c>
      <c r="L46" s="62" t="s">
        <v>223</v>
      </c>
      <c r="M46" s="75"/>
      <c r="N46" s="73"/>
      <c r="O46" s="15"/>
    </row>
    <row r="47" spans="1:15" x14ac:dyDescent="0.25">
      <c r="A47" s="16"/>
      <c r="B47" s="49"/>
      <c r="C47" s="17" t="s">
        <v>18</v>
      </c>
      <c r="D47" s="13">
        <v>24994</v>
      </c>
      <c r="E47" s="70">
        <v>500</v>
      </c>
      <c r="F47" s="14" t="s">
        <v>180</v>
      </c>
      <c r="G47" s="11">
        <v>25031</v>
      </c>
      <c r="H47" s="67">
        <v>500</v>
      </c>
      <c r="I47" s="12"/>
      <c r="J47" s="61"/>
      <c r="K47" s="71"/>
      <c r="L47" s="62" t="s">
        <v>16</v>
      </c>
      <c r="M47" s="75"/>
      <c r="N47" s="73"/>
      <c r="O47" s="15"/>
    </row>
    <row r="48" spans="1:15" x14ac:dyDescent="0.25">
      <c r="A48" s="16">
        <v>24917</v>
      </c>
      <c r="B48" s="49">
        <v>650</v>
      </c>
      <c r="C48" s="17" t="s">
        <v>235</v>
      </c>
      <c r="D48" s="13">
        <v>24995</v>
      </c>
      <c r="E48" s="70">
        <v>250</v>
      </c>
      <c r="F48" s="14"/>
      <c r="G48" s="11">
        <v>25032</v>
      </c>
      <c r="H48" s="67">
        <v>1500</v>
      </c>
      <c r="I48" s="12" t="s">
        <v>251</v>
      </c>
      <c r="J48" s="61">
        <v>25074</v>
      </c>
      <c r="K48" s="71">
        <v>300</v>
      </c>
      <c r="L48" s="62"/>
      <c r="M48" s="75"/>
      <c r="N48" s="73"/>
      <c r="O48" s="15"/>
    </row>
    <row r="49" spans="1:15" x14ac:dyDescent="0.25">
      <c r="A49" s="16">
        <v>24918</v>
      </c>
      <c r="B49" s="49">
        <v>200</v>
      </c>
      <c r="C49" s="17"/>
      <c r="D49" s="13">
        <v>24996</v>
      </c>
      <c r="E49" s="70">
        <v>1000</v>
      </c>
      <c r="F49" s="14" t="s">
        <v>223</v>
      </c>
      <c r="G49" s="11"/>
      <c r="H49" s="67"/>
      <c r="I49" s="12" t="s">
        <v>64</v>
      </c>
      <c r="J49" s="61">
        <v>25075</v>
      </c>
      <c r="K49" s="71">
        <v>500</v>
      </c>
      <c r="L49" s="62"/>
      <c r="M49" s="75"/>
      <c r="N49" s="73"/>
      <c r="O49" s="15"/>
    </row>
    <row r="50" spans="1:15" x14ac:dyDescent="0.25">
      <c r="A50" s="16">
        <v>24919</v>
      </c>
      <c r="B50" s="49">
        <v>500</v>
      </c>
      <c r="C50" s="17"/>
      <c r="D50" s="13"/>
      <c r="E50" s="70"/>
      <c r="F50" s="14" t="s">
        <v>64</v>
      </c>
      <c r="G50" s="11">
        <v>25033</v>
      </c>
      <c r="H50" s="67">
        <v>400</v>
      </c>
      <c r="I50" s="12"/>
      <c r="J50" s="61">
        <v>25076</v>
      </c>
      <c r="K50" s="71">
        <v>1000</v>
      </c>
      <c r="L50" s="62" t="s">
        <v>196</v>
      </c>
      <c r="M50" s="75"/>
      <c r="N50" s="73"/>
      <c r="O50" s="15"/>
    </row>
    <row r="51" spans="1:15" x14ac:dyDescent="0.25">
      <c r="A51" s="16">
        <v>24920</v>
      </c>
      <c r="B51" s="49">
        <v>500</v>
      </c>
      <c r="C51" s="17" t="s">
        <v>180</v>
      </c>
      <c r="D51" s="13">
        <v>24997</v>
      </c>
      <c r="E51" s="70">
        <v>250</v>
      </c>
      <c r="F51" s="14" t="s">
        <v>180</v>
      </c>
      <c r="G51" s="11">
        <v>25034</v>
      </c>
      <c r="H51" s="67">
        <v>250</v>
      </c>
      <c r="I51" s="12"/>
      <c r="J51" s="61"/>
      <c r="K51" s="71"/>
      <c r="L51" s="62" t="s">
        <v>64</v>
      </c>
      <c r="M51" s="75"/>
      <c r="N51" s="73"/>
      <c r="O51" s="15"/>
    </row>
    <row r="52" spans="1:15" x14ac:dyDescent="0.25">
      <c r="A52" s="16">
        <v>24921</v>
      </c>
      <c r="B52" s="49">
        <v>500</v>
      </c>
      <c r="C52" s="17" t="s">
        <v>196</v>
      </c>
      <c r="D52" s="13">
        <v>24998</v>
      </c>
      <c r="E52" s="70"/>
      <c r="F52" s="14" t="s">
        <v>20</v>
      </c>
      <c r="G52" s="11">
        <v>25035</v>
      </c>
      <c r="H52" s="67">
        <v>1000</v>
      </c>
      <c r="I52" s="12" t="s">
        <v>258</v>
      </c>
      <c r="J52" s="61">
        <v>25077</v>
      </c>
      <c r="K52" s="71">
        <v>1800</v>
      </c>
      <c r="L52" s="62" t="s">
        <v>251</v>
      </c>
      <c r="M52" s="75"/>
      <c r="N52" s="73"/>
      <c r="O52" s="15"/>
    </row>
    <row r="53" spans="1:15" x14ac:dyDescent="0.25">
      <c r="A53" s="16"/>
      <c r="B53" s="49"/>
      <c r="C53" s="17" t="s">
        <v>16</v>
      </c>
      <c r="D53" s="13">
        <v>24999</v>
      </c>
      <c r="E53" s="70">
        <v>800</v>
      </c>
      <c r="F53" s="14" t="s">
        <v>249</v>
      </c>
      <c r="G53" s="11"/>
      <c r="H53" s="67"/>
      <c r="I53" s="12" t="s">
        <v>16</v>
      </c>
      <c r="J53" s="61"/>
      <c r="K53" s="71"/>
      <c r="L53" s="62" t="s">
        <v>64</v>
      </c>
      <c r="M53" s="75"/>
      <c r="N53" s="73"/>
      <c r="O53" s="15"/>
    </row>
    <row r="54" spans="1:15" x14ac:dyDescent="0.25">
      <c r="A54" s="16">
        <v>24922</v>
      </c>
      <c r="B54" s="49">
        <v>1000</v>
      </c>
      <c r="C54" s="17" t="s">
        <v>196</v>
      </c>
      <c r="D54" s="13">
        <v>25000</v>
      </c>
      <c r="E54" s="70">
        <v>1500</v>
      </c>
      <c r="F54" s="14" t="s">
        <v>248</v>
      </c>
      <c r="G54" s="11">
        <v>25036</v>
      </c>
      <c r="H54" s="67">
        <v>600</v>
      </c>
      <c r="I54" s="12" t="s">
        <v>196</v>
      </c>
      <c r="J54" s="61"/>
      <c r="K54" s="71"/>
      <c r="L54" s="62" t="s">
        <v>265</v>
      </c>
      <c r="M54" s="75"/>
      <c r="N54" s="73"/>
      <c r="O54" s="15"/>
    </row>
    <row r="55" spans="1:15" x14ac:dyDescent="0.25">
      <c r="A55" s="16"/>
      <c r="B55" s="49"/>
      <c r="C55" s="17" t="s">
        <v>64</v>
      </c>
      <c r="D55" s="13"/>
      <c r="E55" s="70"/>
      <c r="F55" s="14" t="s">
        <v>64</v>
      </c>
      <c r="G55" s="11"/>
      <c r="H55" s="67"/>
      <c r="I55" s="12" t="s">
        <v>18</v>
      </c>
      <c r="J55" s="61">
        <v>25078</v>
      </c>
      <c r="K55" s="71">
        <v>1500</v>
      </c>
      <c r="L55" s="62" t="s">
        <v>166</v>
      </c>
      <c r="M55" s="75"/>
      <c r="N55" s="73"/>
      <c r="O55" s="15"/>
    </row>
    <row r="56" spans="1:15" x14ac:dyDescent="0.25">
      <c r="A56" s="16">
        <v>24923</v>
      </c>
      <c r="B56" s="49">
        <v>400</v>
      </c>
      <c r="C56" s="17" t="s">
        <v>236</v>
      </c>
      <c r="D56" s="13"/>
      <c r="E56" s="70"/>
      <c r="F56" s="14"/>
      <c r="G56" s="11">
        <v>25037</v>
      </c>
      <c r="H56" s="67">
        <v>400</v>
      </c>
      <c r="I56" s="12"/>
      <c r="J56" s="61"/>
      <c r="K56" s="71"/>
      <c r="L56" s="62" t="s">
        <v>64</v>
      </c>
      <c r="M56" s="75"/>
      <c r="N56" s="73"/>
      <c r="O56" s="15"/>
    </row>
    <row r="57" spans="1:15" x14ac:dyDescent="0.25">
      <c r="A57" s="16">
        <v>24924</v>
      </c>
      <c r="B57" s="49">
        <v>1000</v>
      </c>
      <c r="C57" s="17" t="s">
        <v>196</v>
      </c>
      <c r="D57" s="13"/>
      <c r="E57" s="70"/>
      <c r="F57" s="14"/>
      <c r="G57" s="11">
        <v>25038</v>
      </c>
      <c r="H57" s="67">
        <v>400</v>
      </c>
      <c r="I57" s="12"/>
      <c r="J57" s="61"/>
      <c r="K57" s="71"/>
      <c r="L57" s="62"/>
      <c r="M57" s="75"/>
      <c r="N57" s="73"/>
      <c r="O57" s="15"/>
    </row>
    <row r="58" spans="1:15" x14ac:dyDescent="0.25">
      <c r="A58" s="16"/>
      <c r="B58" s="49"/>
      <c r="C58" s="17" t="s">
        <v>64</v>
      </c>
      <c r="D58" s="13"/>
      <c r="E58" s="70"/>
      <c r="F58" s="14"/>
      <c r="G58" s="11">
        <v>25039</v>
      </c>
      <c r="H58" s="67">
        <v>500</v>
      </c>
      <c r="I58" s="12" t="s">
        <v>196</v>
      </c>
      <c r="J58" s="61"/>
      <c r="K58" s="71"/>
      <c r="L58" s="62"/>
      <c r="M58" s="75"/>
      <c r="N58" s="73"/>
      <c r="O58" s="15"/>
    </row>
    <row r="59" spans="1:15" x14ac:dyDescent="0.25">
      <c r="A59" s="16">
        <v>24925</v>
      </c>
      <c r="B59" s="49">
        <v>250</v>
      </c>
      <c r="C59" s="17"/>
      <c r="D59" s="13"/>
      <c r="E59" s="70"/>
      <c r="F59" s="14"/>
      <c r="G59" s="11"/>
      <c r="H59" s="67"/>
      <c r="I59" s="12" t="s">
        <v>16</v>
      </c>
      <c r="J59" s="61"/>
      <c r="K59" s="71"/>
      <c r="L59" s="62"/>
      <c r="M59" s="75"/>
      <c r="N59" s="73"/>
      <c r="O59" s="15"/>
    </row>
    <row r="60" spans="1:15" x14ac:dyDescent="0.25">
      <c r="A60" s="16">
        <v>24926</v>
      </c>
      <c r="B60" s="49">
        <v>600</v>
      </c>
      <c r="C60" s="17"/>
      <c r="D60" s="13"/>
      <c r="E60" s="70"/>
      <c r="F60" s="14"/>
      <c r="G60" s="11">
        <v>25040</v>
      </c>
      <c r="H60" s="67">
        <v>500</v>
      </c>
      <c r="I60" s="12" t="s">
        <v>214</v>
      </c>
      <c r="J60" s="61"/>
      <c r="K60" s="71"/>
      <c r="L60" s="62"/>
      <c r="M60" s="75"/>
      <c r="N60" s="73"/>
      <c r="O60" s="15"/>
    </row>
    <row r="61" spans="1:15" x14ac:dyDescent="0.25">
      <c r="A61" s="16">
        <v>24927</v>
      </c>
      <c r="B61" s="49">
        <v>400</v>
      </c>
      <c r="C61" s="17"/>
      <c r="D61" s="13"/>
      <c r="E61" s="70"/>
      <c r="F61" s="14"/>
      <c r="G61" s="11">
        <v>25041</v>
      </c>
      <c r="H61" s="67">
        <v>500</v>
      </c>
      <c r="I61" s="12"/>
      <c r="J61" s="61"/>
      <c r="K61" s="71"/>
      <c r="L61" s="62"/>
      <c r="M61" s="75"/>
      <c r="N61" s="73"/>
      <c r="O61" s="15"/>
    </row>
    <row r="62" spans="1:15" x14ac:dyDescent="0.25">
      <c r="A62" s="16">
        <v>24928</v>
      </c>
      <c r="B62" s="49">
        <v>1000</v>
      </c>
      <c r="C62" s="17" t="s">
        <v>223</v>
      </c>
      <c r="D62" s="13"/>
      <c r="E62" s="70"/>
      <c r="F62" s="14"/>
      <c r="G62" s="11">
        <v>25042</v>
      </c>
      <c r="H62" s="67">
        <v>500</v>
      </c>
      <c r="I62" s="12" t="s">
        <v>180</v>
      </c>
      <c r="J62" s="61"/>
      <c r="K62" s="71"/>
      <c r="L62" s="62"/>
      <c r="M62" s="75"/>
      <c r="N62" s="73"/>
      <c r="O62" s="15"/>
    </row>
    <row r="63" spans="1:15" x14ac:dyDescent="0.25">
      <c r="A63" s="16"/>
      <c r="B63" s="49"/>
      <c r="C63" s="17" t="s">
        <v>64</v>
      </c>
      <c r="D63" s="13"/>
      <c r="E63" s="70"/>
      <c r="F63" s="14"/>
      <c r="G63" s="11">
        <v>25043</v>
      </c>
      <c r="H63" s="67">
        <v>500</v>
      </c>
      <c r="I63" s="12"/>
      <c r="J63" s="61"/>
      <c r="K63" s="71"/>
      <c r="L63" s="62"/>
      <c r="M63" s="75"/>
      <c r="N63" s="73"/>
      <c r="O63" s="15"/>
    </row>
    <row r="64" spans="1:15" x14ac:dyDescent="0.25">
      <c r="A64" s="16">
        <v>24929</v>
      </c>
      <c r="B64" s="49">
        <v>1000</v>
      </c>
      <c r="C64" s="17" t="s">
        <v>196</v>
      </c>
      <c r="D64" s="13"/>
      <c r="E64" s="70"/>
      <c r="F64" s="14"/>
      <c r="G64" s="11"/>
      <c r="H64" s="67"/>
      <c r="I64" s="12"/>
      <c r="J64" s="61"/>
      <c r="K64" s="71"/>
      <c r="L64" s="62"/>
      <c r="M64" s="75"/>
      <c r="N64" s="73"/>
      <c r="O64" s="15"/>
    </row>
    <row r="65" spans="1:15" x14ac:dyDescent="0.25">
      <c r="A65" s="16"/>
      <c r="B65" s="49"/>
      <c r="C65" s="17" t="s">
        <v>64</v>
      </c>
      <c r="D65" s="13"/>
      <c r="E65" s="70"/>
      <c r="F65" s="14"/>
      <c r="G65" s="11"/>
      <c r="H65" s="67"/>
      <c r="I65" s="12"/>
      <c r="J65" s="61"/>
      <c r="K65" s="71"/>
      <c r="L65" s="62"/>
      <c r="M65" s="75"/>
      <c r="N65" s="73"/>
      <c r="O65" s="15"/>
    </row>
    <row r="66" spans="1:15" x14ac:dyDescent="0.25">
      <c r="A66" s="16">
        <v>24930</v>
      </c>
      <c r="B66" s="49">
        <v>500</v>
      </c>
      <c r="C66" s="17"/>
      <c r="D66" s="13"/>
      <c r="E66" s="70"/>
      <c r="F66" s="14"/>
      <c r="G66" s="11"/>
      <c r="H66" s="67"/>
      <c r="I66" s="12"/>
      <c r="J66" s="61"/>
      <c r="K66" s="71"/>
      <c r="L66" s="62"/>
      <c r="M66" s="75"/>
      <c r="N66" s="73"/>
      <c r="O66" s="15"/>
    </row>
    <row r="67" spans="1:15" x14ac:dyDescent="0.25">
      <c r="A67" s="16">
        <v>24931</v>
      </c>
      <c r="B67" s="49">
        <v>500</v>
      </c>
      <c r="C67" s="17" t="s">
        <v>180</v>
      </c>
      <c r="D67" s="13"/>
      <c r="E67" s="70"/>
      <c r="F67" s="14"/>
      <c r="G67" s="11"/>
      <c r="H67" s="67"/>
      <c r="I67" s="12"/>
      <c r="J67" s="61"/>
      <c r="K67" s="71"/>
      <c r="L67" s="62"/>
      <c r="M67" s="75"/>
      <c r="N67" s="73"/>
      <c r="O67" s="15"/>
    </row>
    <row r="68" spans="1:15" x14ac:dyDescent="0.25">
      <c r="A68" s="16">
        <v>24932</v>
      </c>
      <c r="B68" s="49">
        <v>450</v>
      </c>
      <c r="C68" s="17"/>
      <c r="D68" s="13"/>
      <c r="E68" s="70"/>
      <c r="F68" s="14"/>
      <c r="G68" s="11"/>
      <c r="H68" s="67"/>
      <c r="I68" s="12"/>
      <c r="J68" s="61"/>
      <c r="K68" s="71"/>
      <c r="L68" s="62"/>
      <c r="M68" s="75"/>
      <c r="N68" s="73"/>
      <c r="O68" s="15"/>
    </row>
    <row r="69" spans="1:15" x14ac:dyDescent="0.25">
      <c r="A69" s="16">
        <v>24933</v>
      </c>
      <c r="B69" s="49">
        <v>400</v>
      </c>
      <c r="C69" s="17"/>
      <c r="D69" s="13"/>
      <c r="E69" s="70"/>
      <c r="F69" s="14"/>
      <c r="G69" s="11"/>
      <c r="H69" s="67"/>
      <c r="I69" s="12"/>
      <c r="J69" s="61"/>
      <c r="K69" s="71"/>
      <c r="L69" s="62"/>
      <c r="M69" s="75"/>
      <c r="N69" s="73"/>
      <c r="O69" s="15"/>
    </row>
    <row r="70" spans="1:15" x14ac:dyDescent="0.25">
      <c r="A70" s="16">
        <v>24934</v>
      </c>
      <c r="B70" s="49">
        <v>500</v>
      </c>
      <c r="C70" s="17"/>
      <c r="D70" s="13"/>
      <c r="E70" s="70"/>
      <c r="F70" s="14"/>
      <c r="G70" s="11"/>
      <c r="H70" s="67"/>
      <c r="I70" s="12"/>
      <c r="J70" s="61"/>
      <c r="K70" s="71"/>
      <c r="L70" s="62"/>
      <c r="M70" s="75"/>
      <c r="N70" s="73"/>
      <c r="O70" s="15"/>
    </row>
    <row r="71" spans="1:15" x14ac:dyDescent="0.25">
      <c r="A71" s="16">
        <v>24935</v>
      </c>
      <c r="B71" s="49">
        <v>2000</v>
      </c>
      <c r="C71" s="17" t="s">
        <v>237</v>
      </c>
      <c r="D71" s="13"/>
      <c r="E71" s="70"/>
      <c r="F71" s="14"/>
      <c r="G71" s="11"/>
      <c r="H71" s="67"/>
      <c r="I71" s="12"/>
      <c r="J71" s="61"/>
      <c r="K71" s="71"/>
      <c r="L71" s="62"/>
      <c r="M71" s="75"/>
      <c r="N71" s="73"/>
      <c r="O71" s="15"/>
    </row>
    <row r="72" spans="1:15" x14ac:dyDescent="0.25">
      <c r="A72" s="16"/>
      <c r="B72" s="49"/>
      <c r="C72" s="17" t="s">
        <v>64</v>
      </c>
      <c r="D72" s="13"/>
      <c r="E72" s="70"/>
      <c r="F72" s="14"/>
      <c r="G72" s="11"/>
      <c r="H72" s="67"/>
      <c r="I72" s="12"/>
      <c r="J72" s="61"/>
      <c r="K72" s="71"/>
      <c r="L72" s="62"/>
      <c r="M72" s="75"/>
      <c r="N72" s="73"/>
      <c r="O72" s="15"/>
    </row>
    <row r="73" spans="1:15" x14ac:dyDescent="0.25">
      <c r="A73" s="16">
        <v>24936</v>
      </c>
      <c r="B73" s="49">
        <v>500</v>
      </c>
      <c r="C73" s="17"/>
      <c r="D73" s="13"/>
      <c r="E73" s="70"/>
      <c r="F73" s="14"/>
      <c r="G73" s="11"/>
      <c r="H73" s="67"/>
      <c r="I73" s="12"/>
      <c r="J73" s="61"/>
      <c r="K73" s="71"/>
      <c r="L73" s="62"/>
      <c r="M73" s="75"/>
      <c r="N73" s="73"/>
      <c r="O73" s="15"/>
    </row>
    <row r="74" spans="1:15" x14ac:dyDescent="0.25">
      <c r="A74" s="16">
        <v>24937</v>
      </c>
      <c r="B74" s="49">
        <v>1000</v>
      </c>
      <c r="C74" s="17" t="s">
        <v>238</v>
      </c>
      <c r="D74" s="13"/>
      <c r="E74" s="70"/>
      <c r="F74" s="14"/>
      <c r="G74" s="11"/>
      <c r="H74" s="67"/>
      <c r="I74" s="12"/>
      <c r="J74" s="61"/>
      <c r="K74" s="71"/>
      <c r="L74" s="62"/>
      <c r="M74" s="75"/>
      <c r="N74" s="73"/>
      <c r="O74" s="15"/>
    </row>
    <row r="75" spans="1:15" x14ac:dyDescent="0.25">
      <c r="A75" s="16"/>
      <c r="B75" s="49"/>
      <c r="C75" s="17" t="s">
        <v>64</v>
      </c>
      <c r="D75" s="13"/>
      <c r="E75" s="70"/>
      <c r="F75" s="14"/>
      <c r="G75" s="11"/>
      <c r="H75" s="67"/>
      <c r="I75" s="12"/>
      <c r="J75" s="61"/>
      <c r="K75" s="71"/>
      <c r="L75" s="62"/>
      <c r="M75" s="75"/>
      <c r="N75" s="73"/>
      <c r="O75" s="15"/>
    </row>
    <row r="76" spans="1:15" x14ac:dyDescent="0.25">
      <c r="A76" s="16">
        <v>24938</v>
      </c>
      <c r="B76" s="49">
        <v>500</v>
      </c>
      <c r="C76" s="17" t="s">
        <v>180</v>
      </c>
      <c r="D76" s="13"/>
      <c r="E76" s="70"/>
      <c r="F76" s="14"/>
      <c r="G76" s="11"/>
      <c r="H76" s="67"/>
      <c r="I76" s="12"/>
      <c r="J76" s="61"/>
      <c r="K76" s="71"/>
      <c r="L76" s="62"/>
      <c r="M76" s="75"/>
      <c r="N76" s="73"/>
      <c r="O76" s="15"/>
    </row>
    <row r="77" spans="1:15" x14ac:dyDescent="0.25">
      <c r="A77" s="16">
        <v>24939</v>
      </c>
      <c r="B77" s="49">
        <v>500</v>
      </c>
      <c r="C77" s="17" t="s">
        <v>180</v>
      </c>
      <c r="D77" s="13"/>
      <c r="E77" s="70"/>
      <c r="F77" s="14"/>
      <c r="G77" s="11"/>
      <c r="H77" s="67"/>
      <c r="I77" s="12"/>
      <c r="J77" s="61"/>
      <c r="K77" s="71"/>
      <c r="L77" s="62"/>
      <c r="M77" s="75"/>
      <c r="N77" s="73"/>
      <c r="O77" s="15"/>
    </row>
    <row r="78" spans="1:15" x14ac:dyDescent="0.25">
      <c r="A78" s="16">
        <v>24940</v>
      </c>
      <c r="B78" s="49">
        <v>800</v>
      </c>
      <c r="C78" s="17" t="s">
        <v>196</v>
      </c>
      <c r="D78" s="13"/>
      <c r="E78" s="70"/>
      <c r="F78" s="14"/>
      <c r="G78" s="11"/>
      <c r="H78" s="67"/>
      <c r="I78" s="12"/>
      <c r="J78" s="61"/>
      <c r="K78" s="71"/>
      <c r="L78" s="62"/>
      <c r="M78" s="75"/>
      <c r="N78" s="73"/>
      <c r="O78" s="15"/>
    </row>
    <row r="79" spans="1:15" x14ac:dyDescent="0.25">
      <c r="A79" s="16"/>
      <c r="B79" s="49"/>
      <c r="C79" s="17" t="s">
        <v>17</v>
      </c>
      <c r="D79" s="13"/>
      <c r="E79" s="70"/>
      <c r="F79" s="14"/>
      <c r="G79" s="11"/>
      <c r="H79" s="67"/>
      <c r="I79" s="12"/>
      <c r="J79" s="61"/>
      <c r="K79" s="71"/>
      <c r="L79" s="62"/>
      <c r="M79" s="75"/>
      <c r="N79" s="73"/>
      <c r="O79" s="15"/>
    </row>
    <row r="80" spans="1:15" x14ac:dyDescent="0.25">
      <c r="A80" s="16">
        <v>24941</v>
      </c>
      <c r="B80" s="49">
        <v>700</v>
      </c>
      <c r="C80" s="17" t="s">
        <v>223</v>
      </c>
      <c r="D80" s="13"/>
      <c r="E80" s="70"/>
      <c r="F80" s="14"/>
      <c r="G80" s="11"/>
      <c r="H80" s="67"/>
      <c r="I80" s="12"/>
      <c r="J80" s="61"/>
      <c r="K80" s="71"/>
      <c r="L80" s="62"/>
      <c r="M80" s="75"/>
      <c r="N80" s="73"/>
      <c r="O80" s="15"/>
    </row>
    <row r="81" spans="1:15" x14ac:dyDescent="0.25">
      <c r="A81" s="16"/>
      <c r="B81" s="49"/>
      <c r="C81" s="17" t="s">
        <v>21</v>
      </c>
      <c r="D81" s="13"/>
      <c r="E81" s="70"/>
      <c r="F81" s="14"/>
      <c r="G81" s="11"/>
      <c r="H81" s="67"/>
      <c r="I81" s="12"/>
      <c r="J81" s="61"/>
      <c r="K81" s="71"/>
      <c r="L81" s="62"/>
      <c r="M81" s="75"/>
      <c r="N81" s="73"/>
      <c r="O81" s="15"/>
    </row>
    <row r="82" spans="1:15" x14ac:dyDescent="0.25">
      <c r="A82" s="16">
        <v>24942</v>
      </c>
      <c r="B82" s="49">
        <v>200</v>
      </c>
      <c r="C82" s="17"/>
      <c r="D82" s="13"/>
      <c r="E82" s="70"/>
      <c r="F82" s="14"/>
      <c r="G82" s="11"/>
      <c r="H82" s="67"/>
      <c r="I82" s="12"/>
      <c r="J82" s="61"/>
      <c r="K82" s="71"/>
      <c r="L82" s="62"/>
      <c r="M82" s="75"/>
      <c r="N82" s="73"/>
      <c r="O82" s="15"/>
    </row>
    <row r="83" spans="1:15" x14ac:dyDescent="0.25">
      <c r="A83" s="16">
        <v>24943</v>
      </c>
      <c r="B83" s="49">
        <v>300</v>
      </c>
      <c r="C83" s="17"/>
      <c r="D83" s="13"/>
      <c r="E83" s="70"/>
      <c r="F83" s="14"/>
      <c r="G83" s="11"/>
      <c r="H83" s="67"/>
      <c r="I83" s="12"/>
      <c r="J83" s="61"/>
      <c r="K83" s="71"/>
      <c r="L83" s="62"/>
      <c r="M83" s="75"/>
      <c r="N83" s="73"/>
      <c r="O83" s="15"/>
    </row>
    <row r="84" spans="1:15" x14ac:dyDescent="0.25">
      <c r="A84" s="16">
        <v>24944</v>
      </c>
      <c r="B84" s="49">
        <v>500</v>
      </c>
      <c r="C84" s="17" t="s">
        <v>180</v>
      </c>
      <c r="D84" s="13"/>
      <c r="E84" s="70"/>
      <c r="F84" s="14"/>
      <c r="G84" s="11"/>
      <c r="H84" s="67"/>
      <c r="I84" s="12"/>
      <c r="J84" s="61"/>
      <c r="K84" s="71"/>
      <c r="L84" s="62"/>
      <c r="M84" s="75"/>
      <c r="N84" s="73"/>
      <c r="O84" s="15"/>
    </row>
    <row r="85" spans="1:15" x14ac:dyDescent="0.25">
      <c r="A85" s="16">
        <v>24945</v>
      </c>
      <c r="B85" s="49">
        <v>500</v>
      </c>
      <c r="C85" s="17" t="s">
        <v>180</v>
      </c>
      <c r="D85" s="13"/>
      <c r="E85" s="70"/>
      <c r="F85" s="14"/>
      <c r="G85" s="11"/>
      <c r="H85" s="67"/>
      <c r="I85" s="12"/>
      <c r="J85" s="61"/>
      <c r="K85" s="71"/>
      <c r="L85" s="62"/>
      <c r="M85" s="75"/>
      <c r="N85" s="73"/>
      <c r="O85" s="15"/>
    </row>
    <row r="86" spans="1:15" x14ac:dyDescent="0.25">
      <c r="A86" s="16">
        <v>24946</v>
      </c>
      <c r="B86" s="49">
        <v>500</v>
      </c>
      <c r="C86" s="17"/>
      <c r="D86" s="13"/>
      <c r="E86" s="70"/>
      <c r="F86" s="14"/>
      <c r="G86" s="11"/>
      <c r="H86" s="67"/>
      <c r="I86" s="12"/>
      <c r="J86" s="61"/>
      <c r="K86" s="71"/>
      <c r="L86" s="62"/>
      <c r="M86" s="75"/>
      <c r="N86" s="73"/>
      <c r="O86" s="15"/>
    </row>
    <row r="87" spans="1:15" x14ac:dyDescent="0.25">
      <c r="A87" s="16">
        <v>24947</v>
      </c>
      <c r="B87" s="49">
        <v>550</v>
      </c>
      <c r="C87" s="17" t="s">
        <v>159</v>
      </c>
      <c r="D87" s="13"/>
      <c r="E87" s="70"/>
      <c r="F87" s="14"/>
      <c r="G87" s="11"/>
      <c r="H87" s="67"/>
      <c r="I87" s="12"/>
      <c r="J87" s="61"/>
      <c r="K87" s="71"/>
      <c r="L87" s="62"/>
      <c r="M87" s="75"/>
      <c r="N87" s="73"/>
      <c r="O87" s="15"/>
    </row>
    <row r="88" spans="1:15" x14ac:dyDescent="0.25">
      <c r="A88" s="16"/>
      <c r="B88" s="49"/>
      <c r="C88" s="17" t="s">
        <v>239</v>
      </c>
      <c r="D88" s="13"/>
      <c r="E88" s="70"/>
      <c r="F88" s="14"/>
      <c r="G88" s="11"/>
      <c r="H88" s="67"/>
      <c r="I88" s="12"/>
      <c r="J88" s="61"/>
      <c r="K88" s="71"/>
      <c r="L88" s="62"/>
      <c r="M88" s="75"/>
      <c r="N88" s="73"/>
      <c r="O88" s="15"/>
    </row>
    <row r="89" spans="1:15" x14ac:dyDescent="0.25">
      <c r="A89" s="16">
        <v>24948</v>
      </c>
      <c r="B89" s="49">
        <v>1200</v>
      </c>
      <c r="C89" s="17" t="s">
        <v>84</v>
      </c>
      <c r="D89" s="13"/>
      <c r="E89" s="70"/>
      <c r="F89" s="14"/>
      <c r="G89" s="11"/>
      <c r="H89" s="67"/>
      <c r="I89" s="12"/>
      <c r="J89" s="61"/>
      <c r="K89" s="71"/>
      <c r="L89" s="62"/>
      <c r="M89" s="75"/>
      <c r="N89" s="73"/>
      <c r="O89" s="15"/>
    </row>
    <row r="90" spans="1:15" x14ac:dyDescent="0.25">
      <c r="A90" s="16"/>
      <c r="B90" s="49"/>
      <c r="C90" s="17" t="s">
        <v>240</v>
      </c>
      <c r="D90" s="13"/>
      <c r="E90" s="70"/>
      <c r="F90" s="14"/>
      <c r="G90" s="11"/>
      <c r="H90" s="67"/>
      <c r="I90" s="12"/>
      <c r="J90" s="61"/>
      <c r="K90" s="71"/>
      <c r="L90" s="62"/>
      <c r="M90" s="75"/>
      <c r="N90" s="73"/>
      <c r="O90" s="15"/>
    </row>
    <row r="91" spans="1:15" x14ac:dyDescent="0.25">
      <c r="A91" s="16">
        <v>24949</v>
      </c>
      <c r="B91" s="49">
        <v>500</v>
      </c>
      <c r="C91" s="17" t="s">
        <v>241</v>
      </c>
      <c r="D91" s="13"/>
      <c r="E91" s="70"/>
      <c r="F91" s="14"/>
      <c r="G91" s="11"/>
      <c r="H91" s="67"/>
      <c r="I91" s="12"/>
      <c r="J91" s="61"/>
      <c r="K91" s="71"/>
      <c r="L91" s="62"/>
      <c r="M91" s="75"/>
      <c r="N91" s="73"/>
      <c r="O91" s="15"/>
    </row>
    <row r="92" spans="1:15" x14ac:dyDescent="0.25">
      <c r="A92" s="16">
        <v>24950</v>
      </c>
      <c r="B92" s="49">
        <v>350</v>
      </c>
      <c r="C92" s="17" t="s">
        <v>118</v>
      </c>
      <c r="D92" s="13"/>
      <c r="E92" s="70"/>
      <c r="F92" s="14"/>
      <c r="G92" s="11"/>
      <c r="H92" s="67"/>
      <c r="I92" s="12"/>
      <c r="J92" s="61"/>
      <c r="K92" s="71"/>
      <c r="L92" s="62"/>
      <c r="M92" s="75"/>
      <c r="N92" s="73"/>
      <c r="O92" s="15"/>
    </row>
    <row r="93" spans="1:15" x14ac:dyDescent="0.25">
      <c r="A93" s="16">
        <v>24951</v>
      </c>
      <c r="B93" s="49">
        <v>600</v>
      </c>
      <c r="C93" s="17" t="s">
        <v>196</v>
      </c>
      <c r="D93" s="13"/>
      <c r="E93" s="70"/>
      <c r="F93" s="14"/>
      <c r="G93" s="11"/>
      <c r="H93" s="67"/>
      <c r="I93" s="12"/>
      <c r="J93" s="61"/>
      <c r="K93" s="71"/>
      <c r="L93" s="62"/>
      <c r="M93" s="75"/>
      <c r="N93" s="73"/>
      <c r="O93" s="15"/>
    </row>
    <row r="94" spans="1:15" x14ac:dyDescent="0.25">
      <c r="A94" s="16"/>
      <c r="B94" s="49"/>
      <c r="C94" s="17" t="s">
        <v>18</v>
      </c>
      <c r="D94" s="13"/>
      <c r="E94" s="70"/>
      <c r="F94" s="14"/>
      <c r="G94" s="11"/>
      <c r="H94" s="67"/>
      <c r="I94" s="12"/>
      <c r="J94" s="61"/>
      <c r="K94" s="71"/>
      <c r="L94" s="62"/>
      <c r="M94" s="75"/>
      <c r="N94" s="73"/>
      <c r="O94" s="15"/>
    </row>
    <row r="95" spans="1:15" x14ac:dyDescent="0.25">
      <c r="A95" s="16">
        <v>24952</v>
      </c>
      <c r="B95" s="49">
        <v>1200</v>
      </c>
      <c r="C95" s="17" t="s">
        <v>202</v>
      </c>
      <c r="D95" s="13"/>
      <c r="E95" s="70"/>
      <c r="F95" s="14"/>
      <c r="G95" s="11"/>
      <c r="H95" s="67"/>
      <c r="I95" s="12"/>
      <c r="J95" s="61"/>
      <c r="K95" s="71"/>
      <c r="L95" s="62"/>
      <c r="M95" s="75"/>
      <c r="N95" s="73"/>
      <c r="O95" s="15"/>
    </row>
    <row r="96" spans="1:15" x14ac:dyDescent="0.25">
      <c r="A96" s="16"/>
      <c r="B96" s="49"/>
      <c r="C96" s="17" t="s">
        <v>18</v>
      </c>
      <c r="D96" s="13"/>
      <c r="E96" s="70"/>
      <c r="F96" s="14"/>
      <c r="G96" s="11"/>
      <c r="H96" s="67"/>
      <c r="I96" s="12"/>
      <c r="J96" s="61"/>
      <c r="K96" s="71"/>
      <c r="L96" s="62"/>
      <c r="M96" s="75"/>
      <c r="N96" s="73"/>
      <c r="O96" s="15"/>
    </row>
    <row r="97" spans="1:25" x14ac:dyDescent="0.25">
      <c r="A97" s="16">
        <v>24953</v>
      </c>
      <c r="B97" s="49">
        <v>500</v>
      </c>
      <c r="C97" s="17"/>
      <c r="D97" s="13"/>
      <c r="E97" s="70"/>
      <c r="F97" s="14"/>
      <c r="G97" s="11"/>
      <c r="H97" s="67"/>
      <c r="I97" s="12"/>
      <c r="J97" s="61"/>
      <c r="K97" s="71"/>
      <c r="L97" s="62"/>
      <c r="M97" s="75"/>
      <c r="N97" s="73"/>
      <c r="O97" s="15"/>
    </row>
    <row r="98" spans="1:25" x14ac:dyDescent="0.25">
      <c r="A98" s="16">
        <v>24954</v>
      </c>
      <c r="B98" s="49">
        <v>1500</v>
      </c>
      <c r="C98" s="17" t="s">
        <v>30</v>
      </c>
      <c r="D98" s="13"/>
      <c r="E98" s="70"/>
      <c r="F98" s="14"/>
      <c r="G98" s="11"/>
      <c r="H98" s="67"/>
      <c r="I98" s="12"/>
      <c r="J98" s="61"/>
      <c r="K98" s="71"/>
      <c r="L98" s="62"/>
      <c r="M98" s="75"/>
      <c r="N98" s="73"/>
      <c r="O98" s="15"/>
    </row>
    <row r="99" spans="1:25" x14ac:dyDescent="0.25">
      <c r="A99" s="16"/>
      <c r="B99" s="49"/>
      <c r="C99" s="17" t="s">
        <v>64</v>
      </c>
      <c r="D99" s="13"/>
      <c r="E99" s="70"/>
      <c r="F99" s="14"/>
      <c r="G99" s="11"/>
      <c r="H99" s="67"/>
      <c r="I99" s="12"/>
      <c r="J99" s="61"/>
      <c r="K99" s="71"/>
      <c r="L99" s="62"/>
      <c r="M99" s="75"/>
      <c r="N99" s="73"/>
      <c r="O99" s="15"/>
    </row>
    <row r="100" spans="1:25" x14ac:dyDescent="0.25">
      <c r="A100" s="16">
        <v>24955</v>
      </c>
      <c r="B100" s="49">
        <v>500</v>
      </c>
      <c r="C100" s="17"/>
      <c r="D100" s="13"/>
      <c r="E100" s="70"/>
      <c r="F100" s="14"/>
      <c r="G100" s="11"/>
      <c r="H100" s="67"/>
      <c r="I100" s="12"/>
      <c r="J100" s="61"/>
      <c r="K100" s="71"/>
      <c r="L100" s="62"/>
      <c r="M100" s="75"/>
      <c r="N100" s="73"/>
      <c r="O100" s="15"/>
    </row>
    <row r="101" spans="1:25" x14ac:dyDescent="0.25">
      <c r="A101" s="16">
        <v>24956</v>
      </c>
      <c r="B101" s="49">
        <v>500</v>
      </c>
      <c r="C101" s="17" t="s">
        <v>180</v>
      </c>
      <c r="D101" s="13"/>
      <c r="E101" s="70"/>
      <c r="F101" s="14"/>
      <c r="G101" s="11"/>
      <c r="H101" s="67"/>
      <c r="I101" s="12"/>
      <c r="J101" s="61"/>
      <c r="K101" s="71"/>
      <c r="L101" s="62"/>
      <c r="M101" s="75"/>
      <c r="N101" s="73"/>
      <c r="O101" s="15"/>
    </row>
    <row r="102" spans="1:25" x14ac:dyDescent="0.25">
      <c r="A102" s="16">
        <v>24957</v>
      </c>
      <c r="B102" s="49">
        <v>400</v>
      </c>
      <c r="C102" s="17" t="s">
        <v>180</v>
      </c>
      <c r="D102" s="13"/>
      <c r="E102" s="70"/>
      <c r="F102" s="14"/>
      <c r="G102" s="11"/>
      <c r="H102" s="67"/>
      <c r="I102" s="12"/>
      <c r="J102" s="61"/>
      <c r="K102" s="71"/>
      <c r="L102" s="62"/>
      <c r="M102" s="75"/>
      <c r="N102" s="73"/>
      <c r="O102" s="15"/>
    </row>
    <row r="103" spans="1:25" x14ac:dyDescent="0.25">
      <c r="A103" s="16">
        <v>24958</v>
      </c>
      <c r="B103" s="49">
        <v>500</v>
      </c>
      <c r="C103" s="17" t="s">
        <v>180</v>
      </c>
      <c r="D103" s="13"/>
      <c r="E103" s="70"/>
      <c r="F103" s="14"/>
      <c r="G103" s="11"/>
      <c r="H103" s="67"/>
      <c r="I103" s="12"/>
      <c r="J103" s="61"/>
      <c r="K103" s="71"/>
      <c r="L103" s="62"/>
      <c r="M103" s="75"/>
      <c r="N103" s="73"/>
      <c r="O103" s="15"/>
    </row>
    <row r="104" spans="1:25" x14ac:dyDescent="0.25">
      <c r="A104" s="16"/>
      <c r="B104" s="49"/>
      <c r="C104" s="17"/>
      <c r="D104" s="13"/>
      <c r="E104" s="70"/>
      <c r="F104" s="14"/>
      <c r="G104" s="11"/>
      <c r="H104" s="67"/>
      <c r="I104" s="12"/>
      <c r="J104" s="61"/>
      <c r="K104" s="71"/>
      <c r="L104" s="62"/>
      <c r="M104" s="75"/>
      <c r="N104" s="73"/>
      <c r="O104" s="15"/>
    </row>
    <row r="105" spans="1:25" x14ac:dyDescent="0.25">
      <c r="A105" s="16"/>
      <c r="B105" s="49"/>
      <c r="C105" s="17"/>
      <c r="D105" s="13"/>
      <c r="E105" s="70"/>
      <c r="F105" s="14"/>
      <c r="G105" s="11"/>
      <c r="H105" s="67"/>
      <c r="I105" s="12"/>
      <c r="J105" s="61"/>
      <c r="K105" s="71"/>
      <c r="L105" s="62"/>
      <c r="M105" s="75"/>
      <c r="N105" s="73"/>
      <c r="O105" s="15"/>
    </row>
    <row r="106" spans="1:25" x14ac:dyDescent="0.25">
      <c r="A106" s="16"/>
      <c r="B106" s="49"/>
      <c r="C106" s="17"/>
      <c r="D106" s="13"/>
      <c r="E106" s="70"/>
      <c r="F106" s="14"/>
      <c r="G106" s="11"/>
      <c r="H106" s="67"/>
      <c r="I106" s="12"/>
      <c r="J106" s="61"/>
      <c r="K106" s="71"/>
      <c r="L106" s="62"/>
      <c r="M106" s="75"/>
      <c r="N106" s="73"/>
      <c r="O106" s="15"/>
    </row>
    <row r="107" spans="1:25" x14ac:dyDescent="0.25">
      <c r="A107" s="16"/>
      <c r="B107" s="49"/>
      <c r="C107" s="17"/>
      <c r="D107" s="13"/>
      <c r="E107" s="70"/>
      <c r="F107" s="14"/>
      <c r="G107" s="11"/>
      <c r="H107" s="67"/>
      <c r="I107" s="12"/>
      <c r="J107" s="61"/>
      <c r="K107" s="71"/>
      <c r="L107" s="62"/>
      <c r="M107" s="75"/>
      <c r="N107" s="73"/>
      <c r="O107" s="15"/>
    </row>
    <row r="108" spans="1:25" x14ac:dyDescent="0.25">
      <c r="A108" s="16"/>
      <c r="B108" s="49"/>
      <c r="C108" s="17"/>
      <c r="D108" s="13"/>
      <c r="E108" s="70"/>
      <c r="F108" s="14"/>
      <c r="G108" s="11"/>
      <c r="H108" s="67"/>
      <c r="I108" s="12"/>
      <c r="J108" s="61"/>
      <c r="K108" s="71"/>
      <c r="L108" s="62"/>
      <c r="M108" s="75"/>
      <c r="N108" s="73"/>
      <c r="O108" s="15"/>
    </row>
    <row r="109" spans="1:25" x14ac:dyDescent="0.25">
      <c r="A109" s="16"/>
      <c r="B109" s="49"/>
      <c r="C109" s="17"/>
      <c r="D109" s="13"/>
      <c r="E109" s="70"/>
      <c r="F109" s="14"/>
      <c r="G109" s="11"/>
      <c r="H109" s="67"/>
      <c r="I109" s="12"/>
      <c r="J109" s="61"/>
      <c r="K109" s="71"/>
      <c r="L109" s="62"/>
      <c r="M109" s="75"/>
      <c r="N109" s="73"/>
      <c r="O109" s="15"/>
      <c r="Q109" s="58"/>
      <c r="R109" s="58"/>
      <c r="S109" s="58"/>
      <c r="T109" s="58"/>
      <c r="U109" s="58"/>
      <c r="V109" s="58"/>
      <c r="W109" s="58"/>
      <c r="X109" s="58"/>
      <c r="Y109" s="58"/>
    </row>
    <row r="110" spans="1:25" x14ac:dyDescent="0.25">
      <c r="A110" s="26"/>
      <c r="B110" s="66"/>
      <c r="C110" s="58"/>
      <c r="D110" s="26"/>
      <c r="E110" s="74"/>
      <c r="F110" s="58"/>
      <c r="G110" s="26"/>
      <c r="H110" s="74"/>
      <c r="I110" s="58"/>
      <c r="J110" s="26"/>
      <c r="K110" s="74"/>
      <c r="L110" s="58"/>
      <c r="M110" s="58"/>
      <c r="N110" s="74"/>
      <c r="O110" s="58"/>
      <c r="P110" s="58"/>
    </row>
    <row r="111" spans="1:25" x14ac:dyDescent="0.25">
      <c r="A111" s="26"/>
      <c r="B111" s="66"/>
      <c r="C111" s="58"/>
      <c r="D111" s="26"/>
      <c r="E111" s="74"/>
      <c r="F111" s="58"/>
      <c r="G111" s="26"/>
      <c r="H111" s="74"/>
      <c r="I111" s="58"/>
      <c r="J111" s="26"/>
      <c r="K111" s="74"/>
      <c r="L111" s="58"/>
      <c r="M111" s="58"/>
      <c r="N111" s="58"/>
      <c r="O111" s="58"/>
      <c r="P111" s="58"/>
    </row>
    <row r="112" spans="1:25" x14ac:dyDescent="0.25">
      <c r="A112" s="26"/>
      <c r="B112" s="66"/>
      <c r="C112" s="58"/>
      <c r="D112" s="26"/>
      <c r="E112" s="74"/>
      <c r="F112" s="58"/>
      <c r="G112" s="26"/>
      <c r="H112" s="74"/>
      <c r="I112" s="58"/>
      <c r="J112" s="26"/>
      <c r="K112" s="74"/>
      <c r="L112" s="58"/>
      <c r="M112" s="58"/>
      <c r="N112" s="58"/>
      <c r="O112" s="58"/>
      <c r="P112" s="58"/>
    </row>
    <row r="113" spans="1:16" x14ac:dyDescent="0.25">
      <c r="A113" s="26"/>
      <c r="B113" s="66"/>
      <c r="C113" s="58"/>
      <c r="D113" s="26"/>
      <c r="E113" s="74"/>
      <c r="F113" s="58"/>
      <c r="G113" s="26"/>
      <c r="H113" s="74"/>
      <c r="I113" s="58"/>
      <c r="J113" s="26"/>
      <c r="K113" s="74"/>
      <c r="L113" s="58"/>
      <c r="M113" s="58"/>
      <c r="N113" s="58"/>
      <c r="O113" s="58"/>
      <c r="P113" s="58"/>
    </row>
    <row r="114" spans="1:16" x14ac:dyDescent="0.25">
      <c r="A114" s="26"/>
      <c r="B114" s="66"/>
      <c r="C114" s="58"/>
      <c r="D114" s="26"/>
      <c r="E114" s="74"/>
      <c r="F114" s="58"/>
      <c r="G114" s="26"/>
      <c r="H114" s="74"/>
      <c r="I114" s="58"/>
      <c r="J114" s="26"/>
      <c r="K114" s="74"/>
      <c r="L114" s="58"/>
      <c r="M114" s="58"/>
      <c r="N114" s="58"/>
      <c r="O114" s="58"/>
      <c r="P114" s="58"/>
    </row>
    <row r="115" spans="1:16" x14ac:dyDescent="0.25">
      <c r="A115" s="26"/>
      <c r="B115" s="66"/>
      <c r="C115" s="58"/>
      <c r="D115" s="26"/>
      <c r="E115" s="74"/>
      <c r="F115" s="58"/>
      <c r="G115" s="26"/>
      <c r="H115" s="74"/>
      <c r="I115" s="58"/>
      <c r="J115" s="26"/>
      <c r="K115" s="74"/>
      <c r="L115" s="58"/>
      <c r="M115" s="58"/>
      <c r="N115" s="58"/>
      <c r="O115" s="58"/>
      <c r="P115" s="58"/>
    </row>
    <row r="116" spans="1:16" x14ac:dyDescent="0.25">
      <c r="A116" s="26"/>
      <c r="B116" s="66"/>
      <c r="C116" s="58"/>
      <c r="D116" s="26"/>
      <c r="E116" s="74"/>
      <c r="F116" s="58"/>
      <c r="G116" s="26"/>
      <c r="H116" s="74"/>
      <c r="I116" s="58"/>
      <c r="J116" s="26"/>
      <c r="K116" s="74"/>
      <c r="L116" s="58"/>
      <c r="M116" s="58"/>
      <c r="N116" s="58"/>
      <c r="O116" s="58"/>
      <c r="P116" s="58"/>
    </row>
    <row r="117" spans="1:16" x14ac:dyDescent="0.25">
      <c r="A117" s="26"/>
      <c r="B117" s="66"/>
      <c r="C117" s="58"/>
      <c r="D117" s="26"/>
      <c r="E117" s="74"/>
      <c r="F117" s="58"/>
      <c r="G117" s="26"/>
      <c r="H117" s="74"/>
      <c r="I117" s="58"/>
      <c r="J117" s="26"/>
      <c r="K117" s="74"/>
      <c r="L117" s="58"/>
      <c r="M117" s="58"/>
      <c r="N117" s="58"/>
      <c r="O117" s="58"/>
      <c r="P117" s="58"/>
    </row>
    <row r="118" spans="1:16" x14ac:dyDescent="0.25">
      <c r="A118" s="26"/>
      <c r="B118" s="66"/>
      <c r="C118" s="58"/>
      <c r="D118" s="26"/>
      <c r="E118" s="74"/>
      <c r="F118" s="58"/>
      <c r="G118" s="26"/>
      <c r="H118" s="74"/>
      <c r="I118" s="58"/>
      <c r="J118" s="26"/>
      <c r="K118" s="74"/>
      <c r="L118" s="58"/>
      <c r="M118" s="58"/>
      <c r="N118" s="58"/>
      <c r="O118" s="58"/>
      <c r="P118" s="58"/>
    </row>
    <row r="119" spans="1:16" x14ac:dyDescent="0.25">
      <c r="A119" s="26"/>
      <c r="B119" s="66"/>
      <c r="C119" s="58"/>
      <c r="D119" s="26"/>
      <c r="E119" s="74"/>
      <c r="F119" s="58"/>
      <c r="G119" s="26"/>
      <c r="H119" s="74"/>
      <c r="I119" s="58"/>
      <c r="J119" s="26"/>
      <c r="K119" s="74"/>
      <c r="L119" s="58"/>
      <c r="M119" s="58"/>
      <c r="N119" s="58"/>
      <c r="O119" s="58"/>
      <c r="P119" s="58"/>
    </row>
    <row r="120" spans="1:16" x14ac:dyDescent="0.25">
      <c r="A120" s="26"/>
      <c r="B120" s="66"/>
      <c r="C120" s="58"/>
      <c r="D120" s="26"/>
      <c r="E120" s="74"/>
      <c r="F120" s="58"/>
      <c r="G120" s="26"/>
      <c r="H120" s="74"/>
      <c r="I120" s="58"/>
      <c r="J120" s="26"/>
      <c r="K120" s="74"/>
      <c r="L120" s="58"/>
      <c r="M120" s="58"/>
      <c r="N120" s="58"/>
      <c r="O120" s="58"/>
    </row>
    <row r="121" spans="1:16" x14ac:dyDescent="0.25">
      <c r="A121" s="26"/>
      <c r="B121" s="66"/>
      <c r="C121" s="58"/>
      <c r="D121" s="26"/>
      <c r="E121" s="74"/>
      <c r="F121" s="58"/>
      <c r="G121" s="26"/>
      <c r="H121" s="74"/>
      <c r="I121" s="58"/>
      <c r="J121" s="26"/>
      <c r="K121" s="74"/>
      <c r="L121" s="58"/>
      <c r="M121" s="58"/>
      <c r="N121" s="58"/>
      <c r="O121" s="58"/>
    </row>
    <row r="122" spans="1:16" x14ac:dyDescent="0.25">
      <c r="A122" s="26"/>
      <c r="B122" s="66"/>
      <c r="C122" s="58"/>
      <c r="D122" s="26"/>
      <c r="E122" s="74"/>
      <c r="F122" s="58"/>
      <c r="G122" s="26"/>
      <c r="H122" s="74"/>
      <c r="I122" s="58"/>
      <c r="J122" s="26"/>
      <c r="K122" s="74"/>
      <c r="L122" s="58"/>
      <c r="M122" s="58"/>
      <c r="N122" s="58"/>
      <c r="O122" s="58"/>
    </row>
    <row r="123" spans="1:16" x14ac:dyDescent="0.25">
      <c r="A123" s="26"/>
      <c r="B123" s="66"/>
      <c r="C123" s="58"/>
      <c r="D123" s="26"/>
      <c r="E123" s="74"/>
      <c r="F123" s="58"/>
      <c r="G123" s="26"/>
      <c r="H123" s="74"/>
      <c r="I123" s="58"/>
      <c r="J123" s="26"/>
      <c r="K123" s="74"/>
      <c r="L123" s="58"/>
      <c r="M123" s="58"/>
      <c r="N123" s="58"/>
      <c r="O123" s="58"/>
    </row>
    <row r="124" spans="1:16" x14ac:dyDescent="0.25">
      <c r="A124" s="26"/>
      <c r="B124" s="66"/>
      <c r="C124" s="58"/>
      <c r="D124" s="26"/>
      <c r="E124" s="74"/>
      <c r="F124" s="58"/>
      <c r="G124" s="26"/>
      <c r="H124" s="74"/>
      <c r="I124" s="58"/>
      <c r="J124" s="26"/>
      <c r="K124" s="74"/>
      <c r="L124" s="58"/>
      <c r="M124" s="58"/>
      <c r="N124" s="58"/>
      <c r="O124" s="58"/>
    </row>
    <row r="125" spans="1:16" x14ac:dyDescent="0.25">
      <c r="A125" s="26"/>
      <c r="B125" s="66"/>
      <c r="C125" s="58"/>
      <c r="D125" s="26"/>
      <c r="E125" s="74"/>
      <c r="F125" s="58"/>
      <c r="G125" s="26"/>
      <c r="H125" s="74"/>
      <c r="I125" s="58"/>
      <c r="J125" s="26"/>
      <c r="K125" s="74"/>
      <c r="L125" s="58"/>
      <c r="M125" s="58"/>
      <c r="N125" s="58"/>
      <c r="O125" s="58"/>
    </row>
    <row r="126" spans="1:16" x14ac:dyDescent="0.25">
      <c r="A126" s="26"/>
      <c r="B126" s="66"/>
      <c r="C126" s="58"/>
      <c r="D126" s="26"/>
      <c r="E126" s="74"/>
      <c r="F126" s="58"/>
      <c r="G126" s="26"/>
      <c r="H126" s="74"/>
      <c r="I126" s="58"/>
      <c r="J126" s="26"/>
      <c r="K126" s="74"/>
      <c r="L126" s="58"/>
      <c r="M126" s="58"/>
      <c r="N126" s="58"/>
      <c r="O126" s="58"/>
    </row>
    <row r="127" spans="1:16" x14ac:dyDescent="0.25">
      <c r="A127" s="26"/>
      <c r="B127" s="66"/>
      <c r="C127" s="58"/>
      <c r="D127" s="26"/>
      <c r="E127" s="74"/>
      <c r="F127" s="58"/>
      <c r="G127" s="26"/>
      <c r="H127" s="74"/>
      <c r="I127" s="58"/>
      <c r="J127" s="26"/>
      <c r="K127" s="74"/>
      <c r="L127" s="58"/>
      <c r="M127" s="58"/>
      <c r="N127" s="58"/>
      <c r="O127" s="58"/>
    </row>
    <row r="128" spans="1:16" x14ac:dyDescent="0.25">
      <c r="A128" s="26"/>
      <c r="B128" s="66"/>
      <c r="C128" s="58"/>
      <c r="D128" s="26"/>
      <c r="E128" s="74"/>
      <c r="F128" s="58"/>
      <c r="G128" s="26"/>
      <c r="H128" s="74"/>
      <c r="I128" s="58"/>
      <c r="J128" s="26"/>
      <c r="K128" s="74"/>
      <c r="L128" s="58"/>
      <c r="M128" s="58"/>
      <c r="N128" s="58"/>
      <c r="O128" s="58"/>
    </row>
    <row r="129" spans="1:15" x14ac:dyDescent="0.25">
      <c r="A129" s="26"/>
      <c r="B129" s="66"/>
      <c r="C129" s="58"/>
      <c r="D129" s="26"/>
      <c r="E129" s="74"/>
      <c r="F129" s="58"/>
      <c r="G129" s="26"/>
      <c r="H129" s="74"/>
      <c r="I129" s="58"/>
      <c r="J129" s="26"/>
      <c r="K129" s="74"/>
      <c r="L129" s="58"/>
      <c r="M129" s="58"/>
      <c r="N129" s="58"/>
      <c r="O129" s="58"/>
    </row>
    <row r="130" spans="1:15" x14ac:dyDescent="0.25">
      <c r="A130" s="26"/>
      <c r="B130" s="66"/>
      <c r="C130" s="58"/>
      <c r="D130" s="26"/>
      <c r="E130" s="74"/>
      <c r="F130" s="58"/>
      <c r="G130" s="26"/>
      <c r="H130" s="74"/>
      <c r="I130" s="58"/>
      <c r="J130" s="26"/>
      <c r="K130" s="74"/>
      <c r="L130" s="58"/>
      <c r="M130" s="58"/>
      <c r="N130" s="58"/>
      <c r="O130" s="58"/>
    </row>
    <row r="131" spans="1:15" x14ac:dyDescent="0.25">
      <c r="A131" s="26"/>
      <c r="B131" s="66"/>
      <c r="C131" s="58"/>
      <c r="D131" s="26"/>
      <c r="E131" s="74"/>
      <c r="F131" s="58"/>
      <c r="G131" s="26"/>
      <c r="H131" s="74"/>
      <c r="I131" s="58"/>
      <c r="J131" s="26"/>
      <c r="K131" s="74"/>
      <c r="L131" s="58"/>
      <c r="M131" s="58"/>
      <c r="N131" s="58"/>
      <c r="O131" s="58"/>
    </row>
    <row r="132" spans="1:15" x14ac:dyDescent="0.25">
      <c r="A132" s="26"/>
      <c r="B132" s="66"/>
      <c r="C132" s="58"/>
      <c r="D132" s="26"/>
      <c r="E132" s="74"/>
      <c r="F132" s="58"/>
      <c r="G132" s="26"/>
      <c r="H132" s="74"/>
      <c r="I132" s="58"/>
      <c r="J132" s="26"/>
      <c r="K132" s="74"/>
      <c r="L132" s="58"/>
      <c r="M132" s="58"/>
      <c r="N132" s="58"/>
      <c r="O132" s="58"/>
    </row>
    <row r="133" spans="1:15" x14ac:dyDescent="0.25">
      <c r="A133" s="26"/>
      <c r="B133" s="66"/>
      <c r="C133" s="58"/>
      <c r="D133" s="26"/>
      <c r="E133" s="74"/>
      <c r="F133" s="58"/>
      <c r="G133" s="26"/>
      <c r="H133" s="74"/>
      <c r="I133" s="58"/>
      <c r="J133" s="26"/>
      <c r="K133" s="74"/>
      <c r="L133" s="58"/>
      <c r="M133" s="58"/>
      <c r="N133" s="58"/>
      <c r="O133" s="58"/>
    </row>
    <row r="134" spans="1:15" x14ac:dyDescent="0.25">
      <c r="A134" s="26"/>
      <c r="B134" s="66"/>
      <c r="C134" s="58"/>
      <c r="D134" s="26"/>
      <c r="E134" s="74"/>
      <c r="F134" s="58"/>
      <c r="G134" s="26"/>
      <c r="H134" s="74"/>
      <c r="I134" s="58"/>
      <c r="J134" s="26"/>
      <c r="K134" s="74"/>
      <c r="L134" s="58"/>
      <c r="M134" s="58"/>
      <c r="N134" s="58"/>
      <c r="O134" s="58"/>
    </row>
    <row r="135" spans="1:15" x14ac:dyDescent="0.25">
      <c r="A135" s="26"/>
      <c r="B135" s="66"/>
      <c r="C135" s="58"/>
      <c r="D135" s="26"/>
      <c r="E135" s="74"/>
      <c r="F135" s="58"/>
      <c r="G135" s="26"/>
      <c r="H135" s="74"/>
      <c r="I135" s="58"/>
      <c r="J135" s="26"/>
      <c r="K135" s="74"/>
      <c r="L135" s="58"/>
      <c r="M135" s="58"/>
      <c r="N135" s="58"/>
      <c r="O135" s="58"/>
    </row>
    <row r="136" spans="1:15" x14ac:dyDescent="0.25">
      <c r="A136" s="26"/>
      <c r="B136" s="66"/>
      <c r="C136" s="58"/>
      <c r="D136" s="26"/>
      <c r="E136" s="74"/>
      <c r="F136" s="58"/>
      <c r="G136" s="26"/>
      <c r="H136" s="74"/>
      <c r="I136" s="58"/>
      <c r="J136" s="26"/>
      <c r="K136" s="74"/>
      <c r="L136" s="58"/>
      <c r="M136" s="58"/>
      <c r="N136" s="58"/>
      <c r="O136" s="58"/>
    </row>
    <row r="137" spans="1:15" x14ac:dyDescent="0.25">
      <c r="A137" s="26"/>
      <c r="B137" s="66"/>
      <c r="C137" s="58"/>
      <c r="D137" s="26"/>
      <c r="E137" s="74"/>
      <c r="F137" s="58"/>
      <c r="G137" s="26"/>
      <c r="H137" s="74"/>
      <c r="I137" s="58"/>
      <c r="J137" s="26"/>
      <c r="K137" s="74"/>
      <c r="L137" s="58"/>
      <c r="M137" s="58"/>
      <c r="N137" s="58"/>
      <c r="O137" s="58"/>
    </row>
    <row r="138" spans="1:15" x14ac:dyDescent="0.25">
      <c r="A138" s="26"/>
      <c r="B138" s="66"/>
      <c r="C138" s="58"/>
      <c r="D138" s="26"/>
      <c r="E138" s="74"/>
      <c r="F138" s="58"/>
      <c r="G138" s="26"/>
      <c r="H138" s="74"/>
      <c r="I138" s="58"/>
      <c r="J138" s="26"/>
      <c r="K138" s="74"/>
      <c r="L138" s="58"/>
      <c r="M138" s="58"/>
      <c r="N138" s="58"/>
      <c r="O138" s="58"/>
    </row>
    <row r="139" spans="1:15" x14ac:dyDescent="0.25">
      <c r="A139" s="26"/>
      <c r="B139" s="66"/>
      <c r="C139" s="58"/>
      <c r="D139" s="26"/>
      <c r="E139" s="74"/>
      <c r="F139" s="58"/>
      <c r="G139" s="26"/>
      <c r="H139" s="74"/>
      <c r="I139" s="58"/>
      <c r="J139" s="26"/>
      <c r="K139" s="74"/>
      <c r="L139" s="58"/>
      <c r="M139" s="58"/>
      <c r="N139" s="58"/>
      <c r="O139" s="58"/>
    </row>
    <row r="140" spans="1:15" x14ac:dyDescent="0.25">
      <c r="A140" s="26"/>
      <c r="B140" s="66"/>
      <c r="C140" s="58"/>
      <c r="D140" s="26"/>
      <c r="E140" s="74"/>
      <c r="F140" s="58"/>
      <c r="G140" s="26"/>
      <c r="H140" s="74"/>
      <c r="I140" s="58"/>
      <c r="J140" s="26"/>
      <c r="K140" s="74"/>
      <c r="L140" s="58"/>
      <c r="M140" s="58"/>
      <c r="N140" s="58"/>
      <c r="O140" s="58"/>
    </row>
    <row r="141" spans="1:15" x14ac:dyDescent="0.25">
      <c r="A141" s="26"/>
      <c r="B141" s="66"/>
      <c r="C141" s="58"/>
      <c r="D141" s="26"/>
      <c r="E141" s="74"/>
      <c r="F141" s="58"/>
      <c r="G141" s="26"/>
      <c r="H141" s="74"/>
      <c r="I141" s="58"/>
      <c r="J141" s="26"/>
      <c r="K141" s="74"/>
      <c r="L141" s="58"/>
      <c r="M141" s="58"/>
      <c r="N141" s="58"/>
      <c r="O141" s="58"/>
    </row>
    <row r="142" spans="1:15" x14ac:dyDescent="0.25">
      <c r="A142" s="26"/>
      <c r="B142" s="66"/>
      <c r="C142" s="58"/>
      <c r="D142" s="26"/>
      <c r="E142" s="74"/>
      <c r="F142" s="58"/>
      <c r="G142" s="26"/>
      <c r="H142" s="74"/>
      <c r="I142" s="58"/>
      <c r="J142" s="26"/>
      <c r="K142" s="74"/>
      <c r="L142" s="58"/>
      <c r="M142" s="58"/>
      <c r="N142" s="58"/>
      <c r="O142" s="58"/>
    </row>
    <row r="143" spans="1:15" x14ac:dyDescent="0.25">
      <c r="A143" s="26"/>
      <c r="B143" s="66"/>
      <c r="C143" s="58"/>
      <c r="D143" s="26"/>
      <c r="E143" s="74"/>
      <c r="F143" s="58"/>
      <c r="G143" s="26"/>
      <c r="H143" s="74"/>
      <c r="I143" s="58"/>
      <c r="J143" s="26"/>
      <c r="K143" s="74"/>
      <c r="L143" s="58"/>
      <c r="M143" s="58"/>
      <c r="N143" s="58"/>
      <c r="O143" s="58"/>
    </row>
    <row r="144" spans="1:15" x14ac:dyDescent="0.25">
      <c r="A144" s="26"/>
      <c r="B144" s="66"/>
      <c r="C144" s="58"/>
      <c r="D144" s="26"/>
      <c r="E144" s="74"/>
      <c r="F144" s="58"/>
      <c r="G144" s="26"/>
      <c r="H144" s="74"/>
      <c r="I144" s="58"/>
      <c r="J144" s="26"/>
      <c r="K144" s="74"/>
      <c r="L144" s="58"/>
      <c r="M144" s="58"/>
      <c r="N144" s="58"/>
      <c r="O144" s="58"/>
    </row>
    <row r="145" spans="1:15" x14ac:dyDescent="0.25">
      <c r="A145" s="26"/>
      <c r="B145" s="66"/>
      <c r="C145" s="58"/>
      <c r="D145" s="26"/>
      <c r="E145" s="74"/>
      <c r="F145" s="58"/>
      <c r="G145" s="26"/>
      <c r="H145" s="74"/>
      <c r="I145" s="58"/>
      <c r="J145" s="26"/>
      <c r="K145" s="74"/>
      <c r="L145" s="58"/>
      <c r="M145" s="58"/>
      <c r="N145" s="58"/>
      <c r="O145" s="58"/>
    </row>
    <row r="146" spans="1:15" x14ac:dyDescent="0.25">
      <c r="A146" s="26"/>
      <c r="B146" s="66"/>
      <c r="C146" s="58"/>
      <c r="D146" s="26"/>
      <c r="E146" s="74"/>
      <c r="F146" s="58"/>
      <c r="G146" s="26"/>
      <c r="H146" s="74"/>
      <c r="I146" s="58"/>
      <c r="J146" s="26"/>
      <c r="K146" s="74"/>
      <c r="L146" s="58"/>
      <c r="M146" s="58"/>
      <c r="N146" s="58"/>
      <c r="O146" s="58"/>
    </row>
    <row r="147" spans="1:15" x14ac:dyDescent="0.25">
      <c r="A147" s="26"/>
      <c r="B147" s="66"/>
      <c r="C147" s="58"/>
      <c r="D147" s="26"/>
      <c r="E147" s="74"/>
      <c r="F147" s="58"/>
      <c r="G147" s="26"/>
      <c r="H147" s="74"/>
      <c r="I147" s="58"/>
      <c r="J147" s="26"/>
      <c r="K147" s="74"/>
      <c r="L147" s="58"/>
      <c r="M147" s="58"/>
      <c r="N147" s="58"/>
      <c r="O147" s="58"/>
    </row>
    <row r="148" spans="1:15" x14ac:dyDescent="0.25">
      <c r="A148" s="26"/>
      <c r="B148" s="66"/>
      <c r="C148" s="58"/>
      <c r="D148" s="26"/>
      <c r="E148" s="74"/>
      <c r="F148" s="58"/>
      <c r="G148" s="26"/>
      <c r="H148" s="74"/>
      <c r="I148" s="58"/>
      <c r="J148" s="26"/>
      <c r="K148" s="74"/>
      <c r="L148" s="58"/>
      <c r="M148" s="58"/>
      <c r="N148" s="58"/>
      <c r="O148" s="58"/>
    </row>
    <row r="149" spans="1:15" x14ac:dyDescent="0.25">
      <c r="A149" s="26"/>
      <c r="B149" s="66"/>
      <c r="C149" s="58"/>
      <c r="D149" s="26"/>
      <c r="E149" s="74"/>
      <c r="F149" s="58"/>
      <c r="G149" s="26"/>
      <c r="H149" s="74"/>
      <c r="I149" s="58"/>
      <c r="J149" s="26"/>
      <c r="K149" s="74"/>
      <c r="L149" s="58"/>
      <c r="M149" s="58"/>
      <c r="N149" s="58"/>
      <c r="O149" s="58"/>
    </row>
    <row r="150" spans="1:15" x14ac:dyDescent="0.25">
      <c r="A150" s="26"/>
      <c r="B150" s="66"/>
      <c r="C150" s="58"/>
      <c r="D150" s="26"/>
      <c r="E150" s="74"/>
      <c r="F150" s="58"/>
      <c r="G150" s="26"/>
      <c r="H150" s="74"/>
      <c r="I150" s="58"/>
      <c r="J150" s="26"/>
      <c r="K150" s="74"/>
      <c r="L150" s="58"/>
      <c r="M150" s="58"/>
      <c r="N150" s="58"/>
      <c r="O150" s="58"/>
    </row>
    <row r="151" spans="1:15" x14ac:dyDescent="0.25">
      <c r="A151" s="26"/>
      <c r="B151" s="66"/>
      <c r="C151" s="58"/>
      <c r="D151" s="26"/>
      <c r="E151" s="74"/>
      <c r="F151" s="58"/>
      <c r="G151" s="26"/>
      <c r="H151" s="74"/>
      <c r="I151" s="58"/>
      <c r="J151" s="26"/>
      <c r="K151" s="74"/>
      <c r="L151" s="58"/>
      <c r="M151" s="58"/>
      <c r="N151" s="58"/>
      <c r="O151" s="58"/>
    </row>
    <row r="152" spans="1:15" x14ac:dyDescent="0.25">
      <c r="A152" s="26"/>
      <c r="B152" s="66"/>
      <c r="C152" s="58"/>
      <c r="D152" s="26"/>
      <c r="E152" s="74"/>
      <c r="F152" s="58"/>
      <c r="G152" s="26"/>
      <c r="H152" s="74"/>
      <c r="I152" s="58"/>
      <c r="J152" s="26"/>
      <c r="K152" s="74"/>
      <c r="L152" s="58"/>
      <c r="M152" s="58"/>
      <c r="N152" s="58"/>
      <c r="O152" s="58"/>
    </row>
    <row r="153" spans="1:15" x14ac:dyDescent="0.25">
      <c r="A153" s="26"/>
      <c r="B153" s="66"/>
      <c r="C153" s="58"/>
      <c r="D153" s="26"/>
      <c r="E153" s="58"/>
      <c r="F153" s="58"/>
      <c r="G153" s="26"/>
      <c r="H153" s="74"/>
      <c r="I153" s="58"/>
      <c r="J153" s="26"/>
      <c r="K153" s="74"/>
      <c r="L153" s="58"/>
      <c r="M153" s="58"/>
      <c r="N153" s="58"/>
      <c r="O153" s="58"/>
    </row>
    <row r="154" spans="1:15" x14ac:dyDescent="0.25">
      <c r="A154" s="26"/>
      <c r="B154" s="66"/>
      <c r="C154" s="58"/>
      <c r="D154" s="26"/>
      <c r="E154" s="58"/>
      <c r="F154" s="58"/>
      <c r="G154" s="26"/>
      <c r="H154" s="74"/>
      <c r="I154" s="58"/>
      <c r="J154" s="26"/>
      <c r="K154" s="74"/>
      <c r="L154" s="58"/>
      <c r="M154" s="58"/>
      <c r="N154" s="58"/>
      <c r="O154" s="58"/>
    </row>
    <row r="155" spans="1:15" x14ac:dyDescent="0.25">
      <c r="A155" s="26"/>
      <c r="B155" s="66"/>
      <c r="C155" s="58"/>
      <c r="D155" s="26"/>
      <c r="E155" s="74"/>
      <c r="F155" s="58"/>
      <c r="G155" s="26"/>
      <c r="H155" s="74"/>
      <c r="I155" s="58"/>
      <c r="J155" s="26"/>
      <c r="K155" s="74"/>
      <c r="L155" s="58"/>
      <c r="M155" s="58"/>
      <c r="N155" s="58"/>
      <c r="O155" s="58"/>
    </row>
    <row r="156" spans="1:15" x14ac:dyDescent="0.25">
      <c r="A156" s="26"/>
      <c r="B156" s="66"/>
      <c r="C156" s="58"/>
      <c r="D156" s="26"/>
      <c r="E156" s="58"/>
      <c r="F156" s="58"/>
      <c r="G156" s="26"/>
      <c r="H156" s="74"/>
      <c r="I156" s="58"/>
      <c r="J156" s="26"/>
      <c r="K156" s="74"/>
      <c r="L156" s="58"/>
      <c r="M156" s="58"/>
      <c r="N156" s="58"/>
      <c r="O156" s="58"/>
    </row>
    <row r="157" spans="1:15" x14ac:dyDescent="0.25">
      <c r="A157" s="26"/>
      <c r="B157" s="66"/>
      <c r="C157" s="58"/>
      <c r="D157" s="26"/>
      <c r="E157" s="58"/>
      <c r="F157" s="58"/>
      <c r="G157" s="26"/>
      <c r="H157" s="74"/>
      <c r="I157" s="58"/>
      <c r="J157" s="26"/>
      <c r="K157" s="74"/>
      <c r="L157" s="58"/>
      <c r="M157" s="58"/>
      <c r="N157" s="58"/>
      <c r="O157" s="58"/>
    </row>
    <row r="158" spans="1:15" x14ac:dyDescent="0.25">
      <c r="A158" s="26"/>
      <c r="B158" s="66"/>
      <c r="C158" s="58"/>
      <c r="D158" s="26"/>
      <c r="E158" s="58"/>
      <c r="F158" s="58"/>
      <c r="G158" s="26"/>
      <c r="H158" s="74"/>
      <c r="I158" s="58"/>
      <c r="J158" s="26"/>
      <c r="K158" s="74"/>
      <c r="L158" s="58"/>
      <c r="M158" s="58"/>
      <c r="N158" s="58"/>
      <c r="O158" s="58"/>
    </row>
    <row r="159" spans="1:15" x14ac:dyDescent="0.25">
      <c r="A159" s="26"/>
      <c r="B159" s="66"/>
      <c r="C159" s="58"/>
      <c r="D159" s="26"/>
      <c r="E159" s="58"/>
      <c r="F159" s="58"/>
      <c r="G159" s="26"/>
      <c r="H159" s="74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66"/>
      <c r="C160" s="58"/>
      <c r="D160" s="26"/>
      <c r="E160" s="58"/>
      <c r="F160" s="58"/>
      <c r="G160" s="26"/>
      <c r="H160" s="74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66"/>
      <c r="C161" s="58"/>
      <c r="D161" s="26"/>
      <c r="E161" s="58"/>
      <c r="F161" s="58"/>
      <c r="G161" s="26"/>
      <c r="H161" s="74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66"/>
      <c r="C162" s="58"/>
      <c r="D162" s="26"/>
      <c r="E162" s="58"/>
      <c r="F162" s="58"/>
      <c r="G162" s="26"/>
      <c r="H162" s="74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66"/>
      <c r="C163" s="58"/>
      <c r="D163" s="26"/>
      <c r="E163" s="58"/>
      <c r="F163" s="58"/>
      <c r="G163" s="26"/>
      <c r="H163" s="74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66"/>
      <c r="C164" s="58"/>
      <c r="D164" s="26"/>
      <c r="E164" s="58"/>
      <c r="F164" s="58"/>
      <c r="G164" s="26"/>
      <c r="H164" s="74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66"/>
      <c r="C165" s="58"/>
      <c r="D165" s="26"/>
      <c r="E165" s="58"/>
      <c r="F165" s="58"/>
      <c r="G165" s="26"/>
      <c r="H165" s="74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66"/>
      <c r="C166" s="58"/>
      <c r="D166" s="26"/>
      <c r="E166" s="58"/>
      <c r="F166" s="58"/>
      <c r="G166" s="26"/>
      <c r="H166" s="74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66"/>
      <c r="C167" s="58"/>
      <c r="D167" s="26"/>
      <c r="E167" s="58"/>
      <c r="F167" s="58"/>
      <c r="G167" s="26"/>
      <c r="H167" s="74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66"/>
      <c r="C168" s="58"/>
      <c r="D168" s="26"/>
      <c r="E168" s="58"/>
      <c r="F168" s="58"/>
      <c r="G168" s="26"/>
      <c r="H168" s="74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66"/>
      <c r="C169" s="58"/>
      <c r="D169" s="26"/>
      <c r="E169" s="58"/>
      <c r="F169" s="58"/>
      <c r="G169" s="26"/>
      <c r="H169" s="74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66"/>
      <c r="C170" s="58"/>
      <c r="D170" s="26"/>
      <c r="E170" s="58"/>
      <c r="F170" s="58"/>
      <c r="G170" s="26"/>
      <c r="H170" s="74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66"/>
      <c r="C171" s="58"/>
      <c r="D171" s="26"/>
      <c r="E171" s="58"/>
      <c r="F171" s="58"/>
      <c r="G171" s="26"/>
      <c r="H171" s="74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66"/>
      <c r="C172" s="58"/>
      <c r="D172" s="26"/>
      <c r="E172" s="58"/>
      <c r="F172" s="58"/>
      <c r="G172" s="26"/>
      <c r="H172" s="74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66"/>
      <c r="C173" s="58"/>
      <c r="D173" s="26"/>
      <c r="E173" s="58"/>
      <c r="F173" s="58"/>
      <c r="G173" s="26"/>
      <c r="H173" s="74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66"/>
      <c r="C174" s="58"/>
      <c r="D174" s="26"/>
      <c r="E174" s="58"/>
      <c r="F174" s="58"/>
      <c r="G174" s="26"/>
      <c r="H174" s="74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66"/>
      <c r="C175" s="58"/>
      <c r="D175" s="26"/>
      <c r="E175" s="58"/>
      <c r="F175" s="58"/>
      <c r="G175" s="26"/>
      <c r="H175" s="74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66"/>
      <c r="C176" s="58"/>
      <c r="D176" s="26"/>
      <c r="E176" s="58"/>
      <c r="F176" s="58"/>
      <c r="G176" s="26"/>
      <c r="H176" s="74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66"/>
      <c r="C177" s="58"/>
      <c r="D177" s="26"/>
      <c r="E177" s="58"/>
      <c r="F177" s="58"/>
      <c r="G177" s="26"/>
      <c r="H177" s="74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66"/>
      <c r="C178" s="58"/>
      <c r="D178" s="26"/>
      <c r="E178" s="58"/>
      <c r="F178" s="58"/>
      <c r="G178" s="26"/>
      <c r="H178" s="74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66"/>
      <c r="C179" s="58"/>
      <c r="D179" s="26"/>
      <c r="E179" s="58"/>
      <c r="F179" s="58"/>
      <c r="G179" s="26"/>
      <c r="H179" s="74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66"/>
      <c r="C180" s="58"/>
      <c r="D180" s="26"/>
      <c r="E180" s="58"/>
      <c r="F180" s="58"/>
      <c r="G180" s="26"/>
      <c r="H180" s="74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66"/>
      <c r="C181" s="58"/>
      <c r="D181" s="26"/>
      <c r="E181" s="58"/>
      <c r="F181" s="58"/>
      <c r="G181" s="26"/>
      <c r="H181" s="74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74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74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74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74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74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74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74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74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G533" s="26"/>
      <c r="H533" s="58"/>
      <c r="I533" s="58"/>
    </row>
    <row r="534" spans="1:15" x14ac:dyDescent="0.25">
      <c r="G534" s="26"/>
      <c r="H534" s="58"/>
      <c r="I534" s="58"/>
    </row>
  </sheetData>
  <mergeCells count="8">
    <mergeCell ref="Q2:R2"/>
    <mergeCell ref="A1:K1"/>
    <mergeCell ref="L1:M1"/>
    <mergeCell ref="A2:C2"/>
    <mergeCell ref="D2:F2"/>
    <mergeCell ref="G2:I2"/>
    <mergeCell ref="J2:L2"/>
    <mergeCell ref="M2:O2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536"/>
  <sheetViews>
    <sheetView topLeftCell="A5" zoomScale="110" zoomScaleNormal="110" workbookViewId="0">
      <pane ySplit="3" topLeftCell="A91" activePane="bottomLeft" state="frozen"/>
      <selection activeCell="A5" sqref="A5"/>
      <selection pane="bottomLeft" activeCell="J106" sqref="J106"/>
    </sheetView>
  </sheetViews>
  <sheetFormatPr baseColWidth="10" defaultRowHeight="15" x14ac:dyDescent="0.25"/>
  <cols>
    <col min="1" max="1" width="7.7109375" style="6" customWidth="1"/>
    <col min="2" max="2" width="9" style="6" customWidth="1"/>
    <col min="3" max="3" width="23.7109375" customWidth="1"/>
    <col min="4" max="4" width="7.7109375" style="6" customWidth="1"/>
    <col min="5" max="5" width="8.7109375" customWidth="1"/>
    <col min="6" max="6" width="24.2851562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34" t="s">
        <v>10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6" t="s">
        <v>11</v>
      </c>
      <c r="M1" s="136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37" t="s">
        <v>8</v>
      </c>
      <c r="D3" s="137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38" t="s">
        <v>0</v>
      </c>
      <c r="B5" s="138"/>
      <c r="C5" s="138"/>
      <c r="D5" s="139" t="s">
        <v>4</v>
      </c>
      <c r="E5" s="139"/>
      <c r="F5" s="139"/>
      <c r="G5" s="140" t="s">
        <v>5</v>
      </c>
      <c r="H5" s="140"/>
      <c r="I5" s="140"/>
      <c r="J5" s="145" t="s">
        <v>6</v>
      </c>
      <c r="K5" s="145"/>
      <c r="L5" s="145"/>
      <c r="M5" s="133" t="s">
        <v>12</v>
      </c>
      <c r="N5" s="133"/>
      <c r="O5" s="133"/>
      <c r="Q5" s="142" t="s">
        <v>13</v>
      </c>
      <c r="R5" s="142"/>
    </row>
    <row r="6" spans="1:18" x14ac:dyDescent="0.25">
      <c r="A6" s="8">
        <f>SUBTOTAL(3,A8:A121)</f>
        <v>98</v>
      </c>
      <c r="B6" s="123">
        <f>SUBTOTAL(9,B8:B180)</f>
        <v>52525</v>
      </c>
      <c r="C6" s="35">
        <v>44381</v>
      </c>
      <c r="D6" s="8">
        <f>SUBTOTAL(3,D8:D120)</f>
        <v>98</v>
      </c>
      <c r="E6" s="122">
        <f>SUBTOTAL(9,E8:E205)</f>
        <v>51675</v>
      </c>
      <c r="F6" s="38">
        <v>44388</v>
      </c>
      <c r="G6" s="8">
        <f>SUBTOTAL(3,G8:G121)</f>
        <v>81</v>
      </c>
      <c r="H6" s="1">
        <f>SUBTOTAL(9,H8:H148)</f>
        <v>44650</v>
      </c>
      <c r="I6" s="39">
        <v>44395</v>
      </c>
      <c r="J6" s="8">
        <f>SUBTOTAL(3,J8:J110)</f>
        <v>77</v>
      </c>
      <c r="K6" s="1">
        <f>SUBTOTAL(9,K8:K110)</f>
        <v>24800</v>
      </c>
      <c r="L6" s="63">
        <v>44402</v>
      </c>
      <c r="M6" s="1">
        <f>SUBTOTAL(3,M8:M120)</f>
        <v>0</v>
      </c>
      <c r="N6" s="1">
        <f>SUBTOTAL(9,N8:N120)</f>
        <v>0</v>
      </c>
      <c r="O6" s="81"/>
      <c r="P6" s="15"/>
      <c r="Q6" s="30">
        <f>+A6+D6+G6+J6+M6</f>
        <v>354</v>
      </c>
      <c r="R6" s="29">
        <f>+B6+E6+H6+K6+N6</f>
        <v>173650</v>
      </c>
    </row>
    <row r="7" spans="1:18" x14ac:dyDescent="0.25">
      <c r="A7" s="46" t="s">
        <v>1</v>
      </c>
      <c r="B7" s="46" t="s">
        <v>3</v>
      </c>
      <c r="C7" s="46" t="s">
        <v>2</v>
      </c>
      <c r="D7" s="47" t="s">
        <v>1</v>
      </c>
      <c r="E7" s="47" t="s">
        <v>3</v>
      </c>
      <c r="F7" s="47" t="s">
        <v>2</v>
      </c>
      <c r="G7" s="48" t="s">
        <v>1</v>
      </c>
      <c r="H7" s="48" t="s">
        <v>3</v>
      </c>
      <c r="I7" s="48" t="s">
        <v>2</v>
      </c>
      <c r="J7" s="60" t="s">
        <v>1</v>
      </c>
      <c r="K7" s="60" t="s">
        <v>3</v>
      </c>
      <c r="L7" s="60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25079</v>
      </c>
      <c r="B8" s="124">
        <v>1000</v>
      </c>
      <c r="C8" s="17" t="s">
        <v>172</v>
      </c>
      <c r="D8" s="13">
        <v>25233</v>
      </c>
      <c r="E8" s="70">
        <v>100</v>
      </c>
      <c r="F8" s="14" t="s">
        <v>280</v>
      </c>
      <c r="G8" s="11">
        <v>25356</v>
      </c>
      <c r="H8" s="67">
        <v>175</v>
      </c>
      <c r="I8" s="12" t="s">
        <v>334</v>
      </c>
      <c r="J8" s="61">
        <v>25456</v>
      </c>
      <c r="K8" s="71">
        <v>125</v>
      </c>
      <c r="L8" s="62" t="s">
        <v>292</v>
      </c>
      <c r="M8" s="75"/>
      <c r="N8" s="73"/>
      <c r="O8" s="15"/>
      <c r="Q8" s="32"/>
      <c r="R8" s="32"/>
    </row>
    <row r="9" spans="1:18" x14ac:dyDescent="0.25">
      <c r="A9" s="16">
        <v>25080</v>
      </c>
      <c r="B9" s="124">
        <v>250</v>
      </c>
      <c r="C9" s="17"/>
      <c r="D9" s="13">
        <v>25234</v>
      </c>
      <c r="E9" s="70">
        <v>275</v>
      </c>
      <c r="F9" s="14" t="s">
        <v>281</v>
      </c>
      <c r="G9" s="11">
        <v>25357</v>
      </c>
      <c r="H9" s="67">
        <v>125</v>
      </c>
      <c r="I9" s="12" t="s">
        <v>292</v>
      </c>
      <c r="J9" s="61">
        <v>25457</v>
      </c>
      <c r="K9" s="71">
        <v>125</v>
      </c>
      <c r="L9" s="62" t="s">
        <v>292</v>
      </c>
      <c r="M9" s="75"/>
      <c r="N9" s="73"/>
      <c r="O9" s="15"/>
    </row>
    <row r="10" spans="1:18" x14ac:dyDescent="0.25">
      <c r="A10" s="16">
        <v>25081</v>
      </c>
      <c r="B10" s="124">
        <v>375</v>
      </c>
      <c r="C10" s="17" t="s">
        <v>266</v>
      </c>
      <c r="D10" s="13">
        <v>25235</v>
      </c>
      <c r="E10" s="70">
        <v>50</v>
      </c>
      <c r="F10" s="109" t="s">
        <v>282</v>
      </c>
      <c r="G10" s="11">
        <v>25358</v>
      </c>
      <c r="H10" s="67">
        <v>1100</v>
      </c>
      <c r="I10" s="12" t="s">
        <v>335</v>
      </c>
      <c r="J10" s="61">
        <v>25458</v>
      </c>
      <c r="K10" s="71">
        <v>50</v>
      </c>
      <c r="L10" s="129" t="s">
        <v>339</v>
      </c>
      <c r="M10" s="75"/>
      <c r="N10" s="73"/>
      <c r="O10" s="15"/>
    </row>
    <row r="11" spans="1:18" x14ac:dyDescent="0.25">
      <c r="A11" s="16">
        <v>25082</v>
      </c>
      <c r="B11" s="124">
        <v>500</v>
      </c>
      <c r="C11" s="17"/>
      <c r="D11" s="13">
        <v>25236</v>
      </c>
      <c r="E11" s="70">
        <v>600</v>
      </c>
      <c r="F11" s="14" t="s">
        <v>283</v>
      </c>
      <c r="G11" s="11"/>
      <c r="H11" s="67"/>
      <c r="I11" s="12" t="s">
        <v>336</v>
      </c>
      <c r="J11" s="61">
        <v>25459</v>
      </c>
      <c r="K11" s="71">
        <v>50</v>
      </c>
      <c r="L11" s="62" t="s">
        <v>339</v>
      </c>
      <c r="M11" s="75"/>
      <c r="N11" s="73"/>
      <c r="O11" s="15"/>
    </row>
    <row r="12" spans="1:18" x14ac:dyDescent="0.25">
      <c r="A12" s="16">
        <v>25083</v>
      </c>
      <c r="B12" s="124">
        <v>1500</v>
      </c>
      <c r="C12" s="17" t="s">
        <v>260</v>
      </c>
      <c r="D12" s="13">
        <v>25237</v>
      </c>
      <c r="E12" s="70">
        <v>1050</v>
      </c>
      <c r="F12" s="109" t="s">
        <v>284</v>
      </c>
      <c r="G12" s="11"/>
      <c r="H12" s="67"/>
      <c r="I12" s="12" t="s">
        <v>280</v>
      </c>
      <c r="J12" s="61">
        <v>25460</v>
      </c>
      <c r="K12" s="71">
        <v>100</v>
      </c>
      <c r="L12" s="62" t="s">
        <v>374</v>
      </c>
      <c r="M12" s="75"/>
      <c r="N12" s="73"/>
      <c r="O12" s="15"/>
    </row>
    <row r="13" spans="1:18" x14ac:dyDescent="0.25">
      <c r="A13" s="16"/>
      <c r="B13" s="124"/>
      <c r="C13" s="17" t="s">
        <v>64</v>
      </c>
      <c r="D13" s="13"/>
      <c r="E13" s="70"/>
      <c r="F13" s="101" t="s">
        <v>282</v>
      </c>
      <c r="G13" s="11">
        <v>25359</v>
      </c>
      <c r="H13" s="67">
        <v>1550</v>
      </c>
      <c r="I13" s="12" t="s">
        <v>337</v>
      </c>
      <c r="J13" s="61">
        <v>25461</v>
      </c>
      <c r="K13" s="71">
        <v>75</v>
      </c>
      <c r="L13" s="62" t="s">
        <v>288</v>
      </c>
      <c r="M13" s="75"/>
      <c r="N13" s="73"/>
      <c r="O13" s="15"/>
    </row>
    <row r="14" spans="1:18" x14ac:dyDescent="0.25">
      <c r="A14" s="16">
        <v>25084</v>
      </c>
      <c r="B14" s="124">
        <v>350</v>
      </c>
      <c r="C14" s="115" t="s">
        <v>267</v>
      </c>
      <c r="D14" s="13">
        <v>25238</v>
      </c>
      <c r="E14" s="70">
        <v>700</v>
      </c>
      <c r="F14" s="14" t="s">
        <v>285</v>
      </c>
      <c r="G14" s="11"/>
      <c r="H14" s="67"/>
      <c r="I14" s="12" t="s">
        <v>338</v>
      </c>
      <c r="J14" s="61">
        <v>25462</v>
      </c>
      <c r="K14" s="71">
        <v>850</v>
      </c>
      <c r="L14" s="62" t="s">
        <v>375</v>
      </c>
      <c r="M14" s="75"/>
      <c r="N14" s="73"/>
      <c r="O14" s="31"/>
    </row>
    <row r="15" spans="1:18" x14ac:dyDescent="0.25">
      <c r="A15" s="16">
        <v>25085</v>
      </c>
      <c r="B15" s="124">
        <v>25</v>
      </c>
      <c r="C15" s="17" t="s">
        <v>268</v>
      </c>
      <c r="D15" s="13"/>
      <c r="E15" s="70"/>
      <c r="F15" s="14" t="s">
        <v>282</v>
      </c>
      <c r="G15" s="11"/>
      <c r="H15" s="67"/>
      <c r="I15" s="12" t="s">
        <v>339</v>
      </c>
      <c r="J15" s="61"/>
      <c r="K15" s="71"/>
      <c r="L15" s="62" t="s">
        <v>376</v>
      </c>
      <c r="M15" s="75"/>
      <c r="N15" s="73"/>
      <c r="O15" s="15"/>
    </row>
    <row r="16" spans="1:18" x14ac:dyDescent="0.25">
      <c r="A16" s="16">
        <v>25086</v>
      </c>
      <c r="B16" s="124">
        <v>25</v>
      </c>
      <c r="C16" s="17" t="s">
        <v>268</v>
      </c>
      <c r="D16" s="13">
        <v>25239</v>
      </c>
      <c r="E16" s="70">
        <v>550</v>
      </c>
      <c r="F16" s="14" t="s">
        <v>286</v>
      </c>
      <c r="G16" s="11">
        <v>25360</v>
      </c>
      <c r="H16" s="67">
        <v>50</v>
      </c>
      <c r="I16" s="12" t="s">
        <v>339</v>
      </c>
      <c r="J16" s="61"/>
      <c r="K16" s="71"/>
      <c r="L16" s="62" t="s">
        <v>339</v>
      </c>
      <c r="M16" s="75"/>
      <c r="N16" s="73"/>
      <c r="O16" s="15"/>
    </row>
    <row r="17" spans="1:15" x14ac:dyDescent="0.25">
      <c r="A17" s="16">
        <v>25087</v>
      </c>
      <c r="B17" s="124">
        <v>500</v>
      </c>
      <c r="C17" s="17"/>
      <c r="D17" s="13">
        <v>25240</v>
      </c>
      <c r="E17" s="70">
        <v>25</v>
      </c>
      <c r="F17" s="128" t="s">
        <v>287</v>
      </c>
      <c r="G17" s="11">
        <v>25361</v>
      </c>
      <c r="H17" s="67">
        <v>50</v>
      </c>
      <c r="I17" s="12" t="s">
        <v>339</v>
      </c>
      <c r="J17" s="61">
        <v>25463</v>
      </c>
      <c r="K17" s="71">
        <v>100</v>
      </c>
      <c r="L17" s="62" t="s">
        <v>374</v>
      </c>
      <c r="M17" s="75"/>
      <c r="N17" s="73"/>
      <c r="O17" s="15"/>
    </row>
    <row r="18" spans="1:15" x14ac:dyDescent="0.25">
      <c r="A18" s="16">
        <v>25088</v>
      </c>
      <c r="B18" s="124">
        <v>50</v>
      </c>
      <c r="C18" s="17" t="s">
        <v>269</v>
      </c>
      <c r="D18" s="13">
        <v>25241</v>
      </c>
      <c r="E18" s="70">
        <v>75</v>
      </c>
      <c r="F18" s="33" t="s">
        <v>288</v>
      </c>
      <c r="G18" s="11">
        <v>25362</v>
      </c>
      <c r="H18" s="67">
        <v>50</v>
      </c>
      <c r="I18" s="12" t="s">
        <v>339</v>
      </c>
      <c r="J18" s="61">
        <v>25464</v>
      </c>
      <c r="K18" s="71">
        <v>25</v>
      </c>
      <c r="L18" s="68" t="s">
        <v>287</v>
      </c>
      <c r="M18" s="75"/>
      <c r="N18" s="73"/>
      <c r="O18" s="15"/>
    </row>
    <row r="19" spans="1:15" x14ac:dyDescent="0.25">
      <c r="A19" s="16">
        <v>25089</v>
      </c>
      <c r="B19" s="124">
        <v>75</v>
      </c>
      <c r="C19" s="17" t="s">
        <v>270</v>
      </c>
      <c r="D19" s="13">
        <v>25242</v>
      </c>
      <c r="E19" s="70">
        <v>650</v>
      </c>
      <c r="F19" s="14" t="s">
        <v>289</v>
      </c>
      <c r="G19" s="11">
        <v>25363</v>
      </c>
      <c r="H19" s="67">
        <v>125</v>
      </c>
      <c r="I19" s="12" t="s">
        <v>292</v>
      </c>
      <c r="J19" s="61">
        <v>25465</v>
      </c>
      <c r="K19" s="71">
        <v>100</v>
      </c>
      <c r="L19" s="62" t="s">
        <v>374</v>
      </c>
      <c r="M19" s="75"/>
      <c r="N19" s="73"/>
      <c r="O19" s="15"/>
    </row>
    <row r="20" spans="1:15" x14ac:dyDescent="0.25">
      <c r="A20" s="16">
        <v>25090</v>
      </c>
      <c r="B20" s="124">
        <v>75</v>
      </c>
      <c r="C20" s="17" t="s">
        <v>270</v>
      </c>
      <c r="D20" s="13"/>
      <c r="E20" s="70"/>
      <c r="F20" s="14" t="s">
        <v>282</v>
      </c>
      <c r="G20" s="11">
        <v>25364</v>
      </c>
      <c r="H20" s="67">
        <v>125</v>
      </c>
      <c r="I20" s="12" t="s">
        <v>292</v>
      </c>
      <c r="J20" s="61">
        <v>25466</v>
      </c>
      <c r="K20" s="71">
        <v>75</v>
      </c>
      <c r="L20" s="62" t="s">
        <v>288</v>
      </c>
      <c r="M20" s="75"/>
      <c r="N20" s="73"/>
      <c r="O20" s="15"/>
    </row>
    <row r="21" spans="1:15" x14ac:dyDescent="0.25">
      <c r="A21" s="16">
        <v>25091</v>
      </c>
      <c r="B21" s="124">
        <v>500</v>
      </c>
      <c r="C21" s="17" t="s">
        <v>172</v>
      </c>
      <c r="D21" s="13">
        <v>25243</v>
      </c>
      <c r="E21" s="70">
        <v>50</v>
      </c>
      <c r="F21" s="14" t="s">
        <v>282</v>
      </c>
      <c r="G21" s="11">
        <v>25365</v>
      </c>
      <c r="H21" s="67">
        <v>100</v>
      </c>
      <c r="I21" s="12" t="s">
        <v>280</v>
      </c>
      <c r="J21" s="61">
        <v>25467</v>
      </c>
      <c r="K21" s="71">
        <v>100</v>
      </c>
      <c r="L21" s="62" t="s">
        <v>374</v>
      </c>
      <c r="M21" s="75"/>
      <c r="N21" s="73"/>
      <c r="O21" s="31"/>
    </row>
    <row r="22" spans="1:15" x14ac:dyDescent="0.25">
      <c r="A22" s="16">
        <v>25092</v>
      </c>
      <c r="B22" s="124">
        <v>900</v>
      </c>
      <c r="C22" s="17" t="s">
        <v>271</v>
      </c>
      <c r="D22" s="13">
        <v>25244</v>
      </c>
      <c r="E22" s="70">
        <v>50</v>
      </c>
      <c r="F22" s="14" t="s">
        <v>282</v>
      </c>
      <c r="G22" s="11">
        <v>25366</v>
      </c>
      <c r="H22" s="67">
        <v>75</v>
      </c>
      <c r="I22" s="12" t="s">
        <v>288</v>
      </c>
      <c r="J22" s="61">
        <v>25468</v>
      </c>
      <c r="K22" s="71">
        <v>50</v>
      </c>
      <c r="L22" s="62" t="s">
        <v>339</v>
      </c>
      <c r="M22" s="75"/>
      <c r="N22" s="73"/>
      <c r="O22" s="15"/>
    </row>
    <row r="23" spans="1:15" x14ac:dyDescent="0.25">
      <c r="A23" s="16"/>
      <c r="B23" s="124"/>
      <c r="C23" s="17" t="s">
        <v>18</v>
      </c>
      <c r="D23" s="13">
        <v>25245</v>
      </c>
      <c r="E23" s="70">
        <v>50</v>
      </c>
      <c r="F23" s="14" t="s">
        <v>282</v>
      </c>
      <c r="G23" s="11">
        <v>25367</v>
      </c>
      <c r="H23" s="67">
        <v>100</v>
      </c>
      <c r="I23" s="12" t="s">
        <v>280</v>
      </c>
      <c r="J23" s="61">
        <v>25469</v>
      </c>
      <c r="K23" s="71">
        <v>75</v>
      </c>
      <c r="L23" s="62" t="s">
        <v>288</v>
      </c>
      <c r="M23" s="75"/>
      <c r="N23" s="73"/>
      <c r="O23" s="15"/>
    </row>
    <row r="24" spans="1:15" x14ac:dyDescent="0.25">
      <c r="A24" s="16">
        <v>25093</v>
      </c>
      <c r="B24" s="124">
        <v>25</v>
      </c>
      <c r="C24" s="17" t="s">
        <v>268</v>
      </c>
      <c r="D24" s="13">
        <v>25246</v>
      </c>
      <c r="E24" s="70">
        <v>25</v>
      </c>
      <c r="F24" s="14" t="s">
        <v>287</v>
      </c>
      <c r="G24" s="11">
        <v>25368</v>
      </c>
      <c r="H24" s="67">
        <v>500</v>
      </c>
      <c r="I24" s="12" t="s">
        <v>172</v>
      </c>
      <c r="J24" s="61">
        <v>25470</v>
      </c>
      <c r="K24" s="71">
        <v>75</v>
      </c>
      <c r="L24" s="62" t="s">
        <v>288</v>
      </c>
      <c r="M24" s="75"/>
      <c r="N24" s="73"/>
      <c r="O24" s="15"/>
    </row>
    <row r="25" spans="1:15" x14ac:dyDescent="0.25">
      <c r="A25" s="16">
        <v>25094</v>
      </c>
      <c r="B25" s="124">
        <v>500</v>
      </c>
      <c r="C25" s="17" t="s">
        <v>82</v>
      </c>
      <c r="D25" s="13">
        <v>25247</v>
      </c>
      <c r="E25" s="70">
        <v>950</v>
      </c>
      <c r="F25" s="14" t="s">
        <v>290</v>
      </c>
      <c r="G25" s="11">
        <v>25369</v>
      </c>
      <c r="H25" s="67">
        <v>50</v>
      </c>
      <c r="I25" s="12" t="s">
        <v>339</v>
      </c>
      <c r="J25" s="61">
        <v>25471</v>
      </c>
      <c r="K25" s="71">
        <v>50</v>
      </c>
      <c r="L25" s="62" t="s">
        <v>339</v>
      </c>
      <c r="M25" s="75"/>
      <c r="N25" s="73"/>
      <c r="O25" s="15"/>
    </row>
    <row r="26" spans="1:15" x14ac:dyDescent="0.25">
      <c r="A26" s="16">
        <v>25095</v>
      </c>
      <c r="B26" s="124">
        <v>450</v>
      </c>
      <c r="C26" s="17"/>
      <c r="D26" s="13">
        <v>25248</v>
      </c>
      <c r="E26" s="70">
        <v>725</v>
      </c>
      <c r="F26" s="14" t="s">
        <v>291</v>
      </c>
      <c r="G26" s="11">
        <v>25370</v>
      </c>
      <c r="H26" s="67">
        <v>50</v>
      </c>
      <c r="I26" s="12" t="s">
        <v>339</v>
      </c>
      <c r="J26" s="61">
        <v>25472</v>
      </c>
      <c r="K26" s="71">
        <v>50</v>
      </c>
      <c r="L26" s="62" t="s">
        <v>339</v>
      </c>
      <c r="M26" s="75"/>
      <c r="N26" s="73"/>
      <c r="O26" s="15"/>
    </row>
    <row r="27" spans="1:15" x14ac:dyDescent="0.25">
      <c r="A27" s="16">
        <v>25096</v>
      </c>
      <c r="B27" s="124">
        <v>50</v>
      </c>
      <c r="C27" s="115" t="s">
        <v>269</v>
      </c>
      <c r="D27" s="13">
        <v>25249</v>
      </c>
      <c r="E27" s="70">
        <v>125</v>
      </c>
      <c r="F27" s="14" t="s">
        <v>292</v>
      </c>
      <c r="G27" s="11">
        <v>25371</v>
      </c>
      <c r="H27" s="67">
        <v>100</v>
      </c>
      <c r="I27" s="12" t="s">
        <v>280</v>
      </c>
      <c r="J27" s="61">
        <v>25473</v>
      </c>
      <c r="K27" s="71">
        <v>375</v>
      </c>
      <c r="L27" s="62" t="s">
        <v>377</v>
      </c>
      <c r="M27" s="75"/>
      <c r="N27" s="73"/>
      <c r="O27" s="31"/>
    </row>
    <row r="28" spans="1:15" x14ac:dyDescent="0.25">
      <c r="A28" s="16">
        <v>25097</v>
      </c>
      <c r="B28" s="124">
        <v>500</v>
      </c>
      <c r="C28" s="17"/>
      <c r="D28" s="13">
        <v>25250</v>
      </c>
      <c r="E28" s="70">
        <v>75</v>
      </c>
      <c r="F28" s="14" t="s">
        <v>288</v>
      </c>
      <c r="G28" s="11">
        <v>25372</v>
      </c>
      <c r="H28" s="67">
        <v>350</v>
      </c>
      <c r="I28" s="12" t="s">
        <v>340</v>
      </c>
      <c r="J28" s="61"/>
      <c r="K28" s="71"/>
      <c r="L28" s="62" t="s">
        <v>287</v>
      </c>
      <c r="M28" s="75"/>
      <c r="N28" s="73"/>
      <c r="O28" s="15"/>
    </row>
    <row r="29" spans="1:15" x14ac:dyDescent="0.25">
      <c r="A29" s="16">
        <v>25098</v>
      </c>
      <c r="B29" s="124">
        <v>50</v>
      </c>
      <c r="C29" s="17" t="s">
        <v>269</v>
      </c>
      <c r="D29" s="13">
        <v>25251</v>
      </c>
      <c r="E29" s="70">
        <v>500</v>
      </c>
      <c r="F29" s="14" t="s">
        <v>293</v>
      </c>
      <c r="G29" s="11">
        <v>25373</v>
      </c>
      <c r="H29" s="67">
        <v>250</v>
      </c>
      <c r="I29" s="12" t="s">
        <v>341</v>
      </c>
      <c r="J29" s="61">
        <v>25474</v>
      </c>
      <c r="K29" s="71">
        <v>125</v>
      </c>
      <c r="L29" s="62" t="s">
        <v>292</v>
      </c>
      <c r="M29" s="75"/>
      <c r="N29" s="73"/>
      <c r="O29" s="15"/>
    </row>
    <row r="30" spans="1:15" x14ac:dyDescent="0.25">
      <c r="A30" s="16">
        <v>25099</v>
      </c>
      <c r="B30" s="124">
        <v>500</v>
      </c>
      <c r="C30" s="17"/>
      <c r="D30" s="13">
        <v>25252</v>
      </c>
      <c r="E30" s="70">
        <v>75</v>
      </c>
      <c r="F30" s="14" t="s">
        <v>288</v>
      </c>
      <c r="G30" s="11">
        <v>25374</v>
      </c>
      <c r="H30" s="67">
        <v>600</v>
      </c>
      <c r="I30" s="12" t="s">
        <v>342</v>
      </c>
      <c r="J30" s="61">
        <v>25475</v>
      </c>
      <c r="K30" s="71">
        <v>50</v>
      </c>
      <c r="L30" s="62" t="s">
        <v>339</v>
      </c>
      <c r="M30" s="75"/>
      <c r="N30" s="73"/>
      <c r="O30" s="15"/>
    </row>
    <row r="31" spans="1:15" x14ac:dyDescent="0.25">
      <c r="A31" s="16">
        <v>25100</v>
      </c>
      <c r="B31" s="124">
        <v>500</v>
      </c>
      <c r="C31" s="17"/>
      <c r="D31" s="13">
        <v>25253</v>
      </c>
      <c r="E31" s="70">
        <v>75</v>
      </c>
      <c r="F31" s="14" t="s">
        <v>288</v>
      </c>
      <c r="G31" s="11">
        <v>25375</v>
      </c>
      <c r="H31" s="67">
        <v>100</v>
      </c>
      <c r="I31" s="12" t="s">
        <v>280</v>
      </c>
      <c r="J31" s="61">
        <v>25476</v>
      </c>
      <c r="K31" s="71">
        <v>475</v>
      </c>
      <c r="L31" s="62" t="s">
        <v>377</v>
      </c>
      <c r="M31" s="75"/>
      <c r="N31" s="73"/>
      <c r="O31" s="15"/>
    </row>
    <row r="32" spans="1:15" x14ac:dyDescent="0.25">
      <c r="A32" s="16">
        <v>25101</v>
      </c>
      <c r="B32" s="124">
        <v>125</v>
      </c>
      <c r="C32" s="17" t="s">
        <v>272</v>
      </c>
      <c r="D32" s="13">
        <v>25254</v>
      </c>
      <c r="E32" s="70">
        <v>1625</v>
      </c>
      <c r="F32" s="14" t="s">
        <v>294</v>
      </c>
      <c r="G32" s="11">
        <v>25376</v>
      </c>
      <c r="H32" s="67">
        <v>1275</v>
      </c>
      <c r="I32" s="12" t="s">
        <v>260</v>
      </c>
      <c r="J32" s="61"/>
      <c r="K32" s="71"/>
      <c r="L32" s="62" t="s">
        <v>288</v>
      </c>
      <c r="M32" s="75"/>
      <c r="N32" s="73"/>
      <c r="O32" s="15"/>
    </row>
    <row r="33" spans="1:15" x14ac:dyDescent="0.25">
      <c r="A33" s="16">
        <v>25102</v>
      </c>
      <c r="B33" s="124">
        <v>425</v>
      </c>
      <c r="C33" s="17" t="s">
        <v>273</v>
      </c>
      <c r="D33" s="13"/>
      <c r="E33" s="70"/>
      <c r="F33" s="14" t="s">
        <v>288</v>
      </c>
      <c r="G33" s="11"/>
      <c r="H33" s="67"/>
      <c r="I33" s="12" t="s">
        <v>288</v>
      </c>
      <c r="J33" s="61">
        <v>25477</v>
      </c>
      <c r="K33" s="71">
        <v>75</v>
      </c>
      <c r="L33" s="62" t="s">
        <v>288</v>
      </c>
      <c r="M33" s="75"/>
      <c r="N33" s="73"/>
      <c r="O33" s="15"/>
    </row>
    <row r="34" spans="1:15" x14ac:dyDescent="0.25">
      <c r="A34" s="16">
        <v>25103</v>
      </c>
      <c r="B34" s="124">
        <v>400</v>
      </c>
      <c r="C34" s="115"/>
      <c r="D34" s="97">
        <v>25255</v>
      </c>
      <c r="E34" s="70">
        <v>5900</v>
      </c>
      <c r="F34" s="14" t="s">
        <v>295</v>
      </c>
      <c r="G34" s="11">
        <v>25377</v>
      </c>
      <c r="H34" s="67">
        <v>1300</v>
      </c>
      <c r="I34" s="96" t="s">
        <v>223</v>
      </c>
      <c r="J34" s="61">
        <v>25478</v>
      </c>
      <c r="K34" s="71">
        <v>50</v>
      </c>
      <c r="L34" s="62" t="s">
        <v>339</v>
      </c>
      <c r="M34" s="75"/>
      <c r="N34" s="73"/>
      <c r="O34" s="31"/>
    </row>
    <row r="35" spans="1:15" x14ac:dyDescent="0.25">
      <c r="A35" s="16">
        <v>25104</v>
      </c>
      <c r="B35" s="124">
        <v>50</v>
      </c>
      <c r="C35" s="17" t="s">
        <v>19</v>
      </c>
      <c r="D35" s="13"/>
      <c r="E35" s="70"/>
      <c r="F35" s="14" t="s">
        <v>296</v>
      </c>
      <c r="G35" s="11"/>
      <c r="H35" s="67"/>
      <c r="I35" s="12" t="s">
        <v>343</v>
      </c>
      <c r="J35" s="61">
        <v>25479</v>
      </c>
      <c r="K35" s="71"/>
      <c r="L35" s="62" t="s">
        <v>20</v>
      </c>
      <c r="M35" s="75"/>
      <c r="N35" s="73"/>
      <c r="O35" s="15"/>
    </row>
    <row r="36" spans="1:15" x14ac:dyDescent="0.25">
      <c r="A36" s="16">
        <v>25105</v>
      </c>
      <c r="B36" s="124">
        <v>50</v>
      </c>
      <c r="C36" s="17" t="s">
        <v>269</v>
      </c>
      <c r="D36" s="13">
        <v>25256</v>
      </c>
      <c r="E36" s="70">
        <v>625</v>
      </c>
      <c r="F36" s="14" t="s">
        <v>281</v>
      </c>
      <c r="G36" s="11">
        <v>25378</v>
      </c>
      <c r="H36" s="67">
        <v>500</v>
      </c>
      <c r="I36" s="12" t="s">
        <v>172</v>
      </c>
      <c r="J36" s="61">
        <v>25480</v>
      </c>
      <c r="K36" s="71">
        <v>1550</v>
      </c>
      <c r="L36" s="62" t="s">
        <v>378</v>
      </c>
      <c r="M36" s="75"/>
      <c r="N36" s="73"/>
      <c r="O36" s="15"/>
    </row>
    <row r="37" spans="1:15" x14ac:dyDescent="0.25">
      <c r="A37" s="16">
        <v>25106</v>
      </c>
      <c r="B37" s="124">
        <v>500</v>
      </c>
      <c r="C37" s="17" t="s">
        <v>238</v>
      </c>
      <c r="D37" s="13">
        <v>25257</v>
      </c>
      <c r="E37" s="70">
        <v>100</v>
      </c>
      <c r="F37" s="14" t="s">
        <v>280</v>
      </c>
      <c r="G37" s="11">
        <v>25379</v>
      </c>
      <c r="H37" s="67">
        <v>75</v>
      </c>
      <c r="I37" s="12" t="s">
        <v>288</v>
      </c>
      <c r="J37" s="61"/>
      <c r="K37" s="71"/>
      <c r="L37" s="62" t="s">
        <v>379</v>
      </c>
      <c r="M37" s="75"/>
      <c r="N37" s="73"/>
      <c r="O37" s="15"/>
    </row>
    <row r="38" spans="1:15" x14ac:dyDescent="0.25">
      <c r="A38" s="16"/>
      <c r="B38" s="124"/>
      <c r="C38" s="17" t="s">
        <v>16</v>
      </c>
      <c r="D38" s="13">
        <v>25258</v>
      </c>
      <c r="E38" s="70">
        <v>50</v>
      </c>
      <c r="F38" s="14" t="s">
        <v>282</v>
      </c>
      <c r="G38" s="11">
        <v>25380</v>
      </c>
      <c r="H38" s="67">
        <v>75</v>
      </c>
      <c r="I38" s="12" t="s">
        <v>288</v>
      </c>
      <c r="J38" s="61">
        <v>25481</v>
      </c>
      <c r="K38" s="71">
        <v>475</v>
      </c>
      <c r="L38" s="62" t="s">
        <v>298</v>
      </c>
      <c r="M38" s="75"/>
      <c r="N38" s="73"/>
      <c r="O38" s="15"/>
    </row>
    <row r="39" spans="1:15" x14ac:dyDescent="0.25">
      <c r="A39" s="16">
        <v>25107</v>
      </c>
      <c r="B39" s="124">
        <v>50</v>
      </c>
      <c r="C39" s="17" t="s">
        <v>269</v>
      </c>
      <c r="D39" s="13">
        <v>25259</v>
      </c>
      <c r="E39" s="70">
        <v>650</v>
      </c>
      <c r="F39" s="14" t="s">
        <v>289</v>
      </c>
      <c r="G39" s="11">
        <v>25381</v>
      </c>
      <c r="H39" s="67">
        <v>500</v>
      </c>
      <c r="I39" s="12" t="s">
        <v>172</v>
      </c>
      <c r="J39" s="61">
        <v>25482</v>
      </c>
      <c r="K39" s="71">
        <v>75</v>
      </c>
      <c r="L39" s="62" t="s">
        <v>288</v>
      </c>
      <c r="M39" s="75"/>
      <c r="N39" s="73"/>
      <c r="O39" s="15"/>
    </row>
    <row r="40" spans="1:15" x14ac:dyDescent="0.25">
      <c r="A40" s="16">
        <v>25108</v>
      </c>
      <c r="B40" s="124">
        <v>800</v>
      </c>
      <c r="C40" s="17" t="s">
        <v>223</v>
      </c>
      <c r="D40" s="13"/>
      <c r="E40" s="70"/>
      <c r="F40" s="14" t="s">
        <v>282</v>
      </c>
      <c r="G40" s="11">
        <v>25382</v>
      </c>
      <c r="H40" s="67">
        <v>50</v>
      </c>
      <c r="I40" s="12" t="s">
        <v>339</v>
      </c>
      <c r="J40" s="61">
        <v>25483</v>
      </c>
      <c r="K40" s="71">
        <v>300</v>
      </c>
      <c r="L40" s="62" t="s">
        <v>381</v>
      </c>
      <c r="M40" s="75"/>
      <c r="N40" s="73"/>
      <c r="O40" s="15"/>
    </row>
    <row r="41" spans="1:15" x14ac:dyDescent="0.25">
      <c r="A41" s="16"/>
      <c r="B41" s="124"/>
      <c r="C41" s="17" t="s">
        <v>17</v>
      </c>
      <c r="D41" s="13">
        <v>25260</v>
      </c>
      <c r="E41" s="70">
        <v>550</v>
      </c>
      <c r="F41" s="14" t="s">
        <v>297</v>
      </c>
      <c r="G41" s="11">
        <v>25383</v>
      </c>
      <c r="H41" s="67">
        <v>50</v>
      </c>
      <c r="I41" s="12" t="s">
        <v>339</v>
      </c>
      <c r="J41" s="61">
        <v>25484</v>
      </c>
      <c r="K41" s="71">
        <v>950</v>
      </c>
      <c r="L41" s="62" t="s">
        <v>382</v>
      </c>
      <c r="M41" s="75"/>
      <c r="N41" s="73"/>
      <c r="O41" s="15"/>
    </row>
    <row r="42" spans="1:15" x14ac:dyDescent="0.25">
      <c r="A42" s="16">
        <v>25109</v>
      </c>
      <c r="B42" s="124">
        <v>50</v>
      </c>
      <c r="C42" s="17" t="s">
        <v>269</v>
      </c>
      <c r="D42" s="13">
        <v>25261</v>
      </c>
      <c r="E42" s="70">
        <v>425</v>
      </c>
      <c r="F42" s="14" t="s">
        <v>298</v>
      </c>
      <c r="G42" s="11">
        <v>25384</v>
      </c>
      <c r="H42" s="67">
        <v>500</v>
      </c>
      <c r="I42" s="12"/>
      <c r="J42" s="61"/>
      <c r="K42" s="71"/>
      <c r="L42" s="62" t="s">
        <v>383</v>
      </c>
      <c r="M42" s="75"/>
      <c r="N42" s="73"/>
      <c r="O42" s="15"/>
    </row>
    <row r="43" spans="1:15" x14ac:dyDescent="0.25">
      <c r="A43" s="16">
        <v>25110</v>
      </c>
      <c r="B43" s="124">
        <v>1000</v>
      </c>
      <c r="C43" s="17" t="s">
        <v>238</v>
      </c>
      <c r="D43" s="13">
        <v>25262</v>
      </c>
      <c r="E43" s="70">
        <v>50</v>
      </c>
      <c r="F43" s="14" t="s">
        <v>282</v>
      </c>
      <c r="G43" s="11">
        <v>25385</v>
      </c>
      <c r="H43" s="67">
        <v>50</v>
      </c>
      <c r="I43" s="12" t="s">
        <v>339</v>
      </c>
      <c r="J43" s="61">
        <v>25485</v>
      </c>
      <c r="K43" s="71">
        <v>600</v>
      </c>
      <c r="L43" s="62" t="s">
        <v>384</v>
      </c>
      <c r="M43" s="75"/>
      <c r="N43" s="73"/>
      <c r="O43" s="15"/>
    </row>
    <row r="44" spans="1:15" x14ac:dyDescent="0.25">
      <c r="A44" s="16"/>
      <c r="B44" s="124"/>
      <c r="C44" s="17" t="s">
        <v>64</v>
      </c>
      <c r="D44" s="13">
        <v>25263</v>
      </c>
      <c r="E44" s="70">
        <v>100</v>
      </c>
      <c r="F44" s="14" t="s">
        <v>280</v>
      </c>
      <c r="G44" s="11">
        <v>25386</v>
      </c>
      <c r="H44" s="67">
        <v>1125</v>
      </c>
      <c r="I44" s="12" t="s">
        <v>223</v>
      </c>
      <c r="J44" s="61"/>
      <c r="K44" s="71"/>
      <c r="L44" s="62" t="s">
        <v>52</v>
      </c>
      <c r="M44" s="75"/>
      <c r="N44" s="73"/>
      <c r="O44" s="15"/>
    </row>
    <row r="45" spans="1:15" x14ac:dyDescent="0.25">
      <c r="A45" s="16">
        <v>25111</v>
      </c>
      <c r="B45" s="124">
        <v>50</v>
      </c>
      <c r="C45" s="17" t="s">
        <v>269</v>
      </c>
      <c r="D45" s="13">
        <v>25264</v>
      </c>
      <c r="E45" s="70"/>
      <c r="F45" s="14" t="s">
        <v>20</v>
      </c>
      <c r="G45" s="11"/>
      <c r="H45" s="67"/>
      <c r="I45" s="12" t="s">
        <v>344</v>
      </c>
      <c r="J45" s="61">
        <v>25486</v>
      </c>
      <c r="K45" s="71">
        <v>650</v>
      </c>
      <c r="L45" s="62" t="s">
        <v>385</v>
      </c>
      <c r="M45" s="75"/>
      <c r="N45" s="73"/>
      <c r="O45" s="15"/>
    </row>
    <row r="46" spans="1:15" x14ac:dyDescent="0.25">
      <c r="A46" s="16">
        <v>25112</v>
      </c>
      <c r="B46" s="124">
        <v>2000</v>
      </c>
      <c r="C46" s="17" t="s">
        <v>274</v>
      </c>
      <c r="D46" s="13">
        <v>25265</v>
      </c>
      <c r="E46" s="70">
        <v>700</v>
      </c>
      <c r="F46" s="14" t="s">
        <v>299</v>
      </c>
      <c r="G46" s="11">
        <v>25387</v>
      </c>
      <c r="H46" s="67">
        <v>400</v>
      </c>
      <c r="I46" s="12" t="s">
        <v>345</v>
      </c>
      <c r="J46" s="61"/>
      <c r="K46" s="71"/>
      <c r="L46" s="62" t="s">
        <v>386</v>
      </c>
      <c r="M46" s="75"/>
      <c r="N46" s="73"/>
      <c r="O46" s="15"/>
    </row>
    <row r="47" spans="1:15" x14ac:dyDescent="0.25">
      <c r="A47" s="16"/>
      <c r="B47" s="124"/>
      <c r="C47" s="17" t="s">
        <v>64</v>
      </c>
      <c r="D47" s="13">
        <v>25266</v>
      </c>
      <c r="E47" s="70">
        <v>300</v>
      </c>
      <c r="F47" s="14" t="s">
        <v>300</v>
      </c>
      <c r="G47" s="11">
        <v>25388</v>
      </c>
      <c r="H47" s="67">
        <v>450</v>
      </c>
      <c r="I47" s="12" t="s">
        <v>340</v>
      </c>
      <c r="J47" s="61"/>
      <c r="K47" s="71"/>
      <c r="L47" s="62" t="s">
        <v>339</v>
      </c>
      <c r="M47" s="75"/>
      <c r="N47" s="73"/>
      <c r="O47" s="15"/>
    </row>
    <row r="48" spans="1:15" x14ac:dyDescent="0.25">
      <c r="A48" s="16">
        <v>25113</v>
      </c>
      <c r="B48" s="124">
        <v>500</v>
      </c>
      <c r="C48" s="17"/>
      <c r="D48" s="13">
        <v>25267</v>
      </c>
      <c r="E48" s="70">
        <v>650</v>
      </c>
      <c r="F48" s="14" t="s">
        <v>301</v>
      </c>
      <c r="G48" s="11">
        <v>25389</v>
      </c>
      <c r="H48" s="67">
        <v>500</v>
      </c>
      <c r="I48" s="12" t="s">
        <v>196</v>
      </c>
      <c r="J48" s="61">
        <v>25487</v>
      </c>
      <c r="K48" s="71">
        <v>1550</v>
      </c>
      <c r="L48" s="62" t="s">
        <v>387</v>
      </c>
      <c r="M48" s="75"/>
      <c r="N48" s="73"/>
      <c r="O48" s="15"/>
    </row>
    <row r="49" spans="1:15" x14ac:dyDescent="0.25">
      <c r="A49" s="16">
        <v>25114</v>
      </c>
      <c r="B49" s="124">
        <v>50</v>
      </c>
      <c r="C49" s="17" t="s">
        <v>269</v>
      </c>
      <c r="D49" s="13">
        <v>25268</v>
      </c>
      <c r="E49" s="70">
        <v>25</v>
      </c>
      <c r="F49" s="14" t="s">
        <v>287</v>
      </c>
      <c r="G49" s="11"/>
      <c r="H49" s="67"/>
      <c r="I49" s="12" t="s">
        <v>16</v>
      </c>
      <c r="J49" s="61"/>
      <c r="K49" s="71"/>
      <c r="L49" s="62" t="s">
        <v>336</v>
      </c>
      <c r="M49" s="75"/>
      <c r="N49" s="73"/>
      <c r="O49" s="15"/>
    </row>
    <row r="50" spans="1:15" x14ac:dyDescent="0.25">
      <c r="A50" s="16">
        <v>25115</v>
      </c>
      <c r="B50" s="124">
        <v>1000</v>
      </c>
      <c r="C50" s="17" t="s">
        <v>238</v>
      </c>
      <c r="D50" s="13">
        <v>25269</v>
      </c>
      <c r="E50" s="70">
        <v>300</v>
      </c>
      <c r="F50" s="14" t="s">
        <v>302</v>
      </c>
      <c r="G50" s="11">
        <v>25390</v>
      </c>
      <c r="H50" s="67">
        <v>525</v>
      </c>
      <c r="I50" s="12" t="s">
        <v>346</v>
      </c>
      <c r="J50" s="61"/>
      <c r="K50" s="71"/>
      <c r="L50" s="62" t="s">
        <v>339</v>
      </c>
      <c r="M50" s="75"/>
      <c r="N50" s="73"/>
      <c r="O50" s="15"/>
    </row>
    <row r="51" spans="1:15" x14ac:dyDescent="0.25">
      <c r="A51" s="16"/>
      <c r="B51" s="124"/>
      <c r="C51" s="17" t="s">
        <v>64</v>
      </c>
      <c r="D51" s="13">
        <v>25270</v>
      </c>
      <c r="E51" s="70">
        <v>1575</v>
      </c>
      <c r="F51" s="14" t="s">
        <v>303</v>
      </c>
      <c r="G51" s="11">
        <v>25391</v>
      </c>
      <c r="H51" s="67">
        <v>300</v>
      </c>
      <c r="I51" s="12"/>
      <c r="J51" s="61">
        <v>25488</v>
      </c>
      <c r="K51" s="71">
        <v>300</v>
      </c>
      <c r="L51" s="62" t="s">
        <v>388</v>
      </c>
      <c r="M51" s="75"/>
      <c r="N51" s="73"/>
      <c r="O51" s="15"/>
    </row>
    <row r="52" spans="1:15" x14ac:dyDescent="0.25">
      <c r="A52" s="16">
        <v>25116</v>
      </c>
      <c r="B52" s="124">
        <v>75</v>
      </c>
      <c r="C52" s="17" t="s">
        <v>270</v>
      </c>
      <c r="D52" s="13"/>
      <c r="E52" s="70"/>
      <c r="F52" s="14" t="s">
        <v>288</v>
      </c>
      <c r="G52" s="11">
        <v>25392</v>
      </c>
      <c r="H52" s="67">
        <v>1550</v>
      </c>
      <c r="I52" s="12" t="s">
        <v>251</v>
      </c>
      <c r="J52" s="61">
        <v>25489</v>
      </c>
      <c r="K52" s="71">
        <v>50</v>
      </c>
      <c r="L52" s="68" t="s">
        <v>339</v>
      </c>
      <c r="M52" s="75"/>
      <c r="N52" s="73"/>
      <c r="O52" s="15"/>
    </row>
    <row r="53" spans="1:15" x14ac:dyDescent="0.25">
      <c r="A53" s="16">
        <v>25117</v>
      </c>
      <c r="B53" s="124">
        <v>500</v>
      </c>
      <c r="C53" s="17" t="s">
        <v>223</v>
      </c>
      <c r="D53" s="13">
        <v>25271</v>
      </c>
      <c r="E53" s="70">
        <v>1625</v>
      </c>
      <c r="F53" s="14" t="s">
        <v>303</v>
      </c>
      <c r="G53" s="11"/>
      <c r="H53" s="67"/>
      <c r="I53" s="12" t="s">
        <v>336</v>
      </c>
      <c r="J53" s="61">
        <v>25490</v>
      </c>
      <c r="K53" s="71">
        <v>25</v>
      </c>
      <c r="L53" s="62" t="s">
        <v>287</v>
      </c>
      <c r="M53" s="75"/>
      <c r="N53" s="73"/>
      <c r="O53" s="15"/>
    </row>
    <row r="54" spans="1:15" x14ac:dyDescent="0.25">
      <c r="A54" s="16"/>
      <c r="B54" s="124"/>
      <c r="C54" s="17" t="s">
        <v>16</v>
      </c>
      <c r="D54" s="13"/>
      <c r="E54" s="70"/>
      <c r="F54" s="14" t="s">
        <v>292</v>
      </c>
      <c r="G54" s="11"/>
      <c r="H54" s="67"/>
      <c r="I54" s="12" t="s">
        <v>339</v>
      </c>
      <c r="J54" s="61">
        <v>25491</v>
      </c>
      <c r="K54" s="71">
        <v>50</v>
      </c>
      <c r="L54" s="62" t="s">
        <v>389</v>
      </c>
      <c r="M54" s="75"/>
      <c r="N54" s="73"/>
      <c r="O54" s="15"/>
    </row>
    <row r="55" spans="1:15" x14ac:dyDescent="0.25">
      <c r="A55" s="16">
        <v>25118</v>
      </c>
      <c r="B55" s="124">
        <v>50</v>
      </c>
      <c r="C55" s="17" t="s">
        <v>269</v>
      </c>
      <c r="D55" s="13">
        <v>25272</v>
      </c>
      <c r="E55" s="70">
        <v>600</v>
      </c>
      <c r="F55" s="14" t="s">
        <v>293</v>
      </c>
      <c r="G55" s="11">
        <v>25393</v>
      </c>
      <c r="H55" s="67">
        <v>150</v>
      </c>
      <c r="I55" s="12" t="s">
        <v>347</v>
      </c>
      <c r="J55" s="61">
        <v>25492</v>
      </c>
      <c r="K55" s="71">
        <v>500</v>
      </c>
      <c r="L55" s="62" t="s">
        <v>293</v>
      </c>
      <c r="M55" s="75"/>
      <c r="N55" s="73"/>
      <c r="O55" s="15"/>
    </row>
    <row r="56" spans="1:15" x14ac:dyDescent="0.25">
      <c r="A56" s="16">
        <v>25119</v>
      </c>
      <c r="B56" s="124">
        <v>500</v>
      </c>
      <c r="C56" s="17"/>
      <c r="D56" s="13">
        <v>25273</v>
      </c>
      <c r="E56" s="70">
        <v>150</v>
      </c>
      <c r="F56" s="14" t="s">
        <v>304</v>
      </c>
      <c r="G56" s="11"/>
      <c r="H56" s="67"/>
      <c r="I56" s="12" t="s">
        <v>348</v>
      </c>
      <c r="J56" s="61">
        <v>25493</v>
      </c>
      <c r="K56" s="71">
        <v>400</v>
      </c>
      <c r="L56" s="62" t="s">
        <v>390</v>
      </c>
      <c r="M56" s="75"/>
      <c r="N56" s="73"/>
      <c r="O56" s="15"/>
    </row>
    <row r="57" spans="1:15" x14ac:dyDescent="0.25">
      <c r="A57" s="16">
        <v>25120</v>
      </c>
      <c r="B57" s="124">
        <v>25</v>
      </c>
      <c r="C57" s="17" t="s">
        <v>268</v>
      </c>
      <c r="D57" s="13">
        <v>25274</v>
      </c>
      <c r="E57" s="70">
        <v>375</v>
      </c>
      <c r="F57" s="14" t="s">
        <v>305</v>
      </c>
      <c r="G57" s="11">
        <v>25394</v>
      </c>
      <c r="H57" s="67">
        <v>500</v>
      </c>
      <c r="I57" s="12" t="s">
        <v>172</v>
      </c>
      <c r="J57" s="61">
        <v>25494</v>
      </c>
      <c r="K57" s="71">
        <v>325</v>
      </c>
      <c r="L57" s="62" t="s">
        <v>391</v>
      </c>
      <c r="M57" s="75"/>
      <c r="N57" s="73"/>
      <c r="O57" s="15"/>
    </row>
    <row r="58" spans="1:15" x14ac:dyDescent="0.25">
      <c r="A58" s="16">
        <v>25121</v>
      </c>
      <c r="B58" s="124">
        <v>100</v>
      </c>
      <c r="C58" s="17" t="s">
        <v>275</v>
      </c>
      <c r="D58" s="13">
        <v>25275</v>
      </c>
      <c r="E58" s="70">
        <v>50</v>
      </c>
      <c r="F58" s="14" t="s">
        <v>282</v>
      </c>
      <c r="G58" s="11">
        <v>25395</v>
      </c>
      <c r="H58" s="67">
        <v>50</v>
      </c>
      <c r="I58" s="12" t="s">
        <v>349</v>
      </c>
      <c r="J58" s="61">
        <v>25495</v>
      </c>
      <c r="K58" s="71">
        <v>100</v>
      </c>
      <c r="L58" s="62" t="s">
        <v>374</v>
      </c>
      <c r="M58" s="75"/>
      <c r="N58" s="73"/>
      <c r="O58" s="15"/>
    </row>
    <row r="59" spans="1:15" x14ac:dyDescent="0.25">
      <c r="A59" s="16">
        <v>25122</v>
      </c>
      <c r="B59" s="124">
        <v>100</v>
      </c>
      <c r="C59" s="17" t="s">
        <v>275</v>
      </c>
      <c r="D59" s="13">
        <v>25276</v>
      </c>
      <c r="E59" s="70">
        <v>25</v>
      </c>
      <c r="F59" s="14" t="s">
        <v>287</v>
      </c>
      <c r="G59" s="11">
        <v>25396</v>
      </c>
      <c r="H59" s="67">
        <v>25</v>
      </c>
      <c r="I59" s="12" t="s">
        <v>350</v>
      </c>
      <c r="J59" s="61">
        <v>25496</v>
      </c>
      <c r="K59" s="71">
        <v>50</v>
      </c>
      <c r="L59" s="62" t="s">
        <v>339</v>
      </c>
      <c r="M59" s="75"/>
      <c r="N59" s="73"/>
      <c r="O59" s="15"/>
    </row>
    <row r="60" spans="1:15" x14ac:dyDescent="0.25">
      <c r="A60" s="16">
        <v>25123</v>
      </c>
      <c r="B60" s="124">
        <v>500</v>
      </c>
      <c r="C60" s="17"/>
      <c r="D60" s="13">
        <v>25277</v>
      </c>
      <c r="E60" s="70">
        <v>75</v>
      </c>
      <c r="F60" s="14" t="s">
        <v>288</v>
      </c>
      <c r="G60" s="11">
        <v>25397</v>
      </c>
      <c r="H60" s="67">
        <v>675</v>
      </c>
      <c r="I60" s="12" t="s">
        <v>223</v>
      </c>
      <c r="J60" s="61">
        <v>25497</v>
      </c>
      <c r="K60" s="71">
        <v>75</v>
      </c>
      <c r="L60" s="62" t="s">
        <v>288</v>
      </c>
      <c r="M60" s="75"/>
      <c r="N60" s="73"/>
      <c r="O60" s="15"/>
    </row>
    <row r="61" spans="1:15" x14ac:dyDescent="0.25">
      <c r="A61" s="16">
        <v>25124</v>
      </c>
      <c r="B61" s="124">
        <v>100</v>
      </c>
      <c r="C61" s="17" t="s">
        <v>275</v>
      </c>
      <c r="D61" s="13">
        <v>25278</v>
      </c>
      <c r="E61" s="70">
        <v>300</v>
      </c>
      <c r="F61" s="14" t="s">
        <v>306</v>
      </c>
      <c r="G61" s="11"/>
      <c r="H61" s="67"/>
      <c r="I61" s="12" t="s">
        <v>288</v>
      </c>
      <c r="J61" s="61">
        <v>25498</v>
      </c>
      <c r="K61" s="71">
        <v>625</v>
      </c>
      <c r="L61" s="62" t="s">
        <v>392</v>
      </c>
      <c r="M61" s="75"/>
      <c r="N61" s="73"/>
      <c r="O61" s="15"/>
    </row>
    <row r="62" spans="1:15" x14ac:dyDescent="0.25">
      <c r="A62" s="16">
        <v>25125</v>
      </c>
      <c r="B62" s="124">
        <v>400</v>
      </c>
      <c r="C62" s="17"/>
      <c r="D62" s="13">
        <v>25279</v>
      </c>
      <c r="E62" s="70">
        <v>50</v>
      </c>
      <c r="F62" s="14" t="s">
        <v>282</v>
      </c>
      <c r="G62" s="11">
        <v>25398</v>
      </c>
      <c r="H62" s="67">
        <v>350</v>
      </c>
      <c r="I62" s="12" t="s">
        <v>118</v>
      </c>
      <c r="J62" s="61"/>
      <c r="K62" s="71"/>
      <c r="L62" s="62" t="s">
        <v>292</v>
      </c>
      <c r="M62" s="75"/>
      <c r="N62" s="73"/>
      <c r="O62" s="15"/>
    </row>
    <row r="63" spans="1:15" x14ac:dyDescent="0.25">
      <c r="A63" s="16">
        <v>25126</v>
      </c>
      <c r="B63" s="124">
        <v>25</v>
      </c>
      <c r="C63" s="17" t="s">
        <v>268</v>
      </c>
      <c r="D63" s="13">
        <v>25280</v>
      </c>
      <c r="E63" s="70">
        <v>50</v>
      </c>
      <c r="F63" s="14" t="s">
        <v>282</v>
      </c>
      <c r="G63" s="11">
        <v>25399</v>
      </c>
      <c r="H63" s="67">
        <v>575</v>
      </c>
      <c r="I63" s="12" t="s">
        <v>351</v>
      </c>
      <c r="J63" s="61">
        <v>25499</v>
      </c>
      <c r="K63" s="71">
        <v>50</v>
      </c>
      <c r="L63" s="62" t="s">
        <v>339</v>
      </c>
      <c r="M63" s="75"/>
      <c r="N63" s="73"/>
      <c r="O63" s="15"/>
    </row>
    <row r="64" spans="1:15" x14ac:dyDescent="0.25">
      <c r="A64" s="16">
        <v>25127</v>
      </c>
      <c r="B64" s="124">
        <v>75</v>
      </c>
      <c r="C64" s="17" t="s">
        <v>270</v>
      </c>
      <c r="D64" s="13">
        <v>25281</v>
      </c>
      <c r="E64" s="70">
        <v>50</v>
      </c>
      <c r="F64" s="14" t="s">
        <v>282</v>
      </c>
      <c r="G64" s="11">
        <v>25400</v>
      </c>
      <c r="H64" s="67">
        <v>75</v>
      </c>
      <c r="I64" s="12" t="s">
        <v>288</v>
      </c>
      <c r="J64" s="61">
        <v>25500</v>
      </c>
      <c r="K64" s="71">
        <v>400</v>
      </c>
      <c r="L64" s="62" t="s">
        <v>393</v>
      </c>
      <c r="M64" s="75"/>
      <c r="N64" s="73"/>
      <c r="O64" s="15"/>
    </row>
    <row r="65" spans="1:15" x14ac:dyDescent="0.25">
      <c r="A65" s="16">
        <v>25128</v>
      </c>
      <c r="B65" s="124">
        <v>800</v>
      </c>
      <c r="C65" s="17"/>
      <c r="D65" s="13">
        <v>25282</v>
      </c>
      <c r="E65" s="70">
        <v>75</v>
      </c>
      <c r="F65" s="14" t="s">
        <v>288</v>
      </c>
      <c r="G65" s="11">
        <v>25401</v>
      </c>
      <c r="H65" s="67">
        <v>700</v>
      </c>
      <c r="I65" s="12" t="s">
        <v>352</v>
      </c>
      <c r="J65" s="61"/>
      <c r="K65" s="71"/>
      <c r="L65" s="62" t="s">
        <v>374</v>
      </c>
      <c r="M65" s="75"/>
      <c r="N65" s="73"/>
      <c r="O65" s="15"/>
    </row>
    <row r="66" spans="1:15" x14ac:dyDescent="0.25">
      <c r="A66" s="16">
        <v>25129</v>
      </c>
      <c r="B66" s="124">
        <v>50</v>
      </c>
      <c r="C66" s="17" t="s">
        <v>269</v>
      </c>
      <c r="D66" s="13">
        <v>25283</v>
      </c>
      <c r="E66" s="70">
        <v>50</v>
      </c>
      <c r="F66" s="14" t="s">
        <v>282</v>
      </c>
      <c r="G66" s="11"/>
      <c r="H66" s="67"/>
      <c r="I66" s="12" t="s">
        <v>348</v>
      </c>
      <c r="J66" s="61">
        <v>25501</v>
      </c>
      <c r="K66" s="71">
        <v>75</v>
      </c>
      <c r="L66" s="62" t="s">
        <v>288</v>
      </c>
      <c r="M66" s="75"/>
      <c r="N66" s="73"/>
      <c r="O66" s="15"/>
    </row>
    <row r="67" spans="1:15" x14ac:dyDescent="0.25">
      <c r="A67" s="16">
        <v>25130</v>
      </c>
      <c r="B67" s="124">
        <v>400</v>
      </c>
      <c r="C67" s="17"/>
      <c r="D67" s="13">
        <v>25284</v>
      </c>
      <c r="E67" s="70">
        <v>850</v>
      </c>
      <c r="F67" s="14" t="s">
        <v>307</v>
      </c>
      <c r="G67" s="11">
        <v>25402</v>
      </c>
      <c r="H67" s="67">
        <v>75</v>
      </c>
      <c r="I67" s="12" t="s">
        <v>288</v>
      </c>
      <c r="J67" s="61">
        <v>25502</v>
      </c>
      <c r="K67" s="71">
        <v>400</v>
      </c>
      <c r="L67" s="62" t="s">
        <v>394</v>
      </c>
      <c r="M67" s="75"/>
      <c r="N67" s="73"/>
      <c r="O67" s="15"/>
    </row>
    <row r="68" spans="1:15" x14ac:dyDescent="0.25">
      <c r="A68" s="16">
        <v>25131</v>
      </c>
      <c r="B68" s="124">
        <v>100</v>
      </c>
      <c r="C68" s="17" t="s">
        <v>275</v>
      </c>
      <c r="D68" s="13">
        <v>25285</v>
      </c>
      <c r="E68" s="70">
        <v>675</v>
      </c>
      <c r="F68" s="14" t="s">
        <v>308</v>
      </c>
      <c r="G68" s="11">
        <v>25403</v>
      </c>
      <c r="H68" s="67">
        <v>500</v>
      </c>
      <c r="I68" s="12"/>
      <c r="J68" s="61"/>
      <c r="K68" s="71"/>
      <c r="L68" s="62" t="s">
        <v>374</v>
      </c>
      <c r="M68" s="75"/>
      <c r="N68" s="73"/>
      <c r="O68" s="15"/>
    </row>
    <row r="69" spans="1:15" x14ac:dyDescent="0.25">
      <c r="A69" s="16">
        <v>25132</v>
      </c>
      <c r="B69" s="124">
        <v>500</v>
      </c>
      <c r="C69" s="17"/>
      <c r="D69" s="13"/>
      <c r="E69" s="70"/>
      <c r="F69" s="14" t="s">
        <v>292</v>
      </c>
      <c r="G69" s="11">
        <v>25404</v>
      </c>
      <c r="H69" s="67">
        <v>50</v>
      </c>
      <c r="I69" s="12" t="s">
        <v>339</v>
      </c>
      <c r="J69" s="61">
        <v>25503</v>
      </c>
      <c r="K69" s="71">
        <v>1075</v>
      </c>
      <c r="L69" s="62" t="s">
        <v>395</v>
      </c>
      <c r="M69" s="75"/>
      <c r="N69" s="73"/>
      <c r="O69" s="15"/>
    </row>
    <row r="70" spans="1:15" x14ac:dyDescent="0.25">
      <c r="A70" s="16">
        <v>25133</v>
      </c>
      <c r="B70" s="124">
        <v>25</v>
      </c>
      <c r="C70" s="17" t="s">
        <v>268</v>
      </c>
      <c r="D70" s="13">
        <v>25286</v>
      </c>
      <c r="E70" s="70">
        <v>425</v>
      </c>
      <c r="F70" s="14" t="s">
        <v>281</v>
      </c>
      <c r="G70" s="11">
        <v>25405</v>
      </c>
      <c r="H70" s="67">
        <v>500</v>
      </c>
      <c r="I70" s="12"/>
      <c r="J70" s="61"/>
      <c r="K70" s="71"/>
      <c r="L70" s="62" t="s">
        <v>288</v>
      </c>
      <c r="M70" s="75"/>
      <c r="N70" s="73"/>
      <c r="O70" s="15"/>
    </row>
    <row r="71" spans="1:15" x14ac:dyDescent="0.25">
      <c r="A71" s="16">
        <v>25134</v>
      </c>
      <c r="B71" s="124">
        <v>600</v>
      </c>
      <c r="C71" s="17"/>
      <c r="D71" s="13">
        <v>25287</v>
      </c>
      <c r="E71" s="70">
        <v>75</v>
      </c>
      <c r="F71" s="14" t="s">
        <v>288</v>
      </c>
      <c r="G71" s="11">
        <v>25406</v>
      </c>
      <c r="H71" s="67">
        <v>575</v>
      </c>
      <c r="I71" s="12" t="s">
        <v>351</v>
      </c>
      <c r="J71" s="61">
        <v>25504</v>
      </c>
      <c r="K71" s="71">
        <v>75</v>
      </c>
      <c r="L71" s="62" t="s">
        <v>288</v>
      </c>
      <c r="M71" s="75"/>
      <c r="N71" s="73"/>
      <c r="O71" s="15"/>
    </row>
    <row r="72" spans="1:15" x14ac:dyDescent="0.25">
      <c r="A72" s="16">
        <v>25135</v>
      </c>
      <c r="B72" s="124">
        <v>150</v>
      </c>
      <c r="C72" s="17" t="s">
        <v>276</v>
      </c>
      <c r="D72" s="13">
        <v>25288</v>
      </c>
      <c r="E72" s="70">
        <v>450</v>
      </c>
      <c r="F72" s="14" t="s">
        <v>309</v>
      </c>
      <c r="G72" s="11">
        <v>25407</v>
      </c>
      <c r="H72" s="67">
        <v>1325</v>
      </c>
      <c r="I72" s="12" t="s">
        <v>353</v>
      </c>
      <c r="J72" s="61">
        <v>25505</v>
      </c>
      <c r="K72" s="71">
        <v>50</v>
      </c>
      <c r="L72" s="62" t="s">
        <v>339</v>
      </c>
      <c r="M72" s="75"/>
      <c r="N72" s="73"/>
      <c r="O72" s="15"/>
    </row>
    <row r="73" spans="1:15" x14ac:dyDescent="0.25">
      <c r="A73" s="16">
        <v>25136</v>
      </c>
      <c r="B73" s="124">
        <v>1800</v>
      </c>
      <c r="C73" s="17" t="s">
        <v>260</v>
      </c>
      <c r="D73" s="13">
        <v>25289</v>
      </c>
      <c r="E73" s="70">
        <v>150</v>
      </c>
      <c r="F73" s="14" t="s">
        <v>310</v>
      </c>
      <c r="G73" s="11"/>
      <c r="H73" s="67"/>
      <c r="I73" s="12" t="s">
        <v>344</v>
      </c>
      <c r="J73" s="61">
        <v>25506</v>
      </c>
      <c r="K73" s="71">
        <v>125</v>
      </c>
      <c r="L73" s="62" t="s">
        <v>292</v>
      </c>
      <c r="M73" s="75"/>
      <c r="N73" s="73"/>
      <c r="O73" s="15"/>
    </row>
    <row r="74" spans="1:15" x14ac:dyDescent="0.25">
      <c r="A74" s="16"/>
      <c r="B74" s="124"/>
      <c r="C74" s="17" t="s">
        <v>181</v>
      </c>
      <c r="D74" s="13">
        <v>25290</v>
      </c>
      <c r="E74" s="70">
        <v>25</v>
      </c>
      <c r="F74" s="14" t="s">
        <v>287</v>
      </c>
      <c r="G74" s="11">
        <v>25408</v>
      </c>
      <c r="H74" s="67">
        <v>325</v>
      </c>
      <c r="I74" s="12" t="s">
        <v>354</v>
      </c>
      <c r="J74" s="61">
        <v>25507</v>
      </c>
      <c r="K74" s="71">
        <v>600</v>
      </c>
      <c r="L74" s="62" t="s">
        <v>396</v>
      </c>
      <c r="M74" s="75"/>
      <c r="N74" s="73"/>
      <c r="O74" s="15"/>
    </row>
    <row r="75" spans="1:15" x14ac:dyDescent="0.25">
      <c r="A75" s="16">
        <v>25137</v>
      </c>
      <c r="B75" s="124">
        <v>150</v>
      </c>
      <c r="C75" s="17" t="s">
        <v>276</v>
      </c>
      <c r="D75" s="13">
        <v>25291</v>
      </c>
      <c r="E75" s="70">
        <v>525</v>
      </c>
      <c r="F75" s="14" t="s">
        <v>281</v>
      </c>
      <c r="G75" s="11"/>
      <c r="H75" s="67"/>
      <c r="I75" s="12" t="s">
        <v>355</v>
      </c>
      <c r="J75" s="61"/>
      <c r="K75" s="71"/>
      <c r="L75" s="62" t="s">
        <v>374</v>
      </c>
      <c r="M75" s="75"/>
      <c r="N75" s="73"/>
      <c r="O75" s="15"/>
    </row>
    <row r="76" spans="1:15" x14ac:dyDescent="0.25">
      <c r="A76" s="16">
        <v>25138</v>
      </c>
      <c r="B76" s="124">
        <v>500</v>
      </c>
      <c r="C76" s="17"/>
      <c r="D76" s="13">
        <v>25292</v>
      </c>
      <c r="E76" s="70">
        <v>450</v>
      </c>
      <c r="F76" s="14" t="s">
        <v>306</v>
      </c>
      <c r="G76" s="11">
        <v>25409</v>
      </c>
      <c r="H76" s="67">
        <v>550</v>
      </c>
      <c r="I76" s="12" t="s">
        <v>262</v>
      </c>
      <c r="J76" s="61">
        <v>25508</v>
      </c>
      <c r="K76" s="71">
        <v>450</v>
      </c>
      <c r="L76" s="62" t="s">
        <v>377</v>
      </c>
      <c r="M76" s="75"/>
      <c r="N76" s="73"/>
      <c r="O76" s="15"/>
    </row>
    <row r="77" spans="1:15" x14ac:dyDescent="0.25">
      <c r="A77" s="16">
        <v>25139</v>
      </c>
      <c r="B77" s="124">
        <v>100</v>
      </c>
      <c r="C77" s="17" t="s">
        <v>275</v>
      </c>
      <c r="D77" s="13">
        <v>25293</v>
      </c>
      <c r="E77" s="70">
        <v>50</v>
      </c>
      <c r="F77" s="14" t="s">
        <v>282</v>
      </c>
      <c r="G77" s="11">
        <v>25410</v>
      </c>
      <c r="H77" s="67">
        <v>1500</v>
      </c>
      <c r="I77" s="12" t="s">
        <v>260</v>
      </c>
      <c r="J77" s="61"/>
      <c r="K77" s="71"/>
      <c r="L77" s="62" t="s">
        <v>374</v>
      </c>
      <c r="M77" s="75"/>
      <c r="N77" s="73"/>
      <c r="O77" s="15"/>
    </row>
    <row r="78" spans="1:15" x14ac:dyDescent="0.25">
      <c r="A78" s="16">
        <v>25140</v>
      </c>
      <c r="B78" s="124">
        <v>400</v>
      </c>
      <c r="C78" s="17" t="s">
        <v>172</v>
      </c>
      <c r="D78" s="13">
        <v>25294</v>
      </c>
      <c r="E78" s="70">
        <v>325</v>
      </c>
      <c r="F78" s="14" t="s">
        <v>311</v>
      </c>
      <c r="G78" s="11"/>
      <c r="H78" s="67"/>
      <c r="I78" s="12" t="s">
        <v>356</v>
      </c>
      <c r="J78" s="61">
        <v>25509</v>
      </c>
      <c r="K78" s="71">
        <v>500</v>
      </c>
      <c r="L78" s="62" t="s">
        <v>293</v>
      </c>
      <c r="M78" s="75"/>
      <c r="N78" s="73"/>
      <c r="O78" s="15"/>
    </row>
    <row r="79" spans="1:15" x14ac:dyDescent="0.25">
      <c r="A79" s="16">
        <v>25141</v>
      </c>
      <c r="B79" s="124">
        <v>75</v>
      </c>
      <c r="C79" s="17" t="s">
        <v>270</v>
      </c>
      <c r="D79" s="13">
        <v>25295</v>
      </c>
      <c r="E79" s="70">
        <v>25</v>
      </c>
      <c r="F79" s="14" t="s">
        <v>287</v>
      </c>
      <c r="G79" s="11">
        <v>25411</v>
      </c>
      <c r="H79" s="67">
        <v>325</v>
      </c>
      <c r="I79" s="12" t="s">
        <v>357</v>
      </c>
      <c r="J79" s="61">
        <v>25510</v>
      </c>
      <c r="K79" s="71">
        <v>250</v>
      </c>
      <c r="L79" s="62" t="s">
        <v>397</v>
      </c>
      <c r="M79" s="75"/>
      <c r="N79" s="73"/>
      <c r="O79" s="15"/>
    </row>
    <row r="80" spans="1:15" x14ac:dyDescent="0.25">
      <c r="A80" s="16">
        <v>25142</v>
      </c>
      <c r="B80" s="124">
        <v>50</v>
      </c>
      <c r="C80" s="17" t="s">
        <v>269</v>
      </c>
      <c r="D80" s="13">
        <v>25296</v>
      </c>
      <c r="E80" s="70">
        <v>500</v>
      </c>
      <c r="F80" s="14" t="s">
        <v>312</v>
      </c>
      <c r="G80" s="11">
        <v>25412</v>
      </c>
      <c r="H80" s="67">
        <v>175</v>
      </c>
      <c r="I80" s="12" t="s">
        <v>358</v>
      </c>
      <c r="J80" s="61"/>
      <c r="K80" s="71"/>
      <c r="L80" s="62" t="s">
        <v>339</v>
      </c>
      <c r="M80" s="75"/>
      <c r="N80" s="73"/>
      <c r="O80" s="15"/>
    </row>
    <row r="81" spans="1:15" x14ac:dyDescent="0.25">
      <c r="A81" s="16">
        <v>25143</v>
      </c>
      <c r="B81" s="124">
        <v>500</v>
      </c>
      <c r="C81" s="17" t="s">
        <v>172</v>
      </c>
      <c r="D81" s="13">
        <v>25297</v>
      </c>
      <c r="E81" s="70">
        <v>1325</v>
      </c>
      <c r="F81" s="14" t="s">
        <v>313</v>
      </c>
      <c r="G81" s="11"/>
      <c r="H81" s="67"/>
      <c r="I81" s="12" t="s">
        <v>320</v>
      </c>
      <c r="J81" s="61">
        <v>25511</v>
      </c>
      <c r="K81" s="71">
        <v>50</v>
      </c>
      <c r="L81" s="62" t="s">
        <v>339</v>
      </c>
      <c r="M81" s="75"/>
      <c r="N81" s="73"/>
      <c r="O81" s="15"/>
    </row>
    <row r="82" spans="1:15" x14ac:dyDescent="0.25">
      <c r="A82" s="16">
        <v>25144</v>
      </c>
      <c r="B82" s="124">
        <v>1000</v>
      </c>
      <c r="C82" s="17" t="s">
        <v>223</v>
      </c>
      <c r="D82" s="13"/>
      <c r="E82" s="70"/>
      <c r="F82" s="14" t="s">
        <v>314</v>
      </c>
      <c r="G82" s="11">
        <v>25413</v>
      </c>
      <c r="H82" s="67">
        <v>600</v>
      </c>
      <c r="I82" s="12" t="s">
        <v>342</v>
      </c>
      <c r="J82" s="61">
        <v>25512</v>
      </c>
      <c r="K82" s="71">
        <v>25</v>
      </c>
      <c r="L82" s="62" t="s">
        <v>287</v>
      </c>
      <c r="M82" s="75"/>
      <c r="N82" s="73"/>
      <c r="O82" s="15"/>
    </row>
    <row r="83" spans="1:15" x14ac:dyDescent="0.25">
      <c r="A83" s="16"/>
      <c r="B83" s="124"/>
      <c r="C83" s="17" t="s">
        <v>64</v>
      </c>
      <c r="D83" s="13">
        <v>25298</v>
      </c>
      <c r="E83" s="70">
        <v>250</v>
      </c>
      <c r="F83" s="14" t="s">
        <v>297</v>
      </c>
      <c r="G83" s="11">
        <v>25414</v>
      </c>
      <c r="H83" s="67">
        <v>575</v>
      </c>
      <c r="I83" s="12" t="s">
        <v>359</v>
      </c>
      <c r="J83" s="61">
        <v>25513</v>
      </c>
      <c r="K83" s="71">
        <v>500</v>
      </c>
      <c r="L83" s="62" t="s">
        <v>398</v>
      </c>
      <c r="M83" s="75"/>
      <c r="N83" s="73"/>
      <c r="O83" s="15"/>
    </row>
    <row r="84" spans="1:15" x14ac:dyDescent="0.25">
      <c r="A84" s="16">
        <v>25145</v>
      </c>
      <c r="B84" s="124">
        <v>500</v>
      </c>
      <c r="C84" s="17" t="s">
        <v>172</v>
      </c>
      <c r="D84" s="13">
        <v>25299</v>
      </c>
      <c r="E84" s="70">
        <v>575</v>
      </c>
      <c r="F84" s="14" t="s">
        <v>315</v>
      </c>
      <c r="G84" s="11">
        <v>25415</v>
      </c>
      <c r="H84" s="67">
        <v>600</v>
      </c>
      <c r="I84" s="12" t="s">
        <v>342</v>
      </c>
      <c r="J84" s="61">
        <v>25514</v>
      </c>
      <c r="K84" s="71">
        <v>350</v>
      </c>
      <c r="L84" s="62" t="s">
        <v>380</v>
      </c>
      <c r="M84" s="75"/>
      <c r="N84" s="73"/>
      <c r="O84" s="15"/>
    </row>
    <row r="85" spans="1:15" x14ac:dyDescent="0.25">
      <c r="A85" s="16">
        <v>25146</v>
      </c>
      <c r="B85" s="124">
        <v>75</v>
      </c>
      <c r="C85" s="17" t="s">
        <v>270</v>
      </c>
      <c r="D85" s="13">
        <v>25300</v>
      </c>
      <c r="E85" s="70">
        <v>100</v>
      </c>
      <c r="F85" s="14" t="s">
        <v>280</v>
      </c>
      <c r="G85" s="11">
        <v>25416</v>
      </c>
      <c r="H85" s="67">
        <v>250</v>
      </c>
      <c r="I85" s="12" t="s">
        <v>340</v>
      </c>
      <c r="J85" s="61">
        <v>25515</v>
      </c>
      <c r="K85" s="71">
        <v>1025</v>
      </c>
      <c r="L85" s="62" t="s">
        <v>399</v>
      </c>
      <c r="M85" s="75"/>
      <c r="N85" s="73"/>
      <c r="O85" s="15"/>
    </row>
    <row r="86" spans="1:15" x14ac:dyDescent="0.25">
      <c r="A86" s="16">
        <v>25147</v>
      </c>
      <c r="B86" s="124">
        <v>500</v>
      </c>
      <c r="C86" s="17"/>
      <c r="D86" s="13">
        <v>25301</v>
      </c>
      <c r="E86" s="70">
        <v>375</v>
      </c>
      <c r="F86" s="14" t="s">
        <v>315</v>
      </c>
      <c r="G86" s="11">
        <v>25417</v>
      </c>
      <c r="H86" s="67">
        <v>1425</v>
      </c>
      <c r="I86" s="12" t="s">
        <v>360</v>
      </c>
      <c r="J86" s="61"/>
      <c r="K86" s="71"/>
      <c r="L86" s="62" t="s">
        <v>287</v>
      </c>
      <c r="M86" s="75"/>
      <c r="N86" s="73"/>
      <c r="O86" s="15"/>
    </row>
    <row r="87" spans="1:15" x14ac:dyDescent="0.25">
      <c r="A87" s="16">
        <v>25148</v>
      </c>
      <c r="B87" s="124">
        <v>25</v>
      </c>
      <c r="C87" s="17" t="s">
        <v>268</v>
      </c>
      <c r="D87" s="13">
        <v>25302</v>
      </c>
      <c r="E87" s="70">
        <v>1400</v>
      </c>
      <c r="F87" s="14" t="s">
        <v>316</v>
      </c>
      <c r="G87" s="11"/>
      <c r="H87" s="67"/>
      <c r="I87" s="12" t="s">
        <v>361</v>
      </c>
      <c r="J87" s="61">
        <v>25516</v>
      </c>
      <c r="K87" s="71">
        <v>1250</v>
      </c>
      <c r="L87" s="62" t="s">
        <v>399</v>
      </c>
      <c r="M87" s="75"/>
      <c r="N87" s="73"/>
      <c r="O87" s="15"/>
    </row>
    <row r="88" spans="1:15" x14ac:dyDescent="0.25">
      <c r="A88" s="16">
        <v>25149</v>
      </c>
      <c r="B88" s="124">
        <v>1000</v>
      </c>
      <c r="C88" s="17" t="s">
        <v>223</v>
      </c>
      <c r="D88" s="13"/>
      <c r="E88" s="70"/>
      <c r="F88" s="14" t="s">
        <v>280</v>
      </c>
      <c r="G88" s="11"/>
      <c r="H88" s="67"/>
      <c r="I88" s="12" t="s">
        <v>348</v>
      </c>
      <c r="J88" s="61"/>
      <c r="K88" s="71"/>
      <c r="L88" s="62" t="s">
        <v>292</v>
      </c>
      <c r="M88" s="75"/>
      <c r="N88" s="73"/>
      <c r="O88" s="15"/>
    </row>
    <row r="89" spans="1:15" x14ac:dyDescent="0.25">
      <c r="A89" s="16"/>
      <c r="B89" s="124"/>
      <c r="C89" s="17" t="s">
        <v>64</v>
      </c>
      <c r="D89" s="13">
        <v>25303</v>
      </c>
      <c r="E89" s="70">
        <v>1075</v>
      </c>
      <c r="F89" s="14" t="s">
        <v>317</v>
      </c>
      <c r="G89" s="11">
        <v>25418</v>
      </c>
      <c r="H89" s="67">
        <v>1850</v>
      </c>
      <c r="I89" s="12" t="s">
        <v>245</v>
      </c>
      <c r="J89" s="61">
        <v>25517</v>
      </c>
      <c r="K89" s="71">
        <v>125</v>
      </c>
      <c r="L89" s="62" t="s">
        <v>292</v>
      </c>
      <c r="M89" s="75"/>
      <c r="N89" s="73"/>
      <c r="O89" s="15"/>
    </row>
    <row r="90" spans="1:15" x14ac:dyDescent="0.25">
      <c r="A90" s="16">
        <v>25150</v>
      </c>
      <c r="B90" s="124">
        <v>150</v>
      </c>
      <c r="C90" s="17" t="s">
        <v>276</v>
      </c>
      <c r="D90" s="13"/>
      <c r="E90" s="70"/>
      <c r="F90" s="14" t="s">
        <v>288</v>
      </c>
      <c r="G90" s="11"/>
      <c r="H90" s="67"/>
      <c r="I90" s="12" t="s">
        <v>362</v>
      </c>
      <c r="J90" s="61">
        <v>25518</v>
      </c>
      <c r="K90" s="71">
        <v>125</v>
      </c>
      <c r="L90" s="62" t="s">
        <v>292</v>
      </c>
      <c r="M90" s="75"/>
      <c r="N90" s="73"/>
      <c r="O90" s="15"/>
    </row>
    <row r="91" spans="1:15" x14ac:dyDescent="0.25">
      <c r="A91" s="16">
        <v>25151</v>
      </c>
      <c r="B91" s="124">
        <v>500</v>
      </c>
      <c r="C91" s="17"/>
      <c r="D91" s="13">
        <v>25304</v>
      </c>
      <c r="E91" s="70">
        <v>575</v>
      </c>
      <c r="F91" s="14" t="s">
        <v>315</v>
      </c>
      <c r="G91" s="11"/>
      <c r="H91" s="67"/>
      <c r="I91" s="12" t="s">
        <v>348</v>
      </c>
      <c r="J91" s="61">
        <v>25519</v>
      </c>
      <c r="K91" s="71">
        <v>500</v>
      </c>
      <c r="L91" s="62" t="s">
        <v>321</v>
      </c>
      <c r="M91" s="75"/>
      <c r="N91" s="73"/>
      <c r="O91" s="15"/>
    </row>
    <row r="92" spans="1:15" x14ac:dyDescent="0.25">
      <c r="A92" s="16">
        <v>25152</v>
      </c>
      <c r="B92" s="124">
        <v>25</v>
      </c>
      <c r="C92" s="17" t="s">
        <v>268</v>
      </c>
      <c r="D92" s="13">
        <v>25305</v>
      </c>
      <c r="E92" s="70">
        <v>25</v>
      </c>
      <c r="F92" s="14" t="s">
        <v>287</v>
      </c>
      <c r="G92" s="11">
        <v>25419</v>
      </c>
      <c r="H92" s="67">
        <v>1100</v>
      </c>
      <c r="I92" s="12" t="s">
        <v>223</v>
      </c>
      <c r="J92" s="61">
        <v>25520</v>
      </c>
      <c r="K92" s="71">
        <v>675</v>
      </c>
      <c r="L92" s="62" t="s">
        <v>400</v>
      </c>
      <c r="M92" s="75"/>
      <c r="N92" s="73"/>
      <c r="O92" s="15"/>
    </row>
    <row r="93" spans="1:15" x14ac:dyDescent="0.25">
      <c r="A93" s="16">
        <v>25153</v>
      </c>
      <c r="B93" s="124">
        <v>50</v>
      </c>
      <c r="C93" s="17" t="s">
        <v>269</v>
      </c>
      <c r="D93" s="13">
        <v>25306</v>
      </c>
      <c r="E93" s="70">
        <v>500</v>
      </c>
      <c r="F93" s="14" t="s">
        <v>293</v>
      </c>
      <c r="G93" s="11"/>
      <c r="H93" s="67"/>
      <c r="I93" s="12" t="s">
        <v>280</v>
      </c>
      <c r="J93" s="61">
        <v>25521</v>
      </c>
      <c r="K93" s="71">
        <v>325</v>
      </c>
      <c r="L93" s="62" t="s">
        <v>401</v>
      </c>
      <c r="M93" s="75"/>
      <c r="N93" s="73"/>
      <c r="O93" s="15"/>
    </row>
    <row r="94" spans="1:15" x14ac:dyDescent="0.25">
      <c r="A94" s="16">
        <v>25154</v>
      </c>
      <c r="B94" s="124">
        <v>400</v>
      </c>
      <c r="C94" s="17" t="s">
        <v>172</v>
      </c>
      <c r="D94" s="13">
        <v>25307</v>
      </c>
      <c r="E94" s="70">
        <v>50</v>
      </c>
      <c r="F94" s="14" t="s">
        <v>287</v>
      </c>
      <c r="G94" s="11">
        <v>25420</v>
      </c>
      <c r="H94" s="67">
        <v>250</v>
      </c>
      <c r="I94" s="12" t="s">
        <v>214</v>
      </c>
      <c r="J94" s="61">
        <v>25522</v>
      </c>
      <c r="K94" s="71">
        <v>525</v>
      </c>
      <c r="L94" s="62" t="s">
        <v>402</v>
      </c>
      <c r="M94" s="75"/>
      <c r="N94" s="73"/>
      <c r="O94" s="15"/>
    </row>
    <row r="95" spans="1:15" x14ac:dyDescent="0.25">
      <c r="A95" s="16">
        <v>25155</v>
      </c>
      <c r="B95" s="124">
        <v>100</v>
      </c>
      <c r="C95" s="17" t="s">
        <v>275</v>
      </c>
      <c r="D95" s="13">
        <v>25308</v>
      </c>
      <c r="E95" s="70">
        <v>650</v>
      </c>
      <c r="F95" s="14" t="s">
        <v>289</v>
      </c>
      <c r="G95" s="11">
        <v>25421</v>
      </c>
      <c r="H95" s="67">
        <v>1000</v>
      </c>
      <c r="I95" s="12" t="s">
        <v>335</v>
      </c>
      <c r="J95" s="61"/>
      <c r="K95" s="71"/>
      <c r="L95" s="62" t="s">
        <v>287</v>
      </c>
      <c r="M95" s="75"/>
      <c r="N95" s="73"/>
      <c r="O95" s="15"/>
    </row>
    <row r="96" spans="1:15" x14ac:dyDescent="0.25">
      <c r="A96" s="16">
        <v>25156</v>
      </c>
      <c r="B96" s="124">
        <v>600</v>
      </c>
      <c r="C96" s="17" t="s">
        <v>223</v>
      </c>
      <c r="D96" s="13"/>
      <c r="E96" s="70"/>
      <c r="F96" s="14" t="s">
        <v>282</v>
      </c>
      <c r="G96" s="11"/>
      <c r="H96" s="67"/>
      <c r="I96" s="12" t="s">
        <v>64</v>
      </c>
      <c r="J96" s="61">
        <v>25523</v>
      </c>
      <c r="K96" s="71">
        <v>400</v>
      </c>
      <c r="L96" s="62" t="s">
        <v>293</v>
      </c>
      <c r="M96" s="75"/>
      <c r="N96" s="73"/>
      <c r="O96" s="15"/>
    </row>
    <row r="97" spans="1:15" x14ac:dyDescent="0.25">
      <c r="A97" s="16"/>
      <c r="B97" s="124"/>
      <c r="C97" s="17" t="s">
        <v>18</v>
      </c>
      <c r="D97" s="13">
        <v>25309</v>
      </c>
      <c r="E97" s="70">
        <v>350</v>
      </c>
      <c r="F97" s="14" t="s">
        <v>318</v>
      </c>
      <c r="G97" s="11">
        <v>25422</v>
      </c>
      <c r="H97" s="67">
        <v>125</v>
      </c>
      <c r="I97" s="12" t="s">
        <v>292</v>
      </c>
      <c r="J97" s="61">
        <v>25524</v>
      </c>
      <c r="K97" s="71">
        <v>450</v>
      </c>
      <c r="L97" s="62" t="s">
        <v>325</v>
      </c>
      <c r="M97" s="75"/>
      <c r="N97" s="73"/>
      <c r="O97" s="15"/>
    </row>
    <row r="98" spans="1:15" x14ac:dyDescent="0.25">
      <c r="A98" s="16">
        <v>25157</v>
      </c>
      <c r="B98" s="124">
        <v>250</v>
      </c>
      <c r="C98" s="17"/>
      <c r="D98" s="13">
        <v>25310</v>
      </c>
      <c r="E98" s="70">
        <v>25</v>
      </c>
      <c r="F98" s="14" t="s">
        <v>287</v>
      </c>
      <c r="G98" s="11">
        <v>25423</v>
      </c>
      <c r="H98" s="67">
        <v>400</v>
      </c>
      <c r="I98" s="12" t="s">
        <v>363</v>
      </c>
      <c r="J98" s="61">
        <v>25525</v>
      </c>
      <c r="K98" s="71">
        <v>500</v>
      </c>
      <c r="L98" s="62" t="s">
        <v>293</v>
      </c>
      <c r="M98" s="75"/>
      <c r="N98" s="73"/>
      <c r="O98" s="15"/>
    </row>
    <row r="99" spans="1:15" x14ac:dyDescent="0.25">
      <c r="A99" s="16">
        <v>25158</v>
      </c>
      <c r="B99" s="124">
        <v>450</v>
      </c>
      <c r="C99" s="17"/>
      <c r="D99" s="13">
        <v>25311</v>
      </c>
      <c r="E99" s="70">
        <v>475</v>
      </c>
      <c r="F99" s="14" t="s">
        <v>315</v>
      </c>
      <c r="G99" s="11"/>
      <c r="H99" s="67"/>
      <c r="I99" s="12" t="s">
        <v>280</v>
      </c>
      <c r="J99" s="61">
        <v>25526</v>
      </c>
      <c r="K99" s="71">
        <v>1050</v>
      </c>
      <c r="L99" s="62" t="s">
        <v>403</v>
      </c>
      <c r="M99" s="75"/>
      <c r="N99" s="73"/>
      <c r="O99" s="15"/>
    </row>
    <row r="100" spans="1:15" x14ac:dyDescent="0.25">
      <c r="A100" s="16">
        <v>25159</v>
      </c>
      <c r="B100" s="124">
        <v>75</v>
      </c>
      <c r="C100" s="17" t="s">
        <v>270</v>
      </c>
      <c r="D100" s="13">
        <v>25312</v>
      </c>
      <c r="E100" s="70">
        <v>50</v>
      </c>
      <c r="F100" s="14" t="s">
        <v>282</v>
      </c>
      <c r="G100" s="11">
        <v>25424</v>
      </c>
      <c r="H100" s="67">
        <v>375</v>
      </c>
      <c r="I100" s="12" t="s">
        <v>364</v>
      </c>
      <c r="J100" s="61">
        <v>25527</v>
      </c>
      <c r="K100" s="71">
        <v>75</v>
      </c>
      <c r="L100" s="62" t="s">
        <v>288</v>
      </c>
      <c r="M100" s="75"/>
      <c r="N100" s="73"/>
      <c r="O100" s="15"/>
    </row>
    <row r="101" spans="1:15" x14ac:dyDescent="0.25">
      <c r="A101" s="16">
        <v>25160</v>
      </c>
      <c r="B101" s="124">
        <v>1000</v>
      </c>
      <c r="C101" s="17" t="s">
        <v>238</v>
      </c>
      <c r="D101" s="13">
        <v>25313</v>
      </c>
      <c r="E101" s="70">
        <v>675</v>
      </c>
      <c r="F101" s="14" t="s">
        <v>319</v>
      </c>
      <c r="G101" s="11">
        <v>25425</v>
      </c>
      <c r="H101" s="67">
        <v>100</v>
      </c>
      <c r="I101" s="12" t="s">
        <v>365</v>
      </c>
      <c r="J101" s="61">
        <v>25528</v>
      </c>
      <c r="K101" s="71">
        <v>50</v>
      </c>
      <c r="L101" s="62" t="s">
        <v>339</v>
      </c>
      <c r="M101" s="75"/>
      <c r="N101" s="73"/>
      <c r="O101" s="15"/>
    </row>
    <row r="102" spans="1:15" x14ac:dyDescent="0.25">
      <c r="A102" s="16"/>
      <c r="B102" s="124"/>
      <c r="C102" s="17" t="s">
        <v>64</v>
      </c>
      <c r="D102" s="13"/>
      <c r="E102" s="70"/>
      <c r="F102" s="14" t="s">
        <v>320</v>
      </c>
      <c r="G102" s="11">
        <v>25426</v>
      </c>
      <c r="H102" s="67">
        <v>25</v>
      </c>
      <c r="I102" s="12" t="s">
        <v>350</v>
      </c>
      <c r="J102" s="61">
        <v>25529</v>
      </c>
      <c r="K102" s="71"/>
      <c r="L102" s="62" t="s">
        <v>20</v>
      </c>
      <c r="M102" s="75"/>
      <c r="N102" s="73"/>
      <c r="O102" s="15"/>
    </row>
    <row r="103" spans="1:15" x14ac:dyDescent="0.25">
      <c r="A103" s="16">
        <v>25161</v>
      </c>
      <c r="B103" s="124">
        <v>850</v>
      </c>
      <c r="C103" s="17" t="s">
        <v>277</v>
      </c>
      <c r="D103" s="13">
        <v>25314</v>
      </c>
      <c r="E103" s="70">
        <v>500</v>
      </c>
      <c r="F103" s="14" t="s">
        <v>321</v>
      </c>
      <c r="G103" s="11">
        <v>25427</v>
      </c>
      <c r="H103" s="67">
        <v>250</v>
      </c>
      <c r="I103" s="12"/>
      <c r="J103" s="61">
        <v>25530</v>
      </c>
      <c r="K103" s="71">
        <v>125</v>
      </c>
      <c r="L103" s="62" t="s">
        <v>292</v>
      </c>
      <c r="M103" s="75"/>
      <c r="N103" s="73"/>
      <c r="O103" s="15"/>
    </row>
    <row r="104" spans="1:15" x14ac:dyDescent="0.25">
      <c r="A104" s="16">
        <v>25162</v>
      </c>
      <c r="B104" s="124">
        <v>600</v>
      </c>
      <c r="C104" s="17"/>
      <c r="D104" s="13">
        <v>25315</v>
      </c>
      <c r="E104" s="70">
        <v>100</v>
      </c>
      <c r="F104" s="14" t="s">
        <v>280</v>
      </c>
      <c r="G104" s="11">
        <v>25428</v>
      </c>
      <c r="H104" s="67">
        <v>75</v>
      </c>
      <c r="I104" s="12" t="s">
        <v>288</v>
      </c>
      <c r="J104" s="61">
        <v>25531</v>
      </c>
      <c r="K104" s="71">
        <v>150</v>
      </c>
      <c r="L104" s="129" t="s">
        <v>304</v>
      </c>
      <c r="M104" s="75"/>
      <c r="N104" s="73"/>
      <c r="O104" s="15"/>
    </row>
    <row r="105" spans="1:15" x14ac:dyDescent="0.25">
      <c r="A105" s="16">
        <v>25163</v>
      </c>
      <c r="B105" s="124">
        <v>900</v>
      </c>
      <c r="C105" s="17" t="s">
        <v>251</v>
      </c>
      <c r="D105" s="13">
        <v>25316</v>
      </c>
      <c r="E105" s="70">
        <v>25</v>
      </c>
      <c r="F105" s="14" t="s">
        <v>287</v>
      </c>
      <c r="G105" s="11">
        <v>25429</v>
      </c>
      <c r="H105" s="67">
        <v>50</v>
      </c>
      <c r="I105" s="12" t="s">
        <v>339</v>
      </c>
      <c r="J105" s="61">
        <v>25532</v>
      </c>
      <c r="K105" s="71">
        <v>600</v>
      </c>
      <c r="L105" s="62" t="s">
        <v>404</v>
      </c>
      <c r="M105" s="75"/>
      <c r="N105" s="73"/>
      <c r="O105" s="15"/>
    </row>
    <row r="106" spans="1:15" x14ac:dyDescent="0.25">
      <c r="A106" s="16"/>
      <c r="B106" s="124"/>
      <c r="C106" s="17" t="s">
        <v>18</v>
      </c>
      <c r="D106" s="13">
        <v>25317</v>
      </c>
      <c r="E106" s="70">
        <v>200</v>
      </c>
      <c r="F106" s="14" t="s">
        <v>293</v>
      </c>
      <c r="G106" s="11">
        <v>25430</v>
      </c>
      <c r="H106" s="67">
        <v>1550</v>
      </c>
      <c r="I106" s="12" t="s">
        <v>366</v>
      </c>
      <c r="J106" s="61"/>
      <c r="K106" s="71"/>
      <c r="L106" s="62"/>
      <c r="M106" s="75"/>
      <c r="N106" s="73"/>
      <c r="O106" s="15"/>
    </row>
    <row r="107" spans="1:15" x14ac:dyDescent="0.25">
      <c r="A107" s="16">
        <v>25164</v>
      </c>
      <c r="B107" s="124">
        <v>325</v>
      </c>
      <c r="C107" s="17" t="s">
        <v>278</v>
      </c>
      <c r="D107" s="13">
        <v>25318</v>
      </c>
      <c r="E107" s="70">
        <v>300</v>
      </c>
      <c r="F107" s="14" t="s">
        <v>293</v>
      </c>
      <c r="G107" s="11"/>
      <c r="H107" s="67"/>
      <c r="I107" s="12" t="s">
        <v>339</v>
      </c>
      <c r="J107" s="61"/>
      <c r="K107" s="71"/>
      <c r="L107" s="62"/>
      <c r="M107" s="75"/>
      <c r="N107" s="73"/>
      <c r="O107" s="15"/>
    </row>
    <row r="108" spans="1:15" x14ac:dyDescent="0.25">
      <c r="A108" s="16">
        <v>25165</v>
      </c>
      <c r="B108" s="124">
        <v>50</v>
      </c>
      <c r="C108" s="17" t="s">
        <v>269</v>
      </c>
      <c r="D108" s="13">
        <v>25319</v>
      </c>
      <c r="E108" s="70">
        <v>50</v>
      </c>
      <c r="F108" s="14" t="s">
        <v>282</v>
      </c>
      <c r="G108" s="11">
        <v>25431</v>
      </c>
      <c r="H108" s="67">
        <v>75</v>
      </c>
      <c r="I108" s="12" t="s">
        <v>288</v>
      </c>
      <c r="J108" s="61"/>
      <c r="K108" s="71"/>
      <c r="L108" s="62"/>
      <c r="M108" s="75"/>
      <c r="N108" s="73"/>
      <c r="O108" s="15"/>
    </row>
    <row r="109" spans="1:15" x14ac:dyDescent="0.25">
      <c r="A109" s="16">
        <v>25166</v>
      </c>
      <c r="B109" s="124">
        <v>1000</v>
      </c>
      <c r="C109" s="17" t="s">
        <v>196</v>
      </c>
      <c r="D109" s="13">
        <v>25320</v>
      </c>
      <c r="E109" s="70">
        <v>150</v>
      </c>
      <c r="F109" s="14" t="s">
        <v>304</v>
      </c>
      <c r="G109" s="11">
        <v>25432</v>
      </c>
      <c r="H109" s="67">
        <v>1575</v>
      </c>
      <c r="I109" s="12" t="s">
        <v>367</v>
      </c>
      <c r="J109" s="61"/>
      <c r="K109" s="71"/>
      <c r="L109" s="62"/>
      <c r="M109" s="75"/>
      <c r="N109" s="73"/>
      <c r="O109" s="15"/>
    </row>
    <row r="110" spans="1:15" x14ac:dyDescent="0.25">
      <c r="A110" s="16"/>
      <c r="B110" s="124"/>
      <c r="C110" s="17" t="s">
        <v>64</v>
      </c>
      <c r="D110" s="13">
        <v>25321</v>
      </c>
      <c r="E110" s="70">
        <v>600</v>
      </c>
      <c r="F110" s="14" t="s">
        <v>312</v>
      </c>
      <c r="G110" s="11"/>
      <c r="H110" s="67"/>
      <c r="I110" s="12" t="s">
        <v>368</v>
      </c>
      <c r="J110" s="61"/>
      <c r="K110" s="71"/>
      <c r="L110" s="62"/>
      <c r="M110" s="75"/>
      <c r="N110" s="73"/>
      <c r="O110" s="15"/>
    </row>
    <row r="111" spans="1:15" x14ac:dyDescent="0.25">
      <c r="A111" s="16">
        <v>25167</v>
      </c>
      <c r="B111" s="124">
        <v>550</v>
      </c>
      <c r="C111" s="17" t="s">
        <v>262</v>
      </c>
      <c r="D111" s="13">
        <v>25322</v>
      </c>
      <c r="E111" s="70">
        <v>550</v>
      </c>
      <c r="F111" s="14" t="s">
        <v>306</v>
      </c>
      <c r="G111" s="11"/>
      <c r="H111" s="67"/>
      <c r="I111" s="12" t="s">
        <v>348</v>
      </c>
      <c r="J111" s="61"/>
      <c r="K111" s="71"/>
      <c r="L111" s="62"/>
      <c r="M111" s="75"/>
      <c r="N111" s="73"/>
      <c r="O111" s="15"/>
    </row>
    <row r="112" spans="1:15" x14ac:dyDescent="0.25">
      <c r="A112" s="16">
        <v>25168</v>
      </c>
      <c r="B112" s="124">
        <v>25</v>
      </c>
      <c r="C112" s="17" t="s">
        <v>268</v>
      </c>
      <c r="D112" s="13">
        <v>25323</v>
      </c>
      <c r="E112" s="70">
        <v>550</v>
      </c>
      <c r="F112" s="14" t="s">
        <v>322</v>
      </c>
      <c r="G112" s="11">
        <v>25433</v>
      </c>
      <c r="H112" s="67">
        <v>1125</v>
      </c>
      <c r="I112" s="12" t="s">
        <v>196</v>
      </c>
      <c r="J112" s="61"/>
      <c r="K112" s="71"/>
      <c r="L112" s="62"/>
      <c r="M112" s="75"/>
      <c r="N112" s="73"/>
      <c r="O112" s="15"/>
    </row>
    <row r="113" spans="1:15" x14ac:dyDescent="0.25">
      <c r="A113" s="16">
        <v>25169</v>
      </c>
      <c r="B113" s="124">
        <v>400</v>
      </c>
      <c r="C113" s="17" t="s">
        <v>172</v>
      </c>
      <c r="D113" s="13"/>
      <c r="E113" s="70"/>
      <c r="F113" s="14" t="s">
        <v>282</v>
      </c>
      <c r="G113" s="11"/>
      <c r="H113" s="67"/>
      <c r="I113" s="12" t="s">
        <v>23</v>
      </c>
      <c r="J113" s="61"/>
      <c r="K113" s="71"/>
      <c r="L113" s="62"/>
      <c r="M113" s="75"/>
      <c r="N113" s="73"/>
      <c r="O113" s="15"/>
    </row>
    <row r="114" spans="1:15" x14ac:dyDescent="0.25">
      <c r="A114" s="16">
        <v>25170</v>
      </c>
      <c r="B114" s="124">
        <v>100</v>
      </c>
      <c r="C114" s="17" t="s">
        <v>275</v>
      </c>
      <c r="D114" s="13">
        <v>25324</v>
      </c>
      <c r="E114" s="70">
        <v>325</v>
      </c>
      <c r="F114" s="14" t="s">
        <v>323</v>
      </c>
      <c r="G114" s="11"/>
      <c r="H114" s="67"/>
      <c r="I114" s="12" t="s">
        <v>292</v>
      </c>
      <c r="J114" s="61"/>
      <c r="K114" s="71"/>
      <c r="L114" s="62"/>
      <c r="M114" s="75"/>
      <c r="N114" s="73"/>
      <c r="O114" s="15"/>
    </row>
    <row r="115" spans="1:15" x14ac:dyDescent="0.25">
      <c r="A115" s="16">
        <v>25171</v>
      </c>
      <c r="B115" s="124">
        <v>100</v>
      </c>
      <c r="C115" s="17" t="s">
        <v>275</v>
      </c>
      <c r="D115" s="13">
        <v>25325</v>
      </c>
      <c r="E115" s="70">
        <v>600</v>
      </c>
      <c r="F115" s="14" t="s">
        <v>299</v>
      </c>
      <c r="G115" s="11">
        <v>25434</v>
      </c>
      <c r="H115" s="67">
        <v>1100</v>
      </c>
      <c r="I115" s="12" t="s">
        <v>196</v>
      </c>
      <c r="J115" s="61"/>
      <c r="K115" s="71"/>
      <c r="L115" s="62"/>
      <c r="M115" s="75"/>
      <c r="N115" s="73"/>
      <c r="O115" s="15"/>
    </row>
    <row r="116" spans="1:15" x14ac:dyDescent="0.25">
      <c r="A116" s="16">
        <v>25172</v>
      </c>
      <c r="B116" s="124">
        <v>300</v>
      </c>
      <c r="C116" s="17"/>
      <c r="D116" s="13">
        <v>25326</v>
      </c>
      <c r="E116" s="70">
        <v>500</v>
      </c>
      <c r="F116" s="14" t="s">
        <v>299</v>
      </c>
      <c r="G116" s="11"/>
      <c r="H116" s="67"/>
      <c r="I116" s="12" t="s">
        <v>280</v>
      </c>
      <c r="J116" s="61"/>
      <c r="K116" s="71"/>
      <c r="L116" s="62"/>
      <c r="M116" s="75"/>
      <c r="N116" s="73"/>
      <c r="O116" s="15"/>
    </row>
    <row r="117" spans="1:15" x14ac:dyDescent="0.25">
      <c r="A117" s="16">
        <v>25173</v>
      </c>
      <c r="B117" s="124">
        <v>3000</v>
      </c>
      <c r="C117" s="17" t="s">
        <v>245</v>
      </c>
      <c r="D117" s="13">
        <v>25327</v>
      </c>
      <c r="E117" s="70">
        <v>600</v>
      </c>
      <c r="F117" s="14" t="s">
        <v>324</v>
      </c>
      <c r="G117" s="11">
        <v>25435</v>
      </c>
      <c r="H117" s="67">
        <v>875</v>
      </c>
      <c r="I117" s="12" t="s">
        <v>223</v>
      </c>
      <c r="J117" s="61"/>
      <c r="K117" s="71"/>
      <c r="L117" s="62"/>
      <c r="M117" s="75"/>
      <c r="N117" s="73"/>
      <c r="O117" s="15"/>
    </row>
    <row r="118" spans="1:15" x14ac:dyDescent="0.25">
      <c r="A118" s="16"/>
      <c r="B118" s="124"/>
      <c r="C118" s="17" t="s">
        <v>64</v>
      </c>
      <c r="D118" s="13">
        <v>25328</v>
      </c>
      <c r="E118" s="70">
        <v>75</v>
      </c>
      <c r="F118" s="14" t="s">
        <v>288</v>
      </c>
      <c r="G118" s="11"/>
      <c r="H118" s="67"/>
      <c r="I118" s="12" t="s">
        <v>17</v>
      </c>
      <c r="J118" s="61"/>
      <c r="K118" s="71"/>
      <c r="L118" s="62"/>
      <c r="M118" s="75"/>
      <c r="N118" s="73"/>
      <c r="O118" s="15"/>
    </row>
    <row r="119" spans="1:15" x14ac:dyDescent="0.25">
      <c r="A119" s="16">
        <v>25174</v>
      </c>
      <c r="B119" s="124">
        <v>25</v>
      </c>
      <c r="C119" s="17" t="s">
        <v>268</v>
      </c>
      <c r="D119" s="13">
        <v>25329</v>
      </c>
      <c r="E119" s="70">
        <v>575</v>
      </c>
      <c r="F119" s="14" t="s">
        <v>301</v>
      </c>
      <c r="G119" s="11"/>
      <c r="H119" s="67"/>
      <c r="I119" s="12" t="s">
        <v>288</v>
      </c>
      <c r="J119" s="61"/>
      <c r="K119" s="71"/>
      <c r="L119" s="62"/>
      <c r="M119" s="75"/>
      <c r="N119" s="73"/>
      <c r="O119" s="15"/>
    </row>
    <row r="120" spans="1:15" x14ac:dyDescent="0.25">
      <c r="A120" s="16">
        <v>25175</v>
      </c>
      <c r="B120" s="124">
        <v>75</v>
      </c>
      <c r="C120" s="17" t="s">
        <v>270</v>
      </c>
      <c r="D120" s="13">
        <v>25330</v>
      </c>
      <c r="E120" s="70">
        <v>450</v>
      </c>
      <c r="F120" s="14" t="s">
        <v>325</v>
      </c>
      <c r="G120" s="11">
        <v>25436</v>
      </c>
      <c r="H120" s="67">
        <v>450</v>
      </c>
      <c r="I120" s="12" t="s">
        <v>369</v>
      </c>
      <c r="J120" s="61"/>
      <c r="K120" s="71"/>
      <c r="L120" s="62"/>
      <c r="M120" s="75"/>
      <c r="N120" s="73"/>
      <c r="O120" s="15"/>
    </row>
    <row r="121" spans="1:15" x14ac:dyDescent="0.25">
      <c r="A121" s="16">
        <v>25176</v>
      </c>
      <c r="B121" s="124">
        <v>75</v>
      </c>
      <c r="C121" s="17" t="s">
        <v>270</v>
      </c>
      <c r="D121" s="13">
        <v>25331</v>
      </c>
      <c r="E121" s="70">
        <v>675</v>
      </c>
      <c r="F121" s="14" t="s">
        <v>289</v>
      </c>
      <c r="G121" s="11"/>
      <c r="H121" s="67"/>
      <c r="I121" s="12" t="s">
        <v>339</v>
      </c>
      <c r="J121" s="61"/>
      <c r="K121" s="71"/>
      <c r="L121" s="62"/>
      <c r="M121" s="75"/>
      <c r="N121" s="73"/>
      <c r="O121" s="15"/>
    </row>
    <row r="122" spans="1:15" x14ac:dyDescent="0.25">
      <c r="A122" s="16">
        <v>25177</v>
      </c>
      <c r="B122" s="124">
        <v>500</v>
      </c>
      <c r="C122" s="17"/>
      <c r="D122" s="13"/>
      <c r="E122" s="70"/>
      <c r="F122" s="14" t="s">
        <v>288</v>
      </c>
      <c r="G122" s="11">
        <v>25437</v>
      </c>
      <c r="H122" s="67">
        <v>50</v>
      </c>
      <c r="I122" s="12" t="s">
        <v>339</v>
      </c>
      <c r="J122" s="61"/>
      <c r="K122" s="71"/>
      <c r="L122" s="62"/>
      <c r="M122" s="75"/>
      <c r="N122" s="73"/>
      <c r="O122" s="15"/>
    </row>
    <row r="123" spans="1:15" x14ac:dyDescent="0.25">
      <c r="A123" s="16">
        <v>25178</v>
      </c>
      <c r="B123" s="124">
        <v>50</v>
      </c>
      <c r="C123" s="17" t="s">
        <v>269</v>
      </c>
      <c r="D123" s="13">
        <v>25332</v>
      </c>
      <c r="E123" s="70"/>
      <c r="F123" s="14" t="s">
        <v>20</v>
      </c>
      <c r="G123" s="11">
        <v>25438</v>
      </c>
      <c r="H123" s="67">
        <v>950</v>
      </c>
      <c r="I123" s="12" t="s">
        <v>370</v>
      </c>
      <c r="J123" s="61"/>
      <c r="K123" s="71"/>
      <c r="L123" s="62"/>
      <c r="M123" s="75"/>
      <c r="N123" s="73"/>
      <c r="O123" s="15"/>
    </row>
    <row r="124" spans="1:15" x14ac:dyDescent="0.25">
      <c r="A124" s="16">
        <v>25179</v>
      </c>
      <c r="B124" s="124">
        <v>500</v>
      </c>
      <c r="C124" s="17"/>
      <c r="D124" s="13">
        <v>25333</v>
      </c>
      <c r="E124" s="70">
        <v>75</v>
      </c>
      <c r="F124" s="14" t="s">
        <v>288</v>
      </c>
      <c r="G124" s="11"/>
      <c r="H124" s="67"/>
      <c r="I124" s="12" t="s">
        <v>17</v>
      </c>
      <c r="J124" s="61"/>
      <c r="K124" s="71"/>
      <c r="L124" s="62"/>
      <c r="M124" s="75"/>
      <c r="N124" s="73"/>
      <c r="O124" s="15"/>
    </row>
    <row r="125" spans="1:15" x14ac:dyDescent="0.25">
      <c r="A125" s="16">
        <v>25180</v>
      </c>
      <c r="B125" s="124">
        <v>500</v>
      </c>
      <c r="C125" s="17" t="s">
        <v>172</v>
      </c>
      <c r="D125" s="13">
        <v>25334</v>
      </c>
      <c r="E125" s="70">
        <v>25</v>
      </c>
      <c r="F125" s="14" t="s">
        <v>287</v>
      </c>
      <c r="G125" s="11"/>
      <c r="H125" s="67"/>
      <c r="I125" s="12" t="s">
        <v>371</v>
      </c>
      <c r="J125" s="61"/>
      <c r="K125" s="71"/>
      <c r="L125" s="62"/>
      <c r="M125" s="75"/>
      <c r="N125" s="73"/>
      <c r="O125" s="15"/>
    </row>
    <row r="126" spans="1:15" x14ac:dyDescent="0.25">
      <c r="A126" s="16">
        <v>25181</v>
      </c>
      <c r="B126" s="124">
        <v>50</v>
      </c>
      <c r="C126" s="17" t="s">
        <v>269</v>
      </c>
      <c r="D126" s="13">
        <v>25335</v>
      </c>
      <c r="E126" s="70">
        <v>1050</v>
      </c>
      <c r="F126" s="14" t="s">
        <v>326</v>
      </c>
      <c r="G126" s="11"/>
      <c r="H126" s="67"/>
      <c r="I126" s="12" t="s">
        <v>372</v>
      </c>
      <c r="J126" s="61"/>
      <c r="K126" s="71"/>
      <c r="L126" s="62"/>
      <c r="M126" s="75"/>
      <c r="N126" s="73"/>
      <c r="O126" s="15"/>
    </row>
    <row r="127" spans="1:15" x14ac:dyDescent="0.25">
      <c r="A127" s="16">
        <v>25182</v>
      </c>
      <c r="B127" s="124">
        <v>400</v>
      </c>
      <c r="C127" s="17"/>
      <c r="D127" s="13"/>
      <c r="E127" s="70"/>
      <c r="F127" s="14" t="s">
        <v>282</v>
      </c>
      <c r="G127" s="11"/>
      <c r="H127" s="67"/>
      <c r="I127" s="12" t="s">
        <v>348</v>
      </c>
      <c r="J127" s="61"/>
      <c r="K127" s="71"/>
      <c r="L127" s="62"/>
      <c r="M127" s="75"/>
      <c r="N127" s="73"/>
      <c r="O127" s="15"/>
    </row>
    <row r="128" spans="1:15" x14ac:dyDescent="0.25">
      <c r="A128" s="16">
        <v>25183</v>
      </c>
      <c r="B128" s="124">
        <v>400</v>
      </c>
      <c r="C128" s="17"/>
      <c r="D128" s="13">
        <v>25336</v>
      </c>
      <c r="E128" s="70">
        <v>150</v>
      </c>
      <c r="F128" s="14" t="s">
        <v>304</v>
      </c>
      <c r="G128" s="11">
        <v>25439</v>
      </c>
      <c r="H128" s="67">
        <v>800</v>
      </c>
      <c r="I128" s="12" t="s">
        <v>223</v>
      </c>
      <c r="J128" s="61"/>
      <c r="K128" s="71"/>
      <c r="L128" s="62"/>
      <c r="M128" s="75"/>
      <c r="N128" s="73"/>
      <c r="O128" s="15"/>
    </row>
    <row r="129" spans="1:15" x14ac:dyDescent="0.25">
      <c r="A129" s="16">
        <v>25184</v>
      </c>
      <c r="B129" s="124">
        <v>25</v>
      </c>
      <c r="C129" s="17" t="s">
        <v>268</v>
      </c>
      <c r="D129" s="13">
        <v>25337</v>
      </c>
      <c r="E129" s="70">
        <v>1000</v>
      </c>
      <c r="F129" s="14" t="s">
        <v>284</v>
      </c>
      <c r="G129" s="11"/>
      <c r="H129" s="67"/>
      <c r="I129" s="12" t="s">
        <v>17</v>
      </c>
      <c r="J129" s="61"/>
      <c r="K129" s="71"/>
      <c r="L129" s="62"/>
      <c r="M129" s="75"/>
      <c r="N129" s="73"/>
      <c r="O129" s="15"/>
    </row>
    <row r="130" spans="1:15" x14ac:dyDescent="0.25">
      <c r="A130" s="16">
        <v>25185</v>
      </c>
      <c r="B130" s="124">
        <v>75</v>
      </c>
      <c r="C130" s="17" t="s">
        <v>270</v>
      </c>
      <c r="D130" s="13">
        <v>25338</v>
      </c>
      <c r="E130" s="70">
        <v>575</v>
      </c>
      <c r="F130" s="14" t="s">
        <v>327</v>
      </c>
      <c r="G130" s="11">
        <v>25440</v>
      </c>
      <c r="H130" s="67">
        <v>75</v>
      </c>
      <c r="I130" s="12" t="s">
        <v>288</v>
      </c>
      <c r="J130" s="61"/>
      <c r="K130" s="71"/>
      <c r="L130" s="62"/>
      <c r="M130" s="75"/>
      <c r="N130" s="73"/>
      <c r="O130" s="15"/>
    </row>
    <row r="131" spans="1:15" x14ac:dyDescent="0.25">
      <c r="A131" s="16">
        <v>25186</v>
      </c>
      <c r="B131" s="124">
        <v>25</v>
      </c>
      <c r="C131" s="17" t="s">
        <v>268</v>
      </c>
      <c r="D131" s="13">
        <v>25339</v>
      </c>
      <c r="E131" s="70">
        <v>500</v>
      </c>
      <c r="F131" s="14" t="s">
        <v>321</v>
      </c>
      <c r="G131" s="11">
        <v>25441</v>
      </c>
      <c r="H131" s="67">
        <v>75</v>
      </c>
      <c r="I131" s="12" t="s">
        <v>288</v>
      </c>
      <c r="J131" s="61"/>
      <c r="K131" s="71"/>
      <c r="L131" s="62"/>
      <c r="M131" s="75"/>
      <c r="N131" s="73"/>
      <c r="O131" s="15"/>
    </row>
    <row r="132" spans="1:15" x14ac:dyDescent="0.25">
      <c r="A132" s="16">
        <v>25187</v>
      </c>
      <c r="B132" s="124">
        <v>500</v>
      </c>
      <c r="C132" s="17" t="s">
        <v>172</v>
      </c>
      <c r="D132" s="13">
        <v>25340</v>
      </c>
      <c r="E132" s="70">
        <v>550</v>
      </c>
      <c r="F132" s="14" t="s">
        <v>328</v>
      </c>
      <c r="G132" s="11">
        <v>25442</v>
      </c>
      <c r="H132" s="67">
        <v>125</v>
      </c>
      <c r="I132" s="12" t="s">
        <v>292</v>
      </c>
      <c r="J132" s="61"/>
      <c r="K132" s="71"/>
      <c r="L132" s="62"/>
      <c r="M132" s="75"/>
      <c r="N132" s="73"/>
      <c r="O132" s="15"/>
    </row>
    <row r="133" spans="1:15" x14ac:dyDescent="0.25">
      <c r="A133" s="16">
        <v>25188</v>
      </c>
      <c r="B133" s="124">
        <v>75</v>
      </c>
      <c r="C133" s="17" t="s">
        <v>270</v>
      </c>
      <c r="D133" s="13">
        <v>25341</v>
      </c>
      <c r="E133" s="70">
        <v>50</v>
      </c>
      <c r="F133" s="14" t="s">
        <v>282</v>
      </c>
      <c r="G133" s="11">
        <v>25443</v>
      </c>
      <c r="H133" s="67">
        <v>75</v>
      </c>
      <c r="I133" s="12" t="s">
        <v>288</v>
      </c>
      <c r="J133" s="61"/>
      <c r="K133" s="71"/>
      <c r="L133" s="62"/>
      <c r="M133" s="75"/>
      <c r="N133" s="73"/>
      <c r="O133" s="15"/>
    </row>
    <row r="134" spans="1:15" x14ac:dyDescent="0.25">
      <c r="A134" s="16">
        <v>25189</v>
      </c>
      <c r="B134" s="124">
        <v>100</v>
      </c>
      <c r="C134" s="17" t="s">
        <v>270</v>
      </c>
      <c r="D134" s="13">
        <v>25342</v>
      </c>
      <c r="E134" s="70">
        <v>275</v>
      </c>
      <c r="F134" s="14" t="s">
        <v>305</v>
      </c>
      <c r="G134" s="11">
        <v>25444</v>
      </c>
      <c r="H134" s="67">
        <v>50</v>
      </c>
      <c r="I134" s="12" t="s">
        <v>339</v>
      </c>
      <c r="J134" s="61"/>
      <c r="K134" s="71"/>
      <c r="L134" s="62"/>
      <c r="M134" s="75"/>
      <c r="N134" s="73"/>
      <c r="O134" s="15"/>
    </row>
    <row r="135" spans="1:15" x14ac:dyDescent="0.25">
      <c r="A135" s="16">
        <v>25190</v>
      </c>
      <c r="B135" s="124">
        <v>25</v>
      </c>
      <c r="C135" s="17" t="s">
        <v>268</v>
      </c>
      <c r="D135" s="13">
        <v>25343</v>
      </c>
      <c r="E135" s="70">
        <v>75</v>
      </c>
      <c r="F135" s="14" t="s">
        <v>288</v>
      </c>
      <c r="G135" s="11">
        <v>25445</v>
      </c>
      <c r="H135" s="67">
        <v>50</v>
      </c>
      <c r="I135" s="12" t="s">
        <v>339</v>
      </c>
      <c r="J135" s="61"/>
      <c r="K135" s="71"/>
      <c r="L135" s="62"/>
      <c r="M135" s="75"/>
      <c r="N135" s="73"/>
      <c r="O135" s="15"/>
    </row>
    <row r="136" spans="1:15" x14ac:dyDescent="0.25">
      <c r="A136" s="16">
        <v>25191</v>
      </c>
      <c r="B136" s="124">
        <v>300</v>
      </c>
      <c r="C136" s="17" t="s">
        <v>172</v>
      </c>
      <c r="D136" s="13">
        <v>25344</v>
      </c>
      <c r="E136" s="70">
        <v>600</v>
      </c>
      <c r="F136" s="14" t="s">
        <v>324</v>
      </c>
      <c r="G136" s="11">
        <v>25446</v>
      </c>
      <c r="H136" s="67">
        <v>100</v>
      </c>
      <c r="I136" s="12" t="s">
        <v>280</v>
      </c>
      <c r="J136" s="61"/>
      <c r="K136" s="71"/>
      <c r="L136" s="62"/>
      <c r="M136" s="75"/>
      <c r="N136" s="73"/>
      <c r="O136" s="15"/>
    </row>
    <row r="137" spans="1:15" x14ac:dyDescent="0.25">
      <c r="A137" s="16">
        <v>25192</v>
      </c>
      <c r="B137" s="124">
        <v>800</v>
      </c>
      <c r="C137" s="17" t="s">
        <v>223</v>
      </c>
      <c r="D137" s="13">
        <v>25345</v>
      </c>
      <c r="E137" s="70">
        <v>375</v>
      </c>
      <c r="F137" s="14" t="s">
        <v>323</v>
      </c>
      <c r="G137" s="11">
        <v>25447</v>
      </c>
      <c r="H137" s="67">
        <v>25</v>
      </c>
      <c r="I137" s="12" t="s">
        <v>355</v>
      </c>
      <c r="J137" s="61"/>
      <c r="K137" s="71"/>
      <c r="L137" s="62"/>
      <c r="M137" s="75"/>
      <c r="N137" s="73"/>
      <c r="O137" s="15"/>
    </row>
    <row r="138" spans="1:15" x14ac:dyDescent="0.25">
      <c r="A138" s="16"/>
      <c r="B138" s="124"/>
      <c r="C138" s="17" t="s">
        <v>17</v>
      </c>
      <c r="D138" s="13">
        <v>25346</v>
      </c>
      <c r="E138" s="70">
        <v>725</v>
      </c>
      <c r="F138" s="14" t="s">
        <v>329</v>
      </c>
      <c r="G138" s="11">
        <v>25448</v>
      </c>
      <c r="H138" s="67">
        <v>50</v>
      </c>
      <c r="I138" s="12" t="s">
        <v>339</v>
      </c>
      <c r="J138" s="61"/>
      <c r="K138" s="71"/>
      <c r="L138" s="62"/>
      <c r="M138" s="75"/>
      <c r="N138" s="73"/>
      <c r="O138" s="15"/>
    </row>
    <row r="139" spans="1:15" x14ac:dyDescent="0.25">
      <c r="A139" s="16">
        <v>25193</v>
      </c>
      <c r="B139" s="124">
        <v>75</v>
      </c>
      <c r="C139" s="17" t="s">
        <v>270</v>
      </c>
      <c r="D139" s="13"/>
      <c r="E139" s="70"/>
      <c r="F139" s="14" t="s">
        <v>287</v>
      </c>
      <c r="G139" s="11">
        <v>25449</v>
      </c>
      <c r="H139" s="67">
        <v>500</v>
      </c>
      <c r="I139" s="12" t="s">
        <v>214</v>
      </c>
      <c r="J139" s="61"/>
      <c r="K139" s="71"/>
      <c r="L139" s="62"/>
      <c r="M139" s="75"/>
      <c r="N139" s="73"/>
      <c r="O139" s="15"/>
    </row>
    <row r="140" spans="1:15" x14ac:dyDescent="0.25">
      <c r="A140" s="16">
        <v>25194</v>
      </c>
      <c r="B140" s="124">
        <v>400</v>
      </c>
      <c r="C140" s="17"/>
      <c r="D140" s="13">
        <v>25347</v>
      </c>
      <c r="E140" s="70">
        <v>350</v>
      </c>
      <c r="F140" s="14" t="s">
        <v>330</v>
      </c>
      <c r="G140" s="11">
        <v>25450</v>
      </c>
      <c r="H140" s="67">
        <v>1150</v>
      </c>
      <c r="I140" s="12" t="s">
        <v>335</v>
      </c>
      <c r="J140" s="61"/>
      <c r="K140" s="71"/>
      <c r="L140" s="62"/>
      <c r="M140" s="75"/>
      <c r="N140" s="73"/>
      <c r="O140" s="15"/>
    </row>
    <row r="141" spans="1:15" x14ac:dyDescent="0.25">
      <c r="A141" s="16">
        <v>25195</v>
      </c>
      <c r="B141" s="124"/>
      <c r="C141" s="17" t="s">
        <v>20</v>
      </c>
      <c r="D141" s="13">
        <v>25348</v>
      </c>
      <c r="E141" s="70">
        <v>25</v>
      </c>
      <c r="F141" s="14" t="s">
        <v>287</v>
      </c>
      <c r="G141" s="11"/>
      <c r="H141" s="67"/>
      <c r="I141" s="12" t="s">
        <v>16</v>
      </c>
      <c r="J141" s="61"/>
      <c r="K141" s="71"/>
      <c r="L141" s="62"/>
      <c r="M141" s="75"/>
      <c r="N141" s="73"/>
      <c r="O141" s="15"/>
    </row>
    <row r="142" spans="1:15" x14ac:dyDescent="0.25">
      <c r="A142" s="16">
        <v>25196</v>
      </c>
      <c r="B142" s="124">
        <v>500</v>
      </c>
      <c r="C142" s="17"/>
      <c r="D142" s="13">
        <v>25349</v>
      </c>
      <c r="E142" s="70">
        <v>25</v>
      </c>
      <c r="F142" s="14" t="s">
        <v>287</v>
      </c>
      <c r="G142" s="11"/>
      <c r="H142" s="67"/>
      <c r="I142" s="12" t="s">
        <v>373</v>
      </c>
      <c r="J142" s="61"/>
      <c r="K142" s="71"/>
      <c r="L142" s="62"/>
      <c r="M142" s="75"/>
      <c r="N142" s="73"/>
      <c r="O142" s="15"/>
    </row>
    <row r="143" spans="1:15" x14ac:dyDescent="0.25">
      <c r="A143" s="16">
        <v>25197</v>
      </c>
      <c r="B143" s="124">
        <v>100</v>
      </c>
      <c r="C143" s="17" t="s">
        <v>275</v>
      </c>
      <c r="D143" s="13">
        <v>25350</v>
      </c>
      <c r="E143" s="70"/>
      <c r="F143" s="14" t="s">
        <v>20</v>
      </c>
      <c r="G143" s="11"/>
      <c r="H143" s="67"/>
      <c r="I143" s="12" t="s">
        <v>348</v>
      </c>
      <c r="J143" s="61"/>
      <c r="K143" s="71"/>
      <c r="L143" s="62"/>
      <c r="M143" s="75"/>
      <c r="N143" s="73"/>
      <c r="O143" s="15"/>
    </row>
    <row r="144" spans="1:15" x14ac:dyDescent="0.25">
      <c r="A144" s="16">
        <v>25198</v>
      </c>
      <c r="B144" s="124">
        <v>75</v>
      </c>
      <c r="C144" s="17" t="s">
        <v>270</v>
      </c>
      <c r="D144" s="13">
        <v>25351</v>
      </c>
      <c r="E144" s="70">
        <v>75</v>
      </c>
      <c r="F144" s="14" t="s">
        <v>288</v>
      </c>
      <c r="G144" s="11">
        <v>25451</v>
      </c>
      <c r="H144" s="67">
        <v>50</v>
      </c>
      <c r="I144" s="12" t="s">
        <v>339</v>
      </c>
      <c r="J144" s="61"/>
      <c r="K144" s="71"/>
      <c r="L144" s="62"/>
      <c r="M144" s="75"/>
      <c r="N144" s="73"/>
      <c r="O144" s="15"/>
    </row>
    <row r="145" spans="1:15" x14ac:dyDescent="0.25">
      <c r="A145" s="16">
        <v>25199</v>
      </c>
      <c r="B145" s="124">
        <v>500</v>
      </c>
      <c r="C145" s="17"/>
      <c r="D145" s="13">
        <v>25352</v>
      </c>
      <c r="E145" s="70">
        <v>75</v>
      </c>
      <c r="F145" s="14" t="s">
        <v>331</v>
      </c>
      <c r="G145" s="11">
        <v>25452</v>
      </c>
      <c r="H145" s="67">
        <v>375</v>
      </c>
      <c r="I145" s="12" t="s">
        <v>351</v>
      </c>
      <c r="J145" s="61"/>
      <c r="K145" s="71"/>
      <c r="L145" s="62"/>
      <c r="M145" s="75"/>
      <c r="N145" s="73"/>
      <c r="O145" s="15"/>
    </row>
    <row r="146" spans="1:15" x14ac:dyDescent="0.25">
      <c r="A146" s="16">
        <v>25200</v>
      </c>
      <c r="B146" s="124">
        <v>25</v>
      </c>
      <c r="C146" s="17" t="s">
        <v>268</v>
      </c>
      <c r="D146" s="13">
        <v>25353</v>
      </c>
      <c r="E146" s="70">
        <v>275</v>
      </c>
      <c r="F146" s="14" t="s">
        <v>332</v>
      </c>
      <c r="G146" s="11">
        <v>25453</v>
      </c>
      <c r="H146" s="67">
        <v>75</v>
      </c>
      <c r="I146" s="12" t="s">
        <v>288</v>
      </c>
      <c r="J146" s="61"/>
      <c r="K146" s="71"/>
      <c r="L146" s="62"/>
      <c r="M146" s="75"/>
      <c r="N146" s="73"/>
      <c r="O146" s="15"/>
    </row>
    <row r="147" spans="1:15" x14ac:dyDescent="0.25">
      <c r="A147" s="16">
        <v>25201</v>
      </c>
      <c r="B147" s="124">
        <v>500</v>
      </c>
      <c r="C147" s="17" t="s">
        <v>180</v>
      </c>
      <c r="D147" s="13">
        <v>25354</v>
      </c>
      <c r="E147" s="70">
        <v>525</v>
      </c>
      <c r="F147" s="14" t="s">
        <v>333</v>
      </c>
      <c r="G147" s="11">
        <v>25454</v>
      </c>
      <c r="H147" s="67">
        <v>350</v>
      </c>
      <c r="I147" s="12" t="s">
        <v>178</v>
      </c>
      <c r="J147" s="61"/>
      <c r="K147" s="71"/>
      <c r="L147" s="62"/>
      <c r="M147" s="75"/>
      <c r="N147" s="73"/>
      <c r="O147" s="15"/>
    </row>
    <row r="148" spans="1:15" x14ac:dyDescent="0.25">
      <c r="A148" s="16">
        <v>25202</v>
      </c>
      <c r="B148" s="124">
        <v>500</v>
      </c>
      <c r="C148" s="17"/>
      <c r="D148" s="13">
        <v>25355</v>
      </c>
      <c r="E148" s="70">
        <v>600</v>
      </c>
      <c r="F148" s="14" t="s">
        <v>299</v>
      </c>
      <c r="G148" s="11">
        <v>25455</v>
      </c>
      <c r="H148" s="67">
        <v>75</v>
      </c>
      <c r="I148" s="12" t="s">
        <v>288</v>
      </c>
      <c r="J148" s="61"/>
      <c r="K148" s="71"/>
      <c r="L148" s="62"/>
      <c r="M148" s="75"/>
      <c r="N148" s="73"/>
      <c r="O148" s="15"/>
    </row>
    <row r="149" spans="1:15" x14ac:dyDescent="0.25">
      <c r="A149" s="16">
        <v>25203</v>
      </c>
      <c r="B149" s="124">
        <v>100</v>
      </c>
      <c r="C149" s="17" t="s">
        <v>275</v>
      </c>
      <c r="D149" s="13"/>
      <c r="E149" s="70"/>
      <c r="F149" s="14"/>
      <c r="G149" s="11"/>
      <c r="H149" s="67"/>
      <c r="I149" s="12"/>
      <c r="J149" s="61"/>
      <c r="K149" s="71"/>
      <c r="L149" s="62"/>
      <c r="M149" s="75"/>
      <c r="N149" s="73"/>
      <c r="O149" s="15"/>
    </row>
    <row r="150" spans="1:15" x14ac:dyDescent="0.25">
      <c r="A150" s="16">
        <v>25204</v>
      </c>
      <c r="B150" s="124">
        <v>500</v>
      </c>
      <c r="C150" s="17" t="s">
        <v>241</v>
      </c>
      <c r="D150" s="13"/>
      <c r="E150" s="70"/>
      <c r="F150" s="14"/>
      <c r="G150" s="11"/>
      <c r="H150" s="67"/>
      <c r="I150" s="12"/>
      <c r="J150" s="61"/>
      <c r="K150" s="71"/>
      <c r="L150" s="62"/>
      <c r="M150" s="75"/>
      <c r="N150" s="73"/>
      <c r="O150" s="15"/>
    </row>
    <row r="151" spans="1:15" x14ac:dyDescent="0.25">
      <c r="A151" s="16">
        <v>25205</v>
      </c>
      <c r="B151" s="124">
        <v>50</v>
      </c>
      <c r="C151" s="17" t="s">
        <v>269</v>
      </c>
      <c r="D151" s="13"/>
      <c r="E151" s="70"/>
      <c r="F151" s="14"/>
      <c r="G151" s="11"/>
      <c r="H151" s="67"/>
      <c r="I151" s="12"/>
      <c r="J151" s="61"/>
      <c r="K151" s="71"/>
      <c r="L151" s="62"/>
      <c r="M151" s="75"/>
      <c r="N151" s="73"/>
      <c r="O151" s="15"/>
    </row>
    <row r="152" spans="1:15" x14ac:dyDescent="0.25">
      <c r="A152" s="16">
        <v>25206</v>
      </c>
      <c r="B152" s="124">
        <v>50</v>
      </c>
      <c r="C152" s="17" t="s">
        <v>269</v>
      </c>
      <c r="D152" s="13"/>
      <c r="E152" s="70"/>
      <c r="F152" s="14"/>
      <c r="G152" s="11"/>
      <c r="H152" s="67"/>
      <c r="I152" s="12"/>
      <c r="J152" s="61"/>
      <c r="K152" s="71"/>
      <c r="L152" s="62"/>
      <c r="M152" s="75"/>
      <c r="N152" s="73"/>
      <c r="O152" s="15"/>
    </row>
    <row r="153" spans="1:15" x14ac:dyDescent="0.25">
      <c r="A153" s="16">
        <v>25207</v>
      </c>
      <c r="B153" s="124">
        <v>50</v>
      </c>
      <c r="C153" s="17" t="s">
        <v>269</v>
      </c>
      <c r="D153" s="13"/>
      <c r="E153" s="70"/>
      <c r="F153" s="14"/>
      <c r="G153" s="11"/>
      <c r="H153" s="67"/>
      <c r="I153" s="12"/>
      <c r="J153" s="61"/>
      <c r="K153" s="71"/>
      <c r="L153" s="62"/>
      <c r="M153" s="75"/>
      <c r="N153" s="73"/>
      <c r="O153" s="15"/>
    </row>
    <row r="154" spans="1:15" x14ac:dyDescent="0.25">
      <c r="A154" s="16">
        <v>25208</v>
      </c>
      <c r="B154" s="124">
        <v>500</v>
      </c>
      <c r="C154" s="17" t="s">
        <v>172</v>
      </c>
      <c r="D154" s="13"/>
      <c r="E154" s="70"/>
      <c r="F154" s="14"/>
      <c r="G154" s="11"/>
      <c r="H154" s="67"/>
      <c r="I154" s="12"/>
      <c r="J154" s="61"/>
      <c r="K154" s="71"/>
      <c r="L154" s="62"/>
      <c r="M154" s="75"/>
      <c r="N154" s="73"/>
      <c r="O154" s="15"/>
    </row>
    <row r="155" spans="1:15" x14ac:dyDescent="0.25">
      <c r="A155" s="16">
        <v>25209</v>
      </c>
      <c r="B155" s="124">
        <v>400</v>
      </c>
      <c r="C155" s="17"/>
      <c r="D155" s="13"/>
      <c r="E155" s="70"/>
      <c r="F155" s="14"/>
      <c r="G155" s="11"/>
      <c r="H155" s="67"/>
      <c r="I155" s="12"/>
      <c r="J155" s="61"/>
      <c r="K155" s="71"/>
      <c r="L155" s="62"/>
      <c r="M155" s="75"/>
      <c r="N155" s="73"/>
      <c r="O155" s="15"/>
    </row>
    <row r="156" spans="1:15" x14ac:dyDescent="0.25">
      <c r="A156" s="16">
        <v>25210</v>
      </c>
      <c r="B156" s="124">
        <v>50</v>
      </c>
      <c r="C156" s="17" t="s">
        <v>269</v>
      </c>
      <c r="D156" s="13"/>
      <c r="E156" s="70"/>
      <c r="F156" s="14"/>
      <c r="G156" s="11"/>
      <c r="H156" s="67"/>
      <c r="I156" s="12"/>
      <c r="J156" s="61"/>
      <c r="K156" s="71"/>
      <c r="L156" s="62"/>
      <c r="M156" s="75"/>
      <c r="N156" s="73"/>
      <c r="O156" s="15"/>
    </row>
    <row r="157" spans="1:15" x14ac:dyDescent="0.25">
      <c r="A157" s="16">
        <v>25211</v>
      </c>
      <c r="B157" s="124">
        <v>600</v>
      </c>
      <c r="C157" s="17" t="s">
        <v>251</v>
      </c>
      <c r="D157" s="13"/>
      <c r="E157" s="70"/>
      <c r="F157" s="14"/>
      <c r="G157" s="11"/>
      <c r="H157" s="67"/>
      <c r="I157" s="12"/>
      <c r="J157" s="61"/>
      <c r="K157" s="71"/>
      <c r="L157" s="62"/>
      <c r="M157" s="75"/>
      <c r="N157" s="73"/>
      <c r="O157" s="15"/>
    </row>
    <row r="158" spans="1:15" x14ac:dyDescent="0.25">
      <c r="A158" s="16"/>
      <c r="B158" s="124"/>
      <c r="C158" s="17" t="s">
        <v>52</v>
      </c>
      <c r="D158" s="13"/>
      <c r="E158" s="70"/>
      <c r="F158" s="14"/>
      <c r="G158" s="11"/>
      <c r="H158" s="67"/>
      <c r="I158" s="12"/>
      <c r="J158" s="61"/>
      <c r="K158" s="71"/>
      <c r="L158" s="62"/>
      <c r="M158" s="75"/>
      <c r="N158" s="73"/>
      <c r="O158" s="15"/>
    </row>
    <row r="159" spans="1:15" x14ac:dyDescent="0.25">
      <c r="A159" s="16">
        <v>25212</v>
      </c>
      <c r="B159" s="124">
        <v>125</v>
      </c>
      <c r="C159" s="17" t="s">
        <v>272</v>
      </c>
      <c r="D159" s="13"/>
      <c r="E159" s="70"/>
      <c r="F159" s="14"/>
      <c r="G159" s="11"/>
      <c r="H159" s="67"/>
      <c r="I159" s="12"/>
      <c r="J159" s="61"/>
      <c r="K159" s="71"/>
      <c r="L159" s="62"/>
      <c r="M159" s="75"/>
      <c r="N159" s="73"/>
      <c r="O159" s="15"/>
    </row>
    <row r="160" spans="1:15" x14ac:dyDescent="0.25">
      <c r="A160" s="16">
        <v>25213</v>
      </c>
      <c r="B160" s="124">
        <v>300</v>
      </c>
      <c r="C160" s="17"/>
      <c r="D160" s="13"/>
      <c r="E160" s="70"/>
      <c r="F160" s="14"/>
      <c r="G160" s="11"/>
      <c r="H160" s="67"/>
      <c r="I160" s="12"/>
      <c r="J160" s="61"/>
      <c r="K160" s="71"/>
      <c r="L160" s="62"/>
      <c r="M160" s="75"/>
      <c r="N160" s="73"/>
      <c r="O160" s="15"/>
    </row>
    <row r="161" spans="1:15" x14ac:dyDescent="0.25">
      <c r="A161" s="16">
        <v>25214</v>
      </c>
      <c r="B161" s="124">
        <v>50</v>
      </c>
      <c r="C161" s="17" t="s">
        <v>269</v>
      </c>
      <c r="D161" s="13"/>
      <c r="E161" s="70"/>
      <c r="F161" s="14"/>
      <c r="G161" s="11"/>
      <c r="H161" s="67"/>
      <c r="I161" s="12"/>
      <c r="J161" s="61"/>
      <c r="K161" s="71"/>
      <c r="L161" s="62"/>
      <c r="M161" s="75"/>
      <c r="N161" s="73"/>
      <c r="O161" s="15"/>
    </row>
    <row r="162" spans="1:15" x14ac:dyDescent="0.25">
      <c r="A162" s="16">
        <v>25215</v>
      </c>
      <c r="B162" s="124">
        <v>1000</v>
      </c>
      <c r="C162" s="17" t="s">
        <v>238</v>
      </c>
      <c r="D162" s="13"/>
      <c r="E162" s="70"/>
      <c r="F162" s="14"/>
      <c r="G162" s="11"/>
      <c r="H162" s="67"/>
      <c r="I162" s="12"/>
      <c r="J162" s="61"/>
      <c r="K162" s="71"/>
      <c r="L162" s="62"/>
      <c r="M162" s="75"/>
      <c r="N162" s="73"/>
      <c r="O162" s="15"/>
    </row>
    <row r="163" spans="1:15" x14ac:dyDescent="0.25">
      <c r="A163" s="16"/>
      <c r="B163" s="124"/>
      <c r="C163" s="17" t="s">
        <v>64</v>
      </c>
      <c r="D163" s="13"/>
      <c r="E163" s="70"/>
      <c r="F163" s="14"/>
      <c r="G163" s="11"/>
      <c r="H163" s="67"/>
      <c r="I163" s="12"/>
      <c r="J163" s="61"/>
      <c r="K163" s="71"/>
      <c r="L163" s="62"/>
      <c r="M163" s="75"/>
      <c r="N163" s="73"/>
      <c r="O163" s="15"/>
    </row>
    <row r="164" spans="1:15" x14ac:dyDescent="0.25">
      <c r="A164" s="16">
        <v>25216</v>
      </c>
      <c r="B164" s="124">
        <v>75</v>
      </c>
      <c r="C164" s="17" t="s">
        <v>270</v>
      </c>
      <c r="D164" s="13"/>
      <c r="E164" s="70"/>
      <c r="F164" s="14"/>
      <c r="G164" s="11"/>
      <c r="H164" s="67"/>
      <c r="I164" s="12"/>
      <c r="J164" s="61"/>
      <c r="K164" s="71"/>
      <c r="L164" s="62"/>
      <c r="M164" s="75"/>
      <c r="N164" s="73"/>
      <c r="O164" s="15"/>
    </row>
    <row r="165" spans="1:15" x14ac:dyDescent="0.25">
      <c r="A165" s="16">
        <v>25217</v>
      </c>
      <c r="B165" s="124">
        <v>25</v>
      </c>
      <c r="C165" s="17" t="s">
        <v>268</v>
      </c>
      <c r="D165" s="13"/>
      <c r="E165" s="70"/>
      <c r="F165" s="14"/>
      <c r="G165" s="11"/>
      <c r="H165" s="67"/>
      <c r="I165" s="12"/>
      <c r="J165" s="61"/>
      <c r="K165" s="71"/>
      <c r="L165" s="62"/>
      <c r="M165" s="75"/>
      <c r="N165" s="73"/>
      <c r="O165" s="15"/>
    </row>
    <row r="166" spans="1:15" x14ac:dyDescent="0.25">
      <c r="A166" s="16">
        <v>25218</v>
      </c>
      <c r="B166" s="124">
        <v>50</v>
      </c>
      <c r="C166" s="17" t="s">
        <v>269</v>
      </c>
      <c r="D166" s="13"/>
      <c r="E166" s="70"/>
      <c r="F166" s="14"/>
      <c r="G166" s="11"/>
      <c r="H166" s="67"/>
      <c r="I166" s="12"/>
      <c r="J166" s="61"/>
      <c r="K166" s="71"/>
      <c r="L166" s="62"/>
      <c r="M166" s="75"/>
      <c r="N166" s="73"/>
      <c r="O166" s="15"/>
    </row>
    <row r="167" spans="1:15" x14ac:dyDescent="0.25">
      <c r="A167" s="16">
        <v>25219</v>
      </c>
      <c r="B167" s="124">
        <v>100</v>
      </c>
      <c r="C167" s="17" t="s">
        <v>279</v>
      </c>
      <c r="D167" s="13"/>
      <c r="E167" s="70"/>
      <c r="F167" s="14"/>
      <c r="G167" s="11"/>
      <c r="H167" s="67"/>
      <c r="I167" s="12"/>
      <c r="J167" s="61"/>
      <c r="K167" s="71"/>
      <c r="L167" s="62"/>
      <c r="M167" s="75"/>
      <c r="N167" s="73"/>
      <c r="O167" s="15"/>
    </row>
    <row r="168" spans="1:15" x14ac:dyDescent="0.25">
      <c r="A168" s="16">
        <v>25220</v>
      </c>
      <c r="B168" s="124">
        <v>50</v>
      </c>
      <c r="C168" s="17" t="s">
        <v>269</v>
      </c>
      <c r="D168" s="13"/>
      <c r="E168" s="70"/>
      <c r="F168" s="14"/>
      <c r="G168" s="11"/>
      <c r="H168" s="67"/>
      <c r="I168" s="12"/>
      <c r="J168" s="61"/>
      <c r="K168" s="71"/>
      <c r="L168" s="62"/>
      <c r="M168" s="75"/>
      <c r="N168" s="73"/>
      <c r="O168" s="15"/>
    </row>
    <row r="169" spans="1:15" x14ac:dyDescent="0.25">
      <c r="A169" s="16">
        <v>25221</v>
      </c>
      <c r="B169" s="124">
        <v>100</v>
      </c>
      <c r="C169" s="17" t="s">
        <v>275</v>
      </c>
      <c r="D169" s="13"/>
      <c r="E169" s="70"/>
      <c r="F169" s="14"/>
      <c r="G169" s="11"/>
      <c r="H169" s="67"/>
      <c r="I169" s="12"/>
      <c r="J169" s="61"/>
      <c r="K169" s="71"/>
      <c r="L169" s="62"/>
      <c r="M169" s="75"/>
      <c r="N169" s="73"/>
      <c r="O169" s="15"/>
    </row>
    <row r="170" spans="1:15" x14ac:dyDescent="0.25">
      <c r="A170" s="16">
        <v>25222</v>
      </c>
      <c r="B170" s="124">
        <v>100</v>
      </c>
      <c r="C170" s="17" t="s">
        <v>275</v>
      </c>
      <c r="D170" s="13"/>
      <c r="E170" s="70"/>
      <c r="F170" s="14"/>
      <c r="G170" s="11"/>
      <c r="H170" s="67"/>
      <c r="I170" s="12"/>
      <c r="J170" s="61"/>
      <c r="K170" s="71"/>
      <c r="L170" s="62"/>
      <c r="M170" s="75"/>
      <c r="N170" s="73"/>
      <c r="O170" s="15"/>
    </row>
    <row r="171" spans="1:15" x14ac:dyDescent="0.25">
      <c r="A171" s="16">
        <v>25223</v>
      </c>
      <c r="B171" s="124">
        <v>250</v>
      </c>
      <c r="C171" s="17"/>
      <c r="D171" s="13"/>
      <c r="E171" s="70"/>
      <c r="F171" s="14"/>
      <c r="G171" s="11"/>
      <c r="H171" s="67"/>
      <c r="I171" s="12"/>
      <c r="J171" s="61"/>
      <c r="K171" s="71"/>
      <c r="L171" s="62"/>
      <c r="M171" s="75"/>
      <c r="N171" s="73"/>
      <c r="O171" s="15"/>
    </row>
    <row r="172" spans="1:15" x14ac:dyDescent="0.25">
      <c r="A172" s="16">
        <v>25224</v>
      </c>
      <c r="B172" s="124">
        <v>50</v>
      </c>
      <c r="C172" s="17" t="s">
        <v>269</v>
      </c>
      <c r="D172" s="13"/>
      <c r="E172" s="70"/>
      <c r="F172" s="14"/>
      <c r="G172" s="11"/>
      <c r="H172" s="67"/>
      <c r="I172" s="12"/>
      <c r="J172" s="61"/>
      <c r="K172" s="71"/>
      <c r="L172" s="62"/>
      <c r="M172" s="75"/>
      <c r="N172" s="73"/>
      <c r="O172" s="15"/>
    </row>
    <row r="173" spans="1:15" x14ac:dyDescent="0.25">
      <c r="A173" s="16">
        <v>25225</v>
      </c>
      <c r="B173" s="124">
        <v>100</v>
      </c>
      <c r="C173" s="17" t="s">
        <v>275</v>
      </c>
      <c r="D173" s="13"/>
      <c r="E173" s="70"/>
      <c r="F173" s="14"/>
      <c r="G173" s="11"/>
      <c r="H173" s="67"/>
      <c r="I173" s="12"/>
      <c r="J173" s="61"/>
      <c r="K173" s="71"/>
      <c r="L173" s="62"/>
      <c r="M173" s="75"/>
      <c r="N173" s="73"/>
      <c r="O173" s="15"/>
    </row>
    <row r="174" spans="1:15" x14ac:dyDescent="0.25">
      <c r="A174" s="16">
        <v>25226</v>
      </c>
      <c r="B174" s="124">
        <v>50</v>
      </c>
      <c r="C174" s="17" t="s">
        <v>269</v>
      </c>
      <c r="D174" s="13"/>
      <c r="E174" s="70"/>
      <c r="F174" s="14"/>
      <c r="G174" s="11"/>
      <c r="H174" s="67"/>
      <c r="I174" s="12"/>
      <c r="J174" s="61"/>
      <c r="K174" s="71"/>
      <c r="L174" s="62"/>
      <c r="M174" s="75"/>
      <c r="N174" s="73"/>
      <c r="O174" s="15"/>
    </row>
    <row r="175" spans="1:15" x14ac:dyDescent="0.25">
      <c r="A175" s="16">
        <v>25227</v>
      </c>
      <c r="B175" s="124">
        <v>100</v>
      </c>
      <c r="C175" s="17" t="s">
        <v>91</v>
      </c>
      <c r="D175" s="13"/>
      <c r="E175" s="70"/>
      <c r="F175" s="14"/>
      <c r="G175" s="11"/>
      <c r="H175" s="67"/>
      <c r="I175" s="12"/>
      <c r="J175" s="61"/>
      <c r="K175" s="71"/>
      <c r="L175" s="62"/>
      <c r="M175" s="75"/>
      <c r="N175" s="73"/>
      <c r="O175" s="15"/>
    </row>
    <row r="176" spans="1:15" x14ac:dyDescent="0.25">
      <c r="A176" s="16">
        <v>25228</v>
      </c>
      <c r="B176" s="124">
        <v>25</v>
      </c>
      <c r="C176" s="17" t="s">
        <v>268</v>
      </c>
      <c r="D176" s="13"/>
      <c r="E176" s="70"/>
      <c r="F176" s="14"/>
      <c r="G176" s="11"/>
      <c r="H176" s="67"/>
      <c r="I176" s="12"/>
      <c r="J176" s="61"/>
      <c r="K176" s="71"/>
      <c r="L176" s="62"/>
      <c r="M176" s="75"/>
      <c r="N176" s="73"/>
      <c r="O176" s="15"/>
    </row>
    <row r="177" spans="1:15" x14ac:dyDescent="0.25">
      <c r="A177" s="16">
        <v>25229</v>
      </c>
      <c r="B177" s="124">
        <v>500</v>
      </c>
      <c r="C177" s="17" t="s">
        <v>172</v>
      </c>
      <c r="D177" s="13"/>
      <c r="E177" s="70"/>
      <c r="F177" s="14"/>
      <c r="G177" s="11"/>
      <c r="H177" s="67"/>
      <c r="I177" s="12"/>
      <c r="J177" s="61"/>
      <c r="K177" s="71"/>
      <c r="L177" s="62"/>
      <c r="M177" s="75"/>
      <c r="N177" s="73"/>
      <c r="O177" s="15"/>
    </row>
    <row r="178" spans="1:15" x14ac:dyDescent="0.25">
      <c r="A178" s="16">
        <v>25230</v>
      </c>
      <c r="B178" s="124">
        <v>75</v>
      </c>
      <c r="C178" s="17" t="s">
        <v>270</v>
      </c>
      <c r="D178" s="13"/>
      <c r="E178" s="70"/>
      <c r="F178" s="14"/>
      <c r="G178" s="11"/>
      <c r="H178" s="67"/>
      <c r="I178" s="12"/>
      <c r="J178" s="61"/>
      <c r="K178" s="71"/>
      <c r="L178" s="62"/>
      <c r="M178" s="75"/>
      <c r="N178" s="73"/>
      <c r="O178" s="15"/>
    </row>
    <row r="179" spans="1:15" x14ac:dyDescent="0.25">
      <c r="A179" s="16">
        <v>25231</v>
      </c>
      <c r="B179" s="124">
        <v>550</v>
      </c>
      <c r="C179" s="17" t="s">
        <v>267</v>
      </c>
      <c r="D179" s="13"/>
      <c r="E179" s="70"/>
      <c r="F179" s="14"/>
      <c r="G179" s="11"/>
      <c r="H179" s="67"/>
      <c r="I179" s="12"/>
      <c r="J179" s="61"/>
      <c r="K179" s="71"/>
      <c r="L179" s="62"/>
      <c r="M179" s="75"/>
      <c r="N179" s="73"/>
      <c r="O179" s="15"/>
    </row>
    <row r="180" spans="1:15" x14ac:dyDescent="0.25">
      <c r="A180" s="16">
        <v>25232</v>
      </c>
      <c r="B180" s="124">
        <v>75</v>
      </c>
      <c r="C180" s="17" t="s">
        <v>270</v>
      </c>
      <c r="D180" s="13"/>
      <c r="E180" s="70"/>
      <c r="F180" s="14"/>
      <c r="G180" s="11"/>
      <c r="H180" s="67"/>
      <c r="I180" s="12"/>
      <c r="J180" s="61"/>
      <c r="K180" s="71"/>
      <c r="L180" s="62"/>
      <c r="M180" s="75"/>
      <c r="N180" s="73"/>
      <c r="O180" s="15"/>
    </row>
    <row r="181" spans="1:15" x14ac:dyDescent="0.25">
      <c r="A181" s="16"/>
      <c r="B181" s="124"/>
      <c r="C181" s="17"/>
      <c r="D181" s="13"/>
      <c r="E181" s="70"/>
      <c r="F181" s="14"/>
      <c r="G181" s="11"/>
      <c r="H181" s="67"/>
      <c r="I181" s="12"/>
      <c r="J181" s="61"/>
      <c r="K181" s="71"/>
      <c r="L181" s="62"/>
      <c r="M181" s="75"/>
      <c r="N181" s="73"/>
      <c r="O181" s="15"/>
    </row>
    <row r="182" spans="1:15" x14ac:dyDescent="0.25">
      <c r="A182" s="16"/>
      <c r="B182" s="124"/>
      <c r="C182" s="17"/>
      <c r="D182" s="13"/>
      <c r="E182" s="70"/>
      <c r="F182" s="14"/>
      <c r="G182" s="11"/>
      <c r="H182" s="67"/>
      <c r="I182" s="12"/>
      <c r="J182" s="61"/>
      <c r="K182" s="71"/>
      <c r="L182" s="62"/>
      <c r="M182" s="75"/>
      <c r="N182" s="73"/>
      <c r="O182" s="15"/>
    </row>
    <row r="183" spans="1:15" x14ac:dyDescent="0.25">
      <c r="A183" s="16"/>
      <c r="B183" s="124"/>
      <c r="C183" s="17"/>
      <c r="D183" s="13"/>
      <c r="E183" s="70"/>
      <c r="F183" s="14"/>
      <c r="G183" s="11"/>
      <c r="H183" s="67"/>
      <c r="I183" s="12"/>
      <c r="J183" s="61"/>
      <c r="K183" s="71"/>
      <c r="L183" s="62"/>
      <c r="M183" s="75"/>
      <c r="N183" s="73"/>
      <c r="O183" s="15"/>
    </row>
    <row r="184" spans="1:15" x14ac:dyDescent="0.25">
      <c r="A184" s="16"/>
      <c r="B184" s="124"/>
      <c r="C184" s="17"/>
      <c r="D184" s="13"/>
      <c r="E184" s="70"/>
      <c r="F184" s="14"/>
      <c r="G184" s="11"/>
      <c r="H184" s="67"/>
      <c r="I184" s="12"/>
      <c r="J184" s="61"/>
      <c r="K184" s="71"/>
      <c r="L184" s="62"/>
      <c r="M184" s="75"/>
      <c r="N184" s="73"/>
      <c r="O184" s="15"/>
    </row>
    <row r="185" spans="1:15" x14ac:dyDescent="0.25">
      <c r="A185" s="16"/>
      <c r="B185" s="124"/>
      <c r="C185" s="17"/>
      <c r="D185" s="13"/>
      <c r="E185" s="70"/>
      <c r="F185" s="14"/>
      <c r="G185" s="11"/>
      <c r="H185" s="67"/>
      <c r="I185" s="12"/>
      <c r="J185" s="61"/>
      <c r="K185" s="71"/>
      <c r="L185" s="62"/>
      <c r="M185" s="75"/>
      <c r="N185" s="73"/>
      <c r="O185" s="15"/>
    </row>
    <row r="186" spans="1:15" x14ac:dyDescent="0.25">
      <c r="A186" s="16"/>
      <c r="B186" s="124"/>
      <c r="C186" s="17"/>
      <c r="D186" s="13"/>
      <c r="E186" s="70"/>
      <c r="F186" s="14"/>
      <c r="G186" s="11"/>
      <c r="H186" s="67"/>
      <c r="I186" s="12"/>
      <c r="J186" s="61"/>
      <c r="K186" s="71"/>
      <c r="L186" s="62"/>
      <c r="M186" s="75"/>
      <c r="N186" s="73"/>
      <c r="O186" s="15"/>
    </row>
    <row r="187" spans="1:15" x14ac:dyDescent="0.25">
      <c r="A187" s="16"/>
      <c r="B187" s="124"/>
      <c r="C187" s="17"/>
      <c r="D187" s="13"/>
      <c r="E187" s="70"/>
      <c r="F187" s="14"/>
      <c r="G187" s="11"/>
      <c r="H187" s="67"/>
      <c r="I187" s="12"/>
      <c r="J187" s="61"/>
      <c r="K187" s="71"/>
      <c r="L187" s="62"/>
      <c r="M187" s="75"/>
      <c r="N187" s="73"/>
      <c r="O187" s="15"/>
    </row>
    <row r="188" spans="1:15" x14ac:dyDescent="0.25">
      <c r="A188" s="16"/>
      <c r="B188" s="124"/>
      <c r="C188" s="17"/>
      <c r="D188" s="13"/>
      <c r="E188" s="70"/>
      <c r="F188" s="14"/>
      <c r="G188" s="11"/>
      <c r="H188" s="67"/>
      <c r="I188" s="12"/>
      <c r="J188" s="61"/>
      <c r="K188" s="71"/>
      <c r="L188" s="62"/>
      <c r="M188" s="75"/>
      <c r="N188" s="73"/>
      <c r="O188" s="15"/>
    </row>
    <row r="189" spans="1:15" x14ac:dyDescent="0.25">
      <c r="A189" s="16"/>
      <c r="B189" s="124"/>
      <c r="C189" s="17"/>
      <c r="D189" s="13"/>
      <c r="E189" s="70"/>
      <c r="F189" s="14"/>
      <c r="G189" s="11"/>
      <c r="H189" s="67"/>
      <c r="I189" s="12"/>
      <c r="J189" s="61"/>
      <c r="K189" s="71"/>
      <c r="L189" s="62"/>
      <c r="M189" s="75"/>
      <c r="N189" s="73"/>
      <c r="O189" s="15"/>
    </row>
    <row r="190" spans="1:15" x14ac:dyDescent="0.25">
      <c r="A190" s="16"/>
      <c r="B190" s="124"/>
      <c r="C190" s="17"/>
      <c r="D190" s="13"/>
      <c r="E190" s="70"/>
      <c r="F190" s="14"/>
      <c r="G190" s="11"/>
      <c r="H190" s="67"/>
      <c r="I190" s="12"/>
      <c r="J190" s="61"/>
      <c r="K190" s="71"/>
      <c r="L190" s="62"/>
      <c r="M190" s="75"/>
      <c r="N190" s="73"/>
      <c r="O190" s="15"/>
    </row>
    <row r="191" spans="1:15" x14ac:dyDescent="0.25">
      <c r="A191" s="16"/>
      <c r="B191" s="124"/>
      <c r="C191" s="17"/>
      <c r="D191" s="13"/>
      <c r="E191" s="70"/>
      <c r="F191" s="14"/>
      <c r="G191" s="11"/>
      <c r="H191" s="67"/>
      <c r="I191" s="12"/>
      <c r="J191" s="61"/>
      <c r="K191" s="71"/>
      <c r="L191" s="62"/>
      <c r="M191" s="75"/>
      <c r="N191" s="73"/>
      <c r="O191" s="15"/>
    </row>
    <row r="192" spans="1:15" x14ac:dyDescent="0.25">
      <c r="A192" s="16"/>
      <c r="B192" s="124"/>
      <c r="C192" s="17"/>
      <c r="D192" s="13"/>
      <c r="E192" s="70"/>
      <c r="F192" s="14"/>
      <c r="G192" s="11"/>
      <c r="H192" s="67"/>
      <c r="I192" s="12"/>
      <c r="J192" s="61"/>
      <c r="K192" s="71"/>
      <c r="L192" s="62"/>
      <c r="M192" s="75"/>
      <c r="N192" s="73"/>
      <c r="O192" s="15"/>
    </row>
    <row r="193" spans="1:15" x14ac:dyDescent="0.25">
      <c r="A193" s="16"/>
      <c r="B193" s="124"/>
      <c r="C193" s="17"/>
      <c r="D193" s="13"/>
      <c r="E193" s="70"/>
      <c r="F193" s="14"/>
      <c r="G193" s="11"/>
      <c r="H193" s="67"/>
      <c r="I193" s="12"/>
      <c r="J193" s="61"/>
      <c r="K193" s="71"/>
      <c r="L193" s="62"/>
      <c r="M193" s="75"/>
      <c r="N193" s="73"/>
      <c r="O193" s="15"/>
    </row>
    <row r="194" spans="1:15" x14ac:dyDescent="0.25">
      <c r="A194" s="16"/>
      <c r="B194" s="124"/>
      <c r="C194" s="17"/>
      <c r="D194" s="13"/>
      <c r="E194" s="70"/>
      <c r="F194" s="14"/>
      <c r="G194" s="11"/>
      <c r="H194" s="67"/>
      <c r="I194" s="12"/>
      <c r="J194" s="61"/>
      <c r="K194" s="71"/>
      <c r="L194" s="62"/>
      <c r="M194" s="75"/>
      <c r="N194" s="73"/>
      <c r="O194" s="15"/>
    </row>
    <row r="195" spans="1:15" x14ac:dyDescent="0.25">
      <c r="A195" s="16"/>
      <c r="B195" s="124"/>
      <c r="C195" s="17"/>
      <c r="D195" s="13"/>
      <c r="E195" s="70"/>
      <c r="F195" s="14"/>
      <c r="G195" s="11"/>
      <c r="H195" s="67"/>
      <c r="I195" s="12"/>
      <c r="J195" s="61"/>
      <c r="K195" s="71"/>
      <c r="L195" s="62"/>
      <c r="M195" s="75"/>
      <c r="N195" s="73"/>
      <c r="O195" s="15"/>
    </row>
    <row r="196" spans="1:15" x14ac:dyDescent="0.25">
      <c r="A196" s="16"/>
      <c r="B196" s="124"/>
      <c r="C196" s="17"/>
      <c r="D196" s="13"/>
      <c r="E196" s="70"/>
      <c r="F196" s="14"/>
      <c r="G196" s="11"/>
      <c r="H196" s="67"/>
      <c r="I196" s="12"/>
      <c r="J196" s="61"/>
      <c r="K196" s="71"/>
      <c r="L196" s="62"/>
      <c r="M196" s="75"/>
      <c r="N196" s="73"/>
      <c r="O196" s="15"/>
    </row>
    <row r="197" spans="1:15" x14ac:dyDescent="0.25">
      <c r="A197" s="16"/>
      <c r="B197" s="124"/>
      <c r="C197" s="17"/>
      <c r="D197" s="13"/>
      <c r="E197" s="70"/>
      <c r="F197" s="14"/>
      <c r="G197" s="11"/>
      <c r="H197" s="67"/>
      <c r="I197" s="12"/>
      <c r="J197" s="61"/>
      <c r="K197" s="71"/>
      <c r="L197" s="62"/>
      <c r="M197" s="75"/>
      <c r="N197" s="73"/>
      <c r="O197" s="15"/>
    </row>
    <row r="198" spans="1:15" x14ac:dyDescent="0.25">
      <c r="A198" s="16"/>
      <c r="B198" s="124"/>
      <c r="C198" s="17"/>
      <c r="D198" s="13"/>
      <c r="E198" s="70"/>
      <c r="F198" s="14"/>
      <c r="G198" s="11"/>
      <c r="H198" s="67"/>
      <c r="I198" s="12"/>
      <c r="J198" s="61"/>
      <c r="K198" s="71"/>
      <c r="L198" s="62"/>
      <c r="M198" s="75"/>
      <c r="N198" s="73"/>
      <c r="O198" s="15"/>
    </row>
    <row r="199" spans="1:15" x14ac:dyDescent="0.25">
      <c r="A199" s="16"/>
      <c r="B199" s="124"/>
      <c r="C199" s="17"/>
      <c r="D199" s="13"/>
      <c r="E199" s="70"/>
      <c r="F199" s="14"/>
      <c r="G199" s="11"/>
      <c r="H199" s="67"/>
      <c r="I199" s="12"/>
      <c r="J199" s="61"/>
      <c r="K199" s="71"/>
      <c r="L199" s="62"/>
      <c r="M199" s="75"/>
      <c r="N199" s="73"/>
      <c r="O199" s="15"/>
    </row>
    <row r="200" spans="1:15" x14ac:dyDescent="0.25">
      <c r="A200" s="16"/>
      <c r="B200" s="124"/>
      <c r="C200" s="17"/>
      <c r="D200" s="13"/>
      <c r="E200" s="70"/>
      <c r="F200" s="14"/>
      <c r="G200" s="11"/>
      <c r="H200" s="67"/>
      <c r="I200" s="12"/>
      <c r="J200" s="61"/>
      <c r="K200" s="71"/>
      <c r="L200" s="62"/>
      <c r="M200" s="75"/>
      <c r="N200" s="73"/>
      <c r="O200" s="15"/>
    </row>
    <row r="201" spans="1:15" x14ac:dyDescent="0.25">
      <c r="A201" s="16"/>
      <c r="B201" s="124"/>
      <c r="C201" s="17"/>
      <c r="D201" s="13"/>
      <c r="E201" s="70"/>
      <c r="F201" s="14"/>
      <c r="G201" s="11"/>
      <c r="H201" s="67"/>
      <c r="I201" s="12"/>
      <c r="J201" s="61"/>
      <c r="K201" s="71"/>
      <c r="L201" s="62"/>
      <c r="M201" s="75"/>
      <c r="N201" s="73"/>
      <c r="O201" s="15"/>
    </row>
    <row r="202" spans="1:15" x14ac:dyDescent="0.25">
      <c r="A202" s="16"/>
      <c r="B202" s="124"/>
      <c r="C202" s="17"/>
      <c r="D202" s="13"/>
      <c r="E202" s="70"/>
      <c r="F202" s="14"/>
      <c r="G202" s="11"/>
      <c r="H202" s="67"/>
      <c r="I202" s="12"/>
      <c r="J202" s="61"/>
      <c r="K202" s="71"/>
      <c r="L202" s="62"/>
      <c r="M202" s="75"/>
      <c r="N202" s="73"/>
      <c r="O202" s="15"/>
    </row>
    <row r="203" spans="1:15" x14ac:dyDescent="0.25">
      <c r="A203" s="16"/>
      <c r="B203" s="124"/>
      <c r="C203" s="17"/>
      <c r="D203" s="13"/>
      <c r="E203" s="70"/>
      <c r="F203" s="14"/>
      <c r="G203" s="11"/>
      <c r="H203" s="67"/>
      <c r="I203" s="12"/>
      <c r="J203" s="61"/>
      <c r="K203" s="71"/>
      <c r="L203" s="62"/>
      <c r="M203" s="75"/>
      <c r="N203" s="73"/>
      <c r="O203" s="15"/>
    </row>
    <row r="204" spans="1:15" x14ac:dyDescent="0.25">
      <c r="A204" s="16"/>
      <c r="B204" s="124"/>
      <c r="C204" s="17"/>
      <c r="D204" s="13"/>
      <c r="E204" s="70"/>
      <c r="F204" s="14"/>
      <c r="G204" s="11"/>
      <c r="H204" s="67"/>
      <c r="I204" s="12"/>
      <c r="J204" s="61"/>
      <c r="K204" s="71"/>
      <c r="L204" s="62"/>
      <c r="M204" s="75"/>
      <c r="N204" s="73"/>
      <c r="O204" s="15"/>
    </row>
    <row r="205" spans="1:15" x14ac:dyDescent="0.25">
      <c r="A205" s="16"/>
      <c r="B205" s="124"/>
      <c r="C205" s="17"/>
      <c r="D205" s="13"/>
      <c r="E205" s="70"/>
      <c r="F205" s="14"/>
      <c r="G205" s="11"/>
      <c r="H205" s="67"/>
      <c r="I205" s="12"/>
      <c r="J205" s="61"/>
      <c r="K205" s="71"/>
      <c r="L205" s="62"/>
      <c r="M205" s="75"/>
      <c r="N205" s="73"/>
      <c r="O205" s="15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6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6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A535" s="26"/>
      <c r="B535" s="66"/>
      <c r="C535" s="58"/>
      <c r="D535" s="26"/>
      <c r="E535" s="58"/>
      <c r="F535" s="58"/>
      <c r="G535" s="26"/>
      <c r="H535" s="58"/>
      <c r="I535" s="58"/>
      <c r="J535" s="26"/>
      <c r="K535" s="58"/>
      <c r="L535" s="58"/>
      <c r="M535" s="58"/>
      <c r="N535" s="58"/>
      <c r="O535" s="58"/>
    </row>
    <row r="536" spans="1:15" x14ac:dyDescent="0.25">
      <c r="G536" s="26"/>
      <c r="H536" s="58"/>
      <c r="I536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536"/>
  <sheetViews>
    <sheetView topLeftCell="D5" workbookViewId="0">
      <pane ySplit="3" topLeftCell="A29" activePane="bottomLeft" state="frozen"/>
      <selection activeCell="A5" sqref="A5"/>
      <selection pane="bottomLeft" activeCell="O45" sqref="O45"/>
    </sheetView>
  </sheetViews>
  <sheetFormatPr baseColWidth="10" defaultRowHeight="15" x14ac:dyDescent="0.25"/>
  <cols>
    <col min="1" max="1" width="7.7109375" style="6" customWidth="1"/>
    <col min="2" max="2" width="9.7109375" style="6" customWidth="1"/>
    <col min="3" max="3" width="23.7109375" customWidth="1"/>
    <col min="4" max="4" width="7.85546875" style="6" customWidth="1"/>
    <col min="5" max="5" width="9.85546875" customWidth="1"/>
    <col min="6" max="6" width="24.5703125" customWidth="1"/>
    <col min="7" max="7" width="7.7109375" style="6" customWidth="1"/>
    <col min="8" max="8" width="10" customWidth="1"/>
    <col min="9" max="9" width="23.7109375" customWidth="1"/>
    <col min="10" max="10" width="7.7109375" style="6" customWidth="1"/>
    <col min="11" max="11" width="10" customWidth="1"/>
    <col min="12" max="12" width="23.7109375" customWidth="1"/>
    <col min="13" max="13" width="7.7109375" customWidth="1"/>
    <col min="14" max="14" width="10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34" t="s">
        <v>10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6" t="s">
        <v>11</v>
      </c>
      <c r="M1" s="136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37" t="s">
        <v>8</v>
      </c>
      <c r="D3" s="137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38" t="s">
        <v>0</v>
      </c>
      <c r="B5" s="138"/>
      <c r="C5" s="138"/>
      <c r="D5" s="139" t="s">
        <v>4</v>
      </c>
      <c r="E5" s="139"/>
      <c r="F5" s="139"/>
      <c r="G5" s="140" t="s">
        <v>5</v>
      </c>
      <c r="H5" s="140"/>
      <c r="I5" s="140"/>
      <c r="J5" s="145" t="s">
        <v>6</v>
      </c>
      <c r="K5" s="145"/>
      <c r="L5" s="145"/>
      <c r="M5" s="133" t="s">
        <v>12</v>
      </c>
      <c r="N5" s="133"/>
      <c r="O5" s="133"/>
      <c r="Q5" s="142" t="s">
        <v>13</v>
      </c>
      <c r="R5" s="142"/>
    </row>
    <row r="6" spans="1:18" x14ac:dyDescent="0.25">
      <c r="A6" s="8">
        <f>SUBTOTAL(3,A9:A122)</f>
        <v>57</v>
      </c>
      <c r="B6" s="123">
        <f>SUBTOTAL(9,B8:B122)</f>
        <v>32350</v>
      </c>
      <c r="C6" s="35">
        <v>44409</v>
      </c>
      <c r="D6" s="8">
        <f>SUBTOTAL(3,D8:D120)</f>
        <v>48</v>
      </c>
      <c r="E6" s="123">
        <f>SUBTOTAL(9,E8:E122)</f>
        <v>23900</v>
      </c>
      <c r="F6" s="38">
        <v>44416</v>
      </c>
      <c r="G6" s="8">
        <f>SUBTOTAL(3,G8:G121)</f>
        <v>49</v>
      </c>
      <c r="H6" s="123">
        <f>SUBTOTAL(9,H8:H122)</f>
        <v>25750</v>
      </c>
      <c r="I6" s="39">
        <v>44423</v>
      </c>
      <c r="J6" s="8">
        <f>SUBTOTAL(3,J8:J111)</f>
        <v>49</v>
      </c>
      <c r="K6" s="123">
        <f>SUBTOTAL(9,K8:K122)</f>
        <v>27275</v>
      </c>
      <c r="L6" s="63">
        <v>44430</v>
      </c>
      <c r="M6" s="1">
        <f>SUBTOTAL(3,M8:M120)</f>
        <v>28</v>
      </c>
      <c r="N6" s="123">
        <f>SUBTOTAL(9,N8:N122)</f>
        <v>18450</v>
      </c>
      <c r="O6" s="81">
        <v>44437</v>
      </c>
      <c r="Q6" s="30">
        <f>+A6+D6+G6+J6+M6</f>
        <v>231</v>
      </c>
      <c r="R6" s="29">
        <f>+B6+E6+H6+K6+N6</f>
        <v>127725</v>
      </c>
    </row>
    <row r="7" spans="1:18" x14ac:dyDescent="0.25">
      <c r="A7" s="46" t="s">
        <v>1</v>
      </c>
      <c r="B7" s="46" t="s">
        <v>3</v>
      </c>
      <c r="C7" s="46" t="s">
        <v>2</v>
      </c>
      <c r="D7" s="47" t="s">
        <v>1</v>
      </c>
      <c r="E7" s="47" t="s">
        <v>3</v>
      </c>
      <c r="F7" s="47" t="s">
        <v>2</v>
      </c>
      <c r="G7" s="48" t="s">
        <v>1</v>
      </c>
      <c r="H7" s="48" t="s">
        <v>3</v>
      </c>
      <c r="I7" s="48" t="s">
        <v>2</v>
      </c>
      <c r="J7" s="60" t="s">
        <v>1</v>
      </c>
      <c r="K7" s="60" t="s">
        <v>3</v>
      </c>
      <c r="L7" s="60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12">
        <v>25533</v>
      </c>
      <c r="B8" s="49">
        <v>75</v>
      </c>
      <c r="C8" s="113" t="s">
        <v>405</v>
      </c>
      <c r="D8" s="13">
        <v>25591</v>
      </c>
      <c r="E8" s="70">
        <v>1000</v>
      </c>
      <c r="F8" s="14" t="s">
        <v>422</v>
      </c>
      <c r="G8" s="11">
        <v>25639</v>
      </c>
      <c r="H8" s="67">
        <v>250</v>
      </c>
      <c r="I8" s="12" t="s">
        <v>434</v>
      </c>
      <c r="J8" s="61">
        <v>25688</v>
      </c>
      <c r="K8" s="71">
        <v>500</v>
      </c>
      <c r="L8" s="62"/>
      <c r="M8" s="75">
        <v>25737</v>
      </c>
      <c r="N8" s="73">
        <v>1000</v>
      </c>
      <c r="O8" s="15" t="s">
        <v>410</v>
      </c>
      <c r="Q8" s="32"/>
      <c r="R8" s="32"/>
    </row>
    <row r="9" spans="1:18" x14ac:dyDescent="0.25">
      <c r="A9" s="16">
        <v>25534</v>
      </c>
      <c r="B9" s="49">
        <v>25</v>
      </c>
      <c r="C9" s="17" t="s">
        <v>339</v>
      </c>
      <c r="D9" s="13">
        <v>25592</v>
      </c>
      <c r="E9" s="70">
        <v>25</v>
      </c>
      <c r="F9" s="14" t="s">
        <v>287</v>
      </c>
      <c r="G9" s="11"/>
      <c r="H9" s="67"/>
      <c r="I9" s="12" t="s">
        <v>435</v>
      </c>
      <c r="J9" s="61">
        <v>25689</v>
      </c>
      <c r="K9" s="71">
        <v>1000</v>
      </c>
      <c r="L9" s="62" t="s">
        <v>409</v>
      </c>
      <c r="M9" s="75"/>
      <c r="N9" s="73"/>
      <c r="O9" s="15" t="s">
        <v>64</v>
      </c>
    </row>
    <row r="10" spans="1:18" x14ac:dyDescent="0.25">
      <c r="A10" s="16">
        <v>25535</v>
      </c>
      <c r="B10" s="49">
        <v>75</v>
      </c>
      <c r="C10" s="17" t="s">
        <v>405</v>
      </c>
      <c r="D10" s="13">
        <v>25593</v>
      </c>
      <c r="E10" s="70">
        <v>250</v>
      </c>
      <c r="F10" s="14"/>
      <c r="G10" s="11">
        <v>25640</v>
      </c>
      <c r="H10" s="67">
        <v>300</v>
      </c>
      <c r="I10" s="12" t="s">
        <v>293</v>
      </c>
      <c r="J10" s="61"/>
      <c r="K10" s="71"/>
      <c r="L10" s="62" t="s">
        <v>64</v>
      </c>
      <c r="M10" s="75">
        <v>25738</v>
      </c>
      <c r="N10" s="73">
        <v>500</v>
      </c>
      <c r="O10" s="15"/>
    </row>
    <row r="11" spans="1:18" x14ac:dyDescent="0.25">
      <c r="A11" s="16">
        <v>25536</v>
      </c>
      <c r="B11" s="49">
        <v>1500</v>
      </c>
      <c r="C11" s="17" t="s">
        <v>406</v>
      </c>
      <c r="D11" s="13">
        <v>25594</v>
      </c>
      <c r="E11" s="70">
        <v>250</v>
      </c>
      <c r="F11" s="14"/>
      <c r="G11" s="11">
        <v>25641</v>
      </c>
      <c r="H11" s="67">
        <v>250</v>
      </c>
      <c r="I11" s="12" t="s">
        <v>293</v>
      </c>
      <c r="J11" s="61">
        <v>25690</v>
      </c>
      <c r="K11" s="71">
        <v>600</v>
      </c>
      <c r="L11" s="62" t="s">
        <v>410</v>
      </c>
      <c r="M11" s="75">
        <v>25739</v>
      </c>
      <c r="N11" s="73">
        <v>250</v>
      </c>
      <c r="O11" s="15" t="s">
        <v>459</v>
      </c>
    </row>
    <row r="12" spans="1:18" x14ac:dyDescent="0.25">
      <c r="A12" s="16"/>
      <c r="B12" s="49"/>
      <c r="C12" s="17" t="s">
        <v>64</v>
      </c>
      <c r="D12" s="13">
        <v>25595</v>
      </c>
      <c r="E12" s="70">
        <v>300</v>
      </c>
      <c r="F12" s="14"/>
      <c r="G12" s="11">
        <v>25642</v>
      </c>
      <c r="H12" s="67">
        <v>250</v>
      </c>
      <c r="I12" s="12"/>
      <c r="J12" s="61">
        <v>25691</v>
      </c>
      <c r="K12" s="71">
        <v>100</v>
      </c>
      <c r="L12" s="62" t="s">
        <v>444</v>
      </c>
      <c r="M12" s="75">
        <v>25740</v>
      </c>
      <c r="N12" s="73">
        <v>2000</v>
      </c>
      <c r="O12" s="15" t="s">
        <v>460</v>
      </c>
    </row>
    <row r="13" spans="1:18" x14ac:dyDescent="0.25">
      <c r="A13" s="16">
        <v>25537</v>
      </c>
      <c r="B13" s="49">
        <v>1625</v>
      </c>
      <c r="C13" s="17" t="s">
        <v>407</v>
      </c>
      <c r="D13" s="13">
        <v>25596</v>
      </c>
      <c r="E13" s="70">
        <v>500</v>
      </c>
      <c r="F13" s="14"/>
      <c r="G13" s="11">
        <v>25643</v>
      </c>
      <c r="H13" s="67">
        <v>525</v>
      </c>
      <c r="I13" s="12" t="s">
        <v>305</v>
      </c>
      <c r="J13" s="61">
        <v>25692</v>
      </c>
      <c r="K13" s="71">
        <v>500</v>
      </c>
      <c r="L13" s="62" t="s">
        <v>293</v>
      </c>
      <c r="M13" s="75"/>
      <c r="N13" s="73"/>
      <c r="O13" s="131" t="s">
        <v>64</v>
      </c>
    </row>
    <row r="14" spans="1:18" x14ac:dyDescent="0.25">
      <c r="A14" s="16"/>
      <c r="B14" s="49"/>
      <c r="C14" s="17" t="s">
        <v>64</v>
      </c>
      <c r="D14" s="13">
        <v>25597</v>
      </c>
      <c r="E14" s="70">
        <v>500</v>
      </c>
      <c r="F14" s="109">
        <v>44256</v>
      </c>
      <c r="G14" s="11">
        <v>25644</v>
      </c>
      <c r="H14" s="67">
        <v>1000</v>
      </c>
      <c r="I14" s="12" t="s">
        <v>436</v>
      </c>
      <c r="J14" s="61">
        <v>25693</v>
      </c>
      <c r="K14" s="71">
        <v>800</v>
      </c>
      <c r="L14" s="62" t="s">
        <v>445</v>
      </c>
      <c r="M14" s="75">
        <v>25741</v>
      </c>
      <c r="N14" s="73">
        <v>500</v>
      </c>
      <c r="O14" s="31"/>
    </row>
    <row r="15" spans="1:18" x14ac:dyDescent="0.25">
      <c r="A15" s="16"/>
      <c r="B15" s="49"/>
      <c r="C15" s="17" t="s">
        <v>292</v>
      </c>
      <c r="D15" s="13">
        <v>25598</v>
      </c>
      <c r="E15" s="70">
        <v>500</v>
      </c>
      <c r="F15" s="14" t="s">
        <v>423</v>
      </c>
      <c r="G15" s="11">
        <v>25645</v>
      </c>
      <c r="H15" s="67">
        <v>350</v>
      </c>
      <c r="I15" s="12" t="s">
        <v>178</v>
      </c>
      <c r="J15" s="61"/>
      <c r="K15" s="71"/>
      <c r="L15" s="62" t="s">
        <v>17</v>
      </c>
      <c r="M15" s="75">
        <v>25742</v>
      </c>
      <c r="N15" s="73">
        <v>500</v>
      </c>
      <c r="O15" s="15"/>
    </row>
    <row r="16" spans="1:18" x14ac:dyDescent="0.25">
      <c r="A16" s="16">
        <v>25538</v>
      </c>
      <c r="B16" s="49">
        <v>1525</v>
      </c>
      <c r="C16" s="17" t="s">
        <v>385</v>
      </c>
      <c r="D16" s="13"/>
      <c r="E16" s="70"/>
      <c r="F16" s="14" t="s">
        <v>424</v>
      </c>
      <c r="G16" s="11">
        <v>25646</v>
      </c>
      <c r="H16" s="67">
        <v>400</v>
      </c>
      <c r="I16" s="12"/>
      <c r="J16" s="61">
        <v>25694</v>
      </c>
      <c r="K16" s="71">
        <v>2000</v>
      </c>
      <c r="L16" s="62" t="s">
        <v>446</v>
      </c>
      <c r="M16" s="75">
        <v>25743</v>
      </c>
      <c r="N16" s="73">
        <v>500</v>
      </c>
      <c r="O16" s="15"/>
    </row>
    <row r="17" spans="1:15" x14ac:dyDescent="0.25">
      <c r="A17" s="16"/>
      <c r="B17" s="49"/>
      <c r="C17" s="17" t="s">
        <v>64</v>
      </c>
      <c r="D17" s="13">
        <v>25599</v>
      </c>
      <c r="E17" s="70">
        <v>500</v>
      </c>
      <c r="F17" s="14"/>
      <c r="G17" s="11">
        <v>25647</v>
      </c>
      <c r="H17" s="67">
        <v>500</v>
      </c>
      <c r="I17" s="12" t="s">
        <v>293</v>
      </c>
      <c r="J17" s="61"/>
      <c r="K17" s="71"/>
      <c r="L17" s="62" t="s">
        <v>447</v>
      </c>
      <c r="M17" s="75">
        <v>25744</v>
      </c>
      <c r="N17" s="73">
        <v>500</v>
      </c>
      <c r="O17" s="15"/>
    </row>
    <row r="18" spans="1:15" x14ac:dyDescent="0.25">
      <c r="A18" s="16"/>
      <c r="B18" s="49"/>
      <c r="C18" s="17" t="s">
        <v>287</v>
      </c>
      <c r="D18" s="13">
        <v>25600</v>
      </c>
      <c r="E18" s="70">
        <v>600</v>
      </c>
      <c r="F18" s="33"/>
      <c r="G18" s="11">
        <v>25648</v>
      </c>
      <c r="H18" s="67">
        <v>1500</v>
      </c>
      <c r="I18" s="12" t="s">
        <v>407</v>
      </c>
      <c r="J18" s="61">
        <v>25695</v>
      </c>
      <c r="K18" s="71">
        <v>300</v>
      </c>
      <c r="L18" s="62" t="s">
        <v>293</v>
      </c>
      <c r="M18" s="75">
        <v>25745</v>
      </c>
      <c r="N18" s="73">
        <v>600</v>
      </c>
      <c r="O18" s="15" t="s">
        <v>410</v>
      </c>
    </row>
    <row r="19" spans="1:15" x14ac:dyDescent="0.25">
      <c r="A19" s="16">
        <v>25539</v>
      </c>
      <c r="B19" s="49">
        <v>50</v>
      </c>
      <c r="C19" s="17" t="s">
        <v>339</v>
      </c>
      <c r="D19" s="13">
        <v>25601</v>
      </c>
      <c r="E19" s="70">
        <v>600</v>
      </c>
      <c r="F19" s="14" t="s">
        <v>414</v>
      </c>
      <c r="G19" s="11"/>
      <c r="H19" s="67"/>
      <c r="I19" s="12" t="s">
        <v>64</v>
      </c>
      <c r="J19" s="61">
        <v>25696</v>
      </c>
      <c r="K19" s="71">
        <v>1000</v>
      </c>
      <c r="L19" s="62" t="s">
        <v>448</v>
      </c>
      <c r="M19" s="75"/>
      <c r="N19" s="73"/>
      <c r="O19" s="15" t="s">
        <v>18</v>
      </c>
    </row>
    <row r="20" spans="1:15" x14ac:dyDescent="0.25">
      <c r="A20" s="16">
        <v>25540</v>
      </c>
      <c r="B20" s="49">
        <v>50</v>
      </c>
      <c r="C20" s="17" t="s">
        <v>339</v>
      </c>
      <c r="D20" s="13">
        <v>25602</v>
      </c>
      <c r="E20" s="70">
        <v>400</v>
      </c>
      <c r="F20" s="14"/>
      <c r="G20" s="11">
        <v>25649</v>
      </c>
      <c r="H20" s="67">
        <v>350</v>
      </c>
      <c r="I20" s="12" t="s">
        <v>293</v>
      </c>
      <c r="J20" s="61"/>
      <c r="K20" s="71"/>
      <c r="L20" s="62" t="s">
        <v>64</v>
      </c>
      <c r="M20" s="75">
        <v>25746</v>
      </c>
      <c r="N20" s="73">
        <v>500</v>
      </c>
      <c r="O20" s="15" t="s">
        <v>448</v>
      </c>
    </row>
    <row r="21" spans="1:15" x14ac:dyDescent="0.25">
      <c r="A21" s="16">
        <v>25541</v>
      </c>
      <c r="B21" s="49">
        <v>675</v>
      </c>
      <c r="C21" s="17" t="s">
        <v>408</v>
      </c>
      <c r="D21" s="13">
        <v>25603</v>
      </c>
      <c r="E21" s="70">
        <v>500</v>
      </c>
      <c r="F21" s="14" t="s">
        <v>293</v>
      </c>
      <c r="G21" s="11">
        <v>25650</v>
      </c>
      <c r="H21" s="67">
        <v>400</v>
      </c>
      <c r="I21" s="12"/>
      <c r="J21" s="61">
        <v>25697</v>
      </c>
      <c r="K21" s="71">
        <v>800</v>
      </c>
      <c r="L21" s="68" t="s">
        <v>410</v>
      </c>
      <c r="M21" s="75"/>
      <c r="N21" s="73"/>
      <c r="O21" s="15" t="s">
        <v>16</v>
      </c>
    </row>
    <row r="22" spans="1:15" x14ac:dyDescent="0.25">
      <c r="A22" s="16"/>
      <c r="B22" s="49"/>
      <c r="C22" s="17" t="s">
        <v>287</v>
      </c>
      <c r="D22" s="13">
        <v>25604</v>
      </c>
      <c r="E22" s="70">
        <v>500</v>
      </c>
      <c r="F22" s="14"/>
      <c r="G22" s="11">
        <v>25651</v>
      </c>
      <c r="H22" s="67">
        <v>525</v>
      </c>
      <c r="I22" s="96" t="s">
        <v>305</v>
      </c>
      <c r="J22" s="61"/>
      <c r="K22" s="71"/>
      <c r="L22" s="62" t="s">
        <v>17</v>
      </c>
      <c r="M22" s="75">
        <v>25747</v>
      </c>
      <c r="N22" s="73">
        <v>450</v>
      </c>
      <c r="O22" s="15" t="s">
        <v>427</v>
      </c>
    </row>
    <row r="23" spans="1:15" x14ac:dyDescent="0.25">
      <c r="A23" s="16">
        <v>25542</v>
      </c>
      <c r="B23" s="49">
        <v>350</v>
      </c>
      <c r="C23" s="17" t="s">
        <v>178</v>
      </c>
      <c r="D23" s="13">
        <v>25605</v>
      </c>
      <c r="E23" s="70">
        <v>500</v>
      </c>
      <c r="F23" s="14"/>
      <c r="G23" s="11">
        <v>25652</v>
      </c>
      <c r="H23" s="67">
        <v>250</v>
      </c>
      <c r="I23" s="12" t="s">
        <v>293</v>
      </c>
      <c r="J23" s="61">
        <v>25698</v>
      </c>
      <c r="K23" s="71">
        <v>1000</v>
      </c>
      <c r="L23" s="62" t="s">
        <v>448</v>
      </c>
      <c r="M23" s="75">
        <v>25748</v>
      </c>
      <c r="N23" s="73">
        <v>250</v>
      </c>
      <c r="O23" s="15"/>
    </row>
    <row r="24" spans="1:15" x14ac:dyDescent="0.25">
      <c r="A24" s="16">
        <v>25543</v>
      </c>
      <c r="B24" s="49">
        <v>50</v>
      </c>
      <c r="C24" s="17" t="s">
        <v>339</v>
      </c>
      <c r="D24" s="13">
        <v>25606</v>
      </c>
      <c r="E24" s="70">
        <v>500</v>
      </c>
      <c r="F24" s="14"/>
      <c r="G24" s="11">
        <v>25653</v>
      </c>
      <c r="H24" s="67">
        <v>500</v>
      </c>
      <c r="I24" s="12" t="s">
        <v>293</v>
      </c>
      <c r="J24" s="61"/>
      <c r="K24" s="71"/>
      <c r="L24" s="62" t="s">
        <v>64</v>
      </c>
      <c r="M24" s="75">
        <v>25749</v>
      </c>
      <c r="N24" s="73">
        <v>500</v>
      </c>
      <c r="O24" s="15"/>
    </row>
    <row r="25" spans="1:15" x14ac:dyDescent="0.25">
      <c r="A25" s="16">
        <v>25544</v>
      </c>
      <c r="B25" s="49">
        <v>1000</v>
      </c>
      <c r="C25" s="17" t="s">
        <v>409</v>
      </c>
      <c r="D25" s="13">
        <v>25607</v>
      </c>
      <c r="E25" s="70">
        <v>500</v>
      </c>
      <c r="F25" s="14"/>
      <c r="G25" s="11">
        <v>25654</v>
      </c>
      <c r="H25" s="67">
        <v>500</v>
      </c>
      <c r="I25" s="12" t="s">
        <v>293</v>
      </c>
      <c r="J25" s="61">
        <v>25699</v>
      </c>
      <c r="K25" s="71">
        <v>400</v>
      </c>
      <c r="L25" s="62"/>
      <c r="M25" s="75">
        <v>25750</v>
      </c>
      <c r="N25" s="73">
        <v>500</v>
      </c>
      <c r="O25" s="15"/>
    </row>
    <row r="26" spans="1:15" x14ac:dyDescent="0.25">
      <c r="A26" s="16"/>
      <c r="B26" s="49"/>
      <c r="C26" s="17" t="s">
        <v>64</v>
      </c>
      <c r="D26" s="13">
        <v>25608</v>
      </c>
      <c r="E26" s="70">
        <v>300</v>
      </c>
      <c r="F26" s="14"/>
      <c r="G26" s="11">
        <v>25655</v>
      </c>
      <c r="H26" s="67">
        <v>500</v>
      </c>
      <c r="I26" s="12" t="s">
        <v>293</v>
      </c>
      <c r="J26" s="61">
        <v>25700</v>
      </c>
      <c r="K26" s="71">
        <v>600</v>
      </c>
      <c r="L26" s="62" t="s">
        <v>410</v>
      </c>
      <c r="M26" s="75">
        <v>25751</v>
      </c>
      <c r="N26" s="73">
        <v>400</v>
      </c>
      <c r="O26" s="15"/>
    </row>
    <row r="27" spans="1:15" x14ac:dyDescent="0.25">
      <c r="A27" s="16">
        <v>25545</v>
      </c>
      <c r="B27" s="49">
        <v>400</v>
      </c>
      <c r="C27" s="17" t="s">
        <v>410</v>
      </c>
      <c r="D27" s="13">
        <v>25609</v>
      </c>
      <c r="E27" s="70">
        <v>500</v>
      </c>
      <c r="F27" s="69"/>
      <c r="G27" s="11">
        <v>25656</v>
      </c>
      <c r="H27" s="67">
        <v>500</v>
      </c>
      <c r="I27" s="12" t="s">
        <v>293</v>
      </c>
      <c r="J27" s="61"/>
      <c r="K27" s="71"/>
      <c r="L27" s="62" t="s">
        <v>18</v>
      </c>
      <c r="M27" s="75">
        <v>25752</v>
      </c>
      <c r="N27" s="73">
        <v>250</v>
      </c>
      <c r="O27" s="31"/>
    </row>
    <row r="28" spans="1:15" x14ac:dyDescent="0.25">
      <c r="A28" s="16"/>
      <c r="B28" s="49"/>
      <c r="C28" s="17" t="s">
        <v>52</v>
      </c>
      <c r="D28" s="13">
        <v>25610</v>
      </c>
      <c r="E28" s="70">
        <v>200</v>
      </c>
      <c r="F28" s="14"/>
      <c r="G28" s="11">
        <v>25657</v>
      </c>
      <c r="H28" s="67">
        <v>500</v>
      </c>
      <c r="I28" s="96"/>
      <c r="J28" s="61">
        <v>25701</v>
      </c>
      <c r="K28" s="71"/>
      <c r="L28" s="62" t="s">
        <v>20</v>
      </c>
      <c r="M28" s="75">
        <v>25753</v>
      </c>
      <c r="N28" s="73">
        <v>500</v>
      </c>
      <c r="O28" s="15" t="s">
        <v>321</v>
      </c>
    </row>
    <row r="29" spans="1:15" x14ac:dyDescent="0.25">
      <c r="A29" s="16">
        <v>25546</v>
      </c>
      <c r="B29" s="49">
        <v>1000</v>
      </c>
      <c r="C29" s="17" t="s">
        <v>409</v>
      </c>
      <c r="D29" s="13">
        <v>25611</v>
      </c>
      <c r="E29" s="70">
        <v>250</v>
      </c>
      <c r="F29" s="14"/>
      <c r="G29" s="11">
        <v>25658</v>
      </c>
      <c r="H29" s="67">
        <v>500</v>
      </c>
      <c r="I29" s="12"/>
      <c r="J29" s="61">
        <v>25702</v>
      </c>
      <c r="K29" s="71">
        <v>600</v>
      </c>
      <c r="L29" s="62" t="s">
        <v>449</v>
      </c>
      <c r="M29" s="75">
        <v>25754</v>
      </c>
      <c r="N29" s="73">
        <v>300</v>
      </c>
      <c r="O29" s="15" t="s">
        <v>461</v>
      </c>
    </row>
    <row r="30" spans="1:15" x14ac:dyDescent="0.25">
      <c r="A30" s="16"/>
      <c r="B30" s="49"/>
      <c r="C30" s="17" t="s">
        <v>64</v>
      </c>
      <c r="D30" s="13">
        <v>25612</v>
      </c>
      <c r="E30" s="70">
        <v>500</v>
      </c>
      <c r="F30" s="14"/>
      <c r="G30" s="11">
        <v>25659</v>
      </c>
      <c r="H30" s="67">
        <v>500</v>
      </c>
      <c r="I30" s="12"/>
      <c r="J30" s="61"/>
      <c r="K30" s="71"/>
      <c r="L30" s="62" t="s">
        <v>450</v>
      </c>
      <c r="M30" s="75">
        <v>25755</v>
      </c>
      <c r="N30" s="73">
        <v>300</v>
      </c>
      <c r="O30" s="15"/>
    </row>
    <row r="31" spans="1:15" x14ac:dyDescent="0.25">
      <c r="A31" s="16">
        <v>25547</v>
      </c>
      <c r="B31" s="49">
        <v>600</v>
      </c>
      <c r="C31" s="17" t="s">
        <v>411</v>
      </c>
      <c r="D31" s="13">
        <v>25613</v>
      </c>
      <c r="E31" s="70">
        <v>500</v>
      </c>
      <c r="F31" s="14" t="s">
        <v>293</v>
      </c>
      <c r="G31" s="11">
        <v>25660</v>
      </c>
      <c r="H31" s="67">
        <v>400</v>
      </c>
      <c r="I31" s="12"/>
      <c r="J31" s="61"/>
      <c r="K31" s="71"/>
      <c r="L31" s="62" t="s">
        <v>451</v>
      </c>
      <c r="M31" s="75">
        <v>25756</v>
      </c>
      <c r="N31" s="73">
        <v>300</v>
      </c>
      <c r="O31" s="15" t="s">
        <v>462</v>
      </c>
    </row>
    <row r="32" spans="1:15" x14ac:dyDescent="0.25">
      <c r="A32" s="16"/>
      <c r="B32" s="49"/>
      <c r="C32" s="17" t="s">
        <v>280</v>
      </c>
      <c r="D32" s="13">
        <v>25614</v>
      </c>
      <c r="E32" s="70">
        <v>400</v>
      </c>
      <c r="F32" s="14"/>
      <c r="G32" s="11">
        <v>25661</v>
      </c>
      <c r="H32" s="67">
        <v>500</v>
      </c>
      <c r="I32" s="12"/>
      <c r="J32" s="61">
        <v>25703</v>
      </c>
      <c r="K32" s="71">
        <v>400</v>
      </c>
      <c r="L32" s="62"/>
      <c r="M32" s="75">
        <v>25757</v>
      </c>
      <c r="N32" s="73">
        <v>300</v>
      </c>
      <c r="O32" s="15" t="s">
        <v>427</v>
      </c>
    </row>
    <row r="33" spans="1:15" x14ac:dyDescent="0.25">
      <c r="A33" s="16">
        <v>25548</v>
      </c>
      <c r="B33" s="49">
        <v>1000</v>
      </c>
      <c r="C33" s="17" t="s">
        <v>412</v>
      </c>
      <c r="D33" s="13">
        <v>25615</v>
      </c>
      <c r="E33" s="70">
        <v>500</v>
      </c>
      <c r="F33" s="14"/>
      <c r="G33" s="11">
        <v>25662</v>
      </c>
      <c r="H33" s="67">
        <v>500</v>
      </c>
      <c r="I33" s="12"/>
      <c r="J33" s="61">
        <v>25704</v>
      </c>
      <c r="K33" s="71">
        <v>500</v>
      </c>
      <c r="L33" s="62"/>
      <c r="M33" s="75">
        <v>25758</v>
      </c>
      <c r="N33" s="73">
        <v>900</v>
      </c>
      <c r="O33" s="15" t="s">
        <v>415</v>
      </c>
    </row>
    <row r="34" spans="1:15" x14ac:dyDescent="0.25">
      <c r="A34" s="16">
        <v>25549</v>
      </c>
      <c r="B34" s="49">
        <v>500</v>
      </c>
      <c r="C34" s="17" t="s">
        <v>293</v>
      </c>
      <c r="D34" s="13">
        <v>25616</v>
      </c>
      <c r="E34" s="70">
        <v>400</v>
      </c>
      <c r="F34" s="14" t="s">
        <v>425</v>
      </c>
      <c r="G34" s="11">
        <v>25663</v>
      </c>
      <c r="H34" s="67">
        <v>500</v>
      </c>
      <c r="I34" s="12"/>
      <c r="J34" s="61">
        <v>25705</v>
      </c>
      <c r="K34" s="71">
        <v>400</v>
      </c>
      <c r="L34" s="62"/>
      <c r="M34" s="75"/>
      <c r="N34" s="73"/>
      <c r="O34" s="31" t="s">
        <v>18</v>
      </c>
    </row>
    <row r="35" spans="1:15" x14ac:dyDescent="0.25">
      <c r="A35" s="16">
        <v>25550</v>
      </c>
      <c r="B35" s="49">
        <v>500</v>
      </c>
      <c r="C35" s="17" t="s">
        <v>293</v>
      </c>
      <c r="D35" s="13">
        <v>25617</v>
      </c>
      <c r="E35" s="70">
        <v>300</v>
      </c>
      <c r="F35" s="14"/>
      <c r="G35" s="11">
        <v>25664</v>
      </c>
      <c r="H35" s="67">
        <v>500</v>
      </c>
      <c r="I35" s="12"/>
      <c r="J35" s="61">
        <v>25706</v>
      </c>
      <c r="K35" s="71">
        <v>50</v>
      </c>
      <c r="L35" s="62" t="s">
        <v>435</v>
      </c>
      <c r="M35" s="75">
        <v>25759</v>
      </c>
      <c r="N35" s="73">
        <v>1000</v>
      </c>
      <c r="O35" s="15" t="s">
        <v>445</v>
      </c>
    </row>
    <row r="36" spans="1:15" x14ac:dyDescent="0.25">
      <c r="A36" s="16">
        <v>25551</v>
      </c>
      <c r="B36" s="49">
        <v>500</v>
      </c>
      <c r="C36" s="17"/>
      <c r="D36" s="13">
        <v>25618</v>
      </c>
      <c r="E36" s="70">
        <v>500</v>
      </c>
      <c r="F36" s="14"/>
      <c r="G36" s="11">
        <v>25665</v>
      </c>
      <c r="H36" s="67">
        <v>500</v>
      </c>
      <c r="I36" s="12" t="s">
        <v>293</v>
      </c>
      <c r="J36" s="61">
        <v>25707</v>
      </c>
      <c r="K36" s="71">
        <v>350</v>
      </c>
      <c r="L36" s="62" t="s">
        <v>452</v>
      </c>
      <c r="M36" s="75"/>
      <c r="N36" s="73"/>
      <c r="O36" s="15" t="s">
        <v>64</v>
      </c>
    </row>
    <row r="37" spans="1:15" x14ac:dyDescent="0.25">
      <c r="A37" s="16">
        <v>25552</v>
      </c>
      <c r="B37" s="49">
        <v>600</v>
      </c>
      <c r="C37" s="17"/>
      <c r="D37" s="13">
        <v>25619</v>
      </c>
      <c r="E37" s="70">
        <v>500</v>
      </c>
      <c r="F37" s="14"/>
      <c r="G37" s="11">
        <v>25666</v>
      </c>
      <c r="H37" s="67">
        <v>1500</v>
      </c>
      <c r="I37" s="12" t="s">
        <v>415</v>
      </c>
      <c r="J37" s="61">
        <v>25708</v>
      </c>
      <c r="K37" s="71">
        <v>350</v>
      </c>
      <c r="L37" s="62" t="s">
        <v>452</v>
      </c>
      <c r="M37" s="75">
        <v>25760</v>
      </c>
      <c r="N37" s="73">
        <v>3000</v>
      </c>
      <c r="O37" s="15" t="s">
        <v>463</v>
      </c>
    </row>
    <row r="38" spans="1:15" x14ac:dyDescent="0.25">
      <c r="A38" s="16">
        <v>25553</v>
      </c>
      <c r="B38" s="49">
        <v>300</v>
      </c>
      <c r="C38" s="17"/>
      <c r="D38" s="13">
        <v>25620</v>
      </c>
      <c r="E38" s="70">
        <v>400</v>
      </c>
      <c r="F38" s="14" t="s">
        <v>425</v>
      </c>
      <c r="G38" s="11"/>
      <c r="H38" s="67"/>
      <c r="I38" s="12" t="s">
        <v>64</v>
      </c>
      <c r="J38" s="61">
        <v>25709</v>
      </c>
      <c r="K38" s="71">
        <v>400</v>
      </c>
      <c r="L38" s="62"/>
      <c r="M38" s="75"/>
      <c r="N38" s="73"/>
      <c r="O38" s="15" t="s">
        <v>64</v>
      </c>
    </row>
    <row r="39" spans="1:15" x14ac:dyDescent="0.25">
      <c r="A39" s="16">
        <v>25554</v>
      </c>
      <c r="B39" s="49">
        <v>500</v>
      </c>
      <c r="C39" s="17"/>
      <c r="D39" s="13">
        <v>25621</v>
      </c>
      <c r="E39" s="70">
        <v>500</v>
      </c>
      <c r="F39" s="14" t="s">
        <v>426</v>
      </c>
      <c r="G39" s="11">
        <v>25667</v>
      </c>
      <c r="H39" s="67">
        <v>350</v>
      </c>
      <c r="I39" s="12" t="s">
        <v>178</v>
      </c>
      <c r="J39" s="61">
        <v>25710</v>
      </c>
      <c r="K39" s="71">
        <v>500</v>
      </c>
      <c r="L39" s="62" t="s">
        <v>427</v>
      </c>
      <c r="M39" s="75">
        <v>25761</v>
      </c>
      <c r="N39" s="73">
        <v>1000</v>
      </c>
      <c r="O39" s="15" t="s">
        <v>445</v>
      </c>
    </row>
    <row r="40" spans="1:15" x14ac:dyDescent="0.25">
      <c r="A40" s="16">
        <v>25555</v>
      </c>
      <c r="B40" s="49">
        <v>850</v>
      </c>
      <c r="C40" s="17" t="s">
        <v>413</v>
      </c>
      <c r="D40" s="13">
        <v>25622</v>
      </c>
      <c r="E40" s="70">
        <v>250</v>
      </c>
      <c r="F40" s="14" t="s">
        <v>427</v>
      </c>
      <c r="G40" s="11">
        <v>25668</v>
      </c>
      <c r="H40" s="67">
        <v>25</v>
      </c>
      <c r="I40" s="12" t="s">
        <v>437</v>
      </c>
      <c r="J40" s="61">
        <v>25711</v>
      </c>
      <c r="K40" s="71">
        <v>500</v>
      </c>
      <c r="L40" s="62"/>
      <c r="M40" s="75"/>
      <c r="N40" s="73"/>
      <c r="O40" s="15" t="s">
        <v>64</v>
      </c>
    </row>
    <row r="41" spans="1:15" x14ac:dyDescent="0.25">
      <c r="A41" s="16">
        <v>25556</v>
      </c>
      <c r="B41" s="49">
        <v>600</v>
      </c>
      <c r="C41" s="17" t="s">
        <v>414</v>
      </c>
      <c r="D41" s="13">
        <v>25623</v>
      </c>
      <c r="E41" s="70">
        <v>1400</v>
      </c>
      <c r="F41" s="14" t="s">
        <v>422</v>
      </c>
      <c r="G41" s="11">
        <v>25669</v>
      </c>
      <c r="H41" s="67">
        <v>400</v>
      </c>
      <c r="I41" s="12"/>
      <c r="J41" s="61">
        <v>25712</v>
      </c>
      <c r="K41" s="71">
        <v>500</v>
      </c>
      <c r="L41" s="62" t="s">
        <v>293</v>
      </c>
      <c r="M41" s="75">
        <v>25762</v>
      </c>
      <c r="N41" s="73">
        <v>1000</v>
      </c>
      <c r="O41" s="15" t="s">
        <v>445</v>
      </c>
    </row>
    <row r="42" spans="1:15" x14ac:dyDescent="0.25">
      <c r="A42" s="16">
        <v>25557</v>
      </c>
      <c r="B42" s="49">
        <v>250</v>
      </c>
      <c r="C42" s="108">
        <v>44075</v>
      </c>
      <c r="D42" s="13"/>
      <c r="E42" s="70"/>
      <c r="F42" s="14" t="s">
        <v>428</v>
      </c>
      <c r="G42" s="11">
        <v>25670</v>
      </c>
      <c r="H42" s="67">
        <v>500</v>
      </c>
      <c r="I42" s="12"/>
      <c r="J42" s="61">
        <v>25713</v>
      </c>
      <c r="K42" s="71">
        <v>500</v>
      </c>
      <c r="L42" s="62" t="s">
        <v>293</v>
      </c>
      <c r="M42" s="75"/>
      <c r="N42" s="73"/>
      <c r="O42" s="15" t="s">
        <v>64</v>
      </c>
    </row>
    <row r="43" spans="1:15" x14ac:dyDescent="0.25">
      <c r="A43" s="16">
        <v>25558</v>
      </c>
      <c r="B43" s="49">
        <v>1000</v>
      </c>
      <c r="C43" s="17" t="s">
        <v>410</v>
      </c>
      <c r="D43" s="13">
        <v>25624</v>
      </c>
      <c r="E43" s="70">
        <v>1525</v>
      </c>
      <c r="F43" s="14" t="s">
        <v>429</v>
      </c>
      <c r="G43" s="11">
        <v>25671</v>
      </c>
      <c r="H43" s="67">
        <v>200</v>
      </c>
      <c r="I43" s="12"/>
      <c r="J43" s="61">
        <v>25714</v>
      </c>
      <c r="K43" s="71">
        <v>400</v>
      </c>
      <c r="L43" s="62"/>
      <c r="M43" s="75">
        <v>25763</v>
      </c>
      <c r="N43" s="73">
        <v>400</v>
      </c>
      <c r="O43" s="15" t="s">
        <v>321</v>
      </c>
    </row>
    <row r="44" spans="1:15" x14ac:dyDescent="0.25">
      <c r="A44" s="16"/>
      <c r="B44" s="49"/>
      <c r="C44" s="17" t="s">
        <v>64</v>
      </c>
      <c r="D44" s="13"/>
      <c r="E44" s="70"/>
      <c r="F44" s="14" t="s">
        <v>430</v>
      </c>
      <c r="G44" s="11">
        <v>25672</v>
      </c>
      <c r="H44" s="67">
        <v>500</v>
      </c>
      <c r="I44" s="12" t="s">
        <v>433</v>
      </c>
      <c r="J44" s="61">
        <v>25715</v>
      </c>
      <c r="K44" s="71"/>
      <c r="L44" s="62" t="s">
        <v>20</v>
      </c>
      <c r="M44" s="75">
        <v>25764</v>
      </c>
      <c r="N44" s="73">
        <v>250</v>
      </c>
      <c r="O44" s="15" t="s">
        <v>427</v>
      </c>
    </row>
    <row r="45" spans="1:15" x14ac:dyDescent="0.25">
      <c r="A45" s="16">
        <v>25559</v>
      </c>
      <c r="B45" s="49">
        <v>700</v>
      </c>
      <c r="C45" s="103"/>
      <c r="D45" s="13">
        <v>25625</v>
      </c>
      <c r="E45" s="70">
        <v>500</v>
      </c>
      <c r="F45" s="14"/>
      <c r="G45" s="11">
        <v>25673</v>
      </c>
      <c r="H45" s="67">
        <v>1000</v>
      </c>
      <c r="I45" s="12" t="s">
        <v>436</v>
      </c>
      <c r="J45" s="61">
        <v>25716</v>
      </c>
      <c r="K45" s="71">
        <v>250</v>
      </c>
      <c r="L45" s="62" t="s">
        <v>293</v>
      </c>
      <c r="M45" s="75"/>
      <c r="N45" s="73"/>
      <c r="O45" s="15"/>
    </row>
    <row r="46" spans="1:15" x14ac:dyDescent="0.25">
      <c r="A46" s="16">
        <v>25560</v>
      </c>
      <c r="B46" s="49">
        <v>500</v>
      </c>
      <c r="C46" s="17"/>
      <c r="D46" s="13">
        <v>25626</v>
      </c>
      <c r="E46" s="70">
        <v>400</v>
      </c>
      <c r="F46" s="14" t="s">
        <v>293</v>
      </c>
      <c r="G46" s="11">
        <v>25674</v>
      </c>
      <c r="H46" s="67">
        <v>25</v>
      </c>
      <c r="I46" s="12" t="s">
        <v>437</v>
      </c>
      <c r="J46" s="61">
        <v>25717</v>
      </c>
      <c r="K46" s="71">
        <v>800</v>
      </c>
      <c r="L46" s="62" t="s">
        <v>453</v>
      </c>
      <c r="M46" s="75"/>
      <c r="N46" s="73"/>
      <c r="O46" s="15"/>
    </row>
    <row r="47" spans="1:15" x14ac:dyDescent="0.25">
      <c r="A47" s="16">
        <v>25561</v>
      </c>
      <c r="B47" s="49">
        <v>1500</v>
      </c>
      <c r="C47" s="17" t="s">
        <v>415</v>
      </c>
      <c r="D47" s="13">
        <v>25627</v>
      </c>
      <c r="E47" s="70">
        <v>500</v>
      </c>
      <c r="F47" s="14"/>
      <c r="G47" s="11">
        <v>25675</v>
      </c>
      <c r="H47" s="67">
        <v>500</v>
      </c>
      <c r="I47" s="12"/>
      <c r="J47" s="61">
        <v>25718</v>
      </c>
      <c r="K47" s="71">
        <v>800</v>
      </c>
      <c r="L47" s="62" t="s">
        <v>410</v>
      </c>
      <c r="M47" s="75"/>
      <c r="N47" s="73"/>
      <c r="O47" s="15"/>
    </row>
    <row r="48" spans="1:15" x14ac:dyDescent="0.25">
      <c r="A48" s="16"/>
      <c r="B48" s="49"/>
      <c r="C48" s="17" t="s">
        <v>64</v>
      </c>
      <c r="D48" s="13">
        <v>25628</v>
      </c>
      <c r="E48" s="70">
        <v>300</v>
      </c>
      <c r="F48" s="14" t="s">
        <v>431</v>
      </c>
      <c r="G48" s="11">
        <v>25676</v>
      </c>
      <c r="H48" s="67">
        <v>375</v>
      </c>
      <c r="I48" s="12" t="s">
        <v>305</v>
      </c>
      <c r="J48" s="61"/>
      <c r="K48" s="71"/>
      <c r="L48" s="62" t="s">
        <v>17</v>
      </c>
      <c r="M48" s="75"/>
      <c r="N48" s="73"/>
      <c r="O48" s="15"/>
    </row>
    <row r="49" spans="1:15" x14ac:dyDescent="0.25">
      <c r="A49" s="16">
        <v>25562</v>
      </c>
      <c r="B49" s="49">
        <v>375</v>
      </c>
      <c r="C49" s="17" t="s">
        <v>416</v>
      </c>
      <c r="D49" s="13">
        <v>25629</v>
      </c>
      <c r="E49" s="70">
        <v>400</v>
      </c>
      <c r="F49" s="14"/>
      <c r="G49" s="11">
        <v>25677</v>
      </c>
      <c r="H49" s="67">
        <v>250</v>
      </c>
      <c r="I49" s="130">
        <v>44105</v>
      </c>
      <c r="J49" s="61">
        <v>25719</v>
      </c>
      <c r="K49" s="71">
        <v>2000</v>
      </c>
      <c r="L49" s="62" t="s">
        <v>454</v>
      </c>
      <c r="M49" s="75"/>
      <c r="N49" s="73"/>
      <c r="O49" s="15"/>
    </row>
    <row r="50" spans="1:15" x14ac:dyDescent="0.25">
      <c r="A50" s="16">
        <v>25563</v>
      </c>
      <c r="B50" s="49">
        <v>500</v>
      </c>
      <c r="C50" s="17"/>
      <c r="D50" s="13">
        <v>25630</v>
      </c>
      <c r="E50" s="70">
        <v>500</v>
      </c>
      <c r="F50" s="14" t="s">
        <v>427</v>
      </c>
      <c r="G50" s="11">
        <v>25678</v>
      </c>
      <c r="H50" s="67">
        <v>575</v>
      </c>
      <c r="I50" s="12" t="s">
        <v>438</v>
      </c>
      <c r="J50" s="61"/>
      <c r="K50" s="71"/>
      <c r="L50" s="62" t="s">
        <v>64</v>
      </c>
      <c r="M50" s="75"/>
      <c r="N50" s="73"/>
      <c r="O50" s="15"/>
    </row>
    <row r="51" spans="1:15" x14ac:dyDescent="0.25">
      <c r="A51" s="16">
        <v>25564</v>
      </c>
      <c r="B51" s="49">
        <v>500</v>
      </c>
      <c r="C51" s="17"/>
      <c r="D51" s="13">
        <v>25631</v>
      </c>
      <c r="E51" s="70">
        <v>300</v>
      </c>
      <c r="F51" s="14"/>
      <c r="G51" s="11"/>
      <c r="H51" s="67"/>
      <c r="I51" s="12" t="s">
        <v>437</v>
      </c>
      <c r="J51" s="61">
        <v>25720</v>
      </c>
      <c r="K51" s="71">
        <v>2000</v>
      </c>
      <c r="L51" s="62" t="s">
        <v>454</v>
      </c>
      <c r="M51" s="75"/>
      <c r="N51" s="73"/>
      <c r="O51" s="15"/>
    </row>
    <row r="52" spans="1:15" x14ac:dyDescent="0.25">
      <c r="A52" s="16">
        <v>25565</v>
      </c>
      <c r="B52" s="49">
        <v>300</v>
      </c>
      <c r="C52" s="17" t="s">
        <v>293</v>
      </c>
      <c r="D52" s="13">
        <v>25632</v>
      </c>
      <c r="E52" s="70">
        <v>400</v>
      </c>
      <c r="F52" s="14" t="s">
        <v>293</v>
      </c>
      <c r="G52" s="11">
        <v>25679</v>
      </c>
      <c r="H52" s="67">
        <v>500</v>
      </c>
      <c r="I52" s="12" t="s">
        <v>293</v>
      </c>
      <c r="J52" s="61"/>
      <c r="K52" s="71"/>
      <c r="L52" s="62" t="s">
        <v>160</v>
      </c>
      <c r="M52" s="75"/>
      <c r="N52" s="73"/>
      <c r="O52" s="15"/>
    </row>
    <row r="53" spans="1:15" x14ac:dyDescent="0.25">
      <c r="A53" s="16">
        <v>25566</v>
      </c>
      <c r="B53" s="49">
        <v>300</v>
      </c>
      <c r="C53" s="17" t="s">
        <v>293</v>
      </c>
      <c r="D53" s="13">
        <v>25633</v>
      </c>
      <c r="E53" s="70">
        <v>1500</v>
      </c>
      <c r="F53" s="14" t="s">
        <v>432</v>
      </c>
      <c r="G53" s="11">
        <v>25680</v>
      </c>
      <c r="H53" s="67">
        <v>300</v>
      </c>
      <c r="I53" s="12"/>
      <c r="J53" s="61">
        <v>25721</v>
      </c>
      <c r="K53" s="71">
        <v>350</v>
      </c>
      <c r="L53" s="62"/>
      <c r="M53" s="75"/>
      <c r="N53" s="73"/>
      <c r="O53" s="15"/>
    </row>
    <row r="54" spans="1:15" x14ac:dyDescent="0.25">
      <c r="A54" s="16">
        <v>25567</v>
      </c>
      <c r="B54" s="49">
        <v>1000</v>
      </c>
      <c r="C54" s="17" t="s">
        <v>409</v>
      </c>
      <c r="D54" s="13">
        <v>25634</v>
      </c>
      <c r="E54" s="70">
        <v>500</v>
      </c>
      <c r="F54" s="14" t="s">
        <v>433</v>
      </c>
      <c r="G54" s="11">
        <v>25681</v>
      </c>
      <c r="H54" s="67">
        <v>100</v>
      </c>
      <c r="I54" s="12" t="s">
        <v>439</v>
      </c>
      <c r="J54" s="61">
        <v>25722</v>
      </c>
      <c r="K54" s="71">
        <v>50</v>
      </c>
      <c r="L54" s="62" t="s">
        <v>435</v>
      </c>
      <c r="M54" s="75"/>
      <c r="N54" s="73"/>
      <c r="O54" s="15"/>
    </row>
    <row r="55" spans="1:15" x14ac:dyDescent="0.25">
      <c r="A55" s="16"/>
      <c r="B55" s="49"/>
      <c r="C55" s="17" t="s">
        <v>64</v>
      </c>
      <c r="D55" s="13">
        <v>25635</v>
      </c>
      <c r="E55" s="70">
        <v>350</v>
      </c>
      <c r="F55" s="14" t="s">
        <v>178</v>
      </c>
      <c r="G55" s="11">
        <v>25682</v>
      </c>
      <c r="H55" s="67">
        <v>500</v>
      </c>
      <c r="I55" s="12"/>
      <c r="J55" s="61">
        <v>25723</v>
      </c>
      <c r="K55" s="71">
        <v>600</v>
      </c>
      <c r="L55" s="62" t="s">
        <v>445</v>
      </c>
      <c r="M55" s="75"/>
      <c r="N55" s="73"/>
      <c r="O55" s="15"/>
    </row>
    <row r="56" spans="1:15" x14ac:dyDescent="0.25">
      <c r="A56" s="16">
        <v>25568</v>
      </c>
      <c r="B56" s="49">
        <v>500</v>
      </c>
      <c r="C56" s="17" t="s">
        <v>293</v>
      </c>
      <c r="D56" s="13">
        <v>25636</v>
      </c>
      <c r="E56" s="70">
        <v>600</v>
      </c>
      <c r="F56" s="14"/>
      <c r="G56" s="11">
        <v>25683</v>
      </c>
      <c r="H56" s="67">
        <v>2525</v>
      </c>
      <c r="I56" s="12" t="s">
        <v>440</v>
      </c>
      <c r="J56" s="61"/>
      <c r="K56" s="71"/>
      <c r="L56" s="62" t="s">
        <v>18</v>
      </c>
      <c r="M56" s="75"/>
      <c r="N56" s="73"/>
      <c r="O56" s="15"/>
    </row>
    <row r="57" spans="1:15" x14ac:dyDescent="0.25">
      <c r="A57" s="16">
        <v>25569</v>
      </c>
      <c r="B57" s="49">
        <v>400</v>
      </c>
      <c r="C57" s="17"/>
      <c r="D57" s="13">
        <v>25637</v>
      </c>
      <c r="E57" s="70">
        <v>300</v>
      </c>
      <c r="F57" s="14" t="s">
        <v>293</v>
      </c>
      <c r="G57" s="11"/>
      <c r="H57" s="67"/>
      <c r="I57" s="12" t="s">
        <v>441</v>
      </c>
      <c r="J57" s="61">
        <v>25724</v>
      </c>
      <c r="K57" s="71">
        <v>500</v>
      </c>
      <c r="L57" s="62" t="s">
        <v>455</v>
      </c>
      <c r="M57" s="75"/>
      <c r="N57" s="73"/>
      <c r="O57" s="15"/>
    </row>
    <row r="58" spans="1:15" x14ac:dyDescent="0.25">
      <c r="A58" s="16">
        <v>25570</v>
      </c>
      <c r="B58" s="49">
        <v>500</v>
      </c>
      <c r="C58" s="17"/>
      <c r="D58" s="13">
        <v>25638</v>
      </c>
      <c r="E58" s="70">
        <v>500</v>
      </c>
      <c r="F58" s="14"/>
      <c r="G58" s="11">
        <v>25684</v>
      </c>
      <c r="H58" s="67">
        <v>500</v>
      </c>
      <c r="I58" s="12"/>
      <c r="J58" s="61">
        <v>25725</v>
      </c>
      <c r="K58" s="71">
        <v>500</v>
      </c>
      <c r="L58" s="62"/>
      <c r="M58" s="75"/>
      <c r="N58" s="73"/>
      <c r="O58" s="15"/>
    </row>
    <row r="59" spans="1:15" x14ac:dyDescent="0.25">
      <c r="A59" s="16">
        <v>25571</v>
      </c>
      <c r="B59" s="49">
        <v>25</v>
      </c>
      <c r="C59" s="17" t="s">
        <v>287</v>
      </c>
      <c r="D59" s="13"/>
      <c r="E59" s="70"/>
      <c r="F59" s="14"/>
      <c r="G59" s="11">
        <v>25685</v>
      </c>
      <c r="H59" s="67">
        <v>1225</v>
      </c>
      <c r="I59" s="12" t="s">
        <v>442</v>
      </c>
      <c r="J59" s="61">
        <v>25726</v>
      </c>
      <c r="K59" s="71">
        <v>300</v>
      </c>
      <c r="L59" s="62"/>
      <c r="M59" s="75"/>
      <c r="N59" s="73"/>
      <c r="O59" s="15"/>
    </row>
    <row r="60" spans="1:15" x14ac:dyDescent="0.25">
      <c r="A60" s="16">
        <v>25572</v>
      </c>
      <c r="B60" s="49">
        <v>850</v>
      </c>
      <c r="C60" s="17" t="s">
        <v>417</v>
      </c>
      <c r="D60" s="13"/>
      <c r="E60" s="70"/>
      <c r="F60" s="14"/>
      <c r="G60" s="11"/>
      <c r="H60" s="67"/>
      <c r="I60" s="12" t="s">
        <v>443</v>
      </c>
      <c r="J60" s="61">
        <v>25727</v>
      </c>
      <c r="K60" s="71">
        <v>600</v>
      </c>
      <c r="L60" s="62" t="s">
        <v>448</v>
      </c>
      <c r="M60" s="75"/>
      <c r="N60" s="73"/>
      <c r="O60" s="15"/>
    </row>
    <row r="61" spans="1:15" x14ac:dyDescent="0.25">
      <c r="A61" s="16">
        <v>25573</v>
      </c>
      <c r="B61" s="49">
        <v>450</v>
      </c>
      <c r="C61" s="17"/>
      <c r="D61" s="13"/>
      <c r="E61" s="70"/>
      <c r="F61" s="14"/>
      <c r="G61" s="11"/>
      <c r="H61" s="67"/>
      <c r="I61" s="12" t="s">
        <v>437</v>
      </c>
      <c r="J61" s="61"/>
      <c r="K61" s="71"/>
      <c r="L61" s="62" t="s">
        <v>18</v>
      </c>
      <c r="M61" s="75"/>
      <c r="N61" s="73"/>
      <c r="O61" s="15"/>
    </row>
    <row r="62" spans="1:15" x14ac:dyDescent="0.25">
      <c r="A62" s="16">
        <v>25574</v>
      </c>
      <c r="B62" s="49">
        <v>500</v>
      </c>
      <c r="C62" s="17"/>
      <c r="D62" s="13"/>
      <c r="E62" s="70"/>
      <c r="F62" s="14"/>
      <c r="G62" s="11">
        <v>25686</v>
      </c>
      <c r="H62" s="67">
        <v>400</v>
      </c>
      <c r="I62" s="12" t="s">
        <v>293</v>
      </c>
      <c r="J62" s="61">
        <v>25728</v>
      </c>
      <c r="K62" s="71">
        <v>500</v>
      </c>
      <c r="L62" s="62"/>
      <c r="M62" s="75"/>
      <c r="N62" s="73"/>
      <c r="O62" s="15"/>
    </row>
    <row r="63" spans="1:15" x14ac:dyDescent="0.25">
      <c r="A63" s="16">
        <v>25575</v>
      </c>
      <c r="B63" s="49">
        <v>75</v>
      </c>
      <c r="C63" s="17" t="s">
        <v>339</v>
      </c>
      <c r="D63" s="13"/>
      <c r="E63" s="70"/>
      <c r="F63" s="14"/>
      <c r="G63" s="11">
        <v>25687</v>
      </c>
      <c r="H63" s="67">
        <v>250</v>
      </c>
      <c r="I63" s="12"/>
      <c r="J63" s="61">
        <v>25729</v>
      </c>
      <c r="K63" s="71">
        <v>150</v>
      </c>
      <c r="L63" s="62" t="s">
        <v>456</v>
      </c>
      <c r="M63" s="75"/>
      <c r="N63" s="73"/>
      <c r="O63" s="15"/>
    </row>
    <row r="64" spans="1:15" x14ac:dyDescent="0.25">
      <c r="A64" s="16">
        <v>25576</v>
      </c>
      <c r="B64" s="49">
        <v>450</v>
      </c>
      <c r="C64" s="17"/>
      <c r="D64" s="13"/>
      <c r="E64" s="70"/>
      <c r="F64" s="14"/>
      <c r="G64" s="11"/>
      <c r="H64" s="67"/>
      <c r="I64" s="12"/>
      <c r="J64" s="61">
        <v>25730</v>
      </c>
      <c r="K64" s="71">
        <v>500</v>
      </c>
      <c r="L64" s="62"/>
      <c r="M64" s="75"/>
      <c r="N64" s="73"/>
      <c r="O64" s="15"/>
    </row>
    <row r="65" spans="1:15" x14ac:dyDescent="0.25">
      <c r="A65" s="16">
        <v>25577</v>
      </c>
      <c r="B65" s="49">
        <v>1000</v>
      </c>
      <c r="C65" s="17" t="s">
        <v>410</v>
      </c>
      <c r="D65" s="13"/>
      <c r="E65" s="70"/>
      <c r="F65" s="14"/>
      <c r="G65" s="11"/>
      <c r="H65" s="67"/>
      <c r="I65" s="12"/>
      <c r="J65" s="61">
        <v>25731</v>
      </c>
      <c r="K65" s="71">
        <v>300</v>
      </c>
      <c r="L65" s="62" t="s">
        <v>457</v>
      </c>
      <c r="M65" s="75"/>
      <c r="N65" s="73"/>
      <c r="O65" s="15"/>
    </row>
    <row r="66" spans="1:15" x14ac:dyDescent="0.25">
      <c r="A66" s="16"/>
      <c r="B66" s="49"/>
      <c r="C66" s="17" t="s">
        <v>64</v>
      </c>
      <c r="D66" s="13"/>
      <c r="E66" s="70"/>
      <c r="F66" s="14"/>
      <c r="G66" s="11"/>
      <c r="H66" s="67"/>
      <c r="I66" s="12"/>
      <c r="J66" s="61">
        <v>25732</v>
      </c>
      <c r="K66" s="71">
        <v>25</v>
      </c>
      <c r="L66" s="62" t="s">
        <v>287</v>
      </c>
      <c r="M66" s="75"/>
      <c r="N66" s="73"/>
      <c r="O66" s="15"/>
    </row>
    <row r="67" spans="1:15" x14ac:dyDescent="0.25">
      <c r="A67" s="16">
        <v>25578</v>
      </c>
      <c r="B67" s="49">
        <v>500</v>
      </c>
      <c r="C67" s="17"/>
      <c r="D67" s="13"/>
      <c r="E67" s="70"/>
      <c r="F67" s="14"/>
      <c r="G67" s="11"/>
      <c r="H67" s="67"/>
      <c r="I67" s="12"/>
      <c r="J67" s="61">
        <v>25733</v>
      </c>
      <c r="K67" s="71">
        <v>500</v>
      </c>
      <c r="L67" s="62"/>
      <c r="M67" s="75"/>
      <c r="N67" s="73"/>
      <c r="O67" s="15"/>
    </row>
    <row r="68" spans="1:15" x14ac:dyDescent="0.25">
      <c r="A68" s="16">
        <v>25579</v>
      </c>
      <c r="B68" s="49">
        <v>500</v>
      </c>
      <c r="C68" s="17"/>
      <c r="D68" s="13"/>
      <c r="E68" s="70"/>
      <c r="F68" s="14"/>
      <c r="G68" s="11"/>
      <c r="H68" s="67"/>
      <c r="I68" s="12"/>
      <c r="J68" s="61">
        <v>25734</v>
      </c>
      <c r="K68" s="71">
        <v>300</v>
      </c>
      <c r="L68" s="62"/>
      <c r="M68" s="75"/>
      <c r="N68" s="73"/>
      <c r="O68" s="15"/>
    </row>
    <row r="69" spans="1:15" x14ac:dyDescent="0.25">
      <c r="A69" s="16">
        <v>25580</v>
      </c>
      <c r="B69" s="49">
        <v>300</v>
      </c>
      <c r="C69" s="17" t="s">
        <v>306</v>
      </c>
      <c r="D69" s="13"/>
      <c r="E69" s="70"/>
      <c r="F69" s="14"/>
      <c r="G69" s="11"/>
      <c r="H69" s="67"/>
      <c r="I69" s="12"/>
      <c r="J69" s="61">
        <v>25735</v>
      </c>
      <c r="K69" s="71">
        <v>1000</v>
      </c>
      <c r="L69" s="62" t="s">
        <v>445</v>
      </c>
      <c r="M69" s="75"/>
      <c r="N69" s="73"/>
      <c r="O69" s="15"/>
    </row>
    <row r="70" spans="1:15" x14ac:dyDescent="0.25">
      <c r="A70" s="16">
        <v>25581</v>
      </c>
      <c r="B70" s="49">
        <v>1075</v>
      </c>
      <c r="C70" s="17" t="s">
        <v>418</v>
      </c>
      <c r="D70" s="13"/>
      <c r="E70" s="70"/>
      <c r="F70" s="14"/>
      <c r="G70" s="11"/>
      <c r="H70" s="67"/>
      <c r="I70" s="12"/>
      <c r="J70" s="61"/>
      <c r="K70" s="71"/>
      <c r="L70" s="62" t="s">
        <v>64</v>
      </c>
      <c r="M70" s="75"/>
      <c r="N70" s="73"/>
      <c r="O70" s="15"/>
    </row>
    <row r="71" spans="1:15" x14ac:dyDescent="0.25">
      <c r="A71" s="16">
        <v>25582</v>
      </c>
      <c r="B71" s="49">
        <v>500</v>
      </c>
      <c r="C71" s="17"/>
      <c r="D71" s="13"/>
      <c r="E71" s="70"/>
      <c r="F71" s="14"/>
      <c r="G71" s="11"/>
      <c r="H71" s="67"/>
      <c r="I71" s="12"/>
      <c r="J71" s="61">
        <v>25736</v>
      </c>
      <c r="K71" s="71">
        <v>200</v>
      </c>
      <c r="L71" s="62" t="s">
        <v>458</v>
      </c>
      <c r="M71" s="75"/>
      <c r="N71" s="73"/>
      <c r="O71" s="15"/>
    </row>
    <row r="72" spans="1:15" x14ac:dyDescent="0.25">
      <c r="A72" s="16">
        <v>25583</v>
      </c>
      <c r="B72" s="49">
        <v>350</v>
      </c>
      <c r="C72" s="17" t="s">
        <v>419</v>
      </c>
      <c r="D72" s="13"/>
      <c r="E72" s="70"/>
      <c r="F72" s="14"/>
      <c r="G72" s="11"/>
      <c r="H72" s="67"/>
      <c r="I72" s="12"/>
      <c r="J72" s="61"/>
      <c r="K72" s="71"/>
      <c r="L72" s="62"/>
      <c r="M72" s="75"/>
      <c r="N72" s="73"/>
      <c r="O72" s="15"/>
    </row>
    <row r="73" spans="1:15" x14ac:dyDescent="0.25">
      <c r="A73" s="16">
        <v>25584</v>
      </c>
      <c r="B73" s="49">
        <v>300</v>
      </c>
      <c r="C73" s="17"/>
      <c r="D73" s="13"/>
      <c r="E73" s="70"/>
      <c r="F73" s="14"/>
      <c r="G73" s="11"/>
      <c r="H73" s="67"/>
      <c r="I73" s="12"/>
      <c r="J73" s="61"/>
      <c r="K73" s="71"/>
      <c r="L73" s="62"/>
      <c r="M73" s="75"/>
      <c r="N73" s="73"/>
      <c r="O73" s="15"/>
    </row>
    <row r="74" spans="1:15" x14ac:dyDescent="0.25">
      <c r="A74" s="16">
        <v>25585</v>
      </c>
      <c r="B74" s="49">
        <v>300</v>
      </c>
      <c r="C74" s="17" t="s">
        <v>306</v>
      </c>
      <c r="D74" s="13"/>
      <c r="E74" s="70"/>
      <c r="F74" s="14"/>
      <c r="G74" s="11"/>
      <c r="H74" s="67"/>
      <c r="I74" s="12"/>
      <c r="J74" s="61"/>
      <c r="K74" s="71"/>
      <c r="L74" s="62"/>
      <c r="M74" s="75"/>
      <c r="N74" s="73"/>
      <c r="O74" s="15"/>
    </row>
    <row r="75" spans="1:15" x14ac:dyDescent="0.25">
      <c r="A75" s="16">
        <v>25586</v>
      </c>
      <c r="B75" s="49">
        <v>400</v>
      </c>
      <c r="C75" s="17" t="s">
        <v>293</v>
      </c>
      <c r="D75" s="13"/>
      <c r="E75" s="70"/>
      <c r="F75" s="14"/>
      <c r="G75" s="11"/>
      <c r="H75" s="67"/>
      <c r="I75" s="12"/>
      <c r="J75" s="61"/>
      <c r="K75" s="71"/>
      <c r="L75" s="62"/>
      <c r="M75" s="75"/>
      <c r="N75" s="73"/>
      <c r="O75" s="15"/>
    </row>
    <row r="76" spans="1:15" x14ac:dyDescent="0.25">
      <c r="A76" s="16">
        <v>25587</v>
      </c>
      <c r="B76" s="49">
        <v>500</v>
      </c>
      <c r="C76" s="17" t="s">
        <v>293</v>
      </c>
      <c r="D76" s="13"/>
      <c r="E76" s="70"/>
      <c r="F76" s="14"/>
      <c r="G76" s="11"/>
      <c r="H76" s="67"/>
      <c r="I76" s="12"/>
      <c r="J76" s="61"/>
      <c r="K76" s="71"/>
      <c r="L76" s="62"/>
      <c r="M76" s="75"/>
      <c r="N76" s="73"/>
      <c r="O76" s="15"/>
    </row>
    <row r="77" spans="1:15" x14ac:dyDescent="0.25">
      <c r="A77" s="16">
        <v>25588</v>
      </c>
      <c r="B77" s="49">
        <v>750</v>
      </c>
      <c r="C77" s="17" t="s">
        <v>420</v>
      </c>
      <c r="D77" s="13"/>
      <c r="E77" s="70"/>
      <c r="F77" s="14"/>
      <c r="G77" s="11"/>
      <c r="H77" s="67"/>
      <c r="I77" s="12"/>
      <c r="J77" s="61"/>
      <c r="K77" s="71"/>
      <c r="L77" s="62"/>
      <c r="M77" s="75"/>
      <c r="N77" s="73"/>
      <c r="O77" s="15"/>
    </row>
    <row r="78" spans="1:15" x14ac:dyDescent="0.25">
      <c r="A78" s="16"/>
      <c r="B78" s="49"/>
      <c r="C78" s="17" t="s">
        <v>421</v>
      </c>
      <c r="D78" s="13"/>
      <c r="E78" s="70"/>
      <c r="F78" s="14"/>
      <c r="G78" s="11"/>
      <c r="H78" s="67"/>
      <c r="I78" s="12"/>
      <c r="J78" s="61"/>
      <c r="K78" s="71"/>
      <c r="L78" s="62"/>
      <c r="M78" s="75"/>
      <c r="N78" s="73"/>
      <c r="O78" s="15"/>
    </row>
    <row r="79" spans="1:15" x14ac:dyDescent="0.25">
      <c r="A79" s="16">
        <v>25589</v>
      </c>
      <c r="B79" s="49">
        <v>500</v>
      </c>
      <c r="C79" s="17"/>
      <c r="D79" s="13"/>
      <c r="E79" s="70"/>
      <c r="F79" s="14"/>
      <c r="G79" s="11"/>
      <c r="H79" s="67"/>
      <c r="I79" s="12"/>
      <c r="J79" s="61"/>
      <c r="K79" s="71"/>
      <c r="L79" s="62"/>
      <c r="M79" s="75"/>
      <c r="N79" s="73"/>
      <c r="O79" s="15"/>
    </row>
    <row r="80" spans="1:15" x14ac:dyDescent="0.25">
      <c r="A80" s="16">
        <v>25590</v>
      </c>
      <c r="B80" s="49">
        <v>350</v>
      </c>
      <c r="C80" s="17"/>
      <c r="D80" s="13"/>
      <c r="E80" s="70"/>
      <c r="F80" s="14"/>
      <c r="G80" s="11"/>
      <c r="H80" s="67"/>
      <c r="I80" s="12"/>
      <c r="J80" s="61"/>
      <c r="K80" s="71"/>
      <c r="L80" s="62"/>
      <c r="M80" s="75"/>
      <c r="N80" s="73"/>
      <c r="O80" s="15"/>
    </row>
    <row r="81" spans="1:15" x14ac:dyDescent="0.25">
      <c r="A81" s="16"/>
      <c r="B81" s="49"/>
      <c r="C81" s="17"/>
      <c r="D81" s="13"/>
      <c r="E81" s="70"/>
      <c r="F81" s="14"/>
      <c r="G81" s="11"/>
      <c r="H81" s="67"/>
      <c r="I81" s="12"/>
      <c r="J81" s="61"/>
      <c r="K81" s="71"/>
      <c r="L81" s="62"/>
      <c r="M81" s="75"/>
      <c r="N81" s="73"/>
      <c r="O81" s="15"/>
    </row>
    <row r="82" spans="1:15" x14ac:dyDescent="0.25">
      <c r="A82" s="16"/>
      <c r="B82" s="49"/>
      <c r="C82" s="17"/>
      <c r="D82" s="13"/>
      <c r="E82" s="70"/>
      <c r="F82" s="14"/>
      <c r="G82" s="11"/>
      <c r="H82" s="67"/>
      <c r="I82" s="12"/>
      <c r="J82" s="61"/>
      <c r="K82" s="71"/>
      <c r="L82" s="62"/>
      <c r="M82" s="75"/>
      <c r="N82" s="73"/>
      <c r="O82" s="15"/>
    </row>
    <row r="83" spans="1:15" x14ac:dyDescent="0.25">
      <c r="A83" s="16"/>
      <c r="B83" s="49"/>
      <c r="C83" s="17"/>
      <c r="D83" s="13"/>
      <c r="E83" s="70"/>
      <c r="F83" s="14"/>
      <c r="G83" s="11"/>
      <c r="H83" s="67"/>
      <c r="I83" s="12"/>
      <c r="J83" s="61"/>
      <c r="K83" s="71"/>
      <c r="L83" s="62"/>
      <c r="M83" s="75"/>
      <c r="N83" s="73"/>
      <c r="O83" s="15"/>
    </row>
    <row r="84" spans="1:15" x14ac:dyDescent="0.25">
      <c r="A84" s="16"/>
      <c r="B84" s="49"/>
      <c r="C84" s="17"/>
      <c r="D84" s="13"/>
      <c r="E84" s="70"/>
      <c r="F84" s="14"/>
      <c r="G84" s="11"/>
      <c r="H84" s="67"/>
      <c r="I84" s="12"/>
      <c r="J84" s="61"/>
      <c r="K84" s="71"/>
      <c r="L84" s="62"/>
      <c r="M84" s="75"/>
      <c r="N84" s="73"/>
      <c r="O84" s="15"/>
    </row>
    <row r="85" spans="1:15" x14ac:dyDescent="0.25">
      <c r="A85" s="16"/>
      <c r="B85" s="49"/>
      <c r="C85" s="17"/>
      <c r="D85" s="13"/>
      <c r="E85" s="70"/>
      <c r="F85" s="14"/>
      <c r="G85" s="11"/>
      <c r="H85" s="67"/>
      <c r="I85" s="12"/>
      <c r="J85" s="61"/>
      <c r="K85" s="71"/>
      <c r="L85" s="62"/>
      <c r="M85" s="75"/>
      <c r="N85" s="73"/>
      <c r="O85" s="15"/>
    </row>
    <row r="86" spans="1:15" x14ac:dyDescent="0.25">
      <c r="A86" s="16"/>
      <c r="B86" s="49"/>
      <c r="C86" s="17"/>
      <c r="D86" s="13"/>
      <c r="E86" s="70"/>
      <c r="F86" s="14"/>
      <c r="G86" s="11"/>
      <c r="H86" s="67"/>
      <c r="I86" s="12"/>
      <c r="J86" s="61"/>
      <c r="K86" s="71"/>
      <c r="L86" s="62"/>
      <c r="M86" s="75"/>
      <c r="N86" s="73"/>
      <c r="O86" s="15"/>
    </row>
    <row r="87" spans="1:15" x14ac:dyDescent="0.25">
      <c r="A87" s="16"/>
      <c r="B87" s="49"/>
      <c r="C87" s="17"/>
      <c r="D87" s="13"/>
      <c r="E87" s="70"/>
      <c r="F87" s="14"/>
      <c r="G87" s="11"/>
      <c r="H87" s="67"/>
      <c r="I87" s="12"/>
      <c r="J87" s="61"/>
      <c r="K87" s="71"/>
      <c r="L87" s="62"/>
      <c r="M87" s="75"/>
      <c r="N87" s="73"/>
      <c r="O87" s="15"/>
    </row>
    <row r="88" spans="1:15" x14ac:dyDescent="0.25">
      <c r="A88" s="16"/>
      <c r="B88" s="49"/>
      <c r="C88" s="17"/>
      <c r="D88" s="13"/>
      <c r="E88" s="70"/>
      <c r="F88" s="14"/>
      <c r="G88" s="11"/>
      <c r="H88" s="67"/>
      <c r="I88" s="12"/>
      <c r="J88" s="61"/>
      <c r="K88" s="71"/>
      <c r="L88" s="62"/>
      <c r="M88" s="75"/>
      <c r="N88" s="73"/>
      <c r="O88" s="15"/>
    </row>
    <row r="89" spans="1:15" x14ac:dyDescent="0.25">
      <c r="A89" s="16"/>
      <c r="B89" s="49"/>
      <c r="C89" s="17"/>
      <c r="D89" s="13"/>
      <c r="E89" s="70"/>
      <c r="F89" s="14"/>
      <c r="G89" s="11"/>
      <c r="H89" s="67"/>
      <c r="I89" s="12"/>
      <c r="J89" s="61"/>
      <c r="K89" s="71"/>
      <c r="L89" s="62"/>
      <c r="M89" s="75"/>
      <c r="N89" s="73"/>
      <c r="O89" s="15"/>
    </row>
    <row r="90" spans="1:15" x14ac:dyDescent="0.25">
      <c r="A90" s="16"/>
      <c r="B90" s="49"/>
      <c r="C90" s="17"/>
      <c r="D90" s="13"/>
      <c r="E90" s="70"/>
      <c r="F90" s="14"/>
      <c r="G90" s="11"/>
      <c r="H90" s="67"/>
      <c r="I90" s="12"/>
      <c r="J90" s="61"/>
      <c r="K90" s="71"/>
      <c r="L90" s="62"/>
      <c r="M90" s="75"/>
      <c r="N90" s="73"/>
      <c r="O90" s="15"/>
    </row>
    <row r="91" spans="1:15" x14ac:dyDescent="0.25">
      <c r="A91" s="16"/>
      <c r="B91" s="49"/>
      <c r="C91" s="17"/>
      <c r="D91" s="13"/>
      <c r="E91" s="70"/>
      <c r="F91" s="14"/>
      <c r="G91" s="11"/>
      <c r="H91" s="67"/>
      <c r="I91" s="12"/>
      <c r="J91" s="61"/>
      <c r="K91" s="71"/>
      <c r="L91" s="62"/>
      <c r="M91" s="75"/>
      <c r="N91" s="73"/>
      <c r="O91" s="15"/>
    </row>
    <row r="92" spans="1:15" x14ac:dyDescent="0.25">
      <c r="A92" s="16"/>
      <c r="B92" s="49"/>
      <c r="C92" s="17"/>
      <c r="D92" s="13"/>
      <c r="E92" s="70"/>
      <c r="F92" s="14"/>
      <c r="G92" s="11"/>
      <c r="H92" s="67"/>
      <c r="I92" s="12"/>
      <c r="J92" s="61"/>
      <c r="K92" s="71"/>
      <c r="L92" s="62"/>
      <c r="M92" s="75"/>
      <c r="N92" s="73"/>
      <c r="O92" s="15"/>
    </row>
    <row r="93" spans="1:15" x14ac:dyDescent="0.25">
      <c r="A93" s="16"/>
      <c r="B93" s="49"/>
      <c r="C93" s="17"/>
      <c r="D93" s="13"/>
      <c r="E93" s="70"/>
      <c r="F93" s="14"/>
      <c r="G93" s="11"/>
      <c r="H93" s="67"/>
      <c r="I93" s="12"/>
      <c r="J93" s="61"/>
      <c r="K93" s="71"/>
      <c r="L93" s="62"/>
      <c r="M93" s="75"/>
      <c r="N93" s="73"/>
      <c r="O93" s="15"/>
    </row>
    <row r="94" spans="1:15" x14ac:dyDescent="0.25">
      <c r="A94" s="16"/>
      <c r="B94" s="49"/>
      <c r="C94" s="17"/>
      <c r="D94" s="13"/>
      <c r="E94" s="70"/>
      <c r="F94" s="14"/>
      <c r="G94" s="11"/>
      <c r="H94" s="67"/>
      <c r="I94" s="12"/>
      <c r="J94" s="61"/>
      <c r="K94" s="71"/>
      <c r="L94" s="62"/>
      <c r="M94" s="75"/>
      <c r="N94" s="73"/>
      <c r="O94" s="15"/>
    </row>
    <row r="95" spans="1:15" x14ac:dyDescent="0.25">
      <c r="A95" s="16"/>
      <c r="B95" s="49"/>
      <c r="C95" s="17"/>
      <c r="D95" s="13"/>
      <c r="E95" s="70"/>
      <c r="F95" s="14"/>
      <c r="G95" s="11"/>
      <c r="H95" s="67"/>
      <c r="I95" s="12"/>
      <c r="J95" s="61"/>
      <c r="K95" s="71"/>
      <c r="L95" s="62"/>
      <c r="M95" s="75"/>
      <c r="N95" s="73"/>
      <c r="O95" s="15"/>
    </row>
    <row r="96" spans="1:15" x14ac:dyDescent="0.25">
      <c r="A96" s="16"/>
      <c r="B96" s="49"/>
      <c r="C96" s="17"/>
      <c r="D96" s="13"/>
      <c r="E96" s="70"/>
      <c r="F96" s="14"/>
      <c r="G96" s="11"/>
      <c r="H96" s="67"/>
      <c r="I96" s="12"/>
      <c r="J96" s="61"/>
      <c r="K96" s="71"/>
      <c r="L96" s="62"/>
      <c r="M96" s="75"/>
      <c r="N96" s="73"/>
      <c r="O96" s="15"/>
    </row>
    <row r="97" spans="1:16" x14ac:dyDescent="0.25">
      <c r="A97" s="16"/>
      <c r="B97" s="49"/>
      <c r="C97" s="17"/>
      <c r="D97" s="13"/>
      <c r="E97" s="70"/>
      <c r="F97" s="14"/>
      <c r="G97" s="11"/>
      <c r="H97" s="67"/>
      <c r="I97" s="12"/>
      <c r="J97" s="61"/>
      <c r="K97" s="71"/>
      <c r="L97" s="62"/>
      <c r="M97" s="75"/>
      <c r="N97" s="73"/>
      <c r="O97" s="15"/>
    </row>
    <row r="98" spans="1:16" x14ac:dyDescent="0.25">
      <c r="A98" s="16"/>
      <c r="B98" s="49"/>
      <c r="C98" s="17"/>
      <c r="D98" s="13"/>
      <c r="E98" s="70"/>
      <c r="F98" s="14"/>
      <c r="G98" s="11"/>
      <c r="H98" s="67"/>
      <c r="I98" s="12"/>
      <c r="J98" s="61"/>
      <c r="K98" s="71"/>
      <c r="L98" s="62"/>
      <c r="M98" s="75"/>
      <c r="N98" s="73"/>
      <c r="O98" s="15"/>
    </row>
    <row r="99" spans="1:16" x14ac:dyDescent="0.25">
      <c r="A99" s="16"/>
      <c r="B99" s="49"/>
      <c r="C99" s="17"/>
      <c r="D99" s="13"/>
      <c r="E99" s="70"/>
      <c r="F99" s="14"/>
      <c r="G99" s="11"/>
      <c r="H99" s="67"/>
      <c r="I99" s="12"/>
      <c r="J99" s="61"/>
      <c r="K99" s="71"/>
      <c r="L99" s="62"/>
      <c r="M99" s="75"/>
      <c r="N99" s="73"/>
      <c r="O99" s="15"/>
    </row>
    <row r="100" spans="1:16" x14ac:dyDescent="0.25">
      <c r="A100" s="16"/>
      <c r="B100" s="49"/>
      <c r="C100" s="17"/>
      <c r="D100" s="13"/>
      <c r="E100" s="70"/>
      <c r="F100" s="14"/>
      <c r="G100" s="11"/>
      <c r="H100" s="67"/>
      <c r="I100" s="12"/>
      <c r="J100" s="61"/>
      <c r="K100" s="71"/>
      <c r="L100" s="62"/>
      <c r="M100" s="75"/>
      <c r="N100" s="73"/>
      <c r="O100" s="15"/>
    </row>
    <row r="101" spans="1:16" x14ac:dyDescent="0.25">
      <c r="A101" s="16"/>
      <c r="B101" s="49"/>
      <c r="C101" s="17"/>
      <c r="D101" s="13"/>
      <c r="E101" s="70"/>
      <c r="F101" s="14"/>
      <c r="G101" s="11"/>
      <c r="H101" s="67"/>
      <c r="I101" s="12"/>
      <c r="J101" s="61"/>
      <c r="K101" s="71"/>
      <c r="L101" s="62"/>
      <c r="M101" s="75"/>
      <c r="N101" s="73"/>
      <c r="O101" s="15"/>
    </row>
    <row r="102" spans="1:16" x14ac:dyDescent="0.25">
      <c r="A102" s="16"/>
      <c r="B102" s="49"/>
      <c r="C102" s="17"/>
      <c r="D102" s="13"/>
      <c r="E102" s="70"/>
      <c r="F102" s="14"/>
      <c r="G102" s="11"/>
      <c r="H102" s="67"/>
      <c r="I102" s="12"/>
      <c r="J102" s="61"/>
      <c r="K102" s="71"/>
      <c r="L102" s="62"/>
      <c r="M102" s="75"/>
      <c r="N102" s="73"/>
      <c r="O102" s="15"/>
    </row>
    <row r="103" spans="1:16" x14ac:dyDescent="0.25">
      <c r="A103" s="16"/>
      <c r="B103" s="49"/>
      <c r="C103" s="17"/>
      <c r="D103" s="13"/>
      <c r="E103" s="70"/>
      <c r="F103" s="14"/>
      <c r="G103" s="11"/>
      <c r="H103" s="67"/>
      <c r="I103" s="12"/>
      <c r="J103" s="61"/>
      <c r="K103" s="71"/>
      <c r="L103" s="62"/>
      <c r="M103" s="75"/>
      <c r="N103" s="73"/>
      <c r="O103" s="15"/>
    </row>
    <row r="104" spans="1:16" x14ac:dyDescent="0.25">
      <c r="A104" s="16"/>
      <c r="B104" s="49"/>
      <c r="C104" s="17"/>
      <c r="D104" s="13"/>
      <c r="E104" s="70"/>
      <c r="F104" s="14"/>
      <c r="G104" s="11"/>
      <c r="H104" s="67"/>
      <c r="I104" s="12"/>
      <c r="J104" s="61"/>
      <c r="K104" s="71"/>
      <c r="L104" s="62"/>
      <c r="M104" s="75"/>
      <c r="N104" s="73"/>
      <c r="O104" s="15"/>
    </row>
    <row r="105" spans="1:16" x14ac:dyDescent="0.25">
      <c r="A105" s="26"/>
      <c r="B105" s="66"/>
      <c r="C105" s="58"/>
      <c r="D105" s="13"/>
      <c r="E105" s="70"/>
      <c r="F105" s="14"/>
      <c r="G105" s="11"/>
      <c r="H105" s="67"/>
      <c r="I105" s="12"/>
      <c r="J105" s="61"/>
      <c r="K105" s="71"/>
      <c r="L105" s="62"/>
      <c r="M105" s="75"/>
      <c r="N105" s="73"/>
      <c r="O105" s="15"/>
      <c r="P105" s="58"/>
    </row>
    <row r="106" spans="1:16" x14ac:dyDescent="0.25">
      <c r="A106" s="26"/>
      <c r="B106" s="66"/>
      <c r="C106" s="58"/>
      <c r="D106" s="13"/>
      <c r="E106" s="70"/>
      <c r="F106" s="14"/>
      <c r="G106" s="11"/>
      <c r="H106" s="67"/>
      <c r="I106" s="12"/>
      <c r="J106" s="61"/>
      <c r="K106" s="71"/>
      <c r="L106" s="62"/>
      <c r="M106" s="75"/>
      <c r="N106" s="73"/>
      <c r="O106" s="15"/>
      <c r="P106" s="58"/>
    </row>
    <row r="107" spans="1:16" x14ac:dyDescent="0.25">
      <c r="A107" s="26"/>
      <c r="B107" s="66"/>
      <c r="C107" s="58"/>
      <c r="D107" s="13"/>
      <c r="E107" s="70"/>
      <c r="F107" s="14"/>
      <c r="G107" s="11"/>
      <c r="H107" s="67"/>
      <c r="I107" s="12"/>
      <c r="J107" s="61"/>
      <c r="K107" s="71"/>
      <c r="L107" s="62"/>
      <c r="M107" s="75"/>
      <c r="N107" s="73"/>
      <c r="O107" s="15"/>
      <c r="P107" s="58"/>
    </row>
    <row r="108" spans="1:16" x14ac:dyDescent="0.25">
      <c r="A108" s="26"/>
      <c r="B108" s="66"/>
      <c r="C108" s="58"/>
      <c r="D108" s="13"/>
      <c r="E108" s="70"/>
      <c r="F108" s="14"/>
      <c r="G108" s="11"/>
      <c r="H108" s="67"/>
      <c r="I108" s="12"/>
      <c r="J108" s="61"/>
      <c r="K108" s="71"/>
      <c r="L108" s="62"/>
      <c r="M108" s="75"/>
      <c r="N108" s="73"/>
      <c r="O108" s="15"/>
      <c r="P108" s="58"/>
    </row>
    <row r="109" spans="1:16" x14ac:dyDescent="0.25">
      <c r="A109" s="26"/>
      <c r="B109" s="66"/>
      <c r="C109" s="58"/>
      <c r="D109" s="13"/>
      <c r="E109" s="70"/>
      <c r="F109" s="14"/>
      <c r="G109" s="11"/>
      <c r="H109" s="67"/>
      <c r="I109" s="12"/>
      <c r="J109" s="61"/>
      <c r="K109" s="71"/>
      <c r="L109" s="62"/>
      <c r="M109" s="75"/>
      <c r="N109" s="73"/>
      <c r="O109" s="15"/>
      <c r="P109" s="58"/>
    </row>
    <row r="110" spans="1:16" x14ac:dyDescent="0.25">
      <c r="A110" s="26"/>
      <c r="B110" s="66"/>
      <c r="C110" s="58"/>
      <c r="D110" s="13"/>
      <c r="E110" s="70"/>
      <c r="F110" s="14"/>
      <c r="G110" s="11"/>
      <c r="H110" s="67"/>
      <c r="I110" s="12"/>
      <c r="J110" s="61"/>
      <c r="K110" s="71"/>
      <c r="L110" s="62"/>
      <c r="M110" s="75"/>
      <c r="N110" s="73"/>
      <c r="O110" s="15"/>
      <c r="P110" s="58"/>
    </row>
    <row r="111" spans="1:16" x14ac:dyDescent="0.25">
      <c r="A111" s="26"/>
      <c r="B111" s="66"/>
      <c r="C111" s="58"/>
      <c r="D111" s="13"/>
      <c r="E111" s="70"/>
      <c r="F111" s="14"/>
      <c r="G111" s="11"/>
      <c r="H111" s="67"/>
      <c r="I111" s="12"/>
      <c r="J111" s="61"/>
      <c r="K111" s="71"/>
      <c r="L111" s="62"/>
      <c r="M111" s="75"/>
      <c r="N111" s="73"/>
      <c r="O111" s="15"/>
      <c r="P111" s="58"/>
    </row>
    <row r="112" spans="1:16" x14ac:dyDescent="0.25">
      <c r="A112" s="26"/>
      <c r="B112" s="66"/>
      <c r="C112" s="58"/>
      <c r="D112" s="13"/>
      <c r="E112" s="70"/>
      <c r="F112" s="14"/>
      <c r="G112" s="11"/>
      <c r="H112" s="67"/>
      <c r="I112" s="12"/>
      <c r="J112" s="61"/>
      <c r="K112" s="71"/>
      <c r="L112" s="62"/>
      <c r="M112" s="75"/>
      <c r="N112" s="73"/>
      <c r="O112" s="15"/>
      <c r="P112" s="58"/>
    </row>
    <row r="113" spans="1:16" x14ac:dyDescent="0.25">
      <c r="A113" s="26"/>
      <c r="B113" s="66"/>
      <c r="C113" s="58"/>
      <c r="D113" s="13"/>
      <c r="E113" s="70"/>
      <c r="F113" s="14"/>
      <c r="G113" s="11"/>
      <c r="H113" s="67"/>
      <c r="I113" s="12"/>
      <c r="J113" s="61"/>
      <c r="K113" s="71"/>
      <c r="L113" s="62"/>
      <c r="M113" s="75"/>
      <c r="N113" s="73"/>
      <c r="O113" s="15"/>
      <c r="P113" s="58"/>
    </row>
    <row r="114" spans="1:16" x14ac:dyDescent="0.25">
      <c r="A114" s="26"/>
      <c r="B114" s="66"/>
      <c r="C114" s="58"/>
      <c r="D114" s="13"/>
      <c r="E114" s="70"/>
      <c r="F114" s="14"/>
      <c r="G114" s="11"/>
      <c r="H114" s="67"/>
      <c r="I114" s="12"/>
      <c r="J114" s="61"/>
      <c r="K114" s="71"/>
      <c r="L114" s="62"/>
      <c r="M114" s="75"/>
      <c r="N114" s="73"/>
      <c r="O114" s="15"/>
      <c r="P114" s="58"/>
    </row>
    <row r="115" spans="1:16" x14ac:dyDescent="0.25">
      <c r="A115" s="26"/>
      <c r="B115" s="66"/>
      <c r="C115" s="58"/>
      <c r="D115" s="13"/>
      <c r="E115" s="70"/>
      <c r="F115" s="14"/>
      <c r="G115" s="11"/>
      <c r="H115" s="67"/>
      <c r="I115" s="12"/>
      <c r="J115" s="61"/>
      <c r="K115" s="71"/>
      <c r="L115" s="62"/>
      <c r="M115" s="75"/>
      <c r="N115" s="73"/>
      <c r="O115" s="15"/>
      <c r="P115" s="58"/>
    </row>
    <row r="116" spans="1:16" x14ac:dyDescent="0.25">
      <c r="A116" s="26"/>
      <c r="B116" s="66"/>
      <c r="C116" s="58"/>
      <c r="D116" s="13"/>
      <c r="E116" s="70"/>
      <c r="F116" s="14"/>
      <c r="G116" s="11"/>
      <c r="H116" s="67"/>
      <c r="I116" s="12"/>
      <c r="J116" s="61"/>
      <c r="K116" s="71"/>
      <c r="L116" s="62"/>
      <c r="M116" s="75"/>
      <c r="N116" s="73"/>
      <c r="O116" s="15"/>
      <c r="P116" s="58"/>
    </row>
    <row r="117" spans="1:16" x14ac:dyDescent="0.25">
      <c r="A117" s="26"/>
      <c r="B117" s="66"/>
      <c r="C117" s="58"/>
      <c r="D117" s="26"/>
      <c r="E117" s="74"/>
      <c r="F117" s="58"/>
      <c r="G117" s="26"/>
      <c r="H117" s="74"/>
      <c r="I117" s="58"/>
      <c r="J117" s="26"/>
      <c r="K117" s="74"/>
      <c r="L117" s="58"/>
      <c r="M117" s="58"/>
      <c r="N117" s="74"/>
      <c r="O117" s="58"/>
      <c r="P117" s="58"/>
    </row>
    <row r="118" spans="1:16" x14ac:dyDescent="0.25">
      <c r="A118" s="26"/>
      <c r="B118" s="66"/>
      <c r="C118" s="58"/>
      <c r="D118" s="26"/>
      <c r="E118" s="74"/>
      <c r="F118" s="58"/>
      <c r="G118" s="26"/>
      <c r="H118" s="74"/>
      <c r="I118" s="58"/>
      <c r="J118" s="26"/>
      <c r="K118" s="74"/>
      <c r="L118" s="58"/>
      <c r="M118" s="58"/>
      <c r="N118" s="74"/>
      <c r="O118" s="58"/>
      <c r="P118" s="58"/>
    </row>
    <row r="119" spans="1:16" x14ac:dyDescent="0.25">
      <c r="A119" s="26"/>
      <c r="B119" s="66"/>
      <c r="C119" s="58"/>
      <c r="D119" s="26"/>
      <c r="E119" s="58"/>
      <c r="F119" s="58"/>
      <c r="G119" s="26"/>
      <c r="H119" s="58"/>
      <c r="I119" s="58"/>
      <c r="J119" s="26"/>
      <c r="K119" s="58"/>
      <c r="L119" s="58"/>
      <c r="M119" s="58"/>
      <c r="N119" s="58"/>
      <c r="O119" s="58"/>
    </row>
    <row r="120" spans="1:16" x14ac:dyDescent="0.25">
      <c r="A120" s="26"/>
      <c r="B120" s="66"/>
      <c r="C120" s="58"/>
      <c r="D120" s="26"/>
      <c r="E120" s="58"/>
      <c r="F120" s="58"/>
      <c r="G120" s="26"/>
      <c r="H120" s="58"/>
      <c r="I120" s="58"/>
      <c r="J120" s="26"/>
      <c r="K120" s="58"/>
      <c r="L120" s="58"/>
      <c r="M120" s="58"/>
      <c r="N120" s="58"/>
      <c r="O120" s="58"/>
    </row>
    <row r="121" spans="1:16" x14ac:dyDescent="0.25">
      <c r="A121" s="26"/>
      <c r="B121" s="66"/>
      <c r="C121" s="58"/>
      <c r="D121" s="26"/>
      <c r="E121" s="58"/>
      <c r="F121" s="58"/>
      <c r="G121" s="26"/>
      <c r="H121" s="58"/>
      <c r="I121" s="58"/>
      <c r="J121" s="26"/>
      <c r="K121" s="58"/>
      <c r="L121" s="58"/>
      <c r="M121" s="58"/>
      <c r="N121" s="58"/>
      <c r="O121" s="58"/>
    </row>
    <row r="122" spans="1:16" x14ac:dyDescent="0.25">
      <c r="A122" s="26"/>
      <c r="B122" s="66"/>
      <c r="C122" s="58"/>
      <c r="D122" s="26"/>
      <c r="E122" s="58"/>
      <c r="F122" s="58"/>
      <c r="G122" s="26"/>
      <c r="H122" s="58"/>
      <c r="I122" s="58"/>
      <c r="J122" s="26"/>
      <c r="K122" s="58"/>
      <c r="L122" s="58"/>
      <c r="M122" s="58"/>
      <c r="N122" s="58"/>
      <c r="O122" s="58"/>
    </row>
    <row r="123" spans="1:16" x14ac:dyDescent="0.25">
      <c r="A123" s="26"/>
      <c r="B123" s="66"/>
      <c r="C123" s="58"/>
      <c r="D123" s="26"/>
      <c r="E123" s="58"/>
      <c r="F123" s="58"/>
      <c r="G123" s="26"/>
      <c r="H123" s="58"/>
      <c r="I123" s="58"/>
      <c r="J123" s="26"/>
      <c r="K123" s="58"/>
      <c r="L123" s="58"/>
      <c r="M123" s="58"/>
      <c r="N123" s="58"/>
      <c r="O123" s="58"/>
    </row>
    <row r="124" spans="1:16" x14ac:dyDescent="0.25">
      <c r="A124" s="26"/>
      <c r="B124" s="66"/>
      <c r="C124" s="58"/>
      <c r="D124" s="26"/>
      <c r="E124" s="58"/>
      <c r="F124" s="58"/>
      <c r="G124" s="26"/>
      <c r="H124" s="58"/>
      <c r="I124" s="58"/>
      <c r="J124" s="26"/>
      <c r="K124" s="58"/>
      <c r="L124" s="58"/>
      <c r="M124" s="58"/>
      <c r="N124" s="58"/>
      <c r="O124" s="58"/>
    </row>
    <row r="125" spans="1:16" x14ac:dyDescent="0.25">
      <c r="A125" s="26"/>
      <c r="B125" s="66"/>
      <c r="C125" s="58"/>
      <c r="D125" s="26"/>
      <c r="E125" s="58"/>
      <c r="F125" s="58"/>
      <c r="G125" s="26"/>
      <c r="H125" s="58"/>
      <c r="I125" s="58"/>
      <c r="J125" s="26"/>
      <c r="K125" s="58"/>
      <c r="L125" s="58"/>
      <c r="M125" s="58"/>
      <c r="N125" s="58"/>
      <c r="O125" s="58"/>
    </row>
    <row r="126" spans="1:16" x14ac:dyDescent="0.25">
      <c r="A126" s="26"/>
      <c r="B126" s="66"/>
      <c r="C126" s="58"/>
      <c r="D126" s="26"/>
      <c r="E126" s="58"/>
      <c r="F126" s="58"/>
      <c r="G126" s="26"/>
      <c r="H126" s="58"/>
      <c r="I126" s="58"/>
      <c r="J126" s="26"/>
      <c r="K126" s="58"/>
      <c r="L126" s="58"/>
      <c r="M126" s="58"/>
      <c r="N126" s="58"/>
      <c r="O126" s="58"/>
    </row>
    <row r="127" spans="1:16" x14ac:dyDescent="0.25">
      <c r="A127" s="26"/>
      <c r="B127" s="66"/>
      <c r="C127" s="58"/>
      <c r="D127" s="26"/>
      <c r="E127" s="58"/>
      <c r="F127" s="58"/>
      <c r="G127" s="26"/>
      <c r="H127" s="58"/>
      <c r="I127" s="58"/>
      <c r="J127" s="26"/>
      <c r="K127" s="58"/>
      <c r="L127" s="58"/>
      <c r="M127" s="58"/>
      <c r="N127" s="58"/>
      <c r="O127" s="58"/>
    </row>
    <row r="128" spans="1:16" x14ac:dyDescent="0.25">
      <c r="A128" s="26"/>
      <c r="B128" s="66"/>
      <c r="C128" s="58"/>
      <c r="D128" s="26"/>
      <c r="E128" s="58"/>
      <c r="F128" s="58"/>
      <c r="G128" s="26"/>
      <c r="H128" s="58"/>
      <c r="I128" s="58"/>
      <c r="J128" s="26"/>
      <c r="K128" s="58"/>
      <c r="L128" s="58"/>
      <c r="M128" s="58"/>
      <c r="N128" s="58"/>
      <c r="O128" s="58"/>
    </row>
    <row r="129" spans="1:15" x14ac:dyDescent="0.25">
      <c r="A129" s="26"/>
      <c r="B129" s="66"/>
      <c r="C129" s="58"/>
      <c r="D129" s="26"/>
      <c r="E129" s="58"/>
      <c r="F129" s="58"/>
      <c r="G129" s="26"/>
      <c r="H129" s="58"/>
      <c r="I129" s="58"/>
      <c r="J129" s="26"/>
      <c r="K129" s="58"/>
      <c r="L129" s="58"/>
      <c r="M129" s="58"/>
      <c r="N129" s="58"/>
      <c r="O129" s="58"/>
    </row>
    <row r="130" spans="1:15" x14ac:dyDescent="0.25">
      <c r="A130" s="26"/>
      <c r="B130" s="66"/>
      <c r="C130" s="58"/>
      <c r="D130" s="26"/>
      <c r="E130" s="58"/>
      <c r="F130" s="58"/>
      <c r="G130" s="26"/>
      <c r="H130" s="58"/>
      <c r="I130" s="58"/>
      <c r="J130" s="26"/>
      <c r="K130" s="58"/>
      <c r="L130" s="58"/>
      <c r="M130" s="58"/>
      <c r="N130" s="58"/>
      <c r="O130" s="58"/>
    </row>
    <row r="131" spans="1:15" x14ac:dyDescent="0.25">
      <c r="A131" s="26"/>
      <c r="B131" s="66"/>
      <c r="C131" s="58"/>
      <c r="D131" s="26"/>
      <c r="E131" s="58"/>
      <c r="F131" s="58"/>
      <c r="G131" s="26"/>
      <c r="H131" s="58"/>
      <c r="I131" s="58"/>
      <c r="J131" s="26"/>
      <c r="K131" s="58"/>
      <c r="L131" s="58"/>
      <c r="M131" s="58"/>
      <c r="N131" s="58"/>
      <c r="O131" s="58"/>
    </row>
    <row r="132" spans="1:15" x14ac:dyDescent="0.25">
      <c r="A132" s="26"/>
      <c r="B132" s="66"/>
      <c r="C132" s="58"/>
      <c r="D132" s="26"/>
      <c r="E132" s="58"/>
      <c r="F132" s="58"/>
      <c r="G132" s="26"/>
      <c r="H132" s="58"/>
      <c r="I132" s="58"/>
      <c r="J132" s="26"/>
      <c r="K132" s="58"/>
      <c r="L132" s="58"/>
      <c r="M132" s="58"/>
      <c r="N132" s="58"/>
      <c r="O132" s="58"/>
    </row>
    <row r="133" spans="1:15" x14ac:dyDescent="0.25">
      <c r="A133" s="26"/>
      <c r="B133" s="66"/>
      <c r="C133" s="58"/>
      <c r="D133" s="26"/>
      <c r="E133" s="58"/>
      <c r="F133" s="58"/>
      <c r="G133" s="26"/>
      <c r="H133" s="58"/>
      <c r="I133" s="58"/>
      <c r="J133" s="26"/>
      <c r="K133" s="58"/>
      <c r="L133" s="58"/>
      <c r="M133" s="58"/>
      <c r="N133" s="58"/>
      <c r="O133" s="58"/>
    </row>
    <row r="134" spans="1:15" x14ac:dyDescent="0.25">
      <c r="A134" s="26"/>
      <c r="B134" s="66"/>
      <c r="C134" s="58"/>
      <c r="D134" s="26"/>
      <c r="E134" s="58"/>
      <c r="F134" s="58"/>
      <c r="G134" s="26"/>
      <c r="H134" s="58"/>
      <c r="I134" s="58"/>
      <c r="J134" s="26"/>
      <c r="K134" s="58"/>
      <c r="L134" s="58"/>
      <c r="M134" s="58"/>
      <c r="N134" s="58"/>
      <c r="O134" s="58"/>
    </row>
    <row r="135" spans="1:15" x14ac:dyDescent="0.25">
      <c r="A135" s="26"/>
      <c r="B135" s="66"/>
      <c r="C135" s="58"/>
      <c r="D135" s="26"/>
      <c r="E135" s="58"/>
      <c r="F135" s="58"/>
      <c r="G135" s="26"/>
      <c r="H135" s="58"/>
      <c r="I135" s="58"/>
      <c r="J135" s="26"/>
      <c r="K135" s="58"/>
      <c r="L135" s="58"/>
      <c r="M135" s="58"/>
      <c r="N135" s="58"/>
      <c r="O135" s="58"/>
    </row>
    <row r="136" spans="1:15" x14ac:dyDescent="0.25">
      <c r="A136" s="26"/>
      <c r="B136" s="66"/>
      <c r="C136" s="58"/>
      <c r="D136" s="26"/>
      <c r="E136" s="58"/>
      <c r="F136" s="58"/>
      <c r="G136" s="26"/>
      <c r="H136" s="58"/>
      <c r="I136" s="58"/>
      <c r="J136" s="26"/>
      <c r="K136" s="58"/>
      <c r="L136" s="58"/>
      <c r="M136" s="58"/>
      <c r="N136" s="58"/>
      <c r="O136" s="58"/>
    </row>
    <row r="137" spans="1:15" x14ac:dyDescent="0.25">
      <c r="A137" s="26"/>
      <c r="B137" s="66"/>
      <c r="C137" s="58"/>
      <c r="D137" s="26"/>
      <c r="E137" s="58"/>
      <c r="F137" s="58"/>
      <c r="G137" s="26"/>
      <c r="H137" s="58"/>
      <c r="I137" s="58"/>
      <c r="J137" s="26"/>
      <c r="K137" s="58"/>
      <c r="L137" s="58"/>
      <c r="M137" s="58"/>
      <c r="N137" s="58"/>
      <c r="O137" s="58"/>
    </row>
    <row r="138" spans="1:15" x14ac:dyDescent="0.25">
      <c r="A138" s="26"/>
      <c r="B138" s="66"/>
      <c r="C138" s="58"/>
      <c r="D138" s="26"/>
      <c r="E138" s="58"/>
      <c r="F138" s="58"/>
      <c r="G138" s="26"/>
      <c r="H138" s="58"/>
      <c r="I138" s="58"/>
      <c r="J138" s="26"/>
      <c r="K138" s="58"/>
      <c r="L138" s="58"/>
      <c r="M138" s="58"/>
      <c r="N138" s="58"/>
      <c r="O138" s="58"/>
    </row>
    <row r="139" spans="1:15" x14ac:dyDescent="0.25">
      <c r="A139" s="26"/>
      <c r="B139" s="66"/>
      <c r="C139" s="58"/>
      <c r="D139" s="26"/>
      <c r="E139" s="58"/>
      <c r="F139" s="58"/>
      <c r="G139" s="26"/>
      <c r="H139" s="58"/>
      <c r="I139" s="58"/>
      <c r="J139" s="26"/>
      <c r="K139" s="58"/>
      <c r="L139" s="58"/>
      <c r="M139" s="58"/>
      <c r="N139" s="58"/>
      <c r="O139" s="58"/>
    </row>
    <row r="140" spans="1:15" x14ac:dyDescent="0.25">
      <c r="A140" s="26"/>
      <c r="B140" s="66"/>
      <c r="C140" s="58"/>
      <c r="D140" s="26"/>
      <c r="E140" s="58"/>
      <c r="F140" s="58"/>
      <c r="G140" s="26"/>
      <c r="H140" s="58"/>
      <c r="I140" s="58"/>
      <c r="J140" s="26"/>
      <c r="K140" s="58"/>
      <c r="L140" s="58"/>
      <c r="M140" s="58"/>
      <c r="N140" s="58"/>
      <c r="O140" s="58"/>
    </row>
    <row r="141" spans="1:15" x14ac:dyDescent="0.25">
      <c r="A141" s="26"/>
      <c r="B141" s="66"/>
      <c r="C141" s="58"/>
      <c r="D141" s="26"/>
      <c r="E141" s="58"/>
      <c r="F141" s="58"/>
      <c r="G141" s="26"/>
      <c r="H141" s="58"/>
      <c r="I141" s="58"/>
      <c r="J141" s="26"/>
      <c r="K141" s="58"/>
      <c r="L141" s="58"/>
      <c r="M141" s="58"/>
      <c r="N141" s="58"/>
      <c r="O141" s="58"/>
    </row>
    <row r="142" spans="1:15" x14ac:dyDescent="0.25">
      <c r="A142" s="26"/>
      <c r="B142" s="66"/>
      <c r="C142" s="58"/>
      <c r="D142" s="26"/>
      <c r="E142" s="58"/>
      <c r="F142" s="58"/>
      <c r="G142" s="26"/>
      <c r="H142" s="58"/>
      <c r="I142" s="58"/>
      <c r="J142" s="26"/>
      <c r="K142" s="58"/>
      <c r="L142" s="58"/>
      <c r="M142" s="58"/>
      <c r="N142" s="58"/>
      <c r="O142" s="58"/>
    </row>
    <row r="143" spans="1:15" x14ac:dyDescent="0.25">
      <c r="A143" s="26"/>
      <c r="B143" s="66"/>
      <c r="C143" s="58"/>
      <c r="D143" s="26"/>
      <c r="E143" s="58"/>
      <c r="F143" s="58"/>
      <c r="G143" s="26"/>
      <c r="H143" s="58"/>
      <c r="I143" s="58"/>
      <c r="J143" s="26"/>
      <c r="K143" s="58"/>
      <c r="L143" s="58"/>
      <c r="M143" s="58"/>
      <c r="N143" s="58"/>
      <c r="O143" s="58"/>
    </row>
    <row r="144" spans="1:15" x14ac:dyDescent="0.25">
      <c r="A144" s="26"/>
      <c r="B144" s="66"/>
      <c r="C144" s="58"/>
      <c r="D144" s="26"/>
      <c r="E144" s="58"/>
      <c r="F144" s="58"/>
      <c r="G144" s="26"/>
      <c r="H144" s="58"/>
      <c r="I144" s="58"/>
      <c r="J144" s="26"/>
      <c r="K144" s="58"/>
      <c r="L144" s="58"/>
      <c r="M144" s="58"/>
      <c r="N144" s="58"/>
      <c r="O144" s="58"/>
    </row>
    <row r="145" spans="1:15" x14ac:dyDescent="0.25">
      <c r="A145" s="26"/>
      <c r="B145" s="66"/>
      <c r="C145" s="58"/>
      <c r="D145" s="26"/>
      <c r="E145" s="58"/>
      <c r="F145" s="58"/>
      <c r="G145" s="26"/>
      <c r="H145" s="58"/>
      <c r="I145" s="58"/>
      <c r="J145" s="26"/>
      <c r="K145" s="58"/>
      <c r="L145" s="58"/>
      <c r="M145" s="58"/>
      <c r="N145" s="58"/>
      <c r="O145" s="58"/>
    </row>
    <row r="146" spans="1:15" x14ac:dyDescent="0.25">
      <c r="A146" s="26"/>
      <c r="B146" s="66"/>
      <c r="C146" s="58"/>
      <c r="D146" s="26"/>
      <c r="E146" s="58"/>
      <c r="F146" s="58"/>
      <c r="G146" s="26"/>
      <c r="H146" s="58"/>
      <c r="I146" s="58"/>
      <c r="J146" s="26"/>
      <c r="K146" s="58"/>
      <c r="L146" s="58"/>
      <c r="M146" s="58"/>
      <c r="N146" s="58"/>
      <c r="O146" s="58"/>
    </row>
    <row r="147" spans="1:15" x14ac:dyDescent="0.25">
      <c r="A147" s="26"/>
      <c r="B147" s="66"/>
      <c r="C147" s="58"/>
      <c r="D147" s="26"/>
      <c r="E147" s="58"/>
      <c r="F147" s="58"/>
      <c r="G147" s="26"/>
      <c r="H147" s="58"/>
      <c r="I147" s="58"/>
      <c r="J147" s="26"/>
      <c r="K147" s="58"/>
      <c r="L147" s="58"/>
      <c r="M147" s="58"/>
      <c r="N147" s="58"/>
      <c r="O147" s="58"/>
    </row>
    <row r="148" spans="1:15" x14ac:dyDescent="0.25">
      <c r="A148" s="26"/>
      <c r="B148" s="66"/>
      <c r="C148" s="58"/>
      <c r="D148" s="26"/>
      <c r="E148" s="58"/>
      <c r="F148" s="58"/>
      <c r="G148" s="26"/>
      <c r="H148" s="58"/>
      <c r="I148" s="58"/>
      <c r="J148" s="26"/>
      <c r="K148" s="58"/>
      <c r="L148" s="58"/>
      <c r="M148" s="58"/>
      <c r="N148" s="58"/>
      <c r="O148" s="58"/>
    </row>
    <row r="149" spans="1:15" x14ac:dyDescent="0.25">
      <c r="A149" s="26"/>
      <c r="B149" s="66"/>
      <c r="C149" s="58"/>
      <c r="D149" s="26"/>
      <c r="E149" s="58"/>
      <c r="F149" s="58"/>
      <c r="G149" s="26"/>
      <c r="H149" s="58"/>
      <c r="I149" s="58"/>
      <c r="J149" s="26"/>
      <c r="K149" s="58"/>
      <c r="L149" s="58"/>
      <c r="M149" s="58"/>
      <c r="N149" s="58"/>
      <c r="O149" s="58"/>
    </row>
    <row r="150" spans="1:15" x14ac:dyDescent="0.25">
      <c r="A150" s="26"/>
      <c r="B150" s="66"/>
      <c r="C150" s="58"/>
      <c r="D150" s="26"/>
      <c r="E150" s="58"/>
      <c r="F150" s="58"/>
      <c r="G150" s="26"/>
      <c r="H150" s="58"/>
      <c r="I150" s="58"/>
      <c r="J150" s="26"/>
      <c r="K150" s="58"/>
      <c r="L150" s="58"/>
      <c r="M150" s="58"/>
      <c r="N150" s="58"/>
      <c r="O150" s="58"/>
    </row>
    <row r="151" spans="1:15" x14ac:dyDescent="0.25">
      <c r="A151" s="26"/>
      <c r="B151" s="6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</row>
    <row r="152" spans="1:15" x14ac:dyDescent="0.25">
      <c r="A152" s="26"/>
      <c r="B152" s="6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</row>
    <row r="153" spans="1:15" x14ac:dyDescent="0.25">
      <c r="A153" s="26"/>
      <c r="B153" s="6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</row>
    <row r="154" spans="1:15" x14ac:dyDescent="0.25">
      <c r="A154" s="26"/>
      <c r="B154" s="6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</row>
    <row r="155" spans="1:15" x14ac:dyDescent="0.25">
      <c r="A155" s="26"/>
      <c r="B155" s="6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</row>
    <row r="156" spans="1:15" x14ac:dyDescent="0.25">
      <c r="A156" s="26"/>
      <c r="B156" s="6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</row>
    <row r="157" spans="1:15" x14ac:dyDescent="0.25">
      <c r="A157" s="26"/>
      <c r="B157" s="6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</row>
    <row r="158" spans="1:15" x14ac:dyDescent="0.25">
      <c r="A158" s="26"/>
      <c r="B158" s="6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</row>
    <row r="159" spans="1:15" x14ac:dyDescent="0.25">
      <c r="A159" s="26"/>
      <c r="B159" s="6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6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6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6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6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6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6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6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6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6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6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6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6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6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6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6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6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6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6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6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6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6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6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6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6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A535" s="26"/>
      <c r="B535" s="66"/>
      <c r="C535" s="58"/>
      <c r="D535" s="26"/>
      <c r="E535" s="58"/>
      <c r="F535" s="58"/>
      <c r="G535" s="26"/>
      <c r="H535" s="58"/>
      <c r="I535" s="58"/>
      <c r="J535" s="26"/>
      <c r="K535" s="58"/>
      <c r="L535" s="58"/>
      <c r="M535" s="58"/>
      <c r="N535" s="58"/>
      <c r="O535" s="58"/>
    </row>
    <row r="536" spans="1:15" x14ac:dyDescent="0.25">
      <c r="A536" s="26"/>
      <c r="B536" s="66"/>
      <c r="C536" s="58"/>
      <c r="G536" s="26"/>
      <c r="H536" s="58"/>
      <c r="I536" s="58"/>
      <c r="J536" s="26"/>
      <c r="K536" s="58"/>
      <c r="L536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536"/>
  <sheetViews>
    <sheetView topLeftCell="A5" zoomScaleNormal="100" workbookViewId="0">
      <pane ySplit="3" topLeftCell="A44" activePane="bottomLeft" state="frozen"/>
      <selection activeCell="A5" sqref="A5"/>
      <selection pane="bottomLeft" activeCell="J61" sqref="J61"/>
    </sheetView>
  </sheetViews>
  <sheetFormatPr baseColWidth="10" defaultRowHeight="15" x14ac:dyDescent="0.25"/>
  <cols>
    <col min="1" max="1" width="7.7109375" style="6" customWidth="1"/>
    <col min="2" max="2" width="9.140625" style="6" customWidth="1"/>
    <col min="3" max="3" width="24.42578125" customWidth="1"/>
    <col min="4" max="4" width="7.7109375" style="6" customWidth="1"/>
    <col min="5" max="5" width="9.140625" customWidth="1"/>
    <col min="6" max="6" width="25" customWidth="1"/>
    <col min="7" max="7" width="7.7109375" style="6" customWidth="1"/>
    <col min="8" max="8" width="9.140625" customWidth="1"/>
    <col min="9" max="9" width="23.7109375" customWidth="1"/>
    <col min="10" max="10" width="7.7109375" style="6" customWidth="1"/>
    <col min="11" max="11" width="9.14062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34" t="s">
        <v>10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6" t="s">
        <v>11</v>
      </c>
      <c r="M1" s="136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37" t="s">
        <v>8</v>
      </c>
      <c r="D3" s="137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38" t="s">
        <v>0</v>
      </c>
      <c r="B5" s="138"/>
      <c r="C5" s="138"/>
      <c r="D5" s="139" t="s">
        <v>4</v>
      </c>
      <c r="E5" s="139"/>
      <c r="F5" s="139"/>
      <c r="G5" s="140" t="s">
        <v>5</v>
      </c>
      <c r="H5" s="140"/>
      <c r="I5" s="140"/>
      <c r="J5" s="145" t="s">
        <v>6</v>
      </c>
      <c r="K5" s="145"/>
      <c r="L5" s="145"/>
      <c r="M5" s="133" t="s">
        <v>12</v>
      </c>
      <c r="N5" s="133"/>
      <c r="O5" s="133"/>
      <c r="Q5" s="142" t="s">
        <v>13</v>
      </c>
      <c r="R5" s="142"/>
    </row>
    <row r="6" spans="1:18" x14ac:dyDescent="0.25">
      <c r="A6" s="8">
        <f>SUBTOTAL(3,A8:A121)</f>
        <v>62</v>
      </c>
      <c r="B6" s="123">
        <f>SUBTOTAL(9,B8:B121)</f>
        <v>32925</v>
      </c>
      <c r="C6" s="35" t="s">
        <v>31</v>
      </c>
      <c r="D6" s="8">
        <f>SUBTOTAL(3,D8:D120)</f>
        <v>54</v>
      </c>
      <c r="E6" s="125">
        <f>SUBTOTAL(9,E8:E126)</f>
        <v>35000</v>
      </c>
      <c r="F6" s="38">
        <v>44451</v>
      </c>
      <c r="G6" s="8">
        <f>SUBTOTAL(3,G8:G120)</f>
        <v>33</v>
      </c>
      <c r="H6" s="125">
        <f>SUBTOTAL(9,H8:H126)</f>
        <v>18900</v>
      </c>
      <c r="I6" s="39">
        <v>44458</v>
      </c>
      <c r="J6" s="8">
        <f>SUBTOTAL(3,J8:J111)</f>
        <v>39</v>
      </c>
      <c r="K6" s="125">
        <f>SUBTOTAL(9,K8:K126)</f>
        <v>22675</v>
      </c>
      <c r="L6" s="63">
        <v>44465</v>
      </c>
      <c r="M6" s="1">
        <f>SUBTOTAL(3,M8:M120)</f>
        <v>0</v>
      </c>
      <c r="N6" s="125">
        <f>SUBTOTAL(9,N8:N126)</f>
        <v>0</v>
      </c>
      <c r="O6" s="81">
        <v>44101</v>
      </c>
      <c r="Q6" s="30">
        <f>+A6+D6+G6+J6+M6</f>
        <v>188</v>
      </c>
      <c r="R6" s="29">
        <f>+B6+E6+H6+K6+N6</f>
        <v>109500</v>
      </c>
    </row>
    <row r="7" spans="1:18" x14ac:dyDescent="0.25">
      <c r="A7" s="46" t="s">
        <v>1</v>
      </c>
      <c r="B7" s="46" t="s">
        <v>3</v>
      </c>
      <c r="C7" s="46" t="s">
        <v>2</v>
      </c>
      <c r="D7" s="47" t="s">
        <v>1</v>
      </c>
      <c r="E7" s="47" t="s">
        <v>3</v>
      </c>
      <c r="F7" s="47" t="s">
        <v>2</v>
      </c>
      <c r="G7" s="48" t="s">
        <v>1</v>
      </c>
      <c r="H7" s="48" t="s">
        <v>3</v>
      </c>
      <c r="I7" s="48" t="s">
        <v>2</v>
      </c>
      <c r="J7" s="60" t="s">
        <v>1</v>
      </c>
      <c r="K7" s="60" t="s">
        <v>3</v>
      </c>
      <c r="L7" s="60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25765</v>
      </c>
      <c r="B8" s="124">
        <v>500</v>
      </c>
      <c r="C8" s="17" t="s">
        <v>464</v>
      </c>
      <c r="D8" s="13">
        <v>25827</v>
      </c>
      <c r="E8" s="70">
        <v>500</v>
      </c>
      <c r="F8" s="14" t="s">
        <v>398</v>
      </c>
      <c r="G8" s="11">
        <v>25881</v>
      </c>
      <c r="H8" s="67">
        <v>1000</v>
      </c>
      <c r="I8" s="12" t="s">
        <v>480</v>
      </c>
      <c r="J8" s="61">
        <v>25914</v>
      </c>
      <c r="K8" s="71">
        <v>350</v>
      </c>
      <c r="L8" s="62" t="s">
        <v>178</v>
      </c>
      <c r="M8" s="75"/>
      <c r="N8" s="73"/>
      <c r="O8" s="15"/>
      <c r="Q8" s="32"/>
      <c r="R8" s="32"/>
    </row>
    <row r="9" spans="1:18" x14ac:dyDescent="0.25">
      <c r="A9" s="16">
        <v>25766</v>
      </c>
      <c r="B9" s="124">
        <v>1000</v>
      </c>
      <c r="C9" s="17" t="s">
        <v>465</v>
      </c>
      <c r="D9" s="13">
        <v>25828</v>
      </c>
      <c r="E9" s="70">
        <v>500</v>
      </c>
      <c r="F9" s="14" t="s">
        <v>293</v>
      </c>
      <c r="G9" s="11"/>
      <c r="H9" s="67"/>
      <c r="I9" s="12" t="s">
        <v>16</v>
      </c>
      <c r="J9" s="61">
        <v>25915</v>
      </c>
      <c r="K9" s="71">
        <v>500</v>
      </c>
      <c r="L9" s="62" t="s">
        <v>448</v>
      </c>
      <c r="M9" s="75"/>
      <c r="N9" s="73"/>
      <c r="O9" s="15"/>
    </row>
    <row r="10" spans="1:18" x14ac:dyDescent="0.25">
      <c r="A10" s="16">
        <v>25767</v>
      </c>
      <c r="B10" s="124">
        <v>600</v>
      </c>
      <c r="C10" s="17" t="s">
        <v>319</v>
      </c>
      <c r="D10" s="13">
        <v>25829</v>
      </c>
      <c r="E10" s="70">
        <v>2450</v>
      </c>
      <c r="F10" s="14" t="s">
        <v>473</v>
      </c>
      <c r="G10" s="11">
        <v>25882</v>
      </c>
      <c r="H10" s="67">
        <v>450</v>
      </c>
      <c r="I10" s="12" t="s">
        <v>481</v>
      </c>
      <c r="J10" s="61"/>
      <c r="K10" s="71"/>
      <c r="L10" s="62" t="s">
        <v>16</v>
      </c>
      <c r="M10" s="75"/>
      <c r="N10" s="73"/>
      <c r="O10" s="15"/>
    </row>
    <row r="11" spans="1:18" x14ac:dyDescent="0.25">
      <c r="A11" s="16">
        <v>25768</v>
      </c>
      <c r="B11" s="124">
        <v>500</v>
      </c>
      <c r="C11" s="17"/>
      <c r="D11" s="13"/>
      <c r="E11" s="70"/>
      <c r="F11" s="14" t="s">
        <v>21</v>
      </c>
      <c r="G11" s="11">
        <v>25883</v>
      </c>
      <c r="H11" s="67">
        <v>600</v>
      </c>
      <c r="I11" s="12" t="s">
        <v>410</v>
      </c>
      <c r="J11" s="61">
        <v>25916</v>
      </c>
      <c r="K11" s="71">
        <v>300</v>
      </c>
      <c r="L11" s="62" t="s">
        <v>398</v>
      </c>
      <c r="M11" s="75"/>
      <c r="N11" s="73"/>
      <c r="O11" s="15"/>
    </row>
    <row r="12" spans="1:18" x14ac:dyDescent="0.25">
      <c r="A12" s="16">
        <v>25769</v>
      </c>
      <c r="B12" s="124">
        <v>1000</v>
      </c>
      <c r="C12" s="17" t="s">
        <v>466</v>
      </c>
      <c r="D12" s="13">
        <v>25830</v>
      </c>
      <c r="E12" s="70">
        <v>500</v>
      </c>
      <c r="F12" s="14" t="s">
        <v>445</v>
      </c>
      <c r="G12" s="11"/>
      <c r="H12" s="67"/>
      <c r="I12" s="12" t="s">
        <v>18</v>
      </c>
      <c r="J12" s="61">
        <v>25917</v>
      </c>
      <c r="K12" s="71">
        <v>200</v>
      </c>
      <c r="L12" s="62" t="s">
        <v>398</v>
      </c>
      <c r="M12" s="75"/>
      <c r="N12" s="73"/>
      <c r="O12" s="15"/>
    </row>
    <row r="13" spans="1:18" x14ac:dyDescent="0.25">
      <c r="A13" s="16">
        <v>25770</v>
      </c>
      <c r="B13" s="124">
        <v>250</v>
      </c>
      <c r="C13" s="17" t="s">
        <v>455</v>
      </c>
      <c r="D13" s="13"/>
      <c r="E13" s="70"/>
      <c r="F13" s="14" t="s">
        <v>16</v>
      </c>
      <c r="G13" s="11">
        <v>25884</v>
      </c>
      <c r="H13" s="67">
        <v>250</v>
      </c>
      <c r="I13" s="12" t="s">
        <v>398</v>
      </c>
      <c r="J13" s="61">
        <v>25918</v>
      </c>
      <c r="K13" s="71">
        <v>500</v>
      </c>
      <c r="L13" s="62" t="s">
        <v>398</v>
      </c>
      <c r="M13" s="75"/>
      <c r="N13" s="73"/>
      <c r="O13" s="15"/>
    </row>
    <row r="14" spans="1:18" x14ac:dyDescent="0.25">
      <c r="A14" s="16">
        <v>25771</v>
      </c>
      <c r="B14" s="124">
        <v>500</v>
      </c>
      <c r="C14" s="17"/>
      <c r="D14" s="13">
        <v>25831</v>
      </c>
      <c r="E14" s="70">
        <v>2000</v>
      </c>
      <c r="F14" s="14" t="s">
        <v>474</v>
      </c>
      <c r="G14" s="11">
        <v>25885</v>
      </c>
      <c r="H14" s="67">
        <v>500</v>
      </c>
      <c r="I14" s="12" t="s">
        <v>410</v>
      </c>
      <c r="J14" s="61">
        <v>25919</v>
      </c>
      <c r="K14" s="71">
        <v>1000</v>
      </c>
      <c r="L14" s="62" t="s">
        <v>448</v>
      </c>
      <c r="M14" s="75"/>
      <c r="N14" s="73"/>
      <c r="O14" s="31"/>
    </row>
    <row r="15" spans="1:18" x14ac:dyDescent="0.25">
      <c r="A15" s="16">
        <v>25772</v>
      </c>
      <c r="B15" s="124">
        <v>500</v>
      </c>
      <c r="C15" s="17" t="s">
        <v>398</v>
      </c>
      <c r="D15" s="13"/>
      <c r="E15" s="70"/>
      <c r="F15" s="14" t="s">
        <v>52</v>
      </c>
      <c r="G15" s="11"/>
      <c r="H15" s="67"/>
      <c r="I15" s="12" t="s">
        <v>16</v>
      </c>
      <c r="J15" s="61"/>
      <c r="K15" s="71"/>
      <c r="L15" s="68" t="s">
        <v>64</v>
      </c>
      <c r="M15" s="75"/>
      <c r="N15" s="73"/>
      <c r="O15" s="15"/>
    </row>
    <row r="16" spans="1:18" x14ac:dyDescent="0.25">
      <c r="A16" s="16">
        <v>25773</v>
      </c>
      <c r="B16" s="124">
        <v>500</v>
      </c>
      <c r="C16" s="17"/>
      <c r="D16" s="13">
        <v>25832</v>
      </c>
      <c r="E16" s="70">
        <v>3850</v>
      </c>
      <c r="F16" s="14" t="s">
        <v>475</v>
      </c>
      <c r="G16" s="11">
        <v>25886</v>
      </c>
      <c r="H16" s="67">
        <v>500</v>
      </c>
      <c r="I16" s="12"/>
      <c r="J16" s="61">
        <v>25920</v>
      </c>
      <c r="K16" s="71">
        <v>500</v>
      </c>
      <c r="L16" s="62"/>
      <c r="M16" s="75"/>
      <c r="N16" s="73"/>
      <c r="O16" s="15"/>
    </row>
    <row r="17" spans="1:15" x14ac:dyDescent="0.25">
      <c r="A17" s="16">
        <v>25774</v>
      </c>
      <c r="B17" s="124">
        <v>250</v>
      </c>
      <c r="C17" s="17"/>
      <c r="D17" s="13"/>
      <c r="E17" s="70"/>
      <c r="F17" s="14" t="s">
        <v>21</v>
      </c>
      <c r="G17" s="11">
        <v>25887</v>
      </c>
      <c r="H17" s="67">
        <v>300</v>
      </c>
      <c r="I17" s="12"/>
      <c r="J17" s="61">
        <v>25921</v>
      </c>
      <c r="K17" s="71">
        <v>500</v>
      </c>
      <c r="L17" s="62" t="s">
        <v>398</v>
      </c>
      <c r="M17" s="75"/>
      <c r="N17" s="73"/>
      <c r="O17" s="15"/>
    </row>
    <row r="18" spans="1:15" x14ac:dyDescent="0.25">
      <c r="A18" s="16">
        <v>25775</v>
      </c>
      <c r="B18" s="124">
        <v>500</v>
      </c>
      <c r="C18" s="17" t="s">
        <v>293</v>
      </c>
      <c r="D18" s="13">
        <v>25833</v>
      </c>
      <c r="E18" s="70">
        <v>250</v>
      </c>
      <c r="F18" s="33"/>
      <c r="G18" s="11">
        <v>25888</v>
      </c>
      <c r="H18" s="67">
        <v>300</v>
      </c>
      <c r="I18" s="12" t="s">
        <v>398</v>
      </c>
      <c r="J18" s="61">
        <v>25922</v>
      </c>
      <c r="K18" s="71">
        <v>1000</v>
      </c>
      <c r="L18" s="62" t="s">
        <v>410</v>
      </c>
      <c r="M18" s="75"/>
      <c r="N18" s="73"/>
      <c r="O18" s="15"/>
    </row>
    <row r="19" spans="1:15" x14ac:dyDescent="0.25">
      <c r="A19" s="16">
        <v>25776</v>
      </c>
      <c r="B19" s="124">
        <v>300</v>
      </c>
      <c r="C19" s="17"/>
      <c r="D19" s="13">
        <v>25834</v>
      </c>
      <c r="E19" s="70">
        <v>250</v>
      </c>
      <c r="F19" s="14" t="s">
        <v>476</v>
      </c>
      <c r="G19" s="11">
        <v>25889</v>
      </c>
      <c r="H19" s="67">
        <v>300</v>
      </c>
      <c r="I19" s="12" t="s">
        <v>482</v>
      </c>
      <c r="J19" s="61"/>
      <c r="K19" s="71"/>
      <c r="L19" s="62" t="s">
        <v>64</v>
      </c>
      <c r="M19" s="75"/>
      <c r="N19" s="73"/>
      <c r="O19" s="15"/>
    </row>
    <row r="20" spans="1:15" x14ac:dyDescent="0.25">
      <c r="A20" s="16">
        <v>25777</v>
      </c>
      <c r="B20" s="124">
        <v>1000</v>
      </c>
      <c r="C20" s="17" t="s">
        <v>466</v>
      </c>
      <c r="D20" s="13">
        <v>25835</v>
      </c>
      <c r="E20" s="70">
        <v>1000</v>
      </c>
      <c r="F20" s="14" t="s">
        <v>410</v>
      </c>
      <c r="G20" s="11">
        <v>25890</v>
      </c>
      <c r="H20" s="67">
        <v>500</v>
      </c>
      <c r="I20" s="12" t="s">
        <v>398</v>
      </c>
      <c r="J20" s="61">
        <v>25923</v>
      </c>
      <c r="K20" s="71">
        <v>1500</v>
      </c>
      <c r="L20" s="62" t="s">
        <v>407</v>
      </c>
      <c r="M20" s="75"/>
      <c r="N20" s="73"/>
      <c r="O20" s="15"/>
    </row>
    <row r="21" spans="1:15" x14ac:dyDescent="0.25">
      <c r="A21" s="16">
        <v>25778</v>
      </c>
      <c r="B21" s="124">
        <v>500</v>
      </c>
      <c r="C21" s="17"/>
      <c r="D21" s="13"/>
      <c r="E21" s="70"/>
      <c r="F21" s="14" t="s">
        <v>64</v>
      </c>
      <c r="G21" s="11">
        <v>25891</v>
      </c>
      <c r="H21" s="67">
        <v>500</v>
      </c>
      <c r="I21" s="12"/>
      <c r="J21" s="61"/>
      <c r="K21" s="71"/>
      <c r="L21" s="62" t="s">
        <v>64</v>
      </c>
      <c r="M21" s="75"/>
      <c r="N21" s="73"/>
      <c r="O21" s="15"/>
    </row>
    <row r="22" spans="1:15" x14ac:dyDescent="0.25">
      <c r="A22" s="16">
        <v>25779</v>
      </c>
      <c r="B22" s="124">
        <v>500</v>
      </c>
      <c r="C22" s="17" t="s">
        <v>293</v>
      </c>
      <c r="D22" s="13">
        <v>25836</v>
      </c>
      <c r="E22" s="70">
        <v>500</v>
      </c>
      <c r="F22" s="14"/>
      <c r="G22" s="11">
        <v>25892</v>
      </c>
      <c r="H22" s="67">
        <v>700</v>
      </c>
      <c r="I22" s="12" t="s">
        <v>483</v>
      </c>
      <c r="J22" s="61">
        <v>25924</v>
      </c>
      <c r="K22" s="71">
        <v>500</v>
      </c>
      <c r="L22" s="62" t="s">
        <v>445</v>
      </c>
      <c r="M22" s="75"/>
      <c r="N22" s="73"/>
      <c r="O22" s="15"/>
    </row>
    <row r="23" spans="1:15" x14ac:dyDescent="0.25">
      <c r="A23" s="16">
        <v>25780</v>
      </c>
      <c r="B23" s="124">
        <v>600</v>
      </c>
      <c r="C23" s="17"/>
      <c r="D23" s="13">
        <v>25837</v>
      </c>
      <c r="E23" s="70">
        <v>1000</v>
      </c>
      <c r="F23" s="14" t="s">
        <v>448</v>
      </c>
      <c r="G23" s="11">
        <v>25893</v>
      </c>
      <c r="H23" s="67">
        <v>500</v>
      </c>
      <c r="I23" s="12" t="s">
        <v>410</v>
      </c>
      <c r="J23" s="61"/>
      <c r="K23" s="71"/>
      <c r="L23" s="62" t="s">
        <v>16</v>
      </c>
      <c r="M23" s="75"/>
      <c r="N23" s="73"/>
      <c r="O23" s="15"/>
    </row>
    <row r="24" spans="1:15" x14ac:dyDescent="0.25">
      <c r="A24" s="16">
        <v>25781</v>
      </c>
      <c r="B24" s="124">
        <v>500</v>
      </c>
      <c r="C24" s="17"/>
      <c r="D24" s="13"/>
      <c r="E24" s="70"/>
      <c r="F24" s="14" t="s">
        <v>64</v>
      </c>
      <c r="G24" s="11"/>
      <c r="H24" s="67"/>
      <c r="I24" s="12" t="s">
        <v>16</v>
      </c>
      <c r="J24" s="61">
        <v>25925</v>
      </c>
      <c r="K24" s="71">
        <v>1000</v>
      </c>
      <c r="L24" s="62" t="s">
        <v>410</v>
      </c>
      <c r="M24" s="75"/>
      <c r="N24" s="73"/>
      <c r="O24" s="15"/>
    </row>
    <row r="25" spans="1:15" x14ac:dyDescent="0.25">
      <c r="A25" s="16">
        <v>25782</v>
      </c>
      <c r="B25" s="124">
        <v>700</v>
      </c>
      <c r="C25" s="17"/>
      <c r="D25" s="13">
        <v>25838</v>
      </c>
      <c r="E25" s="70">
        <v>500</v>
      </c>
      <c r="F25" s="14" t="s">
        <v>398</v>
      </c>
      <c r="G25" s="11">
        <v>25894</v>
      </c>
      <c r="H25" s="67">
        <v>800</v>
      </c>
      <c r="I25" s="12" t="s">
        <v>410</v>
      </c>
      <c r="J25" s="61"/>
      <c r="K25" s="71"/>
      <c r="L25" s="62" t="s">
        <v>64</v>
      </c>
      <c r="M25" s="75"/>
      <c r="N25" s="73"/>
      <c r="O25" s="15"/>
    </row>
    <row r="26" spans="1:15" x14ac:dyDescent="0.25">
      <c r="A26" s="16">
        <v>25783</v>
      </c>
      <c r="B26" s="124">
        <v>500</v>
      </c>
      <c r="C26" s="17"/>
      <c r="D26" s="13">
        <v>25839</v>
      </c>
      <c r="E26" s="70">
        <v>600</v>
      </c>
      <c r="F26" s="14"/>
      <c r="G26" s="11"/>
      <c r="H26" s="67"/>
      <c r="I26" s="12" t="s">
        <v>17</v>
      </c>
      <c r="J26" s="61">
        <v>25926</v>
      </c>
      <c r="K26" s="71">
        <v>500</v>
      </c>
      <c r="L26" s="62"/>
      <c r="M26" s="75"/>
      <c r="N26" s="73"/>
      <c r="O26" s="15"/>
    </row>
    <row r="27" spans="1:15" x14ac:dyDescent="0.25">
      <c r="A27" s="16">
        <v>25784</v>
      </c>
      <c r="B27" s="124">
        <v>625</v>
      </c>
      <c r="C27" s="17" t="s">
        <v>319</v>
      </c>
      <c r="D27" s="13">
        <v>25840</v>
      </c>
      <c r="E27" s="70">
        <v>1000</v>
      </c>
      <c r="F27" s="14" t="s">
        <v>410</v>
      </c>
      <c r="G27" s="11">
        <v>25895</v>
      </c>
      <c r="H27" s="67">
        <v>500</v>
      </c>
      <c r="I27" s="12"/>
      <c r="J27" s="61">
        <v>25927</v>
      </c>
      <c r="K27" s="71">
        <v>350</v>
      </c>
      <c r="L27" s="62" t="s">
        <v>178</v>
      </c>
      <c r="M27" s="75"/>
      <c r="N27" s="73"/>
      <c r="O27" s="31"/>
    </row>
    <row r="28" spans="1:15" x14ac:dyDescent="0.25">
      <c r="A28" s="16"/>
      <c r="B28" s="124"/>
      <c r="C28" s="17" t="s">
        <v>287</v>
      </c>
      <c r="D28" s="13"/>
      <c r="E28" s="70"/>
      <c r="F28" s="14" t="s">
        <v>64</v>
      </c>
      <c r="G28" s="11">
        <v>25896</v>
      </c>
      <c r="H28" s="67">
        <v>1000</v>
      </c>
      <c r="I28" s="12" t="s">
        <v>410</v>
      </c>
      <c r="J28" s="61">
        <v>25928</v>
      </c>
      <c r="K28" s="71">
        <v>500</v>
      </c>
      <c r="L28" s="62"/>
      <c r="M28" s="75"/>
      <c r="N28" s="73"/>
      <c r="O28" s="15"/>
    </row>
    <row r="29" spans="1:15" x14ac:dyDescent="0.25">
      <c r="A29" s="16">
        <v>25785</v>
      </c>
      <c r="B29" s="124">
        <v>500</v>
      </c>
      <c r="C29" s="17"/>
      <c r="D29" s="13">
        <v>25841</v>
      </c>
      <c r="E29" s="70">
        <v>500</v>
      </c>
      <c r="F29" s="14"/>
      <c r="G29" s="11"/>
      <c r="H29" s="67"/>
      <c r="I29" s="12" t="s">
        <v>64</v>
      </c>
      <c r="J29" s="61">
        <v>25929</v>
      </c>
      <c r="K29" s="71">
        <v>300</v>
      </c>
      <c r="L29" s="62" t="s">
        <v>485</v>
      </c>
      <c r="M29" s="75"/>
      <c r="N29" s="73"/>
      <c r="O29" s="15"/>
    </row>
    <row r="30" spans="1:15" x14ac:dyDescent="0.25">
      <c r="A30" s="16">
        <v>25786</v>
      </c>
      <c r="B30" s="124">
        <v>500</v>
      </c>
      <c r="C30" s="17"/>
      <c r="D30" s="13">
        <v>25842</v>
      </c>
      <c r="E30" s="70">
        <v>500</v>
      </c>
      <c r="F30" s="14"/>
      <c r="G30" s="11">
        <v>25897</v>
      </c>
      <c r="H30" s="67">
        <v>800</v>
      </c>
      <c r="I30" s="12" t="s">
        <v>410</v>
      </c>
      <c r="J30" s="61">
        <v>25930</v>
      </c>
      <c r="K30" s="71">
        <v>1000</v>
      </c>
      <c r="L30" s="62" t="s">
        <v>410</v>
      </c>
      <c r="M30" s="75"/>
      <c r="N30" s="73"/>
      <c r="O30" s="15"/>
    </row>
    <row r="31" spans="1:15" x14ac:dyDescent="0.25">
      <c r="A31" s="16">
        <v>25787</v>
      </c>
      <c r="B31" s="124">
        <v>1000</v>
      </c>
      <c r="C31" s="17" t="s">
        <v>465</v>
      </c>
      <c r="D31" s="13">
        <v>25843</v>
      </c>
      <c r="E31" s="70">
        <v>400</v>
      </c>
      <c r="F31" s="14"/>
      <c r="G31" s="11"/>
      <c r="H31" s="67"/>
      <c r="I31" s="12" t="s">
        <v>17</v>
      </c>
      <c r="J31" s="61"/>
      <c r="K31" s="71"/>
      <c r="L31" s="62" t="s">
        <v>64</v>
      </c>
      <c r="M31" s="75"/>
      <c r="N31" s="73"/>
      <c r="O31" s="15"/>
    </row>
    <row r="32" spans="1:15" x14ac:dyDescent="0.25">
      <c r="A32" s="16">
        <v>25788</v>
      </c>
      <c r="B32" s="124">
        <v>500</v>
      </c>
      <c r="C32" s="17"/>
      <c r="D32" s="13">
        <v>25844</v>
      </c>
      <c r="E32" s="70">
        <v>500</v>
      </c>
      <c r="F32" s="14" t="s">
        <v>455</v>
      </c>
      <c r="G32" s="11">
        <v>25898</v>
      </c>
      <c r="H32" s="67">
        <v>400</v>
      </c>
      <c r="I32" s="12"/>
      <c r="J32" s="61">
        <v>25931</v>
      </c>
      <c r="K32" s="71">
        <v>500</v>
      </c>
      <c r="L32" s="62"/>
      <c r="M32" s="75"/>
      <c r="N32" s="73"/>
      <c r="O32" s="15"/>
    </row>
    <row r="33" spans="1:15" x14ac:dyDescent="0.25">
      <c r="A33" s="16">
        <v>25789</v>
      </c>
      <c r="B33" s="124">
        <v>500</v>
      </c>
      <c r="C33" s="17"/>
      <c r="D33" s="13">
        <v>25845</v>
      </c>
      <c r="E33" s="70">
        <v>500</v>
      </c>
      <c r="F33" s="14" t="s">
        <v>398</v>
      </c>
      <c r="G33" s="11">
        <v>25899</v>
      </c>
      <c r="H33" s="67">
        <v>500</v>
      </c>
      <c r="I33" s="12" t="s">
        <v>398</v>
      </c>
      <c r="J33" s="61">
        <v>25932</v>
      </c>
      <c r="K33" s="71">
        <v>500</v>
      </c>
      <c r="L33" s="62" t="s">
        <v>398</v>
      </c>
      <c r="M33" s="75"/>
      <c r="N33" s="73"/>
      <c r="O33" s="15"/>
    </row>
    <row r="34" spans="1:15" x14ac:dyDescent="0.25">
      <c r="A34" s="16">
        <v>25790</v>
      </c>
      <c r="B34" s="124">
        <v>300</v>
      </c>
      <c r="C34" s="17"/>
      <c r="D34" s="13">
        <v>25846</v>
      </c>
      <c r="E34" s="70">
        <v>400</v>
      </c>
      <c r="F34" s="14"/>
      <c r="G34" s="11">
        <v>25900</v>
      </c>
      <c r="H34" s="67">
        <v>500</v>
      </c>
      <c r="I34" s="12"/>
      <c r="J34" s="61">
        <v>25933</v>
      </c>
      <c r="K34" s="71">
        <v>500</v>
      </c>
      <c r="L34" s="62" t="s">
        <v>455</v>
      </c>
      <c r="M34" s="75"/>
      <c r="N34" s="73"/>
      <c r="O34" s="31"/>
    </row>
    <row r="35" spans="1:15" x14ac:dyDescent="0.25">
      <c r="A35" s="16">
        <v>25791</v>
      </c>
      <c r="B35" s="124">
        <v>450</v>
      </c>
      <c r="C35" s="17"/>
      <c r="D35" s="13">
        <v>25847</v>
      </c>
      <c r="E35" s="70">
        <v>500</v>
      </c>
      <c r="F35" s="14" t="s">
        <v>448</v>
      </c>
      <c r="G35" s="11">
        <v>25901</v>
      </c>
      <c r="H35" s="67">
        <v>1500</v>
      </c>
      <c r="I35" s="12" t="s">
        <v>407</v>
      </c>
      <c r="J35" s="61">
        <v>25934</v>
      </c>
      <c r="K35" s="71">
        <v>500</v>
      </c>
      <c r="L35" s="62"/>
      <c r="M35" s="75"/>
      <c r="N35" s="73"/>
      <c r="O35" s="15"/>
    </row>
    <row r="36" spans="1:15" x14ac:dyDescent="0.25">
      <c r="A36" s="16">
        <v>25792</v>
      </c>
      <c r="B36" s="124">
        <v>1000</v>
      </c>
      <c r="C36" s="17" t="s">
        <v>465</v>
      </c>
      <c r="D36" s="13"/>
      <c r="E36" s="70"/>
      <c r="F36" s="14" t="s">
        <v>16</v>
      </c>
      <c r="G36" s="11"/>
      <c r="H36" s="67"/>
      <c r="I36" s="12" t="s">
        <v>64</v>
      </c>
      <c r="J36" s="61">
        <v>25935</v>
      </c>
      <c r="K36" s="71">
        <v>500</v>
      </c>
      <c r="L36" s="62"/>
      <c r="M36" s="75"/>
      <c r="N36" s="73"/>
      <c r="O36" s="15"/>
    </row>
    <row r="37" spans="1:15" x14ac:dyDescent="0.25">
      <c r="A37" s="16">
        <v>25793</v>
      </c>
      <c r="B37" s="124">
        <v>500</v>
      </c>
      <c r="C37" s="17"/>
      <c r="D37" s="13">
        <v>25848</v>
      </c>
      <c r="E37" s="70">
        <v>500</v>
      </c>
      <c r="F37" s="14" t="s">
        <v>398</v>
      </c>
      <c r="G37" s="11">
        <v>25902</v>
      </c>
      <c r="H37" s="67">
        <v>400</v>
      </c>
      <c r="I37" s="12"/>
      <c r="J37" s="61">
        <v>25936</v>
      </c>
      <c r="K37" s="71">
        <v>300</v>
      </c>
      <c r="L37" s="62" t="s">
        <v>486</v>
      </c>
      <c r="M37" s="75"/>
      <c r="N37" s="73"/>
      <c r="O37" s="15"/>
    </row>
    <row r="38" spans="1:15" x14ac:dyDescent="0.25">
      <c r="A38" s="16">
        <v>25794</v>
      </c>
      <c r="B38" s="124">
        <v>1000</v>
      </c>
      <c r="C38" s="17" t="s">
        <v>467</v>
      </c>
      <c r="D38" s="13">
        <v>25849</v>
      </c>
      <c r="E38" s="70">
        <v>300</v>
      </c>
      <c r="F38" s="14" t="s">
        <v>477</v>
      </c>
      <c r="G38" s="11">
        <v>25903</v>
      </c>
      <c r="H38" s="67">
        <v>100</v>
      </c>
      <c r="I38" s="12" t="s">
        <v>439</v>
      </c>
      <c r="J38" s="61">
        <v>25937</v>
      </c>
      <c r="K38" s="71">
        <v>500</v>
      </c>
      <c r="L38" s="62" t="s">
        <v>455</v>
      </c>
      <c r="M38" s="75"/>
      <c r="N38" s="73"/>
      <c r="O38" s="15"/>
    </row>
    <row r="39" spans="1:15" x14ac:dyDescent="0.25">
      <c r="A39" s="16">
        <v>25795</v>
      </c>
      <c r="B39" s="124">
        <v>500</v>
      </c>
      <c r="C39" s="17"/>
      <c r="D39" s="13">
        <v>25850</v>
      </c>
      <c r="E39" s="70">
        <v>950</v>
      </c>
      <c r="F39" s="14" t="s">
        <v>469</v>
      </c>
      <c r="G39" s="11">
        <v>25904</v>
      </c>
      <c r="H39" s="67">
        <v>500</v>
      </c>
      <c r="I39" s="12"/>
      <c r="J39" s="61">
        <v>25938</v>
      </c>
      <c r="K39" s="71">
        <v>1000</v>
      </c>
      <c r="L39" s="62" t="s">
        <v>448</v>
      </c>
      <c r="M39" s="75"/>
      <c r="N39" s="73"/>
      <c r="O39" s="15"/>
    </row>
    <row r="40" spans="1:15" x14ac:dyDescent="0.25">
      <c r="A40" s="16">
        <v>25796</v>
      </c>
      <c r="B40" s="124">
        <v>300</v>
      </c>
      <c r="C40" s="17"/>
      <c r="D40" s="13"/>
      <c r="E40" s="70"/>
      <c r="F40" s="14" t="s">
        <v>178</v>
      </c>
      <c r="G40" s="11">
        <v>25905</v>
      </c>
      <c r="H40" s="67">
        <v>500</v>
      </c>
      <c r="I40" s="12"/>
      <c r="J40" s="61"/>
      <c r="K40" s="71"/>
      <c r="L40" s="62" t="s">
        <v>64</v>
      </c>
      <c r="M40" s="75"/>
      <c r="N40" s="73"/>
      <c r="O40" s="15"/>
    </row>
    <row r="41" spans="1:15" x14ac:dyDescent="0.25">
      <c r="A41" s="16">
        <v>25797</v>
      </c>
      <c r="B41" s="124">
        <v>500</v>
      </c>
      <c r="C41" s="17" t="s">
        <v>398</v>
      </c>
      <c r="D41" s="13">
        <v>25851</v>
      </c>
      <c r="E41" s="70">
        <v>500</v>
      </c>
      <c r="F41" s="14"/>
      <c r="G41" s="11">
        <v>25906</v>
      </c>
      <c r="H41" s="67">
        <v>500</v>
      </c>
      <c r="I41" s="12"/>
      <c r="J41" s="61">
        <v>25939</v>
      </c>
      <c r="K41" s="71">
        <v>500</v>
      </c>
      <c r="L41" s="62"/>
      <c r="M41" s="75"/>
      <c r="N41" s="73"/>
      <c r="O41" s="15"/>
    </row>
    <row r="42" spans="1:15" x14ac:dyDescent="0.25">
      <c r="A42" s="16">
        <v>25798</v>
      </c>
      <c r="B42" s="124">
        <v>850</v>
      </c>
      <c r="C42" s="17" t="s">
        <v>468</v>
      </c>
      <c r="D42" s="13">
        <v>25852</v>
      </c>
      <c r="E42" s="70">
        <v>500</v>
      </c>
      <c r="F42" s="14"/>
      <c r="G42" s="11">
        <v>25907</v>
      </c>
      <c r="H42" s="67">
        <v>500</v>
      </c>
      <c r="I42" s="12"/>
      <c r="J42" s="61">
        <v>25940</v>
      </c>
      <c r="K42" s="71">
        <v>500</v>
      </c>
      <c r="L42" s="62"/>
      <c r="M42" s="75"/>
      <c r="N42" s="73"/>
      <c r="O42" s="15"/>
    </row>
    <row r="43" spans="1:15" x14ac:dyDescent="0.25">
      <c r="A43" s="16">
        <v>25799</v>
      </c>
      <c r="B43" s="124">
        <v>500</v>
      </c>
      <c r="C43" s="17"/>
      <c r="D43" s="13">
        <v>25853</v>
      </c>
      <c r="E43" s="70">
        <v>400</v>
      </c>
      <c r="F43" s="14"/>
      <c r="G43" s="11">
        <v>25908</v>
      </c>
      <c r="H43" s="67">
        <v>500</v>
      </c>
      <c r="I43" s="12" t="s">
        <v>410</v>
      </c>
      <c r="J43" s="61">
        <v>25941</v>
      </c>
      <c r="K43" s="71">
        <v>500</v>
      </c>
      <c r="L43" s="62" t="s">
        <v>398</v>
      </c>
      <c r="M43" s="75"/>
      <c r="N43" s="73"/>
      <c r="O43" s="15"/>
    </row>
    <row r="44" spans="1:15" x14ac:dyDescent="0.25">
      <c r="A44" s="16">
        <v>25800</v>
      </c>
      <c r="B44" s="124">
        <v>600</v>
      </c>
      <c r="C44" s="17" t="s">
        <v>469</v>
      </c>
      <c r="D44" s="13">
        <v>25854</v>
      </c>
      <c r="E44" s="70">
        <v>1200</v>
      </c>
      <c r="F44" s="14" t="s">
        <v>410</v>
      </c>
      <c r="G44" s="11"/>
      <c r="H44" s="67"/>
      <c r="I44" s="12" t="s">
        <v>16</v>
      </c>
      <c r="J44" s="61">
        <v>25942</v>
      </c>
      <c r="K44" s="71">
        <v>600</v>
      </c>
      <c r="L44" s="62" t="s">
        <v>448</v>
      </c>
      <c r="M44" s="75"/>
      <c r="N44" s="73"/>
      <c r="O44" s="15"/>
    </row>
    <row r="45" spans="1:15" x14ac:dyDescent="0.25">
      <c r="A45" s="16">
        <v>25801</v>
      </c>
      <c r="B45" s="124">
        <v>500</v>
      </c>
      <c r="C45" s="17" t="s">
        <v>398</v>
      </c>
      <c r="D45" s="13"/>
      <c r="E45" s="70"/>
      <c r="F45" s="14" t="s">
        <v>181</v>
      </c>
      <c r="G45" s="11">
        <v>25909</v>
      </c>
      <c r="H45" s="67">
        <v>1500</v>
      </c>
      <c r="I45" s="12" t="s">
        <v>415</v>
      </c>
      <c r="J45" s="61"/>
      <c r="K45" s="71"/>
      <c r="L45" s="62" t="s">
        <v>18</v>
      </c>
      <c r="M45" s="75"/>
      <c r="N45" s="73"/>
      <c r="O45" s="15"/>
    </row>
    <row r="46" spans="1:15" x14ac:dyDescent="0.25">
      <c r="A46" s="16">
        <v>25802</v>
      </c>
      <c r="B46" s="124">
        <v>350</v>
      </c>
      <c r="C46" s="17" t="s">
        <v>470</v>
      </c>
      <c r="D46" s="13">
        <v>25855</v>
      </c>
      <c r="E46" s="70">
        <v>400</v>
      </c>
      <c r="F46" s="14"/>
      <c r="G46" s="11"/>
      <c r="H46" s="67"/>
      <c r="I46" s="12" t="s">
        <v>64</v>
      </c>
      <c r="J46" s="61">
        <v>25943</v>
      </c>
      <c r="K46" s="71">
        <v>500</v>
      </c>
      <c r="L46" s="62" t="s">
        <v>398</v>
      </c>
      <c r="M46" s="75"/>
      <c r="N46" s="73"/>
      <c r="O46" s="15"/>
    </row>
    <row r="47" spans="1:15" x14ac:dyDescent="0.25">
      <c r="A47" s="16">
        <v>25803</v>
      </c>
      <c r="B47" s="124">
        <v>600</v>
      </c>
      <c r="C47" s="85"/>
      <c r="D47" s="13">
        <v>25856</v>
      </c>
      <c r="E47" s="70">
        <v>500</v>
      </c>
      <c r="F47" s="14"/>
      <c r="G47" s="11">
        <v>25910</v>
      </c>
      <c r="H47" s="67">
        <v>600</v>
      </c>
      <c r="I47" s="12" t="s">
        <v>484</v>
      </c>
      <c r="J47" s="61">
        <v>25944</v>
      </c>
      <c r="K47" s="71">
        <v>600</v>
      </c>
      <c r="L47" s="62" t="s">
        <v>487</v>
      </c>
      <c r="M47" s="75"/>
      <c r="N47" s="73"/>
      <c r="O47" s="15"/>
    </row>
    <row r="48" spans="1:15" x14ac:dyDescent="0.25">
      <c r="A48" s="16">
        <v>25804</v>
      </c>
      <c r="B48" s="124">
        <v>200</v>
      </c>
      <c r="C48" s="17"/>
      <c r="D48" s="13">
        <v>25857</v>
      </c>
      <c r="E48" s="70">
        <v>500</v>
      </c>
      <c r="F48" s="14" t="s">
        <v>398</v>
      </c>
      <c r="G48" s="11">
        <v>25911</v>
      </c>
      <c r="H48" s="67">
        <v>400</v>
      </c>
      <c r="I48" s="12"/>
      <c r="J48" s="61"/>
      <c r="K48" s="71"/>
      <c r="L48" s="62" t="s">
        <v>52</v>
      </c>
      <c r="M48" s="75"/>
      <c r="N48" s="73"/>
      <c r="O48" s="15"/>
    </row>
    <row r="49" spans="1:15" x14ac:dyDescent="0.25">
      <c r="A49" s="16">
        <v>25805</v>
      </c>
      <c r="B49" s="124">
        <v>500</v>
      </c>
      <c r="C49" s="17"/>
      <c r="D49" s="13">
        <v>25858</v>
      </c>
      <c r="E49" s="70">
        <v>400</v>
      </c>
      <c r="F49" s="14" t="s">
        <v>398</v>
      </c>
      <c r="G49" s="11">
        <v>25912</v>
      </c>
      <c r="H49" s="67">
        <v>500</v>
      </c>
      <c r="I49" s="12"/>
      <c r="J49" s="61">
        <v>25945</v>
      </c>
      <c r="K49" s="71">
        <v>375</v>
      </c>
      <c r="L49" s="62"/>
      <c r="M49" s="75"/>
      <c r="N49" s="73"/>
      <c r="O49" s="15"/>
    </row>
    <row r="50" spans="1:15" x14ac:dyDescent="0.25">
      <c r="A50" s="16">
        <v>25806</v>
      </c>
      <c r="B50" s="124">
        <v>500</v>
      </c>
      <c r="C50" s="17"/>
      <c r="D50" s="13">
        <v>25859</v>
      </c>
      <c r="E50" s="70">
        <v>500</v>
      </c>
      <c r="F50" s="14"/>
      <c r="G50" s="11">
        <v>25913</v>
      </c>
      <c r="H50" s="67">
        <v>500</v>
      </c>
      <c r="I50" s="12" t="s">
        <v>293</v>
      </c>
      <c r="J50" s="61">
        <v>25946</v>
      </c>
      <c r="K50" s="71">
        <v>500</v>
      </c>
      <c r="L50" s="62"/>
      <c r="M50" s="75"/>
      <c r="N50" s="73"/>
      <c r="O50" s="15"/>
    </row>
    <row r="51" spans="1:15" x14ac:dyDescent="0.25">
      <c r="A51" s="16">
        <v>25807</v>
      </c>
      <c r="B51" s="124">
        <v>250</v>
      </c>
      <c r="C51" s="17"/>
      <c r="D51" s="13">
        <v>25860</v>
      </c>
      <c r="E51" s="70">
        <v>600</v>
      </c>
      <c r="F51" s="14" t="s">
        <v>445</v>
      </c>
      <c r="G51" s="11"/>
      <c r="H51" s="67"/>
      <c r="I51" s="12"/>
      <c r="J51" s="61">
        <v>25947</v>
      </c>
      <c r="K51" s="71">
        <v>600</v>
      </c>
      <c r="L51" s="62"/>
      <c r="M51" s="75"/>
      <c r="N51" s="73"/>
      <c r="O51" s="15"/>
    </row>
    <row r="52" spans="1:15" x14ac:dyDescent="0.25">
      <c r="A52" s="16">
        <v>25808</v>
      </c>
      <c r="B52" s="124">
        <v>300</v>
      </c>
      <c r="C52" s="17" t="s">
        <v>471</v>
      </c>
      <c r="D52" s="13"/>
      <c r="E52" s="70"/>
      <c r="F52" s="14" t="s">
        <v>18</v>
      </c>
      <c r="G52" s="11"/>
      <c r="H52" s="67"/>
      <c r="I52" s="12"/>
      <c r="J52" s="61">
        <v>25948</v>
      </c>
      <c r="K52" s="71">
        <v>1000</v>
      </c>
      <c r="L52" s="62" t="s">
        <v>410</v>
      </c>
      <c r="M52" s="75"/>
      <c r="N52" s="73"/>
      <c r="O52" s="15"/>
    </row>
    <row r="53" spans="1:15" x14ac:dyDescent="0.25">
      <c r="A53" s="16">
        <v>25809</v>
      </c>
      <c r="B53" s="124">
        <v>500</v>
      </c>
      <c r="C53" s="17"/>
      <c r="D53" s="13">
        <v>25861</v>
      </c>
      <c r="E53" s="70">
        <v>1000</v>
      </c>
      <c r="F53" s="14" t="s">
        <v>410</v>
      </c>
      <c r="G53" s="11"/>
      <c r="H53" s="67"/>
      <c r="I53" s="12"/>
      <c r="J53" s="61"/>
      <c r="K53" s="71"/>
      <c r="L53" s="62" t="s">
        <v>64</v>
      </c>
      <c r="M53" s="75"/>
      <c r="N53" s="73"/>
      <c r="O53" s="15"/>
    </row>
    <row r="54" spans="1:15" x14ac:dyDescent="0.25">
      <c r="A54" s="16">
        <v>25810</v>
      </c>
      <c r="B54" s="124">
        <v>1000</v>
      </c>
      <c r="C54" s="17" t="s">
        <v>467</v>
      </c>
      <c r="D54" s="13"/>
      <c r="E54" s="70"/>
      <c r="F54" s="14" t="s">
        <v>64</v>
      </c>
      <c r="G54" s="11"/>
      <c r="H54" s="67"/>
      <c r="I54" s="12"/>
      <c r="J54" s="61">
        <v>25949</v>
      </c>
      <c r="K54" s="71">
        <v>500</v>
      </c>
      <c r="L54" s="62" t="s">
        <v>448</v>
      </c>
      <c r="M54" s="75"/>
      <c r="N54" s="73"/>
      <c r="O54" s="15"/>
    </row>
    <row r="55" spans="1:15" x14ac:dyDescent="0.25">
      <c r="A55" s="16">
        <v>25811</v>
      </c>
      <c r="B55" s="124">
        <v>500</v>
      </c>
      <c r="C55" s="17"/>
      <c r="D55" s="13">
        <v>25862</v>
      </c>
      <c r="E55" s="70">
        <v>350</v>
      </c>
      <c r="F55" s="14"/>
      <c r="G55" s="11"/>
      <c r="H55" s="67"/>
      <c r="I55" s="12"/>
      <c r="J55" s="61"/>
      <c r="K55" s="71"/>
      <c r="L55" s="62" t="s">
        <v>16</v>
      </c>
      <c r="M55" s="75"/>
      <c r="N55" s="73"/>
      <c r="O55" s="15"/>
    </row>
    <row r="56" spans="1:15" x14ac:dyDescent="0.25">
      <c r="A56" s="16">
        <v>25812</v>
      </c>
      <c r="B56" s="124">
        <v>400</v>
      </c>
      <c r="C56" s="17"/>
      <c r="D56" s="13">
        <v>25863</v>
      </c>
      <c r="E56" s="70">
        <v>600</v>
      </c>
      <c r="F56" s="14" t="s">
        <v>410</v>
      </c>
      <c r="G56" s="11"/>
      <c r="H56" s="67"/>
      <c r="I56" s="12"/>
      <c r="J56" s="61">
        <v>25950</v>
      </c>
      <c r="K56" s="71">
        <v>500</v>
      </c>
      <c r="L56" s="68" t="s">
        <v>488</v>
      </c>
      <c r="M56" s="75"/>
      <c r="N56" s="73"/>
      <c r="O56" s="15"/>
    </row>
    <row r="57" spans="1:15" x14ac:dyDescent="0.25">
      <c r="A57" s="16">
        <v>25813</v>
      </c>
      <c r="B57" s="124">
        <v>500</v>
      </c>
      <c r="C57" s="17" t="s">
        <v>398</v>
      </c>
      <c r="D57" s="13"/>
      <c r="E57" s="70"/>
      <c r="F57" s="14" t="s">
        <v>18</v>
      </c>
      <c r="G57" s="11"/>
      <c r="H57" s="67"/>
      <c r="I57" s="12"/>
      <c r="J57" s="61"/>
      <c r="K57" s="71"/>
      <c r="L57" s="62" t="s">
        <v>16</v>
      </c>
      <c r="M57" s="75"/>
      <c r="N57" s="73"/>
      <c r="O57" s="15"/>
    </row>
    <row r="58" spans="1:15" x14ac:dyDescent="0.25">
      <c r="A58" s="16">
        <v>25814</v>
      </c>
      <c r="B58" s="124">
        <v>500</v>
      </c>
      <c r="C58" s="17"/>
      <c r="D58" s="13">
        <v>25864</v>
      </c>
      <c r="E58" s="70">
        <v>350</v>
      </c>
      <c r="F58" s="14" t="s">
        <v>398</v>
      </c>
      <c r="G58" s="11"/>
      <c r="H58" s="67"/>
      <c r="I58" s="12"/>
      <c r="J58" s="61">
        <v>25951</v>
      </c>
      <c r="K58" s="71">
        <v>800</v>
      </c>
      <c r="L58" s="62" t="s">
        <v>410</v>
      </c>
      <c r="M58" s="75"/>
      <c r="N58" s="73"/>
      <c r="O58" s="15"/>
    </row>
    <row r="59" spans="1:15" x14ac:dyDescent="0.25">
      <c r="A59" s="16">
        <v>25815</v>
      </c>
      <c r="B59" s="124">
        <v>300</v>
      </c>
      <c r="C59" s="17"/>
      <c r="D59" s="13">
        <v>25865</v>
      </c>
      <c r="E59" s="70">
        <v>500</v>
      </c>
      <c r="F59" s="14" t="s">
        <v>445</v>
      </c>
      <c r="G59" s="11"/>
      <c r="H59" s="67"/>
      <c r="I59" s="12"/>
      <c r="J59" s="61"/>
      <c r="K59" s="71"/>
      <c r="L59" s="62" t="s">
        <v>17</v>
      </c>
      <c r="M59" s="75"/>
      <c r="N59" s="73"/>
      <c r="O59" s="15"/>
    </row>
    <row r="60" spans="1:15" x14ac:dyDescent="0.25">
      <c r="A60" s="16">
        <v>25816</v>
      </c>
      <c r="B60" s="124">
        <v>1000</v>
      </c>
      <c r="C60" s="17" t="s">
        <v>466</v>
      </c>
      <c r="D60" s="13"/>
      <c r="E60" s="70"/>
      <c r="F60" s="14" t="s">
        <v>16</v>
      </c>
      <c r="G60" s="11"/>
      <c r="H60" s="67"/>
      <c r="I60" s="12"/>
      <c r="J60" s="61">
        <v>25952</v>
      </c>
      <c r="K60" s="71">
        <v>400</v>
      </c>
      <c r="L60" s="62"/>
      <c r="M60" s="75"/>
      <c r="N60" s="73"/>
      <c r="O60" s="15"/>
    </row>
    <row r="61" spans="1:15" x14ac:dyDescent="0.25">
      <c r="A61" s="16">
        <v>25817</v>
      </c>
      <c r="B61" s="124">
        <v>500</v>
      </c>
      <c r="C61" s="17"/>
      <c r="D61" s="13">
        <v>25866</v>
      </c>
      <c r="E61" s="70">
        <v>300</v>
      </c>
      <c r="F61" s="14" t="s">
        <v>478</v>
      </c>
      <c r="G61" s="11"/>
      <c r="H61" s="67"/>
      <c r="I61" s="12"/>
      <c r="J61" s="61"/>
      <c r="K61" s="71"/>
      <c r="L61" s="62"/>
      <c r="M61" s="75"/>
      <c r="N61" s="73"/>
      <c r="O61" s="15"/>
    </row>
    <row r="62" spans="1:15" x14ac:dyDescent="0.25">
      <c r="A62" s="16">
        <v>25818</v>
      </c>
      <c r="B62" s="124">
        <v>500</v>
      </c>
      <c r="C62" s="17"/>
      <c r="D62" s="13">
        <v>25867</v>
      </c>
      <c r="E62" s="70">
        <v>500</v>
      </c>
      <c r="F62" s="14"/>
      <c r="G62" s="11"/>
      <c r="H62" s="67"/>
      <c r="I62" s="12"/>
      <c r="J62" s="61"/>
      <c r="K62" s="71"/>
      <c r="L62" s="62"/>
      <c r="M62" s="75"/>
      <c r="N62" s="73"/>
      <c r="O62" s="15"/>
    </row>
    <row r="63" spans="1:15" x14ac:dyDescent="0.25">
      <c r="A63" s="16">
        <v>25819</v>
      </c>
      <c r="B63" s="124">
        <v>500</v>
      </c>
      <c r="C63" s="17" t="s">
        <v>321</v>
      </c>
      <c r="D63" s="13">
        <v>25868</v>
      </c>
      <c r="E63" s="70">
        <v>300</v>
      </c>
      <c r="F63" s="14"/>
      <c r="G63" s="11"/>
      <c r="H63" s="67"/>
      <c r="I63" s="12"/>
      <c r="J63" s="61"/>
      <c r="K63" s="71"/>
      <c r="L63" s="62"/>
      <c r="M63" s="75"/>
      <c r="N63" s="73"/>
      <c r="O63" s="15"/>
    </row>
    <row r="64" spans="1:15" x14ac:dyDescent="0.25">
      <c r="A64" s="16">
        <v>25820</v>
      </c>
      <c r="B64" s="124">
        <v>500</v>
      </c>
      <c r="C64" s="17" t="s">
        <v>398</v>
      </c>
      <c r="D64" s="13">
        <v>25869</v>
      </c>
      <c r="E64" s="70">
        <v>400</v>
      </c>
      <c r="F64" s="14" t="s">
        <v>398</v>
      </c>
      <c r="G64" s="11"/>
      <c r="H64" s="67"/>
      <c r="I64" s="12"/>
      <c r="J64" s="61"/>
      <c r="K64" s="71"/>
      <c r="L64" s="62"/>
      <c r="M64" s="75"/>
      <c r="N64" s="73"/>
      <c r="O64" s="15"/>
    </row>
    <row r="65" spans="1:15" x14ac:dyDescent="0.25">
      <c r="A65" s="16">
        <v>25821</v>
      </c>
      <c r="B65" s="124">
        <v>500</v>
      </c>
      <c r="C65" s="17" t="s">
        <v>472</v>
      </c>
      <c r="D65" s="13">
        <v>25870</v>
      </c>
      <c r="E65" s="70">
        <v>200</v>
      </c>
      <c r="F65" s="14"/>
      <c r="G65" s="11"/>
      <c r="H65" s="67"/>
      <c r="I65" s="12"/>
      <c r="J65" s="61"/>
      <c r="K65" s="71"/>
      <c r="L65" s="62"/>
      <c r="M65" s="75"/>
      <c r="N65" s="73"/>
      <c r="O65" s="15"/>
    </row>
    <row r="66" spans="1:15" x14ac:dyDescent="0.25">
      <c r="A66" s="16">
        <v>25822</v>
      </c>
      <c r="B66" s="124">
        <v>400</v>
      </c>
      <c r="C66" s="17" t="s">
        <v>293</v>
      </c>
      <c r="D66" s="13">
        <v>25871</v>
      </c>
      <c r="E66" s="70">
        <v>300</v>
      </c>
      <c r="F66" s="14"/>
      <c r="G66" s="11"/>
      <c r="H66" s="67"/>
      <c r="I66" s="12"/>
      <c r="J66" s="61"/>
      <c r="K66" s="71"/>
      <c r="L66" s="62"/>
      <c r="M66" s="75"/>
      <c r="N66" s="73"/>
      <c r="O66" s="15"/>
    </row>
    <row r="67" spans="1:15" x14ac:dyDescent="0.25">
      <c r="A67" s="16">
        <v>25823</v>
      </c>
      <c r="B67" s="124">
        <v>50</v>
      </c>
      <c r="C67" s="17" t="s">
        <v>389</v>
      </c>
      <c r="D67" s="13">
        <v>25872</v>
      </c>
      <c r="E67" s="70">
        <v>500</v>
      </c>
      <c r="F67" s="14"/>
      <c r="G67" s="11"/>
      <c r="H67" s="67"/>
      <c r="I67" s="12"/>
      <c r="J67" s="61"/>
      <c r="K67" s="71"/>
      <c r="L67" s="62"/>
      <c r="M67" s="75"/>
      <c r="N67" s="73"/>
      <c r="O67" s="15"/>
    </row>
    <row r="68" spans="1:15" x14ac:dyDescent="0.25">
      <c r="A68" s="16">
        <v>25824</v>
      </c>
      <c r="B68" s="124">
        <v>350</v>
      </c>
      <c r="C68" s="17" t="s">
        <v>398</v>
      </c>
      <c r="D68" s="13">
        <v>25873</v>
      </c>
      <c r="E68" s="70">
        <v>500</v>
      </c>
      <c r="F68" s="14"/>
      <c r="G68" s="11"/>
      <c r="H68" s="67"/>
      <c r="I68" s="12"/>
      <c r="J68" s="61"/>
      <c r="K68" s="71"/>
      <c r="L68" s="62"/>
      <c r="M68" s="75"/>
      <c r="N68" s="73"/>
      <c r="O68" s="15"/>
    </row>
    <row r="69" spans="1:15" x14ac:dyDescent="0.25">
      <c r="A69" s="16">
        <v>25825</v>
      </c>
      <c r="B69" s="124">
        <v>500</v>
      </c>
      <c r="C69" s="17"/>
      <c r="D69" s="13">
        <v>25874</v>
      </c>
      <c r="E69" s="70">
        <v>400</v>
      </c>
      <c r="F69" s="14"/>
      <c r="G69" s="11"/>
      <c r="H69" s="67"/>
      <c r="I69" s="12"/>
      <c r="J69" s="61"/>
      <c r="K69" s="71"/>
      <c r="L69" s="62"/>
      <c r="M69" s="75"/>
      <c r="N69" s="73"/>
      <c r="O69" s="15"/>
    </row>
    <row r="70" spans="1:15" x14ac:dyDescent="0.25">
      <c r="A70" s="16">
        <v>25826</v>
      </c>
      <c r="B70" s="124">
        <v>400</v>
      </c>
      <c r="C70" s="17" t="s">
        <v>293</v>
      </c>
      <c r="D70" s="13">
        <v>25875</v>
      </c>
      <c r="E70" s="70">
        <v>250</v>
      </c>
      <c r="F70" s="14"/>
      <c r="G70" s="11"/>
      <c r="H70" s="67"/>
      <c r="I70" s="12"/>
      <c r="J70" s="61"/>
      <c r="K70" s="71"/>
      <c r="L70" s="62"/>
      <c r="M70" s="75"/>
      <c r="N70" s="73"/>
      <c r="O70" s="15"/>
    </row>
    <row r="71" spans="1:15" x14ac:dyDescent="0.25">
      <c r="A71" s="16"/>
      <c r="B71" s="124"/>
      <c r="C71" s="17"/>
      <c r="D71" s="13">
        <v>25876</v>
      </c>
      <c r="E71" s="70">
        <v>600</v>
      </c>
      <c r="F71" s="14" t="s">
        <v>410</v>
      </c>
      <c r="G71" s="11"/>
      <c r="H71" s="67"/>
      <c r="I71" s="12"/>
      <c r="J71" s="61"/>
      <c r="K71" s="71"/>
      <c r="L71" s="62"/>
      <c r="M71" s="75"/>
      <c r="N71" s="73"/>
      <c r="O71" s="15"/>
    </row>
    <row r="72" spans="1:15" x14ac:dyDescent="0.25">
      <c r="A72" s="16"/>
      <c r="B72" s="124"/>
      <c r="C72" s="17"/>
      <c r="D72" s="13"/>
      <c r="E72" s="70"/>
      <c r="F72" s="14" t="s">
        <v>18</v>
      </c>
      <c r="G72" s="11"/>
      <c r="H72" s="67"/>
      <c r="I72" s="12"/>
      <c r="J72" s="61"/>
      <c r="K72" s="71"/>
      <c r="L72" s="62"/>
      <c r="M72" s="75"/>
      <c r="N72" s="73"/>
      <c r="O72" s="15"/>
    </row>
    <row r="73" spans="1:15" x14ac:dyDescent="0.25">
      <c r="A73" s="16"/>
      <c r="B73" s="124"/>
      <c r="C73" s="17"/>
      <c r="D73" s="13">
        <v>25877</v>
      </c>
      <c r="E73" s="70">
        <v>700</v>
      </c>
      <c r="F73" s="14" t="s">
        <v>410</v>
      </c>
      <c r="G73" s="11"/>
      <c r="H73" s="67"/>
      <c r="I73" s="12"/>
      <c r="J73" s="61"/>
      <c r="K73" s="71"/>
      <c r="L73" s="62"/>
      <c r="M73" s="75"/>
      <c r="N73" s="73"/>
      <c r="O73" s="15"/>
    </row>
    <row r="74" spans="1:15" x14ac:dyDescent="0.25">
      <c r="A74" s="16"/>
      <c r="B74" s="124"/>
      <c r="C74" s="17"/>
      <c r="D74" s="13"/>
      <c r="E74" s="70"/>
      <c r="F74" s="14" t="s">
        <v>21</v>
      </c>
      <c r="G74" s="11"/>
      <c r="H74" s="67"/>
      <c r="I74" s="12"/>
      <c r="J74" s="61"/>
      <c r="K74" s="71"/>
      <c r="L74" s="62"/>
      <c r="M74" s="75"/>
      <c r="N74" s="73"/>
      <c r="O74" s="15"/>
    </row>
    <row r="75" spans="1:15" x14ac:dyDescent="0.25">
      <c r="A75" s="16"/>
      <c r="B75" s="124"/>
      <c r="C75" s="17"/>
      <c r="D75" s="13">
        <v>25878</v>
      </c>
      <c r="E75" s="70">
        <v>500</v>
      </c>
      <c r="F75" s="14" t="s">
        <v>448</v>
      </c>
      <c r="G75" s="11"/>
      <c r="H75" s="67"/>
      <c r="I75" s="12"/>
      <c r="J75" s="61"/>
      <c r="K75" s="71"/>
      <c r="L75" s="62"/>
      <c r="M75" s="75"/>
      <c r="N75" s="73"/>
      <c r="O75" s="15"/>
    </row>
    <row r="76" spans="1:15" x14ac:dyDescent="0.25">
      <c r="A76" s="16"/>
      <c r="B76" s="124"/>
      <c r="C76" s="17"/>
      <c r="D76" s="13"/>
      <c r="E76" s="70"/>
      <c r="F76" s="14" t="s">
        <v>16</v>
      </c>
      <c r="G76" s="11"/>
      <c r="H76" s="67"/>
      <c r="I76" s="12"/>
      <c r="J76" s="61"/>
      <c r="K76" s="71"/>
      <c r="L76" s="62"/>
      <c r="M76" s="75"/>
      <c r="N76" s="73"/>
      <c r="O76" s="15"/>
    </row>
    <row r="77" spans="1:15" x14ac:dyDescent="0.25">
      <c r="A77" s="16"/>
      <c r="B77" s="124"/>
      <c r="C77" s="17"/>
      <c r="D77" s="13">
        <v>25879</v>
      </c>
      <c r="E77" s="70">
        <v>1000</v>
      </c>
      <c r="F77" s="14" t="s">
        <v>479</v>
      </c>
      <c r="G77" s="11"/>
      <c r="H77" s="67"/>
      <c r="I77" s="12"/>
      <c r="J77" s="61"/>
      <c r="K77" s="71"/>
      <c r="L77" s="62"/>
      <c r="M77" s="75"/>
      <c r="N77" s="73"/>
      <c r="O77" s="15"/>
    </row>
    <row r="78" spans="1:15" x14ac:dyDescent="0.25">
      <c r="A78" s="16"/>
      <c r="B78" s="124"/>
      <c r="C78" s="17"/>
      <c r="D78" s="13">
        <v>25880</v>
      </c>
      <c r="E78" s="70">
        <v>300</v>
      </c>
      <c r="F78" s="14"/>
      <c r="G78" s="11"/>
      <c r="H78" s="67"/>
      <c r="I78" s="12"/>
      <c r="J78" s="61"/>
      <c r="K78" s="71"/>
      <c r="L78" s="62"/>
      <c r="M78" s="75"/>
      <c r="N78" s="73"/>
      <c r="O78" s="15"/>
    </row>
    <row r="79" spans="1:15" x14ac:dyDescent="0.25">
      <c r="A79" s="16"/>
      <c r="B79" s="124"/>
      <c r="C79" s="17"/>
      <c r="D79" s="13"/>
      <c r="E79" s="70"/>
      <c r="F79" s="14"/>
      <c r="G79" s="11"/>
      <c r="H79" s="67"/>
      <c r="I79" s="12"/>
      <c r="J79" s="61"/>
      <c r="K79" s="71"/>
      <c r="L79" s="62"/>
      <c r="M79" s="75"/>
      <c r="N79" s="73"/>
      <c r="O79" s="15"/>
    </row>
    <row r="80" spans="1:15" x14ac:dyDescent="0.25">
      <c r="A80" s="16"/>
      <c r="B80" s="124"/>
      <c r="C80" s="17"/>
      <c r="D80" s="13"/>
      <c r="E80" s="70"/>
      <c r="F80" s="14"/>
      <c r="G80" s="11"/>
      <c r="H80" s="67"/>
      <c r="I80" s="12"/>
      <c r="J80" s="61"/>
      <c r="K80" s="71"/>
      <c r="L80" s="62"/>
      <c r="M80" s="75"/>
      <c r="N80" s="73"/>
      <c r="O80" s="15"/>
    </row>
    <row r="81" spans="1:16" x14ac:dyDescent="0.25">
      <c r="A81" s="16"/>
      <c r="B81" s="124"/>
      <c r="C81" s="17"/>
      <c r="D81" s="13"/>
      <c r="E81" s="70"/>
      <c r="F81" s="14"/>
      <c r="G81" s="11"/>
      <c r="H81" s="67"/>
      <c r="I81" s="12"/>
      <c r="J81" s="61"/>
      <c r="K81" s="71"/>
      <c r="L81" s="62"/>
      <c r="M81" s="75"/>
      <c r="N81" s="73"/>
      <c r="O81" s="15"/>
    </row>
    <row r="82" spans="1:16" x14ac:dyDescent="0.25">
      <c r="A82" s="16"/>
      <c r="B82" s="124"/>
      <c r="C82" s="17"/>
      <c r="D82" s="13"/>
      <c r="E82" s="70"/>
      <c r="F82" s="14"/>
      <c r="G82" s="11"/>
      <c r="H82" s="67"/>
      <c r="I82" s="12"/>
      <c r="J82" s="61"/>
      <c r="K82" s="71"/>
      <c r="L82" s="62"/>
      <c r="M82" s="75"/>
      <c r="N82" s="73"/>
      <c r="O82" s="15"/>
    </row>
    <row r="83" spans="1:16" x14ac:dyDescent="0.25">
      <c r="A83" s="16"/>
      <c r="B83" s="124"/>
      <c r="C83" s="17"/>
      <c r="D83" s="13"/>
      <c r="E83" s="70"/>
      <c r="F83" s="14"/>
      <c r="G83" s="11"/>
      <c r="H83" s="67"/>
      <c r="I83" s="12"/>
      <c r="J83" s="61"/>
      <c r="K83" s="71"/>
      <c r="L83" s="62"/>
      <c r="M83" s="75"/>
      <c r="N83" s="73"/>
      <c r="O83" s="15"/>
      <c r="P83" s="58"/>
    </row>
    <row r="84" spans="1:16" x14ac:dyDescent="0.25">
      <c r="A84" s="16"/>
      <c r="B84" s="124"/>
      <c r="C84" s="17"/>
      <c r="D84" s="13"/>
      <c r="E84" s="70"/>
      <c r="F84" s="14"/>
      <c r="G84" s="11"/>
      <c r="H84" s="67"/>
      <c r="I84" s="12"/>
      <c r="J84" s="61"/>
      <c r="K84" s="71"/>
      <c r="L84" s="62"/>
      <c r="M84" s="75"/>
      <c r="N84" s="73"/>
      <c r="O84" s="15"/>
      <c r="P84" s="58"/>
    </row>
    <row r="85" spans="1:16" x14ac:dyDescent="0.25">
      <c r="A85" s="16"/>
      <c r="B85" s="124"/>
      <c r="C85" s="17"/>
      <c r="D85" s="13"/>
      <c r="E85" s="70"/>
      <c r="F85" s="14"/>
      <c r="G85" s="11"/>
      <c r="H85" s="67"/>
      <c r="I85" s="12"/>
      <c r="J85" s="61"/>
      <c r="K85" s="71"/>
      <c r="L85" s="62"/>
      <c r="M85" s="75"/>
      <c r="N85" s="73"/>
      <c r="O85" s="15"/>
      <c r="P85" s="58"/>
    </row>
    <row r="86" spans="1:16" x14ac:dyDescent="0.25">
      <c r="A86" s="16"/>
      <c r="B86" s="124"/>
      <c r="C86" s="17"/>
      <c r="D86" s="13"/>
      <c r="E86" s="70"/>
      <c r="F86" s="14"/>
      <c r="G86" s="11"/>
      <c r="H86" s="67"/>
      <c r="I86" s="12"/>
      <c r="J86" s="61"/>
      <c r="K86" s="71"/>
      <c r="L86" s="62"/>
      <c r="M86" s="26"/>
      <c r="N86" s="74"/>
      <c r="O86" s="58"/>
      <c r="P86" s="58"/>
    </row>
    <row r="87" spans="1:16" x14ac:dyDescent="0.25">
      <c r="A87" s="16"/>
      <c r="B87" s="124"/>
      <c r="C87" s="17"/>
      <c r="D87" s="13"/>
      <c r="E87" s="70"/>
      <c r="F87" s="14"/>
      <c r="G87" s="11"/>
      <c r="H87" s="67"/>
      <c r="I87" s="12"/>
      <c r="J87" s="61"/>
      <c r="K87" s="71"/>
      <c r="L87" s="62"/>
      <c r="M87" s="26"/>
      <c r="N87" s="74"/>
      <c r="O87" s="58"/>
      <c r="P87" s="58"/>
    </row>
    <row r="88" spans="1:16" x14ac:dyDescent="0.25">
      <c r="A88" s="16"/>
      <c r="B88" s="124"/>
      <c r="C88" s="17"/>
      <c r="D88" s="13"/>
      <c r="E88" s="70"/>
      <c r="F88" s="14"/>
      <c r="G88" s="11"/>
      <c r="H88" s="67"/>
      <c r="I88" s="12"/>
      <c r="J88" s="61"/>
      <c r="K88" s="71"/>
      <c r="L88" s="62"/>
      <c r="M88" s="26"/>
      <c r="N88" s="74"/>
      <c r="O88" s="58"/>
      <c r="P88" s="58"/>
    </row>
    <row r="89" spans="1:16" x14ac:dyDescent="0.25">
      <c r="A89" s="16"/>
      <c r="B89" s="124"/>
      <c r="C89" s="17"/>
      <c r="D89" s="13"/>
      <c r="E89" s="70"/>
      <c r="F89" s="14"/>
      <c r="G89" s="11"/>
      <c r="H89" s="67"/>
      <c r="I89" s="12"/>
      <c r="J89" s="61"/>
      <c r="K89" s="71"/>
      <c r="L89" s="62"/>
      <c r="M89" s="26"/>
      <c r="N89" s="74"/>
      <c r="O89" s="58"/>
      <c r="P89" s="58"/>
    </row>
    <row r="90" spans="1:16" x14ac:dyDescent="0.25">
      <c r="A90" s="16"/>
      <c r="B90" s="124"/>
      <c r="C90" s="17"/>
      <c r="D90" s="13"/>
      <c r="E90" s="70"/>
      <c r="F90" s="14"/>
      <c r="G90" s="11"/>
      <c r="H90" s="67"/>
      <c r="I90" s="12"/>
      <c r="J90" s="61"/>
      <c r="K90" s="71"/>
      <c r="L90" s="62"/>
      <c r="M90" s="26"/>
      <c r="N90" s="74"/>
      <c r="O90" s="58"/>
      <c r="P90" s="58"/>
    </row>
    <row r="91" spans="1:16" x14ac:dyDescent="0.25">
      <c r="A91" s="16"/>
      <c r="B91" s="124"/>
      <c r="C91" s="17"/>
      <c r="D91" s="13"/>
      <c r="E91" s="70"/>
      <c r="F91" s="14"/>
      <c r="G91" s="11"/>
      <c r="H91" s="67"/>
      <c r="I91" s="12"/>
      <c r="J91" s="61"/>
      <c r="K91" s="71"/>
      <c r="L91" s="62"/>
      <c r="M91" s="26"/>
      <c r="N91" s="74"/>
      <c r="O91" s="58"/>
      <c r="P91" s="58"/>
    </row>
    <row r="92" spans="1:16" x14ac:dyDescent="0.25">
      <c r="A92" s="16"/>
      <c r="B92" s="124"/>
      <c r="C92" s="17"/>
      <c r="D92" s="13"/>
      <c r="E92" s="70"/>
      <c r="F92" s="14"/>
      <c r="G92" s="11"/>
      <c r="H92" s="67"/>
      <c r="I92" s="12"/>
      <c r="J92" s="61"/>
      <c r="K92" s="71"/>
      <c r="L92" s="62"/>
      <c r="M92" s="26"/>
      <c r="N92" s="74"/>
      <c r="O92" s="58"/>
      <c r="P92" s="58"/>
    </row>
    <row r="93" spans="1:16" x14ac:dyDescent="0.25">
      <c r="A93" s="16"/>
      <c r="B93" s="124"/>
      <c r="C93" s="17"/>
      <c r="D93" s="13"/>
      <c r="E93" s="70"/>
      <c r="F93" s="14"/>
      <c r="G93" s="11"/>
      <c r="H93" s="67"/>
      <c r="I93" s="12"/>
      <c r="J93" s="61"/>
      <c r="K93" s="71"/>
      <c r="L93" s="62"/>
      <c r="M93" s="26"/>
      <c r="N93" s="74"/>
      <c r="O93" s="58"/>
      <c r="P93" s="58"/>
    </row>
    <row r="94" spans="1:16" x14ac:dyDescent="0.25">
      <c r="A94" s="16"/>
      <c r="B94" s="124"/>
      <c r="C94" s="17"/>
      <c r="D94" s="13"/>
      <c r="E94" s="70"/>
      <c r="F94" s="14"/>
      <c r="G94" s="11"/>
      <c r="H94" s="67"/>
      <c r="I94" s="12"/>
      <c r="J94" s="61"/>
      <c r="K94" s="71"/>
      <c r="L94" s="62"/>
      <c r="M94" s="26"/>
      <c r="N94" s="74"/>
      <c r="O94" s="58"/>
      <c r="P94" s="58"/>
    </row>
    <row r="95" spans="1:16" x14ac:dyDescent="0.25">
      <c r="A95" s="16"/>
      <c r="B95" s="124"/>
      <c r="C95" s="17"/>
      <c r="D95" s="13"/>
      <c r="E95" s="70"/>
      <c r="F95" s="14"/>
      <c r="G95" s="11"/>
      <c r="H95" s="67"/>
      <c r="I95" s="12"/>
      <c r="J95" s="61"/>
      <c r="K95" s="71"/>
      <c r="L95" s="62"/>
      <c r="M95" s="26"/>
      <c r="N95" s="74"/>
      <c r="O95" s="58"/>
      <c r="P95" s="58"/>
    </row>
    <row r="96" spans="1:16" x14ac:dyDescent="0.25">
      <c r="A96" s="16"/>
      <c r="B96" s="124"/>
      <c r="C96" s="17"/>
      <c r="D96" s="13"/>
      <c r="E96" s="70"/>
      <c r="F96" s="14"/>
      <c r="G96" s="11"/>
      <c r="H96" s="67"/>
      <c r="I96" s="12"/>
      <c r="J96" s="61"/>
      <c r="K96" s="71"/>
      <c r="L96" s="62"/>
      <c r="M96" s="26"/>
      <c r="N96" s="74"/>
      <c r="O96" s="58"/>
      <c r="P96" s="58"/>
    </row>
    <row r="97" spans="1:16" x14ac:dyDescent="0.25">
      <c r="A97" s="26"/>
      <c r="B97" s="66"/>
      <c r="C97" s="58"/>
      <c r="D97" s="26"/>
      <c r="E97" s="74"/>
      <c r="F97" s="58"/>
      <c r="G97" s="26"/>
      <c r="H97" s="74"/>
      <c r="I97" s="58"/>
      <c r="J97" s="26"/>
      <c r="K97" s="74"/>
      <c r="L97" s="58"/>
      <c r="M97" s="26"/>
      <c r="N97" s="74"/>
      <c r="O97" s="58"/>
      <c r="P97" s="58"/>
    </row>
    <row r="98" spans="1:16" x14ac:dyDescent="0.25">
      <c r="A98" s="26"/>
      <c r="B98" s="66"/>
      <c r="C98" s="58"/>
      <c r="D98" s="26"/>
      <c r="E98" s="74"/>
      <c r="F98" s="58"/>
      <c r="G98" s="26"/>
      <c r="H98" s="74"/>
      <c r="I98" s="58"/>
      <c r="J98" s="26"/>
      <c r="K98" s="74"/>
      <c r="L98" s="58"/>
      <c r="M98" s="26"/>
      <c r="N98" s="74"/>
      <c r="O98" s="58"/>
      <c r="P98" s="58"/>
    </row>
    <row r="99" spans="1:16" x14ac:dyDescent="0.25">
      <c r="A99" s="26"/>
      <c r="B99" s="66"/>
      <c r="C99" s="58"/>
      <c r="D99" s="26"/>
      <c r="E99" s="74"/>
      <c r="F99" s="58"/>
      <c r="G99" s="26"/>
      <c r="H99" s="74"/>
      <c r="I99" s="58"/>
      <c r="J99" s="26"/>
      <c r="K99" s="74"/>
      <c r="L99" s="58"/>
      <c r="M99" s="26"/>
      <c r="N99" s="74"/>
      <c r="O99" s="58"/>
      <c r="P99" s="58"/>
    </row>
    <row r="100" spans="1:16" x14ac:dyDescent="0.25">
      <c r="A100" s="26"/>
      <c r="B100" s="66"/>
      <c r="C100" s="58"/>
      <c r="D100" s="26"/>
      <c r="E100" s="74"/>
      <c r="F100" s="58"/>
      <c r="G100" s="26"/>
      <c r="H100" s="74"/>
      <c r="I100" s="58"/>
      <c r="J100" s="26"/>
      <c r="K100" s="74"/>
      <c r="L100" s="58"/>
      <c r="M100" s="26"/>
      <c r="N100" s="74"/>
      <c r="O100" s="58"/>
      <c r="P100" s="58"/>
    </row>
    <row r="101" spans="1:16" x14ac:dyDescent="0.25">
      <c r="A101" s="26"/>
      <c r="B101" s="66"/>
      <c r="C101" s="58"/>
      <c r="D101" s="26"/>
      <c r="E101" s="74"/>
      <c r="F101" s="58"/>
      <c r="G101" s="26"/>
      <c r="H101" s="74"/>
      <c r="I101" s="58"/>
      <c r="J101" s="26"/>
      <c r="K101" s="74"/>
      <c r="L101" s="58"/>
      <c r="M101" s="26"/>
      <c r="N101" s="74"/>
      <c r="O101" s="58"/>
      <c r="P101" s="58"/>
    </row>
    <row r="102" spans="1:16" x14ac:dyDescent="0.25">
      <c r="A102" s="26"/>
      <c r="B102" s="66"/>
      <c r="C102" s="58"/>
      <c r="D102" s="26"/>
      <c r="E102" s="74"/>
      <c r="F102" s="58"/>
      <c r="G102" s="26"/>
      <c r="H102" s="74"/>
      <c r="I102" s="58"/>
      <c r="J102" s="26"/>
      <c r="K102" s="74"/>
      <c r="L102" s="58"/>
      <c r="M102" s="26"/>
      <c r="N102" s="74"/>
      <c r="O102" s="58"/>
      <c r="P102" s="58"/>
    </row>
    <row r="103" spans="1:16" x14ac:dyDescent="0.25">
      <c r="A103" s="26"/>
      <c r="B103" s="66"/>
      <c r="C103" s="58"/>
      <c r="D103" s="26"/>
      <c r="E103" s="74"/>
      <c r="F103" s="58"/>
      <c r="G103" s="26"/>
      <c r="H103" s="74"/>
      <c r="I103" s="58"/>
      <c r="J103" s="26"/>
      <c r="K103" s="74"/>
      <c r="L103" s="58"/>
      <c r="M103" s="26"/>
      <c r="N103" s="74"/>
      <c r="O103" s="58"/>
      <c r="P103" s="58"/>
    </row>
    <row r="104" spans="1:16" x14ac:dyDescent="0.25">
      <c r="A104" s="26"/>
      <c r="B104" s="66"/>
      <c r="C104" s="58"/>
      <c r="D104" s="26"/>
      <c r="E104" s="74"/>
      <c r="F104" s="58"/>
      <c r="G104" s="26"/>
      <c r="H104" s="74"/>
      <c r="I104" s="58"/>
      <c r="J104" s="26"/>
      <c r="K104" s="74"/>
      <c r="L104" s="58"/>
      <c r="M104" s="26"/>
      <c r="N104" s="74"/>
      <c r="O104" s="58"/>
      <c r="P104" s="58"/>
    </row>
    <row r="105" spans="1:16" x14ac:dyDescent="0.25">
      <c r="A105" s="26"/>
      <c r="B105" s="66"/>
      <c r="C105" s="58"/>
      <c r="D105" s="26"/>
      <c r="E105" s="74"/>
      <c r="F105" s="58"/>
      <c r="G105" s="26"/>
      <c r="H105" s="74"/>
      <c r="I105" s="58"/>
      <c r="J105" s="26"/>
      <c r="K105" s="74"/>
      <c r="L105" s="58"/>
      <c r="M105" s="26"/>
      <c r="N105" s="74"/>
      <c r="O105" s="58"/>
      <c r="P105" s="58"/>
    </row>
    <row r="106" spans="1:16" x14ac:dyDescent="0.25">
      <c r="A106" s="26"/>
      <c r="B106" s="66"/>
      <c r="C106" s="58"/>
      <c r="D106" s="26"/>
      <c r="E106" s="74"/>
      <c r="F106" s="58"/>
      <c r="G106" s="26"/>
      <c r="H106" s="74"/>
      <c r="I106" s="58"/>
      <c r="J106" s="26"/>
      <c r="K106" s="74"/>
      <c r="L106" s="58"/>
      <c r="M106" s="26"/>
      <c r="N106" s="74"/>
      <c r="O106" s="58"/>
      <c r="P106" s="58"/>
    </row>
    <row r="107" spans="1:16" x14ac:dyDescent="0.25">
      <c r="A107" s="26"/>
      <c r="B107" s="66"/>
      <c r="C107" s="58"/>
      <c r="D107" s="26"/>
      <c r="E107" s="74"/>
      <c r="F107" s="58"/>
      <c r="G107" s="26"/>
      <c r="H107" s="74"/>
      <c r="I107" s="58"/>
      <c r="J107" s="26"/>
      <c r="K107" s="74"/>
      <c r="L107" s="58"/>
      <c r="M107" s="26"/>
      <c r="N107" s="74"/>
      <c r="O107" s="58"/>
      <c r="P107" s="58"/>
    </row>
    <row r="108" spans="1:16" x14ac:dyDescent="0.25">
      <c r="A108" s="26"/>
      <c r="B108" s="66"/>
      <c r="C108" s="58"/>
      <c r="D108" s="26"/>
      <c r="E108" s="74"/>
      <c r="F108" s="58"/>
      <c r="G108" s="26"/>
      <c r="H108" s="74"/>
      <c r="I108" s="58"/>
      <c r="J108" s="26"/>
      <c r="K108" s="74"/>
      <c r="L108" s="58"/>
      <c r="M108" s="26"/>
      <c r="N108" s="74"/>
      <c r="O108" s="58"/>
      <c r="P108" s="58"/>
    </row>
    <row r="109" spans="1:16" x14ac:dyDescent="0.25">
      <c r="A109" s="26"/>
      <c r="B109" s="66"/>
      <c r="C109" s="58"/>
      <c r="D109" s="26"/>
      <c r="E109" s="74"/>
      <c r="F109" s="58"/>
      <c r="G109" s="26"/>
      <c r="H109" s="74"/>
      <c r="I109" s="58"/>
      <c r="J109" s="26"/>
      <c r="K109" s="74"/>
      <c r="L109" s="58"/>
      <c r="M109" s="26"/>
      <c r="N109" s="74"/>
      <c r="O109" s="58"/>
      <c r="P109" s="58"/>
    </row>
    <row r="110" spans="1:16" x14ac:dyDescent="0.25">
      <c r="A110" s="26"/>
      <c r="B110" s="66"/>
      <c r="C110" s="58"/>
      <c r="D110" s="26"/>
      <c r="E110" s="74"/>
      <c r="F110" s="58"/>
      <c r="G110" s="26"/>
      <c r="H110" s="74"/>
      <c r="I110" s="58"/>
      <c r="J110" s="26"/>
      <c r="K110" s="74"/>
      <c r="L110" s="58"/>
      <c r="M110" s="26"/>
      <c r="N110" s="74"/>
      <c r="O110" s="58"/>
      <c r="P110" s="58"/>
    </row>
    <row r="111" spans="1:16" x14ac:dyDescent="0.25">
      <c r="A111" s="26"/>
      <c r="B111" s="66"/>
      <c r="C111" s="58"/>
      <c r="D111" s="26"/>
      <c r="E111" s="74"/>
      <c r="F111" s="58"/>
      <c r="G111" s="26"/>
      <c r="H111" s="74"/>
      <c r="I111" s="58"/>
      <c r="J111" s="26"/>
      <c r="K111" s="74"/>
      <c r="L111" s="58"/>
      <c r="M111" s="26"/>
      <c r="N111" s="74"/>
      <c r="O111" s="58"/>
      <c r="P111" s="58"/>
    </row>
    <row r="112" spans="1:16" x14ac:dyDescent="0.25">
      <c r="A112" s="26"/>
      <c r="B112" s="66"/>
      <c r="C112" s="58"/>
      <c r="D112" s="26"/>
      <c r="E112" s="74"/>
      <c r="F112" s="58"/>
      <c r="G112" s="26"/>
      <c r="H112" s="74"/>
      <c r="I112" s="58"/>
      <c r="J112" s="26"/>
      <c r="K112" s="74"/>
      <c r="L112" s="58"/>
      <c r="M112" s="26"/>
      <c r="N112" s="74"/>
      <c r="O112" s="58"/>
      <c r="P112" s="58"/>
    </row>
    <row r="113" spans="1:16" x14ac:dyDescent="0.25">
      <c r="A113" s="26"/>
      <c r="B113" s="66"/>
      <c r="C113" s="58"/>
      <c r="D113" s="26"/>
      <c r="E113" s="74"/>
      <c r="F113" s="58"/>
      <c r="G113" s="26"/>
      <c r="H113" s="74"/>
      <c r="I113" s="58"/>
      <c r="J113" s="26"/>
      <c r="K113" s="74"/>
      <c r="L113" s="58"/>
      <c r="M113" s="26"/>
      <c r="N113" s="74"/>
      <c r="O113" s="58"/>
      <c r="P113" s="58"/>
    </row>
    <row r="114" spans="1:16" x14ac:dyDescent="0.25">
      <c r="A114" s="26"/>
      <c r="B114" s="66"/>
      <c r="C114" s="58"/>
      <c r="D114" s="26"/>
      <c r="E114" s="74"/>
      <c r="F114" s="58"/>
      <c r="G114" s="26"/>
      <c r="H114" s="74"/>
      <c r="I114" s="58"/>
      <c r="J114" s="26"/>
      <c r="K114" s="74"/>
      <c r="L114" s="58"/>
      <c r="M114" s="26"/>
      <c r="N114" s="74"/>
      <c r="O114" s="58"/>
      <c r="P114" s="58"/>
    </row>
    <row r="115" spans="1:16" x14ac:dyDescent="0.25">
      <c r="A115" s="26"/>
      <c r="B115" s="66"/>
      <c r="C115" s="58"/>
      <c r="D115" s="26"/>
      <c r="E115" s="74"/>
      <c r="F115" s="58"/>
      <c r="G115" s="26"/>
      <c r="H115" s="74"/>
      <c r="I115" s="58"/>
      <c r="J115" s="26"/>
      <c r="K115" s="74"/>
      <c r="L115" s="58"/>
      <c r="M115" s="26"/>
      <c r="N115" s="74"/>
      <c r="O115" s="58"/>
      <c r="P115" s="58"/>
    </row>
    <row r="116" spans="1:16" x14ac:dyDescent="0.25">
      <c r="A116" s="26"/>
      <c r="B116" s="66"/>
      <c r="C116" s="58"/>
      <c r="D116" s="26"/>
      <c r="E116" s="74"/>
      <c r="F116" s="58"/>
      <c r="G116" s="26"/>
      <c r="H116" s="74"/>
      <c r="I116" s="58"/>
      <c r="J116" s="26"/>
      <c r="K116" s="74"/>
      <c r="L116" s="58"/>
      <c r="M116" s="26"/>
      <c r="N116" s="74"/>
      <c r="O116" s="58"/>
      <c r="P116" s="58"/>
    </row>
    <row r="117" spans="1:16" x14ac:dyDescent="0.25">
      <c r="A117" s="26"/>
      <c r="B117" s="66"/>
      <c r="C117" s="58"/>
      <c r="D117" s="26"/>
      <c r="E117" s="74"/>
      <c r="F117" s="58"/>
      <c r="G117" s="26"/>
      <c r="H117" s="74"/>
      <c r="I117" s="58"/>
      <c r="J117" s="26"/>
      <c r="K117" s="74"/>
      <c r="L117" s="58"/>
      <c r="M117" s="26"/>
      <c r="N117" s="74"/>
      <c r="O117" s="58"/>
      <c r="P117" s="58"/>
    </row>
    <row r="118" spans="1:16" x14ac:dyDescent="0.25">
      <c r="A118" s="26"/>
      <c r="B118" s="66"/>
      <c r="C118" s="58"/>
      <c r="D118" s="26"/>
      <c r="E118" s="74"/>
      <c r="F118" s="58"/>
      <c r="G118" s="26"/>
      <c r="H118" s="74"/>
      <c r="I118" s="58"/>
      <c r="J118" s="26"/>
      <c r="K118" s="74"/>
      <c r="L118" s="58"/>
      <c r="M118" s="26"/>
      <c r="N118" s="74"/>
      <c r="O118" s="58"/>
      <c r="P118" s="58"/>
    </row>
    <row r="119" spans="1:16" x14ac:dyDescent="0.25">
      <c r="A119" s="26"/>
      <c r="B119" s="66"/>
      <c r="C119" s="58"/>
      <c r="D119" s="26"/>
      <c r="E119" s="74"/>
      <c r="F119" s="58"/>
      <c r="G119" s="26"/>
      <c r="H119" s="74"/>
      <c r="I119" s="58"/>
      <c r="J119" s="26"/>
      <c r="K119" s="74"/>
      <c r="L119" s="58"/>
      <c r="M119" s="26"/>
      <c r="N119" s="74"/>
      <c r="O119" s="58"/>
      <c r="P119" s="58"/>
    </row>
    <row r="120" spans="1:16" x14ac:dyDescent="0.25">
      <c r="A120" s="26"/>
      <c r="B120" s="66"/>
      <c r="C120" s="58"/>
      <c r="D120" s="26"/>
      <c r="E120" s="74"/>
      <c r="F120" s="58"/>
      <c r="G120" s="26"/>
      <c r="H120" s="74"/>
      <c r="I120" s="58"/>
      <c r="J120" s="26"/>
      <c r="K120" s="74"/>
      <c r="L120" s="58"/>
      <c r="M120" s="26"/>
      <c r="N120" s="74"/>
      <c r="O120" s="58"/>
      <c r="P120" s="58"/>
    </row>
    <row r="121" spans="1:16" x14ac:dyDescent="0.25">
      <c r="A121" s="26"/>
      <c r="B121" s="66"/>
      <c r="C121" s="58"/>
      <c r="D121" s="26"/>
      <c r="E121" s="74"/>
      <c r="F121" s="58"/>
      <c r="G121" s="26"/>
      <c r="H121" s="74"/>
      <c r="I121" s="58"/>
      <c r="J121" s="26"/>
      <c r="K121" s="74"/>
      <c r="L121" s="58"/>
      <c r="M121" s="26"/>
      <c r="N121" s="74"/>
      <c r="O121" s="58"/>
      <c r="P121" s="58"/>
    </row>
    <row r="122" spans="1:16" x14ac:dyDescent="0.25">
      <c r="A122" s="26"/>
      <c r="B122" s="66"/>
      <c r="C122" s="58"/>
      <c r="D122" s="26"/>
      <c r="E122" s="74"/>
      <c r="F122" s="58"/>
      <c r="G122" s="26"/>
      <c r="H122" s="74"/>
      <c r="I122" s="58"/>
      <c r="J122" s="26"/>
      <c r="K122" s="74"/>
      <c r="L122" s="58"/>
      <c r="M122" s="26"/>
      <c r="N122" s="74"/>
      <c r="O122" s="58"/>
      <c r="P122" s="58"/>
    </row>
    <row r="123" spans="1:16" x14ac:dyDescent="0.25">
      <c r="A123" s="26"/>
      <c r="B123" s="66"/>
      <c r="C123" s="58"/>
      <c r="D123" s="26"/>
      <c r="E123" s="74"/>
      <c r="F123" s="58"/>
      <c r="G123" s="26"/>
      <c r="H123" s="74"/>
      <c r="I123" s="58"/>
      <c r="J123" s="26"/>
      <c r="K123" s="74"/>
      <c r="L123" s="58"/>
      <c r="M123" s="26"/>
      <c r="N123" s="74"/>
      <c r="O123" s="58"/>
      <c r="P123" s="58"/>
    </row>
    <row r="124" spans="1:16" x14ac:dyDescent="0.25">
      <c r="A124" s="26"/>
      <c r="B124" s="66"/>
      <c r="C124" s="58"/>
      <c r="D124" s="26"/>
      <c r="E124" s="74"/>
      <c r="F124" s="58"/>
      <c r="G124" s="26"/>
      <c r="H124" s="74"/>
      <c r="I124" s="58"/>
      <c r="J124" s="26"/>
      <c r="K124" s="74"/>
      <c r="L124" s="58"/>
      <c r="M124" s="26"/>
      <c r="N124" s="74"/>
      <c r="O124" s="58"/>
      <c r="P124" s="58"/>
    </row>
    <row r="125" spans="1:16" x14ac:dyDescent="0.25">
      <c r="A125" s="26"/>
      <c r="B125" s="66"/>
      <c r="C125" s="58"/>
      <c r="D125" s="26"/>
      <c r="E125" s="74"/>
      <c r="F125" s="58"/>
      <c r="G125" s="26"/>
      <c r="H125" s="74"/>
      <c r="I125" s="58"/>
      <c r="J125" s="26"/>
      <c r="K125" s="74"/>
      <c r="L125" s="58"/>
      <c r="M125" s="26"/>
      <c r="N125" s="74"/>
      <c r="O125" s="58"/>
      <c r="P125" s="58"/>
    </row>
    <row r="126" spans="1:16" x14ac:dyDescent="0.25">
      <c r="A126" s="26"/>
      <c r="B126" s="66"/>
      <c r="C126" s="58"/>
      <c r="D126" s="26"/>
      <c r="E126" s="74"/>
      <c r="F126" s="58"/>
      <c r="G126" s="26"/>
      <c r="H126" s="74"/>
      <c r="I126" s="58"/>
      <c r="J126" s="26"/>
      <c r="K126" s="74"/>
      <c r="L126" s="58"/>
      <c r="M126" s="26"/>
      <c r="N126" s="74"/>
      <c r="O126" s="58"/>
      <c r="P126" s="58"/>
    </row>
    <row r="127" spans="1:16" x14ac:dyDescent="0.25">
      <c r="A127" s="26"/>
      <c r="B127" s="66"/>
      <c r="C127" s="58"/>
      <c r="D127" s="26"/>
      <c r="E127" s="74"/>
      <c r="F127" s="58"/>
      <c r="G127" s="26"/>
      <c r="H127" s="74"/>
      <c r="I127" s="58"/>
      <c r="J127" s="26"/>
      <c r="K127" s="74"/>
      <c r="L127" s="58"/>
      <c r="M127" s="26"/>
      <c r="N127" s="74"/>
      <c r="O127" s="58"/>
      <c r="P127" s="58"/>
    </row>
    <row r="128" spans="1:16" x14ac:dyDescent="0.25">
      <c r="A128" s="26"/>
      <c r="B128" s="66"/>
      <c r="C128" s="58"/>
      <c r="D128" s="26"/>
      <c r="E128" s="74"/>
      <c r="F128" s="58"/>
      <c r="G128" s="26"/>
      <c r="H128" s="74"/>
      <c r="I128" s="58"/>
      <c r="J128" s="26"/>
      <c r="K128" s="74"/>
      <c r="L128" s="58"/>
      <c r="M128" s="26"/>
      <c r="N128" s="74"/>
      <c r="O128" s="58"/>
      <c r="P128" s="58"/>
    </row>
    <row r="129" spans="1:16" x14ac:dyDescent="0.25">
      <c r="A129" s="26"/>
      <c r="B129" s="66"/>
      <c r="C129" s="58"/>
      <c r="D129" s="26"/>
      <c r="E129" s="74"/>
      <c r="F129" s="58"/>
      <c r="G129" s="26"/>
      <c r="H129" s="74"/>
      <c r="I129" s="58"/>
      <c r="J129" s="26"/>
      <c r="K129" s="74"/>
      <c r="L129" s="58"/>
      <c r="M129" s="26"/>
      <c r="N129" s="74"/>
      <c r="O129" s="58"/>
      <c r="P129" s="58"/>
    </row>
    <row r="130" spans="1:16" x14ac:dyDescent="0.25">
      <c r="A130" s="26"/>
      <c r="B130" s="66"/>
      <c r="C130" s="58"/>
      <c r="D130" s="26"/>
      <c r="E130" s="74"/>
      <c r="F130" s="58"/>
      <c r="G130" s="26"/>
      <c r="H130" s="74"/>
      <c r="I130" s="58"/>
      <c r="J130" s="26"/>
      <c r="K130" s="74"/>
      <c r="L130" s="58"/>
      <c r="M130" s="26"/>
      <c r="N130" s="74"/>
      <c r="O130" s="58"/>
      <c r="P130" s="58"/>
    </row>
    <row r="131" spans="1:16" x14ac:dyDescent="0.25">
      <c r="A131" s="26"/>
      <c r="B131" s="66"/>
      <c r="C131" s="58"/>
      <c r="D131" s="26"/>
      <c r="E131" s="74"/>
      <c r="F131" s="58"/>
      <c r="G131" s="26"/>
      <c r="H131" s="74"/>
      <c r="I131" s="58"/>
      <c r="J131" s="26"/>
      <c r="K131" s="74"/>
      <c r="L131" s="58"/>
      <c r="M131" s="26"/>
      <c r="N131" s="74"/>
      <c r="O131" s="58"/>
      <c r="P131" s="58"/>
    </row>
    <row r="132" spans="1:16" x14ac:dyDescent="0.25">
      <c r="A132" s="26"/>
      <c r="B132" s="66"/>
      <c r="C132" s="58"/>
      <c r="D132" s="26"/>
      <c r="E132" s="74"/>
      <c r="F132" s="58"/>
      <c r="G132" s="26"/>
      <c r="H132" s="74"/>
      <c r="I132" s="58"/>
      <c r="J132" s="26"/>
      <c r="K132" s="74"/>
      <c r="L132" s="58"/>
      <c r="M132" s="26"/>
      <c r="N132" s="74"/>
      <c r="O132" s="58"/>
      <c r="P132" s="58"/>
    </row>
    <row r="133" spans="1:16" x14ac:dyDescent="0.25">
      <c r="A133" s="26"/>
      <c r="B133" s="66"/>
      <c r="C133" s="58"/>
      <c r="D133" s="26"/>
      <c r="E133" s="74"/>
      <c r="F133" s="58"/>
      <c r="G133" s="26"/>
      <c r="H133" s="74"/>
      <c r="I133" s="58"/>
      <c r="J133" s="26"/>
      <c r="K133" s="74"/>
      <c r="L133" s="58"/>
      <c r="M133" s="26"/>
      <c r="N133" s="74"/>
      <c r="O133" s="58"/>
      <c r="P133" s="58"/>
    </row>
    <row r="134" spans="1:16" x14ac:dyDescent="0.25">
      <c r="A134" s="26"/>
      <c r="B134" s="66"/>
      <c r="C134" s="58"/>
      <c r="D134" s="26"/>
      <c r="E134" s="74"/>
      <c r="F134" s="58"/>
      <c r="G134" s="26"/>
      <c r="H134" s="74"/>
      <c r="I134" s="58"/>
      <c r="J134" s="26"/>
      <c r="K134" s="74"/>
      <c r="L134" s="58"/>
      <c r="M134" s="26"/>
      <c r="N134" s="74"/>
      <c r="O134" s="58"/>
      <c r="P134" s="58"/>
    </row>
    <row r="135" spans="1:16" x14ac:dyDescent="0.25">
      <c r="A135" s="26"/>
      <c r="B135" s="66"/>
      <c r="C135" s="58"/>
      <c r="D135" s="26"/>
      <c r="E135" s="74"/>
      <c r="F135" s="58"/>
      <c r="G135" s="26"/>
      <c r="H135" s="74"/>
      <c r="I135" s="58"/>
      <c r="J135" s="26"/>
      <c r="K135" s="74"/>
      <c r="L135" s="58"/>
      <c r="M135" s="26"/>
      <c r="N135" s="74"/>
      <c r="O135" s="58"/>
      <c r="P135" s="58"/>
    </row>
    <row r="136" spans="1:16" x14ac:dyDescent="0.25">
      <c r="A136" s="26"/>
      <c r="B136" s="66"/>
      <c r="C136" s="58"/>
      <c r="D136" s="26"/>
      <c r="E136" s="74"/>
      <c r="F136" s="58"/>
      <c r="G136" s="26"/>
      <c r="H136" s="74"/>
      <c r="I136" s="58"/>
      <c r="J136" s="26"/>
      <c r="K136" s="74"/>
      <c r="L136" s="58"/>
      <c r="M136" s="26"/>
      <c r="N136" s="74"/>
      <c r="O136" s="58"/>
      <c r="P136" s="58"/>
    </row>
    <row r="137" spans="1:16" x14ac:dyDescent="0.25">
      <c r="A137" s="26"/>
      <c r="B137" s="66"/>
      <c r="C137" s="58"/>
      <c r="D137" s="26"/>
      <c r="E137" s="74"/>
      <c r="F137" s="58"/>
      <c r="G137" s="26"/>
      <c r="H137" s="74"/>
      <c r="I137" s="58"/>
      <c r="J137" s="26"/>
      <c r="K137" s="74"/>
      <c r="L137" s="58"/>
      <c r="M137" s="26"/>
      <c r="N137" s="74"/>
      <c r="O137" s="58"/>
      <c r="P137" s="58"/>
    </row>
    <row r="138" spans="1:16" x14ac:dyDescent="0.25">
      <c r="A138" s="26"/>
      <c r="B138" s="66"/>
      <c r="C138" s="58"/>
      <c r="D138" s="26"/>
      <c r="E138" s="74"/>
      <c r="F138" s="58"/>
      <c r="G138" s="26"/>
      <c r="H138" s="74"/>
      <c r="I138" s="58"/>
      <c r="J138" s="26"/>
      <c r="K138" s="74"/>
      <c r="L138" s="58"/>
      <c r="M138" s="26"/>
      <c r="N138" s="74"/>
      <c r="O138" s="58"/>
      <c r="P138" s="58"/>
    </row>
    <row r="139" spans="1:16" x14ac:dyDescent="0.25">
      <c r="A139" s="26"/>
      <c r="B139" s="66"/>
      <c r="C139" s="58"/>
      <c r="D139" s="26"/>
      <c r="E139" s="74"/>
      <c r="F139" s="58"/>
      <c r="G139" s="26"/>
      <c r="H139" s="74"/>
      <c r="I139" s="58"/>
      <c r="J139" s="26"/>
      <c r="K139" s="74"/>
      <c r="L139" s="58"/>
      <c r="M139" s="26"/>
      <c r="N139" s="74"/>
      <c r="O139" s="58"/>
      <c r="P139" s="58"/>
    </row>
    <row r="140" spans="1:16" x14ac:dyDescent="0.25">
      <c r="A140" s="26"/>
      <c r="B140" s="66"/>
      <c r="C140" s="58"/>
      <c r="D140" s="26"/>
      <c r="E140" s="74"/>
      <c r="F140" s="58"/>
      <c r="G140" s="26"/>
      <c r="H140" s="74"/>
      <c r="I140" s="58"/>
      <c r="J140" s="26"/>
      <c r="K140" s="74"/>
      <c r="L140" s="58"/>
      <c r="M140" s="26"/>
      <c r="N140" s="74"/>
      <c r="O140" s="58"/>
      <c r="P140" s="58"/>
    </row>
    <row r="141" spans="1:16" x14ac:dyDescent="0.25">
      <c r="A141" s="26"/>
      <c r="B141" s="66"/>
      <c r="C141" s="58"/>
      <c r="D141" s="26"/>
      <c r="E141" s="74"/>
      <c r="F141" s="58"/>
      <c r="G141" s="26"/>
      <c r="H141" s="74"/>
      <c r="I141" s="58"/>
      <c r="J141" s="26"/>
      <c r="K141" s="74"/>
      <c r="L141" s="58"/>
      <c r="M141" s="26"/>
      <c r="N141" s="74"/>
      <c r="O141" s="58"/>
      <c r="P141" s="58"/>
    </row>
    <row r="142" spans="1:16" x14ac:dyDescent="0.25">
      <c r="A142" s="26"/>
      <c r="B142" s="66"/>
      <c r="C142" s="58"/>
      <c r="D142" s="26"/>
      <c r="E142" s="74"/>
      <c r="F142" s="58"/>
      <c r="G142" s="26"/>
      <c r="H142" s="74"/>
      <c r="I142" s="58"/>
      <c r="J142" s="26"/>
      <c r="K142" s="74"/>
      <c r="L142" s="58"/>
      <c r="M142" s="26"/>
      <c r="N142" s="74"/>
      <c r="O142" s="58"/>
      <c r="P142" s="58"/>
    </row>
    <row r="143" spans="1:16" x14ac:dyDescent="0.25">
      <c r="A143" s="26"/>
      <c r="B143" s="66"/>
      <c r="C143" s="58"/>
      <c r="D143" s="26"/>
      <c r="E143" s="74"/>
      <c r="F143" s="58"/>
      <c r="G143" s="26"/>
      <c r="H143" s="74"/>
      <c r="I143" s="58"/>
      <c r="J143" s="26"/>
      <c r="K143" s="74"/>
      <c r="L143" s="58"/>
      <c r="M143" s="26"/>
      <c r="N143" s="74"/>
      <c r="O143" s="58"/>
      <c r="P143" s="58"/>
    </row>
    <row r="144" spans="1:16" x14ac:dyDescent="0.25">
      <c r="A144" s="26"/>
      <c r="B144" s="66"/>
      <c r="C144" s="58"/>
      <c r="D144" s="26"/>
      <c r="E144" s="74"/>
      <c r="F144" s="58"/>
      <c r="G144" s="26"/>
      <c r="H144" s="74"/>
      <c r="I144" s="58"/>
      <c r="J144" s="26"/>
      <c r="K144" s="74"/>
      <c r="L144" s="58"/>
      <c r="M144" s="26"/>
      <c r="N144" s="74"/>
      <c r="O144" s="58"/>
      <c r="P144" s="58"/>
    </row>
    <row r="145" spans="1:16" x14ac:dyDescent="0.25">
      <c r="A145" s="26"/>
      <c r="B145" s="66"/>
      <c r="C145" s="58"/>
      <c r="D145" s="26"/>
      <c r="E145" s="74"/>
      <c r="F145" s="58"/>
      <c r="G145" s="26"/>
      <c r="H145" s="74"/>
      <c r="I145" s="58"/>
      <c r="J145" s="26"/>
      <c r="K145" s="74"/>
      <c r="L145" s="58"/>
      <c r="M145" s="26"/>
      <c r="N145" s="74"/>
      <c r="O145" s="58"/>
      <c r="P145" s="58"/>
    </row>
    <row r="146" spans="1:16" x14ac:dyDescent="0.25">
      <c r="A146" s="26"/>
      <c r="B146" s="66"/>
      <c r="C146" s="58"/>
      <c r="D146" s="26"/>
      <c r="E146" s="74"/>
      <c r="F146" s="58"/>
      <c r="G146" s="26"/>
      <c r="H146" s="74"/>
      <c r="I146" s="58"/>
      <c r="J146" s="26"/>
      <c r="K146" s="74"/>
      <c r="L146" s="58"/>
      <c r="M146" s="26"/>
      <c r="N146" s="74"/>
      <c r="O146" s="58"/>
      <c r="P146" s="58"/>
    </row>
    <row r="147" spans="1:16" x14ac:dyDescent="0.25">
      <c r="A147" s="26"/>
      <c r="B147" s="66"/>
      <c r="C147" s="58"/>
      <c r="D147" s="26"/>
      <c r="E147" s="74"/>
      <c r="F147" s="58"/>
      <c r="G147" s="26"/>
      <c r="H147" s="74"/>
      <c r="I147" s="58"/>
      <c r="J147" s="26"/>
      <c r="K147" s="74"/>
      <c r="L147" s="58"/>
      <c r="M147" s="26"/>
      <c r="N147" s="74"/>
      <c r="O147" s="58"/>
      <c r="P147" s="58"/>
    </row>
    <row r="148" spans="1:16" x14ac:dyDescent="0.25">
      <c r="A148" s="26"/>
      <c r="B148" s="66"/>
      <c r="C148" s="58"/>
      <c r="D148" s="26"/>
      <c r="E148" s="74"/>
      <c r="F148" s="58"/>
      <c r="G148" s="26"/>
      <c r="H148" s="74"/>
      <c r="I148" s="58"/>
      <c r="J148" s="26"/>
      <c r="K148" s="74"/>
      <c r="L148" s="58"/>
      <c r="M148" s="26"/>
      <c r="N148" s="74"/>
      <c r="O148" s="58"/>
      <c r="P148" s="58"/>
    </row>
    <row r="149" spans="1:16" x14ac:dyDescent="0.25">
      <c r="A149" s="26"/>
      <c r="B149" s="66"/>
      <c r="C149" s="58"/>
      <c r="D149" s="26"/>
      <c r="E149" s="74"/>
      <c r="F149" s="58"/>
      <c r="G149" s="26"/>
      <c r="H149" s="74"/>
      <c r="I149" s="58"/>
      <c r="J149" s="26"/>
      <c r="K149" s="74"/>
      <c r="L149" s="58"/>
      <c r="M149" s="26"/>
      <c r="N149" s="74"/>
      <c r="O149" s="58"/>
      <c r="P149" s="58"/>
    </row>
    <row r="150" spans="1:16" x14ac:dyDescent="0.25">
      <c r="A150" s="26"/>
      <c r="B150" s="66"/>
      <c r="C150" s="58"/>
      <c r="D150" s="26"/>
      <c r="E150" s="74"/>
      <c r="F150" s="58"/>
      <c r="G150" s="26"/>
      <c r="H150" s="74"/>
      <c r="I150" s="58"/>
      <c r="J150" s="26"/>
      <c r="K150" s="74"/>
      <c r="L150" s="58"/>
      <c r="M150" s="26"/>
      <c r="N150" s="74"/>
      <c r="O150" s="58"/>
      <c r="P150" s="58"/>
    </row>
    <row r="151" spans="1:16" x14ac:dyDescent="0.25">
      <c r="A151" s="26"/>
      <c r="B151" s="66"/>
      <c r="C151" s="58"/>
      <c r="D151" s="26"/>
      <c r="E151" s="74"/>
      <c r="F151" s="58"/>
      <c r="G151" s="26"/>
      <c r="H151" s="74"/>
      <c r="I151" s="58"/>
      <c r="J151" s="26"/>
      <c r="K151" s="74"/>
      <c r="L151" s="58"/>
      <c r="M151" s="26"/>
      <c r="N151" s="74"/>
      <c r="O151" s="58"/>
      <c r="P151" s="58"/>
    </row>
    <row r="152" spans="1:16" x14ac:dyDescent="0.25">
      <c r="A152" s="26"/>
      <c r="B152" s="66"/>
      <c r="C152" s="58"/>
      <c r="D152" s="26"/>
      <c r="E152" s="74"/>
      <c r="F152" s="58"/>
      <c r="G152" s="26"/>
      <c r="H152" s="74"/>
      <c r="I152" s="58"/>
      <c r="J152" s="26"/>
      <c r="K152" s="74"/>
      <c r="L152" s="58"/>
      <c r="M152" s="26"/>
      <c r="N152" s="74"/>
      <c r="O152" s="58"/>
      <c r="P152" s="58"/>
    </row>
    <row r="153" spans="1:16" x14ac:dyDescent="0.25">
      <c r="A153" s="26"/>
      <c r="B153" s="66"/>
      <c r="C153" s="58"/>
      <c r="D153" s="26"/>
      <c r="E153" s="74"/>
      <c r="F153" s="58"/>
      <c r="G153" s="26"/>
      <c r="H153" s="74"/>
      <c r="I153" s="58"/>
      <c r="J153" s="26"/>
      <c r="K153" s="74"/>
      <c r="L153" s="58"/>
      <c r="M153" s="26"/>
      <c r="N153" s="74"/>
      <c r="O153" s="58"/>
      <c r="P153" s="58"/>
    </row>
    <row r="154" spans="1:16" x14ac:dyDescent="0.25">
      <c r="A154" s="26"/>
      <c r="B154" s="66"/>
      <c r="C154" s="58"/>
      <c r="D154" s="26"/>
      <c r="E154" s="74"/>
      <c r="F154" s="58"/>
      <c r="G154" s="26"/>
      <c r="H154" s="74"/>
      <c r="I154" s="58"/>
      <c r="J154" s="26"/>
      <c r="K154" s="74"/>
      <c r="L154" s="58"/>
      <c r="M154" s="26"/>
      <c r="N154" s="74"/>
      <c r="O154" s="58"/>
      <c r="P154" s="58"/>
    </row>
    <row r="155" spans="1:16" x14ac:dyDescent="0.25">
      <c r="A155" s="26"/>
      <c r="B155" s="66"/>
      <c r="C155" s="58"/>
      <c r="D155" s="26"/>
      <c r="E155" s="74"/>
      <c r="F155" s="58"/>
      <c r="G155" s="26"/>
      <c r="H155" s="74"/>
      <c r="I155" s="58"/>
      <c r="J155" s="26"/>
      <c r="K155" s="74"/>
      <c r="L155" s="58"/>
      <c r="M155" s="26"/>
      <c r="N155" s="74"/>
      <c r="O155" s="58"/>
      <c r="P155" s="58"/>
    </row>
    <row r="156" spans="1:16" x14ac:dyDescent="0.25">
      <c r="A156" s="26"/>
      <c r="B156" s="66"/>
      <c r="C156" s="58"/>
      <c r="D156" s="26"/>
      <c r="E156" s="74"/>
      <c r="F156" s="58"/>
      <c r="G156" s="26"/>
      <c r="H156" s="74"/>
      <c r="I156" s="58"/>
      <c r="J156" s="26"/>
      <c r="K156" s="74"/>
      <c r="L156" s="58"/>
      <c r="M156" s="26"/>
      <c r="N156" s="74"/>
      <c r="O156" s="58"/>
      <c r="P156" s="58"/>
    </row>
    <row r="157" spans="1:16" x14ac:dyDescent="0.25">
      <c r="A157" s="26"/>
      <c r="B157" s="66"/>
      <c r="C157" s="58"/>
      <c r="D157" s="26"/>
      <c r="E157" s="74"/>
      <c r="F157" s="58"/>
      <c r="G157" s="26"/>
      <c r="H157" s="74"/>
      <c r="I157" s="58"/>
      <c r="J157" s="26"/>
      <c r="K157" s="74"/>
      <c r="L157" s="58"/>
      <c r="M157" s="26"/>
      <c r="N157" s="74"/>
      <c r="O157" s="58"/>
      <c r="P157" s="58"/>
    </row>
    <row r="158" spans="1:16" x14ac:dyDescent="0.25">
      <c r="A158" s="26"/>
      <c r="B158" s="66"/>
      <c r="C158" s="58"/>
      <c r="D158" s="26"/>
      <c r="E158" s="74"/>
      <c r="F158" s="58"/>
      <c r="G158" s="26"/>
      <c r="H158" s="74"/>
      <c r="I158" s="58"/>
      <c r="J158" s="26"/>
      <c r="K158" s="74"/>
      <c r="L158" s="58"/>
      <c r="M158" s="26"/>
      <c r="N158" s="74"/>
      <c r="O158" s="58"/>
      <c r="P158" s="58"/>
    </row>
    <row r="159" spans="1:16" x14ac:dyDescent="0.25">
      <c r="A159" s="26"/>
      <c r="B159" s="66"/>
      <c r="C159" s="58"/>
      <c r="D159" s="26"/>
      <c r="E159" s="74"/>
      <c r="F159" s="58"/>
      <c r="G159" s="26"/>
      <c r="H159" s="74"/>
      <c r="I159" s="58"/>
      <c r="J159" s="26"/>
      <c r="K159" s="74"/>
      <c r="L159" s="58"/>
      <c r="M159" s="26"/>
      <c r="N159" s="74"/>
      <c r="O159" s="58"/>
      <c r="P159" s="58"/>
    </row>
    <row r="160" spans="1:16" x14ac:dyDescent="0.25">
      <c r="A160" s="26"/>
      <c r="B160" s="66"/>
      <c r="C160" s="58"/>
      <c r="D160" s="26"/>
      <c r="E160" s="74"/>
      <c r="F160" s="58"/>
      <c r="G160" s="26"/>
      <c r="H160" s="74"/>
      <c r="I160" s="58"/>
      <c r="J160" s="26"/>
      <c r="K160" s="74"/>
      <c r="L160" s="58"/>
      <c r="M160" s="26"/>
      <c r="N160" s="74"/>
      <c r="O160" s="58"/>
      <c r="P160" s="58"/>
    </row>
    <row r="161" spans="1:16" x14ac:dyDescent="0.25">
      <c r="A161" s="26"/>
      <c r="B161" s="66"/>
      <c r="C161" s="58"/>
      <c r="D161" s="26"/>
      <c r="E161" s="74"/>
      <c r="F161" s="58"/>
      <c r="G161" s="26"/>
      <c r="H161" s="74"/>
      <c r="I161" s="58"/>
      <c r="J161" s="26"/>
      <c r="K161" s="74"/>
      <c r="L161" s="58"/>
      <c r="M161" s="26"/>
      <c r="N161" s="74"/>
      <c r="O161" s="58"/>
      <c r="P161" s="58"/>
    </row>
    <row r="162" spans="1:16" x14ac:dyDescent="0.25">
      <c r="A162" s="26"/>
      <c r="B162" s="66"/>
      <c r="C162" s="58"/>
      <c r="D162" s="26"/>
      <c r="E162" s="74"/>
      <c r="F162" s="58"/>
      <c r="G162" s="26"/>
      <c r="H162" s="74"/>
      <c r="I162" s="58"/>
      <c r="J162" s="26"/>
      <c r="K162" s="74"/>
      <c r="L162" s="58"/>
      <c r="M162" s="26"/>
      <c r="N162" s="74"/>
      <c r="O162" s="58"/>
      <c r="P162" s="58"/>
    </row>
    <row r="163" spans="1:16" x14ac:dyDescent="0.25">
      <c r="A163" s="26"/>
      <c r="B163" s="66"/>
      <c r="C163" s="58"/>
      <c r="D163" s="26"/>
      <c r="E163" s="74"/>
      <c r="F163" s="58"/>
      <c r="G163" s="26"/>
      <c r="H163" s="74"/>
      <c r="I163" s="58"/>
      <c r="J163" s="26"/>
      <c r="K163" s="74"/>
      <c r="L163" s="58"/>
      <c r="M163" s="26"/>
      <c r="N163" s="74"/>
      <c r="O163" s="58"/>
      <c r="P163" s="58"/>
    </row>
    <row r="164" spans="1:16" x14ac:dyDescent="0.25">
      <c r="A164" s="26"/>
      <c r="B164" s="66"/>
      <c r="C164" s="58"/>
      <c r="D164" s="26"/>
      <c r="E164" s="74"/>
      <c r="F164" s="58"/>
      <c r="G164" s="26"/>
      <c r="H164" s="74"/>
      <c r="I164" s="58"/>
      <c r="J164" s="26"/>
      <c r="K164" s="74"/>
      <c r="L164" s="58"/>
      <c r="M164" s="26"/>
      <c r="N164" s="74"/>
      <c r="O164" s="58"/>
      <c r="P164" s="58"/>
    </row>
    <row r="165" spans="1:16" x14ac:dyDescent="0.25">
      <c r="A165" s="26"/>
      <c r="B165" s="66"/>
      <c r="C165" s="58"/>
      <c r="D165" s="26"/>
      <c r="E165" s="74"/>
      <c r="F165" s="58"/>
      <c r="G165" s="26"/>
      <c r="H165" s="74"/>
      <c r="I165" s="58"/>
      <c r="J165" s="26"/>
      <c r="K165" s="74"/>
      <c r="L165" s="58"/>
      <c r="M165" s="26"/>
      <c r="N165" s="74"/>
      <c r="O165" s="58"/>
      <c r="P165" s="58"/>
    </row>
    <row r="166" spans="1:16" x14ac:dyDescent="0.25">
      <c r="A166" s="26"/>
      <c r="B166" s="66"/>
      <c r="C166" s="58"/>
      <c r="D166" s="26"/>
      <c r="E166" s="74"/>
      <c r="F166" s="58"/>
      <c r="G166" s="26"/>
      <c r="H166" s="74"/>
      <c r="I166" s="58"/>
      <c r="J166" s="26"/>
      <c r="K166" s="74"/>
      <c r="L166" s="58"/>
      <c r="M166" s="26"/>
      <c r="N166" s="74"/>
      <c r="O166" s="58"/>
      <c r="P166" s="58"/>
    </row>
    <row r="167" spans="1:16" x14ac:dyDescent="0.25">
      <c r="A167" s="26"/>
      <c r="B167" s="66"/>
      <c r="C167" s="58"/>
      <c r="D167" s="26"/>
      <c r="E167" s="74"/>
      <c r="F167" s="58"/>
      <c r="G167" s="26"/>
      <c r="H167" s="74"/>
      <c r="I167" s="58"/>
      <c r="J167" s="26"/>
      <c r="K167" s="74"/>
      <c r="L167" s="58"/>
      <c r="M167" s="26"/>
      <c r="N167" s="74"/>
      <c r="O167" s="58"/>
      <c r="P167" s="58"/>
    </row>
    <row r="168" spans="1:16" x14ac:dyDescent="0.25">
      <c r="A168" s="26"/>
      <c r="B168" s="66"/>
      <c r="C168" s="58"/>
      <c r="D168" s="26"/>
      <c r="E168" s="74"/>
      <c r="F168" s="58"/>
      <c r="G168" s="26"/>
      <c r="H168" s="74"/>
      <c r="I168" s="58"/>
      <c r="J168" s="26"/>
      <c r="K168" s="74"/>
      <c r="L168" s="58"/>
      <c r="M168" s="26"/>
      <c r="N168" s="74"/>
      <c r="O168" s="58"/>
      <c r="P168" s="58"/>
    </row>
    <row r="169" spans="1:16" x14ac:dyDescent="0.25">
      <c r="A169" s="26"/>
      <c r="B169" s="66"/>
      <c r="C169" s="58"/>
      <c r="D169" s="26"/>
      <c r="E169" s="74"/>
      <c r="F169" s="58"/>
      <c r="G169" s="26"/>
      <c r="H169" s="74"/>
      <c r="I169" s="58"/>
      <c r="J169" s="26"/>
      <c r="K169" s="74"/>
      <c r="L169" s="58"/>
      <c r="M169" s="26"/>
      <c r="N169" s="74"/>
      <c r="O169" s="58"/>
      <c r="P169" s="58"/>
    </row>
    <row r="170" spans="1:16" x14ac:dyDescent="0.25">
      <c r="A170" s="26"/>
      <c r="B170" s="66"/>
      <c r="C170" s="58"/>
      <c r="D170" s="26"/>
      <c r="E170" s="74"/>
      <c r="F170" s="58"/>
      <c r="G170" s="26"/>
      <c r="H170" s="74"/>
      <c r="I170" s="58"/>
      <c r="J170" s="26"/>
      <c r="K170" s="74"/>
      <c r="L170" s="58"/>
      <c r="M170" s="26"/>
      <c r="N170" s="74"/>
      <c r="O170" s="58"/>
      <c r="P170" s="58"/>
    </row>
    <row r="171" spans="1:16" x14ac:dyDescent="0.25">
      <c r="A171" s="26"/>
      <c r="B171" s="66"/>
      <c r="C171" s="58"/>
      <c r="D171" s="26"/>
      <c r="E171" s="74"/>
      <c r="F171" s="58"/>
      <c r="G171" s="26"/>
      <c r="H171" s="74"/>
      <c r="I171" s="58"/>
      <c r="J171" s="26"/>
      <c r="K171" s="74"/>
      <c r="L171" s="58"/>
      <c r="M171" s="26"/>
      <c r="N171" s="74"/>
      <c r="O171" s="58"/>
      <c r="P171" s="58"/>
    </row>
    <row r="172" spans="1:16" x14ac:dyDescent="0.25">
      <c r="A172" s="26"/>
      <c r="B172" s="66"/>
      <c r="C172" s="58"/>
      <c r="D172" s="26"/>
      <c r="E172" s="74"/>
      <c r="F172" s="58"/>
      <c r="G172" s="26"/>
      <c r="H172" s="74"/>
      <c r="I172" s="58"/>
      <c r="J172" s="26"/>
      <c r="K172" s="74"/>
      <c r="L172" s="58"/>
      <c r="M172" s="26"/>
      <c r="N172" s="74"/>
      <c r="O172" s="58"/>
      <c r="P172" s="58"/>
    </row>
    <row r="173" spans="1:16" x14ac:dyDescent="0.25">
      <c r="A173" s="26"/>
      <c r="B173" s="66"/>
      <c r="C173" s="58"/>
      <c r="D173" s="26"/>
      <c r="E173" s="74"/>
      <c r="F173" s="58"/>
      <c r="G173" s="26"/>
      <c r="H173" s="74"/>
      <c r="I173" s="58"/>
      <c r="J173" s="26"/>
      <c r="K173" s="74"/>
      <c r="L173" s="58"/>
      <c r="M173" s="26"/>
      <c r="N173" s="74"/>
      <c r="O173" s="58"/>
      <c r="P173" s="58"/>
    </row>
    <row r="174" spans="1:16" x14ac:dyDescent="0.25">
      <c r="A174" s="26"/>
      <c r="B174" s="66"/>
      <c r="C174" s="58"/>
      <c r="D174" s="26"/>
      <c r="E174" s="74"/>
      <c r="F174" s="58"/>
      <c r="G174" s="26"/>
      <c r="H174" s="74"/>
      <c r="I174" s="58"/>
      <c r="J174" s="26"/>
      <c r="K174" s="74"/>
      <c r="L174" s="58"/>
      <c r="M174" s="26"/>
      <c r="N174" s="74"/>
      <c r="O174" s="58"/>
      <c r="P174" s="58"/>
    </row>
    <row r="175" spans="1:16" x14ac:dyDescent="0.25">
      <c r="A175" s="26"/>
      <c r="B175" s="66"/>
      <c r="C175" s="58"/>
      <c r="D175" s="26"/>
      <c r="E175" s="58"/>
      <c r="F175" s="58"/>
      <c r="G175" s="26"/>
      <c r="H175" s="58"/>
      <c r="I175" s="58"/>
      <c r="J175" s="26"/>
      <c r="K175" s="74"/>
      <c r="L175" s="58"/>
      <c r="M175" s="58"/>
      <c r="N175" s="58"/>
      <c r="O175" s="58"/>
      <c r="P175" s="58"/>
    </row>
    <row r="176" spans="1:16" x14ac:dyDescent="0.25">
      <c r="A176" s="26"/>
      <c r="B176" s="6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  <c r="P176" s="58"/>
    </row>
    <row r="177" spans="1:16" x14ac:dyDescent="0.25">
      <c r="A177" s="26"/>
      <c r="B177" s="6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  <c r="P177" s="58"/>
    </row>
    <row r="178" spans="1:16" x14ac:dyDescent="0.25">
      <c r="A178" s="26"/>
      <c r="B178" s="6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6" x14ac:dyDescent="0.25">
      <c r="A179" s="26"/>
      <c r="B179" s="6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6" x14ac:dyDescent="0.25">
      <c r="A180" s="26"/>
      <c r="B180" s="6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6" x14ac:dyDescent="0.25">
      <c r="A181" s="26"/>
      <c r="B181" s="6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6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6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6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6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6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6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6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6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6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6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6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6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6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A535" s="26"/>
      <c r="B535" s="66"/>
      <c r="C535" s="58"/>
      <c r="D535" s="26"/>
      <c r="E535" s="58"/>
      <c r="F535" s="58"/>
      <c r="G535" s="26"/>
      <c r="H535" s="58"/>
      <c r="I535" s="58"/>
      <c r="J535" s="26"/>
      <c r="K535" s="58"/>
      <c r="L535" s="58"/>
      <c r="M535" s="58"/>
      <c r="N535" s="58"/>
      <c r="O535" s="58"/>
    </row>
    <row r="536" spans="1:15" x14ac:dyDescent="0.25">
      <c r="J536" s="26"/>
      <c r="K536" s="58"/>
      <c r="L536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536"/>
  <sheetViews>
    <sheetView topLeftCell="A5" zoomScale="90" zoomScaleNormal="90" workbookViewId="0">
      <pane ySplit="3" topLeftCell="A44" activePane="bottomLeft" state="frozen"/>
      <selection activeCell="A5" sqref="A5"/>
      <selection pane="bottomLeft" activeCell="N63" sqref="N63"/>
    </sheetView>
  </sheetViews>
  <sheetFormatPr baseColWidth="10" defaultRowHeight="15" x14ac:dyDescent="0.25"/>
  <cols>
    <col min="1" max="1" width="7.7109375" style="6" customWidth="1"/>
    <col min="2" max="2" width="9.140625" style="6" customWidth="1"/>
    <col min="3" max="3" width="23.7109375" customWidth="1"/>
    <col min="4" max="4" width="7.7109375" style="6" customWidth="1"/>
    <col min="5" max="5" width="9.28515625" customWidth="1"/>
    <col min="6" max="6" width="23.7109375" customWidth="1"/>
    <col min="7" max="7" width="7.7109375" style="6" customWidth="1"/>
    <col min="8" max="8" width="9.140625" customWidth="1"/>
    <col min="9" max="9" width="23.7109375" customWidth="1"/>
    <col min="10" max="10" width="7.7109375" style="6" customWidth="1"/>
    <col min="11" max="11" width="9.140625" customWidth="1"/>
    <col min="12" max="12" width="26.85546875" customWidth="1"/>
    <col min="13" max="13" width="7.85546875" style="6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34">
        <v>2336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6" t="s">
        <v>11</v>
      </c>
      <c r="M1" s="136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37" t="s">
        <v>8</v>
      </c>
      <c r="D3" s="137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38" t="s">
        <v>0</v>
      </c>
      <c r="B5" s="138"/>
      <c r="C5" s="138"/>
      <c r="D5" s="139" t="s">
        <v>4</v>
      </c>
      <c r="E5" s="139"/>
      <c r="F5" s="139"/>
      <c r="G5" s="140" t="s">
        <v>5</v>
      </c>
      <c r="H5" s="140"/>
      <c r="I5" s="140"/>
      <c r="J5" s="145" t="s">
        <v>6</v>
      </c>
      <c r="K5" s="145"/>
      <c r="L5" s="145"/>
      <c r="M5" s="133" t="s">
        <v>12</v>
      </c>
      <c r="N5" s="133"/>
      <c r="O5" s="133"/>
      <c r="Q5" s="142" t="s">
        <v>13</v>
      </c>
      <c r="R5" s="142"/>
    </row>
    <row r="6" spans="1:18" x14ac:dyDescent="0.25">
      <c r="A6" s="8">
        <f>SUBTOTAL(3,A8:A122)</f>
        <v>78</v>
      </c>
      <c r="B6" s="126">
        <f>SUBTOTAL(9,B8:B122)</f>
        <v>46225</v>
      </c>
      <c r="C6" s="35">
        <v>44472</v>
      </c>
      <c r="D6" s="8">
        <f>SUBTOTAL(3,D8:D91)</f>
        <v>48</v>
      </c>
      <c r="E6" s="126">
        <f>SUBTOTAL(9,E8:E122)</f>
        <v>29950</v>
      </c>
      <c r="F6" s="38">
        <v>44479</v>
      </c>
      <c r="G6" s="8">
        <f>SUBTOTAL(3,G8:G120)</f>
        <v>42</v>
      </c>
      <c r="H6" s="126">
        <f>SUBTOTAL(9,H8:H122)</f>
        <v>25750</v>
      </c>
      <c r="I6" s="39">
        <v>44486</v>
      </c>
      <c r="J6" s="8">
        <f>SUBTOTAL(3,J8:J111)</f>
        <v>31</v>
      </c>
      <c r="K6" s="126">
        <f>SUBTOTAL(9,K8:K122)</f>
        <v>22500</v>
      </c>
      <c r="L6" s="63">
        <v>44493</v>
      </c>
      <c r="M6" s="8">
        <f>SUBTOTAL(3,M8:M120)</f>
        <v>40</v>
      </c>
      <c r="N6" s="126">
        <f>SUBTOTAL(9,N8:N122)</f>
        <v>25600</v>
      </c>
      <c r="O6" s="81">
        <v>44500</v>
      </c>
      <c r="Q6" s="30">
        <f>+A6+D6+G6+J6+M6</f>
        <v>239</v>
      </c>
      <c r="R6" s="29">
        <f>+B6+E6+H6+K6+N6</f>
        <v>150025</v>
      </c>
    </row>
    <row r="7" spans="1:18" x14ac:dyDescent="0.25">
      <c r="A7" s="46" t="s">
        <v>1</v>
      </c>
      <c r="B7" s="46" t="s">
        <v>3</v>
      </c>
      <c r="C7" s="46" t="s">
        <v>2</v>
      </c>
      <c r="D7" s="47" t="s">
        <v>1</v>
      </c>
      <c r="E7" s="47" t="s">
        <v>3</v>
      </c>
      <c r="F7" s="47" t="s">
        <v>2</v>
      </c>
      <c r="G7" s="48" t="s">
        <v>1</v>
      </c>
      <c r="H7" s="48" t="s">
        <v>3</v>
      </c>
      <c r="I7" s="48" t="s">
        <v>2</v>
      </c>
      <c r="J7" s="60" t="s">
        <v>1</v>
      </c>
      <c r="K7" s="60" t="s">
        <v>3</v>
      </c>
      <c r="L7" s="60" t="s">
        <v>2</v>
      </c>
      <c r="M7" s="98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25961</v>
      </c>
      <c r="B8" s="49">
        <v>500</v>
      </c>
      <c r="C8" s="17"/>
      <c r="D8" s="13">
        <v>26039</v>
      </c>
      <c r="E8" s="70">
        <v>700</v>
      </c>
      <c r="F8" s="14" t="s">
        <v>483</v>
      </c>
      <c r="G8" s="11">
        <v>26087</v>
      </c>
      <c r="H8" s="67">
        <v>1000</v>
      </c>
      <c r="I8" s="12" t="s">
        <v>467</v>
      </c>
      <c r="J8" s="61">
        <v>26129</v>
      </c>
      <c r="K8" s="71">
        <v>900</v>
      </c>
      <c r="L8" s="62" t="s">
        <v>509</v>
      </c>
      <c r="M8" s="75">
        <v>26160</v>
      </c>
      <c r="N8" s="73">
        <v>1200</v>
      </c>
      <c r="O8" s="15" t="s">
        <v>523</v>
      </c>
      <c r="Q8" s="32"/>
      <c r="R8" s="32"/>
    </row>
    <row r="9" spans="1:18" x14ac:dyDescent="0.25">
      <c r="A9" s="16">
        <v>25962</v>
      </c>
      <c r="B9" s="49">
        <v>500</v>
      </c>
      <c r="C9" s="17"/>
      <c r="D9" s="13">
        <v>26040</v>
      </c>
      <c r="E9" s="70">
        <v>500</v>
      </c>
      <c r="F9" s="14" t="s">
        <v>427</v>
      </c>
      <c r="G9" s="11">
        <v>26088</v>
      </c>
      <c r="H9" s="67">
        <v>300</v>
      </c>
      <c r="I9" s="12" t="s">
        <v>502</v>
      </c>
      <c r="J9" s="61"/>
      <c r="K9" s="71"/>
      <c r="L9" s="62" t="s">
        <v>18</v>
      </c>
      <c r="M9" s="75"/>
      <c r="N9" s="73"/>
      <c r="O9" s="15" t="s">
        <v>17</v>
      </c>
    </row>
    <row r="10" spans="1:18" x14ac:dyDescent="0.25">
      <c r="A10" s="16">
        <v>25963</v>
      </c>
      <c r="B10" s="49">
        <v>500</v>
      </c>
      <c r="C10" s="17"/>
      <c r="D10" s="13">
        <v>26041</v>
      </c>
      <c r="E10" s="70">
        <v>250</v>
      </c>
      <c r="F10" s="14"/>
      <c r="G10" s="11">
        <v>26089</v>
      </c>
      <c r="H10" s="67">
        <v>600</v>
      </c>
      <c r="I10" s="12" t="s">
        <v>469</v>
      </c>
      <c r="J10" s="61">
        <v>26130</v>
      </c>
      <c r="K10" s="71">
        <v>500</v>
      </c>
      <c r="L10" s="62"/>
      <c r="M10" s="75">
        <v>26161</v>
      </c>
      <c r="N10" s="73">
        <v>500</v>
      </c>
      <c r="O10" s="15"/>
    </row>
    <row r="11" spans="1:18" x14ac:dyDescent="0.25">
      <c r="A11" s="16">
        <v>25964</v>
      </c>
      <c r="B11" s="49">
        <v>300</v>
      </c>
      <c r="C11" s="17"/>
      <c r="D11" s="13">
        <v>26042</v>
      </c>
      <c r="E11" s="70">
        <v>500</v>
      </c>
      <c r="F11" s="14"/>
      <c r="G11" s="11">
        <v>26090</v>
      </c>
      <c r="H11" s="67">
        <v>300</v>
      </c>
      <c r="I11" s="12"/>
      <c r="J11" s="61">
        <v>26131</v>
      </c>
      <c r="K11" s="71">
        <v>1000</v>
      </c>
      <c r="L11" s="62" t="s">
        <v>192</v>
      </c>
      <c r="M11" s="75">
        <v>26162</v>
      </c>
      <c r="N11" s="73">
        <v>700</v>
      </c>
      <c r="O11" s="15"/>
    </row>
    <row r="12" spans="1:18" x14ac:dyDescent="0.25">
      <c r="A12" s="16">
        <v>25965</v>
      </c>
      <c r="B12" s="49">
        <v>900</v>
      </c>
      <c r="C12" s="17" t="s">
        <v>487</v>
      </c>
      <c r="D12" s="13">
        <v>26043</v>
      </c>
      <c r="E12" s="70">
        <v>250</v>
      </c>
      <c r="F12" s="109"/>
      <c r="G12" s="11">
        <v>26091</v>
      </c>
      <c r="H12" s="67">
        <v>500</v>
      </c>
      <c r="I12" s="12" t="s">
        <v>427</v>
      </c>
      <c r="J12" s="61">
        <v>26132</v>
      </c>
      <c r="K12" s="71">
        <v>1000</v>
      </c>
      <c r="L12" s="62" t="s">
        <v>326</v>
      </c>
      <c r="M12" s="75">
        <v>26163</v>
      </c>
      <c r="N12" s="73">
        <v>250</v>
      </c>
      <c r="O12" s="15" t="s">
        <v>459</v>
      </c>
    </row>
    <row r="13" spans="1:18" x14ac:dyDescent="0.25">
      <c r="A13" s="16"/>
      <c r="B13" s="49"/>
      <c r="C13" s="17" t="s">
        <v>18</v>
      </c>
      <c r="D13" s="13">
        <v>26044</v>
      </c>
      <c r="E13" s="70">
        <v>350</v>
      </c>
      <c r="F13" s="14" t="s">
        <v>427</v>
      </c>
      <c r="G13" s="11">
        <v>26092</v>
      </c>
      <c r="H13" s="67">
        <v>250</v>
      </c>
      <c r="I13" s="12" t="s">
        <v>503</v>
      </c>
      <c r="J13" s="61">
        <v>26133</v>
      </c>
      <c r="K13" s="71">
        <v>1000</v>
      </c>
      <c r="L13" s="62" t="s">
        <v>465</v>
      </c>
      <c r="M13" s="75">
        <v>26164</v>
      </c>
      <c r="N13" s="73">
        <v>500</v>
      </c>
      <c r="O13" s="15" t="s">
        <v>459</v>
      </c>
    </row>
    <row r="14" spans="1:18" x14ac:dyDescent="0.25">
      <c r="A14" s="16">
        <v>25966</v>
      </c>
      <c r="B14" s="49">
        <v>500</v>
      </c>
      <c r="C14" s="17" t="s">
        <v>427</v>
      </c>
      <c r="D14" s="13">
        <v>26045</v>
      </c>
      <c r="E14" s="70">
        <v>950</v>
      </c>
      <c r="F14" s="14" t="s">
        <v>497</v>
      </c>
      <c r="G14" s="11">
        <v>26093</v>
      </c>
      <c r="H14" s="67">
        <v>500</v>
      </c>
      <c r="I14" s="12"/>
      <c r="J14" s="61">
        <v>26134</v>
      </c>
      <c r="K14" s="71">
        <v>1000</v>
      </c>
      <c r="L14" s="62" t="s">
        <v>467</v>
      </c>
      <c r="M14" s="75">
        <v>26165</v>
      </c>
      <c r="N14" s="73">
        <v>600</v>
      </c>
      <c r="O14" s="31" t="s">
        <v>459</v>
      </c>
    </row>
    <row r="15" spans="1:18" x14ac:dyDescent="0.25">
      <c r="A15" s="16">
        <v>25967</v>
      </c>
      <c r="B15" s="49">
        <v>1500</v>
      </c>
      <c r="C15" s="17" t="s">
        <v>487</v>
      </c>
      <c r="D15" s="13"/>
      <c r="E15" s="70"/>
      <c r="F15" s="14" t="s">
        <v>498</v>
      </c>
      <c r="G15" s="11">
        <v>26094</v>
      </c>
      <c r="H15" s="67">
        <v>1500</v>
      </c>
      <c r="I15" s="12" t="s">
        <v>487</v>
      </c>
      <c r="J15" s="61">
        <v>26135</v>
      </c>
      <c r="K15" s="71">
        <v>600</v>
      </c>
      <c r="L15" s="62" t="s">
        <v>510</v>
      </c>
      <c r="M15" s="75">
        <v>26166</v>
      </c>
      <c r="N15" s="73">
        <v>550</v>
      </c>
      <c r="O15" s="15" t="s">
        <v>524</v>
      </c>
    </row>
    <row r="16" spans="1:18" x14ac:dyDescent="0.25">
      <c r="A16" s="16"/>
      <c r="B16" s="49"/>
      <c r="C16" s="17" t="s">
        <v>64</v>
      </c>
      <c r="D16" s="13">
        <v>26046</v>
      </c>
      <c r="E16" s="70">
        <v>250</v>
      </c>
      <c r="F16" s="14" t="s">
        <v>427</v>
      </c>
      <c r="G16" s="11"/>
      <c r="H16" s="67"/>
      <c r="I16" s="12" t="s">
        <v>64</v>
      </c>
      <c r="J16" s="61">
        <v>26136</v>
      </c>
      <c r="K16" s="71">
        <v>600</v>
      </c>
      <c r="L16" s="62" t="s">
        <v>511</v>
      </c>
      <c r="M16" s="75">
        <v>26167</v>
      </c>
      <c r="N16" s="73">
        <v>1000</v>
      </c>
      <c r="O16" s="15" t="s">
        <v>490</v>
      </c>
    </row>
    <row r="17" spans="1:15" x14ac:dyDescent="0.25">
      <c r="A17" s="16">
        <v>25968</v>
      </c>
      <c r="B17" s="49">
        <v>300</v>
      </c>
      <c r="C17" s="17"/>
      <c r="D17" s="13">
        <v>26047</v>
      </c>
      <c r="E17" s="70">
        <v>500</v>
      </c>
      <c r="F17" s="14" t="s">
        <v>427</v>
      </c>
      <c r="G17" s="11">
        <v>26095</v>
      </c>
      <c r="H17" s="67">
        <v>500</v>
      </c>
      <c r="I17" s="12"/>
      <c r="J17" s="61">
        <v>26137</v>
      </c>
      <c r="K17" s="71">
        <v>500</v>
      </c>
      <c r="L17" s="62" t="s">
        <v>512</v>
      </c>
      <c r="M17" s="75"/>
      <c r="N17" s="73"/>
      <c r="O17" s="15" t="s">
        <v>64</v>
      </c>
    </row>
    <row r="18" spans="1:15" x14ac:dyDescent="0.25">
      <c r="A18" s="16">
        <v>25969</v>
      </c>
      <c r="B18" s="49">
        <v>500</v>
      </c>
      <c r="C18" s="17"/>
      <c r="D18" s="13">
        <v>26048</v>
      </c>
      <c r="E18" s="70">
        <v>500</v>
      </c>
      <c r="F18" s="14" t="s">
        <v>489</v>
      </c>
      <c r="G18" s="11">
        <v>26096</v>
      </c>
      <c r="H18" s="67">
        <v>1000</v>
      </c>
      <c r="I18" s="12" t="s">
        <v>467</v>
      </c>
      <c r="J18" s="61">
        <v>26138</v>
      </c>
      <c r="K18" s="71">
        <v>500</v>
      </c>
      <c r="L18" s="62"/>
      <c r="M18" s="75">
        <v>26168</v>
      </c>
      <c r="N18" s="73">
        <v>1250</v>
      </c>
      <c r="O18" s="15" t="s">
        <v>525</v>
      </c>
    </row>
    <row r="19" spans="1:15" x14ac:dyDescent="0.25">
      <c r="A19" s="16">
        <v>25970</v>
      </c>
      <c r="B19" s="49">
        <v>500</v>
      </c>
      <c r="C19" s="17" t="s">
        <v>410</v>
      </c>
      <c r="D19" s="13">
        <v>26049</v>
      </c>
      <c r="E19" s="70">
        <v>1000</v>
      </c>
      <c r="F19" s="14" t="s">
        <v>490</v>
      </c>
      <c r="G19" s="11">
        <v>26097</v>
      </c>
      <c r="H19" s="67">
        <v>300</v>
      </c>
      <c r="I19" s="12" t="s">
        <v>504</v>
      </c>
      <c r="J19" s="61">
        <v>26139</v>
      </c>
      <c r="K19" s="71">
        <v>500</v>
      </c>
      <c r="L19" s="62" t="s">
        <v>513</v>
      </c>
      <c r="M19" s="75"/>
      <c r="N19" s="73"/>
      <c r="O19" s="15" t="s">
        <v>526</v>
      </c>
    </row>
    <row r="20" spans="1:15" x14ac:dyDescent="0.25">
      <c r="A20" s="16"/>
      <c r="B20" s="49"/>
      <c r="C20" s="17" t="s">
        <v>16</v>
      </c>
      <c r="D20" s="13">
        <v>26050</v>
      </c>
      <c r="E20" s="70">
        <v>100</v>
      </c>
      <c r="F20" s="14" t="s">
        <v>439</v>
      </c>
      <c r="G20" s="11">
        <v>26098</v>
      </c>
      <c r="H20" s="67">
        <v>1500</v>
      </c>
      <c r="I20" s="12" t="s">
        <v>500</v>
      </c>
      <c r="J20" s="61">
        <v>26140</v>
      </c>
      <c r="K20" s="71">
        <v>1000</v>
      </c>
      <c r="L20" s="62" t="s">
        <v>514</v>
      </c>
      <c r="M20" s="75">
        <v>26169</v>
      </c>
      <c r="N20" s="73">
        <v>700</v>
      </c>
      <c r="O20" s="15" t="s">
        <v>459</v>
      </c>
    </row>
    <row r="21" spans="1:15" x14ac:dyDescent="0.25">
      <c r="A21" s="16">
        <v>25971</v>
      </c>
      <c r="B21" s="49">
        <v>1000</v>
      </c>
      <c r="C21" s="85" t="s">
        <v>489</v>
      </c>
      <c r="D21" s="13">
        <v>26051</v>
      </c>
      <c r="E21" s="70">
        <v>500</v>
      </c>
      <c r="F21" s="14" t="s">
        <v>427</v>
      </c>
      <c r="G21" s="11"/>
      <c r="H21" s="67"/>
      <c r="I21" s="12" t="s">
        <v>64</v>
      </c>
      <c r="J21" s="61">
        <v>26141</v>
      </c>
      <c r="K21" s="71">
        <v>400</v>
      </c>
      <c r="L21" s="62"/>
      <c r="M21" s="75">
        <v>26170</v>
      </c>
      <c r="N21" s="73">
        <v>500</v>
      </c>
      <c r="O21" s="15" t="s">
        <v>427</v>
      </c>
    </row>
    <row r="22" spans="1:15" x14ac:dyDescent="0.25">
      <c r="A22" s="16"/>
      <c r="B22" s="49"/>
      <c r="C22" s="17" t="s">
        <v>64</v>
      </c>
      <c r="D22" s="13">
        <v>26052</v>
      </c>
      <c r="E22" s="70">
        <v>300</v>
      </c>
      <c r="F22" s="14"/>
      <c r="G22" s="11">
        <v>26099</v>
      </c>
      <c r="H22" s="67">
        <v>400</v>
      </c>
      <c r="I22" s="12"/>
      <c r="J22" s="61">
        <v>26142</v>
      </c>
      <c r="K22" s="71">
        <v>600</v>
      </c>
      <c r="L22" s="62" t="s">
        <v>515</v>
      </c>
      <c r="M22" s="75">
        <v>26171</v>
      </c>
      <c r="N22" s="73">
        <v>850</v>
      </c>
      <c r="O22" s="15" t="s">
        <v>527</v>
      </c>
    </row>
    <row r="23" spans="1:15" x14ac:dyDescent="0.25">
      <c r="A23" s="16">
        <v>25972</v>
      </c>
      <c r="B23" s="49">
        <v>600</v>
      </c>
      <c r="C23" s="17"/>
      <c r="D23" s="13">
        <v>26053</v>
      </c>
      <c r="E23" s="70">
        <v>1000</v>
      </c>
      <c r="F23" s="14" t="s">
        <v>466</v>
      </c>
      <c r="G23" s="11">
        <v>26100</v>
      </c>
      <c r="H23" s="67">
        <v>1000</v>
      </c>
      <c r="I23" s="12" t="s">
        <v>460</v>
      </c>
      <c r="J23" s="61">
        <v>26143</v>
      </c>
      <c r="K23" s="71">
        <v>1500</v>
      </c>
      <c r="L23" s="62" t="s">
        <v>516</v>
      </c>
      <c r="M23" s="75"/>
      <c r="N23" s="73"/>
      <c r="O23" s="15" t="s">
        <v>528</v>
      </c>
    </row>
    <row r="24" spans="1:15" x14ac:dyDescent="0.25">
      <c r="A24" s="16">
        <v>25973</v>
      </c>
      <c r="B24" s="49">
        <v>500</v>
      </c>
      <c r="C24" s="17"/>
      <c r="D24" s="13">
        <v>26054</v>
      </c>
      <c r="E24" s="70" t="s">
        <v>459</v>
      </c>
      <c r="F24" s="14" t="s">
        <v>389</v>
      </c>
      <c r="G24" s="11"/>
      <c r="H24" s="67"/>
      <c r="I24" s="12" t="s">
        <v>16</v>
      </c>
      <c r="J24" s="61">
        <v>26144</v>
      </c>
      <c r="K24" s="71">
        <v>500</v>
      </c>
      <c r="L24" s="62"/>
      <c r="M24" s="75">
        <v>26172</v>
      </c>
      <c r="N24" s="73">
        <v>1200</v>
      </c>
      <c r="O24" s="15" t="s">
        <v>487</v>
      </c>
    </row>
    <row r="25" spans="1:15" x14ac:dyDescent="0.25">
      <c r="A25" s="16">
        <v>25974</v>
      </c>
      <c r="B25" s="49">
        <v>400</v>
      </c>
      <c r="C25" s="17" t="s">
        <v>427</v>
      </c>
      <c r="D25" s="13">
        <v>26055</v>
      </c>
      <c r="E25" s="70">
        <v>400</v>
      </c>
      <c r="F25" s="14"/>
      <c r="G25" s="11">
        <v>26101</v>
      </c>
      <c r="H25" s="67">
        <v>250</v>
      </c>
      <c r="I25" s="12" t="s">
        <v>459</v>
      </c>
      <c r="J25" s="61">
        <v>26145</v>
      </c>
      <c r="K25" s="71">
        <v>1000</v>
      </c>
      <c r="L25" s="62" t="s">
        <v>517</v>
      </c>
      <c r="M25" s="75"/>
      <c r="N25" s="73"/>
      <c r="O25" s="15" t="s">
        <v>17</v>
      </c>
    </row>
    <row r="26" spans="1:15" x14ac:dyDescent="0.25">
      <c r="A26" s="16">
        <v>25975</v>
      </c>
      <c r="B26" s="49">
        <v>500</v>
      </c>
      <c r="C26" s="17" t="s">
        <v>427</v>
      </c>
      <c r="D26" s="13">
        <v>26056</v>
      </c>
      <c r="E26" s="70">
        <v>1800</v>
      </c>
      <c r="F26" s="14" t="s">
        <v>487</v>
      </c>
      <c r="G26" s="11">
        <v>26102</v>
      </c>
      <c r="H26" s="67">
        <v>300</v>
      </c>
      <c r="I26" s="12" t="s">
        <v>505</v>
      </c>
      <c r="J26" s="61">
        <v>26146</v>
      </c>
      <c r="K26" s="71">
        <v>1200</v>
      </c>
      <c r="L26" s="62" t="s">
        <v>518</v>
      </c>
      <c r="M26" s="75">
        <v>26173</v>
      </c>
      <c r="N26" s="73">
        <v>500</v>
      </c>
      <c r="O26" s="15"/>
    </row>
    <row r="27" spans="1:15" x14ac:dyDescent="0.25">
      <c r="A27" s="16">
        <v>25976</v>
      </c>
      <c r="B27" s="49">
        <v>300</v>
      </c>
      <c r="C27" s="17"/>
      <c r="D27" s="13"/>
      <c r="E27" s="70"/>
      <c r="F27" s="14" t="s">
        <v>181</v>
      </c>
      <c r="G27" s="11">
        <v>26103</v>
      </c>
      <c r="H27" s="67">
        <v>950</v>
      </c>
      <c r="I27" s="12" t="s">
        <v>469</v>
      </c>
      <c r="J27" s="61"/>
      <c r="K27" s="71"/>
      <c r="L27" s="62" t="s">
        <v>155</v>
      </c>
      <c r="M27" s="75">
        <v>26174</v>
      </c>
      <c r="N27" s="73">
        <v>500</v>
      </c>
      <c r="O27" s="31" t="s">
        <v>459</v>
      </c>
    </row>
    <row r="28" spans="1:15" x14ac:dyDescent="0.25">
      <c r="A28" s="16">
        <v>25977</v>
      </c>
      <c r="B28" s="49">
        <v>400</v>
      </c>
      <c r="C28" s="17" t="s">
        <v>427</v>
      </c>
      <c r="D28" s="13">
        <v>26057</v>
      </c>
      <c r="E28" s="70">
        <v>500</v>
      </c>
      <c r="F28" s="14"/>
      <c r="G28" s="11"/>
      <c r="H28" s="67"/>
      <c r="I28" s="12" t="s">
        <v>178</v>
      </c>
      <c r="J28" s="61">
        <v>26147</v>
      </c>
      <c r="K28" s="71">
        <v>500</v>
      </c>
      <c r="L28" s="62"/>
      <c r="M28" s="75">
        <v>26175</v>
      </c>
      <c r="N28" s="73">
        <v>400</v>
      </c>
      <c r="O28" s="15"/>
    </row>
    <row r="29" spans="1:15" x14ac:dyDescent="0.25">
      <c r="A29" s="16">
        <v>25978</v>
      </c>
      <c r="B29" s="49">
        <v>1000</v>
      </c>
      <c r="C29" s="17" t="s">
        <v>490</v>
      </c>
      <c r="D29" s="13">
        <v>26058</v>
      </c>
      <c r="E29" s="70">
        <v>600</v>
      </c>
      <c r="F29" s="14" t="s">
        <v>499</v>
      </c>
      <c r="G29" s="11">
        <v>26104</v>
      </c>
      <c r="H29" s="67">
        <v>500</v>
      </c>
      <c r="I29" s="12"/>
      <c r="J29" s="61">
        <v>26148</v>
      </c>
      <c r="K29" s="71">
        <v>500</v>
      </c>
      <c r="L29" s="62"/>
      <c r="M29" s="75">
        <v>26176</v>
      </c>
      <c r="N29" s="73">
        <v>500</v>
      </c>
      <c r="O29" s="15"/>
    </row>
    <row r="30" spans="1:15" x14ac:dyDescent="0.25">
      <c r="A30" s="16"/>
      <c r="B30" s="49"/>
      <c r="C30" s="17" t="s">
        <v>64</v>
      </c>
      <c r="D30" s="13"/>
      <c r="E30" s="70"/>
      <c r="F30" s="14" t="s">
        <v>52</v>
      </c>
      <c r="G30" s="11">
        <v>26105</v>
      </c>
      <c r="H30" s="67">
        <v>500</v>
      </c>
      <c r="I30" s="12"/>
      <c r="J30" s="61">
        <v>26149</v>
      </c>
      <c r="K30" s="71">
        <v>1500</v>
      </c>
      <c r="L30" s="62" t="s">
        <v>516</v>
      </c>
      <c r="M30" s="75">
        <v>26177</v>
      </c>
      <c r="N30" s="73">
        <v>600</v>
      </c>
      <c r="O30" s="15" t="s">
        <v>515</v>
      </c>
    </row>
    <row r="31" spans="1:15" x14ac:dyDescent="0.25">
      <c r="A31" s="16">
        <v>25979</v>
      </c>
      <c r="B31" s="49">
        <v>1200</v>
      </c>
      <c r="C31" s="17" t="s">
        <v>487</v>
      </c>
      <c r="D31" s="13">
        <v>26059</v>
      </c>
      <c r="E31" s="70">
        <v>600</v>
      </c>
      <c r="F31" s="14" t="s">
        <v>500</v>
      </c>
      <c r="G31" s="11">
        <v>26106</v>
      </c>
      <c r="H31" s="67">
        <v>600</v>
      </c>
      <c r="I31" s="12"/>
      <c r="J31" s="61">
        <v>26150</v>
      </c>
      <c r="K31" s="71">
        <v>1000</v>
      </c>
      <c r="L31" s="62" t="s">
        <v>517</v>
      </c>
      <c r="M31" s="75">
        <v>26178</v>
      </c>
      <c r="N31" s="73">
        <v>50</v>
      </c>
      <c r="O31" s="15" t="s">
        <v>389</v>
      </c>
    </row>
    <row r="32" spans="1:15" x14ac:dyDescent="0.25">
      <c r="A32" s="16"/>
      <c r="B32" s="49"/>
      <c r="C32" s="17" t="s">
        <v>17</v>
      </c>
      <c r="D32" s="13"/>
      <c r="E32" s="70"/>
      <c r="F32" s="14" t="s">
        <v>52</v>
      </c>
      <c r="G32" s="11">
        <v>26107</v>
      </c>
      <c r="H32" s="67">
        <v>600</v>
      </c>
      <c r="I32" s="12" t="s">
        <v>469</v>
      </c>
      <c r="J32" s="61">
        <v>26151</v>
      </c>
      <c r="K32" s="71">
        <v>300</v>
      </c>
      <c r="L32" s="62"/>
      <c r="M32" s="75">
        <v>26179</v>
      </c>
      <c r="N32" s="73">
        <v>500</v>
      </c>
      <c r="O32" s="15"/>
    </row>
    <row r="33" spans="1:15" x14ac:dyDescent="0.25">
      <c r="A33" s="16">
        <v>25980</v>
      </c>
      <c r="B33" s="49">
        <v>500</v>
      </c>
      <c r="C33" s="17"/>
      <c r="D33" s="13">
        <v>26060</v>
      </c>
      <c r="E33" s="70">
        <v>1000</v>
      </c>
      <c r="F33" s="14" t="s">
        <v>448</v>
      </c>
      <c r="G33" s="11">
        <v>26108</v>
      </c>
      <c r="H33" s="67">
        <v>500</v>
      </c>
      <c r="I33" s="12" t="s">
        <v>427</v>
      </c>
      <c r="J33" s="61">
        <v>26152</v>
      </c>
      <c r="K33" s="71">
        <v>300</v>
      </c>
      <c r="L33" s="62"/>
      <c r="M33" s="75">
        <v>26180</v>
      </c>
      <c r="N33" s="73">
        <v>1000</v>
      </c>
      <c r="O33" s="15" t="s">
        <v>487</v>
      </c>
    </row>
    <row r="34" spans="1:15" x14ac:dyDescent="0.25">
      <c r="A34" s="16">
        <v>25981</v>
      </c>
      <c r="B34" s="49">
        <v>500</v>
      </c>
      <c r="C34" s="17"/>
      <c r="D34" s="13"/>
      <c r="E34" s="70"/>
      <c r="F34" s="14" t="s">
        <v>64</v>
      </c>
      <c r="G34" s="11">
        <v>26109</v>
      </c>
      <c r="H34" s="67">
        <v>1200</v>
      </c>
      <c r="I34" s="12" t="s">
        <v>480</v>
      </c>
      <c r="J34" s="61">
        <v>26153</v>
      </c>
      <c r="K34" s="71">
        <v>800</v>
      </c>
      <c r="L34" s="62" t="s">
        <v>519</v>
      </c>
      <c r="M34" s="75"/>
      <c r="N34" s="73"/>
      <c r="O34" s="31" t="s">
        <v>64</v>
      </c>
    </row>
    <row r="35" spans="1:15" x14ac:dyDescent="0.25">
      <c r="A35" s="16">
        <v>25982</v>
      </c>
      <c r="B35" s="49">
        <v>1000</v>
      </c>
      <c r="C35" s="17" t="s">
        <v>448</v>
      </c>
      <c r="D35" s="13">
        <v>26061</v>
      </c>
      <c r="E35" s="70">
        <v>500</v>
      </c>
      <c r="F35" s="14"/>
      <c r="G35" s="11"/>
      <c r="H35" s="67"/>
      <c r="I35" s="12" t="s">
        <v>18</v>
      </c>
      <c r="J35" s="61"/>
      <c r="K35" s="71"/>
      <c r="L35" s="62" t="s">
        <v>17</v>
      </c>
      <c r="M35" s="75">
        <v>26181</v>
      </c>
      <c r="N35" s="73">
        <v>500</v>
      </c>
      <c r="O35" s="111" t="s">
        <v>459</v>
      </c>
    </row>
    <row r="36" spans="1:15" x14ac:dyDescent="0.25">
      <c r="A36" s="16"/>
      <c r="B36" s="49"/>
      <c r="C36" s="17" t="s">
        <v>64</v>
      </c>
      <c r="D36" s="13">
        <v>26062</v>
      </c>
      <c r="E36" s="70">
        <v>350</v>
      </c>
      <c r="F36" s="14" t="s">
        <v>178</v>
      </c>
      <c r="G36" s="11">
        <v>26110</v>
      </c>
      <c r="H36" s="67">
        <v>750</v>
      </c>
      <c r="I36" s="12" t="s">
        <v>500</v>
      </c>
      <c r="J36" s="61">
        <v>26154</v>
      </c>
      <c r="K36" s="71">
        <v>300</v>
      </c>
      <c r="L36" s="62" t="s">
        <v>520</v>
      </c>
      <c r="M36" s="75">
        <v>26182</v>
      </c>
      <c r="N36" s="73">
        <v>1000</v>
      </c>
      <c r="O36" s="15" t="s">
        <v>487</v>
      </c>
    </row>
    <row r="37" spans="1:15" x14ac:dyDescent="0.25">
      <c r="A37" s="16">
        <v>25983</v>
      </c>
      <c r="B37" s="49">
        <v>500</v>
      </c>
      <c r="C37" s="17"/>
      <c r="D37" s="13">
        <v>26063</v>
      </c>
      <c r="E37" s="70">
        <v>1000</v>
      </c>
      <c r="F37" s="14" t="s">
        <v>448</v>
      </c>
      <c r="G37" s="11"/>
      <c r="H37" s="67"/>
      <c r="I37" s="12" t="s">
        <v>16</v>
      </c>
      <c r="J37" s="61">
        <v>26155</v>
      </c>
      <c r="K37" s="71">
        <v>400</v>
      </c>
      <c r="L37" s="62"/>
      <c r="M37" s="75"/>
      <c r="N37" s="73"/>
      <c r="O37" s="15" t="s">
        <v>64</v>
      </c>
    </row>
    <row r="38" spans="1:15" x14ac:dyDescent="0.25">
      <c r="A38" s="16">
        <v>25984</v>
      </c>
      <c r="B38" s="49">
        <v>75</v>
      </c>
      <c r="C38" s="17" t="s">
        <v>491</v>
      </c>
      <c r="D38" s="13"/>
      <c r="E38" s="70"/>
      <c r="F38" s="14" t="s">
        <v>64</v>
      </c>
      <c r="G38" s="11">
        <v>26111</v>
      </c>
      <c r="H38" s="67">
        <v>400</v>
      </c>
      <c r="I38" s="12"/>
      <c r="J38" s="61">
        <v>26156</v>
      </c>
      <c r="K38" s="71">
        <v>500</v>
      </c>
      <c r="L38" s="62"/>
      <c r="M38" s="75">
        <v>26183</v>
      </c>
      <c r="N38" s="73">
        <v>1000</v>
      </c>
      <c r="O38" s="15" t="s">
        <v>487</v>
      </c>
    </row>
    <row r="39" spans="1:15" x14ac:dyDescent="0.25">
      <c r="A39" s="16">
        <v>25985</v>
      </c>
      <c r="B39" s="49">
        <v>550</v>
      </c>
      <c r="C39" s="17" t="s">
        <v>492</v>
      </c>
      <c r="D39" s="13">
        <v>26064</v>
      </c>
      <c r="E39" s="70">
        <v>1500</v>
      </c>
      <c r="F39" s="14" t="s">
        <v>487</v>
      </c>
      <c r="G39" s="11">
        <v>26112</v>
      </c>
      <c r="H39" s="67">
        <v>400</v>
      </c>
      <c r="I39" s="12"/>
      <c r="J39" s="61">
        <v>26157</v>
      </c>
      <c r="K39" s="71">
        <v>250</v>
      </c>
      <c r="L39" s="62"/>
      <c r="M39" s="75"/>
      <c r="N39" s="73"/>
      <c r="O39" s="15" t="s">
        <v>64</v>
      </c>
    </row>
    <row r="40" spans="1:15" x14ac:dyDescent="0.25">
      <c r="A40" s="16">
        <v>25986</v>
      </c>
      <c r="B40" s="49">
        <v>500</v>
      </c>
      <c r="C40" s="17"/>
      <c r="D40" s="13"/>
      <c r="E40" s="70"/>
      <c r="F40" s="14" t="s">
        <v>64</v>
      </c>
      <c r="G40" s="11">
        <v>26113</v>
      </c>
      <c r="H40" s="67">
        <v>1000</v>
      </c>
      <c r="I40" s="12" t="s">
        <v>490</v>
      </c>
      <c r="J40" s="61">
        <v>26158</v>
      </c>
      <c r="K40" s="71">
        <v>1450</v>
      </c>
      <c r="L40" s="62" t="s">
        <v>514</v>
      </c>
      <c r="M40" s="75">
        <v>26184</v>
      </c>
      <c r="N40" s="73">
        <v>300</v>
      </c>
      <c r="O40" s="15" t="s">
        <v>529</v>
      </c>
    </row>
    <row r="41" spans="1:15" x14ac:dyDescent="0.25">
      <c r="A41" s="16">
        <v>25987</v>
      </c>
      <c r="B41" s="49">
        <v>500</v>
      </c>
      <c r="C41" s="17"/>
      <c r="D41" s="13">
        <v>26065</v>
      </c>
      <c r="E41" s="70">
        <v>500</v>
      </c>
      <c r="F41" s="14"/>
      <c r="G41" s="11"/>
      <c r="H41" s="67"/>
      <c r="I41" s="12" t="s">
        <v>64</v>
      </c>
      <c r="J41" s="61"/>
      <c r="K41" s="71"/>
      <c r="L41" s="62" t="s">
        <v>521</v>
      </c>
      <c r="M41" s="75">
        <v>26185</v>
      </c>
      <c r="N41" s="73">
        <v>500</v>
      </c>
      <c r="O41" s="15" t="s">
        <v>490</v>
      </c>
    </row>
    <row r="42" spans="1:15" x14ac:dyDescent="0.25">
      <c r="A42" s="16">
        <v>25988</v>
      </c>
      <c r="B42" s="49">
        <v>500</v>
      </c>
      <c r="C42" s="17"/>
      <c r="D42" s="13">
        <v>26066</v>
      </c>
      <c r="E42" s="70">
        <v>800</v>
      </c>
      <c r="F42" s="14" t="s">
        <v>448</v>
      </c>
      <c r="G42" s="11">
        <v>26114</v>
      </c>
      <c r="H42" s="67">
        <v>200</v>
      </c>
      <c r="I42" s="12" t="s">
        <v>427</v>
      </c>
      <c r="J42" s="61">
        <v>26159</v>
      </c>
      <c r="K42" s="71">
        <v>400</v>
      </c>
      <c r="L42" s="62" t="s">
        <v>522</v>
      </c>
      <c r="M42" s="75"/>
      <c r="N42" s="73"/>
      <c r="O42" s="15" t="s">
        <v>16</v>
      </c>
    </row>
    <row r="43" spans="1:15" x14ac:dyDescent="0.25">
      <c r="A43" s="16">
        <v>25989</v>
      </c>
      <c r="B43" s="49">
        <v>700</v>
      </c>
      <c r="C43" s="17" t="s">
        <v>493</v>
      </c>
      <c r="D43" s="13"/>
      <c r="E43" s="70"/>
      <c r="F43" s="14" t="s">
        <v>17</v>
      </c>
      <c r="G43" s="11">
        <v>26115</v>
      </c>
      <c r="H43" s="67">
        <v>1000</v>
      </c>
      <c r="I43" s="12" t="s">
        <v>467</v>
      </c>
      <c r="J43" s="61"/>
      <c r="K43" s="71"/>
      <c r="L43" s="62"/>
      <c r="M43" s="75">
        <v>26186</v>
      </c>
      <c r="N43" s="73">
        <v>350</v>
      </c>
      <c r="O43" s="15"/>
    </row>
    <row r="44" spans="1:15" x14ac:dyDescent="0.25">
      <c r="A44" s="16">
        <v>25990</v>
      </c>
      <c r="B44" s="49">
        <v>350</v>
      </c>
      <c r="C44" s="17" t="s">
        <v>178</v>
      </c>
      <c r="D44" s="13">
        <v>26067</v>
      </c>
      <c r="E44" s="70">
        <v>500</v>
      </c>
      <c r="F44" s="14"/>
      <c r="G44" s="11">
        <v>26116</v>
      </c>
      <c r="H44" s="67">
        <v>1500</v>
      </c>
      <c r="I44" s="12" t="s">
        <v>506</v>
      </c>
      <c r="J44" s="61"/>
      <c r="K44" s="71"/>
      <c r="L44" s="62"/>
      <c r="M44" s="75">
        <v>26187</v>
      </c>
      <c r="N44" s="73">
        <v>50</v>
      </c>
      <c r="O44" s="15" t="s">
        <v>389</v>
      </c>
    </row>
    <row r="45" spans="1:15" x14ac:dyDescent="0.25">
      <c r="A45" s="16">
        <v>25991</v>
      </c>
      <c r="B45" s="49">
        <v>1500</v>
      </c>
      <c r="C45" s="17" t="s">
        <v>487</v>
      </c>
      <c r="D45" s="13">
        <v>26068</v>
      </c>
      <c r="E45" s="70">
        <v>500</v>
      </c>
      <c r="F45" s="14" t="s">
        <v>427</v>
      </c>
      <c r="G45" s="11"/>
      <c r="H45" s="67"/>
      <c r="I45" s="12" t="s">
        <v>64</v>
      </c>
      <c r="J45" s="61"/>
      <c r="K45" s="71"/>
      <c r="L45" s="62"/>
      <c r="M45" s="75">
        <v>26188</v>
      </c>
      <c r="N45" s="73">
        <v>1000</v>
      </c>
      <c r="O45" s="15" t="s">
        <v>530</v>
      </c>
    </row>
    <row r="46" spans="1:15" x14ac:dyDescent="0.25">
      <c r="A46" s="16"/>
      <c r="B46" s="49"/>
      <c r="C46" s="17" t="s">
        <v>64</v>
      </c>
      <c r="D46" s="13">
        <v>26069</v>
      </c>
      <c r="E46" s="70">
        <v>1000</v>
      </c>
      <c r="F46" s="14" t="s">
        <v>489</v>
      </c>
      <c r="G46" s="11">
        <v>26117</v>
      </c>
      <c r="H46" s="67">
        <v>350</v>
      </c>
      <c r="I46" s="12"/>
      <c r="J46" s="61"/>
      <c r="K46" s="71"/>
      <c r="L46" s="62"/>
      <c r="M46" s="75"/>
      <c r="N46" s="73"/>
      <c r="O46" s="15" t="s">
        <v>64</v>
      </c>
    </row>
    <row r="47" spans="1:15" x14ac:dyDescent="0.25">
      <c r="A47" s="16">
        <v>25992</v>
      </c>
      <c r="B47" s="49">
        <v>600</v>
      </c>
      <c r="C47" s="17" t="s">
        <v>448</v>
      </c>
      <c r="D47" s="13"/>
      <c r="E47" s="70"/>
      <c r="F47" s="14" t="s">
        <v>64</v>
      </c>
      <c r="G47" s="11">
        <v>26118</v>
      </c>
      <c r="H47" s="67">
        <v>500</v>
      </c>
      <c r="I47" s="12"/>
      <c r="J47" s="61"/>
      <c r="K47" s="71"/>
      <c r="L47" s="62"/>
      <c r="M47" s="75">
        <v>26189</v>
      </c>
      <c r="N47" s="73">
        <v>1000</v>
      </c>
      <c r="O47" s="15" t="s">
        <v>487</v>
      </c>
    </row>
    <row r="48" spans="1:15" x14ac:dyDescent="0.25">
      <c r="A48" s="16"/>
      <c r="B48" s="49"/>
      <c r="C48" s="17" t="s">
        <v>18</v>
      </c>
      <c r="D48" s="13">
        <v>26070</v>
      </c>
      <c r="E48" s="70">
        <v>600</v>
      </c>
      <c r="F48" s="14"/>
      <c r="G48" s="11">
        <v>26119</v>
      </c>
      <c r="H48" s="67">
        <v>350</v>
      </c>
      <c r="I48" s="12" t="s">
        <v>507</v>
      </c>
      <c r="J48" s="61"/>
      <c r="K48" s="71"/>
      <c r="L48" s="62"/>
      <c r="M48" s="75"/>
      <c r="N48" s="73"/>
      <c r="O48" s="15" t="s">
        <v>64</v>
      </c>
    </row>
    <row r="49" spans="1:15" x14ac:dyDescent="0.25">
      <c r="A49" s="16">
        <v>25993</v>
      </c>
      <c r="B49" s="49">
        <v>500</v>
      </c>
      <c r="C49" s="17"/>
      <c r="D49" s="13">
        <v>26071</v>
      </c>
      <c r="E49" s="70">
        <v>500</v>
      </c>
      <c r="F49" s="14"/>
      <c r="G49" s="11">
        <v>26120</v>
      </c>
      <c r="H49" s="67">
        <v>500</v>
      </c>
      <c r="I49" s="12"/>
      <c r="J49" s="61"/>
      <c r="K49" s="71"/>
      <c r="L49" s="62"/>
      <c r="M49" s="75">
        <v>26190</v>
      </c>
      <c r="N49" s="73">
        <v>200</v>
      </c>
      <c r="O49" s="15"/>
    </row>
    <row r="50" spans="1:15" x14ac:dyDescent="0.25">
      <c r="A50" s="16">
        <v>25994</v>
      </c>
      <c r="B50" s="49">
        <v>300</v>
      </c>
      <c r="C50" s="17"/>
      <c r="D50" s="13">
        <v>26072</v>
      </c>
      <c r="E50" s="70">
        <v>200</v>
      </c>
      <c r="F50" s="14"/>
      <c r="G50" s="11">
        <v>26121</v>
      </c>
      <c r="H50" s="67">
        <v>500</v>
      </c>
      <c r="I50" s="12" t="s">
        <v>427</v>
      </c>
      <c r="J50" s="61"/>
      <c r="K50" s="71"/>
      <c r="L50" s="62"/>
      <c r="M50" s="75">
        <v>26191</v>
      </c>
      <c r="N50" s="73">
        <v>500</v>
      </c>
      <c r="O50" s="15" t="s">
        <v>459</v>
      </c>
    </row>
    <row r="51" spans="1:15" x14ac:dyDescent="0.25">
      <c r="A51" s="16">
        <v>25995</v>
      </c>
      <c r="B51" s="49">
        <v>500</v>
      </c>
      <c r="C51" s="17"/>
      <c r="D51" s="13">
        <v>26073</v>
      </c>
      <c r="E51" s="70">
        <v>500</v>
      </c>
      <c r="F51" s="14" t="s">
        <v>427</v>
      </c>
      <c r="G51" s="11">
        <v>26122</v>
      </c>
      <c r="H51" s="67">
        <v>400</v>
      </c>
      <c r="I51" s="12"/>
      <c r="J51" s="61"/>
      <c r="K51" s="71"/>
      <c r="L51" s="62"/>
      <c r="M51" s="75">
        <v>26192</v>
      </c>
      <c r="N51" s="73">
        <v>350</v>
      </c>
      <c r="O51" s="15" t="s">
        <v>178</v>
      </c>
    </row>
    <row r="52" spans="1:15" x14ac:dyDescent="0.25">
      <c r="A52" s="16">
        <v>25996</v>
      </c>
      <c r="B52" s="49">
        <v>500</v>
      </c>
      <c r="C52" s="17"/>
      <c r="D52" s="13">
        <v>26074</v>
      </c>
      <c r="E52" s="70">
        <v>400</v>
      </c>
      <c r="F52" s="14" t="s">
        <v>427</v>
      </c>
      <c r="G52" s="11">
        <v>26123</v>
      </c>
      <c r="H52" s="67">
        <v>500</v>
      </c>
      <c r="I52" s="12"/>
      <c r="J52" s="61"/>
      <c r="K52" s="71"/>
      <c r="L52" s="62"/>
      <c r="M52" s="75">
        <v>26193</v>
      </c>
      <c r="N52" s="73">
        <v>500</v>
      </c>
      <c r="O52" s="15"/>
    </row>
    <row r="53" spans="1:15" x14ac:dyDescent="0.25">
      <c r="A53" s="16">
        <v>25997</v>
      </c>
      <c r="B53" s="49">
        <v>1000</v>
      </c>
      <c r="C53" s="17" t="s">
        <v>489</v>
      </c>
      <c r="D53" s="13">
        <v>26075</v>
      </c>
      <c r="E53" s="70">
        <v>500</v>
      </c>
      <c r="F53" s="14" t="s">
        <v>427</v>
      </c>
      <c r="G53" s="11">
        <v>26124</v>
      </c>
      <c r="H53" s="67">
        <v>400</v>
      </c>
      <c r="I53" s="12"/>
      <c r="J53" s="61"/>
      <c r="K53" s="71"/>
      <c r="L53" s="62"/>
      <c r="M53" s="75">
        <v>26194</v>
      </c>
      <c r="N53" s="73">
        <v>1200</v>
      </c>
      <c r="O53" s="15" t="s">
        <v>487</v>
      </c>
    </row>
    <row r="54" spans="1:15" x14ac:dyDescent="0.25">
      <c r="A54" s="16"/>
      <c r="B54" s="49"/>
      <c r="C54" s="17" t="s">
        <v>64</v>
      </c>
      <c r="D54" s="13">
        <v>26076</v>
      </c>
      <c r="E54" s="70">
        <v>300</v>
      </c>
      <c r="F54" s="14"/>
      <c r="G54" s="11">
        <v>26125</v>
      </c>
      <c r="H54" s="67">
        <v>500</v>
      </c>
      <c r="I54" s="12"/>
      <c r="J54" s="61"/>
      <c r="K54" s="71"/>
      <c r="L54" s="62"/>
      <c r="M54" s="75"/>
      <c r="N54" s="73"/>
      <c r="O54" s="15" t="s">
        <v>17</v>
      </c>
    </row>
    <row r="55" spans="1:15" x14ac:dyDescent="0.25">
      <c r="A55" s="16">
        <v>25998</v>
      </c>
      <c r="B55" s="49">
        <v>500</v>
      </c>
      <c r="C55" s="17"/>
      <c r="D55" s="13">
        <v>26077</v>
      </c>
      <c r="E55" s="70">
        <v>500</v>
      </c>
      <c r="F55" s="14"/>
      <c r="G55" s="11">
        <v>26126</v>
      </c>
      <c r="H55" s="67">
        <v>500</v>
      </c>
      <c r="I55" s="12"/>
      <c r="J55" s="61"/>
      <c r="K55" s="71"/>
      <c r="L55" s="62"/>
      <c r="M55" s="75">
        <v>26195</v>
      </c>
      <c r="N55" s="73">
        <v>1000</v>
      </c>
      <c r="O55" s="15" t="s">
        <v>448</v>
      </c>
    </row>
    <row r="56" spans="1:15" x14ac:dyDescent="0.25">
      <c r="A56" s="16">
        <v>25999</v>
      </c>
      <c r="B56" s="49">
        <v>500</v>
      </c>
      <c r="C56" s="17"/>
      <c r="D56" s="13">
        <v>26078</v>
      </c>
      <c r="E56" s="70">
        <v>1000</v>
      </c>
      <c r="F56" s="14" t="s">
        <v>448</v>
      </c>
      <c r="G56" s="11">
        <v>26127</v>
      </c>
      <c r="H56" s="67">
        <v>250</v>
      </c>
      <c r="I56" s="12" t="s">
        <v>427</v>
      </c>
      <c r="J56" s="61"/>
      <c r="K56" s="71"/>
      <c r="L56" s="62"/>
      <c r="M56" s="75"/>
      <c r="N56" s="73"/>
      <c r="O56" s="15" t="s">
        <v>64</v>
      </c>
    </row>
    <row r="57" spans="1:15" x14ac:dyDescent="0.25">
      <c r="A57" s="16">
        <v>26000</v>
      </c>
      <c r="B57" s="49">
        <v>450</v>
      </c>
      <c r="C57" s="17"/>
      <c r="D57" s="13"/>
      <c r="E57" s="70"/>
      <c r="F57" s="14" t="s">
        <v>64</v>
      </c>
      <c r="G57" s="11">
        <v>26128</v>
      </c>
      <c r="H57" s="67">
        <v>700</v>
      </c>
      <c r="I57" s="12" t="s">
        <v>508</v>
      </c>
      <c r="J57" s="61"/>
      <c r="K57" s="71"/>
      <c r="L57" s="62"/>
      <c r="M57" s="75">
        <v>26196</v>
      </c>
      <c r="N57" s="73">
        <v>500</v>
      </c>
      <c r="O57" s="15" t="s">
        <v>489</v>
      </c>
    </row>
    <row r="58" spans="1:15" x14ac:dyDescent="0.25">
      <c r="A58" s="16">
        <v>26001</v>
      </c>
      <c r="B58" s="49">
        <v>500</v>
      </c>
      <c r="C58" s="17"/>
      <c r="D58" s="13">
        <v>26079</v>
      </c>
      <c r="E58" s="70">
        <v>500</v>
      </c>
      <c r="F58" s="14" t="s">
        <v>398</v>
      </c>
      <c r="G58" s="11"/>
      <c r="H58" s="67"/>
      <c r="I58" s="12"/>
      <c r="J58" s="61"/>
      <c r="K58" s="71"/>
      <c r="L58" s="62"/>
      <c r="M58" s="75"/>
      <c r="N58" s="73"/>
      <c r="O58" s="15" t="s">
        <v>16</v>
      </c>
    </row>
    <row r="59" spans="1:15" x14ac:dyDescent="0.25">
      <c r="A59" s="16">
        <v>26002</v>
      </c>
      <c r="B59" s="49">
        <v>400</v>
      </c>
      <c r="C59" s="17"/>
      <c r="D59" s="13">
        <v>26080</v>
      </c>
      <c r="E59" s="70">
        <v>400</v>
      </c>
      <c r="F59" s="14"/>
      <c r="G59" s="11"/>
      <c r="H59" s="67"/>
      <c r="I59" s="12"/>
      <c r="J59" s="61"/>
      <c r="K59" s="71"/>
      <c r="L59" s="62"/>
      <c r="M59" s="75">
        <v>26197</v>
      </c>
      <c r="N59" s="73">
        <v>300</v>
      </c>
      <c r="O59" s="15" t="s">
        <v>459</v>
      </c>
    </row>
    <row r="60" spans="1:15" x14ac:dyDescent="0.25">
      <c r="A60" s="16">
        <v>26003</v>
      </c>
      <c r="B60" s="49">
        <v>1000</v>
      </c>
      <c r="C60" s="17" t="s">
        <v>494</v>
      </c>
      <c r="D60" s="13">
        <v>26081</v>
      </c>
      <c r="E60" s="70">
        <v>300</v>
      </c>
      <c r="F60" s="14"/>
      <c r="G60" s="11"/>
      <c r="H60" s="67"/>
      <c r="I60" s="12"/>
      <c r="J60" s="61"/>
      <c r="K60" s="71"/>
      <c r="L60" s="62"/>
      <c r="M60" s="75">
        <v>26198</v>
      </c>
      <c r="N60" s="73">
        <v>500</v>
      </c>
      <c r="O60" s="15" t="s">
        <v>321</v>
      </c>
    </row>
    <row r="61" spans="1:15" x14ac:dyDescent="0.25">
      <c r="A61" s="16"/>
      <c r="B61" s="49"/>
      <c r="C61" s="17" t="s">
        <v>16</v>
      </c>
      <c r="D61" s="13">
        <v>26082</v>
      </c>
      <c r="E61" s="70">
        <v>1600</v>
      </c>
      <c r="F61" s="14" t="s">
        <v>454</v>
      </c>
      <c r="G61" s="11"/>
      <c r="H61" s="67"/>
      <c r="I61" s="12"/>
      <c r="J61" s="61"/>
      <c r="K61" s="71"/>
      <c r="L61" s="62"/>
      <c r="M61" s="75">
        <v>26199</v>
      </c>
      <c r="N61" s="73">
        <v>1000</v>
      </c>
      <c r="O61" s="15" t="s">
        <v>448</v>
      </c>
    </row>
    <row r="62" spans="1:15" x14ac:dyDescent="0.25">
      <c r="A62" s="16">
        <v>26004</v>
      </c>
      <c r="B62" s="49">
        <v>250</v>
      </c>
      <c r="C62" s="17"/>
      <c r="D62" s="13"/>
      <c r="E62" s="70"/>
      <c r="F62" s="14" t="s">
        <v>17</v>
      </c>
      <c r="G62" s="11"/>
      <c r="H62" s="67"/>
      <c r="I62" s="12"/>
      <c r="J62" s="61"/>
      <c r="K62" s="71"/>
      <c r="L62" s="62"/>
      <c r="M62" s="75"/>
      <c r="N62" s="73"/>
      <c r="O62" s="15" t="s">
        <v>64</v>
      </c>
    </row>
    <row r="63" spans="1:15" x14ac:dyDescent="0.25">
      <c r="A63" s="16">
        <v>26005</v>
      </c>
      <c r="B63" s="49">
        <v>450</v>
      </c>
      <c r="C63" s="17"/>
      <c r="D63" s="13">
        <v>26083</v>
      </c>
      <c r="E63" s="70">
        <v>500</v>
      </c>
      <c r="F63" s="14" t="s">
        <v>489</v>
      </c>
      <c r="G63" s="11"/>
      <c r="H63" s="67"/>
      <c r="I63" s="12"/>
      <c r="J63" s="61"/>
      <c r="K63" s="71"/>
      <c r="L63" s="62"/>
      <c r="M63" s="75"/>
      <c r="N63" s="73"/>
      <c r="O63" s="15"/>
    </row>
    <row r="64" spans="1:15" x14ac:dyDescent="0.25">
      <c r="A64" s="16">
        <v>26006</v>
      </c>
      <c r="B64" s="49">
        <v>200</v>
      </c>
      <c r="C64" s="17"/>
      <c r="D64" s="13"/>
      <c r="E64" s="70"/>
      <c r="F64" s="14" t="s">
        <v>16</v>
      </c>
      <c r="G64" s="11"/>
      <c r="H64" s="67"/>
      <c r="I64" s="12"/>
      <c r="J64" s="61"/>
      <c r="K64" s="71"/>
      <c r="L64" s="62"/>
      <c r="M64" s="75"/>
      <c r="N64" s="73"/>
      <c r="O64" s="15"/>
    </row>
    <row r="65" spans="1:15" x14ac:dyDescent="0.25">
      <c r="A65" s="16">
        <v>26007</v>
      </c>
      <c r="B65" s="49">
        <v>500</v>
      </c>
      <c r="C65" s="17" t="s">
        <v>427</v>
      </c>
      <c r="D65" s="13">
        <v>26084</v>
      </c>
      <c r="E65" s="70">
        <v>650</v>
      </c>
      <c r="F65" s="14" t="s">
        <v>501</v>
      </c>
      <c r="G65" s="11"/>
      <c r="H65" s="67"/>
      <c r="I65" s="12"/>
      <c r="J65" s="61"/>
      <c r="K65" s="71"/>
      <c r="L65" s="62"/>
      <c r="M65" s="75"/>
      <c r="N65" s="73"/>
      <c r="O65" s="15"/>
    </row>
    <row r="66" spans="1:15" x14ac:dyDescent="0.25">
      <c r="A66" s="16">
        <v>26008</v>
      </c>
      <c r="B66" s="49">
        <v>400</v>
      </c>
      <c r="C66" s="17"/>
      <c r="D66" s="13">
        <v>26085</v>
      </c>
      <c r="E66" s="70">
        <v>1500</v>
      </c>
      <c r="F66" s="14" t="s">
        <v>500</v>
      </c>
      <c r="G66" s="11"/>
      <c r="H66" s="67"/>
      <c r="I66" s="12"/>
      <c r="J66" s="61"/>
      <c r="K66" s="71"/>
      <c r="L66" s="62"/>
      <c r="M66" s="75"/>
      <c r="N66" s="73"/>
      <c r="O66" s="15"/>
    </row>
    <row r="67" spans="1:15" x14ac:dyDescent="0.25">
      <c r="A67" s="16">
        <v>26009</v>
      </c>
      <c r="B67" s="49">
        <v>600</v>
      </c>
      <c r="C67" s="17" t="s">
        <v>448</v>
      </c>
      <c r="D67" s="13"/>
      <c r="E67" s="70"/>
      <c r="F67" s="14" t="s">
        <v>64</v>
      </c>
      <c r="G67" s="11"/>
      <c r="H67" s="67"/>
      <c r="I67" s="12"/>
      <c r="J67" s="61"/>
      <c r="K67" s="71"/>
      <c r="L67" s="62"/>
      <c r="M67" s="75"/>
      <c r="N67" s="73"/>
      <c r="O67" s="15"/>
    </row>
    <row r="68" spans="1:15" x14ac:dyDescent="0.25">
      <c r="A68" s="16"/>
      <c r="B68" s="49"/>
      <c r="C68" s="17" t="s">
        <v>18</v>
      </c>
      <c r="D68" s="13">
        <v>26086</v>
      </c>
      <c r="E68" s="70">
        <v>800</v>
      </c>
      <c r="F68" s="14" t="s">
        <v>448</v>
      </c>
      <c r="G68" s="11"/>
      <c r="H68" s="67"/>
      <c r="I68" s="12"/>
      <c r="J68" s="61"/>
      <c r="K68" s="71"/>
      <c r="L68" s="62"/>
      <c r="M68" s="75"/>
      <c r="N68" s="73"/>
      <c r="O68" s="15"/>
    </row>
    <row r="69" spans="1:15" x14ac:dyDescent="0.25">
      <c r="A69" s="16">
        <v>26010</v>
      </c>
      <c r="B69" s="49">
        <v>1000</v>
      </c>
      <c r="C69" s="17" t="s">
        <v>489</v>
      </c>
      <c r="D69" s="13"/>
      <c r="E69" s="70"/>
      <c r="F69" s="14" t="s">
        <v>17</v>
      </c>
      <c r="G69" s="11"/>
      <c r="H69" s="67"/>
      <c r="I69" s="12"/>
      <c r="J69" s="61"/>
      <c r="K69" s="71"/>
      <c r="L69" s="62"/>
      <c r="M69" s="75"/>
      <c r="N69" s="73"/>
      <c r="O69" s="15"/>
    </row>
    <row r="70" spans="1:15" x14ac:dyDescent="0.25">
      <c r="A70" s="16"/>
      <c r="B70" s="49"/>
      <c r="C70" s="17" t="s">
        <v>64</v>
      </c>
      <c r="D70" s="13"/>
      <c r="E70" s="70"/>
      <c r="F70" s="14"/>
      <c r="G70" s="11"/>
      <c r="H70" s="67"/>
      <c r="I70" s="12"/>
      <c r="J70" s="61"/>
      <c r="K70" s="71"/>
      <c r="L70" s="62"/>
      <c r="M70" s="75"/>
      <c r="N70" s="73"/>
      <c r="O70" s="15"/>
    </row>
    <row r="71" spans="1:15" x14ac:dyDescent="0.25">
      <c r="A71" s="16">
        <v>26011</v>
      </c>
      <c r="B71" s="49">
        <v>500</v>
      </c>
      <c r="C71" s="17"/>
      <c r="D71" s="13"/>
      <c r="E71" s="70"/>
      <c r="F71" s="14"/>
      <c r="G71" s="11"/>
      <c r="H71" s="67"/>
      <c r="I71" s="12"/>
      <c r="J71" s="61"/>
      <c r="K71" s="71"/>
      <c r="L71" s="62"/>
      <c r="M71" s="75"/>
      <c r="N71" s="73"/>
      <c r="O71" s="15"/>
    </row>
    <row r="72" spans="1:15" x14ac:dyDescent="0.25">
      <c r="A72" s="16">
        <v>26012</v>
      </c>
      <c r="B72" s="49">
        <v>1000</v>
      </c>
      <c r="C72" s="17" t="s">
        <v>410</v>
      </c>
      <c r="D72" s="13"/>
      <c r="E72" s="70"/>
      <c r="F72" s="14"/>
      <c r="G72" s="11"/>
      <c r="H72" s="67"/>
      <c r="I72" s="12"/>
      <c r="J72" s="61"/>
      <c r="K72" s="71"/>
      <c r="L72" s="62"/>
      <c r="M72" s="75"/>
      <c r="N72" s="73"/>
      <c r="O72" s="15"/>
    </row>
    <row r="73" spans="1:15" x14ac:dyDescent="0.25">
      <c r="A73" s="16"/>
      <c r="B73" s="49"/>
      <c r="C73" s="132" t="s">
        <v>495</v>
      </c>
      <c r="D73" s="13"/>
      <c r="E73" s="70"/>
      <c r="F73" s="14"/>
      <c r="G73" s="11"/>
      <c r="H73" s="67"/>
      <c r="I73" s="12"/>
      <c r="J73" s="61"/>
      <c r="K73" s="71"/>
      <c r="L73" s="62"/>
      <c r="M73" s="75"/>
      <c r="N73" s="73"/>
      <c r="O73" s="15"/>
    </row>
    <row r="74" spans="1:15" x14ac:dyDescent="0.25">
      <c r="A74" s="16">
        <v>26013</v>
      </c>
      <c r="B74" s="49">
        <v>300</v>
      </c>
      <c r="C74" s="17"/>
      <c r="D74" s="13"/>
      <c r="E74" s="70"/>
      <c r="F74" s="14"/>
      <c r="G74" s="11"/>
      <c r="H74" s="67"/>
      <c r="I74" s="12"/>
      <c r="J74" s="61"/>
      <c r="K74" s="71"/>
      <c r="L74" s="62"/>
      <c r="M74" s="75"/>
      <c r="N74" s="73"/>
      <c r="O74" s="15"/>
    </row>
    <row r="75" spans="1:15" x14ac:dyDescent="0.25">
      <c r="A75" s="16">
        <v>26014</v>
      </c>
      <c r="B75" s="49">
        <v>500</v>
      </c>
      <c r="C75" s="17"/>
      <c r="D75" s="13"/>
      <c r="E75" s="70"/>
      <c r="F75" s="14"/>
      <c r="G75" s="11"/>
      <c r="H75" s="67"/>
      <c r="I75" s="12"/>
      <c r="J75" s="61"/>
      <c r="K75" s="71"/>
      <c r="L75" s="62"/>
      <c r="M75" s="75"/>
      <c r="N75" s="73"/>
      <c r="O75" s="15"/>
    </row>
    <row r="76" spans="1:15" x14ac:dyDescent="0.25">
      <c r="A76" s="16">
        <v>26015</v>
      </c>
      <c r="B76" s="49">
        <v>350</v>
      </c>
      <c r="C76" s="17" t="s">
        <v>178</v>
      </c>
      <c r="D76" s="13"/>
      <c r="E76" s="70"/>
      <c r="F76" s="14"/>
      <c r="G76" s="11"/>
      <c r="H76" s="67"/>
      <c r="I76" s="12"/>
      <c r="J76" s="61"/>
      <c r="K76" s="71"/>
      <c r="L76" s="62"/>
      <c r="M76" s="75"/>
      <c r="N76" s="73"/>
      <c r="O76" s="15"/>
    </row>
    <row r="77" spans="1:15" x14ac:dyDescent="0.25">
      <c r="A77" s="16">
        <v>26016</v>
      </c>
      <c r="B77" s="49">
        <v>350</v>
      </c>
      <c r="C77" s="17" t="s">
        <v>427</v>
      </c>
      <c r="D77" s="13"/>
      <c r="E77" s="70"/>
      <c r="F77" s="14"/>
      <c r="G77" s="11"/>
      <c r="H77" s="67"/>
      <c r="I77" s="12"/>
      <c r="J77" s="61"/>
      <c r="K77" s="71"/>
      <c r="L77" s="62"/>
      <c r="M77" s="75"/>
      <c r="N77" s="73"/>
      <c r="O77" s="15"/>
    </row>
    <row r="78" spans="1:15" x14ac:dyDescent="0.25">
      <c r="A78" s="16">
        <v>26017</v>
      </c>
      <c r="B78" s="49">
        <v>1500</v>
      </c>
      <c r="C78" s="17" t="s">
        <v>487</v>
      </c>
      <c r="D78" s="13"/>
      <c r="E78" s="70"/>
      <c r="F78" s="14"/>
      <c r="G78" s="11"/>
      <c r="H78" s="67"/>
      <c r="I78" s="12"/>
      <c r="J78" s="61"/>
      <c r="K78" s="71"/>
      <c r="L78" s="62"/>
      <c r="M78" s="75"/>
      <c r="N78" s="73"/>
      <c r="O78" s="15"/>
    </row>
    <row r="79" spans="1:15" x14ac:dyDescent="0.25">
      <c r="A79" s="16"/>
      <c r="B79" s="49"/>
      <c r="C79" s="17" t="s">
        <v>64</v>
      </c>
      <c r="D79" s="13"/>
      <c r="E79" s="70"/>
      <c r="F79" s="14"/>
      <c r="G79" s="11"/>
      <c r="H79" s="67"/>
      <c r="I79" s="12"/>
      <c r="J79" s="61"/>
      <c r="K79" s="71"/>
      <c r="L79" s="62"/>
      <c r="M79" s="75"/>
      <c r="N79" s="73"/>
      <c r="O79" s="15"/>
    </row>
    <row r="80" spans="1:15" x14ac:dyDescent="0.25">
      <c r="A80" s="16">
        <v>26018</v>
      </c>
      <c r="B80" s="49"/>
      <c r="C80" s="17" t="s">
        <v>20</v>
      </c>
      <c r="D80" s="13"/>
      <c r="E80" s="70"/>
      <c r="F80" s="14"/>
      <c r="G80" s="11"/>
      <c r="H80" s="67"/>
      <c r="I80" s="12"/>
      <c r="J80" s="61"/>
      <c r="K80" s="71"/>
      <c r="L80" s="62"/>
      <c r="M80" s="75"/>
      <c r="N80" s="73"/>
      <c r="O80" s="15"/>
    </row>
    <row r="81" spans="1:15" x14ac:dyDescent="0.25">
      <c r="A81" s="16">
        <v>26019</v>
      </c>
      <c r="B81" s="49">
        <v>1000</v>
      </c>
      <c r="C81" s="17" t="s">
        <v>410</v>
      </c>
      <c r="D81" s="13"/>
      <c r="E81" s="70"/>
      <c r="F81" s="14"/>
      <c r="G81" s="11"/>
      <c r="H81" s="67"/>
      <c r="I81" s="12"/>
      <c r="J81" s="61"/>
      <c r="K81" s="71"/>
      <c r="L81" s="62"/>
      <c r="M81" s="75"/>
      <c r="N81" s="73"/>
      <c r="O81" s="15"/>
    </row>
    <row r="82" spans="1:15" x14ac:dyDescent="0.25">
      <c r="A82" s="16"/>
      <c r="B82" s="49"/>
      <c r="C82" s="17" t="s">
        <v>64</v>
      </c>
      <c r="D82" s="13"/>
      <c r="E82" s="70"/>
      <c r="F82" s="14"/>
      <c r="G82" s="11"/>
      <c r="H82" s="67"/>
      <c r="I82" s="12"/>
      <c r="J82" s="61"/>
      <c r="K82" s="71"/>
      <c r="L82" s="62"/>
      <c r="M82" s="75"/>
      <c r="N82" s="73"/>
      <c r="O82" s="15"/>
    </row>
    <row r="83" spans="1:15" x14ac:dyDescent="0.25">
      <c r="A83" s="16">
        <v>26020</v>
      </c>
      <c r="B83" s="49">
        <v>500</v>
      </c>
      <c r="C83" s="17"/>
      <c r="D83" s="13"/>
      <c r="E83" s="70"/>
      <c r="F83" s="14"/>
      <c r="G83" s="11"/>
      <c r="H83" s="67"/>
      <c r="I83" s="12"/>
      <c r="J83" s="61"/>
      <c r="K83" s="71"/>
      <c r="L83" s="62"/>
      <c r="M83" s="75"/>
      <c r="N83" s="73"/>
      <c r="O83" s="15"/>
    </row>
    <row r="84" spans="1:15" x14ac:dyDescent="0.25">
      <c r="A84" s="16">
        <v>26021</v>
      </c>
      <c r="B84" s="49">
        <v>500</v>
      </c>
      <c r="C84" s="17" t="s">
        <v>427</v>
      </c>
      <c r="D84" s="13"/>
      <c r="E84" s="70"/>
      <c r="F84" s="14"/>
      <c r="G84" s="11"/>
      <c r="H84" s="67"/>
      <c r="I84" s="12"/>
      <c r="J84" s="61"/>
      <c r="K84" s="71"/>
      <c r="L84" s="62"/>
      <c r="M84" s="75"/>
      <c r="N84" s="73"/>
      <c r="O84" s="15"/>
    </row>
    <row r="85" spans="1:15" x14ac:dyDescent="0.25">
      <c r="A85" s="16">
        <v>26022</v>
      </c>
      <c r="B85" s="49">
        <v>500</v>
      </c>
      <c r="C85" s="17" t="s">
        <v>427</v>
      </c>
      <c r="D85" s="13"/>
      <c r="E85" s="70"/>
      <c r="F85" s="14"/>
      <c r="G85" s="11"/>
      <c r="H85" s="67"/>
      <c r="I85" s="12"/>
      <c r="J85" s="61"/>
      <c r="K85" s="71"/>
      <c r="L85" s="62"/>
      <c r="M85" s="75"/>
      <c r="N85" s="73"/>
      <c r="O85" s="15"/>
    </row>
    <row r="86" spans="1:15" x14ac:dyDescent="0.25">
      <c r="A86" s="16">
        <v>26023</v>
      </c>
      <c r="B86" s="49">
        <v>500</v>
      </c>
      <c r="C86" s="17" t="s">
        <v>427</v>
      </c>
      <c r="D86" s="13"/>
      <c r="E86" s="70"/>
      <c r="F86" s="14"/>
      <c r="G86" s="11"/>
      <c r="H86" s="67"/>
      <c r="I86" s="12"/>
      <c r="J86" s="61"/>
      <c r="K86" s="71"/>
      <c r="L86" s="62"/>
      <c r="M86" s="75"/>
      <c r="N86" s="73"/>
      <c r="O86" s="15"/>
    </row>
    <row r="87" spans="1:15" x14ac:dyDescent="0.25">
      <c r="A87" s="16">
        <v>26024</v>
      </c>
      <c r="B87" s="49">
        <v>450</v>
      </c>
      <c r="C87" s="17" t="s">
        <v>496</v>
      </c>
      <c r="D87" s="13"/>
      <c r="E87" s="70"/>
      <c r="F87" s="14"/>
      <c r="G87" s="11"/>
      <c r="H87" s="67"/>
      <c r="I87" s="12"/>
      <c r="J87" s="61"/>
      <c r="K87" s="71"/>
      <c r="L87" s="62"/>
      <c r="M87" s="75"/>
      <c r="N87" s="73"/>
      <c r="O87" s="15"/>
    </row>
    <row r="88" spans="1:15" x14ac:dyDescent="0.25">
      <c r="A88" s="16">
        <v>26025</v>
      </c>
      <c r="B88" s="49">
        <v>1500</v>
      </c>
      <c r="C88" s="17" t="s">
        <v>487</v>
      </c>
      <c r="D88" s="13"/>
      <c r="E88" s="70"/>
      <c r="F88" s="14"/>
      <c r="G88" s="11"/>
      <c r="H88" s="67"/>
      <c r="I88" s="12"/>
      <c r="J88" s="61"/>
      <c r="K88" s="71"/>
      <c r="L88" s="62"/>
      <c r="M88" s="75"/>
      <c r="N88" s="73"/>
      <c r="O88" s="15"/>
    </row>
    <row r="89" spans="1:15" x14ac:dyDescent="0.25">
      <c r="A89" s="16"/>
      <c r="B89" s="49"/>
      <c r="C89" s="17" t="s">
        <v>64</v>
      </c>
      <c r="D89" s="13"/>
      <c r="E89" s="70"/>
      <c r="F89" s="14"/>
      <c r="G89" s="11"/>
      <c r="H89" s="67"/>
      <c r="I89" s="12"/>
      <c r="J89" s="61"/>
      <c r="K89" s="71"/>
      <c r="L89" s="62"/>
      <c r="M89" s="75"/>
      <c r="N89" s="73"/>
      <c r="O89" s="15"/>
    </row>
    <row r="90" spans="1:15" x14ac:dyDescent="0.25">
      <c r="A90" s="16">
        <v>26026</v>
      </c>
      <c r="B90" s="49">
        <v>500</v>
      </c>
      <c r="C90" s="17" t="s">
        <v>427</v>
      </c>
      <c r="D90" s="13"/>
      <c r="E90" s="70"/>
      <c r="F90" s="14"/>
      <c r="G90" s="11"/>
      <c r="H90" s="67"/>
      <c r="I90" s="12"/>
      <c r="J90" s="61"/>
      <c r="K90" s="71"/>
      <c r="L90" s="62"/>
      <c r="M90" s="75"/>
      <c r="N90" s="73"/>
      <c r="O90" s="15"/>
    </row>
    <row r="91" spans="1:15" x14ac:dyDescent="0.25">
      <c r="A91" s="16">
        <v>26027</v>
      </c>
      <c r="B91" s="49">
        <v>500</v>
      </c>
      <c r="C91" s="17"/>
      <c r="D91" s="13"/>
      <c r="E91" s="70"/>
      <c r="F91" s="14"/>
      <c r="G91" s="11"/>
      <c r="H91" s="67"/>
      <c r="I91" s="12"/>
      <c r="J91" s="61"/>
      <c r="K91" s="71"/>
      <c r="L91" s="62"/>
      <c r="M91" s="75"/>
      <c r="N91" s="73"/>
      <c r="O91" s="15"/>
    </row>
    <row r="92" spans="1:15" x14ac:dyDescent="0.25">
      <c r="A92" s="16">
        <v>26028</v>
      </c>
      <c r="B92" s="49">
        <v>1000</v>
      </c>
      <c r="C92" s="17" t="s">
        <v>448</v>
      </c>
      <c r="D92" s="13"/>
      <c r="E92" s="70"/>
      <c r="F92" s="14"/>
      <c r="G92" s="11"/>
      <c r="H92" s="67"/>
      <c r="I92" s="12"/>
      <c r="J92" s="61"/>
      <c r="K92" s="71"/>
      <c r="L92" s="62"/>
      <c r="M92" s="75"/>
      <c r="N92" s="73"/>
      <c r="O92" s="15"/>
    </row>
    <row r="93" spans="1:15" x14ac:dyDescent="0.25">
      <c r="A93" s="16"/>
      <c r="B93" s="49"/>
      <c r="C93" s="17" t="s">
        <v>64</v>
      </c>
      <c r="D93" s="13"/>
      <c r="E93" s="70"/>
      <c r="F93" s="14"/>
      <c r="G93" s="11"/>
      <c r="H93" s="67"/>
      <c r="I93" s="12"/>
      <c r="J93" s="61"/>
      <c r="K93" s="71"/>
      <c r="L93" s="62"/>
      <c r="M93" s="75"/>
      <c r="N93" s="73"/>
      <c r="O93" s="15"/>
    </row>
    <row r="94" spans="1:15" x14ac:dyDescent="0.25">
      <c r="A94" s="16">
        <v>26029</v>
      </c>
      <c r="B94" s="49">
        <v>500</v>
      </c>
      <c r="C94" s="17"/>
      <c r="D94" s="13"/>
      <c r="E94" s="70"/>
      <c r="F94" s="14"/>
      <c r="G94" s="11"/>
      <c r="H94" s="67"/>
      <c r="I94" s="12"/>
      <c r="J94" s="61"/>
      <c r="K94" s="71"/>
      <c r="L94" s="62"/>
      <c r="M94" s="75"/>
      <c r="N94" s="73"/>
      <c r="O94" s="15"/>
    </row>
    <row r="95" spans="1:15" x14ac:dyDescent="0.25">
      <c r="A95" s="16">
        <v>26030</v>
      </c>
      <c r="B95" s="49">
        <v>500</v>
      </c>
      <c r="C95" s="17" t="s">
        <v>427</v>
      </c>
      <c r="D95" s="13"/>
      <c r="E95" s="70"/>
      <c r="F95" s="14"/>
      <c r="G95" s="11"/>
      <c r="H95" s="67"/>
      <c r="I95" s="12"/>
      <c r="J95" s="61"/>
      <c r="K95" s="71"/>
      <c r="L95" s="62"/>
      <c r="M95" s="75"/>
      <c r="N95" s="73"/>
      <c r="O95" s="15"/>
    </row>
    <row r="96" spans="1:15" x14ac:dyDescent="0.25">
      <c r="A96" s="16">
        <v>26031</v>
      </c>
      <c r="B96" s="49">
        <v>400</v>
      </c>
      <c r="C96" s="17" t="s">
        <v>427</v>
      </c>
      <c r="D96" s="13"/>
      <c r="E96" s="70"/>
      <c r="F96" s="14"/>
      <c r="G96" s="11"/>
      <c r="H96" s="67"/>
      <c r="I96" s="12"/>
      <c r="J96" s="61"/>
      <c r="K96" s="71"/>
      <c r="L96" s="62"/>
      <c r="M96" s="75"/>
      <c r="N96" s="73"/>
      <c r="O96" s="15"/>
    </row>
    <row r="97" spans="1:15" x14ac:dyDescent="0.25">
      <c r="A97" s="16">
        <v>26032</v>
      </c>
      <c r="B97" s="49">
        <v>800</v>
      </c>
      <c r="C97" s="17" t="s">
        <v>448</v>
      </c>
      <c r="D97" s="13"/>
      <c r="E97" s="70"/>
      <c r="F97" s="14"/>
      <c r="G97" s="11"/>
      <c r="H97" s="67"/>
      <c r="I97" s="12"/>
      <c r="J97" s="61"/>
      <c r="K97" s="71"/>
      <c r="L97" s="62"/>
      <c r="M97" s="75"/>
      <c r="N97" s="73"/>
      <c r="O97" s="15"/>
    </row>
    <row r="98" spans="1:15" x14ac:dyDescent="0.25">
      <c r="A98" s="16"/>
      <c r="B98" s="49"/>
      <c r="C98" s="17" t="s">
        <v>17</v>
      </c>
      <c r="D98" s="13"/>
      <c r="E98" s="70"/>
      <c r="F98" s="14"/>
      <c r="G98" s="11"/>
      <c r="H98" s="67"/>
      <c r="I98" s="12"/>
      <c r="J98" s="61"/>
      <c r="K98" s="71"/>
      <c r="L98" s="62"/>
      <c r="M98" s="75"/>
      <c r="N98" s="73"/>
      <c r="O98" s="15"/>
    </row>
    <row r="99" spans="1:15" x14ac:dyDescent="0.25">
      <c r="A99" s="16">
        <v>26033</v>
      </c>
      <c r="B99" s="49">
        <v>300</v>
      </c>
      <c r="C99" s="17" t="s">
        <v>427</v>
      </c>
      <c r="D99" s="13"/>
      <c r="E99" s="70"/>
      <c r="F99" s="14"/>
      <c r="G99" s="11"/>
      <c r="H99" s="67"/>
      <c r="I99" s="12"/>
      <c r="J99" s="61"/>
      <c r="K99" s="71"/>
      <c r="L99" s="62"/>
      <c r="M99" s="75"/>
      <c r="N99" s="73"/>
      <c r="O99" s="15"/>
    </row>
    <row r="100" spans="1:15" x14ac:dyDescent="0.25">
      <c r="A100" s="16">
        <v>26034</v>
      </c>
      <c r="B100" s="49">
        <v>500</v>
      </c>
      <c r="C100" s="17" t="s">
        <v>427</v>
      </c>
      <c r="D100" s="13"/>
      <c r="E100" s="70"/>
      <c r="F100" s="14"/>
      <c r="G100" s="11"/>
      <c r="H100" s="67"/>
      <c r="I100" s="12"/>
      <c r="J100" s="61"/>
      <c r="K100" s="71"/>
      <c r="L100" s="62"/>
      <c r="M100" s="75"/>
      <c r="N100" s="73"/>
      <c r="O100" s="15"/>
    </row>
    <row r="101" spans="1:15" x14ac:dyDescent="0.25">
      <c r="A101" s="16">
        <v>26035</v>
      </c>
      <c r="B101" s="49">
        <v>800</v>
      </c>
      <c r="C101" s="83" t="s">
        <v>410</v>
      </c>
      <c r="D101" s="13"/>
      <c r="E101" s="70"/>
      <c r="F101" s="14"/>
      <c r="G101" s="11"/>
      <c r="H101" s="67"/>
      <c r="I101" s="12"/>
      <c r="J101" s="61"/>
      <c r="K101" s="71"/>
      <c r="L101" s="62"/>
      <c r="M101" s="75"/>
      <c r="N101" s="73"/>
      <c r="O101" s="15"/>
    </row>
    <row r="102" spans="1:15" x14ac:dyDescent="0.25">
      <c r="A102" s="16"/>
      <c r="B102" s="49"/>
      <c r="C102" s="17" t="s">
        <v>17</v>
      </c>
      <c r="D102" s="13"/>
      <c r="E102" s="70"/>
      <c r="F102" s="14"/>
      <c r="G102" s="11"/>
      <c r="H102" s="67"/>
      <c r="I102" s="12"/>
      <c r="J102" s="61"/>
      <c r="K102" s="71"/>
      <c r="L102" s="62"/>
      <c r="M102" s="75"/>
      <c r="N102" s="73"/>
      <c r="O102" s="15"/>
    </row>
    <row r="103" spans="1:15" x14ac:dyDescent="0.25">
      <c r="A103" s="16">
        <v>26036</v>
      </c>
      <c r="B103" s="49">
        <v>800</v>
      </c>
      <c r="C103" s="17" t="s">
        <v>410</v>
      </c>
      <c r="D103" s="13"/>
      <c r="E103" s="70"/>
      <c r="F103" s="14"/>
      <c r="G103" s="11"/>
      <c r="H103" s="67"/>
      <c r="I103" s="12"/>
      <c r="J103" s="61"/>
      <c r="K103" s="71"/>
      <c r="L103" s="62"/>
      <c r="M103" s="75"/>
      <c r="N103" s="73"/>
      <c r="O103" s="15"/>
    </row>
    <row r="104" spans="1:15" x14ac:dyDescent="0.25">
      <c r="A104" s="16"/>
      <c r="B104" s="49"/>
      <c r="C104" s="17" t="s">
        <v>17</v>
      </c>
      <c r="D104" s="13"/>
      <c r="E104" s="70"/>
      <c r="F104" s="14"/>
      <c r="G104" s="11"/>
      <c r="H104" s="67"/>
      <c r="I104" s="12"/>
      <c r="J104" s="61"/>
      <c r="K104" s="71"/>
      <c r="L104" s="62"/>
      <c r="M104" s="75"/>
      <c r="N104" s="73"/>
      <c r="O104" s="15"/>
    </row>
    <row r="105" spans="1:15" x14ac:dyDescent="0.25">
      <c r="A105" s="16">
        <v>26037</v>
      </c>
      <c r="B105" s="49">
        <v>350</v>
      </c>
      <c r="C105" s="17" t="s">
        <v>178</v>
      </c>
      <c r="D105" s="13"/>
      <c r="E105" s="70"/>
      <c r="F105" s="14"/>
      <c r="G105" s="11"/>
      <c r="H105" s="67"/>
      <c r="I105" s="12"/>
      <c r="J105" s="61"/>
      <c r="K105" s="71"/>
      <c r="L105" s="62"/>
      <c r="M105" s="75"/>
      <c r="N105" s="73"/>
      <c r="O105" s="15"/>
    </row>
    <row r="106" spans="1:15" x14ac:dyDescent="0.25">
      <c r="A106" s="16">
        <v>26038</v>
      </c>
      <c r="B106" s="49">
        <v>600</v>
      </c>
      <c r="C106" s="17"/>
      <c r="D106" s="13"/>
      <c r="E106" s="70"/>
      <c r="F106" s="14"/>
      <c r="G106" s="11"/>
      <c r="H106" s="67"/>
      <c r="I106" s="12"/>
      <c r="J106" s="61"/>
      <c r="K106" s="71"/>
      <c r="L106" s="62"/>
      <c r="M106" s="75"/>
      <c r="N106" s="73"/>
      <c r="O106" s="15"/>
    </row>
    <row r="107" spans="1:15" x14ac:dyDescent="0.25">
      <c r="A107" s="16"/>
      <c r="B107" s="49"/>
      <c r="C107" s="17"/>
      <c r="D107" s="13"/>
      <c r="E107" s="70"/>
      <c r="F107" s="14"/>
      <c r="G107" s="11"/>
      <c r="H107" s="67"/>
      <c r="I107" s="12"/>
      <c r="J107" s="61"/>
      <c r="K107" s="71"/>
      <c r="L107" s="62"/>
      <c r="M107" s="75"/>
      <c r="N107" s="73"/>
      <c r="O107" s="15"/>
    </row>
    <row r="108" spans="1:15" x14ac:dyDescent="0.25">
      <c r="A108" s="16"/>
      <c r="B108" s="49"/>
      <c r="C108" s="17"/>
      <c r="D108" s="13"/>
      <c r="E108" s="70"/>
      <c r="F108" s="14"/>
      <c r="G108" s="11"/>
      <c r="H108" s="67"/>
      <c r="I108" s="12"/>
      <c r="J108" s="61"/>
      <c r="K108" s="71"/>
      <c r="L108" s="62"/>
      <c r="M108" s="75"/>
      <c r="N108" s="73"/>
      <c r="O108" s="15"/>
    </row>
    <row r="109" spans="1:15" x14ac:dyDescent="0.25">
      <c r="A109" s="16"/>
      <c r="B109" s="49"/>
      <c r="C109" s="17"/>
      <c r="D109" s="13"/>
      <c r="E109" s="70"/>
      <c r="F109" s="14"/>
      <c r="G109" s="11"/>
      <c r="H109" s="67"/>
      <c r="I109" s="12"/>
      <c r="J109" s="61"/>
      <c r="K109" s="71"/>
      <c r="L109" s="62"/>
      <c r="M109" s="75"/>
      <c r="N109" s="73"/>
      <c r="O109" s="15"/>
    </row>
    <row r="110" spans="1:15" x14ac:dyDescent="0.25">
      <c r="A110" s="16"/>
      <c r="B110" s="49"/>
      <c r="C110" s="17"/>
      <c r="D110" s="13"/>
      <c r="E110" s="70"/>
      <c r="F110" s="14"/>
      <c r="G110" s="11"/>
      <c r="H110" s="67"/>
      <c r="I110" s="12"/>
      <c r="J110" s="61"/>
      <c r="K110" s="71"/>
      <c r="L110" s="62"/>
      <c r="M110" s="75"/>
      <c r="N110" s="73"/>
      <c r="O110" s="15"/>
    </row>
    <row r="111" spans="1:15" x14ac:dyDescent="0.25">
      <c r="A111" s="16"/>
      <c r="B111" s="49"/>
      <c r="C111" s="17"/>
      <c r="D111" s="13"/>
      <c r="E111" s="70"/>
      <c r="F111" s="14"/>
      <c r="G111" s="11"/>
      <c r="H111" s="67"/>
      <c r="I111" s="12"/>
      <c r="J111" s="61"/>
      <c r="K111" s="71"/>
      <c r="L111" s="62"/>
      <c r="M111" s="75"/>
      <c r="N111" s="73"/>
      <c r="O111" s="15"/>
    </row>
    <row r="112" spans="1:15" x14ac:dyDescent="0.25">
      <c r="A112" s="16"/>
      <c r="B112" s="49"/>
      <c r="C112" s="17"/>
      <c r="D112" s="13"/>
      <c r="E112" s="70"/>
      <c r="F112" s="14"/>
      <c r="G112" s="11"/>
      <c r="H112" s="67"/>
      <c r="I112" s="12"/>
      <c r="J112" s="61"/>
      <c r="K112" s="71"/>
      <c r="L112" s="62"/>
      <c r="M112" s="75"/>
      <c r="N112" s="73"/>
      <c r="O112" s="15"/>
    </row>
    <row r="113" spans="1:15" x14ac:dyDescent="0.25">
      <c r="A113" s="16"/>
      <c r="B113" s="49"/>
      <c r="C113" s="17"/>
      <c r="D113" s="13"/>
      <c r="E113" s="70"/>
      <c r="F113" s="14"/>
      <c r="G113" s="11"/>
      <c r="H113" s="67"/>
      <c r="I113" s="12"/>
      <c r="J113" s="61"/>
      <c r="K113" s="71"/>
      <c r="L113" s="62"/>
      <c r="M113" s="75"/>
      <c r="N113" s="73"/>
      <c r="O113" s="15"/>
    </row>
    <row r="114" spans="1:15" x14ac:dyDescent="0.25">
      <c r="A114" s="16"/>
      <c r="B114" s="49"/>
      <c r="C114" s="17"/>
      <c r="D114" s="13"/>
      <c r="E114" s="70"/>
      <c r="F114" s="14"/>
      <c r="G114" s="11"/>
      <c r="H114" s="67"/>
      <c r="I114" s="12"/>
      <c r="J114" s="61"/>
      <c r="K114" s="71"/>
      <c r="L114" s="62"/>
      <c r="M114" s="75"/>
      <c r="N114" s="73"/>
      <c r="O114" s="15"/>
    </row>
    <row r="115" spans="1:15" x14ac:dyDescent="0.25">
      <c r="A115" s="26"/>
      <c r="B115" s="66"/>
      <c r="C115" s="58"/>
      <c r="D115" s="26"/>
      <c r="E115" s="74"/>
      <c r="F115" s="58"/>
      <c r="G115" s="26"/>
      <c r="H115" s="58"/>
      <c r="I115" s="58"/>
      <c r="J115" s="26"/>
      <c r="K115" s="74"/>
      <c r="L115" s="58"/>
      <c r="M115" s="26"/>
      <c r="N115" s="58"/>
      <c r="O115" s="58"/>
    </row>
    <row r="116" spans="1:15" x14ac:dyDescent="0.25">
      <c r="A116" s="26"/>
      <c r="B116" s="66"/>
      <c r="C116" s="58"/>
      <c r="D116" s="26"/>
      <c r="E116" s="58"/>
      <c r="F116" s="58"/>
      <c r="G116" s="26"/>
      <c r="H116" s="58"/>
      <c r="I116" s="58"/>
      <c r="J116" s="26"/>
      <c r="K116" s="74"/>
      <c r="L116" s="58"/>
      <c r="M116" s="26"/>
      <c r="N116" s="58"/>
      <c r="O116" s="58"/>
    </row>
    <row r="117" spans="1:15" x14ac:dyDescent="0.25">
      <c r="A117" s="26"/>
      <c r="B117" s="66"/>
      <c r="C117" s="58"/>
      <c r="D117" s="26"/>
      <c r="E117" s="58"/>
      <c r="F117" s="58"/>
      <c r="G117" s="26"/>
      <c r="H117" s="58"/>
      <c r="I117" s="58"/>
      <c r="J117" s="26"/>
      <c r="K117" s="74"/>
      <c r="L117" s="58"/>
      <c r="M117" s="26"/>
      <c r="N117" s="58"/>
      <c r="O117" s="58"/>
    </row>
    <row r="118" spans="1:15" x14ac:dyDescent="0.25">
      <c r="A118" s="26"/>
      <c r="B118" s="66"/>
      <c r="C118" s="58"/>
      <c r="D118" s="26"/>
      <c r="E118" s="58"/>
      <c r="F118" s="58"/>
      <c r="G118" s="26"/>
      <c r="H118" s="58"/>
      <c r="I118" s="58"/>
      <c r="J118" s="26"/>
      <c r="K118" s="74"/>
      <c r="L118" s="58"/>
      <c r="M118" s="26"/>
      <c r="N118" s="58"/>
      <c r="O118" s="58"/>
    </row>
    <row r="119" spans="1:15" x14ac:dyDescent="0.25">
      <c r="A119" s="26"/>
      <c r="B119" s="66"/>
      <c r="C119" s="58"/>
      <c r="D119" s="26"/>
      <c r="E119" s="58"/>
      <c r="F119" s="58"/>
      <c r="G119" s="26"/>
      <c r="H119" s="58"/>
      <c r="I119" s="58"/>
      <c r="J119" s="26"/>
      <c r="K119" s="74"/>
      <c r="L119" s="58"/>
      <c r="M119" s="26"/>
      <c r="N119" s="58"/>
      <c r="O119" s="58"/>
    </row>
    <row r="120" spans="1:15" x14ac:dyDescent="0.25">
      <c r="A120" s="26"/>
      <c r="B120" s="66"/>
      <c r="C120" s="58"/>
      <c r="D120" s="26"/>
      <c r="E120" s="58"/>
      <c r="F120" s="58"/>
      <c r="G120" s="26"/>
      <c r="H120" s="58"/>
      <c r="I120" s="58"/>
      <c r="J120" s="26"/>
      <c r="K120" s="74"/>
      <c r="L120" s="58"/>
      <c r="M120" s="26"/>
      <c r="N120" s="58"/>
      <c r="O120" s="58"/>
    </row>
    <row r="121" spans="1:15" x14ac:dyDescent="0.25">
      <c r="A121" s="26"/>
      <c r="B121" s="66"/>
      <c r="C121" s="58"/>
      <c r="D121" s="26"/>
      <c r="E121" s="58"/>
      <c r="F121" s="58"/>
      <c r="G121" s="26"/>
      <c r="H121" s="58"/>
      <c r="I121" s="58"/>
      <c r="J121" s="26"/>
      <c r="K121" s="74"/>
      <c r="L121" s="58"/>
      <c r="M121" s="26"/>
      <c r="N121" s="58"/>
      <c r="O121" s="58"/>
    </row>
    <row r="122" spans="1:15" x14ac:dyDescent="0.25">
      <c r="A122" s="26"/>
      <c r="B122" s="66"/>
      <c r="C122" s="58"/>
      <c r="D122" s="26"/>
      <c r="E122" s="58"/>
      <c r="F122" s="58"/>
      <c r="G122" s="26"/>
      <c r="H122" s="58"/>
      <c r="I122" s="58"/>
      <c r="J122" s="26"/>
      <c r="K122" s="74"/>
      <c r="L122" s="58"/>
      <c r="M122" s="26"/>
      <c r="N122" s="58"/>
      <c r="O122" s="58"/>
    </row>
    <row r="123" spans="1:15" x14ac:dyDescent="0.25">
      <c r="A123" s="26"/>
      <c r="B123" s="66"/>
      <c r="C123" s="58"/>
      <c r="D123" s="26"/>
      <c r="E123" s="58"/>
      <c r="F123" s="58"/>
      <c r="G123" s="26"/>
      <c r="H123" s="58"/>
      <c r="I123" s="58"/>
      <c r="J123" s="26"/>
      <c r="K123" s="74"/>
      <c r="L123" s="58"/>
      <c r="M123" s="26"/>
      <c r="N123" s="58"/>
      <c r="O123" s="58"/>
    </row>
    <row r="124" spans="1:15" x14ac:dyDescent="0.25">
      <c r="A124" s="26"/>
      <c r="B124" s="66"/>
      <c r="C124" s="58"/>
      <c r="D124" s="26"/>
      <c r="E124" s="58"/>
      <c r="F124" s="58"/>
      <c r="G124" s="26"/>
      <c r="H124" s="58"/>
      <c r="I124" s="58"/>
      <c r="J124" s="26"/>
      <c r="K124" s="74"/>
      <c r="L124" s="58"/>
      <c r="M124" s="26"/>
      <c r="N124" s="58"/>
      <c r="O124" s="58"/>
    </row>
    <row r="125" spans="1:15" x14ac:dyDescent="0.25">
      <c r="A125" s="26"/>
      <c r="B125" s="66"/>
      <c r="C125" s="58"/>
      <c r="D125" s="26"/>
      <c r="E125" s="58"/>
      <c r="F125" s="58"/>
      <c r="G125" s="26"/>
      <c r="H125" s="58"/>
      <c r="I125" s="58"/>
      <c r="J125" s="26"/>
      <c r="K125" s="74"/>
      <c r="L125" s="58"/>
      <c r="M125" s="26"/>
      <c r="N125" s="58"/>
      <c r="O125" s="58"/>
    </row>
    <row r="126" spans="1:15" x14ac:dyDescent="0.25">
      <c r="A126" s="26"/>
      <c r="B126" s="66"/>
      <c r="C126" s="58"/>
      <c r="D126" s="26"/>
      <c r="E126" s="58"/>
      <c r="F126" s="58"/>
      <c r="G126" s="26"/>
      <c r="H126" s="58"/>
      <c r="I126" s="58"/>
      <c r="J126" s="26"/>
      <c r="K126" s="74"/>
      <c r="L126" s="58"/>
      <c r="M126" s="26"/>
      <c r="N126" s="58"/>
      <c r="O126" s="58"/>
    </row>
    <row r="127" spans="1:15" x14ac:dyDescent="0.25">
      <c r="A127" s="26"/>
      <c r="B127" s="66"/>
      <c r="C127" s="58"/>
      <c r="D127" s="26"/>
      <c r="E127" s="58"/>
      <c r="F127" s="58"/>
      <c r="G127" s="26"/>
      <c r="H127" s="58"/>
      <c r="I127" s="58"/>
      <c r="J127" s="26"/>
      <c r="K127" s="74"/>
      <c r="L127" s="58"/>
      <c r="M127" s="26"/>
      <c r="N127" s="58"/>
      <c r="O127" s="58"/>
    </row>
    <row r="128" spans="1:15" x14ac:dyDescent="0.25">
      <c r="A128" s="26"/>
      <c r="B128" s="66"/>
      <c r="C128" s="58"/>
      <c r="D128" s="26"/>
      <c r="E128" s="58"/>
      <c r="F128" s="58"/>
      <c r="G128" s="26"/>
      <c r="H128" s="58"/>
      <c r="I128" s="58"/>
      <c r="J128" s="26"/>
      <c r="K128" s="74"/>
      <c r="L128" s="58"/>
      <c r="M128" s="26"/>
      <c r="N128" s="58"/>
      <c r="O128" s="58"/>
    </row>
    <row r="129" spans="1:15" x14ac:dyDescent="0.25">
      <c r="A129" s="26"/>
      <c r="B129" s="66"/>
      <c r="C129" s="58"/>
      <c r="D129" s="26"/>
      <c r="E129" s="58"/>
      <c r="F129" s="58"/>
      <c r="G129" s="26"/>
      <c r="H129" s="58"/>
      <c r="I129" s="58"/>
      <c r="J129" s="26"/>
      <c r="K129" s="74"/>
      <c r="L129" s="58"/>
      <c r="M129" s="26"/>
      <c r="N129" s="58"/>
      <c r="O129" s="58"/>
    </row>
    <row r="130" spans="1:15" x14ac:dyDescent="0.25">
      <c r="A130" s="26"/>
      <c r="B130" s="66"/>
      <c r="C130" s="58"/>
      <c r="D130" s="26"/>
      <c r="E130" s="58"/>
      <c r="F130" s="58"/>
      <c r="G130" s="26"/>
      <c r="H130" s="58"/>
      <c r="I130" s="58"/>
      <c r="J130" s="26"/>
      <c r="K130" s="74"/>
      <c r="L130" s="58"/>
      <c r="M130" s="26"/>
      <c r="N130" s="58"/>
      <c r="O130" s="58"/>
    </row>
    <row r="131" spans="1:15" x14ac:dyDescent="0.25">
      <c r="A131" s="26"/>
      <c r="B131" s="66"/>
      <c r="C131" s="58"/>
      <c r="D131" s="26"/>
      <c r="E131" s="58"/>
      <c r="F131" s="58"/>
      <c r="G131" s="26"/>
      <c r="H131" s="58"/>
      <c r="I131" s="58"/>
      <c r="J131" s="26"/>
      <c r="K131" s="74"/>
      <c r="L131" s="58"/>
      <c r="M131" s="26"/>
      <c r="N131" s="58"/>
      <c r="O131" s="58"/>
    </row>
    <row r="132" spans="1:15" x14ac:dyDescent="0.25">
      <c r="A132" s="26"/>
      <c r="B132" s="66"/>
      <c r="C132" s="58"/>
      <c r="D132" s="26"/>
      <c r="E132" s="58"/>
      <c r="F132" s="58"/>
      <c r="G132" s="26"/>
      <c r="H132" s="58"/>
      <c r="I132" s="58"/>
      <c r="J132" s="26"/>
      <c r="K132" s="74"/>
      <c r="L132" s="58"/>
      <c r="M132" s="26"/>
      <c r="N132" s="58"/>
      <c r="O132" s="58"/>
    </row>
    <row r="133" spans="1:15" x14ac:dyDescent="0.25">
      <c r="A133" s="26"/>
      <c r="B133" s="66"/>
      <c r="C133" s="58"/>
      <c r="D133" s="26"/>
      <c r="E133" s="58"/>
      <c r="F133" s="58"/>
      <c r="G133" s="26"/>
      <c r="H133" s="58"/>
      <c r="I133" s="58"/>
      <c r="J133" s="26"/>
      <c r="K133" s="74"/>
      <c r="L133" s="58"/>
      <c r="M133" s="26"/>
      <c r="N133" s="58"/>
      <c r="O133" s="58"/>
    </row>
    <row r="134" spans="1:15" x14ac:dyDescent="0.25">
      <c r="A134" s="26"/>
      <c r="B134" s="66"/>
      <c r="C134" s="58"/>
      <c r="D134" s="26"/>
      <c r="E134" s="58"/>
      <c r="F134" s="58"/>
      <c r="G134" s="26"/>
      <c r="H134" s="58"/>
      <c r="I134" s="58"/>
      <c r="J134" s="26"/>
      <c r="K134" s="74"/>
      <c r="L134" s="58"/>
      <c r="M134" s="26"/>
      <c r="N134" s="58"/>
      <c r="O134" s="58"/>
    </row>
    <row r="135" spans="1:15" x14ac:dyDescent="0.25">
      <c r="A135" s="26"/>
      <c r="B135" s="66"/>
      <c r="C135" s="58"/>
      <c r="D135" s="26"/>
      <c r="E135" s="58"/>
      <c r="F135" s="58"/>
      <c r="G135" s="26"/>
      <c r="H135" s="58"/>
      <c r="I135" s="58"/>
      <c r="J135" s="26"/>
      <c r="K135" s="74"/>
      <c r="L135" s="58"/>
      <c r="M135" s="26"/>
      <c r="N135" s="58"/>
      <c r="O135" s="58"/>
    </row>
    <row r="136" spans="1:15" x14ac:dyDescent="0.25">
      <c r="A136" s="26"/>
      <c r="B136" s="66"/>
      <c r="C136" s="58"/>
      <c r="D136" s="26"/>
      <c r="E136" s="58"/>
      <c r="F136" s="58"/>
      <c r="G136" s="26"/>
      <c r="H136" s="58"/>
      <c r="I136" s="58"/>
      <c r="J136" s="26"/>
      <c r="K136" s="74"/>
      <c r="L136" s="58"/>
      <c r="M136" s="26"/>
      <c r="N136" s="58"/>
      <c r="O136" s="58"/>
    </row>
    <row r="137" spans="1:15" x14ac:dyDescent="0.25">
      <c r="A137" s="26"/>
      <c r="B137" s="66"/>
      <c r="C137" s="58"/>
      <c r="D137" s="26"/>
      <c r="E137" s="58"/>
      <c r="F137" s="58"/>
      <c r="G137" s="26"/>
      <c r="H137" s="58"/>
      <c r="I137" s="58"/>
      <c r="J137" s="26"/>
      <c r="K137" s="74"/>
      <c r="L137" s="58"/>
      <c r="M137" s="26"/>
      <c r="N137" s="58"/>
      <c r="O137" s="58"/>
    </row>
    <row r="138" spans="1:15" x14ac:dyDescent="0.25">
      <c r="A138" s="26"/>
      <c r="B138" s="66"/>
      <c r="C138" s="58"/>
      <c r="D138" s="26"/>
      <c r="E138" s="58"/>
      <c r="F138" s="58"/>
      <c r="G138" s="26"/>
      <c r="H138" s="58"/>
      <c r="I138" s="58"/>
      <c r="J138" s="26"/>
      <c r="K138" s="74"/>
      <c r="L138" s="58"/>
      <c r="M138" s="26"/>
      <c r="N138" s="58"/>
      <c r="O138" s="58"/>
    </row>
    <row r="139" spans="1:15" x14ac:dyDescent="0.25">
      <c r="A139" s="26"/>
      <c r="B139" s="66"/>
      <c r="C139" s="58"/>
      <c r="D139" s="26"/>
      <c r="E139" s="58"/>
      <c r="F139" s="58"/>
      <c r="G139" s="26"/>
      <c r="H139" s="58"/>
      <c r="I139" s="58"/>
      <c r="J139" s="26"/>
      <c r="K139" s="74"/>
      <c r="L139" s="58"/>
      <c r="M139" s="26"/>
      <c r="N139" s="58"/>
      <c r="O139" s="58"/>
    </row>
    <row r="140" spans="1:15" x14ac:dyDescent="0.25">
      <c r="A140" s="26"/>
      <c r="B140" s="66"/>
      <c r="C140" s="58"/>
      <c r="D140" s="26"/>
      <c r="E140" s="58"/>
      <c r="F140" s="58"/>
      <c r="G140" s="26"/>
      <c r="H140" s="58"/>
      <c r="I140" s="58"/>
      <c r="J140" s="26"/>
      <c r="K140" s="74"/>
      <c r="L140" s="58"/>
      <c r="M140" s="26"/>
      <c r="N140" s="58"/>
      <c r="O140" s="58"/>
    </row>
    <row r="141" spans="1:15" x14ac:dyDescent="0.25">
      <c r="A141" s="26"/>
      <c r="B141" s="66"/>
      <c r="C141" s="58"/>
      <c r="D141" s="26"/>
      <c r="E141" s="58"/>
      <c r="F141" s="58"/>
      <c r="G141" s="26"/>
      <c r="H141" s="58"/>
      <c r="I141" s="58"/>
      <c r="J141" s="26"/>
      <c r="K141" s="74"/>
      <c r="L141" s="58"/>
      <c r="M141" s="26"/>
      <c r="N141" s="58"/>
      <c r="O141" s="58"/>
    </row>
    <row r="142" spans="1:15" x14ac:dyDescent="0.25">
      <c r="A142" s="26"/>
      <c r="B142" s="66"/>
      <c r="C142" s="58"/>
      <c r="D142" s="26"/>
      <c r="E142" s="58"/>
      <c r="F142" s="58"/>
      <c r="G142" s="26"/>
      <c r="H142" s="58"/>
      <c r="I142" s="58"/>
      <c r="J142" s="26"/>
      <c r="K142" s="74"/>
      <c r="L142" s="58"/>
      <c r="M142" s="26"/>
      <c r="N142" s="58"/>
      <c r="O142" s="58"/>
    </row>
    <row r="143" spans="1:15" x14ac:dyDescent="0.25">
      <c r="A143" s="26"/>
      <c r="B143" s="66"/>
      <c r="C143" s="58"/>
      <c r="D143" s="26"/>
      <c r="E143" s="58"/>
      <c r="F143" s="58"/>
      <c r="G143" s="26"/>
      <c r="H143" s="58"/>
      <c r="I143" s="58"/>
      <c r="J143" s="26"/>
      <c r="K143" s="74"/>
      <c r="L143" s="58"/>
      <c r="M143" s="26"/>
      <c r="N143" s="58"/>
      <c r="O143" s="58"/>
    </row>
    <row r="144" spans="1:15" x14ac:dyDescent="0.25">
      <c r="A144" s="26"/>
      <c r="B144" s="66"/>
      <c r="C144" s="58"/>
      <c r="D144" s="26"/>
      <c r="E144" s="58"/>
      <c r="F144" s="58"/>
      <c r="G144" s="26"/>
      <c r="H144" s="58"/>
      <c r="I144" s="58"/>
      <c r="J144" s="26"/>
      <c r="K144" s="74"/>
      <c r="L144" s="58"/>
      <c r="M144" s="26"/>
      <c r="N144" s="58"/>
      <c r="O144" s="58"/>
    </row>
    <row r="145" spans="1:15" x14ac:dyDescent="0.25">
      <c r="A145" s="26"/>
      <c r="B145" s="66"/>
      <c r="C145" s="58"/>
      <c r="D145" s="26"/>
      <c r="E145" s="58"/>
      <c r="F145" s="58"/>
      <c r="G145" s="26"/>
      <c r="H145" s="58"/>
      <c r="I145" s="58"/>
      <c r="J145" s="26"/>
      <c r="K145" s="74"/>
      <c r="L145" s="58"/>
      <c r="M145" s="26"/>
      <c r="N145" s="58"/>
      <c r="O145" s="58"/>
    </row>
    <row r="146" spans="1:15" x14ac:dyDescent="0.25">
      <c r="A146" s="26"/>
      <c r="B146" s="66"/>
      <c r="C146" s="58"/>
      <c r="D146" s="26"/>
      <c r="E146" s="58"/>
      <c r="F146" s="58"/>
      <c r="G146" s="26"/>
      <c r="H146" s="58"/>
      <c r="I146" s="58"/>
      <c r="J146" s="26"/>
      <c r="K146" s="74"/>
      <c r="L146" s="58"/>
      <c r="M146" s="26"/>
      <c r="N146" s="58"/>
      <c r="O146" s="58"/>
    </row>
    <row r="147" spans="1:15" x14ac:dyDescent="0.25">
      <c r="A147" s="26"/>
      <c r="B147" s="66"/>
      <c r="C147" s="58"/>
      <c r="D147" s="26"/>
      <c r="E147" s="58"/>
      <c r="F147" s="58"/>
      <c r="G147" s="26"/>
      <c r="H147" s="58"/>
      <c r="I147" s="58"/>
      <c r="J147" s="26"/>
      <c r="K147" s="74"/>
      <c r="L147" s="58"/>
      <c r="M147" s="26"/>
      <c r="N147" s="58"/>
      <c r="O147" s="58"/>
    </row>
    <row r="148" spans="1:15" x14ac:dyDescent="0.25">
      <c r="A148" s="26"/>
      <c r="B148" s="66"/>
      <c r="C148" s="58"/>
      <c r="D148" s="26"/>
      <c r="E148" s="58"/>
      <c r="F148" s="58"/>
      <c r="G148" s="26"/>
      <c r="H148" s="58"/>
      <c r="I148" s="58"/>
      <c r="J148" s="26"/>
      <c r="K148" s="74"/>
      <c r="L148" s="58"/>
      <c r="M148" s="26"/>
      <c r="N148" s="58"/>
      <c r="O148" s="58"/>
    </row>
    <row r="149" spans="1:15" x14ac:dyDescent="0.25">
      <c r="A149" s="26"/>
      <c r="B149" s="66"/>
      <c r="C149" s="58"/>
      <c r="D149" s="26"/>
      <c r="E149" s="58"/>
      <c r="F149" s="58"/>
      <c r="G149" s="26"/>
      <c r="H149" s="58"/>
      <c r="I149" s="58"/>
      <c r="J149" s="26"/>
      <c r="K149" s="74"/>
      <c r="L149" s="58"/>
      <c r="M149" s="26"/>
      <c r="N149" s="58"/>
      <c r="O149" s="58"/>
    </row>
    <row r="150" spans="1:15" x14ac:dyDescent="0.25">
      <c r="A150" s="26"/>
      <c r="B150" s="66"/>
      <c r="C150" s="58"/>
      <c r="D150" s="26"/>
      <c r="E150" s="58"/>
      <c r="F150" s="58"/>
      <c r="G150" s="26"/>
      <c r="H150" s="58"/>
      <c r="I150" s="58"/>
      <c r="J150" s="26"/>
      <c r="K150" s="74"/>
      <c r="L150" s="58"/>
      <c r="M150" s="26"/>
      <c r="N150" s="58"/>
      <c r="O150" s="58"/>
    </row>
    <row r="151" spans="1:15" x14ac:dyDescent="0.25">
      <c r="A151" s="26"/>
      <c r="B151" s="66"/>
      <c r="C151" s="58"/>
      <c r="D151" s="26"/>
      <c r="E151" s="58"/>
      <c r="F151" s="58"/>
      <c r="G151" s="26"/>
      <c r="H151" s="58"/>
      <c r="I151" s="58"/>
      <c r="J151" s="26"/>
      <c r="K151" s="74"/>
      <c r="L151" s="58"/>
      <c r="M151" s="26"/>
      <c r="N151" s="58"/>
      <c r="O151" s="58"/>
    </row>
    <row r="152" spans="1:15" x14ac:dyDescent="0.25">
      <c r="A152" s="26"/>
      <c r="B152" s="66"/>
      <c r="C152" s="58"/>
      <c r="D152" s="26"/>
      <c r="E152" s="58"/>
      <c r="F152" s="58"/>
      <c r="G152" s="26"/>
      <c r="H152" s="58"/>
      <c r="I152" s="58"/>
      <c r="J152" s="26"/>
      <c r="K152" s="74"/>
      <c r="L152" s="58"/>
      <c r="M152" s="26"/>
      <c r="N152" s="58"/>
      <c r="O152" s="58"/>
    </row>
    <row r="153" spans="1:15" x14ac:dyDescent="0.25">
      <c r="A153" s="26"/>
      <c r="B153" s="66"/>
      <c r="C153" s="58"/>
      <c r="D153" s="26"/>
      <c r="E153" s="58"/>
      <c r="F153" s="58"/>
      <c r="G153" s="26"/>
      <c r="H153" s="58"/>
      <c r="I153" s="58"/>
      <c r="J153" s="26"/>
      <c r="K153" s="74"/>
      <c r="L153" s="58"/>
      <c r="M153" s="26"/>
      <c r="N153" s="58"/>
      <c r="O153" s="58"/>
    </row>
    <row r="154" spans="1:15" x14ac:dyDescent="0.25">
      <c r="A154" s="26"/>
      <c r="B154" s="66"/>
      <c r="C154" s="58"/>
      <c r="D154" s="26"/>
      <c r="E154" s="58"/>
      <c r="F154" s="58"/>
      <c r="G154" s="26"/>
      <c r="H154" s="58"/>
      <c r="I154" s="58"/>
      <c r="J154" s="26"/>
      <c r="K154" s="74"/>
      <c r="L154" s="58"/>
      <c r="M154" s="26"/>
      <c r="N154" s="58"/>
      <c r="O154" s="58"/>
    </row>
    <row r="155" spans="1:15" x14ac:dyDescent="0.25">
      <c r="A155" s="26"/>
      <c r="B155" s="66"/>
      <c r="C155" s="58"/>
      <c r="D155" s="26"/>
      <c r="E155" s="58"/>
      <c r="F155" s="58"/>
      <c r="G155" s="26"/>
      <c r="H155" s="58"/>
      <c r="I155" s="58"/>
      <c r="J155" s="26"/>
      <c r="K155" s="74"/>
      <c r="L155" s="58"/>
      <c r="M155" s="26"/>
      <c r="N155" s="58"/>
      <c r="O155" s="58"/>
    </row>
    <row r="156" spans="1:15" x14ac:dyDescent="0.25">
      <c r="A156" s="26"/>
      <c r="B156" s="66"/>
      <c r="C156" s="58"/>
      <c r="D156" s="26"/>
      <c r="E156" s="58"/>
      <c r="F156" s="58"/>
      <c r="G156" s="26"/>
      <c r="H156" s="58"/>
      <c r="I156" s="58"/>
      <c r="J156" s="26"/>
      <c r="K156" s="74"/>
      <c r="L156" s="58"/>
      <c r="M156" s="26"/>
      <c r="N156" s="58"/>
      <c r="O156" s="58"/>
    </row>
    <row r="157" spans="1:15" x14ac:dyDescent="0.25">
      <c r="A157" s="26"/>
      <c r="B157" s="66"/>
      <c r="C157" s="58"/>
      <c r="D157" s="26"/>
      <c r="E157" s="58"/>
      <c r="F157" s="58"/>
      <c r="G157" s="26"/>
      <c r="H157" s="58"/>
      <c r="I157" s="58"/>
      <c r="J157" s="26"/>
      <c r="K157" s="74"/>
      <c r="L157" s="58"/>
      <c r="M157" s="26"/>
      <c r="N157" s="58"/>
      <c r="O157" s="58"/>
    </row>
    <row r="158" spans="1:15" x14ac:dyDescent="0.25">
      <c r="A158" s="26"/>
      <c r="B158" s="66"/>
      <c r="C158" s="58"/>
      <c r="D158" s="26"/>
      <c r="E158" s="58"/>
      <c r="F158" s="58"/>
      <c r="G158" s="26"/>
      <c r="H158" s="58"/>
      <c r="I158" s="58"/>
      <c r="J158" s="26"/>
      <c r="K158" s="74"/>
      <c r="L158" s="58"/>
      <c r="M158" s="26"/>
      <c r="N158" s="58"/>
      <c r="O158" s="58"/>
    </row>
    <row r="159" spans="1:15" x14ac:dyDescent="0.25">
      <c r="A159" s="26"/>
      <c r="B159" s="66"/>
      <c r="C159" s="58"/>
      <c r="D159" s="26"/>
      <c r="E159" s="58"/>
      <c r="F159" s="58"/>
      <c r="G159" s="26"/>
      <c r="H159" s="58"/>
      <c r="I159" s="58"/>
      <c r="J159" s="26"/>
      <c r="K159" s="74"/>
      <c r="L159" s="58"/>
      <c r="M159" s="26"/>
      <c r="N159" s="58"/>
      <c r="O159" s="58"/>
    </row>
    <row r="160" spans="1:15" x14ac:dyDescent="0.25">
      <c r="A160" s="26"/>
      <c r="B160" s="66"/>
      <c r="C160" s="58"/>
      <c r="D160" s="26"/>
      <c r="E160" s="58"/>
      <c r="F160" s="58"/>
      <c r="G160" s="26"/>
      <c r="H160" s="58"/>
      <c r="I160" s="58"/>
      <c r="J160" s="26"/>
      <c r="K160" s="74"/>
      <c r="L160" s="58"/>
      <c r="M160" s="26"/>
      <c r="N160" s="58"/>
      <c r="O160" s="58"/>
    </row>
    <row r="161" spans="1:15" x14ac:dyDescent="0.25">
      <c r="A161" s="26"/>
      <c r="B161" s="66"/>
      <c r="C161" s="58"/>
      <c r="D161" s="26"/>
      <c r="E161" s="58"/>
      <c r="F161" s="58"/>
      <c r="G161" s="26"/>
      <c r="H161" s="58"/>
      <c r="I161" s="58"/>
      <c r="J161" s="26"/>
      <c r="K161" s="74"/>
      <c r="L161" s="58"/>
      <c r="M161" s="26"/>
      <c r="N161" s="58"/>
      <c r="O161" s="58"/>
    </row>
    <row r="162" spans="1:15" x14ac:dyDescent="0.25">
      <c r="A162" s="26"/>
      <c r="B162" s="66"/>
      <c r="C162" s="58"/>
      <c r="D162" s="26"/>
      <c r="E162" s="58"/>
      <c r="F162" s="58"/>
      <c r="G162" s="26"/>
      <c r="H162" s="58"/>
      <c r="I162" s="58"/>
      <c r="J162" s="26"/>
      <c r="K162" s="74"/>
      <c r="L162" s="58"/>
      <c r="M162" s="26"/>
      <c r="N162" s="58"/>
      <c r="O162" s="58"/>
    </row>
    <row r="163" spans="1:15" x14ac:dyDescent="0.25">
      <c r="A163" s="26"/>
      <c r="B163" s="66"/>
      <c r="C163" s="58"/>
      <c r="D163" s="26"/>
      <c r="E163" s="58"/>
      <c r="F163" s="58"/>
      <c r="G163" s="26"/>
      <c r="H163" s="58"/>
      <c r="I163" s="58"/>
      <c r="J163" s="26"/>
      <c r="K163" s="74"/>
      <c r="L163" s="58"/>
      <c r="M163" s="26"/>
      <c r="N163" s="58"/>
      <c r="O163" s="58"/>
    </row>
    <row r="164" spans="1:15" x14ac:dyDescent="0.25">
      <c r="A164" s="26"/>
      <c r="B164" s="66"/>
      <c r="C164" s="58"/>
      <c r="D164" s="26"/>
      <c r="E164" s="58"/>
      <c r="F164" s="58"/>
      <c r="G164" s="26"/>
      <c r="H164" s="58"/>
      <c r="I164" s="58"/>
      <c r="J164" s="26"/>
      <c r="K164" s="74"/>
      <c r="L164" s="58"/>
      <c r="M164" s="26"/>
      <c r="N164" s="58"/>
      <c r="O164" s="58"/>
    </row>
    <row r="165" spans="1:15" x14ac:dyDescent="0.25">
      <c r="A165" s="26"/>
      <c r="B165" s="66"/>
      <c r="C165" s="58"/>
      <c r="D165" s="26"/>
      <c r="E165" s="58"/>
      <c r="F165" s="58"/>
      <c r="G165" s="26"/>
      <c r="H165" s="58"/>
      <c r="I165" s="58"/>
      <c r="J165" s="26"/>
      <c r="K165" s="74"/>
      <c r="L165" s="58"/>
      <c r="M165" s="26"/>
      <c r="N165" s="58"/>
      <c r="O165" s="58"/>
    </row>
    <row r="166" spans="1:15" x14ac:dyDescent="0.25">
      <c r="A166" s="26"/>
      <c r="B166" s="66"/>
      <c r="C166" s="58"/>
      <c r="D166" s="26"/>
      <c r="E166" s="58"/>
      <c r="F166" s="58"/>
      <c r="G166" s="26"/>
      <c r="H166" s="58"/>
      <c r="I166" s="58"/>
      <c r="J166" s="26"/>
      <c r="K166" s="74"/>
      <c r="L166" s="58"/>
      <c r="M166" s="26"/>
      <c r="N166" s="58"/>
      <c r="O166" s="58"/>
    </row>
    <row r="167" spans="1:15" x14ac:dyDescent="0.25">
      <c r="A167" s="26"/>
      <c r="B167" s="66"/>
      <c r="C167" s="58"/>
      <c r="D167" s="26"/>
      <c r="E167" s="58"/>
      <c r="F167" s="58"/>
      <c r="G167" s="26"/>
      <c r="H167" s="58"/>
      <c r="I167" s="58"/>
      <c r="J167" s="26"/>
      <c r="K167" s="74"/>
      <c r="L167" s="58"/>
      <c r="M167" s="26"/>
      <c r="N167" s="58"/>
      <c r="O167" s="58"/>
    </row>
    <row r="168" spans="1:15" x14ac:dyDescent="0.25">
      <c r="A168" s="26"/>
      <c r="B168" s="6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26"/>
      <c r="N168" s="58"/>
      <c r="O168" s="58"/>
    </row>
    <row r="169" spans="1:15" x14ac:dyDescent="0.25">
      <c r="A169" s="26"/>
      <c r="B169" s="6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26"/>
      <c r="N169" s="58"/>
      <c r="O169" s="58"/>
    </row>
    <row r="170" spans="1:15" x14ac:dyDescent="0.25">
      <c r="A170" s="26"/>
      <c r="B170" s="6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26"/>
      <c r="N170" s="58"/>
      <c r="O170" s="58"/>
    </row>
    <row r="171" spans="1:15" x14ac:dyDescent="0.25">
      <c r="A171" s="26"/>
      <c r="B171" s="6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26"/>
      <c r="N171" s="58"/>
      <c r="O171" s="58"/>
    </row>
    <row r="172" spans="1:15" x14ac:dyDescent="0.25">
      <c r="A172" s="26"/>
      <c r="B172" s="6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26"/>
      <c r="N172" s="58"/>
      <c r="O172" s="58"/>
    </row>
    <row r="173" spans="1:15" x14ac:dyDescent="0.25">
      <c r="A173" s="26"/>
      <c r="B173" s="6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26"/>
      <c r="N173" s="58"/>
      <c r="O173" s="58"/>
    </row>
    <row r="174" spans="1:15" x14ac:dyDescent="0.25">
      <c r="A174" s="26"/>
      <c r="B174" s="6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26"/>
      <c r="N174" s="58"/>
      <c r="O174" s="58"/>
    </row>
    <row r="175" spans="1:15" x14ac:dyDescent="0.25">
      <c r="A175" s="26"/>
      <c r="B175" s="6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26"/>
      <c r="N175" s="58"/>
      <c r="O175" s="58"/>
    </row>
    <row r="176" spans="1:15" x14ac:dyDescent="0.25">
      <c r="A176" s="26"/>
      <c r="B176" s="6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26"/>
      <c r="N176" s="58"/>
      <c r="O176" s="58"/>
    </row>
    <row r="177" spans="1:15" x14ac:dyDescent="0.25">
      <c r="A177" s="26"/>
      <c r="B177" s="6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26"/>
      <c r="N177" s="58"/>
      <c r="O177" s="58"/>
    </row>
    <row r="178" spans="1:15" x14ac:dyDescent="0.25">
      <c r="A178" s="26"/>
      <c r="B178" s="6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26"/>
      <c r="N178" s="58"/>
      <c r="O178" s="58"/>
    </row>
    <row r="179" spans="1:15" x14ac:dyDescent="0.25">
      <c r="A179" s="26"/>
      <c r="B179" s="6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26"/>
      <c r="N179" s="58"/>
      <c r="O179" s="58"/>
    </row>
    <row r="180" spans="1:15" x14ac:dyDescent="0.25">
      <c r="A180" s="26"/>
      <c r="B180" s="6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26"/>
      <c r="N180" s="58"/>
      <c r="O180" s="58"/>
    </row>
    <row r="181" spans="1:15" x14ac:dyDescent="0.25">
      <c r="A181" s="26"/>
      <c r="B181" s="6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26"/>
      <c r="N181" s="58"/>
      <c r="O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26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26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26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26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26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26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26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26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26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26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26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26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26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26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26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26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26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26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26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26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26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26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26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26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26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26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26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26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26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26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26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26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26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26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26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26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26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26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26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26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26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26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26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26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26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26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26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26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26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26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26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26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26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26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26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26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26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26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26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26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26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26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26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26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26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26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26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26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26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26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26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26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26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26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26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26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26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26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26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26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26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26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26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26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26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26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26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26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26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26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26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26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26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26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26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26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26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26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26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26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26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26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26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26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26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26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26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26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26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26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26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26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26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26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26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26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26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26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26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26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26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26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26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26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26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26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26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26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26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26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26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26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26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26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26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26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26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26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26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26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26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26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26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26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26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26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26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26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26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26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26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26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26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26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26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26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26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26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26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26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26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26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26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26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26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26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26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26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26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26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26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26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26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26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26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26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26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26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26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26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26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26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26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26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26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26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26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26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26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26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26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26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26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26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26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26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26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26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26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26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26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26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26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26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26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26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26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26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26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26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26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26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26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26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26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26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26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26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26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26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26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26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26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26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26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26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26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26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26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26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26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26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26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26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26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26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26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26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26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26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26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26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26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26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26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26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26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26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26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26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26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26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26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26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26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26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26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26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26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26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26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26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26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26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26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26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26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26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26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26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26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26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26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26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26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26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26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26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26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26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26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26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26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26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26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26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26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26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26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26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26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26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26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26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26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26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26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26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26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26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26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26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26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26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26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26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26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26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26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26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26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26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26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26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26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26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26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26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26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26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26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26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26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26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26"/>
      <c r="N506" s="58"/>
      <c r="O506" s="58"/>
    </row>
    <row r="507" spans="1:15" x14ac:dyDescent="0.25">
      <c r="A507" s="26"/>
      <c r="B507" s="66"/>
      <c r="C507" s="58"/>
      <c r="G507" s="26"/>
      <c r="H507" s="58"/>
      <c r="I507" s="58"/>
      <c r="J507" s="26"/>
      <c r="K507" s="58"/>
      <c r="L507" s="58"/>
      <c r="M507" s="26"/>
      <c r="N507" s="58"/>
      <c r="O507" s="58"/>
    </row>
    <row r="508" spans="1:15" x14ac:dyDescent="0.25">
      <c r="A508" s="26"/>
      <c r="B508" s="66"/>
      <c r="C508" s="58"/>
      <c r="G508" s="26"/>
      <c r="H508" s="58"/>
      <c r="I508" s="58"/>
      <c r="J508" s="26"/>
      <c r="K508" s="58"/>
      <c r="L508" s="58"/>
      <c r="M508" s="26"/>
      <c r="N508" s="58"/>
      <c r="O508" s="58"/>
    </row>
    <row r="509" spans="1:15" x14ac:dyDescent="0.25">
      <c r="A509" s="26"/>
      <c r="B509" s="66"/>
      <c r="C509" s="58"/>
      <c r="G509" s="26"/>
      <c r="H509" s="58"/>
      <c r="I509" s="58"/>
      <c r="J509" s="26"/>
      <c r="K509" s="58"/>
      <c r="L509" s="58"/>
      <c r="M509" s="26"/>
      <c r="N509" s="58"/>
      <c r="O509" s="58"/>
    </row>
    <row r="510" spans="1:15" x14ac:dyDescent="0.25">
      <c r="A510" s="26"/>
      <c r="B510" s="66"/>
      <c r="C510" s="58"/>
      <c r="G510" s="26"/>
      <c r="H510" s="58"/>
      <c r="I510" s="58"/>
      <c r="J510" s="26"/>
      <c r="K510" s="58"/>
      <c r="L510" s="58"/>
      <c r="M510" s="26"/>
      <c r="N510" s="58"/>
      <c r="O510" s="58"/>
    </row>
    <row r="511" spans="1:15" x14ac:dyDescent="0.25">
      <c r="A511" s="26"/>
      <c r="B511" s="66"/>
      <c r="C511" s="58"/>
      <c r="G511" s="26"/>
      <c r="H511" s="58"/>
      <c r="I511" s="58"/>
      <c r="J511" s="26"/>
      <c r="K511" s="58"/>
      <c r="L511" s="58"/>
      <c r="M511" s="26"/>
      <c r="N511" s="58"/>
      <c r="O511" s="58"/>
    </row>
    <row r="512" spans="1:15" x14ac:dyDescent="0.25">
      <c r="A512" s="26"/>
      <c r="B512" s="66"/>
      <c r="C512" s="58"/>
      <c r="G512" s="26"/>
      <c r="H512" s="58"/>
      <c r="I512" s="58"/>
      <c r="J512" s="26"/>
      <c r="K512" s="58"/>
      <c r="L512" s="58"/>
      <c r="M512" s="26"/>
      <c r="N512" s="58"/>
      <c r="O512" s="58"/>
    </row>
    <row r="513" spans="1:15" x14ac:dyDescent="0.25">
      <c r="A513" s="26"/>
      <c r="B513" s="66"/>
      <c r="C513" s="58"/>
      <c r="G513" s="26"/>
      <c r="H513" s="58"/>
      <c r="I513" s="58"/>
      <c r="J513" s="26"/>
      <c r="K513" s="58"/>
      <c r="L513" s="58"/>
      <c r="M513" s="26"/>
      <c r="N513" s="58"/>
      <c r="O513" s="58"/>
    </row>
    <row r="514" spans="1:15" x14ac:dyDescent="0.25">
      <c r="A514" s="26"/>
      <c r="B514" s="66"/>
      <c r="C514" s="58"/>
      <c r="G514" s="26"/>
      <c r="H514" s="58"/>
      <c r="I514" s="58"/>
      <c r="J514" s="26"/>
      <c r="K514" s="58"/>
      <c r="L514" s="58"/>
      <c r="M514" s="26"/>
      <c r="N514" s="58"/>
      <c r="O514" s="58"/>
    </row>
    <row r="515" spans="1:15" x14ac:dyDescent="0.25">
      <c r="A515" s="26"/>
      <c r="B515" s="66"/>
      <c r="C515" s="58"/>
      <c r="G515" s="26"/>
      <c r="H515" s="58"/>
      <c r="I515" s="58"/>
      <c r="J515" s="26"/>
      <c r="K515" s="58"/>
      <c r="L515" s="58"/>
      <c r="M515" s="26"/>
      <c r="N515" s="58"/>
      <c r="O515" s="58"/>
    </row>
    <row r="516" spans="1:15" x14ac:dyDescent="0.25">
      <c r="A516" s="26"/>
      <c r="B516" s="66"/>
      <c r="C516" s="58"/>
      <c r="G516" s="26"/>
      <c r="H516" s="58"/>
      <c r="I516" s="58"/>
      <c r="J516" s="26"/>
      <c r="K516" s="58"/>
      <c r="L516" s="58"/>
      <c r="M516" s="26"/>
      <c r="N516" s="58"/>
      <c r="O516" s="58"/>
    </row>
    <row r="517" spans="1:15" x14ac:dyDescent="0.25">
      <c r="A517" s="26"/>
      <c r="B517" s="66"/>
      <c r="C517" s="58"/>
      <c r="G517" s="26"/>
      <c r="H517" s="58"/>
      <c r="I517" s="58"/>
      <c r="J517" s="26"/>
      <c r="K517" s="58"/>
      <c r="L517" s="58"/>
      <c r="M517" s="26"/>
      <c r="N517" s="58"/>
      <c r="O517" s="58"/>
    </row>
    <row r="518" spans="1:15" x14ac:dyDescent="0.25">
      <c r="A518" s="26"/>
      <c r="B518" s="66"/>
      <c r="C518" s="58"/>
      <c r="G518" s="26"/>
      <c r="H518" s="58"/>
      <c r="I518" s="58"/>
      <c r="J518" s="26"/>
      <c r="K518" s="58"/>
      <c r="L518" s="58"/>
      <c r="M518" s="26"/>
      <c r="N518" s="58"/>
      <c r="O518" s="58"/>
    </row>
    <row r="519" spans="1:15" x14ac:dyDescent="0.25">
      <c r="A519" s="26"/>
      <c r="B519" s="66"/>
      <c r="C519" s="58"/>
      <c r="G519" s="26"/>
      <c r="H519" s="58"/>
      <c r="I519" s="58"/>
      <c r="J519" s="26"/>
      <c r="K519" s="58"/>
      <c r="L519" s="58"/>
      <c r="M519" s="26"/>
      <c r="N519" s="58"/>
      <c r="O519" s="58"/>
    </row>
    <row r="520" spans="1:15" x14ac:dyDescent="0.25">
      <c r="A520" s="26"/>
      <c r="B520" s="66"/>
      <c r="C520" s="58"/>
      <c r="G520" s="26"/>
      <c r="H520" s="58"/>
      <c r="I520" s="58"/>
      <c r="J520" s="26"/>
      <c r="K520" s="58"/>
      <c r="L520" s="58"/>
      <c r="M520" s="26"/>
      <c r="N520" s="58"/>
      <c r="O520" s="58"/>
    </row>
    <row r="521" spans="1:15" x14ac:dyDescent="0.25">
      <c r="A521" s="26"/>
      <c r="B521" s="66"/>
      <c r="C521" s="58"/>
      <c r="G521" s="26"/>
      <c r="H521" s="58"/>
      <c r="I521" s="58"/>
      <c r="J521" s="26"/>
      <c r="K521" s="58"/>
      <c r="L521" s="58"/>
      <c r="M521" s="26"/>
      <c r="N521" s="58"/>
      <c r="O521" s="58"/>
    </row>
    <row r="522" spans="1:15" x14ac:dyDescent="0.25">
      <c r="A522" s="26"/>
      <c r="B522" s="66"/>
      <c r="C522" s="58"/>
      <c r="G522" s="26"/>
      <c r="H522" s="58"/>
      <c r="I522" s="58"/>
      <c r="J522" s="26"/>
      <c r="K522" s="58"/>
      <c r="L522" s="58"/>
      <c r="M522" s="26"/>
      <c r="N522" s="58"/>
      <c r="O522" s="58"/>
    </row>
    <row r="523" spans="1:15" x14ac:dyDescent="0.25">
      <c r="A523" s="26"/>
      <c r="B523" s="66"/>
      <c r="C523" s="58"/>
      <c r="G523" s="26"/>
      <c r="H523" s="58"/>
      <c r="I523" s="58"/>
      <c r="J523" s="26"/>
      <c r="K523" s="58"/>
      <c r="L523" s="58"/>
      <c r="M523" s="26"/>
      <c r="N523" s="58"/>
      <c r="O523" s="58"/>
    </row>
    <row r="524" spans="1:15" x14ac:dyDescent="0.25">
      <c r="A524" s="26"/>
      <c r="B524" s="66"/>
      <c r="C524" s="58"/>
      <c r="G524" s="26"/>
      <c r="H524" s="58"/>
      <c r="I524" s="58"/>
      <c r="J524" s="26"/>
      <c r="K524" s="58"/>
      <c r="L524" s="58"/>
      <c r="M524" s="26"/>
      <c r="N524" s="58"/>
      <c r="O524" s="58"/>
    </row>
    <row r="525" spans="1:15" x14ac:dyDescent="0.25">
      <c r="A525" s="26"/>
      <c r="B525" s="66"/>
      <c r="C525" s="58"/>
      <c r="G525" s="26"/>
      <c r="H525" s="58"/>
      <c r="I525" s="58"/>
      <c r="J525" s="26"/>
      <c r="K525" s="58"/>
      <c r="L525" s="58"/>
      <c r="M525" s="26"/>
      <c r="N525" s="58"/>
      <c r="O525" s="58"/>
    </row>
    <row r="526" spans="1:15" x14ac:dyDescent="0.25">
      <c r="A526" s="26"/>
      <c r="B526" s="66"/>
      <c r="C526" s="58"/>
      <c r="G526" s="26"/>
      <c r="H526" s="58"/>
      <c r="I526" s="58"/>
      <c r="J526" s="26"/>
      <c r="K526" s="58"/>
      <c r="L526" s="58"/>
      <c r="M526" s="26"/>
      <c r="N526" s="58"/>
      <c r="O526" s="58"/>
    </row>
    <row r="527" spans="1:15" x14ac:dyDescent="0.25">
      <c r="A527" s="26"/>
      <c r="B527" s="66"/>
      <c r="C527" s="58"/>
      <c r="G527" s="26"/>
      <c r="H527" s="58"/>
      <c r="I527" s="58"/>
      <c r="J527" s="26"/>
      <c r="K527" s="58"/>
      <c r="L527" s="58"/>
      <c r="M527" s="26"/>
      <c r="N527" s="58"/>
      <c r="O527" s="58"/>
    </row>
    <row r="528" spans="1:15" x14ac:dyDescent="0.25">
      <c r="A528" s="26"/>
      <c r="B528" s="66"/>
      <c r="C528" s="58"/>
      <c r="G528" s="26"/>
      <c r="H528" s="58"/>
      <c r="I528" s="58"/>
      <c r="J528" s="26"/>
      <c r="K528" s="58"/>
      <c r="L528" s="58"/>
      <c r="M528" s="26"/>
      <c r="N528" s="58"/>
      <c r="O528" s="58"/>
    </row>
    <row r="529" spans="1:15" x14ac:dyDescent="0.25">
      <c r="A529" s="26"/>
      <c r="B529" s="66"/>
      <c r="C529" s="58"/>
      <c r="G529" s="26"/>
      <c r="H529" s="58"/>
      <c r="I529" s="58"/>
      <c r="J529" s="26"/>
      <c r="K529" s="58"/>
      <c r="L529" s="58"/>
      <c r="M529" s="26"/>
      <c r="N529" s="58"/>
      <c r="O529" s="58"/>
    </row>
    <row r="530" spans="1:15" x14ac:dyDescent="0.25">
      <c r="A530" s="26"/>
      <c r="B530" s="66"/>
      <c r="C530" s="58"/>
      <c r="G530" s="26"/>
      <c r="H530" s="58"/>
      <c r="I530" s="58"/>
      <c r="J530" s="26"/>
      <c r="K530" s="58"/>
      <c r="L530" s="58"/>
      <c r="M530" s="26"/>
      <c r="N530" s="58"/>
      <c r="O530" s="58"/>
    </row>
    <row r="531" spans="1:15" x14ac:dyDescent="0.25">
      <c r="A531" s="26"/>
      <c r="B531" s="66"/>
      <c r="C531" s="58"/>
      <c r="G531" s="26"/>
      <c r="H531" s="58"/>
      <c r="I531" s="58"/>
      <c r="J531" s="26"/>
      <c r="K531" s="58"/>
      <c r="L531" s="58"/>
      <c r="M531" s="26"/>
      <c r="N531" s="58"/>
      <c r="O531" s="58"/>
    </row>
    <row r="532" spans="1:15" x14ac:dyDescent="0.25">
      <c r="A532" s="26"/>
      <c r="B532" s="66"/>
      <c r="C532" s="58"/>
      <c r="G532" s="26"/>
      <c r="H532" s="58"/>
      <c r="I532" s="58"/>
      <c r="J532" s="26"/>
      <c r="K532" s="58"/>
      <c r="L532" s="58"/>
      <c r="M532" s="26"/>
      <c r="N532" s="58"/>
      <c r="O532" s="58"/>
    </row>
    <row r="533" spans="1:15" x14ac:dyDescent="0.25">
      <c r="A533" s="26"/>
      <c r="B533" s="66"/>
      <c r="C533" s="58"/>
      <c r="G533" s="26"/>
      <c r="H533" s="58"/>
      <c r="I533" s="58"/>
      <c r="J533" s="26"/>
      <c r="K533" s="58"/>
      <c r="L533" s="58"/>
      <c r="M533" s="26"/>
      <c r="N533" s="58"/>
      <c r="O533" s="58"/>
    </row>
    <row r="534" spans="1:15" x14ac:dyDescent="0.25">
      <c r="A534" s="26"/>
      <c r="B534" s="66"/>
      <c r="C534" s="58"/>
      <c r="G534" s="26"/>
      <c r="H534" s="58"/>
      <c r="I534" s="58"/>
      <c r="J534" s="26"/>
      <c r="K534" s="58"/>
      <c r="L534" s="58"/>
      <c r="M534" s="26"/>
      <c r="N534" s="58"/>
      <c r="O534" s="58"/>
    </row>
    <row r="535" spans="1:15" x14ac:dyDescent="0.25">
      <c r="A535" s="26"/>
      <c r="B535" s="66"/>
      <c r="C535" s="58"/>
      <c r="G535" s="26"/>
      <c r="H535" s="58"/>
      <c r="I535" s="58"/>
      <c r="J535" s="26"/>
      <c r="K535" s="58"/>
      <c r="L535" s="58"/>
      <c r="M535" s="26"/>
      <c r="N535" s="58"/>
      <c r="O535" s="58"/>
    </row>
    <row r="536" spans="1:15" x14ac:dyDescent="0.25">
      <c r="A536" s="26"/>
      <c r="B536" s="66"/>
      <c r="C536" s="58"/>
      <c r="J536" s="26"/>
      <c r="K536" s="58"/>
      <c r="L536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560"/>
  <sheetViews>
    <sheetView zoomScaleNormal="100" workbookViewId="0">
      <pane ySplit="4" topLeftCell="A5" activePane="bottomLeft" state="frozen"/>
      <selection pane="bottomLeft" sqref="A1:K1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7.2851562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5.5703125" customWidth="1"/>
    <col min="10" max="10" width="7.7109375" style="6" customWidth="1"/>
    <col min="11" max="11" width="8.7109375" customWidth="1"/>
    <col min="12" max="12" width="23.7109375" customWidth="1"/>
    <col min="13" max="13" width="7.855468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34" t="s">
        <v>10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6" t="s">
        <v>11</v>
      </c>
      <c r="M1" s="136"/>
      <c r="N1" s="5">
        <v>2014</v>
      </c>
      <c r="O1" s="4"/>
    </row>
    <row r="2" spans="1:18" x14ac:dyDescent="0.25">
      <c r="A2" s="138" t="s">
        <v>0</v>
      </c>
      <c r="B2" s="138"/>
      <c r="C2" s="138"/>
      <c r="D2" s="139"/>
      <c r="E2" s="139"/>
      <c r="F2" s="139"/>
      <c r="G2" s="140" t="s">
        <v>5</v>
      </c>
      <c r="H2" s="140"/>
      <c r="I2" s="140"/>
      <c r="J2" s="145" t="s">
        <v>6</v>
      </c>
      <c r="K2" s="145"/>
      <c r="L2" s="145"/>
      <c r="M2" s="133" t="s">
        <v>12</v>
      </c>
      <c r="N2" s="133"/>
      <c r="O2" s="133"/>
      <c r="Q2" s="142" t="s">
        <v>13</v>
      </c>
      <c r="R2" s="142"/>
    </row>
    <row r="3" spans="1:18" x14ac:dyDescent="0.25">
      <c r="A3" s="8">
        <f>SUBTOTAL(3,A5:A124)</f>
        <v>68</v>
      </c>
      <c r="B3" s="8">
        <f>SUBTOTAL(9,B5:B124)</f>
        <v>38150</v>
      </c>
      <c r="C3" s="35">
        <v>44507</v>
      </c>
      <c r="D3" s="8">
        <f>SUBTOTAL(3,D5:D117)</f>
        <v>35</v>
      </c>
      <c r="E3" s="1">
        <f>SUBTOTAL(9,E5:E137)</f>
        <v>22850</v>
      </c>
      <c r="F3" s="38">
        <v>44514</v>
      </c>
      <c r="G3" s="8">
        <f>SUBTOTAL(3,G5:G118)</f>
        <v>47</v>
      </c>
      <c r="H3" s="1">
        <f>SUBTOTAL(9,H5:H118)</f>
        <v>27700</v>
      </c>
      <c r="I3" s="39">
        <v>44521</v>
      </c>
      <c r="J3" s="8">
        <f>SUBTOTAL(3,J5:J559)</f>
        <v>42</v>
      </c>
      <c r="K3" s="1">
        <f>SUBTOTAL(9,K5:K559)</f>
        <v>45550</v>
      </c>
      <c r="L3" s="63">
        <v>44528</v>
      </c>
      <c r="M3" s="1">
        <f>SUBTOTAL(3,M5:M117)</f>
        <v>0</v>
      </c>
      <c r="N3" s="1">
        <f>SUBTOTAL(9,N5:N117)</f>
        <v>0</v>
      </c>
      <c r="O3" s="81"/>
      <c r="Q3" s="30">
        <f>+A3+D3+G3+J3+M3</f>
        <v>192</v>
      </c>
      <c r="R3" s="29">
        <f>+B3+E3+H3+K3+N3</f>
        <v>134250</v>
      </c>
    </row>
    <row r="4" spans="1:18" x14ac:dyDescent="0.25">
      <c r="A4" s="46" t="s">
        <v>1</v>
      </c>
      <c r="B4" s="46" t="s">
        <v>3</v>
      </c>
      <c r="C4" s="46" t="s">
        <v>2</v>
      </c>
      <c r="D4" s="47" t="s">
        <v>1</v>
      </c>
      <c r="E4" s="47" t="s">
        <v>3</v>
      </c>
      <c r="F4" s="47" t="s">
        <v>2</v>
      </c>
      <c r="G4" s="48" t="s">
        <v>1</v>
      </c>
      <c r="H4" s="48" t="s">
        <v>3</v>
      </c>
      <c r="I4" s="48" t="s">
        <v>2</v>
      </c>
      <c r="J4" s="60" t="s">
        <v>1</v>
      </c>
      <c r="K4" s="60" t="s">
        <v>3</v>
      </c>
      <c r="L4" s="60" t="s">
        <v>2</v>
      </c>
      <c r="M4" s="41" t="s">
        <v>1</v>
      </c>
      <c r="N4" s="41" t="s">
        <v>3</v>
      </c>
      <c r="O4" s="41" t="s">
        <v>2</v>
      </c>
      <c r="P4" s="27"/>
      <c r="Q4" s="42" t="s">
        <v>9</v>
      </c>
      <c r="R4" s="42" t="s">
        <v>3</v>
      </c>
    </row>
    <row r="5" spans="1:18" x14ac:dyDescent="0.25">
      <c r="A5" s="16">
        <v>26200</v>
      </c>
      <c r="B5" s="49">
        <v>600</v>
      </c>
      <c r="C5" s="17"/>
      <c r="D5" s="13">
        <v>26268</v>
      </c>
      <c r="E5" s="70">
        <v>350</v>
      </c>
      <c r="F5" s="14"/>
      <c r="G5" s="11">
        <v>26303</v>
      </c>
      <c r="H5" s="67">
        <v>500</v>
      </c>
      <c r="I5" s="12" t="s">
        <v>455</v>
      </c>
      <c r="J5" s="61">
        <v>26350</v>
      </c>
      <c r="K5" s="71">
        <v>600</v>
      </c>
      <c r="L5" s="62" t="s">
        <v>490</v>
      </c>
      <c r="M5" s="75"/>
      <c r="N5" s="73"/>
      <c r="O5" s="15"/>
      <c r="Q5" s="32"/>
      <c r="R5" s="32"/>
    </row>
    <row r="6" spans="1:18" x14ac:dyDescent="0.25">
      <c r="A6" s="16">
        <v>26201</v>
      </c>
      <c r="B6" s="49">
        <v>1000</v>
      </c>
      <c r="C6" s="17" t="s">
        <v>480</v>
      </c>
      <c r="D6" s="13">
        <v>26269</v>
      </c>
      <c r="E6" s="70">
        <v>2500</v>
      </c>
      <c r="F6" s="14" t="s">
        <v>537</v>
      </c>
      <c r="G6" s="11">
        <v>26304</v>
      </c>
      <c r="H6" s="67">
        <v>600</v>
      </c>
      <c r="I6" s="12" t="s">
        <v>536</v>
      </c>
      <c r="J6" s="61">
        <v>26351</v>
      </c>
      <c r="K6" s="71">
        <v>400</v>
      </c>
      <c r="L6" s="62" t="s">
        <v>455</v>
      </c>
      <c r="M6" s="75"/>
      <c r="N6" s="73"/>
      <c r="O6" s="15"/>
    </row>
    <row r="7" spans="1:18" x14ac:dyDescent="0.25">
      <c r="A7" s="16"/>
      <c r="B7" s="49"/>
      <c r="C7" s="17" t="s">
        <v>16</v>
      </c>
      <c r="D7" s="13"/>
      <c r="E7" s="70"/>
      <c r="F7" s="14" t="s">
        <v>64</v>
      </c>
      <c r="G7" s="11">
        <v>26305</v>
      </c>
      <c r="H7" s="67">
        <v>1000</v>
      </c>
      <c r="I7" s="12" t="s">
        <v>514</v>
      </c>
      <c r="J7" s="61">
        <v>26352</v>
      </c>
      <c r="K7" s="71">
        <v>400</v>
      </c>
      <c r="L7" s="62"/>
      <c r="M7" s="75"/>
      <c r="N7" s="73"/>
      <c r="O7" s="15"/>
    </row>
    <row r="8" spans="1:18" x14ac:dyDescent="0.25">
      <c r="A8" s="16">
        <v>26202</v>
      </c>
      <c r="B8" s="49">
        <v>500</v>
      </c>
      <c r="C8" s="17" t="s">
        <v>455</v>
      </c>
      <c r="D8" s="13">
        <v>26270</v>
      </c>
      <c r="E8" s="70">
        <v>300</v>
      </c>
      <c r="F8" s="14" t="s">
        <v>538</v>
      </c>
      <c r="G8" s="11">
        <v>26306</v>
      </c>
      <c r="H8" s="67">
        <v>250</v>
      </c>
      <c r="I8" s="12"/>
      <c r="J8" s="61">
        <v>26353</v>
      </c>
      <c r="K8" s="71">
        <v>6000</v>
      </c>
      <c r="L8" s="62" t="s">
        <v>551</v>
      </c>
      <c r="M8" s="75"/>
      <c r="N8" s="73"/>
      <c r="O8" s="15"/>
    </row>
    <row r="9" spans="1:18" x14ac:dyDescent="0.25">
      <c r="A9" s="16">
        <v>26203</v>
      </c>
      <c r="B9" s="49">
        <v>1000</v>
      </c>
      <c r="C9" s="17" t="s">
        <v>467</v>
      </c>
      <c r="D9" s="13">
        <v>26271</v>
      </c>
      <c r="E9" s="70">
        <v>400</v>
      </c>
      <c r="F9" s="14" t="s">
        <v>455</v>
      </c>
      <c r="G9" s="11">
        <v>26307</v>
      </c>
      <c r="H9" s="67">
        <v>500</v>
      </c>
      <c r="I9" s="12" t="s">
        <v>512</v>
      </c>
      <c r="J9" s="61"/>
      <c r="K9" s="71"/>
      <c r="L9" s="62" t="s">
        <v>552</v>
      </c>
      <c r="M9" s="75"/>
      <c r="N9" s="73"/>
      <c r="O9" s="15"/>
    </row>
    <row r="10" spans="1:18" x14ac:dyDescent="0.25">
      <c r="A10" s="16">
        <v>26204</v>
      </c>
      <c r="B10" s="49">
        <v>1000</v>
      </c>
      <c r="C10" s="17" t="s">
        <v>531</v>
      </c>
      <c r="D10" s="13">
        <v>26272</v>
      </c>
      <c r="E10" s="70">
        <v>500</v>
      </c>
      <c r="F10" s="14" t="s">
        <v>448</v>
      </c>
      <c r="G10" s="11">
        <v>26308</v>
      </c>
      <c r="H10" s="67">
        <v>1000</v>
      </c>
      <c r="I10" s="12" t="s">
        <v>467</v>
      </c>
      <c r="J10" s="61"/>
      <c r="K10" s="71"/>
      <c r="L10" s="62" t="s">
        <v>553</v>
      </c>
      <c r="M10" s="75"/>
      <c r="N10" s="73"/>
      <c r="O10" s="15"/>
    </row>
    <row r="11" spans="1:18" x14ac:dyDescent="0.25">
      <c r="A11" s="16">
        <v>26205</v>
      </c>
      <c r="B11" s="49">
        <v>500</v>
      </c>
      <c r="C11" s="17"/>
      <c r="D11" s="13"/>
      <c r="E11" s="70"/>
      <c r="F11" s="14" t="s">
        <v>16</v>
      </c>
      <c r="G11" s="11">
        <v>26309</v>
      </c>
      <c r="H11" s="67">
        <v>250</v>
      </c>
      <c r="I11" s="12" t="s">
        <v>455</v>
      </c>
      <c r="J11" s="61">
        <v>26354</v>
      </c>
      <c r="K11" s="71">
        <v>2100</v>
      </c>
      <c r="L11" s="62" t="s">
        <v>554</v>
      </c>
      <c r="M11" s="75"/>
      <c r="N11" s="73"/>
      <c r="O11" s="31"/>
    </row>
    <row r="12" spans="1:18" x14ac:dyDescent="0.25">
      <c r="A12" s="16">
        <v>26206</v>
      </c>
      <c r="B12" s="49">
        <v>900</v>
      </c>
      <c r="C12" s="17" t="s">
        <v>532</v>
      </c>
      <c r="D12" s="13">
        <v>26273</v>
      </c>
      <c r="E12" s="70">
        <v>500</v>
      </c>
      <c r="F12" s="99" t="s">
        <v>455</v>
      </c>
      <c r="G12" s="11">
        <v>26310</v>
      </c>
      <c r="H12" s="67">
        <v>300</v>
      </c>
      <c r="I12" s="114"/>
      <c r="J12" s="61"/>
      <c r="K12" s="71"/>
      <c r="L12" s="62" t="s">
        <v>555</v>
      </c>
      <c r="M12" s="75"/>
      <c r="N12" s="73"/>
      <c r="O12" s="15"/>
    </row>
    <row r="13" spans="1:18" x14ac:dyDescent="0.25">
      <c r="A13" s="16">
        <v>26207</v>
      </c>
      <c r="B13" s="49">
        <v>500</v>
      </c>
      <c r="C13" s="17"/>
      <c r="D13" s="13">
        <v>26274</v>
      </c>
      <c r="E13" s="70">
        <v>500</v>
      </c>
      <c r="F13" s="14" t="s">
        <v>448</v>
      </c>
      <c r="G13" s="11">
        <v>26311</v>
      </c>
      <c r="H13" s="67">
        <v>200</v>
      </c>
      <c r="I13" s="12" t="s">
        <v>455</v>
      </c>
      <c r="J13" s="61">
        <v>26355</v>
      </c>
      <c r="K13" s="71">
        <v>1150</v>
      </c>
      <c r="L13" s="62" t="s">
        <v>556</v>
      </c>
      <c r="M13" s="75"/>
      <c r="N13" s="73"/>
      <c r="O13" s="15"/>
    </row>
    <row r="14" spans="1:18" x14ac:dyDescent="0.25">
      <c r="A14" s="16">
        <v>26208</v>
      </c>
      <c r="B14" s="49">
        <v>600</v>
      </c>
      <c r="C14" s="17"/>
      <c r="D14" s="13"/>
      <c r="E14" s="70"/>
      <c r="F14" s="14" t="s">
        <v>16</v>
      </c>
      <c r="G14" s="11">
        <v>26312</v>
      </c>
      <c r="H14" s="67">
        <v>1000</v>
      </c>
      <c r="I14" s="12" t="s">
        <v>514</v>
      </c>
      <c r="J14" s="61"/>
      <c r="K14" s="71"/>
      <c r="L14" s="62" t="s">
        <v>557</v>
      </c>
      <c r="M14" s="75"/>
      <c r="N14" s="73"/>
      <c r="O14" s="15"/>
    </row>
    <row r="15" spans="1:18" x14ac:dyDescent="0.25">
      <c r="A15" s="16">
        <v>26209</v>
      </c>
      <c r="B15" s="49">
        <v>300</v>
      </c>
      <c r="C15" s="17"/>
      <c r="D15" s="13">
        <v>26275</v>
      </c>
      <c r="E15" s="70">
        <v>2000</v>
      </c>
      <c r="F15" s="33" t="s">
        <v>480</v>
      </c>
      <c r="G15" s="11">
        <v>26313</v>
      </c>
      <c r="H15" s="67">
        <v>900</v>
      </c>
      <c r="I15" s="12" t="s">
        <v>407</v>
      </c>
      <c r="J15" s="61">
        <v>26356</v>
      </c>
      <c r="K15" s="71">
        <v>5500</v>
      </c>
      <c r="L15" s="62" t="s">
        <v>552</v>
      </c>
      <c r="M15" s="75"/>
      <c r="N15" s="73"/>
      <c r="O15" s="15"/>
    </row>
    <row r="16" spans="1:18" x14ac:dyDescent="0.25">
      <c r="A16" s="16">
        <v>26210</v>
      </c>
      <c r="B16" s="49">
        <v>300</v>
      </c>
      <c r="C16" s="17" t="s">
        <v>455</v>
      </c>
      <c r="D16" s="13"/>
      <c r="E16" s="70"/>
      <c r="F16" s="14" t="s">
        <v>64</v>
      </c>
      <c r="G16" s="11"/>
      <c r="H16" s="67"/>
      <c r="I16" s="12" t="s">
        <v>18</v>
      </c>
      <c r="J16" s="61"/>
      <c r="K16" s="71"/>
      <c r="L16" s="62" t="s">
        <v>553</v>
      </c>
      <c r="M16" s="75"/>
      <c r="N16" s="73"/>
      <c r="O16" s="15"/>
    </row>
    <row r="17" spans="1:15" x14ac:dyDescent="0.25">
      <c r="A17" s="16">
        <v>26211</v>
      </c>
      <c r="B17" s="49">
        <v>500</v>
      </c>
      <c r="C17" s="17"/>
      <c r="D17" s="13">
        <v>26276</v>
      </c>
      <c r="E17" s="70">
        <v>2000</v>
      </c>
      <c r="F17" s="14" t="s">
        <v>480</v>
      </c>
      <c r="G17" s="11">
        <v>26314</v>
      </c>
      <c r="H17" s="67">
        <v>600</v>
      </c>
      <c r="I17" s="12" t="s">
        <v>515</v>
      </c>
      <c r="J17" s="61">
        <v>26357</v>
      </c>
      <c r="K17" s="71">
        <v>500</v>
      </c>
      <c r="L17" s="62" t="s">
        <v>490</v>
      </c>
      <c r="M17" s="75"/>
      <c r="N17" s="73"/>
      <c r="O17" s="15"/>
    </row>
    <row r="18" spans="1:15" x14ac:dyDescent="0.25">
      <c r="A18" s="16">
        <v>26212</v>
      </c>
      <c r="B18" s="49">
        <v>500</v>
      </c>
      <c r="C18" s="17" t="s">
        <v>455</v>
      </c>
      <c r="D18" s="13"/>
      <c r="E18" s="70"/>
      <c r="F18" s="14" t="s">
        <v>64</v>
      </c>
      <c r="G18" s="11">
        <v>26315</v>
      </c>
      <c r="H18" s="67">
        <v>1000</v>
      </c>
      <c r="I18" s="12" t="s">
        <v>544</v>
      </c>
      <c r="J18" s="61"/>
      <c r="K18" s="71"/>
      <c r="L18" s="62" t="s">
        <v>16</v>
      </c>
      <c r="M18" s="75"/>
      <c r="N18" s="73"/>
      <c r="O18" s="15"/>
    </row>
    <row r="19" spans="1:15" x14ac:dyDescent="0.25">
      <c r="A19" s="16">
        <v>26213</v>
      </c>
      <c r="B19" s="49">
        <v>500</v>
      </c>
      <c r="C19" s="17" t="s">
        <v>455</v>
      </c>
      <c r="D19" s="13">
        <v>26277</v>
      </c>
      <c r="E19" s="70">
        <v>800</v>
      </c>
      <c r="F19" s="14" t="s">
        <v>490</v>
      </c>
      <c r="G19" s="11">
        <v>26316</v>
      </c>
      <c r="H19" s="67">
        <v>400</v>
      </c>
      <c r="I19" s="12"/>
      <c r="J19" s="61">
        <v>26358</v>
      </c>
      <c r="K19" s="71">
        <v>500</v>
      </c>
      <c r="L19" s="62"/>
      <c r="M19" s="75"/>
      <c r="N19" s="73"/>
      <c r="O19" s="15"/>
    </row>
    <row r="20" spans="1:15" x14ac:dyDescent="0.25">
      <c r="A20" s="16">
        <v>26214</v>
      </c>
      <c r="B20" s="49">
        <v>500</v>
      </c>
      <c r="C20" s="17"/>
      <c r="D20" s="13"/>
      <c r="E20" s="70"/>
      <c r="F20" s="14" t="s">
        <v>17</v>
      </c>
      <c r="G20" s="11">
        <v>26317</v>
      </c>
      <c r="H20" s="67">
        <v>1000</v>
      </c>
      <c r="I20" s="12" t="s">
        <v>517</v>
      </c>
      <c r="J20" s="61">
        <v>26359</v>
      </c>
      <c r="K20" s="71">
        <v>2750</v>
      </c>
      <c r="L20" s="62" t="s">
        <v>552</v>
      </c>
      <c r="M20" s="75"/>
      <c r="N20" s="73"/>
      <c r="O20" s="15"/>
    </row>
    <row r="21" spans="1:15" x14ac:dyDescent="0.25">
      <c r="A21" s="16">
        <v>26215</v>
      </c>
      <c r="B21" s="49">
        <v>250</v>
      </c>
      <c r="C21" s="17" t="s">
        <v>533</v>
      </c>
      <c r="D21" s="13">
        <v>26278</v>
      </c>
      <c r="E21" s="70">
        <v>500</v>
      </c>
      <c r="F21" s="14" t="s">
        <v>539</v>
      </c>
      <c r="G21" s="11">
        <v>26318</v>
      </c>
      <c r="H21" s="67">
        <v>500</v>
      </c>
      <c r="I21" s="12"/>
      <c r="J21" s="61"/>
      <c r="K21" s="71"/>
      <c r="L21" s="62" t="s">
        <v>558</v>
      </c>
      <c r="M21" s="75"/>
      <c r="N21" s="73"/>
      <c r="O21" s="15"/>
    </row>
    <row r="22" spans="1:15" x14ac:dyDescent="0.25">
      <c r="A22" s="16">
        <v>26216</v>
      </c>
      <c r="B22" s="49">
        <v>500</v>
      </c>
      <c r="C22" s="17"/>
      <c r="D22" s="13">
        <v>26279</v>
      </c>
      <c r="E22" s="70">
        <v>600</v>
      </c>
      <c r="F22" s="14" t="s">
        <v>536</v>
      </c>
      <c r="G22" s="11">
        <v>26319</v>
      </c>
      <c r="H22" s="67">
        <v>500</v>
      </c>
      <c r="I22" s="12"/>
      <c r="J22" s="61"/>
      <c r="K22" s="71"/>
      <c r="L22" s="62" t="s">
        <v>559</v>
      </c>
      <c r="M22" s="75"/>
      <c r="N22" s="73"/>
      <c r="O22" s="15"/>
    </row>
    <row r="23" spans="1:15" x14ac:dyDescent="0.25">
      <c r="A23" s="16">
        <v>26217</v>
      </c>
      <c r="B23" s="49">
        <v>500</v>
      </c>
      <c r="C23" s="115" t="s">
        <v>455</v>
      </c>
      <c r="D23" s="13">
        <v>26280</v>
      </c>
      <c r="E23" s="70">
        <v>400</v>
      </c>
      <c r="F23" s="14"/>
      <c r="G23" s="11">
        <v>26320</v>
      </c>
      <c r="H23" s="67">
        <v>500</v>
      </c>
      <c r="I23" s="12" t="s">
        <v>533</v>
      </c>
      <c r="J23" s="61">
        <v>26360</v>
      </c>
      <c r="K23" s="71">
        <v>500</v>
      </c>
      <c r="L23" s="62" t="s">
        <v>490</v>
      </c>
      <c r="M23" s="75"/>
      <c r="N23" s="73"/>
      <c r="O23" s="15"/>
    </row>
    <row r="24" spans="1:15" x14ac:dyDescent="0.25">
      <c r="A24" s="16">
        <v>26218</v>
      </c>
      <c r="B24" s="49">
        <v>500</v>
      </c>
      <c r="C24" s="17" t="s">
        <v>455</v>
      </c>
      <c r="D24" s="13">
        <v>26281</v>
      </c>
      <c r="E24" s="70">
        <v>1000</v>
      </c>
      <c r="F24" s="14" t="s">
        <v>514</v>
      </c>
      <c r="G24" s="11">
        <v>26321</v>
      </c>
      <c r="H24" s="67">
        <v>1000</v>
      </c>
      <c r="I24" s="12" t="s">
        <v>517</v>
      </c>
      <c r="J24" s="61"/>
      <c r="K24" s="71"/>
      <c r="L24" s="62" t="s">
        <v>16</v>
      </c>
      <c r="M24" s="75"/>
      <c r="N24" s="73"/>
      <c r="O24" s="31"/>
    </row>
    <row r="25" spans="1:15" x14ac:dyDescent="0.25">
      <c r="A25" s="16">
        <v>26219</v>
      </c>
      <c r="B25" s="49">
        <v>250</v>
      </c>
      <c r="C25" s="17" t="s">
        <v>464</v>
      </c>
      <c r="D25" s="13">
        <v>26282</v>
      </c>
      <c r="E25" s="70">
        <v>500</v>
      </c>
      <c r="F25" s="14"/>
      <c r="G25" s="11">
        <v>26322</v>
      </c>
      <c r="H25" s="67">
        <v>500</v>
      </c>
      <c r="I25" s="12"/>
      <c r="J25" s="61">
        <v>26361</v>
      </c>
      <c r="K25" s="71">
        <v>500</v>
      </c>
      <c r="L25" s="62"/>
      <c r="M25" s="75"/>
      <c r="N25" s="73"/>
      <c r="O25" s="15"/>
    </row>
    <row r="26" spans="1:15" x14ac:dyDescent="0.25">
      <c r="A26" s="16">
        <v>26220</v>
      </c>
      <c r="B26" s="49">
        <v>500</v>
      </c>
      <c r="C26" s="17"/>
      <c r="D26" s="13">
        <v>26283</v>
      </c>
      <c r="E26" s="70">
        <v>1000</v>
      </c>
      <c r="F26" s="14" t="s">
        <v>517</v>
      </c>
      <c r="G26" s="11">
        <v>26323</v>
      </c>
      <c r="H26" s="67">
        <v>600</v>
      </c>
      <c r="I26" s="12" t="s">
        <v>515</v>
      </c>
      <c r="J26" s="61">
        <v>26362</v>
      </c>
      <c r="K26" s="71">
        <v>600</v>
      </c>
      <c r="L26" s="62" t="s">
        <v>533</v>
      </c>
      <c r="M26" s="75"/>
      <c r="N26" s="73"/>
      <c r="O26" s="15"/>
    </row>
    <row r="27" spans="1:15" x14ac:dyDescent="0.25">
      <c r="A27" s="16">
        <v>26221</v>
      </c>
      <c r="B27" s="49">
        <v>1000</v>
      </c>
      <c r="C27" s="17" t="s">
        <v>517</v>
      </c>
      <c r="D27" s="13">
        <v>26284</v>
      </c>
      <c r="E27" s="70">
        <v>500</v>
      </c>
      <c r="F27" s="14" t="s">
        <v>455</v>
      </c>
      <c r="G27" s="11">
        <v>26324</v>
      </c>
      <c r="H27" s="67">
        <v>600</v>
      </c>
      <c r="I27" s="12" t="s">
        <v>545</v>
      </c>
      <c r="J27" s="61">
        <v>26363</v>
      </c>
      <c r="K27" s="71">
        <v>500</v>
      </c>
      <c r="L27" s="62" t="s">
        <v>533</v>
      </c>
      <c r="M27" s="75"/>
      <c r="N27" s="73"/>
      <c r="O27" s="15"/>
    </row>
    <row r="28" spans="1:15" x14ac:dyDescent="0.25">
      <c r="A28" s="16">
        <v>26222</v>
      </c>
      <c r="B28" s="49">
        <v>500</v>
      </c>
      <c r="C28" s="17"/>
      <c r="D28" s="13">
        <v>26285</v>
      </c>
      <c r="E28" s="70">
        <v>1000</v>
      </c>
      <c r="F28" s="14" t="s">
        <v>517</v>
      </c>
      <c r="G28" s="11">
        <v>26325</v>
      </c>
      <c r="H28" s="67">
        <v>400</v>
      </c>
      <c r="I28" s="12"/>
      <c r="J28" s="61">
        <v>26364</v>
      </c>
      <c r="K28" s="71">
        <v>400</v>
      </c>
      <c r="L28" s="62"/>
      <c r="M28" s="75"/>
      <c r="N28" s="73"/>
      <c r="O28" s="15"/>
    </row>
    <row r="29" spans="1:15" x14ac:dyDescent="0.25">
      <c r="A29" s="16">
        <v>26223</v>
      </c>
      <c r="B29" s="49">
        <v>500</v>
      </c>
      <c r="C29" s="17"/>
      <c r="D29" s="13">
        <v>26286</v>
      </c>
      <c r="E29" s="70">
        <v>1000</v>
      </c>
      <c r="F29" s="14" t="s">
        <v>517</v>
      </c>
      <c r="G29" s="11">
        <v>26326</v>
      </c>
      <c r="H29" s="67">
        <v>500</v>
      </c>
      <c r="I29" s="12"/>
      <c r="J29" s="61">
        <v>26365</v>
      </c>
      <c r="K29" s="71">
        <v>1000</v>
      </c>
      <c r="L29" s="62" t="s">
        <v>517</v>
      </c>
      <c r="M29" s="75"/>
      <c r="N29" s="73"/>
      <c r="O29" s="15"/>
    </row>
    <row r="30" spans="1:15" x14ac:dyDescent="0.25">
      <c r="A30" s="16">
        <v>26224</v>
      </c>
      <c r="B30" s="49">
        <v>500</v>
      </c>
      <c r="C30" s="17"/>
      <c r="D30" s="13">
        <v>26287</v>
      </c>
      <c r="E30" s="70">
        <v>500</v>
      </c>
      <c r="F30" s="14"/>
      <c r="G30" s="11">
        <v>26327</v>
      </c>
      <c r="H30" s="67">
        <v>500</v>
      </c>
      <c r="I30" s="12"/>
      <c r="J30" s="61">
        <v>26366</v>
      </c>
      <c r="K30" s="71">
        <v>250</v>
      </c>
      <c r="L30" s="62" t="s">
        <v>560</v>
      </c>
      <c r="M30" s="75"/>
      <c r="N30" s="73"/>
      <c r="O30" s="15"/>
    </row>
    <row r="31" spans="1:15" x14ac:dyDescent="0.25">
      <c r="A31" s="16">
        <v>26225</v>
      </c>
      <c r="B31" s="49">
        <v>1000</v>
      </c>
      <c r="C31" s="17" t="s">
        <v>517</v>
      </c>
      <c r="D31" s="13">
        <v>26288</v>
      </c>
      <c r="E31" s="70">
        <v>200</v>
      </c>
      <c r="F31" s="14"/>
      <c r="G31" s="11">
        <v>26328</v>
      </c>
      <c r="H31" s="67"/>
      <c r="I31" s="12" t="s">
        <v>20</v>
      </c>
      <c r="J31" s="61">
        <v>26367</v>
      </c>
      <c r="K31" s="71">
        <v>300</v>
      </c>
      <c r="L31" s="62"/>
      <c r="M31" s="75"/>
      <c r="N31" s="73"/>
      <c r="O31" s="31"/>
    </row>
    <row r="32" spans="1:15" x14ac:dyDescent="0.25">
      <c r="A32" s="16">
        <v>26226</v>
      </c>
      <c r="B32" s="49">
        <v>500</v>
      </c>
      <c r="C32" s="17"/>
      <c r="D32" s="13">
        <v>26289</v>
      </c>
      <c r="E32" s="70">
        <v>350</v>
      </c>
      <c r="F32" s="14" t="s">
        <v>178</v>
      </c>
      <c r="G32" s="11">
        <v>26329</v>
      </c>
      <c r="H32" s="67">
        <v>600</v>
      </c>
      <c r="I32" s="12"/>
      <c r="J32" s="61">
        <v>26368</v>
      </c>
      <c r="K32" s="71">
        <v>300</v>
      </c>
      <c r="L32" s="62"/>
      <c r="M32" s="75"/>
      <c r="N32" s="73"/>
      <c r="O32" s="15"/>
    </row>
    <row r="33" spans="1:15" x14ac:dyDescent="0.25">
      <c r="A33" s="16">
        <v>26227</v>
      </c>
      <c r="B33" s="49">
        <v>700</v>
      </c>
      <c r="C33" s="17" t="s">
        <v>534</v>
      </c>
      <c r="D33" s="13">
        <v>26290</v>
      </c>
      <c r="E33" s="70">
        <v>500</v>
      </c>
      <c r="F33" s="14" t="s">
        <v>455</v>
      </c>
      <c r="G33" s="11">
        <v>26330</v>
      </c>
      <c r="H33" s="67">
        <v>500</v>
      </c>
      <c r="I33" s="12"/>
      <c r="J33" s="61">
        <v>26369</v>
      </c>
      <c r="K33" s="71">
        <v>1000</v>
      </c>
      <c r="L33" s="62" t="s">
        <v>490</v>
      </c>
      <c r="M33" s="75"/>
      <c r="N33" s="73"/>
      <c r="O33" s="15"/>
    </row>
    <row r="34" spans="1:15" x14ac:dyDescent="0.25">
      <c r="A34" s="16">
        <v>26228</v>
      </c>
      <c r="B34" s="49">
        <v>500</v>
      </c>
      <c r="C34" s="17"/>
      <c r="D34" s="13">
        <v>26291</v>
      </c>
      <c r="E34" s="70">
        <v>500</v>
      </c>
      <c r="F34" s="14"/>
      <c r="G34" s="11">
        <v>26331</v>
      </c>
      <c r="H34" s="67">
        <v>1000</v>
      </c>
      <c r="I34" s="12" t="s">
        <v>454</v>
      </c>
      <c r="J34" s="61"/>
      <c r="K34" s="71"/>
      <c r="L34" s="62" t="s">
        <v>561</v>
      </c>
      <c r="M34" s="75"/>
      <c r="N34" s="73"/>
      <c r="O34" s="15"/>
    </row>
    <row r="35" spans="1:15" x14ac:dyDescent="0.25">
      <c r="A35" s="16">
        <v>26229</v>
      </c>
      <c r="B35" s="49">
        <v>200</v>
      </c>
      <c r="C35" s="17"/>
      <c r="D35" s="13">
        <v>26292</v>
      </c>
      <c r="E35" s="70">
        <v>50</v>
      </c>
      <c r="F35" s="14" t="s">
        <v>389</v>
      </c>
      <c r="G35" s="11"/>
      <c r="H35" s="67"/>
      <c r="I35" s="12" t="s">
        <v>16</v>
      </c>
      <c r="J35" s="61">
        <v>26370</v>
      </c>
      <c r="K35" s="71">
        <v>5500</v>
      </c>
      <c r="L35" s="62" t="s">
        <v>552</v>
      </c>
      <c r="M35" s="75"/>
      <c r="N35" s="73"/>
      <c r="O35" s="15"/>
    </row>
    <row r="36" spans="1:15" x14ac:dyDescent="0.25">
      <c r="A36" s="16">
        <v>26230</v>
      </c>
      <c r="B36" s="49">
        <v>300</v>
      </c>
      <c r="C36" s="17"/>
      <c r="D36" s="13">
        <v>26293</v>
      </c>
      <c r="E36" s="70">
        <v>500</v>
      </c>
      <c r="F36" s="14"/>
      <c r="G36" s="11">
        <v>26332</v>
      </c>
      <c r="H36" s="67">
        <v>350</v>
      </c>
      <c r="I36" s="12" t="s">
        <v>178</v>
      </c>
      <c r="J36" s="61"/>
      <c r="K36" s="71"/>
      <c r="L36" s="62" t="s">
        <v>553</v>
      </c>
      <c r="M36" s="75"/>
      <c r="N36" s="73"/>
      <c r="O36" s="15"/>
    </row>
    <row r="37" spans="1:15" x14ac:dyDescent="0.25">
      <c r="A37" s="16">
        <v>26231</v>
      </c>
      <c r="B37" s="49">
        <v>1000</v>
      </c>
      <c r="C37" s="17" t="s">
        <v>517</v>
      </c>
      <c r="D37" s="13">
        <v>26294</v>
      </c>
      <c r="E37" s="70">
        <v>300</v>
      </c>
      <c r="F37" s="14" t="s">
        <v>540</v>
      </c>
      <c r="G37" s="11">
        <v>26333</v>
      </c>
      <c r="H37" s="67">
        <v>1500</v>
      </c>
      <c r="I37" s="12" t="s">
        <v>546</v>
      </c>
      <c r="J37" s="61">
        <v>26371</v>
      </c>
      <c r="K37" s="71">
        <v>500</v>
      </c>
      <c r="L37" s="62"/>
      <c r="M37" s="75"/>
      <c r="N37" s="73"/>
      <c r="O37" s="15"/>
    </row>
    <row r="38" spans="1:15" x14ac:dyDescent="0.25">
      <c r="A38" s="16">
        <v>26232</v>
      </c>
      <c r="B38" s="49">
        <v>500</v>
      </c>
      <c r="C38" s="17"/>
      <c r="D38" s="13">
        <v>26295</v>
      </c>
      <c r="E38" s="70">
        <v>500</v>
      </c>
      <c r="F38" s="14"/>
      <c r="G38" s="11">
        <v>26334</v>
      </c>
      <c r="H38" s="67">
        <v>500</v>
      </c>
      <c r="I38" s="12"/>
      <c r="J38" s="61">
        <v>26372</v>
      </c>
      <c r="K38" s="71">
        <v>500</v>
      </c>
      <c r="L38" s="62"/>
      <c r="M38" s="75"/>
      <c r="N38" s="73"/>
      <c r="O38" s="15"/>
    </row>
    <row r="39" spans="1:15" x14ac:dyDescent="0.25">
      <c r="A39" s="16">
        <v>26233</v>
      </c>
      <c r="B39" s="49">
        <v>250</v>
      </c>
      <c r="C39" s="17"/>
      <c r="D39" s="13">
        <v>26296</v>
      </c>
      <c r="E39" s="70">
        <v>300</v>
      </c>
      <c r="F39" s="14" t="s">
        <v>541</v>
      </c>
      <c r="G39" s="11">
        <v>26335</v>
      </c>
      <c r="H39" s="67">
        <v>600</v>
      </c>
      <c r="I39" s="12" t="s">
        <v>515</v>
      </c>
      <c r="J39" s="61">
        <v>26373</v>
      </c>
      <c r="K39" s="71">
        <v>500</v>
      </c>
      <c r="L39" s="62" t="s">
        <v>533</v>
      </c>
      <c r="M39" s="75"/>
      <c r="N39" s="73"/>
      <c r="O39" s="15"/>
    </row>
    <row r="40" spans="1:15" x14ac:dyDescent="0.25">
      <c r="A40" s="16">
        <v>26234</v>
      </c>
      <c r="B40" s="49">
        <v>500</v>
      </c>
      <c r="C40" s="17"/>
      <c r="D40" s="13">
        <v>26297</v>
      </c>
      <c r="E40" s="70">
        <v>700</v>
      </c>
      <c r="F40" s="14" t="s">
        <v>542</v>
      </c>
      <c r="G40" s="11">
        <v>26336</v>
      </c>
      <c r="H40" s="67">
        <v>1600</v>
      </c>
      <c r="I40" s="12" t="s">
        <v>547</v>
      </c>
      <c r="J40" s="61">
        <v>26374</v>
      </c>
      <c r="K40" s="71">
        <v>250</v>
      </c>
      <c r="L40" s="62"/>
      <c r="M40" s="75"/>
      <c r="N40" s="73"/>
      <c r="O40" s="15"/>
    </row>
    <row r="41" spans="1:15" x14ac:dyDescent="0.25">
      <c r="A41" s="16">
        <v>26235</v>
      </c>
      <c r="B41" s="49">
        <v>500</v>
      </c>
      <c r="C41" s="17"/>
      <c r="D41" s="13">
        <v>26298</v>
      </c>
      <c r="E41" s="70">
        <v>450</v>
      </c>
      <c r="F41" s="14"/>
      <c r="G41" s="11"/>
      <c r="H41" s="67"/>
      <c r="I41" s="12" t="s">
        <v>17</v>
      </c>
      <c r="J41" s="61">
        <v>26375</v>
      </c>
      <c r="K41" s="71">
        <v>5500</v>
      </c>
      <c r="L41" s="62" t="s">
        <v>552</v>
      </c>
      <c r="M41" s="75"/>
      <c r="N41" s="73"/>
      <c r="O41" s="15"/>
    </row>
    <row r="42" spans="1:15" x14ac:dyDescent="0.25">
      <c r="A42" s="16">
        <v>26236</v>
      </c>
      <c r="B42" s="49">
        <v>350</v>
      </c>
      <c r="C42" s="17"/>
      <c r="D42" s="13">
        <v>26299</v>
      </c>
      <c r="E42" s="70">
        <v>450</v>
      </c>
      <c r="F42" s="14" t="s">
        <v>543</v>
      </c>
      <c r="G42" s="11">
        <v>26337</v>
      </c>
      <c r="H42" s="67">
        <v>500</v>
      </c>
      <c r="I42" s="12" t="s">
        <v>427</v>
      </c>
      <c r="J42" s="61"/>
      <c r="K42" s="71"/>
      <c r="L42" s="62" t="s">
        <v>553</v>
      </c>
      <c r="M42" s="75"/>
      <c r="N42" s="73"/>
      <c r="O42" s="15"/>
    </row>
    <row r="43" spans="1:15" x14ac:dyDescent="0.25">
      <c r="A43" s="16">
        <v>26237</v>
      </c>
      <c r="B43" s="49">
        <v>500</v>
      </c>
      <c r="C43" s="17"/>
      <c r="D43" s="13">
        <v>26300</v>
      </c>
      <c r="E43" s="70">
        <v>300</v>
      </c>
      <c r="F43" s="14"/>
      <c r="G43" s="11">
        <v>26338</v>
      </c>
      <c r="H43" s="67">
        <v>500</v>
      </c>
      <c r="I43" s="12"/>
      <c r="J43" s="61">
        <v>26376</v>
      </c>
      <c r="K43" s="71">
        <v>500</v>
      </c>
      <c r="L43" s="62"/>
      <c r="M43" s="75"/>
      <c r="N43" s="73"/>
      <c r="O43" s="15"/>
    </row>
    <row r="44" spans="1:15" x14ac:dyDescent="0.25">
      <c r="A44" s="16">
        <v>26238</v>
      </c>
      <c r="B44" s="49">
        <v>300</v>
      </c>
      <c r="C44" s="17"/>
      <c r="D44" s="13">
        <v>26301</v>
      </c>
      <c r="E44" s="70">
        <v>400</v>
      </c>
      <c r="F44" s="14"/>
      <c r="G44" s="11">
        <v>26339</v>
      </c>
      <c r="H44" s="67">
        <v>900</v>
      </c>
      <c r="I44" s="12" t="s">
        <v>548</v>
      </c>
      <c r="J44" s="61">
        <v>26377</v>
      </c>
      <c r="K44" s="71">
        <v>350</v>
      </c>
      <c r="L44" s="62" t="s">
        <v>452</v>
      </c>
      <c r="M44" s="75"/>
      <c r="N44" s="73"/>
      <c r="O44" s="15"/>
    </row>
    <row r="45" spans="1:15" x14ac:dyDescent="0.25">
      <c r="A45" s="16">
        <v>26239</v>
      </c>
      <c r="B45" s="49">
        <v>1500</v>
      </c>
      <c r="C45" s="17" t="s">
        <v>487</v>
      </c>
      <c r="D45" s="13">
        <v>26302</v>
      </c>
      <c r="E45" s="70">
        <v>500</v>
      </c>
      <c r="F45" s="14" t="s">
        <v>455</v>
      </c>
      <c r="G45" s="11">
        <v>26340</v>
      </c>
      <c r="H45" s="67">
        <v>400</v>
      </c>
      <c r="I45" s="12"/>
      <c r="J45" s="61">
        <v>26378</v>
      </c>
      <c r="K45" s="71">
        <v>600</v>
      </c>
      <c r="L45" s="62" t="s">
        <v>490</v>
      </c>
      <c r="M45" s="75"/>
      <c r="N45" s="73"/>
      <c r="O45" s="15"/>
    </row>
    <row r="46" spans="1:15" x14ac:dyDescent="0.25">
      <c r="A46" s="16"/>
      <c r="B46" s="49"/>
      <c r="C46" s="17" t="s">
        <v>64</v>
      </c>
      <c r="D46" s="13"/>
      <c r="E46" s="70"/>
      <c r="F46" s="14"/>
      <c r="G46" s="11">
        <v>26341</v>
      </c>
      <c r="H46" s="67">
        <v>300</v>
      </c>
      <c r="I46" s="12"/>
      <c r="J46" s="61"/>
      <c r="K46" s="71"/>
      <c r="L46" s="62" t="s">
        <v>562</v>
      </c>
      <c r="M46" s="75"/>
      <c r="N46" s="73"/>
      <c r="O46" s="15"/>
    </row>
    <row r="47" spans="1:15" x14ac:dyDescent="0.25">
      <c r="A47" s="16">
        <v>26240</v>
      </c>
      <c r="B47" s="49">
        <v>500</v>
      </c>
      <c r="C47" s="17"/>
      <c r="D47" s="13"/>
      <c r="E47" s="70"/>
      <c r="F47" s="14"/>
      <c r="G47" s="11">
        <v>26342</v>
      </c>
      <c r="H47" s="67">
        <v>500</v>
      </c>
      <c r="I47" s="12" t="s">
        <v>455</v>
      </c>
      <c r="J47" s="61">
        <v>26379</v>
      </c>
      <c r="K47" s="71">
        <v>500</v>
      </c>
      <c r="L47" s="62" t="s">
        <v>455</v>
      </c>
      <c r="M47" s="75"/>
      <c r="N47" s="73"/>
      <c r="O47" s="15"/>
    </row>
    <row r="48" spans="1:15" x14ac:dyDescent="0.25">
      <c r="A48" s="16">
        <v>26241</v>
      </c>
      <c r="B48" s="49">
        <v>300</v>
      </c>
      <c r="C48" s="17"/>
      <c r="D48" s="13"/>
      <c r="E48" s="70"/>
      <c r="F48" s="14"/>
      <c r="G48" s="11">
        <v>26343</v>
      </c>
      <c r="H48" s="67">
        <v>400</v>
      </c>
      <c r="I48" s="12"/>
      <c r="J48" s="61">
        <v>26380</v>
      </c>
      <c r="K48" s="71">
        <v>900</v>
      </c>
      <c r="L48" s="62" t="s">
        <v>563</v>
      </c>
      <c r="M48" s="75"/>
      <c r="N48" s="73"/>
      <c r="O48" s="15"/>
    </row>
    <row r="49" spans="1:15" x14ac:dyDescent="0.25">
      <c r="A49" s="16">
        <v>26242</v>
      </c>
      <c r="B49" s="49">
        <v>500</v>
      </c>
      <c r="C49" s="115" t="s">
        <v>455</v>
      </c>
      <c r="D49" s="13"/>
      <c r="E49" s="70"/>
      <c r="F49" s="14"/>
      <c r="G49" s="11">
        <v>26344</v>
      </c>
      <c r="H49" s="67">
        <v>500</v>
      </c>
      <c r="I49" s="12"/>
      <c r="J49" s="61">
        <v>26381</v>
      </c>
      <c r="K49" s="71">
        <v>500</v>
      </c>
      <c r="L49" s="62" t="s">
        <v>533</v>
      </c>
      <c r="M49" s="75"/>
      <c r="N49" s="73"/>
      <c r="O49" s="15"/>
    </row>
    <row r="50" spans="1:15" x14ac:dyDescent="0.25">
      <c r="A50" s="16">
        <v>26243</v>
      </c>
      <c r="B50" s="49">
        <v>450</v>
      </c>
      <c r="C50" s="17"/>
      <c r="D50" s="13"/>
      <c r="E50" s="70"/>
      <c r="F50" s="14"/>
      <c r="G50" s="11">
        <v>26345</v>
      </c>
      <c r="H50" s="67">
        <v>350</v>
      </c>
      <c r="I50" s="12"/>
      <c r="J50" s="61">
        <v>26382</v>
      </c>
      <c r="K50" s="71">
        <v>500</v>
      </c>
      <c r="L50" s="68" t="s">
        <v>533</v>
      </c>
      <c r="M50" s="75"/>
      <c r="N50" s="73"/>
      <c r="O50" s="15"/>
    </row>
    <row r="51" spans="1:15" x14ac:dyDescent="0.25">
      <c r="A51" s="16">
        <v>26244</v>
      </c>
      <c r="B51" s="49">
        <v>500</v>
      </c>
      <c r="C51" s="17"/>
      <c r="D51" s="13"/>
      <c r="E51" s="70"/>
      <c r="F51" s="14"/>
      <c r="G51" s="11">
        <v>26346</v>
      </c>
      <c r="H51" s="67">
        <v>400</v>
      </c>
      <c r="I51" s="12"/>
      <c r="J51" s="61">
        <v>26383</v>
      </c>
      <c r="K51" s="71">
        <v>500</v>
      </c>
      <c r="L51" s="62" t="s">
        <v>533</v>
      </c>
      <c r="M51" s="75"/>
      <c r="N51" s="73"/>
      <c r="O51" s="15"/>
    </row>
    <row r="52" spans="1:15" x14ac:dyDescent="0.25">
      <c r="A52" s="16">
        <v>26245</v>
      </c>
      <c r="B52" s="49">
        <v>500</v>
      </c>
      <c r="C52" s="17"/>
      <c r="D52" s="13"/>
      <c r="E52" s="70"/>
      <c r="F52" s="14"/>
      <c r="G52" s="11">
        <v>26347</v>
      </c>
      <c r="H52" s="67">
        <v>300</v>
      </c>
      <c r="I52" s="12" t="s">
        <v>549</v>
      </c>
      <c r="J52" s="61">
        <v>26384</v>
      </c>
      <c r="K52" s="71">
        <v>500</v>
      </c>
      <c r="L52" s="62"/>
      <c r="M52" s="75"/>
      <c r="N52" s="73"/>
      <c r="O52" s="15"/>
    </row>
    <row r="53" spans="1:15" x14ac:dyDescent="0.25">
      <c r="A53" s="16">
        <v>26246</v>
      </c>
      <c r="B53" s="49">
        <v>400</v>
      </c>
      <c r="C53" s="17"/>
      <c r="D53" s="13"/>
      <c r="E53" s="70"/>
      <c r="F53" s="14"/>
      <c r="G53" s="11">
        <v>26348</v>
      </c>
      <c r="H53" s="67">
        <v>400</v>
      </c>
      <c r="I53" s="12" t="s">
        <v>550</v>
      </c>
      <c r="J53" s="61">
        <v>26385</v>
      </c>
      <c r="K53" s="71">
        <v>250</v>
      </c>
      <c r="L53" s="62" t="s">
        <v>564</v>
      </c>
      <c r="M53" s="75"/>
      <c r="N53" s="73"/>
      <c r="O53" s="15"/>
    </row>
    <row r="54" spans="1:15" x14ac:dyDescent="0.25">
      <c r="A54" s="16">
        <v>26247</v>
      </c>
      <c r="B54" s="49">
        <v>500</v>
      </c>
      <c r="C54" s="17"/>
      <c r="D54" s="13"/>
      <c r="E54" s="70"/>
      <c r="F54" s="14"/>
      <c r="G54" s="11">
        <v>26349</v>
      </c>
      <c r="H54" s="67">
        <v>500</v>
      </c>
      <c r="I54" s="12" t="s">
        <v>455</v>
      </c>
      <c r="J54" s="61">
        <v>26386</v>
      </c>
      <c r="K54" s="71">
        <v>500</v>
      </c>
      <c r="L54" s="62"/>
      <c r="M54" s="75"/>
      <c r="N54" s="73"/>
      <c r="O54" s="15"/>
    </row>
    <row r="55" spans="1:15" x14ac:dyDescent="0.25">
      <c r="A55" s="16">
        <v>26248</v>
      </c>
      <c r="B55" s="49">
        <v>500</v>
      </c>
      <c r="C55" s="17"/>
      <c r="D55" s="13"/>
      <c r="E55" s="70"/>
      <c r="F55" s="14"/>
      <c r="G55" s="11"/>
      <c r="H55" s="67"/>
      <c r="I55" s="12"/>
      <c r="J55" s="61">
        <v>26387</v>
      </c>
      <c r="K55" s="71">
        <v>350</v>
      </c>
      <c r="L55" s="62"/>
      <c r="M55" s="75"/>
      <c r="N55" s="73"/>
      <c r="O55" s="15"/>
    </row>
    <row r="56" spans="1:15" x14ac:dyDescent="0.25">
      <c r="A56" s="16">
        <v>26249</v>
      </c>
      <c r="B56" s="49">
        <v>300</v>
      </c>
      <c r="C56" s="17"/>
      <c r="D56" s="13"/>
      <c r="E56" s="70"/>
      <c r="F56" s="14"/>
      <c r="G56" s="11"/>
      <c r="H56" s="67"/>
      <c r="I56" s="12"/>
      <c r="J56" s="61">
        <v>26388</v>
      </c>
      <c r="K56" s="71">
        <v>500</v>
      </c>
      <c r="L56" s="62"/>
      <c r="M56" s="75"/>
      <c r="N56" s="73"/>
      <c r="O56" s="15"/>
    </row>
    <row r="57" spans="1:15" x14ac:dyDescent="0.25">
      <c r="A57" s="16">
        <v>26250</v>
      </c>
      <c r="B57" s="49">
        <v>500</v>
      </c>
      <c r="C57" s="17"/>
      <c r="D57" s="13"/>
      <c r="E57" s="70"/>
      <c r="F57" s="14"/>
      <c r="G57" s="11"/>
      <c r="H57" s="67"/>
      <c r="I57" s="12"/>
      <c r="J57" s="61">
        <v>26389</v>
      </c>
      <c r="K57" s="71">
        <v>350</v>
      </c>
      <c r="L57" s="62" t="s">
        <v>178</v>
      </c>
      <c r="M57" s="75"/>
      <c r="N57" s="73"/>
      <c r="O57" s="15"/>
    </row>
    <row r="58" spans="1:15" x14ac:dyDescent="0.25">
      <c r="A58" s="16">
        <v>26251</v>
      </c>
      <c r="B58" s="49">
        <v>1000</v>
      </c>
      <c r="C58" s="17" t="s">
        <v>514</v>
      </c>
      <c r="D58" s="13"/>
      <c r="E58" s="70"/>
      <c r="F58" s="14"/>
      <c r="G58" s="11"/>
      <c r="H58" s="67"/>
      <c r="I58" s="12"/>
      <c r="J58" s="61">
        <v>26390</v>
      </c>
      <c r="K58" s="71">
        <v>500</v>
      </c>
      <c r="L58" s="62" t="s">
        <v>565</v>
      </c>
      <c r="M58" s="75"/>
      <c r="N58" s="73"/>
      <c r="O58" s="15"/>
    </row>
    <row r="59" spans="1:15" x14ac:dyDescent="0.25">
      <c r="A59" s="16">
        <v>26252</v>
      </c>
      <c r="B59" s="49">
        <v>350</v>
      </c>
      <c r="C59" s="17" t="s">
        <v>459</v>
      </c>
      <c r="D59" s="13"/>
      <c r="E59" s="70"/>
      <c r="F59" s="14"/>
      <c r="G59" s="11"/>
      <c r="H59" s="67"/>
      <c r="I59" s="12"/>
      <c r="J59" s="61">
        <v>26391</v>
      </c>
      <c r="K59" s="71">
        <v>250</v>
      </c>
      <c r="L59" s="62" t="s">
        <v>321</v>
      </c>
      <c r="M59" s="75"/>
      <c r="N59" s="73"/>
      <c r="O59" s="15"/>
    </row>
    <row r="60" spans="1:15" x14ac:dyDescent="0.25">
      <c r="A60" s="16"/>
      <c r="B60" s="49"/>
      <c r="C60" s="17" t="s">
        <v>389</v>
      </c>
      <c r="D60" s="13"/>
      <c r="E60" s="70"/>
      <c r="F60" s="14"/>
      <c r="G60" s="11"/>
      <c r="H60" s="67"/>
      <c r="I60" s="12"/>
      <c r="J60" s="61"/>
      <c r="K60" s="71"/>
      <c r="L60" s="62"/>
      <c r="M60" s="75"/>
      <c r="N60" s="73"/>
      <c r="O60" s="15"/>
    </row>
    <row r="61" spans="1:15" x14ac:dyDescent="0.25">
      <c r="A61" s="16">
        <v>26253</v>
      </c>
      <c r="B61" s="49">
        <v>500</v>
      </c>
      <c r="C61" s="17"/>
      <c r="D61" s="13"/>
      <c r="E61" s="70"/>
      <c r="F61" s="14"/>
      <c r="G61" s="11"/>
      <c r="H61" s="67"/>
      <c r="I61" s="12"/>
      <c r="J61" s="61"/>
      <c r="K61" s="71"/>
      <c r="L61" s="62"/>
      <c r="M61" s="75"/>
      <c r="N61" s="73"/>
      <c r="O61" s="15"/>
    </row>
    <row r="62" spans="1:15" x14ac:dyDescent="0.25">
      <c r="A62" s="16">
        <v>26254</v>
      </c>
      <c r="B62" s="49">
        <v>500</v>
      </c>
      <c r="C62" s="17"/>
      <c r="D62" s="13"/>
      <c r="E62" s="70"/>
      <c r="F62" s="14"/>
      <c r="G62" s="11"/>
      <c r="H62" s="67"/>
      <c r="I62" s="114"/>
      <c r="J62" s="61"/>
      <c r="K62" s="71"/>
      <c r="L62" s="62"/>
      <c r="M62" s="75"/>
      <c r="N62" s="73"/>
      <c r="O62" s="15"/>
    </row>
    <row r="63" spans="1:15" x14ac:dyDescent="0.25">
      <c r="A63" s="16">
        <v>26255</v>
      </c>
      <c r="B63" s="49">
        <v>500</v>
      </c>
      <c r="C63" s="17"/>
      <c r="D63" s="13"/>
      <c r="E63" s="70"/>
      <c r="F63" s="14"/>
      <c r="G63" s="11"/>
      <c r="H63" s="67"/>
      <c r="I63" s="12"/>
      <c r="J63" s="61"/>
      <c r="K63" s="71"/>
      <c r="L63" s="62"/>
      <c r="M63" s="75"/>
      <c r="N63" s="73"/>
      <c r="O63" s="15"/>
    </row>
    <row r="64" spans="1:15" x14ac:dyDescent="0.25">
      <c r="A64" s="16">
        <v>26256</v>
      </c>
      <c r="B64" s="49">
        <v>50</v>
      </c>
      <c r="C64" s="17" t="s">
        <v>535</v>
      </c>
      <c r="D64" s="13"/>
      <c r="E64" s="70"/>
      <c r="F64" s="14"/>
      <c r="G64" s="11"/>
      <c r="H64" s="67"/>
      <c r="I64" s="12"/>
      <c r="J64" s="61"/>
      <c r="K64" s="71"/>
      <c r="L64" s="62"/>
      <c r="M64" s="75"/>
      <c r="N64" s="73"/>
      <c r="O64" s="15"/>
    </row>
    <row r="65" spans="1:15" x14ac:dyDescent="0.25">
      <c r="A65" s="16">
        <v>26257</v>
      </c>
      <c r="B65" s="49">
        <v>400</v>
      </c>
      <c r="C65" s="17"/>
      <c r="D65" s="13"/>
      <c r="E65" s="70"/>
      <c r="F65" s="14"/>
      <c r="G65" s="11"/>
      <c r="H65" s="67"/>
      <c r="I65" s="12"/>
      <c r="J65" s="61"/>
      <c r="K65" s="71"/>
      <c r="L65" s="62"/>
      <c r="M65" s="75"/>
      <c r="N65" s="73"/>
      <c r="O65" s="15"/>
    </row>
    <row r="66" spans="1:15" x14ac:dyDescent="0.25">
      <c r="A66" s="16">
        <v>26258</v>
      </c>
      <c r="B66" s="49">
        <v>1000</v>
      </c>
      <c r="C66" s="17" t="s">
        <v>517</v>
      </c>
      <c r="D66" s="13"/>
      <c r="E66" s="70"/>
      <c r="F66" s="14"/>
      <c r="G66" s="11"/>
      <c r="H66" s="67"/>
      <c r="I66" s="12"/>
      <c r="J66" s="61"/>
      <c r="K66" s="71"/>
      <c r="L66" s="62"/>
      <c r="M66" s="75"/>
      <c r="N66" s="73"/>
      <c r="O66" s="15"/>
    </row>
    <row r="67" spans="1:15" x14ac:dyDescent="0.25">
      <c r="A67" s="16">
        <v>26259</v>
      </c>
      <c r="B67" s="49">
        <v>600</v>
      </c>
      <c r="C67" s="17" t="s">
        <v>487</v>
      </c>
      <c r="D67" s="13"/>
      <c r="E67" s="70"/>
      <c r="F67" s="14"/>
      <c r="G67" s="11"/>
      <c r="H67" s="67"/>
      <c r="I67" s="12"/>
      <c r="J67" s="61"/>
      <c r="K67" s="71"/>
      <c r="L67" s="62"/>
      <c r="M67" s="75"/>
      <c r="N67" s="73"/>
      <c r="O67" s="15"/>
    </row>
    <row r="68" spans="1:15" x14ac:dyDescent="0.25">
      <c r="A68" s="16"/>
      <c r="B68" s="49"/>
      <c r="C68" s="17" t="s">
        <v>52</v>
      </c>
      <c r="D68" s="13"/>
      <c r="E68" s="70"/>
      <c r="F68" s="14"/>
      <c r="G68" s="11"/>
      <c r="H68" s="67"/>
      <c r="I68" s="12"/>
      <c r="J68" s="61"/>
      <c r="K68" s="71"/>
      <c r="L68" s="62"/>
      <c r="M68" s="75"/>
      <c r="N68" s="73"/>
      <c r="O68" s="15"/>
    </row>
    <row r="69" spans="1:15" x14ac:dyDescent="0.25">
      <c r="A69" s="16">
        <v>26260</v>
      </c>
      <c r="B69" s="49">
        <v>500</v>
      </c>
      <c r="C69" s="17" t="s">
        <v>455</v>
      </c>
      <c r="D69" s="13"/>
      <c r="E69" s="70"/>
      <c r="F69" s="14"/>
      <c r="G69" s="11"/>
      <c r="H69" s="67"/>
      <c r="I69" s="12"/>
      <c r="J69" s="61"/>
      <c r="K69" s="71"/>
      <c r="L69" s="62"/>
      <c r="M69" s="75"/>
      <c r="N69" s="73"/>
      <c r="O69" s="15"/>
    </row>
    <row r="70" spans="1:15" x14ac:dyDescent="0.25">
      <c r="A70" s="16">
        <v>26261</v>
      </c>
      <c r="B70" s="49">
        <v>1000</v>
      </c>
      <c r="C70" s="17" t="s">
        <v>489</v>
      </c>
      <c r="D70" s="13"/>
      <c r="E70" s="70"/>
      <c r="F70" s="14"/>
      <c r="G70" s="11"/>
      <c r="H70" s="67"/>
      <c r="I70" s="12"/>
      <c r="J70" s="61"/>
      <c r="K70" s="71"/>
      <c r="L70" s="62"/>
      <c r="M70" s="75"/>
      <c r="N70" s="73"/>
      <c r="O70" s="15"/>
    </row>
    <row r="71" spans="1:15" x14ac:dyDescent="0.25">
      <c r="A71" s="16"/>
      <c r="B71" s="49"/>
      <c r="C71" s="17" t="s">
        <v>64</v>
      </c>
      <c r="D71" s="13"/>
      <c r="E71" s="70"/>
      <c r="F71" s="14"/>
      <c r="G71" s="11"/>
      <c r="H71" s="67"/>
      <c r="I71" s="12"/>
      <c r="J71" s="61"/>
      <c r="K71" s="71"/>
      <c r="L71" s="62"/>
      <c r="M71" s="75"/>
      <c r="N71" s="73"/>
      <c r="O71" s="15"/>
    </row>
    <row r="72" spans="1:15" x14ac:dyDescent="0.25">
      <c r="A72" s="16">
        <v>26262</v>
      </c>
      <c r="B72" s="49">
        <v>600</v>
      </c>
      <c r="C72" s="17" t="s">
        <v>536</v>
      </c>
      <c r="D72" s="13"/>
      <c r="E72" s="70"/>
      <c r="F72" s="14"/>
      <c r="G72" s="11"/>
      <c r="H72" s="67"/>
      <c r="I72" s="12"/>
      <c r="J72" s="61"/>
      <c r="K72" s="71"/>
      <c r="L72" s="62"/>
      <c r="M72" s="75"/>
      <c r="N72" s="73"/>
      <c r="O72" s="15"/>
    </row>
    <row r="73" spans="1:15" x14ac:dyDescent="0.25">
      <c r="A73" s="16">
        <v>26263</v>
      </c>
      <c r="B73" s="49">
        <v>500</v>
      </c>
      <c r="C73" s="17"/>
      <c r="D73" s="13"/>
      <c r="E73" s="70"/>
      <c r="F73" s="14"/>
      <c r="G73" s="11"/>
      <c r="H73" s="67"/>
      <c r="I73" s="12"/>
      <c r="J73" s="61"/>
      <c r="K73" s="71"/>
      <c r="L73" s="62"/>
      <c r="M73" s="75"/>
      <c r="N73" s="73"/>
      <c r="O73" s="15"/>
    </row>
    <row r="74" spans="1:15" x14ac:dyDescent="0.25">
      <c r="A74" s="16">
        <v>26264</v>
      </c>
      <c r="B74" s="49">
        <v>350</v>
      </c>
      <c r="C74" s="17" t="s">
        <v>178</v>
      </c>
      <c r="D74" s="13"/>
      <c r="E74" s="70"/>
      <c r="F74" s="14"/>
      <c r="G74" s="11"/>
      <c r="H74" s="67"/>
      <c r="I74" s="12"/>
      <c r="J74" s="61"/>
      <c r="K74" s="71"/>
      <c r="L74" s="62"/>
      <c r="M74" s="75"/>
      <c r="N74" s="73"/>
      <c r="O74" s="15"/>
    </row>
    <row r="75" spans="1:15" x14ac:dyDescent="0.25">
      <c r="A75" s="16">
        <v>26265</v>
      </c>
      <c r="B75" s="49">
        <v>600</v>
      </c>
      <c r="C75" s="17" t="s">
        <v>536</v>
      </c>
      <c r="D75" s="13"/>
      <c r="E75" s="70"/>
      <c r="F75" s="14"/>
      <c r="G75" s="11"/>
      <c r="H75" s="67"/>
      <c r="I75" s="12"/>
      <c r="J75" s="61"/>
      <c r="K75" s="71"/>
      <c r="L75" s="62"/>
      <c r="M75" s="75"/>
      <c r="N75" s="73"/>
      <c r="O75" s="15"/>
    </row>
    <row r="76" spans="1:15" x14ac:dyDescent="0.25">
      <c r="A76" s="16">
        <v>26266</v>
      </c>
      <c r="B76" s="49">
        <v>350</v>
      </c>
      <c r="C76" s="17"/>
      <c r="D76" s="13"/>
      <c r="E76" s="70"/>
      <c r="F76" s="14"/>
      <c r="G76" s="11"/>
      <c r="H76" s="67"/>
      <c r="I76" s="12"/>
      <c r="J76" s="61"/>
      <c r="K76" s="71"/>
      <c r="L76" s="62"/>
      <c r="M76" s="75"/>
      <c r="N76" s="73"/>
      <c r="O76" s="15"/>
    </row>
    <row r="77" spans="1:15" x14ac:dyDescent="0.25">
      <c r="A77" s="16">
        <v>26267</v>
      </c>
      <c r="B77" s="49">
        <v>1600</v>
      </c>
      <c r="C77" s="17" t="s">
        <v>480</v>
      </c>
      <c r="D77" s="13"/>
      <c r="E77" s="70"/>
      <c r="F77" s="14"/>
      <c r="G77" s="11"/>
      <c r="H77" s="67"/>
      <c r="I77" s="12"/>
      <c r="J77" s="61"/>
      <c r="K77" s="71"/>
      <c r="L77" s="62"/>
      <c r="M77" s="75"/>
      <c r="N77" s="73"/>
      <c r="O77" s="15"/>
    </row>
    <row r="78" spans="1:15" x14ac:dyDescent="0.25">
      <c r="A78" s="16"/>
      <c r="B78" s="49"/>
      <c r="C78" s="17" t="s">
        <v>17</v>
      </c>
      <c r="D78" s="13"/>
      <c r="E78" s="70"/>
      <c r="F78" s="14"/>
      <c r="G78" s="11"/>
      <c r="H78" s="67"/>
      <c r="I78" s="12"/>
      <c r="J78" s="61"/>
      <c r="K78" s="71"/>
      <c r="L78" s="62"/>
      <c r="M78" s="75"/>
      <c r="N78" s="73"/>
      <c r="O78" s="15"/>
    </row>
    <row r="79" spans="1:15" x14ac:dyDescent="0.25">
      <c r="A79" s="16"/>
      <c r="B79" s="49"/>
      <c r="C79" s="17"/>
      <c r="D79" s="13"/>
      <c r="E79" s="70"/>
      <c r="F79" s="14"/>
      <c r="G79" s="11"/>
      <c r="H79" s="67"/>
      <c r="I79" s="12"/>
      <c r="J79" s="61"/>
      <c r="K79" s="71"/>
      <c r="L79" s="62"/>
      <c r="M79" s="75"/>
      <c r="N79" s="73"/>
      <c r="O79" s="15"/>
    </row>
    <row r="80" spans="1:15" x14ac:dyDescent="0.25">
      <c r="A80" s="16"/>
      <c r="B80" s="49"/>
      <c r="C80" s="17"/>
      <c r="D80" s="13"/>
      <c r="E80" s="70"/>
      <c r="F80" s="14"/>
      <c r="G80" s="11"/>
      <c r="H80" s="67"/>
      <c r="I80" s="12"/>
      <c r="J80" s="61"/>
      <c r="K80" s="71"/>
      <c r="L80" s="62"/>
      <c r="M80" s="75"/>
      <c r="N80" s="73"/>
      <c r="O80" s="15"/>
    </row>
    <row r="81" spans="1:15" x14ac:dyDescent="0.25">
      <c r="A81" s="16"/>
      <c r="B81" s="49"/>
      <c r="C81" s="17"/>
      <c r="D81" s="13"/>
      <c r="E81" s="70"/>
      <c r="F81" s="14"/>
      <c r="G81" s="11"/>
      <c r="H81" s="67"/>
      <c r="I81" s="12"/>
      <c r="J81" s="61"/>
      <c r="K81" s="71"/>
      <c r="L81" s="62"/>
      <c r="M81" s="75"/>
      <c r="N81" s="73"/>
      <c r="O81" s="15"/>
    </row>
    <row r="82" spans="1:15" x14ac:dyDescent="0.25">
      <c r="A82" s="16"/>
      <c r="B82" s="49"/>
      <c r="C82" s="17"/>
      <c r="D82" s="13"/>
      <c r="E82" s="70"/>
      <c r="F82" s="14"/>
      <c r="G82" s="11"/>
      <c r="H82" s="67"/>
      <c r="I82" s="12"/>
      <c r="J82" s="61"/>
      <c r="K82" s="71"/>
      <c r="L82" s="62"/>
      <c r="M82" s="75"/>
      <c r="N82" s="73"/>
      <c r="O82" s="15"/>
    </row>
    <row r="83" spans="1:15" x14ac:dyDescent="0.25">
      <c r="A83" s="16"/>
      <c r="B83" s="49"/>
      <c r="C83" s="17"/>
      <c r="D83" s="13"/>
      <c r="E83" s="70"/>
      <c r="F83" s="14"/>
      <c r="G83" s="11"/>
      <c r="H83" s="67"/>
      <c r="I83" s="12"/>
      <c r="J83" s="61"/>
      <c r="K83" s="71"/>
      <c r="L83" s="62"/>
      <c r="M83" s="75"/>
      <c r="N83" s="73"/>
      <c r="O83" s="15"/>
    </row>
    <row r="84" spans="1:15" x14ac:dyDescent="0.25">
      <c r="A84" s="16"/>
      <c r="B84" s="49"/>
      <c r="C84" s="17"/>
      <c r="D84" s="13"/>
      <c r="E84" s="70"/>
      <c r="F84" s="14"/>
      <c r="G84" s="11"/>
      <c r="H84" s="67"/>
      <c r="I84" s="12"/>
      <c r="J84" s="61"/>
      <c r="K84" s="71"/>
      <c r="L84" s="62"/>
      <c r="M84" s="75"/>
      <c r="N84" s="73"/>
      <c r="O84" s="15"/>
    </row>
    <row r="85" spans="1:15" x14ac:dyDescent="0.25">
      <c r="A85" s="16"/>
      <c r="B85" s="49"/>
      <c r="C85" s="17"/>
      <c r="D85" s="13"/>
      <c r="E85" s="70"/>
      <c r="F85" s="14"/>
      <c r="G85" s="11"/>
      <c r="H85" s="67"/>
      <c r="I85" s="12"/>
      <c r="J85" s="61"/>
      <c r="K85" s="71"/>
      <c r="L85" s="62"/>
      <c r="M85" s="75"/>
      <c r="N85" s="73"/>
      <c r="O85" s="15"/>
    </row>
    <row r="86" spans="1:15" x14ac:dyDescent="0.25">
      <c r="A86" s="16"/>
      <c r="B86" s="49"/>
      <c r="C86" s="17"/>
      <c r="D86" s="13"/>
      <c r="E86" s="70"/>
      <c r="F86" s="14"/>
      <c r="G86" s="11"/>
      <c r="H86" s="67"/>
      <c r="I86" s="12"/>
      <c r="J86" s="61"/>
      <c r="K86" s="71"/>
      <c r="L86" s="62"/>
      <c r="M86" s="75"/>
      <c r="N86" s="73"/>
      <c r="O86" s="15"/>
    </row>
    <row r="87" spans="1:15" x14ac:dyDescent="0.25">
      <c r="A87" s="16"/>
      <c r="B87" s="49"/>
      <c r="C87" s="17"/>
      <c r="D87" s="13"/>
      <c r="E87" s="70"/>
      <c r="F87" s="14"/>
      <c r="G87" s="11"/>
      <c r="H87" s="67"/>
      <c r="I87" s="12"/>
      <c r="J87" s="61"/>
      <c r="K87" s="71"/>
      <c r="L87" s="62"/>
      <c r="M87" s="75"/>
      <c r="N87" s="73"/>
      <c r="O87" s="15"/>
    </row>
    <row r="88" spans="1:15" x14ac:dyDescent="0.25">
      <c r="A88" s="16"/>
      <c r="B88" s="49"/>
      <c r="C88" s="17"/>
      <c r="D88" s="13"/>
      <c r="E88" s="70"/>
      <c r="F88" s="14"/>
      <c r="G88" s="11"/>
      <c r="H88" s="67"/>
      <c r="I88" s="12"/>
      <c r="J88" s="61"/>
      <c r="K88" s="71"/>
      <c r="L88" s="62"/>
      <c r="M88" s="75"/>
      <c r="N88" s="73"/>
      <c r="O88" s="15"/>
    </row>
    <row r="89" spans="1:15" x14ac:dyDescent="0.25">
      <c r="A89" s="16"/>
      <c r="B89" s="49"/>
      <c r="C89" s="17"/>
      <c r="D89" s="13"/>
      <c r="E89" s="70"/>
      <c r="F89" s="14"/>
      <c r="G89" s="11"/>
      <c r="H89" s="67"/>
      <c r="I89" s="12"/>
      <c r="J89" s="61"/>
      <c r="K89" s="71"/>
      <c r="L89" s="62"/>
      <c r="M89" s="75"/>
      <c r="N89" s="73"/>
      <c r="O89" s="15"/>
    </row>
    <row r="90" spans="1:15" x14ac:dyDescent="0.25">
      <c r="A90" s="16"/>
      <c r="B90" s="49"/>
      <c r="C90" s="17"/>
      <c r="D90" s="13"/>
      <c r="E90" s="70"/>
      <c r="F90" s="14"/>
      <c r="G90" s="11"/>
      <c r="H90" s="67"/>
      <c r="I90" s="12"/>
      <c r="J90" s="61"/>
      <c r="K90" s="71"/>
      <c r="L90" s="62"/>
      <c r="M90" s="75"/>
      <c r="N90" s="73"/>
      <c r="O90" s="15"/>
    </row>
    <row r="91" spans="1:15" x14ac:dyDescent="0.25">
      <c r="A91" s="16"/>
      <c r="B91" s="49"/>
      <c r="C91" s="17"/>
      <c r="D91" s="13"/>
      <c r="E91" s="70"/>
      <c r="F91" s="14"/>
      <c r="G91" s="11"/>
      <c r="H91" s="67"/>
      <c r="I91" s="12"/>
      <c r="J91" s="61"/>
      <c r="K91" s="71"/>
      <c r="L91" s="62"/>
      <c r="M91" s="75"/>
      <c r="N91" s="73"/>
      <c r="O91" s="15"/>
    </row>
    <row r="92" spans="1:15" x14ac:dyDescent="0.25">
      <c r="A92" s="26"/>
      <c r="B92" s="66"/>
      <c r="C92" s="58"/>
      <c r="D92" s="26"/>
      <c r="E92" s="74"/>
      <c r="F92" s="58"/>
      <c r="G92" s="26"/>
      <c r="H92" s="74"/>
      <c r="I92" s="58"/>
      <c r="J92" s="26"/>
      <c r="K92" s="74"/>
      <c r="L92" s="58"/>
      <c r="M92" s="58"/>
      <c r="N92" s="58"/>
      <c r="O92" s="58"/>
    </row>
    <row r="93" spans="1:15" x14ac:dyDescent="0.25">
      <c r="A93" s="26"/>
      <c r="B93" s="66"/>
      <c r="C93" s="58"/>
      <c r="D93" s="26"/>
      <c r="E93" s="74"/>
      <c r="F93" s="58"/>
      <c r="G93" s="26"/>
      <c r="H93" s="74"/>
      <c r="I93" s="58"/>
      <c r="J93" s="26"/>
      <c r="K93" s="74"/>
      <c r="L93" s="58"/>
      <c r="M93" s="58"/>
      <c r="N93" s="58"/>
      <c r="O93" s="58"/>
    </row>
    <row r="94" spans="1:15" x14ac:dyDescent="0.25">
      <c r="A94" s="26"/>
      <c r="B94" s="66"/>
      <c r="C94" s="58"/>
      <c r="D94" s="26"/>
      <c r="E94" s="74"/>
      <c r="F94" s="58"/>
      <c r="G94" s="26"/>
      <c r="H94" s="74"/>
      <c r="I94" s="58"/>
      <c r="J94" s="26"/>
      <c r="K94" s="74"/>
      <c r="L94" s="58"/>
      <c r="M94" s="58"/>
      <c r="N94" s="58"/>
      <c r="O94" s="58"/>
    </row>
    <row r="95" spans="1:15" x14ac:dyDescent="0.25">
      <c r="A95" s="26"/>
      <c r="B95" s="66"/>
      <c r="C95" s="58"/>
      <c r="D95" s="26"/>
      <c r="E95" s="74"/>
      <c r="F95" s="58"/>
      <c r="G95" s="26"/>
      <c r="H95" s="74"/>
      <c r="I95" s="58"/>
      <c r="J95" s="26"/>
      <c r="K95" s="74"/>
      <c r="L95" s="58"/>
      <c r="M95" s="58"/>
      <c r="N95" s="58"/>
      <c r="O95" s="58"/>
    </row>
    <row r="96" spans="1:15" x14ac:dyDescent="0.25">
      <c r="A96" s="26"/>
      <c r="B96" s="66"/>
      <c r="C96" s="58"/>
      <c r="D96" s="26"/>
      <c r="E96" s="74"/>
      <c r="F96" s="58"/>
      <c r="G96" s="26"/>
      <c r="H96" s="74"/>
      <c r="I96" s="58"/>
      <c r="J96" s="26"/>
      <c r="K96" s="74"/>
      <c r="L96" s="58"/>
      <c r="M96" s="58"/>
      <c r="N96" s="58"/>
      <c r="O96" s="58"/>
    </row>
    <row r="97" spans="1:15" x14ac:dyDescent="0.25">
      <c r="A97" s="26"/>
      <c r="B97" s="66"/>
      <c r="C97" s="58"/>
      <c r="D97" s="26"/>
      <c r="E97" s="74"/>
      <c r="F97" s="58"/>
      <c r="G97" s="26"/>
      <c r="H97" s="74"/>
      <c r="I97" s="58"/>
      <c r="J97" s="26"/>
      <c r="K97" s="74"/>
      <c r="L97" s="58"/>
      <c r="M97" s="58"/>
      <c r="N97" s="58"/>
      <c r="O97" s="58"/>
    </row>
    <row r="98" spans="1:15" x14ac:dyDescent="0.25">
      <c r="A98" s="26"/>
      <c r="B98" s="66"/>
      <c r="C98" s="58"/>
      <c r="D98" s="26"/>
      <c r="E98" s="74"/>
      <c r="F98" s="58"/>
      <c r="G98" s="26"/>
      <c r="H98" s="74"/>
      <c r="I98" s="58"/>
      <c r="J98" s="26"/>
      <c r="K98" s="74"/>
      <c r="L98" s="58"/>
      <c r="M98" s="58"/>
      <c r="N98" s="58"/>
      <c r="O98" s="58"/>
    </row>
    <row r="99" spans="1:15" x14ac:dyDescent="0.25">
      <c r="A99" s="26"/>
      <c r="B99" s="66"/>
      <c r="C99" s="58"/>
      <c r="D99" s="26"/>
      <c r="E99" s="74"/>
      <c r="F99" s="58"/>
      <c r="G99" s="26"/>
      <c r="H99" s="74"/>
      <c r="I99" s="58"/>
      <c r="J99" s="26"/>
      <c r="K99" s="74"/>
      <c r="L99" s="58"/>
      <c r="M99" s="58"/>
      <c r="N99" s="58"/>
      <c r="O99" s="58"/>
    </row>
    <row r="100" spans="1:15" x14ac:dyDescent="0.25">
      <c r="A100" s="26"/>
      <c r="B100" s="66"/>
      <c r="C100" s="58"/>
      <c r="D100" s="26"/>
      <c r="E100" s="74"/>
      <c r="F100" s="58"/>
      <c r="G100" s="26"/>
      <c r="H100" s="74"/>
      <c r="I100" s="58"/>
      <c r="J100" s="26"/>
      <c r="K100" s="74"/>
      <c r="L100" s="58"/>
      <c r="M100" s="58"/>
      <c r="N100" s="58"/>
      <c r="O100" s="58"/>
    </row>
    <row r="101" spans="1:15" x14ac:dyDescent="0.25">
      <c r="A101" s="26"/>
      <c r="B101" s="66"/>
      <c r="C101" s="58"/>
      <c r="D101" s="26"/>
      <c r="E101" s="74"/>
      <c r="F101" s="58"/>
      <c r="G101" s="26"/>
      <c r="H101" s="74"/>
      <c r="I101" s="58"/>
      <c r="J101" s="26"/>
      <c r="K101" s="74"/>
      <c r="L101" s="58"/>
      <c r="M101" s="58"/>
      <c r="N101" s="58"/>
      <c r="O101" s="58"/>
    </row>
    <row r="102" spans="1:15" x14ac:dyDescent="0.25">
      <c r="A102" s="26"/>
      <c r="B102" s="66"/>
      <c r="C102" s="58"/>
      <c r="D102" s="26"/>
      <c r="E102" s="74"/>
      <c r="F102" s="58"/>
      <c r="G102" s="26"/>
      <c r="H102" s="74"/>
      <c r="I102" s="58"/>
      <c r="J102" s="26"/>
      <c r="K102" s="74"/>
      <c r="L102" s="58"/>
      <c r="M102" s="58"/>
      <c r="N102" s="58"/>
      <c r="O102" s="58"/>
    </row>
    <row r="103" spans="1:15" x14ac:dyDescent="0.25">
      <c r="A103" s="26"/>
      <c r="B103" s="66"/>
      <c r="C103" s="58"/>
      <c r="D103" s="26"/>
      <c r="E103" s="74"/>
      <c r="F103" s="58"/>
      <c r="G103" s="26"/>
      <c r="H103" s="74"/>
      <c r="I103" s="58"/>
      <c r="J103" s="26"/>
      <c r="K103" s="74"/>
      <c r="L103" s="58"/>
      <c r="M103" s="58"/>
      <c r="N103" s="58"/>
      <c r="O103" s="58"/>
    </row>
    <row r="104" spans="1:15" x14ac:dyDescent="0.25">
      <c r="A104" s="26"/>
      <c r="B104" s="66"/>
      <c r="C104" s="58"/>
      <c r="D104" s="26"/>
      <c r="E104" s="74"/>
      <c r="F104" s="58"/>
      <c r="G104" s="26"/>
      <c r="H104" s="74"/>
      <c r="I104" s="58"/>
      <c r="J104" s="26"/>
      <c r="K104" s="74"/>
      <c r="L104" s="58"/>
      <c r="M104" s="58"/>
      <c r="N104" s="58"/>
      <c r="O104" s="58"/>
    </row>
    <row r="105" spans="1:15" x14ac:dyDescent="0.25">
      <c r="A105" s="26"/>
      <c r="B105" s="66"/>
      <c r="C105" s="58"/>
      <c r="D105" s="26"/>
      <c r="E105" s="74"/>
      <c r="F105" s="58"/>
      <c r="G105" s="26"/>
      <c r="H105" s="74"/>
      <c r="I105" s="58"/>
      <c r="J105" s="26"/>
      <c r="K105" s="74"/>
      <c r="L105" s="58"/>
      <c r="M105" s="58"/>
      <c r="N105" s="58"/>
      <c r="O105" s="58"/>
    </row>
    <row r="106" spans="1:15" x14ac:dyDescent="0.25">
      <c r="A106" s="26"/>
      <c r="B106" s="66"/>
      <c r="C106" s="58"/>
      <c r="D106" s="26"/>
      <c r="E106" s="74"/>
      <c r="F106" s="58"/>
      <c r="G106" s="26"/>
      <c r="H106" s="74"/>
      <c r="I106" s="58"/>
      <c r="J106" s="26"/>
      <c r="K106" s="74"/>
      <c r="L106" s="58"/>
      <c r="M106" s="58"/>
      <c r="N106" s="58"/>
      <c r="O106" s="58"/>
    </row>
    <row r="107" spans="1:15" x14ac:dyDescent="0.25">
      <c r="A107" s="26"/>
      <c r="B107" s="66"/>
      <c r="C107" s="58"/>
      <c r="D107" s="26"/>
      <c r="E107" s="74"/>
      <c r="F107" s="58"/>
      <c r="G107" s="26"/>
      <c r="H107" s="74"/>
      <c r="I107" s="58"/>
      <c r="J107" s="26"/>
      <c r="K107" s="74"/>
      <c r="L107" s="58"/>
      <c r="M107" s="58"/>
      <c r="N107" s="58"/>
      <c r="O107" s="58"/>
    </row>
    <row r="108" spans="1:15" x14ac:dyDescent="0.25">
      <c r="A108" s="26"/>
      <c r="B108" s="66"/>
      <c r="C108" s="58"/>
      <c r="D108" s="26"/>
      <c r="E108" s="74"/>
      <c r="F108" s="58"/>
      <c r="G108" s="26"/>
      <c r="H108" s="74"/>
      <c r="I108" s="58"/>
      <c r="J108" s="26"/>
      <c r="K108" s="74"/>
      <c r="L108" s="58"/>
      <c r="M108" s="58"/>
      <c r="N108" s="58"/>
      <c r="O108" s="58"/>
    </row>
    <row r="109" spans="1:15" x14ac:dyDescent="0.25">
      <c r="A109" s="26"/>
      <c r="B109" s="66"/>
      <c r="C109" s="58"/>
      <c r="D109" s="26"/>
      <c r="E109" s="74"/>
      <c r="F109" s="58"/>
      <c r="G109" s="26"/>
      <c r="H109" s="74"/>
      <c r="I109" s="58"/>
      <c r="J109" s="26"/>
      <c r="K109" s="74"/>
      <c r="L109" s="58"/>
      <c r="M109" s="58"/>
      <c r="N109" s="58"/>
      <c r="O109" s="58"/>
    </row>
    <row r="110" spans="1:15" x14ac:dyDescent="0.25">
      <c r="A110" s="26"/>
      <c r="B110" s="66"/>
      <c r="C110" s="58"/>
      <c r="D110" s="26"/>
      <c r="E110" s="74"/>
      <c r="F110" s="58"/>
      <c r="G110" s="26"/>
      <c r="H110" s="74"/>
      <c r="I110" s="58"/>
      <c r="J110" s="26"/>
      <c r="K110" s="74"/>
      <c r="L110" s="58"/>
      <c r="M110" s="58"/>
      <c r="N110" s="58"/>
      <c r="O110" s="58"/>
    </row>
    <row r="111" spans="1:15" x14ac:dyDescent="0.25">
      <c r="A111" s="26"/>
      <c r="B111" s="66"/>
      <c r="C111" s="58"/>
      <c r="D111" s="26"/>
      <c r="E111" s="74"/>
      <c r="F111" s="58"/>
      <c r="G111" s="26"/>
      <c r="H111" s="74"/>
      <c r="I111" s="58"/>
      <c r="J111" s="26"/>
      <c r="K111" s="74"/>
      <c r="L111" s="58"/>
      <c r="M111" s="58"/>
      <c r="N111" s="58"/>
      <c r="O111" s="58"/>
    </row>
    <row r="112" spans="1:15" x14ac:dyDescent="0.25">
      <c r="A112" s="26"/>
      <c r="B112" s="66"/>
      <c r="C112" s="58"/>
      <c r="D112" s="26"/>
      <c r="E112" s="74"/>
      <c r="F112" s="58"/>
      <c r="G112" s="26"/>
      <c r="H112" s="74"/>
      <c r="I112" s="58"/>
      <c r="J112" s="26"/>
      <c r="K112" s="74"/>
      <c r="L112" s="58"/>
      <c r="M112" s="58"/>
      <c r="N112" s="58"/>
      <c r="O112" s="58"/>
    </row>
    <row r="113" spans="1:15" x14ac:dyDescent="0.25">
      <c r="A113" s="26"/>
      <c r="B113" s="66"/>
      <c r="C113" s="58"/>
      <c r="D113" s="26"/>
      <c r="E113" s="74"/>
      <c r="F113" s="58"/>
      <c r="G113" s="26"/>
      <c r="H113" s="74"/>
      <c r="I113" s="58"/>
      <c r="J113" s="26"/>
      <c r="K113" s="74"/>
      <c r="L113" s="58"/>
      <c r="M113" s="58"/>
      <c r="N113" s="58"/>
      <c r="O113" s="58"/>
    </row>
    <row r="114" spans="1:15" x14ac:dyDescent="0.25">
      <c r="A114" s="26"/>
      <c r="B114" s="66"/>
      <c r="C114" s="58"/>
      <c r="D114" s="26"/>
      <c r="E114" s="74"/>
      <c r="F114" s="58"/>
      <c r="G114" s="26"/>
      <c r="H114" s="74"/>
      <c r="I114" s="58"/>
      <c r="J114" s="26"/>
      <c r="K114" s="74"/>
      <c r="L114" s="58"/>
      <c r="M114" s="58"/>
      <c r="N114" s="58"/>
      <c r="O114" s="58"/>
    </row>
    <row r="115" spans="1:15" x14ac:dyDescent="0.25">
      <c r="A115" s="26"/>
      <c r="B115" s="66"/>
      <c r="C115" s="58"/>
      <c r="D115" s="26"/>
      <c r="E115" s="74"/>
      <c r="F115" s="58"/>
      <c r="G115" s="26"/>
      <c r="H115" s="74"/>
      <c r="I115" s="58"/>
      <c r="J115" s="26"/>
      <c r="K115" s="74"/>
      <c r="L115" s="58"/>
      <c r="M115" s="58"/>
      <c r="N115" s="58"/>
      <c r="O115" s="58"/>
    </row>
    <row r="116" spans="1:15" x14ac:dyDescent="0.25">
      <c r="A116" s="26"/>
      <c r="B116" s="66"/>
      <c r="C116" s="58"/>
      <c r="D116" s="26"/>
      <c r="E116" s="74"/>
      <c r="F116" s="58"/>
      <c r="G116" s="26"/>
      <c r="H116" s="74"/>
      <c r="I116" s="58"/>
      <c r="J116" s="26"/>
      <c r="K116" s="74"/>
      <c r="L116" s="58"/>
      <c r="M116" s="58"/>
      <c r="N116" s="58"/>
      <c r="O116" s="58"/>
    </row>
    <row r="117" spans="1:15" x14ac:dyDescent="0.25">
      <c r="A117" s="26"/>
      <c r="B117" s="66"/>
      <c r="C117" s="58"/>
      <c r="D117" s="26"/>
      <c r="E117" s="74"/>
      <c r="F117" s="58"/>
      <c r="G117" s="26"/>
      <c r="H117" s="74"/>
      <c r="I117" s="58"/>
      <c r="J117" s="26"/>
      <c r="K117" s="74"/>
      <c r="L117" s="58"/>
      <c r="M117" s="58"/>
      <c r="N117" s="58"/>
      <c r="O117" s="58"/>
    </row>
    <row r="118" spans="1:15" x14ac:dyDescent="0.25">
      <c r="A118" s="26"/>
      <c r="B118" s="66"/>
      <c r="C118" s="58"/>
      <c r="D118" s="26"/>
      <c r="E118" s="74"/>
      <c r="F118" s="58"/>
      <c r="G118" s="26"/>
      <c r="H118" s="74"/>
      <c r="I118" s="58"/>
      <c r="J118" s="26"/>
      <c r="K118" s="74"/>
      <c r="L118" s="58"/>
      <c r="M118" s="58"/>
      <c r="N118" s="58"/>
      <c r="O118" s="58"/>
    </row>
    <row r="119" spans="1:15" x14ac:dyDescent="0.25">
      <c r="A119" s="26"/>
      <c r="B119" s="66"/>
      <c r="C119" s="58"/>
      <c r="D119" s="26"/>
      <c r="E119" s="74"/>
      <c r="F119" s="58"/>
      <c r="G119" s="26"/>
      <c r="H119" s="74"/>
      <c r="I119" s="58"/>
      <c r="J119" s="26"/>
      <c r="K119" s="74"/>
      <c r="L119" s="58"/>
      <c r="M119" s="58"/>
      <c r="N119" s="58"/>
      <c r="O119" s="58"/>
    </row>
    <row r="120" spans="1:15" x14ac:dyDescent="0.25">
      <c r="A120" s="26"/>
      <c r="B120" s="66"/>
      <c r="C120" s="58"/>
      <c r="D120" s="26"/>
      <c r="E120" s="74"/>
      <c r="F120" s="58"/>
      <c r="G120" s="26"/>
      <c r="H120" s="74"/>
      <c r="I120" s="58"/>
      <c r="J120" s="26"/>
      <c r="K120" s="74"/>
      <c r="L120" s="58"/>
      <c r="M120" s="58"/>
      <c r="N120" s="58"/>
      <c r="O120" s="58"/>
    </row>
    <row r="121" spans="1:15" x14ac:dyDescent="0.25">
      <c r="A121" s="26"/>
      <c r="B121" s="66"/>
      <c r="C121" s="58"/>
      <c r="D121" s="26"/>
      <c r="E121" s="74"/>
      <c r="F121" s="58"/>
      <c r="G121" s="26"/>
      <c r="H121" s="74"/>
      <c r="I121" s="58"/>
      <c r="J121" s="26"/>
      <c r="K121" s="74"/>
      <c r="L121" s="58"/>
      <c r="M121" s="58"/>
      <c r="N121" s="58"/>
      <c r="O121" s="58"/>
    </row>
    <row r="122" spans="1:15" x14ac:dyDescent="0.25">
      <c r="A122" s="26"/>
      <c r="B122" s="66"/>
      <c r="C122" s="58"/>
      <c r="D122" s="26"/>
      <c r="E122" s="74"/>
      <c r="F122" s="58"/>
      <c r="G122" s="26"/>
      <c r="H122" s="74"/>
      <c r="I122" s="58"/>
      <c r="J122" s="26"/>
      <c r="K122" s="74"/>
      <c r="L122" s="58"/>
      <c r="M122" s="58"/>
      <c r="N122" s="58"/>
      <c r="O122" s="58"/>
    </row>
    <row r="123" spans="1:15" x14ac:dyDescent="0.25">
      <c r="A123" s="26"/>
      <c r="B123" s="66"/>
      <c r="C123" s="58"/>
      <c r="D123" s="26"/>
      <c r="E123" s="74"/>
      <c r="F123" s="58"/>
      <c r="G123" s="26"/>
      <c r="H123" s="74"/>
      <c r="I123" s="58"/>
      <c r="J123" s="26"/>
      <c r="K123" s="74"/>
      <c r="L123" s="58"/>
      <c r="M123" s="58"/>
      <c r="N123" s="58"/>
      <c r="O123" s="58"/>
    </row>
    <row r="124" spans="1:15" x14ac:dyDescent="0.25">
      <c r="A124" s="26"/>
      <c r="B124" s="66"/>
      <c r="C124" s="58"/>
      <c r="D124" s="26"/>
      <c r="E124" s="74"/>
      <c r="F124" s="58"/>
      <c r="G124" s="26"/>
      <c r="H124" s="74"/>
      <c r="I124" s="58"/>
      <c r="J124" s="26"/>
      <c r="K124" s="74"/>
      <c r="L124" s="58"/>
      <c r="M124" s="58"/>
      <c r="N124" s="58"/>
      <c r="O124" s="58"/>
    </row>
    <row r="125" spans="1:15" x14ac:dyDescent="0.25">
      <c r="A125" s="26"/>
      <c r="B125" s="66"/>
      <c r="C125" s="58"/>
      <c r="D125" s="26"/>
      <c r="E125" s="74"/>
      <c r="F125" s="58"/>
      <c r="G125" s="26"/>
      <c r="H125" s="74"/>
      <c r="I125" s="58"/>
      <c r="J125" s="26"/>
      <c r="K125" s="74"/>
      <c r="L125" s="58"/>
      <c r="M125" s="58"/>
      <c r="N125" s="58"/>
      <c r="O125" s="58"/>
    </row>
    <row r="126" spans="1:15" x14ac:dyDescent="0.25">
      <c r="A126" s="26"/>
      <c r="B126" s="66"/>
      <c r="C126" s="58"/>
      <c r="D126" s="26"/>
      <c r="E126" s="74"/>
      <c r="F126" s="58"/>
      <c r="G126" s="26"/>
      <c r="H126" s="74"/>
      <c r="I126" s="58"/>
      <c r="J126" s="26"/>
      <c r="K126" s="74"/>
      <c r="L126" s="58"/>
      <c r="M126" s="58"/>
      <c r="N126" s="58"/>
      <c r="O126" s="58"/>
    </row>
    <row r="127" spans="1:15" x14ac:dyDescent="0.25">
      <c r="A127" s="26"/>
      <c r="B127" s="66"/>
      <c r="C127" s="58"/>
      <c r="D127" s="26"/>
      <c r="E127" s="74"/>
      <c r="F127" s="58"/>
      <c r="G127" s="26"/>
      <c r="H127" s="74"/>
      <c r="I127" s="58"/>
      <c r="J127" s="26"/>
      <c r="K127" s="74"/>
      <c r="L127" s="58"/>
      <c r="M127" s="58"/>
      <c r="N127" s="58"/>
      <c r="O127" s="58"/>
    </row>
    <row r="128" spans="1:15" x14ac:dyDescent="0.25">
      <c r="A128" s="26"/>
      <c r="B128" s="66"/>
      <c r="C128" s="58"/>
      <c r="D128" s="26"/>
      <c r="E128" s="74"/>
      <c r="F128" s="58"/>
      <c r="G128" s="26"/>
      <c r="H128" s="74"/>
      <c r="I128" s="58"/>
      <c r="J128" s="26"/>
      <c r="K128" s="74"/>
      <c r="L128" s="58"/>
      <c r="M128" s="58"/>
      <c r="N128" s="58"/>
      <c r="O128" s="58"/>
    </row>
    <row r="129" spans="1:15" x14ac:dyDescent="0.25">
      <c r="A129" s="26"/>
      <c r="B129" s="66"/>
      <c r="C129" s="58"/>
      <c r="D129" s="26"/>
      <c r="E129" s="74"/>
      <c r="F129" s="58"/>
      <c r="G129" s="26"/>
      <c r="H129" s="74"/>
      <c r="I129" s="58"/>
      <c r="J129" s="26"/>
      <c r="K129" s="74"/>
      <c r="L129" s="58"/>
      <c r="M129" s="58"/>
      <c r="N129" s="58"/>
      <c r="O129" s="58"/>
    </row>
    <row r="130" spans="1:15" x14ac:dyDescent="0.25">
      <c r="A130" s="26"/>
      <c r="B130" s="66"/>
      <c r="C130" s="58"/>
      <c r="D130" s="26"/>
      <c r="E130" s="74"/>
      <c r="F130" s="58"/>
      <c r="G130" s="26"/>
      <c r="H130" s="74"/>
      <c r="I130" s="58"/>
      <c r="J130" s="26"/>
      <c r="K130" s="74"/>
      <c r="L130" s="58"/>
      <c r="M130" s="58"/>
      <c r="N130" s="58"/>
      <c r="O130" s="58"/>
    </row>
    <row r="131" spans="1:15" x14ac:dyDescent="0.25">
      <c r="A131" s="26"/>
      <c r="B131" s="66"/>
      <c r="C131" s="58"/>
      <c r="D131" s="26"/>
      <c r="E131" s="74"/>
      <c r="F131" s="58"/>
      <c r="G131" s="26"/>
      <c r="H131" s="74"/>
      <c r="I131" s="58"/>
      <c r="J131" s="26"/>
      <c r="K131" s="74"/>
      <c r="L131" s="58"/>
      <c r="M131" s="58"/>
      <c r="N131" s="58"/>
      <c r="O131" s="58"/>
    </row>
    <row r="132" spans="1:15" x14ac:dyDescent="0.25">
      <c r="A132" s="26"/>
      <c r="B132" s="66"/>
      <c r="C132" s="58"/>
      <c r="D132" s="26"/>
      <c r="E132" s="74"/>
      <c r="F132" s="58"/>
      <c r="G132" s="26"/>
      <c r="H132" s="74"/>
      <c r="I132" s="58"/>
      <c r="J132" s="26"/>
      <c r="K132" s="74"/>
      <c r="L132" s="58"/>
      <c r="M132" s="58"/>
      <c r="N132" s="58"/>
      <c r="O132" s="58"/>
    </row>
    <row r="133" spans="1:15" x14ac:dyDescent="0.25">
      <c r="A133" s="26"/>
      <c r="B133" s="66"/>
      <c r="C133" s="58"/>
      <c r="D133" s="26"/>
      <c r="E133" s="74"/>
      <c r="F133" s="58"/>
      <c r="G133" s="26"/>
      <c r="H133" s="74"/>
      <c r="I133" s="58"/>
      <c r="J133" s="26"/>
      <c r="K133" s="74"/>
      <c r="L133" s="58"/>
      <c r="M133" s="58"/>
      <c r="N133" s="58"/>
      <c r="O133" s="58"/>
    </row>
    <row r="134" spans="1:15" x14ac:dyDescent="0.25">
      <c r="A134" s="26"/>
      <c r="B134" s="66"/>
      <c r="C134" s="58"/>
      <c r="D134" s="26"/>
      <c r="E134" s="74"/>
      <c r="F134" s="58"/>
      <c r="G134" s="26"/>
      <c r="H134" s="74"/>
      <c r="I134" s="58"/>
      <c r="J134" s="26"/>
      <c r="K134" s="74"/>
      <c r="L134" s="58"/>
      <c r="M134" s="58"/>
      <c r="N134" s="58"/>
      <c r="O134" s="58"/>
    </row>
    <row r="135" spans="1:15" x14ac:dyDescent="0.25">
      <c r="A135" s="26"/>
      <c r="B135" s="66"/>
      <c r="C135" s="58"/>
      <c r="D135" s="26"/>
      <c r="E135" s="74"/>
      <c r="F135" s="58"/>
      <c r="G135" s="26"/>
      <c r="H135" s="74"/>
      <c r="I135" s="58"/>
      <c r="J135" s="26"/>
      <c r="K135" s="74"/>
      <c r="L135" s="58"/>
      <c r="M135" s="58"/>
      <c r="N135" s="58"/>
      <c r="O135" s="58"/>
    </row>
    <row r="136" spans="1:15" x14ac:dyDescent="0.25">
      <c r="A136" s="26"/>
      <c r="B136" s="66"/>
      <c r="C136" s="58"/>
      <c r="D136" s="26"/>
      <c r="E136" s="74"/>
      <c r="F136" s="58"/>
      <c r="G136" s="26"/>
      <c r="H136" s="74"/>
      <c r="I136" s="58"/>
      <c r="J136" s="26"/>
      <c r="K136" s="74"/>
      <c r="L136" s="58"/>
      <c r="M136" s="58"/>
      <c r="N136" s="58"/>
      <c r="O136" s="58"/>
    </row>
    <row r="137" spans="1:15" x14ac:dyDescent="0.25">
      <c r="A137" s="26"/>
      <c r="B137" s="66"/>
      <c r="C137" s="58"/>
      <c r="D137" s="26"/>
      <c r="E137" s="74"/>
      <c r="F137" s="58"/>
      <c r="G137" s="26"/>
      <c r="H137" s="74"/>
      <c r="I137" s="58"/>
      <c r="J137" s="26"/>
      <c r="K137" s="74"/>
      <c r="L137" s="58"/>
      <c r="M137" s="58"/>
      <c r="N137" s="58"/>
      <c r="O137" s="58"/>
    </row>
    <row r="138" spans="1:15" x14ac:dyDescent="0.25">
      <c r="A138" s="26"/>
      <c r="B138" s="66"/>
      <c r="C138" s="58"/>
      <c r="D138" s="26"/>
      <c r="E138" s="58"/>
      <c r="F138" s="58"/>
      <c r="G138" s="26"/>
      <c r="H138" s="74"/>
      <c r="I138" s="58"/>
      <c r="J138" s="26"/>
      <c r="K138" s="74"/>
      <c r="L138" s="58"/>
      <c r="M138" s="58"/>
      <c r="N138" s="58"/>
      <c r="O138" s="58"/>
    </row>
    <row r="139" spans="1:15" x14ac:dyDescent="0.25">
      <c r="A139" s="26"/>
      <c r="B139" s="66"/>
      <c r="C139" s="58"/>
      <c r="D139" s="26"/>
      <c r="E139" s="58"/>
      <c r="F139" s="58"/>
      <c r="G139" s="26"/>
      <c r="H139" s="58"/>
      <c r="I139" s="58"/>
      <c r="J139" s="26"/>
      <c r="K139" s="74"/>
      <c r="L139" s="58"/>
      <c r="M139" s="58"/>
      <c r="N139" s="58"/>
      <c r="O139" s="58"/>
    </row>
    <row r="140" spans="1:15" x14ac:dyDescent="0.25">
      <c r="A140" s="26"/>
      <c r="B140" s="66"/>
      <c r="C140" s="58"/>
      <c r="D140" s="26"/>
      <c r="E140" s="58"/>
      <c r="F140" s="58"/>
      <c r="G140" s="26"/>
      <c r="H140" s="58"/>
      <c r="I140" s="58"/>
      <c r="J140" s="26"/>
      <c r="K140" s="74"/>
      <c r="L140" s="58"/>
      <c r="M140" s="58"/>
      <c r="N140" s="58"/>
      <c r="O140" s="58"/>
    </row>
    <row r="141" spans="1:15" x14ac:dyDescent="0.25">
      <c r="A141" s="26"/>
      <c r="B141" s="66"/>
      <c r="C141" s="58"/>
      <c r="D141" s="26"/>
      <c r="E141" s="58"/>
      <c r="F141" s="58"/>
      <c r="G141" s="26"/>
      <c r="H141" s="58"/>
      <c r="I141" s="58"/>
      <c r="J141" s="26"/>
      <c r="K141" s="74"/>
      <c r="L141" s="58"/>
      <c r="M141" s="58"/>
      <c r="N141" s="58"/>
      <c r="O141" s="58"/>
    </row>
    <row r="142" spans="1:15" x14ac:dyDescent="0.25">
      <c r="A142" s="26"/>
      <c r="B142" s="66"/>
      <c r="C142" s="58"/>
      <c r="D142" s="26"/>
      <c r="E142" s="58"/>
      <c r="F142" s="58"/>
      <c r="G142" s="26"/>
      <c r="H142" s="58"/>
      <c r="I142" s="58"/>
      <c r="J142" s="26"/>
      <c r="K142" s="74"/>
      <c r="L142" s="58"/>
      <c r="M142" s="58"/>
      <c r="N142" s="58"/>
      <c r="O142" s="58"/>
    </row>
    <row r="143" spans="1:15" x14ac:dyDescent="0.25">
      <c r="A143" s="26"/>
      <c r="B143" s="66"/>
      <c r="C143" s="58"/>
      <c r="D143" s="26"/>
      <c r="E143" s="58"/>
      <c r="F143" s="58"/>
      <c r="G143" s="26"/>
      <c r="H143" s="58"/>
      <c r="I143" s="58"/>
      <c r="J143" s="26"/>
      <c r="K143" s="74"/>
      <c r="L143" s="58"/>
      <c r="M143" s="58"/>
      <c r="N143" s="58"/>
      <c r="O143" s="58"/>
    </row>
    <row r="144" spans="1:15" x14ac:dyDescent="0.25">
      <c r="A144" s="26"/>
      <c r="B144" s="66"/>
      <c r="C144" s="58"/>
      <c r="D144" s="26"/>
      <c r="E144" s="58"/>
      <c r="F144" s="58"/>
      <c r="G144" s="26"/>
      <c r="H144" s="58"/>
      <c r="I144" s="58"/>
      <c r="J144" s="26"/>
      <c r="K144" s="74"/>
      <c r="L144" s="58"/>
      <c r="M144" s="58"/>
      <c r="N144" s="58"/>
      <c r="O144" s="58"/>
    </row>
    <row r="145" spans="1:15" x14ac:dyDescent="0.25">
      <c r="A145" s="26"/>
      <c r="B145" s="66"/>
      <c r="C145" s="58"/>
      <c r="D145" s="26"/>
      <c r="E145" s="58"/>
      <c r="F145" s="58"/>
      <c r="G145" s="26"/>
      <c r="H145" s="58"/>
      <c r="I145" s="58"/>
      <c r="J145" s="26"/>
      <c r="K145" s="74"/>
      <c r="L145" s="58"/>
      <c r="M145" s="58"/>
      <c r="N145" s="58"/>
      <c r="O145" s="58"/>
    </row>
    <row r="146" spans="1:15" x14ac:dyDescent="0.25">
      <c r="A146" s="26"/>
      <c r="B146" s="66"/>
      <c r="C146" s="58"/>
      <c r="D146" s="26"/>
      <c r="E146" s="58"/>
      <c r="F146" s="58"/>
      <c r="G146" s="26"/>
      <c r="H146" s="58"/>
      <c r="I146" s="58"/>
      <c r="J146" s="26"/>
      <c r="K146" s="74"/>
      <c r="L146" s="58"/>
      <c r="M146" s="58"/>
      <c r="N146" s="58"/>
      <c r="O146" s="58"/>
    </row>
    <row r="147" spans="1:15" x14ac:dyDescent="0.25">
      <c r="A147" s="26"/>
      <c r="B147" s="66"/>
      <c r="C147" s="58"/>
      <c r="D147" s="26"/>
      <c r="E147" s="58"/>
      <c r="F147" s="58"/>
      <c r="G147" s="26"/>
      <c r="H147" s="58"/>
      <c r="I147" s="58"/>
      <c r="J147" s="26"/>
      <c r="K147" s="74"/>
      <c r="L147" s="58"/>
      <c r="M147" s="58"/>
      <c r="N147" s="58"/>
      <c r="O147" s="58"/>
    </row>
    <row r="148" spans="1:15" x14ac:dyDescent="0.25">
      <c r="A148" s="26"/>
      <c r="B148" s="66"/>
      <c r="C148" s="58"/>
      <c r="D148" s="26"/>
      <c r="E148" s="58"/>
      <c r="F148" s="58"/>
      <c r="G148" s="26"/>
      <c r="H148" s="58"/>
      <c r="I148" s="58"/>
      <c r="J148" s="26"/>
      <c r="K148" s="74"/>
      <c r="L148" s="58"/>
      <c r="M148" s="58"/>
      <c r="N148" s="58"/>
      <c r="O148" s="58"/>
    </row>
    <row r="149" spans="1:15" x14ac:dyDescent="0.25">
      <c r="A149" s="26"/>
      <c r="B149" s="66"/>
      <c r="C149" s="58"/>
      <c r="D149" s="26"/>
      <c r="E149" s="58"/>
      <c r="F149" s="58"/>
      <c r="G149" s="26"/>
      <c r="H149" s="58"/>
      <c r="I149" s="58"/>
      <c r="J149" s="26"/>
      <c r="K149" s="74"/>
      <c r="L149" s="58"/>
      <c r="M149" s="58"/>
      <c r="N149" s="58"/>
      <c r="O149" s="58"/>
    </row>
    <row r="150" spans="1:15" x14ac:dyDescent="0.25">
      <c r="A150" s="26"/>
      <c r="B150" s="66"/>
      <c r="C150" s="58"/>
      <c r="D150" s="26"/>
      <c r="E150" s="58"/>
      <c r="F150" s="58"/>
      <c r="G150" s="26"/>
      <c r="H150" s="58"/>
      <c r="I150" s="58"/>
      <c r="J150" s="26"/>
      <c r="K150" s="74"/>
      <c r="L150" s="58"/>
      <c r="M150" s="58"/>
      <c r="N150" s="58"/>
      <c r="O150" s="58"/>
    </row>
    <row r="151" spans="1:15" x14ac:dyDescent="0.25">
      <c r="A151" s="26"/>
      <c r="B151" s="66"/>
      <c r="C151" s="58"/>
      <c r="D151" s="26"/>
      <c r="E151" s="58"/>
      <c r="F151" s="58"/>
      <c r="G151" s="26"/>
      <c r="H151" s="58"/>
      <c r="I151" s="58"/>
      <c r="J151" s="26"/>
      <c r="K151" s="74"/>
      <c r="L151" s="58"/>
      <c r="M151" s="58"/>
      <c r="N151" s="58"/>
      <c r="O151" s="58"/>
    </row>
    <row r="152" spans="1:15" x14ac:dyDescent="0.25">
      <c r="A152" s="26"/>
      <c r="B152" s="66"/>
      <c r="C152" s="58"/>
      <c r="D152" s="26"/>
      <c r="E152" s="58"/>
      <c r="F152" s="58"/>
      <c r="G152" s="26"/>
      <c r="H152" s="58"/>
      <c r="I152" s="58"/>
      <c r="J152" s="26"/>
      <c r="K152" s="74"/>
      <c r="L152" s="58"/>
      <c r="M152" s="58"/>
      <c r="N152" s="58"/>
      <c r="O152" s="58"/>
    </row>
    <row r="153" spans="1:15" x14ac:dyDescent="0.25">
      <c r="A153" s="26"/>
      <c r="B153" s="66"/>
      <c r="C153" s="58"/>
      <c r="D153" s="26"/>
      <c r="E153" s="58"/>
      <c r="F153" s="58"/>
      <c r="G153" s="26"/>
      <c r="H153" s="58"/>
      <c r="I153" s="58"/>
      <c r="J153" s="26"/>
      <c r="K153" s="74"/>
      <c r="L153" s="58"/>
      <c r="M153" s="58"/>
      <c r="N153" s="58"/>
      <c r="O153" s="58"/>
    </row>
    <row r="154" spans="1:15" x14ac:dyDescent="0.25">
      <c r="A154" s="26"/>
      <c r="B154" s="66"/>
      <c r="C154" s="58"/>
      <c r="D154" s="26"/>
      <c r="E154" s="58"/>
      <c r="F154" s="58"/>
      <c r="G154" s="26"/>
      <c r="H154" s="58"/>
      <c r="I154" s="58"/>
      <c r="J154" s="26"/>
      <c r="K154" s="74"/>
      <c r="L154" s="58"/>
      <c r="M154" s="58"/>
      <c r="N154" s="58"/>
      <c r="O154" s="58"/>
    </row>
    <row r="155" spans="1:15" x14ac:dyDescent="0.25">
      <c r="A155" s="26"/>
      <c r="B155" s="66"/>
      <c r="C155" s="58"/>
      <c r="D155" s="26"/>
      <c r="E155" s="58"/>
      <c r="F155" s="58"/>
      <c r="G155" s="26"/>
      <c r="H155" s="58"/>
      <c r="I155" s="58"/>
      <c r="J155" s="26"/>
      <c r="K155" s="74"/>
      <c r="L155" s="58"/>
      <c r="M155" s="58"/>
      <c r="N155" s="58"/>
      <c r="O155" s="58"/>
    </row>
    <row r="156" spans="1:15" x14ac:dyDescent="0.25">
      <c r="A156" s="26"/>
      <c r="B156" s="66"/>
      <c r="C156" s="58"/>
      <c r="D156" s="26"/>
      <c r="E156" s="58"/>
      <c r="F156" s="58"/>
      <c r="G156" s="26"/>
      <c r="H156" s="58"/>
      <c r="I156" s="58"/>
      <c r="J156" s="26"/>
      <c r="K156" s="74"/>
      <c r="L156" s="58"/>
      <c r="M156" s="58"/>
      <c r="N156" s="58"/>
      <c r="O156" s="58"/>
    </row>
    <row r="157" spans="1:15" x14ac:dyDescent="0.25">
      <c r="A157" s="26"/>
      <c r="B157" s="66"/>
      <c r="C157" s="58"/>
      <c r="D157" s="26"/>
      <c r="E157" s="58"/>
      <c r="F157" s="58"/>
      <c r="G157" s="26"/>
      <c r="H157" s="58"/>
      <c r="I157" s="58"/>
      <c r="J157" s="26"/>
      <c r="K157" s="74"/>
      <c r="L157" s="58"/>
      <c r="M157" s="58"/>
      <c r="N157" s="58"/>
      <c r="O157" s="58"/>
    </row>
    <row r="158" spans="1:15" x14ac:dyDescent="0.25">
      <c r="A158" s="26"/>
      <c r="B158" s="66"/>
      <c r="C158" s="58"/>
      <c r="D158" s="26"/>
      <c r="E158" s="58"/>
      <c r="F158" s="58"/>
      <c r="G158" s="26"/>
      <c r="H158" s="58"/>
      <c r="I158" s="58"/>
      <c r="J158" s="26"/>
      <c r="K158" s="74"/>
      <c r="L158" s="58"/>
      <c r="M158" s="58"/>
      <c r="N158" s="58"/>
      <c r="O158" s="58"/>
    </row>
    <row r="159" spans="1:15" x14ac:dyDescent="0.25">
      <c r="A159" s="26"/>
      <c r="B159" s="66"/>
      <c r="C159" s="58"/>
      <c r="D159" s="26"/>
      <c r="E159" s="58"/>
      <c r="F159" s="58"/>
      <c r="G159" s="26"/>
      <c r="H159" s="58"/>
      <c r="I159" s="58"/>
      <c r="J159" s="26"/>
      <c r="K159" s="74"/>
      <c r="L159" s="58"/>
      <c r="M159" s="58"/>
      <c r="N159" s="58"/>
      <c r="O159" s="58"/>
    </row>
    <row r="160" spans="1:15" x14ac:dyDescent="0.25">
      <c r="A160" s="26"/>
      <c r="B160" s="66"/>
      <c r="C160" s="58"/>
      <c r="D160" s="26"/>
      <c r="E160" s="58"/>
      <c r="F160" s="58"/>
      <c r="G160" s="26"/>
      <c r="H160" s="58"/>
      <c r="I160" s="58"/>
      <c r="J160" s="26"/>
      <c r="K160" s="74"/>
      <c r="L160" s="58"/>
      <c r="M160" s="58"/>
      <c r="N160" s="58"/>
      <c r="O160" s="58"/>
    </row>
    <row r="161" spans="1:15" x14ac:dyDescent="0.25">
      <c r="A161" s="26"/>
      <c r="B161" s="66"/>
      <c r="C161" s="58"/>
      <c r="D161" s="26"/>
      <c r="E161" s="58"/>
      <c r="F161" s="58"/>
      <c r="G161" s="26"/>
      <c r="H161" s="58"/>
      <c r="I161" s="58"/>
      <c r="J161" s="26"/>
      <c r="K161" s="74"/>
      <c r="L161" s="58"/>
      <c r="M161" s="58"/>
      <c r="N161" s="58"/>
      <c r="O161" s="58"/>
    </row>
    <row r="162" spans="1:15" x14ac:dyDescent="0.25">
      <c r="A162" s="26"/>
      <c r="B162" s="66"/>
      <c r="C162" s="58"/>
      <c r="D162" s="26"/>
      <c r="E162" s="58"/>
      <c r="F162" s="58"/>
      <c r="G162" s="26"/>
      <c r="H162" s="58"/>
      <c r="I162" s="58"/>
      <c r="J162" s="26"/>
      <c r="K162" s="74"/>
      <c r="L162" s="58"/>
      <c r="M162" s="58"/>
      <c r="N162" s="58"/>
      <c r="O162" s="58"/>
    </row>
    <row r="163" spans="1:15" x14ac:dyDescent="0.25">
      <c r="A163" s="26"/>
      <c r="B163" s="66"/>
      <c r="C163" s="58"/>
      <c r="D163" s="26"/>
      <c r="E163" s="58"/>
      <c r="F163" s="58"/>
      <c r="G163" s="26"/>
      <c r="H163" s="58"/>
      <c r="I163" s="58"/>
      <c r="J163" s="26"/>
      <c r="K163" s="74"/>
      <c r="L163" s="58"/>
      <c r="M163" s="58"/>
      <c r="N163" s="58"/>
      <c r="O163" s="58"/>
    </row>
    <row r="164" spans="1:15" x14ac:dyDescent="0.25">
      <c r="A164" s="26"/>
      <c r="B164" s="66"/>
      <c r="C164" s="58"/>
      <c r="D164" s="26"/>
      <c r="E164" s="58"/>
      <c r="F164" s="58"/>
      <c r="G164" s="26"/>
      <c r="H164" s="58"/>
      <c r="I164" s="58"/>
      <c r="J164" s="26"/>
      <c r="K164" s="74"/>
      <c r="L164" s="58"/>
      <c r="M164" s="58"/>
      <c r="N164" s="58"/>
      <c r="O164" s="58"/>
    </row>
    <row r="165" spans="1:15" x14ac:dyDescent="0.25">
      <c r="A165" s="26"/>
      <c r="B165" s="66"/>
      <c r="C165" s="58"/>
      <c r="D165" s="26"/>
      <c r="E165" s="58"/>
      <c r="F165" s="58"/>
      <c r="G165" s="26"/>
      <c r="H165" s="58"/>
      <c r="I165" s="58"/>
      <c r="J165" s="26"/>
      <c r="K165" s="74"/>
      <c r="L165" s="58"/>
      <c r="M165" s="58"/>
      <c r="N165" s="58"/>
      <c r="O165" s="58"/>
    </row>
    <row r="166" spans="1:15" x14ac:dyDescent="0.25">
      <c r="A166" s="26"/>
      <c r="B166" s="66"/>
      <c r="C166" s="58"/>
      <c r="D166" s="26"/>
      <c r="E166" s="58"/>
      <c r="F166" s="58"/>
      <c r="G166" s="26"/>
      <c r="H166" s="58"/>
      <c r="I166" s="58"/>
      <c r="J166" s="26"/>
      <c r="K166" s="74"/>
      <c r="L166" s="58"/>
      <c r="M166" s="58"/>
      <c r="N166" s="58"/>
      <c r="O166" s="58"/>
    </row>
    <row r="167" spans="1:15" x14ac:dyDescent="0.25">
      <c r="A167" s="26"/>
      <c r="B167" s="66"/>
      <c r="C167" s="58"/>
      <c r="D167" s="26"/>
      <c r="E167" s="58"/>
      <c r="F167" s="58"/>
      <c r="G167" s="26"/>
      <c r="H167" s="58"/>
      <c r="I167" s="58"/>
      <c r="J167" s="26"/>
      <c r="K167" s="74"/>
      <c r="L167" s="58"/>
      <c r="M167" s="58"/>
      <c r="N167" s="58"/>
      <c r="O167" s="58"/>
    </row>
    <row r="168" spans="1:15" x14ac:dyDescent="0.25">
      <c r="A168" s="26"/>
      <c r="B168" s="66"/>
      <c r="C168" s="58"/>
      <c r="D168" s="26"/>
      <c r="E168" s="58"/>
      <c r="F168" s="58"/>
      <c r="G168" s="26"/>
      <c r="H168" s="58"/>
      <c r="I168" s="58"/>
      <c r="J168" s="26"/>
      <c r="K168" s="74"/>
      <c r="L168" s="58"/>
      <c r="M168" s="58"/>
      <c r="N168" s="58"/>
      <c r="O168" s="58"/>
    </row>
    <row r="169" spans="1:15" x14ac:dyDescent="0.25">
      <c r="A169" s="26"/>
      <c r="B169" s="66"/>
      <c r="C169" s="58"/>
      <c r="D169" s="26"/>
      <c r="E169" s="58"/>
      <c r="F169" s="58"/>
      <c r="G169" s="26"/>
      <c r="H169" s="58"/>
      <c r="I169" s="58"/>
      <c r="J169" s="26"/>
      <c r="K169" s="74"/>
      <c r="L169" s="58"/>
      <c r="M169" s="58"/>
      <c r="N169" s="58"/>
      <c r="O169" s="58"/>
    </row>
    <row r="170" spans="1:15" x14ac:dyDescent="0.25">
      <c r="A170" s="26"/>
      <c r="B170" s="66"/>
      <c r="C170" s="58"/>
      <c r="D170" s="26"/>
      <c r="E170" s="58"/>
      <c r="F170" s="58"/>
      <c r="G170" s="26"/>
      <c r="H170" s="58"/>
      <c r="I170" s="58"/>
      <c r="J170" s="26"/>
      <c r="K170" s="74"/>
      <c r="L170" s="58"/>
      <c r="M170" s="58"/>
      <c r="N170" s="58"/>
      <c r="O170" s="58"/>
    </row>
    <row r="171" spans="1:15" x14ac:dyDescent="0.25">
      <c r="A171" s="26"/>
      <c r="B171" s="66"/>
      <c r="C171" s="58"/>
      <c r="D171" s="26"/>
      <c r="E171" s="58"/>
      <c r="F171" s="58"/>
      <c r="G171" s="26"/>
      <c r="H171" s="58"/>
      <c r="I171" s="58"/>
      <c r="J171" s="26"/>
      <c r="K171" s="74"/>
      <c r="L171" s="58"/>
      <c r="M171" s="58"/>
      <c r="N171" s="58"/>
      <c r="O171" s="58"/>
    </row>
    <row r="172" spans="1:15" x14ac:dyDescent="0.25">
      <c r="A172" s="26"/>
      <c r="B172" s="66"/>
      <c r="C172" s="58"/>
      <c r="D172" s="26"/>
      <c r="E172" s="58"/>
      <c r="F172" s="58"/>
      <c r="G172" s="26"/>
      <c r="H172" s="58"/>
      <c r="I172" s="58"/>
      <c r="J172" s="26"/>
      <c r="K172" s="74"/>
      <c r="L172" s="58"/>
      <c r="M172" s="58"/>
      <c r="N172" s="58"/>
      <c r="O172" s="58"/>
    </row>
    <row r="173" spans="1:15" x14ac:dyDescent="0.25">
      <c r="A173" s="26"/>
      <c r="B173" s="66"/>
      <c r="C173" s="58"/>
      <c r="D173" s="26"/>
      <c r="E173" s="58"/>
      <c r="F173" s="58"/>
      <c r="G173" s="26"/>
      <c r="H173" s="58"/>
      <c r="I173" s="58"/>
      <c r="J173" s="26"/>
      <c r="K173" s="74"/>
      <c r="L173" s="58"/>
      <c r="M173" s="58"/>
      <c r="N173" s="58"/>
      <c r="O173" s="58"/>
    </row>
    <row r="174" spans="1:15" x14ac:dyDescent="0.25">
      <c r="A174" s="26"/>
      <c r="B174" s="66"/>
      <c r="C174" s="58"/>
      <c r="D174" s="26"/>
      <c r="E174" s="58"/>
      <c r="F174" s="58"/>
      <c r="G174" s="26"/>
      <c r="H174" s="58"/>
      <c r="I174" s="58"/>
      <c r="J174" s="26"/>
      <c r="K174" s="74"/>
      <c r="L174" s="58"/>
      <c r="M174" s="58"/>
      <c r="N174" s="58"/>
      <c r="O174" s="58"/>
    </row>
    <row r="175" spans="1:15" x14ac:dyDescent="0.25">
      <c r="A175" s="26"/>
      <c r="B175" s="66"/>
      <c r="C175" s="58"/>
      <c r="D175" s="26"/>
      <c r="E175" s="58"/>
      <c r="F175" s="58"/>
      <c r="G175" s="26"/>
      <c r="H175" s="58"/>
      <c r="I175" s="58"/>
      <c r="J175" s="26"/>
      <c r="K175" s="74"/>
      <c r="L175" s="58"/>
      <c r="M175" s="58"/>
      <c r="N175" s="58"/>
      <c r="O175" s="58"/>
    </row>
    <row r="176" spans="1:15" x14ac:dyDescent="0.25">
      <c r="A176" s="26"/>
      <c r="B176" s="66"/>
      <c r="C176" s="58"/>
      <c r="D176" s="26"/>
      <c r="E176" s="58"/>
      <c r="F176" s="58"/>
      <c r="G176" s="26"/>
      <c r="H176" s="58"/>
      <c r="I176" s="58"/>
      <c r="J176" s="26"/>
      <c r="K176" s="74"/>
      <c r="L176" s="58"/>
      <c r="M176" s="58"/>
      <c r="N176" s="58"/>
      <c r="O176" s="58"/>
    </row>
    <row r="177" spans="1:15" x14ac:dyDescent="0.25">
      <c r="A177" s="26"/>
      <c r="B177" s="66"/>
      <c r="C177" s="58"/>
      <c r="D177" s="26"/>
      <c r="E177" s="58"/>
      <c r="F177" s="58"/>
      <c r="G177" s="26"/>
      <c r="H177" s="58"/>
      <c r="I177" s="58"/>
      <c r="J177" s="26"/>
      <c r="K177" s="74"/>
      <c r="L177" s="58"/>
      <c r="M177" s="58"/>
      <c r="N177" s="58"/>
      <c r="O177" s="58"/>
    </row>
    <row r="178" spans="1:15" x14ac:dyDescent="0.25">
      <c r="A178" s="26"/>
      <c r="B178" s="66"/>
      <c r="C178" s="58"/>
      <c r="D178" s="26"/>
      <c r="E178" s="58"/>
      <c r="F178" s="58"/>
      <c r="G178" s="26"/>
      <c r="H178" s="58"/>
      <c r="I178" s="58"/>
      <c r="J178" s="26"/>
      <c r="K178" s="74"/>
      <c r="L178" s="58"/>
      <c r="M178" s="58"/>
      <c r="N178" s="58"/>
      <c r="O178" s="58"/>
    </row>
    <row r="179" spans="1:15" x14ac:dyDescent="0.25">
      <c r="A179" s="26"/>
      <c r="B179" s="66"/>
      <c r="C179" s="58"/>
      <c r="D179" s="26"/>
      <c r="E179" s="58"/>
      <c r="F179" s="58"/>
      <c r="G179" s="26"/>
      <c r="H179" s="58"/>
      <c r="I179" s="58"/>
      <c r="J179" s="26"/>
      <c r="K179" s="74"/>
      <c r="L179" s="58"/>
      <c r="M179" s="58"/>
      <c r="N179" s="58"/>
      <c r="O179" s="58"/>
    </row>
    <row r="180" spans="1:15" x14ac:dyDescent="0.25">
      <c r="A180" s="26"/>
      <c r="B180" s="66"/>
      <c r="C180" s="58"/>
      <c r="D180" s="26"/>
      <c r="E180" s="58"/>
      <c r="F180" s="58"/>
      <c r="G180" s="26"/>
      <c r="H180" s="58"/>
      <c r="I180" s="58"/>
      <c r="J180" s="26"/>
      <c r="K180" s="74"/>
      <c r="L180" s="58"/>
      <c r="M180" s="58"/>
      <c r="N180" s="58"/>
      <c r="O180" s="58"/>
    </row>
    <row r="181" spans="1:15" x14ac:dyDescent="0.25">
      <c r="A181" s="26"/>
      <c r="B181" s="66"/>
      <c r="C181" s="58"/>
      <c r="D181" s="26"/>
      <c r="E181" s="58"/>
      <c r="F181" s="58"/>
      <c r="G181" s="26"/>
      <c r="H181" s="58"/>
      <c r="I181" s="58"/>
      <c r="J181" s="26"/>
      <c r="K181" s="74"/>
      <c r="L181" s="58"/>
      <c r="M181" s="58"/>
      <c r="N181" s="58"/>
      <c r="O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74"/>
      <c r="L182" s="58"/>
      <c r="M182" s="58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74"/>
      <c r="L183" s="58"/>
      <c r="M183" s="58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74"/>
      <c r="L184" s="58"/>
      <c r="M184" s="58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74"/>
      <c r="L185" s="58"/>
      <c r="M185" s="58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74"/>
      <c r="L186" s="58"/>
      <c r="M186" s="58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74"/>
      <c r="L187" s="58"/>
      <c r="M187" s="58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74"/>
      <c r="L188" s="58"/>
      <c r="M188" s="58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74"/>
      <c r="L189" s="58"/>
      <c r="M189" s="58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74"/>
      <c r="L190" s="58"/>
      <c r="M190" s="58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74"/>
      <c r="L191" s="58"/>
      <c r="M191" s="58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74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74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74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74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74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74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74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74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74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74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74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74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74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74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74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74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74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74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74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74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74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74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74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74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74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74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74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74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74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74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74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74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74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74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74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74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74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74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74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74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74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74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74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74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74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74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74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74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74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74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74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74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74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74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74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74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74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74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74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74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74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74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74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74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74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74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74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74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74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74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74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74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74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74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74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74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74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74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74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74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74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74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74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74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74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74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74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74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74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74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74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74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74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74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74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74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74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74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74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74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74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74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74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74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74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74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74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74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74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74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74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74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74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74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74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74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74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74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74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74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74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74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74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74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74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74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74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74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74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74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74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74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74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74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74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74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74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74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74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74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74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74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74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74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74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74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74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74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74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74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74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74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74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74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74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74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74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74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74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74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74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74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74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74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74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74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74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74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74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74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74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74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74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74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74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74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74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74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74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74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74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74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74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74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74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74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74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74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74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74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74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74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74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74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74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74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74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74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74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74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74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74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74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74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74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74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74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74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74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74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74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74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74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74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74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74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74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74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74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74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74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74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74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74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74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74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74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74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74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74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74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74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74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74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74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74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74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74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74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74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74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74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74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74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74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74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74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74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74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74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74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74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74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74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74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74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74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74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74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74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74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74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74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74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74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74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74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74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74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74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74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74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74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74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74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74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74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74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74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74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74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74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74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74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74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74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74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74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74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74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74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74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74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74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74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74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74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74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74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74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74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74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74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74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74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74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74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74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74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74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74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74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74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74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74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74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74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74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74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74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74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74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74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74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74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74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74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74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74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74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74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74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74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74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74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74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74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74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74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74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74"/>
      <c r="L532" s="58"/>
      <c r="M532" s="58"/>
      <c r="N532" s="58"/>
      <c r="O532" s="58"/>
    </row>
    <row r="533" spans="1:15" x14ac:dyDescent="0.25">
      <c r="A533" s="26"/>
      <c r="B533" s="66"/>
      <c r="C533" s="58"/>
      <c r="D533" s="26"/>
      <c r="E533" s="58"/>
      <c r="F533" s="58"/>
      <c r="G533" s="26"/>
      <c r="H533" s="58"/>
      <c r="I533" s="58"/>
      <c r="J533" s="26"/>
      <c r="K533" s="74"/>
      <c r="L533" s="58"/>
    </row>
    <row r="534" spans="1:15" x14ac:dyDescent="0.25">
      <c r="A534" s="26"/>
      <c r="B534" s="66"/>
      <c r="C534" s="58"/>
      <c r="D534" s="26"/>
      <c r="E534" s="58"/>
      <c r="F534" s="58"/>
      <c r="G534" s="26"/>
      <c r="H534" s="58"/>
      <c r="I534" s="58"/>
      <c r="J534" s="26"/>
      <c r="K534" s="74"/>
      <c r="L534" s="58"/>
    </row>
    <row r="535" spans="1:15" x14ac:dyDescent="0.25">
      <c r="A535" s="26"/>
      <c r="B535" s="66"/>
      <c r="C535" s="58"/>
      <c r="D535" s="26"/>
      <c r="E535" s="58"/>
      <c r="F535" s="58"/>
      <c r="G535" s="26"/>
      <c r="H535" s="58"/>
      <c r="I535" s="58"/>
      <c r="J535" s="26"/>
      <c r="K535" s="74"/>
      <c r="L535" s="58"/>
    </row>
    <row r="536" spans="1:15" x14ac:dyDescent="0.25">
      <c r="A536" s="26"/>
      <c r="B536" s="66"/>
      <c r="C536" s="58"/>
      <c r="D536" s="26"/>
      <c r="E536" s="58"/>
      <c r="F536" s="58"/>
      <c r="G536" s="26"/>
      <c r="H536" s="58"/>
      <c r="I536" s="58"/>
      <c r="J536" s="26"/>
      <c r="K536" s="74"/>
      <c r="L536" s="58"/>
    </row>
    <row r="537" spans="1:15" x14ac:dyDescent="0.25">
      <c r="A537" s="26"/>
      <c r="B537" s="26"/>
      <c r="C537" s="58"/>
      <c r="D537" s="26"/>
      <c r="E537" s="58"/>
      <c r="F537" s="58"/>
      <c r="G537" s="26"/>
      <c r="H537" s="58"/>
      <c r="I537" s="58"/>
      <c r="J537" s="26"/>
      <c r="K537" s="74"/>
      <c r="L537" s="58"/>
    </row>
    <row r="538" spans="1:15" x14ac:dyDescent="0.25">
      <c r="A538" s="26"/>
      <c r="B538" s="26"/>
      <c r="C538" s="58"/>
      <c r="D538" s="26"/>
      <c r="E538" s="58"/>
      <c r="F538" s="58"/>
      <c r="G538" s="26"/>
      <c r="H538" s="58"/>
      <c r="I538" s="58"/>
      <c r="J538" s="26"/>
      <c r="K538" s="74"/>
      <c r="L538" s="58"/>
    </row>
    <row r="539" spans="1:15" x14ac:dyDescent="0.25">
      <c r="A539" s="26"/>
      <c r="B539" s="26"/>
      <c r="C539" s="58"/>
      <c r="D539" s="26"/>
      <c r="E539" s="58"/>
      <c r="F539" s="58"/>
      <c r="G539" s="26"/>
      <c r="H539" s="58"/>
      <c r="I539" s="58"/>
      <c r="J539" s="26"/>
      <c r="K539" s="74"/>
      <c r="L539" s="58"/>
    </row>
    <row r="540" spans="1:15" x14ac:dyDescent="0.25">
      <c r="A540" s="26"/>
      <c r="B540" s="26"/>
      <c r="C540" s="58"/>
      <c r="D540" s="26"/>
      <c r="E540" s="58"/>
      <c r="F540" s="58"/>
      <c r="G540" s="26"/>
      <c r="H540" s="58"/>
      <c r="I540" s="58"/>
      <c r="J540" s="26"/>
      <c r="K540" s="74"/>
      <c r="L540" s="58"/>
    </row>
    <row r="541" spans="1:15" x14ac:dyDescent="0.25">
      <c r="A541" s="26"/>
      <c r="B541" s="26"/>
      <c r="C541" s="58"/>
      <c r="D541" s="26"/>
      <c r="E541" s="58"/>
      <c r="F541" s="58"/>
      <c r="G541" s="26"/>
      <c r="H541" s="58"/>
      <c r="I541" s="58"/>
      <c r="J541" s="26"/>
      <c r="K541" s="74"/>
      <c r="L541" s="58"/>
    </row>
    <row r="542" spans="1:15" x14ac:dyDescent="0.25">
      <c r="A542" s="26"/>
      <c r="B542" s="26"/>
      <c r="C542" s="58"/>
      <c r="D542" s="26"/>
      <c r="E542" s="58"/>
      <c r="F542" s="58"/>
      <c r="G542" s="26"/>
      <c r="H542" s="58"/>
      <c r="I542" s="58"/>
      <c r="J542" s="26"/>
      <c r="K542" s="74"/>
      <c r="L542" s="58"/>
    </row>
    <row r="543" spans="1:15" x14ac:dyDescent="0.25">
      <c r="A543" s="26"/>
      <c r="B543" s="26"/>
      <c r="C543" s="58"/>
      <c r="D543" s="26"/>
      <c r="E543" s="58"/>
      <c r="F543" s="58"/>
      <c r="G543" s="26"/>
      <c r="H543" s="58"/>
      <c r="I543" s="58"/>
      <c r="J543" s="26"/>
      <c r="K543" s="74"/>
      <c r="L543" s="58"/>
    </row>
    <row r="544" spans="1:15" x14ac:dyDescent="0.25">
      <c r="A544" s="26"/>
      <c r="B544" s="26"/>
      <c r="C544" s="58"/>
      <c r="D544" s="26"/>
      <c r="E544" s="58"/>
      <c r="F544" s="58"/>
      <c r="G544" s="26"/>
      <c r="H544" s="58"/>
      <c r="I544" s="58"/>
      <c r="J544" s="26"/>
      <c r="K544" s="74"/>
      <c r="L544" s="58"/>
    </row>
    <row r="545" spans="1:12" x14ac:dyDescent="0.25">
      <c r="A545" s="26"/>
      <c r="B545" s="26"/>
      <c r="C545" s="58"/>
      <c r="D545" s="26"/>
      <c r="E545" s="58"/>
      <c r="F545" s="58"/>
      <c r="G545" s="26"/>
      <c r="H545" s="58"/>
      <c r="I545" s="58"/>
      <c r="J545" s="26"/>
      <c r="K545" s="74"/>
      <c r="L545" s="58"/>
    </row>
    <row r="546" spans="1:12" x14ac:dyDescent="0.25">
      <c r="A546" s="26"/>
      <c r="B546" s="26"/>
      <c r="C546" s="58"/>
      <c r="D546" s="26"/>
      <c r="E546" s="58"/>
      <c r="F546" s="58"/>
      <c r="G546" s="26"/>
      <c r="H546" s="58"/>
      <c r="I546" s="58"/>
      <c r="J546" s="26"/>
      <c r="K546" s="74"/>
      <c r="L546" s="58"/>
    </row>
    <row r="547" spans="1:12" x14ac:dyDescent="0.25">
      <c r="A547" s="26"/>
      <c r="B547" s="26"/>
      <c r="C547" s="58"/>
      <c r="D547" s="26"/>
      <c r="E547" s="58"/>
      <c r="F547" s="58"/>
      <c r="G547" s="26"/>
      <c r="H547" s="58"/>
      <c r="I547" s="58"/>
      <c r="J547" s="26"/>
      <c r="K547" s="74"/>
      <c r="L547" s="58"/>
    </row>
    <row r="548" spans="1:12" x14ac:dyDescent="0.25">
      <c r="A548" s="26"/>
      <c r="B548" s="26"/>
      <c r="C548" s="58"/>
      <c r="D548" s="26"/>
      <c r="E548" s="58"/>
      <c r="F548" s="58"/>
      <c r="G548" s="26"/>
      <c r="H548" s="58"/>
      <c r="I548" s="58"/>
      <c r="J548" s="26"/>
      <c r="K548" s="74"/>
      <c r="L548" s="58"/>
    </row>
    <row r="549" spans="1:12" x14ac:dyDescent="0.25">
      <c r="A549" s="26"/>
      <c r="B549" s="26"/>
      <c r="C549" s="58"/>
      <c r="D549" s="26"/>
      <c r="E549" s="58"/>
      <c r="F549" s="58"/>
      <c r="G549" s="26"/>
      <c r="H549" s="58"/>
      <c r="I549" s="58"/>
      <c r="J549" s="26"/>
      <c r="K549" s="74"/>
      <c r="L549" s="58"/>
    </row>
    <row r="550" spans="1:12" x14ac:dyDescent="0.25">
      <c r="A550" s="26"/>
      <c r="B550" s="26"/>
      <c r="C550" s="58"/>
      <c r="D550" s="26"/>
      <c r="E550" s="58"/>
      <c r="F550" s="58"/>
      <c r="G550" s="26"/>
      <c r="H550" s="58"/>
      <c r="I550" s="58"/>
      <c r="J550" s="26"/>
      <c r="K550" s="74"/>
      <c r="L550" s="58"/>
    </row>
    <row r="551" spans="1:12" x14ac:dyDescent="0.25">
      <c r="A551" s="26"/>
      <c r="B551" s="26"/>
      <c r="C551" s="58"/>
      <c r="D551" s="26"/>
      <c r="E551" s="58"/>
      <c r="F551" s="58"/>
      <c r="G551" s="26"/>
      <c r="H551" s="58"/>
      <c r="I551" s="58"/>
      <c r="J551" s="26"/>
      <c r="K551" s="74"/>
      <c r="L551" s="58"/>
    </row>
    <row r="552" spans="1:12" x14ac:dyDescent="0.25">
      <c r="A552" s="26"/>
      <c r="B552" s="26"/>
      <c r="C552" s="58"/>
      <c r="D552" s="26"/>
      <c r="E552" s="58"/>
      <c r="F552" s="58"/>
      <c r="G552" s="26"/>
      <c r="H552" s="58"/>
      <c r="I552" s="58"/>
      <c r="J552" s="26"/>
      <c r="K552" s="74"/>
      <c r="L552" s="58"/>
    </row>
    <row r="553" spans="1:12" x14ac:dyDescent="0.25">
      <c r="A553" s="26"/>
      <c r="B553" s="26"/>
      <c r="C553" s="58"/>
      <c r="D553" s="26"/>
      <c r="E553" s="58"/>
      <c r="F553" s="58"/>
      <c r="G553" s="26"/>
      <c r="H553" s="58"/>
      <c r="I553" s="58"/>
      <c r="J553" s="26"/>
      <c r="K553" s="74"/>
      <c r="L553" s="58"/>
    </row>
    <row r="554" spans="1:12" x14ac:dyDescent="0.25">
      <c r="A554" s="26"/>
      <c r="B554" s="26"/>
      <c r="C554" s="58"/>
      <c r="D554" s="26"/>
      <c r="E554" s="58"/>
      <c r="F554" s="58"/>
      <c r="G554" s="26"/>
      <c r="H554" s="58"/>
      <c r="I554" s="58"/>
      <c r="J554" s="26"/>
      <c r="K554" s="74"/>
      <c r="L554" s="58"/>
    </row>
    <row r="555" spans="1:12" x14ac:dyDescent="0.25">
      <c r="A555" s="26"/>
      <c r="B555" s="26"/>
      <c r="C555" s="58"/>
      <c r="D555" s="26"/>
      <c r="E555" s="58"/>
      <c r="F555" s="58"/>
      <c r="G555" s="26"/>
      <c r="H555" s="58"/>
      <c r="I555" s="58"/>
      <c r="J555" s="26"/>
      <c r="K555" s="74"/>
      <c r="L555" s="58"/>
    </row>
    <row r="556" spans="1:12" x14ac:dyDescent="0.25">
      <c r="A556" s="26"/>
      <c r="B556" s="26"/>
      <c r="C556" s="58"/>
      <c r="D556" s="26"/>
      <c r="E556" s="58"/>
      <c r="F556" s="58"/>
      <c r="G556" s="26"/>
      <c r="H556" s="58"/>
      <c r="I556" s="58"/>
      <c r="J556" s="26"/>
      <c r="K556" s="74"/>
      <c r="L556" s="58"/>
    </row>
    <row r="557" spans="1:12" x14ac:dyDescent="0.25">
      <c r="A557" s="26"/>
      <c r="B557" s="26"/>
      <c r="C557" s="58"/>
      <c r="D557" s="26"/>
      <c r="E557" s="58"/>
      <c r="F557" s="58"/>
      <c r="G557" s="26"/>
      <c r="H557" s="58"/>
      <c r="I557" s="58"/>
      <c r="J557" s="26"/>
      <c r="K557" s="74"/>
      <c r="L557" s="58"/>
    </row>
    <row r="558" spans="1:12" x14ac:dyDescent="0.25">
      <c r="A558" s="26"/>
      <c r="B558" s="26"/>
      <c r="C558" s="58"/>
      <c r="D558" s="26"/>
      <c r="E558" s="58"/>
      <c r="F558" s="58"/>
      <c r="G558" s="26"/>
      <c r="H558" s="58"/>
      <c r="I558" s="58"/>
      <c r="J558" s="26"/>
      <c r="K558" s="74"/>
      <c r="L558" s="58"/>
    </row>
    <row r="559" spans="1:12" x14ac:dyDescent="0.25">
      <c r="A559" s="26"/>
      <c r="B559" s="26"/>
      <c r="C559" s="58"/>
      <c r="D559" s="26"/>
      <c r="E559" s="58"/>
      <c r="F559" s="58"/>
      <c r="G559" s="26"/>
      <c r="H559" s="58"/>
      <c r="I559" s="58"/>
      <c r="J559" s="26"/>
      <c r="K559" s="74"/>
      <c r="L559" s="58"/>
    </row>
    <row r="560" spans="1:12" x14ac:dyDescent="0.25">
      <c r="A560" s="26"/>
      <c r="B560" s="26"/>
      <c r="C560" s="58"/>
      <c r="D560" s="26"/>
      <c r="E560" s="58"/>
      <c r="F560" s="58"/>
      <c r="G560" s="26"/>
      <c r="H560" s="58"/>
      <c r="I560" s="58"/>
      <c r="J560" s="26"/>
      <c r="K560" s="58"/>
      <c r="L560" s="58"/>
    </row>
  </sheetData>
  <mergeCells count="8">
    <mergeCell ref="Q2:R2"/>
    <mergeCell ref="A1:K1"/>
    <mergeCell ref="L1:M1"/>
    <mergeCell ref="A2:C2"/>
    <mergeCell ref="D2:F2"/>
    <mergeCell ref="G2:I2"/>
    <mergeCell ref="J2:L2"/>
    <mergeCell ref="M2:O2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536"/>
  <sheetViews>
    <sheetView tabSelected="1" topLeftCell="A5" workbookViewId="0">
      <pane ySplit="3" topLeftCell="A47" activePane="bottomLeft" state="frozen"/>
      <selection activeCell="A5" sqref="A5"/>
      <selection pane="bottomLeft" activeCell="K64" sqref="K64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5" customWidth="1"/>
    <col min="7" max="7" width="7.855468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3.7109375" customWidth="1"/>
    <col min="13" max="14" width="7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34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6" t="s">
        <v>11</v>
      </c>
      <c r="M1" s="136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37" t="s">
        <v>8</v>
      </c>
      <c r="D3" s="137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38" t="s">
        <v>0</v>
      </c>
      <c r="B5" s="138"/>
      <c r="C5" s="138"/>
      <c r="D5" s="139" t="s">
        <v>4</v>
      </c>
      <c r="E5" s="139"/>
      <c r="F5" s="139"/>
      <c r="G5" s="140" t="s">
        <v>5</v>
      </c>
      <c r="H5" s="140"/>
      <c r="I5" s="140"/>
      <c r="J5" s="145" t="s">
        <v>6</v>
      </c>
      <c r="K5" s="145"/>
      <c r="L5" s="145"/>
      <c r="M5" s="133" t="s">
        <v>12</v>
      </c>
      <c r="N5" s="133"/>
      <c r="O5" s="133"/>
      <c r="Q5" s="142" t="s">
        <v>13</v>
      </c>
      <c r="R5" s="142"/>
    </row>
    <row r="6" spans="1:18" x14ac:dyDescent="0.25">
      <c r="A6" s="8">
        <f>SUBTOTAL(3,A8:A122)</f>
        <v>74</v>
      </c>
      <c r="B6" s="8">
        <f>SUBTOTAL(9,B8:B122)</f>
        <v>64750</v>
      </c>
      <c r="C6" s="35">
        <v>44535</v>
      </c>
      <c r="D6" s="8">
        <f>SUBTOTAL(3,D8:D120)</f>
        <v>47</v>
      </c>
      <c r="E6" s="1">
        <f>SUBTOTAL(9,E8:E120)</f>
        <v>34500</v>
      </c>
      <c r="F6" s="38">
        <v>44542</v>
      </c>
      <c r="G6" s="8">
        <f>SUBTOTAL(3,G8:G121)</f>
        <v>45</v>
      </c>
      <c r="H6" s="1">
        <f>SUBTOTAL(9,H8:H121)</f>
        <v>42000</v>
      </c>
      <c r="I6" s="39">
        <v>44549</v>
      </c>
      <c r="J6" s="8">
        <f>SUBTOTAL(3,J8:J110)</f>
        <v>41</v>
      </c>
      <c r="K6" s="1">
        <f>SUBTOTAL(9,K8:K110)</f>
        <v>45250</v>
      </c>
      <c r="L6" s="63">
        <v>44556</v>
      </c>
      <c r="M6" s="1">
        <f>SUBTOTAL(3,M8:M120)</f>
        <v>0</v>
      </c>
      <c r="N6" s="1">
        <f>SUBTOTAL(9,N8:N120)</f>
        <v>0</v>
      </c>
      <c r="O6" s="81"/>
      <c r="Q6" s="30">
        <f>+A6+D6+G6+J6+M6</f>
        <v>207</v>
      </c>
      <c r="R6" s="29">
        <f>+B6+E6+H6+K6+N6</f>
        <v>186500</v>
      </c>
    </row>
    <row r="7" spans="1:18" x14ac:dyDescent="0.25">
      <c r="A7" s="36" t="s">
        <v>1</v>
      </c>
      <c r="B7" s="36" t="s">
        <v>3</v>
      </c>
      <c r="C7" s="36" t="s">
        <v>2</v>
      </c>
      <c r="D7" s="37" t="s">
        <v>1</v>
      </c>
      <c r="E7" s="37" t="s">
        <v>3</v>
      </c>
      <c r="F7" s="37" t="s">
        <v>2</v>
      </c>
      <c r="G7" s="40" t="s">
        <v>1</v>
      </c>
      <c r="H7" s="40" t="s">
        <v>3</v>
      </c>
      <c r="I7" s="40" t="s">
        <v>2</v>
      </c>
      <c r="J7" s="60" t="s">
        <v>1</v>
      </c>
      <c r="K7" s="60" t="s">
        <v>3</v>
      </c>
      <c r="L7" s="60" t="s">
        <v>15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26392</v>
      </c>
      <c r="B8" s="49">
        <v>1500</v>
      </c>
      <c r="C8" s="17" t="s">
        <v>407</v>
      </c>
      <c r="D8" s="13">
        <v>26466</v>
      </c>
      <c r="E8" s="100">
        <v>600</v>
      </c>
      <c r="F8" s="14" t="s">
        <v>578</v>
      </c>
      <c r="G8" s="11">
        <v>26513</v>
      </c>
      <c r="H8" s="67">
        <v>700</v>
      </c>
      <c r="I8" s="12" t="s">
        <v>604</v>
      </c>
      <c r="J8" s="61">
        <v>26558</v>
      </c>
      <c r="K8" s="72">
        <v>300</v>
      </c>
      <c r="L8" s="62"/>
      <c r="M8" s="15"/>
      <c r="N8" s="15"/>
      <c r="O8" s="15"/>
      <c r="Q8" s="32"/>
      <c r="R8" s="32"/>
    </row>
    <row r="9" spans="1:18" x14ac:dyDescent="0.25">
      <c r="A9" s="16"/>
      <c r="B9" s="49"/>
      <c r="C9" s="17" t="s">
        <v>64</v>
      </c>
      <c r="D9" s="13">
        <v>26467</v>
      </c>
      <c r="E9" s="100">
        <v>1000</v>
      </c>
      <c r="F9" s="14" t="s">
        <v>517</v>
      </c>
      <c r="G9" s="11">
        <v>26514</v>
      </c>
      <c r="H9" s="67">
        <v>1000</v>
      </c>
      <c r="I9" s="12" t="s">
        <v>487</v>
      </c>
      <c r="J9" s="61">
        <v>26559</v>
      </c>
      <c r="K9" s="72">
        <v>300</v>
      </c>
      <c r="L9" s="62"/>
      <c r="M9" s="15"/>
      <c r="N9" s="15"/>
      <c r="O9" s="15"/>
    </row>
    <row r="10" spans="1:18" x14ac:dyDescent="0.25">
      <c r="A10" s="16">
        <v>26393</v>
      </c>
      <c r="B10" s="49">
        <v>800</v>
      </c>
      <c r="C10" s="17" t="s">
        <v>489</v>
      </c>
      <c r="D10" s="13">
        <v>26468</v>
      </c>
      <c r="E10" s="100">
        <v>800</v>
      </c>
      <c r="F10" s="14" t="s">
        <v>568</v>
      </c>
      <c r="G10" s="11"/>
      <c r="H10" s="67"/>
      <c r="I10" s="12" t="s">
        <v>64</v>
      </c>
      <c r="J10" s="61">
        <v>26560</v>
      </c>
      <c r="K10" s="72">
        <v>5500</v>
      </c>
      <c r="L10" s="62" t="s">
        <v>607</v>
      </c>
      <c r="M10" s="15"/>
      <c r="N10" s="15"/>
      <c r="O10" s="15"/>
    </row>
    <row r="11" spans="1:18" x14ac:dyDescent="0.25">
      <c r="A11" s="16"/>
      <c r="B11" s="49"/>
      <c r="C11" s="17" t="s">
        <v>17</v>
      </c>
      <c r="D11" s="13">
        <v>26469</v>
      </c>
      <c r="E11" s="100">
        <v>1050</v>
      </c>
      <c r="F11" s="14" t="s">
        <v>514</v>
      </c>
      <c r="G11" s="11">
        <v>26515</v>
      </c>
      <c r="H11" s="67">
        <v>2000</v>
      </c>
      <c r="I11" s="12" t="s">
        <v>480</v>
      </c>
      <c r="J11" s="61"/>
      <c r="K11" s="72"/>
      <c r="L11" s="62" t="s">
        <v>608</v>
      </c>
      <c r="M11" s="15"/>
      <c r="N11" s="15"/>
      <c r="O11" s="15"/>
    </row>
    <row r="12" spans="1:18" x14ac:dyDescent="0.25">
      <c r="A12" s="16">
        <v>26394</v>
      </c>
      <c r="B12" s="49">
        <v>600</v>
      </c>
      <c r="C12" s="17"/>
      <c r="D12" s="13"/>
      <c r="E12" s="100"/>
      <c r="F12" s="14" t="s">
        <v>579</v>
      </c>
      <c r="G12" s="11"/>
      <c r="H12" s="67"/>
      <c r="I12" s="12" t="s">
        <v>64</v>
      </c>
      <c r="J12" s="61"/>
      <c r="K12" s="72"/>
      <c r="L12" s="62" t="s">
        <v>64</v>
      </c>
      <c r="M12" s="15"/>
      <c r="N12" s="15"/>
      <c r="O12" s="15"/>
    </row>
    <row r="13" spans="1:18" x14ac:dyDescent="0.25">
      <c r="A13" s="16">
        <v>26395</v>
      </c>
      <c r="B13" s="49">
        <v>500</v>
      </c>
      <c r="C13" s="17" t="s">
        <v>455</v>
      </c>
      <c r="D13" s="13">
        <v>26470</v>
      </c>
      <c r="E13" s="100">
        <v>500</v>
      </c>
      <c r="F13" s="14"/>
      <c r="G13" s="11">
        <v>26516</v>
      </c>
      <c r="H13" s="67">
        <v>300</v>
      </c>
      <c r="I13" s="95" t="s">
        <v>605</v>
      </c>
      <c r="J13" s="61">
        <v>26561</v>
      </c>
      <c r="K13" s="72">
        <v>600</v>
      </c>
      <c r="L13" s="62" t="s">
        <v>490</v>
      </c>
      <c r="M13" s="15"/>
      <c r="N13" s="15"/>
      <c r="O13" s="15"/>
    </row>
    <row r="14" spans="1:18" x14ac:dyDescent="0.25">
      <c r="A14" s="16">
        <v>26396</v>
      </c>
      <c r="B14" s="49">
        <v>1800</v>
      </c>
      <c r="C14" s="17" t="s">
        <v>566</v>
      </c>
      <c r="D14" s="13">
        <v>26471</v>
      </c>
      <c r="E14" s="100">
        <v>400</v>
      </c>
      <c r="F14" s="14"/>
      <c r="G14" s="11">
        <v>26517</v>
      </c>
      <c r="H14" s="67">
        <v>250</v>
      </c>
      <c r="I14" s="12"/>
      <c r="J14" s="61"/>
      <c r="K14" s="72"/>
      <c r="L14" s="62" t="s">
        <v>18</v>
      </c>
      <c r="M14" s="15"/>
      <c r="N14" s="15"/>
      <c r="O14" s="31"/>
    </row>
    <row r="15" spans="1:18" x14ac:dyDescent="0.25">
      <c r="A15" s="16"/>
      <c r="B15" s="49"/>
      <c r="C15" s="17" t="s">
        <v>567</v>
      </c>
      <c r="D15" s="13">
        <v>26472</v>
      </c>
      <c r="E15" s="100">
        <v>300</v>
      </c>
      <c r="F15" s="14" t="s">
        <v>580</v>
      </c>
      <c r="G15" s="11">
        <v>26518</v>
      </c>
      <c r="H15" s="67">
        <v>800</v>
      </c>
      <c r="I15" s="12" t="s">
        <v>606</v>
      </c>
      <c r="J15" s="61">
        <v>26562</v>
      </c>
      <c r="K15" s="72">
        <v>350</v>
      </c>
      <c r="L15" s="62" t="s">
        <v>609</v>
      </c>
      <c r="M15" s="15"/>
      <c r="N15" s="15"/>
      <c r="O15" s="15"/>
    </row>
    <row r="16" spans="1:18" x14ac:dyDescent="0.25">
      <c r="A16" s="16">
        <v>26397</v>
      </c>
      <c r="B16" s="49">
        <v>1000</v>
      </c>
      <c r="C16" s="17" t="s">
        <v>517</v>
      </c>
      <c r="D16" s="13">
        <v>26473</v>
      </c>
      <c r="E16" s="100">
        <v>500</v>
      </c>
      <c r="F16" s="14" t="s">
        <v>459</v>
      </c>
      <c r="G16" s="11">
        <v>26519</v>
      </c>
      <c r="H16" s="67">
        <v>250</v>
      </c>
      <c r="I16" s="12" t="s">
        <v>459</v>
      </c>
      <c r="J16" s="61">
        <v>26563</v>
      </c>
      <c r="K16" s="72">
        <v>300</v>
      </c>
      <c r="L16" s="62" t="s">
        <v>610</v>
      </c>
      <c r="M16" s="15"/>
      <c r="N16" s="15"/>
      <c r="O16" s="15"/>
    </row>
    <row r="17" spans="1:15" x14ac:dyDescent="0.25">
      <c r="A17" s="16">
        <v>26398</v>
      </c>
      <c r="B17" s="49">
        <v>800</v>
      </c>
      <c r="C17" s="17" t="s">
        <v>568</v>
      </c>
      <c r="D17" s="13">
        <v>26474</v>
      </c>
      <c r="E17" s="100">
        <v>1000</v>
      </c>
      <c r="F17" s="14" t="s">
        <v>514</v>
      </c>
      <c r="G17" s="11">
        <v>26520</v>
      </c>
      <c r="H17" s="67">
        <v>1000</v>
      </c>
      <c r="I17" s="12" t="s">
        <v>514</v>
      </c>
      <c r="J17" s="61">
        <v>26564</v>
      </c>
      <c r="K17" s="72">
        <v>500</v>
      </c>
      <c r="L17" s="62"/>
      <c r="M17" s="15"/>
      <c r="N17" s="15"/>
      <c r="O17" s="15"/>
    </row>
    <row r="18" spans="1:15" x14ac:dyDescent="0.25">
      <c r="A18" s="16">
        <v>26399</v>
      </c>
      <c r="B18" s="49">
        <v>500</v>
      </c>
      <c r="C18" s="17"/>
      <c r="D18" s="13">
        <v>26475</v>
      </c>
      <c r="E18" s="100">
        <v>500</v>
      </c>
      <c r="F18" s="33" t="s">
        <v>459</v>
      </c>
      <c r="G18" s="11">
        <v>26521</v>
      </c>
      <c r="H18" s="67">
        <v>600</v>
      </c>
      <c r="I18" s="12" t="s">
        <v>469</v>
      </c>
      <c r="J18" s="61">
        <v>26565</v>
      </c>
      <c r="K18" s="72">
        <v>250</v>
      </c>
      <c r="L18" s="62"/>
      <c r="M18" s="15"/>
      <c r="N18" s="15"/>
      <c r="O18" s="15"/>
    </row>
    <row r="19" spans="1:15" x14ac:dyDescent="0.25">
      <c r="A19" s="16">
        <v>26400</v>
      </c>
      <c r="B19" s="49">
        <v>250</v>
      </c>
      <c r="C19" s="17"/>
      <c r="D19" s="13">
        <v>26476</v>
      </c>
      <c r="E19" s="100">
        <v>1000</v>
      </c>
      <c r="F19" s="14" t="s">
        <v>514</v>
      </c>
      <c r="G19" s="11">
        <v>26522</v>
      </c>
      <c r="H19" s="67">
        <v>1500</v>
      </c>
      <c r="I19" s="12" t="s">
        <v>487</v>
      </c>
      <c r="J19" s="61">
        <v>26566</v>
      </c>
      <c r="K19" s="72">
        <v>500</v>
      </c>
      <c r="L19" s="153" t="s">
        <v>611</v>
      </c>
      <c r="M19" s="15"/>
      <c r="N19" s="15"/>
      <c r="O19" s="15"/>
    </row>
    <row r="20" spans="1:15" x14ac:dyDescent="0.25">
      <c r="A20" s="16">
        <v>26401</v>
      </c>
      <c r="B20" s="49">
        <v>1000</v>
      </c>
      <c r="C20" s="17" t="s">
        <v>514</v>
      </c>
      <c r="D20" s="13">
        <v>26477</v>
      </c>
      <c r="E20" s="100">
        <v>250</v>
      </c>
      <c r="F20" s="14"/>
      <c r="G20" s="11"/>
      <c r="H20" s="67"/>
      <c r="I20" s="12" t="s">
        <v>64</v>
      </c>
      <c r="J20" s="61">
        <v>26567</v>
      </c>
      <c r="K20" s="72">
        <v>500</v>
      </c>
      <c r="L20" s="62"/>
      <c r="M20" s="15"/>
      <c r="N20" s="15"/>
      <c r="O20" s="15"/>
    </row>
    <row r="21" spans="1:15" x14ac:dyDescent="0.25">
      <c r="A21" s="16">
        <v>26402</v>
      </c>
      <c r="B21" s="49">
        <v>1200</v>
      </c>
      <c r="C21" s="17" t="s">
        <v>569</v>
      </c>
      <c r="D21" s="13">
        <v>26478</v>
      </c>
      <c r="E21" s="100">
        <v>500</v>
      </c>
      <c r="F21" s="14"/>
      <c r="G21" s="11">
        <v>26523</v>
      </c>
      <c r="H21" s="67">
        <v>5500</v>
      </c>
      <c r="I21" s="12" t="s">
        <v>590</v>
      </c>
      <c r="J21" s="61">
        <v>26568</v>
      </c>
      <c r="K21" s="72">
        <v>500</v>
      </c>
      <c r="L21" s="62" t="s">
        <v>611</v>
      </c>
      <c r="M21" s="15"/>
      <c r="N21" s="15"/>
      <c r="O21" s="15"/>
    </row>
    <row r="22" spans="1:15" x14ac:dyDescent="0.25">
      <c r="A22" s="16"/>
      <c r="B22" s="49"/>
      <c r="C22" s="17" t="s">
        <v>570</v>
      </c>
      <c r="D22" s="13">
        <v>26479</v>
      </c>
      <c r="E22" s="100">
        <v>500</v>
      </c>
      <c r="F22" s="14" t="s">
        <v>455</v>
      </c>
      <c r="G22" s="11"/>
      <c r="H22" s="67"/>
      <c r="I22" s="12" t="s">
        <v>588</v>
      </c>
      <c r="J22" s="61">
        <v>26569</v>
      </c>
      <c r="K22" s="72">
        <v>500</v>
      </c>
      <c r="L22" s="62" t="s">
        <v>490</v>
      </c>
      <c r="M22" s="15"/>
      <c r="N22" s="15"/>
      <c r="O22" s="15"/>
    </row>
    <row r="23" spans="1:15" x14ac:dyDescent="0.25">
      <c r="A23" s="16">
        <v>26403</v>
      </c>
      <c r="B23" s="49">
        <v>750</v>
      </c>
      <c r="C23" s="17" t="s">
        <v>407</v>
      </c>
      <c r="D23" s="13">
        <v>26480</v>
      </c>
      <c r="E23" s="100">
        <v>1000</v>
      </c>
      <c r="F23" s="14" t="s">
        <v>514</v>
      </c>
      <c r="G23" s="11">
        <v>26524</v>
      </c>
      <c r="H23" s="67">
        <v>500</v>
      </c>
      <c r="I23" s="12" t="s">
        <v>533</v>
      </c>
      <c r="J23" s="61"/>
      <c r="K23" s="72"/>
      <c r="L23" s="62" t="s">
        <v>16</v>
      </c>
      <c r="M23" s="15"/>
      <c r="N23" s="15"/>
      <c r="O23" s="15"/>
    </row>
    <row r="24" spans="1:15" x14ac:dyDescent="0.25">
      <c r="A24" s="16"/>
      <c r="B24" s="49"/>
      <c r="C24" s="17" t="s">
        <v>16</v>
      </c>
      <c r="D24" s="13">
        <v>26481</v>
      </c>
      <c r="E24" s="100">
        <v>300</v>
      </c>
      <c r="F24" s="14"/>
      <c r="G24" s="11">
        <v>26525</v>
      </c>
      <c r="H24" s="67">
        <v>1500</v>
      </c>
      <c r="I24" s="12" t="s">
        <v>591</v>
      </c>
      <c r="J24" s="61">
        <v>26570</v>
      </c>
      <c r="K24" s="72">
        <v>5500</v>
      </c>
      <c r="L24" s="62" t="s">
        <v>607</v>
      </c>
      <c r="M24" s="15"/>
      <c r="N24" s="15"/>
      <c r="O24" s="15"/>
    </row>
    <row r="25" spans="1:15" x14ac:dyDescent="0.25">
      <c r="A25" s="16">
        <v>26404</v>
      </c>
      <c r="B25" s="49">
        <v>500</v>
      </c>
      <c r="C25" s="17" t="s">
        <v>293</v>
      </c>
      <c r="D25" s="13">
        <v>26482</v>
      </c>
      <c r="E25" s="100">
        <v>350</v>
      </c>
      <c r="F25" s="14" t="s">
        <v>581</v>
      </c>
      <c r="G25" s="11"/>
      <c r="H25" s="67"/>
      <c r="I25" s="12" t="s">
        <v>64</v>
      </c>
      <c r="J25" s="61"/>
      <c r="K25" s="72"/>
      <c r="L25" s="62" t="s">
        <v>608</v>
      </c>
      <c r="M25" s="15"/>
      <c r="N25" s="15"/>
      <c r="O25" s="15"/>
    </row>
    <row r="26" spans="1:15" x14ac:dyDescent="0.25">
      <c r="A26" s="16">
        <v>26405</v>
      </c>
      <c r="B26" s="49">
        <v>300</v>
      </c>
      <c r="C26" s="17"/>
      <c r="D26" s="13">
        <v>26483</v>
      </c>
      <c r="E26" s="100">
        <v>500</v>
      </c>
      <c r="F26" s="14" t="s">
        <v>527</v>
      </c>
      <c r="G26" s="11">
        <v>26526</v>
      </c>
      <c r="H26" s="67">
        <v>500</v>
      </c>
      <c r="I26" s="12" t="s">
        <v>592</v>
      </c>
      <c r="J26" s="61"/>
      <c r="K26" s="72"/>
      <c r="L26" s="62" t="s">
        <v>64</v>
      </c>
      <c r="M26" s="15"/>
      <c r="N26" s="15"/>
      <c r="O26" s="15"/>
    </row>
    <row r="27" spans="1:15" x14ac:dyDescent="0.25">
      <c r="A27" s="16">
        <v>26406</v>
      </c>
      <c r="B27" s="49">
        <v>500</v>
      </c>
      <c r="C27" s="17"/>
      <c r="D27" s="13">
        <v>26484</v>
      </c>
      <c r="E27" s="100">
        <v>500</v>
      </c>
      <c r="F27" s="14"/>
      <c r="G27" s="11">
        <v>26527</v>
      </c>
      <c r="H27" s="67">
        <v>600</v>
      </c>
      <c r="I27" s="12" t="s">
        <v>593</v>
      </c>
      <c r="J27" s="61">
        <v>26571</v>
      </c>
      <c r="K27" s="72">
        <v>600</v>
      </c>
      <c r="L27" s="62" t="s">
        <v>490</v>
      </c>
      <c r="M27" s="15"/>
      <c r="N27" s="15"/>
      <c r="O27" s="31"/>
    </row>
    <row r="28" spans="1:15" x14ac:dyDescent="0.25">
      <c r="A28" s="16">
        <v>26407</v>
      </c>
      <c r="B28" s="49">
        <v>600</v>
      </c>
      <c r="C28" s="17"/>
      <c r="D28" s="13">
        <v>26485</v>
      </c>
      <c r="E28" s="100">
        <v>500</v>
      </c>
      <c r="F28" s="91" t="s">
        <v>582</v>
      </c>
      <c r="G28" s="11"/>
      <c r="H28" s="67"/>
      <c r="I28" s="12" t="s">
        <v>52</v>
      </c>
      <c r="J28" s="61"/>
      <c r="K28" s="72"/>
      <c r="L28" s="62" t="s">
        <v>18</v>
      </c>
      <c r="M28" s="15"/>
      <c r="N28" s="15"/>
      <c r="O28" s="15"/>
    </row>
    <row r="29" spans="1:15" x14ac:dyDescent="0.25">
      <c r="A29" s="16">
        <v>26408</v>
      </c>
      <c r="B29" s="49">
        <v>500</v>
      </c>
      <c r="C29" s="17"/>
      <c r="D29" s="13">
        <v>26486</v>
      </c>
      <c r="E29" s="100">
        <v>400</v>
      </c>
      <c r="F29" s="14"/>
      <c r="G29" s="11">
        <v>26528</v>
      </c>
      <c r="H29" s="67">
        <v>500</v>
      </c>
      <c r="I29" s="12" t="s">
        <v>459</v>
      </c>
      <c r="J29" s="61">
        <v>26572</v>
      </c>
      <c r="K29" s="72">
        <v>600</v>
      </c>
      <c r="L29" s="62" t="s">
        <v>490</v>
      </c>
      <c r="M29" s="15"/>
      <c r="N29" s="15"/>
      <c r="O29" s="15"/>
    </row>
    <row r="30" spans="1:15" x14ac:dyDescent="0.25">
      <c r="A30" s="16">
        <v>26409</v>
      </c>
      <c r="B30" s="49">
        <v>500</v>
      </c>
      <c r="C30" s="17"/>
      <c r="D30" s="13">
        <v>26487</v>
      </c>
      <c r="E30" s="100">
        <v>1000</v>
      </c>
      <c r="F30" s="14" t="s">
        <v>514</v>
      </c>
      <c r="G30" s="11">
        <v>26529</v>
      </c>
      <c r="H30" s="67">
        <v>500</v>
      </c>
      <c r="I30" s="12"/>
      <c r="J30" s="61"/>
      <c r="K30" s="72"/>
      <c r="L30" s="62" t="s">
        <v>18</v>
      </c>
      <c r="M30" s="15"/>
      <c r="N30" s="15"/>
      <c r="O30" s="15"/>
    </row>
    <row r="31" spans="1:15" x14ac:dyDescent="0.25">
      <c r="A31" s="16">
        <v>26410</v>
      </c>
      <c r="B31" s="49">
        <v>500</v>
      </c>
      <c r="C31" s="17"/>
      <c r="D31" s="13">
        <v>26488</v>
      </c>
      <c r="E31" s="100">
        <v>500</v>
      </c>
      <c r="F31" s="14"/>
      <c r="G31" s="11">
        <v>26530</v>
      </c>
      <c r="H31" s="67">
        <v>5500</v>
      </c>
      <c r="I31" s="12" t="s">
        <v>590</v>
      </c>
      <c r="J31" s="61">
        <v>26573</v>
      </c>
      <c r="K31" s="72">
        <v>500</v>
      </c>
      <c r="L31" s="62"/>
      <c r="M31" s="15"/>
      <c r="N31" s="15"/>
      <c r="O31" s="15"/>
    </row>
    <row r="32" spans="1:15" x14ac:dyDescent="0.25">
      <c r="A32" s="16">
        <v>26411</v>
      </c>
      <c r="B32" s="49">
        <v>500</v>
      </c>
      <c r="C32" s="17"/>
      <c r="D32" s="13">
        <v>26489</v>
      </c>
      <c r="E32" s="100">
        <v>500</v>
      </c>
      <c r="F32" s="14"/>
      <c r="G32" s="11"/>
      <c r="H32" s="67"/>
      <c r="I32" s="12" t="s">
        <v>588</v>
      </c>
      <c r="J32" s="61">
        <v>26574</v>
      </c>
      <c r="K32" s="72">
        <v>5850</v>
      </c>
      <c r="L32" s="62" t="s">
        <v>612</v>
      </c>
      <c r="M32" s="15"/>
      <c r="N32" s="15"/>
      <c r="O32" s="15"/>
    </row>
    <row r="33" spans="1:15" x14ac:dyDescent="0.25">
      <c r="A33" s="16">
        <v>26412</v>
      </c>
      <c r="B33" s="49">
        <v>500</v>
      </c>
      <c r="C33" s="17"/>
      <c r="D33" s="13">
        <v>26490</v>
      </c>
      <c r="E33" s="100">
        <v>500</v>
      </c>
      <c r="F33" s="14"/>
      <c r="G33" s="11">
        <v>26531</v>
      </c>
      <c r="H33" s="67">
        <v>300</v>
      </c>
      <c r="I33" s="12"/>
      <c r="J33" s="61"/>
      <c r="K33" s="72"/>
      <c r="L33" s="62" t="s">
        <v>613</v>
      </c>
      <c r="M33" s="15"/>
      <c r="N33" s="15"/>
      <c r="O33" s="15"/>
    </row>
    <row r="34" spans="1:15" x14ac:dyDescent="0.25">
      <c r="A34" s="16">
        <v>26413</v>
      </c>
      <c r="B34" s="49">
        <v>400</v>
      </c>
      <c r="C34" s="115" t="s">
        <v>571</v>
      </c>
      <c r="D34" s="13">
        <v>26491</v>
      </c>
      <c r="E34" s="100">
        <v>750</v>
      </c>
      <c r="F34" s="14" t="s">
        <v>583</v>
      </c>
      <c r="G34" s="11">
        <v>26532</v>
      </c>
      <c r="H34" s="67">
        <v>500</v>
      </c>
      <c r="I34" s="12" t="s">
        <v>594</v>
      </c>
      <c r="J34" s="61"/>
      <c r="K34" s="72"/>
      <c r="L34" s="62" t="s">
        <v>608</v>
      </c>
      <c r="M34" s="15"/>
      <c r="N34" s="15"/>
      <c r="O34" s="31"/>
    </row>
    <row r="35" spans="1:15" x14ac:dyDescent="0.25">
      <c r="A35" s="16">
        <v>26414</v>
      </c>
      <c r="B35" s="49">
        <v>500</v>
      </c>
      <c r="C35" s="17"/>
      <c r="D35" s="13">
        <v>26492</v>
      </c>
      <c r="E35" s="100">
        <v>500</v>
      </c>
      <c r="F35" s="14"/>
      <c r="G35" s="11">
        <v>26533</v>
      </c>
      <c r="H35" s="67"/>
      <c r="I35" s="12" t="s">
        <v>20</v>
      </c>
      <c r="J35" s="61">
        <v>26575</v>
      </c>
      <c r="K35" s="72">
        <v>700</v>
      </c>
      <c r="L35" s="62" t="s">
        <v>483</v>
      </c>
      <c r="M35" s="15"/>
      <c r="N35" s="15"/>
      <c r="O35" s="15"/>
    </row>
    <row r="36" spans="1:15" x14ac:dyDescent="0.25">
      <c r="A36" s="16">
        <v>26415</v>
      </c>
      <c r="B36" s="49">
        <v>500</v>
      </c>
      <c r="C36" s="17"/>
      <c r="D36" s="13">
        <v>26493</v>
      </c>
      <c r="E36" s="100">
        <v>500</v>
      </c>
      <c r="F36" s="14"/>
      <c r="G36" s="11">
        <v>26534</v>
      </c>
      <c r="H36" s="67">
        <v>500</v>
      </c>
      <c r="I36" s="12"/>
      <c r="J36" s="61">
        <v>26576</v>
      </c>
      <c r="K36" s="72">
        <v>400</v>
      </c>
      <c r="L36" s="62"/>
      <c r="M36" s="15"/>
      <c r="N36" s="15"/>
      <c r="O36" s="15"/>
    </row>
    <row r="37" spans="1:15" x14ac:dyDescent="0.25">
      <c r="A37" s="16">
        <v>26416</v>
      </c>
      <c r="B37" s="49">
        <v>1500</v>
      </c>
      <c r="C37" s="17" t="s">
        <v>566</v>
      </c>
      <c r="D37" s="13">
        <v>26494</v>
      </c>
      <c r="E37" s="100">
        <v>500</v>
      </c>
      <c r="F37" s="14"/>
      <c r="G37" s="11">
        <v>26535</v>
      </c>
      <c r="H37" s="67">
        <v>500</v>
      </c>
      <c r="I37" s="12"/>
      <c r="J37" s="61">
        <v>26577</v>
      </c>
      <c r="K37" s="72">
        <v>500</v>
      </c>
      <c r="L37" s="62" t="s">
        <v>614</v>
      </c>
      <c r="M37" s="15"/>
      <c r="N37" s="15"/>
      <c r="O37" s="15"/>
    </row>
    <row r="38" spans="1:15" x14ac:dyDescent="0.25">
      <c r="A38" s="16"/>
      <c r="B38" s="49"/>
      <c r="C38" s="17" t="s">
        <v>572</v>
      </c>
      <c r="D38" s="13">
        <v>26495</v>
      </c>
      <c r="E38" s="100">
        <v>750</v>
      </c>
      <c r="F38" s="14" t="s">
        <v>584</v>
      </c>
      <c r="G38" s="11">
        <v>26536</v>
      </c>
      <c r="H38" s="67">
        <v>400</v>
      </c>
      <c r="I38" s="12"/>
      <c r="J38" s="61">
        <v>26578</v>
      </c>
      <c r="K38" s="72">
        <v>500</v>
      </c>
      <c r="L38" s="62"/>
      <c r="M38" s="15"/>
      <c r="N38" s="15"/>
      <c r="O38" s="15"/>
    </row>
    <row r="39" spans="1:15" x14ac:dyDescent="0.25">
      <c r="A39" s="16">
        <v>26417</v>
      </c>
      <c r="B39" s="49">
        <v>500</v>
      </c>
      <c r="C39" s="17" t="s">
        <v>573</v>
      </c>
      <c r="D39" s="13">
        <v>26496</v>
      </c>
      <c r="E39" s="100">
        <v>500</v>
      </c>
      <c r="F39" s="14"/>
      <c r="G39" s="11">
        <v>26537</v>
      </c>
      <c r="H39" s="67">
        <v>500</v>
      </c>
      <c r="I39" s="12"/>
      <c r="J39" s="61">
        <v>26579</v>
      </c>
      <c r="K39" s="72">
        <v>300</v>
      </c>
      <c r="L39" s="62"/>
      <c r="M39" s="15"/>
      <c r="N39" s="15"/>
      <c r="O39" s="15"/>
    </row>
    <row r="40" spans="1:15" x14ac:dyDescent="0.25">
      <c r="A40" s="16">
        <v>26418</v>
      </c>
      <c r="B40" s="49">
        <v>800</v>
      </c>
      <c r="C40" s="17" t="s">
        <v>574</v>
      </c>
      <c r="D40" s="13">
        <v>26497</v>
      </c>
      <c r="E40" s="100">
        <v>1000</v>
      </c>
      <c r="F40" s="14" t="s">
        <v>585</v>
      </c>
      <c r="G40" s="11">
        <v>26538</v>
      </c>
      <c r="H40" s="67">
        <v>1000</v>
      </c>
      <c r="I40" s="12" t="s">
        <v>595</v>
      </c>
      <c r="J40" s="61">
        <v>26580</v>
      </c>
      <c r="K40" s="72">
        <v>400</v>
      </c>
      <c r="L40" s="62"/>
      <c r="M40" s="15"/>
      <c r="N40" s="15"/>
      <c r="O40" s="15"/>
    </row>
    <row r="41" spans="1:15" x14ac:dyDescent="0.25">
      <c r="A41" s="16">
        <v>26419</v>
      </c>
      <c r="B41" s="49">
        <v>500</v>
      </c>
      <c r="C41" s="17"/>
      <c r="D41" s="13">
        <v>26498</v>
      </c>
      <c r="E41" s="100">
        <v>500</v>
      </c>
      <c r="F41" s="14"/>
      <c r="G41" s="11"/>
      <c r="H41" s="67"/>
      <c r="I41" s="12" t="s">
        <v>155</v>
      </c>
      <c r="J41" s="61">
        <v>26581</v>
      </c>
      <c r="K41" s="72">
        <v>50</v>
      </c>
      <c r="L41" s="62" t="s">
        <v>389</v>
      </c>
      <c r="M41" s="15"/>
      <c r="N41" s="15"/>
      <c r="O41" s="15"/>
    </row>
    <row r="42" spans="1:15" x14ac:dyDescent="0.25">
      <c r="A42" s="16">
        <v>26420</v>
      </c>
      <c r="B42" s="49"/>
      <c r="C42" s="17" t="s">
        <v>20</v>
      </c>
      <c r="D42" s="13">
        <v>26499</v>
      </c>
      <c r="E42" s="100">
        <v>500</v>
      </c>
      <c r="F42" s="14"/>
      <c r="G42" s="11">
        <v>26839</v>
      </c>
      <c r="H42" s="67">
        <v>500</v>
      </c>
      <c r="I42" s="12" t="s">
        <v>459</v>
      </c>
      <c r="J42" s="61">
        <v>26582</v>
      </c>
      <c r="K42" s="72">
        <v>5500</v>
      </c>
      <c r="L42" s="62" t="s">
        <v>587</v>
      </c>
      <c r="M42" s="15"/>
      <c r="N42" s="15"/>
      <c r="O42" s="15"/>
    </row>
    <row r="43" spans="1:15" x14ac:dyDescent="0.25">
      <c r="A43" s="16">
        <v>26421</v>
      </c>
      <c r="B43" s="49">
        <v>500</v>
      </c>
      <c r="C43" s="17" t="s">
        <v>459</v>
      </c>
      <c r="D43" s="13">
        <v>26500</v>
      </c>
      <c r="E43" s="100">
        <v>1200</v>
      </c>
      <c r="F43" s="14" t="s">
        <v>586</v>
      </c>
      <c r="G43" s="11">
        <v>26840</v>
      </c>
      <c r="H43" s="67">
        <v>500</v>
      </c>
      <c r="I43" s="12"/>
      <c r="J43" s="61"/>
      <c r="K43" s="72"/>
      <c r="L43" s="62" t="s">
        <v>588</v>
      </c>
      <c r="M43" s="15"/>
      <c r="N43" s="15"/>
      <c r="O43" s="15"/>
    </row>
    <row r="44" spans="1:15" x14ac:dyDescent="0.25">
      <c r="A44" s="16">
        <v>26422</v>
      </c>
      <c r="B44" s="49">
        <v>500</v>
      </c>
      <c r="C44" s="17"/>
      <c r="D44" s="13"/>
      <c r="E44" s="100"/>
      <c r="F44" s="14" t="s">
        <v>155</v>
      </c>
      <c r="G44" s="11">
        <v>26841</v>
      </c>
      <c r="H44" s="67">
        <v>500</v>
      </c>
      <c r="I44" s="12"/>
      <c r="J44" s="61">
        <v>26583</v>
      </c>
      <c r="K44" s="72">
        <v>800</v>
      </c>
      <c r="L44" s="62" t="s">
        <v>615</v>
      </c>
      <c r="M44" s="15"/>
      <c r="N44" s="15"/>
      <c r="O44" s="15"/>
    </row>
    <row r="45" spans="1:15" x14ac:dyDescent="0.25">
      <c r="A45" s="16">
        <v>26423</v>
      </c>
      <c r="B45" s="49">
        <v>5500</v>
      </c>
      <c r="C45" s="17" t="s">
        <v>575</v>
      </c>
      <c r="D45" s="13">
        <v>26501</v>
      </c>
      <c r="E45" s="100">
        <v>5500</v>
      </c>
      <c r="F45" s="14" t="s">
        <v>587</v>
      </c>
      <c r="G45" s="11">
        <v>26842</v>
      </c>
      <c r="H45" s="67">
        <v>250</v>
      </c>
      <c r="I45" s="12"/>
      <c r="J45" s="61">
        <v>26584</v>
      </c>
      <c r="K45" s="72">
        <v>500</v>
      </c>
      <c r="L45" s="62" t="s">
        <v>611</v>
      </c>
      <c r="M45" s="15"/>
      <c r="N45" s="15"/>
      <c r="O45" s="15"/>
    </row>
    <row r="46" spans="1:15" x14ac:dyDescent="0.25">
      <c r="A46" s="16"/>
      <c r="B46" s="49"/>
      <c r="C46" s="17" t="s">
        <v>94</v>
      </c>
      <c r="D46" s="13"/>
      <c r="E46" s="100"/>
      <c r="F46" s="14" t="s">
        <v>588</v>
      </c>
      <c r="G46" s="11">
        <v>26843</v>
      </c>
      <c r="H46" s="67">
        <v>1500</v>
      </c>
      <c r="I46" s="12" t="s">
        <v>487</v>
      </c>
      <c r="J46" s="61">
        <v>26585</v>
      </c>
      <c r="K46" s="72">
        <v>1000</v>
      </c>
      <c r="L46" s="62" t="s">
        <v>490</v>
      </c>
      <c r="M46" s="15"/>
      <c r="N46" s="15"/>
      <c r="O46" s="15"/>
    </row>
    <row r="47" spans="1:15" x14ac:dyDescent="0.25">
      <c r="A47" s="16"/>
      <c r="B47" s="49"/>
      <c r="C47" s="17" t="s">
        <v>64</v>
      </c>
      <c r="D47" s="13">
        <v>26502</v>
      </c>
      <c r="E47" s="100">
        <v>1500</v>
      </c>
      <c r="F47" s="14" t="s">
        <v>546</v>
      </c>
      <c r="G47" s="11"/>
      <c r="H47" s="67"/>
      <c r="I47" s="12" t="s">
        <v>64</v>
      </c>
      <c r="J47" s="61"/>
      <c r="K47" s="72"/>
      <c r="L47" s="62" t="s">
        <v>64</v>
      </c>
      <c r="M47" s="15"/>
      <c r="N47" s="15"/>
      <c r="O47" s="15"/>
    </row>
    <row r="48" spans="1:15" x14ac:dyDescent="0.25">
      <c r="A48" s="16">
        <v>26424</v>
      </c>
      <c r="B48" s="49">
        <v>500</v>
      </c>
      <c r="C48" s="17" t="s">
        <v>571</v>
      </c>
      <c r="D48" s="13">
        <v>26503</v>
      </c>
      <c r="E48" s="100">
        <v>400</v>
      </c>
      <c r="F48" s="91" t="s">
        <v>589</v>
      </c>
      <c r="G48" s="11">
        <v>26844</v>
      </c>
      <c r="H48" s="67">
        <v>1000</v>
      </c>
      <c r="I48" s="12" t="s">
        <v>595</v>
      </c>
      <c r="J48" s="61">
        <v>26586</v>
      </c>
      <c r="K48" s="72">
        <v>500</v>
      </c>
      <c r="L48" s="62"/>
      <c r="M48" s="15"/>
      <c r="N48" s="15"/>
      <c r="O48" s="15"/>
    </row>
    <row r="49" spans="1:15" x14ac:dyDescent="0.25">
      <c r="A49" s="16">
        <v>26425</v>
      </c>
      <c r="B49" s="49">
        <v>300</v>
      </c>
      <c r="C49" s="17"/>
      <c r="D49" s="13">
        <v>26504</v>
      </c>
      <c r="E49" s="100">
        <v>350</v>
      </c>
      <c r="F49" s="14"/>
      <c r="G49" s="11"/>
      <c r="H49" s="67"/>
      <c r="I49" s="12" t="s">
        <v>155</v>
      </c>
      <c r="J49" s="61">
        <v>26587</v>
      </c>
      <c r="K49" s="72">
        <v>500</v>
      </c>
      <c r="L49" s="62"/>
      <c r="M49" s="15"/>
      <c r="N49" s="15"/>
      <c r="O49" s="15"/>
    </row>
    <row r="50" spans="1:15" x14ac:dyDescent="0.25">
      <c r="A50" s="16">
        <v>26426</v>
      </c>
      <c r="B50" s="49">
        <v>600</v>
      </c>
      <c r="C50" s="17" t="s">
        <v>515</v>
      </c>
      <c r="D50" s="13">
        <v>26505</v>
      </c>
      <c r="E50" s="100">
        <v>400</v>
      </c>
      <c r="F50" s="14"/>
      <c r="G50" s="11">
        <v>26845</v>
      </c>
      <c r="H50" s="67">
        <v>400</v>
      </c>
      <c r="I50" s="95" t="s">
        <v>596</v>
      </c>
      <c r="J50" s="61">
        <v>26588</v>
      </c>
      <c r="K50" s="72">
        <v>5500</v>
      </c>
      <c r="L50" s="62" t="s">
        <v>587</v>
      </c>
      <c r="M50" s="15"/>
      <c r="N50" s="15"/>
      <c r="O50" s="15"/>
    </row>
    <row r="51" spans="1:15" x14ac:dyDescent="0.25">
      <c r="A51" s="16">
        <v>26427</v>
      </c>
      <c r="B51" s="49">
        <v>500</v>
      </c>
      <c r="C51" s="17" t="s">
        <v>527</v>
      </c>
      <c r="D51" s="13">
        <v>26506</v>
      </c>
      <c r="E51" s="100">
        <v>300</v>
      </c>
      <c r="F51" s="14"/>
      <c r="G51" s="11">
        <v>26846</v>
      </c>
      <c r="H51" s="67">
        <v>300</v>
      </c>
      <c r="I51" s="12"/>
      <c r="J51" s="61"/>
      <c r="K51" s="72"/>
      <c r="L51" s="62" t="s">
        <v>588</v>
      </c>
      <c r="M51" s="15"/>
      <c r="N51" s="15"/>
      <c r="O51" s="15"/>
    </row>
    <row r="52" spans="1:15" x14ac:dyDescent="0.25">
      <c r="A52" s="16">
        <v>26428</v>
      </c>
      <c r="B52" s="49">
        <v>600</v>
      </c>
      <c r="C52" s="17" t="s">
        <v>459</v>
      </c>
      <c r="D52" s="13">
        <v>26507</v>
      </c>
      <c r="E52" s="100">
        <v>1500</v>
      </c>
      <c r="F52" s="14" t="s">
        <v>546</v>
      </c>
      <c r="G52" s="11">
        <v>26847</v>
      </c>
      <c r="H52" s="67"/>
      <c r="I52" s="12" t="s">
        <v>20</v>
      </c>
      <c r="J52" s="61">
        <v>26589</v>
      </c>
      <c r="K52" s="72">
        <v>1000</v>
      </c>
      <c r="L52" s="62" t="s">
        <v>490</v>
      </c>
      <c r="M52" s="15"/>
      <c r="N52" s="15"/>
      <c r="O52" s="15"/>
    </row>
    <row r="53" spans="1:15" x14ac:dyDescent="0.25">
      <c r="A53" s="16">
        <v>26429</v>
      </c>
      <c r="B53" s="49">
        <v>500</v>
      </c>
      <c r="C53" s="17"/>
      <c r="D53" s="13">
        <v>26508</v>
      </c>
      <c r="E53" s="100">
        <v>1000</v>
      </c>
      <c r="F53" s="14" t="s">
        <v>514</v>
      </c>
      <c r="G53" s="11">
        <v>26848</v>
      </c>
      <c r="H53" s="67">
        <v>5200</v>
      </c>
      <c r="I53" s="12" t="s">
        <v>597</v>
      </c>
      <c r="J53" s="61"/>
      <c r="K53" s="72"/>
      <c r="L53" s="62" t="s">
        <v>64</v>
      </c>
      <c r="M53" s="15"/>
      <c r="N53" s="15"/>
      <c r="O53" s="15"/>
    </row>
    <row r="54" spans="1:15" x14ac:dyDescent="0.25">
      <c r="A54" s="16">
        <v>26430</v>
      </c>
      <c r="B54" s="49">
        <v>500</v>
      </c>
      <c r="C54" s="17"/>
      <c r="D54" s="13">
        <v>26509</v>
      </c>
      <c r="E54" s="100">
        <v>400</v>
      </c>
      <c r="F54" s="14"/>
      <c r="G54" s="11"/>
      <c r="H54" s="67"/>
      <c r="I54" s="12" t="s">
        <v>598</v>
      </c>
      <c r="J54" s="61">
        <v>26590</v>
      </c>
      <c r="K54" s="72">
        <v>1000</v>
      </c>
      <c r="L54" s="62" t="s">
        <v>614</v>
      </c>
      <c r="M54" s="15"/>
      <c r="N54" s="15"/>
      <c r="O54" s="15"/>
    </row>
    <row r="55" spans="1:15" x14ac:dyDescent="0.25">
      <c r="A55" s="16">
        <v>26431</v>
      </c>
      <c r="B55" s="49">
        <v>400</v>
      </c>
      <c r="C55" s="17"/>
      <c r="D55" s="13">
        <v>26510</v>
      </c>
      <c r="E55" s="100">
        <v>500</v>
      </c>
      <c r="F55" s="14" t="s">
        <v>459</v>
      </c>
      <c r="G55" s="11"/>
      <c r="H55" s="67"/>
      <c r="I55" s="12" t="s">
        <v>599</v>
      </c>
      <c r="J55" s="61">
        <v>26591</v>
      </c>
      <c r="K55" s="72">
        <v>500</v>
      </c>
      <c r="L55" s="62"/>
      <c r="M55" s="15"/>
      <c r="N55" s="15"/>
      <c r="O55" s="15"/>
    </row>
    <row r="56" spans="1:15" x14ac:dyDescent="0.25">
      <c r="A56" s="16">
        <v>26432</v>
      </c>
      <c r="B56" s="49">
        <v>1000</v>
      </c>
      <c r="C56" s="17" t="s">
        <v>576</v>
      </c>
      <c r="D56" s="13">
        <v>26511</v>
      </c>
      <c r="E56" s="100">
        <v>500</v>
      </c>
      <c r="F56" s="14"/>
      <c r="G56" s="11">
        <v>26849</v>
      </c>
      <c r="H56" s="67">
        <v>300</v>
      </c>
      <c r="I56" s="12" t="s">
        <v>600</v>
      </c>
      <c r="J56" s="61">
        <v>26592</v>
      </c>
      <c r="K56" s="72">
        <v>500</v>
      </c>
      <c r="L56" s="62" t="s">
        <v>573</v>
      </c>
      <c r="M56" s="15"/>
      <c r="N56" s="15"/>
      <c r="O56" s="15"/>
    </row>
    <row r="57" spans="1:15" x14ac:dyDescent="0.25">
      <c r="A57" s="16">
        <v>26433</v>
      </c>
      <c r="B57" s="49">
        <v>500</v>
      </c>
      <c r="C57" s="17" t="s">
        <v>459</v>
      </c>
      <c r="D57" s="13">
        <v>26512</v>
      </c>
      <c r="E57" s="100">
        <v>500</v>
      </c>
      <c r="F57" s="14"/>
      <c r="G57" s="11">
        <v>26550</v>
      </c>
      <c r="H57" s="67">
        <v>500</v>
      </c>
      <c r="I57" s="12"/>
      <c r="J57" s="61">
        <v>26593</v>
      </c>
      <c r="K57" s="72">
        <v>500</v>
      </c>
      <c r="L57" s="62"/>
      <c r="M57" s="15"/>
      <c r="N57" s="15"/>
      <c r="O57" s="15"/>
    </row>
    <row r="58" spans="1:15" x14ac:dyDescent="0.25">
      <c r="A58" s="16">
        <v>26434</v>
      </c>
      <c r="B58" s="49">
        <v>500</v>
      </c>
      <c r="C58" s="17" t="s">
        <v>459</v>
      </c>
      <c r="D58" s="13"/>
      <c r="E58" s="100"/>
      <c r="F58" s="14"/>
      <c r="G58" s="11">
        <v>26551</v>
      </c>
      <c r="H58" s="67">
        <v>500</v>
      </c>
      <c r="I58" s="12"/>
      <c r="J58" s="61">
        <v>26594</v>
      </c>
      <c r="K58" s="72">
        <v>500</v>
      </c>
      <c r="L58" s="62"/>
      <c r="M58" s="15"/>
      <c r="N58" s="15"/>
      <c r="O58" s="15"/>
    </row>
    <row r="59" spans="1:15" x14ac:dyDescent="0.25">
      <c r="A59" s="16">
        <v>26435</v>
      </c>
      <c r="B59" s="49">
        <v>4950</v>
      </c>
      <c r="C59" s="17" t="s">
        <v>575</v>
      </c>
      <c r="D59" s="13"/>
      <c r="E59" s="100"/>
      <c r="F59" s="14"/>
      <c r="G59" s="11">
        <v>26552</v>
      </c>
      <c r="H59" s="67">
        <v>500</v>
      </c>
      <c r="I59" s="12"/>
      <c r="J59" s="61">
        <v>26595</v>
      </c>
      <c r="K59" s="72">
        <v>50</v>
      </c>
      <c r="L59" s="62" t="s">
        <v>389</v>
      </c>
      <c r="M59" s="15"/>
      <c r="N59" s="15"/>
      <c r="O59" s="15"/>
    </row>
    <row r="60" spans="1:15" x14ac:dyDescent="0.25">
      <c r="A60" s="16"/>
      <c r="B60" s="49"/>
      <c r="C60" s="17" t="s">
        <v>94</v>
      </c>
      <c r="D60" s="13"/>
      <c r="E60" s="100"/>
      <c r="F60" s="14"/>
      <c r="G60" s="11">
        <v>26553</v>
      </c>
      <c r="H60" s="67">
        <v>300</v>
      </c>
      <c r="I60" s="12"/>
      <c r="J60" s="61">
        <v>26596</v>
      </c>
      <c r="K60" s="72">
        <v>350</v>
      </c>
      <c r="L60" s="153" t="s">
        <v>616</v>
      </c>
      <c r="M60" s="15"/>
      <c r="N60" s="15"/>
      <c r="O60" s="15"/>
    </row>
    <row r="61" spans="1:15" x14ac:dyDescent="0.25">
      <c r="A61" s="16"/>
      <c r="B61" s="49"/>
      <c r="C61" s="17" t="s">
        <v>22</v>
      </c>
      <c r="D61" s="13"/>
      <c r="E61" s="100"/>
      <c r="F61" s="14"/>
      <c r="G61" s="11">
        <v>26554</v>
      </c>
      <c r="H61" s="67">
        <v>850</v>
      </c>
      <c r="I61" s="12" t="s">
        <v>601</v>
      </c>
      <c r="J61" s="61">
        <v>26597</v>
      </c>
      <c r="K61" s="72">
        <v>500</v>
      </c>
      <c r="L61" s="62" t="s">
        <v>490</v>
      </c>
      <c r="M61" s="15"/>
      <c r="N61" s="15"/>
      <c r="O61" s="15"/>
    </row>
    <row r="62" spans="1:15" x14ac:dyDescent="0.25">
      <c r="A62" s="16">
        <v>26436</v>
      </c>
      <c r="B62" s="49">
        <v>500</v>
      </c>
      <c r="C62" s="17"/>
      <c r="D62" s="13"/>
      <c r="E62" s="100"/>
      <c r="F62" s="14"/>
      <c r="G62" s="11">
        <v>26555</v>
      </c>
      <c r="H62" s="67">
        <v>600</v>
      </c>
      <c r="I62" s="12" t="s">
        <v>602</v>
      </c>
      <c r="J62" s="61"/>
      <c r="K62" s="72"/>
      <c r="L62" s="62" t="s">
        <v>16</v>
      </c>
      <c r="M62" s="15"/>
      <c r="N62" s="15"/>
      <c r="O62" s="15"/>
    </row>
    <row r="63" spans="1:15" x14ac:dyDescent="0.25">
      <c r="A63" s="16">
        <v>26437</v>
      </c>
      <c r="B63" s="49">
        <v>4400</v>
      </c>
      <c r="C63" s="17" t="s">
        <v>575</v>
      </c>
      <c r="D63" s="13"/>
      <c r="E63" s="100"/>
      <c r="F63" s="14"/>
      <c r="G63" s="11"/>
      <c r="H63" s="67"/>
      <c r="I63" s="12" t="s">
        <v>52</v>
      </c>
      <c r="J63" s="61">
        <v>26598</v>
      </c>
      <c r="K63" s="72">
        <v>50</v>
      </c>
      <c r="L63" s="62" t="s">
        <v>389</v>
      </c>
      <c r="M63" s="15"/>
      <c r="N63" s="15"/>
      <c r="O63" s="15"/>
    </row>
    <row r="64" spans="1:15" x14ac:dyDescent="0.25">
      <c r="A64" s="16"/>
      <c r="B64" s="49"/>
      <c r="C64" s="17" t="s">
        <v>94</v>
      </c>
      <c r="D64" s="13"/>
      <c r="E64" s="100"/>
      <c r="F64" s="14"/>
      <c r="G64" s="11">
        <v>26556</v>
      </c>
      <c r="H64" s="67">
        <v>300</v>
      </c>
      <c r="I64" s="12"/>
      <c r="J64" s="61"/>
      <c r="K64" s="72"/>
      <c r="L64" s="62"/>
      <c r="M64" s="15"/>
      <c r="N64" s="15"/>
      <c r="O64" s="15"/>
    </row>
    <row r="65" spans="1:15" x14ac:dyDescent="0.25">
      <c r="A65" s="16"/>
      <c r="B65" s="49"/>
      <c r="C65" s="17" t="s">
        <v>17</v>
      </c>
      <c r="D65" s="13"/>
      <c r="E65" s="100"/>
      <c r="F65" s="14"/>
      <c r="G65" s="11">
        <v>26557</v>
      </c>
      <c r="H65" s="67">
        <v>800</v>
      </c>
      <c r="I65" s="12" t="s">
        <v>603</v>
      </c>
      <c r="J65" s="61"/>
      <c r="K65" s="72"/>
      <c r="L65" s="62"/>
      <c r="M65" s="15"/>
      <c r="N65" s="15"/>
      <c r="O65" s="15"/>
    </row>
    <row r="66" spans="1:15" x14ac:dyDescent="0.25">
      <c r="A66" s="16">
        <v>26438</v>
      </c>
      <c r="B66" s="49">
        <v>500</v>
      </c>
      <c r="C66" s="17"/>
      <c r="D66" s="13"/>
      <c r="E66" s="100"/>
      <c r="F66" s="14"/>
      <c r="G66" s="11"/>
      <c r="H66" s="67"/>
      <c r="I66" s="12"/>
      <c r="J66" s="61"/>
      <c r="K66" s="72"/>
      <c r="L66" s="62"/>
      <c r="M66" s="15"/>
      <c r="N66" s="15"/>
      <c r="O66" s="15"/>
    </row>
    <row r="67" spans="1:15" x14ac:dyDescent="0.25">
      <c r="A67" s="16">
        <v>26439</v>
      </c>
      <c r="B67" s="49">
        <v>450</v>
      </c>
      <c r="C67" s="17"/>
      <c r="D67" s="13"/>
      <c r="E67" s="100"/>
      <c r="F67" s="14"/>
      <c r="G67" s="11"/>
      <c r="H67" s="67"/>
      <c r="I67" s="12"/>
      <c r="J67" s="61"/>
      <c r="K67" s="72"/>
      <c r="L67" s="62"/>
      <c r="M67" s="15"/>
      <c r="N67" s="15"/>
      <c r="O67" s="15"/>
    </row>
    <row r="68" spans="1:15" x14ac:dyDescent="0.25">
      <c r="A68" s="16">
        <v>26440</v>
      </c>
      <c r="B68" s="49">
        <v>500</v>
      </c>
      <c r="C68" s="17"/>
      <c r="D68" s="13"/>
      <c r="E68" s="100"/>
      <c r="F68" s="14"/>
      <c r="G68" s="11"/>
      <c r="H68" s="67"/>
      <c r="I68" s="12"/>
      <c r="J68" s="61"/>
      <c r="K68" s="72"/>
      <c r="L68" s="62"/>
      <c r="M68" s="15"/>
      <c r="N68" s="15"/>
      <c r="O68" s="15"/>
    </row>
    <row r="69" spans="1:15" x14ac:dyDescent="0.25">
      <c r="A69" s="16">
        <v>26441</v>
      </c>
      <c r="B69" s="49">
        <v>1000</v>
      </c>
      <c r="C69" s="17" t="s">
        <v>514</v>
      </c>
      <c r="D69" s="13"/>
      <c r="E69" s="100"/>
      <c r="F69" s="14"/>
      <c r="G69" s="11"/>
      <c r="H69" s="67"/>
      <c r="I69" s="12"/>
      <c r="J69" s="61"/>
      <c r="K69" s="72"/>
      <c r="L69" s="62"/>
      <c r="M69" s="15"/>
      <c r="N69" s="15"/>
      <c r="O69" s="15"/>
    </row>
    <row r="70" spans="1:15" x14ac:dyDescent="0.25">
      <c r="A70" s="16">
        <v>26442</v>
      </c>
      <c r="B70" s="49">
        <v>500</v>
      </c>
      <c r="C70" s="17" t="s">
        <v>459</v>
      </c>
      <c r="D70" s="13"/>
      <c r="E70" s="100"/>
      <c r="F70" s="14"/>
      <c r="G70" s="11"/>
      <c r="H70" s="67"/>
      <c r="I70" s="12"/>
      <c r="J70" s="61"/>
      <c r="K70" s="72"/>
      <c r="L70" s="62"/>
      <c r="M70" s="15"/>
      <c r="N70" s="15"/>
      <c r="O70" s="15"/>
    </row>
    <row r="71" spans="1:15" x14ac:dyDescent="0.25">
      <c r="A71" s="16">
        <v>26443</v>
      </c>
      <c r="B71" s="49">
        <v>200</v>
      </c>
      <c r="C71" s="17"/>
      <c r="D71" s="13"/>
      <c r="E71" s="100"/>
      <c r="F71" s="14"/>
      <c r="G71" s="11"/>
      <c r="H71" s="67"/>
      <c r="I71" s="12"/>
      <c r="J71" s="61"/>
      <c r="K71" s="72"/>
      <c r="L71" s="62"/>
      <c r="M71" s="15"/>
      <c r="N71" s="15"/>
      <c r="O71" s="15"/>
    </row>
    <row r="72" spans="1:15" x14ac:dyDescent="0.25">
      <c r="A72" s="16">
        <v>26444</v>
      </c>
      <c r="B72" s="49">
        <v>500</v>
      </c>
      <c r="C72" s="17"/>
      <c r="D72" s="13"/>
      <c r="E72" s="100"/>
      <c r="F72" s="14"/>
      <c r="G72" s="11"/>
      <c r="H72" s="67"/>
      <c r="I72" s="12"/>
      <c r="J72" s="61"/>
      <c r="K72" s="72"/>
      <c r="L72" s="62"/>
      <c r="M72" s="15"/>
      <c r="N72" s="15"/>
      <c r="O72" s="15"/>
    </row>
    <row r="73" spans="1:15" x14ac:dyDescent="0.25">
      <c r="A73" s="16">
        <v>26445</v>
      </c>
      <c r="B73" s="49">
        <v>400</v>
      </c>
      <c r="C73" s="17"/>
      <c r="D73" s="13"/>
      <c r="E73" s="100"/>
      <c r="F73" s="14"/>
      <c r="G73" s="11"/>
      <c r="H73" s="67"/>
      <c r="I73" s="12"/>
      <c r="J73" s="61"/>
      <c r="K73" s="72"/>
      <c r="L73" s="62"/>
      <c r="M73" s="15"/>
      <c r="N73" s="15"/>
      <c r="O73" s="15"/>
    </row>
    <row r="74" spans="1:15" x14ac:dyDescent="0.25">
      <c r="A74" s="16">
        <v>26446</v>
      </c>
      <c r="B74" s="49">
        <v>500</v>
      </c>
      <c r="C74" s="17"/>
      <c r="D74" s="13"/>
      <c r="E74" s="100"/>
      <c r="F74" s="14"/>
      <c r="G74" s="11"/>
      <c r="H74" s="67"/>
      <c r="I74" s="12"/>
      <c r="J74" s="61"/>
      <c r="K74" s="72"/>
      <c r="L74" s="62"/>
      <c r="M74" s="15"/>
      <c r="N74" s="15"/>
      <c r="O74" s="15"/>
    </row>
    <row r="75" spans="1:15" x14ac:dyDescent="0.25">
      <c r="A75" s="16">
        <v>26447</v>
      </c>
      <c r="B75" s="49">
        <v>3600</v>
      </c>
      <c r="C75" s="17" t="s">
        <v>575</v>
      </c>
      <c r="D75" s="13"/>
      <c r="E75" s="100"/>
      <c r="F75" s="14"/>
      <c r="G75" s="11"/>
      <c r="H75" s="67"/>
      <c r="I75" s="12"/>
      <c r="J75" s="61"/>
      <c r="K75" s="72"/>
      <c r="L75" s="62"/>
      <c r="M75" s="15"/>
      <c r="N75" s="15"/>
      <c r="O75" s="15"/>
    </row>
    <row r="76" spans="1:15" x14ac:dyDescent="0.25">
      <c r="A76" s="16"/>
      <c r="B76" s="49"/>
      <c r="C76" s="17" t="s">
        <v>18</v>
      </c>
      <c r="D76" s="13"/>
      <c r="E76" s="100"/>
      <c r="F76" s="14"/>
      <c r="G76" s="11"/>
      <c r="H76" s="67"/>
      <c r="I76" s="12"/>
      <c r="J76" s="61"/>
      <c r="K76" s="72"/>
      <c r="L76" s="62"/>
      <c r="M76" s="15"/>
      <c r="N76" s="15"/>
      <c r="O76" s="15"/>
    </row>
    <row r="77" spans="1:15" x14ac:dyDescent="0.25">
      <c r="A77" s="16">
        <v>26448</v>
      </c>
      <c r="B77" s="49">
        <v>500</v>
      </c>
      <c r="C77" s="17"/>
      <c r="D77" s="13"/>
      <c r="E77" s="100"/>
      <c r="F77" s="14"/>
      <c r="G77" s="11"/>
      <c r="H77" s="67"/>
      <c r="I77" s="12"/>
      <c r="J77" s="61"/>
      <c r="K77" s="72"/>
      <c r="L77" s="62"/>
      <c r="M77" s="15"/>
      <c r="N77" s="15"/>
      <c r="O77" s="15"/>
    </row>
    <row r="78" spans="1:15" x14ac:dyDescent="0.25">
      <c r="A78" s="16">
        <v>26449</v>
      </c>
      <c r="B78" s="49">
        <v>1000</v>
      </c>
      <c r="C78" s="17" t="s">
        <v>576</v>
      </c>
      <c r="D78" s="13"/>
      <c r="E78" s="100"/>
      <c r="F78" s="14"/>
      <c r="G78" s="11"/>
      <c r="H78" s="67"/>
      <c r="I78" s="12"/>
      <c r="J78" s="61"/>
      <c r="K78" s="72"/>
      <c r="L78" s="62"/>
      <c r="M78" s="15"/>
      <c r="N78" s="15"/>
      <c r="O78" s="15"/>
    </row>
    <row r="79" spans="1:15" x14ac:dyDescent="0.25">
      <c r="A79" s="16">
        <v>26450</v>
      </c>
      <c r="B79" s="49">
        <v>200</v>
      </c>
      <c r="C79" s="17"/>
      <c r="D79" s="13"/>
      <c r="E79" s="100"/>
      <c r="F79" s="14"/>
      <c r="G79" s="11"/>
      <c r="H79" s="67"/>
      <c r="I79" s="12"/>
      <c r="J79" s="61"/>
      <c r="K79" s="72"/>
      <c r="L79" s="62"/>
      <c r="M79" s="15"/>
      <c r="N79" s="15"/>
      <c r="O79" s="15"/>
    </row>
    <row r="80" spans="1:15" x14ac:dyDescent="0.25">
      <c r="A80" s="16">
        <v>26451</v>
      </c>
      <c r="B80" s="49">
        <v>1000</v>
      </c>
      <c r="C80" s="17" t="s">
        <v>514</v>
      </c>
      <c r="D80" s="13"/>
      <c r="E80" s="100"/>
      <c r="F80" s="14"/>
      <c r="G80" s="11"/>
      <c r="H80" s="67"/>
      <c r="I80" s="12"/>
      <c r="J80" s="61"/>
      <c r="K80" s="72"/>
      <c r="L80" s="62"/>
      <c r="M80" s="15"/>
      <c r="N80" s="15"/>
      <c r="O80" s="15"/>
    </row>
    <row r="81" spans="1:19" x14ac:dyDescent="0.25">
      <c r="A81" s="16">
        <v>26452</v>
      </c>
      <c r="B81" s="49">
        <v>400</v>
      </c>
      <c r="C81" s="17"/>
      <c r="D81" s="13"/>
      <c r="E81" s="100"/>
      <c r="F81" s="14"/>
      <c r="G81" s="11"/>
      <c r="H81" s="67"/>
      <c r="I81" s="12"/>
      <c r="J81" s="61"/>
      <c r="K81" s="72"/>
      <c r="L81" s="62"/>
      <c r="M81" s="15"/>
      <c r="N81" s="15"/>
      <c r="O81" s="15"/>
    </row>
    <row r="82" spans="1:19" x14ac:dyDescent="0.25">
      <c r="A82" s="16">
        <v>26453</v>
      </c>
      <c r="B82" s="49"/>
      <c r="C82" s="17" t="s">
        <v>20</v>
      </c>
      <c r="D82" s="13"/>
      <c r="E82" s="100"/>
      <c r="F82" s="14"/>
      <c r="G82" s="11"/>
      <c r="H82" s="67"/>
      <c r="I82" s="12"/>
      <c r="J82" s="61"/>
      <c r="K82" s="72"/>
      <c r="L82" s="62"/>
      <c r="M82" s="15"/>
      <c r="N82" s="15"/>
      <c r="O82" s="15"/>
    </row>
    <row r="83" spans="1:19" x14ac:dyDescent="0.25">
      <c r="A83" s="16">
        <v>26454</v>
      </c>
      <c r="B83" s="49">
        <v>350</v>
      </c>
      <c r="C83" s="17"/>
      <c r="D83" s="13"/>
      <c r="E83" s="100"/>
      <c r="F83" s="14"/>
      <c r="G83" s="11"/>
      <c r="H83" s="67"/>
      <c r="I83" s="12"/>
      <c r="J83" s="61"/>
      <c r="K83" s="72"/>
      <c r="L83" s="62"/>
      <c r="M83" s="15"/>
      <c r="N83" s="15"/>
      <c r="O83" s="15"/>
    </row>
    <row r="84" spans="1:19" x14ac:dyDescent="0.25">
      <c r="A84" s="16">
        <v>26455</v>
      </c>
      <c r="B84" s="49">
        <v>500</v>
      </c>
      <c r="C84" s="17"/>
      <c r="D84" s="13"/>
      <c r="E84" s="100"/>
      <c r="F84" s="14"/>
      <c r="G84" s="11"/>
      <c r="H84" s="67"/>
      <c r="I84" s="12"/>
      <c r="J84" s="61"/>
      <c r="K84" s="72"/>
      <c r="L84" s="62"/>
      <c r="M84" s="15"/>
      <c r="N84" s="15"/>
      <c r="O84" s="15"/>
    </row>
    <row r="85" spans="1:19" x14ac:dyDescent="0.25">
      <c r="A85" s="16">
        <v>26456</v>
      </c>
      <c r="B85" s="49">
        <v>1000</v>
      </c>
      <c r="C85" s="17" t="s">
        <v>514</v>
      </c>
      <c r="D85" s="13"/>
      <c r="E85" s="100"/>
      <c r="F85" s="14"/>
      <c r="G85" s="11"/>
      <c r="H85" s="67"/>
      <c r="I85" s="12"/>
      <c r="J85" s="61"/>
      <c r="K85" s="72"/>
      <c r="L85" s="62"/>
      <c r="M85" s="15"/>
      <c r="N85" s="15"/>
      <c r="O85" s="15"/>
    </row>
    <row r="86" spans="1:19" x14ac:dyDescent="0.25">
      <c r="A86" s="16">
        <v>26457</v>
      </c>
      <c r="B86" s="49">
        <v>500</v>
      </c>
      <c r="C86" s="17" t="s">
        <v>459</v>
      </c>
      <c r="D86" s="13"/>
      <c r="E86" s="100"/>
      <c r="F86" s="14"/>
      <c r="G86" s="11"/>
      <c r="H86" s="67"/>
      <c r="I86" s="12"/>
      <c r="J86" s="61"/>
      <c r="K86" s="72"/>
      <c r="L86" s="62"/>
      <c r="M86" s="15"/>
      <c r="N86" s="15"/>
      <c r="O86" s="15"/>
    </row>
    <row r="87" spans="1:19" x14ac:dyDescent="0.25">
      <c r="A87" s="16">
        <v>26458</v>
      </c>
      <c r="B87" s="49">
        <v>300</v>
      </c>
      <c r="C87" s="17"/>
      <c r="D87" s="13"/>
      <c r="E87" s="100"/>
      <c r="F87" s="14"/>
      <c r="G87" s="11"/>
      <c r="H87" s="67"/>
      <c r="I87" s="12"/>
      <c r="J87" s="61"/>
      <c r="K87" s="72"/>
      <c r="L87" s="62"/>
      <c r="M87" s="15"/>
      <c r="N87" s="15"/>
      <c r="O87" s="15"/>
    </row>
    <row r="88" spans="1:19" x14ac:dyDescent="0.25">
      <c r="A88" s="16">
        <v>26459</v>
      </c>
      <c r="B88" s="49">
        <v>700</v>
      </c>
      <c r="C88" s="17"/>
      <c r="D88" s="13"/>
      <c r="E88" s="100"/>
      <c r="F88" s="14"/>
      <c r="G88" s="11"/>
      <c r="H88" s="67"/>
      <c r="I88" s="12"/>
      <c r="J88" s="61"/>
      <c r="K88" s="72"/>
      <c r="L88" s="62"/>
      <c r="M88" s="15"/>
      <c r="N88" s="15"/>
      <c r="O88" s="15"/>
    </row>
    <row r="89" spans="1:19" x14ac:dyDescent="0.25">
      <c r="A89" s="16">
        <v>26460</v>
      </c>
      <c r="B89" s="49">
        <v>1500</v>
      </c>
      <c r="C89" s="17" t="s">
        <v>566</v>
      </c>
      <c r="D89" s="13"/>
      <c r="E89" s="100"/>
      <c r="F89" s="14"/>
      <c r="G89" s="11"/>
      <c r="H89" s="67"/>
      <c r="I89" s="12"/>
      <c r="J89" s="61"/>
      <c r="K89" s="72"/>
      <c r="L89" s="62"/>
      <c r="M89" s="15"/>
      <c r="N89" s="15"/>
      <c r="O89" s="15"/>
    </row>
    <row r="90" spans="1:19" x14ac:dyDescent="0.25">
      <c r="A90" s="16"/>
      <c r="B90" s="49"/>
      <c r="C90" s="17" t="s">
        <v>572</v>
      </c>
      <c r="D90" s="13"/>
      <c r="E90" s="100"/>
      <c r="F90" s="14"/>
      <c r="G90" s="11"/>
      <c r="H90" s="67"/>
      <c r="I90" s="12"/>
      <c r="J90" s="61"/>
      <c r="K90" s="72"/>
      <c r="L90" s="62"/>
      <c r="M90" s="15"/>
      <c r="N90" s="15"/>
      <c r="O90" s="15"/>
    </row>
    <row r="91" spans="1:19" x14ac:dyDescent="0.25">
      <c r="A91" s="16">
        <v>26461</v>
      </c>
      <c r="B91" s="49">
        <v>4500</v>
      </c>
      <c r="C91" s="17" t="s">
        <v>575</v>
      </c>
      <c r="D91" s="13"/>
      <c r="E91" s="100"/>
      <c r="F91" s="14"/>
      <c r="G91" s="11"/>
      <c r="H91" s="67"/>
      <c r="I91" s="12"/>
      <c r="J91" s="61"/>
      <c r="K91" s="72"/>
      <c r="L91" s="62"/>
      <c r="M91" s="15"/>
      <c r="N91" s="15"/>
      <c r="O91" s="15"/>
    </row>
    <row r="92" spans="1:19" x14ac:dyDescent="0.25">
      <c r="A92" s="16"/>
      <c r="B92" s="49"/>
      <c r="C92" s="17" t="s">
        <v>577</v>
      </c>
      <c r="D92" s="13"/>
      <c r="E92" s="100"/>
      <c r="F92" s="14"/>
      <c r="G92" s="11"/>
      <c r="H92" s="67"/>
      <c r="I92" s="12"/>
      <c r="J92" s="61"/>
      <c r="K92" s="72"/>
      <c r="L92" s="62"/>
      <c r="M92" s="15"/>
      <c r="N92" s="15"/>
      <c r="O92" s="15"/>
    </row>
    <row r="93" spans="1:19" x14ac:dyDescent="0.25">
      <c r="A93" s="16">
        <v>26462</v>
      </c>
      <c r="B93" s="49">
        <v>400</v>
      </c>
      <c r="C93" s="17" t="s">
        <v>459</v>
      </c>
      <c r="D93" s="13"/>
      <c r="E93" s="100"/>
      <c r="F93" s="14"/>
      <c r="G93" s="11"/>
      <c r="H93" s="67"/>
      <c r="I93" s="12"/>
      <c r="J93" s="61"/>
      <c r="K93" s="72"/>
      <c r="L93" s="62"/>
      <c r="M93" s="15"/>
      <c r="N93" s="15"/>
      <c r="O93" s="15"/>
      <c r="P93" s="58"/>
      <c r="Q93" s="58"/>
      <c r="R93" s="58"/>
      <c r="S93" s="58"/>
    </row>
    <row r="94" spans="1:19" x14ac:dyDescent="0.25">
      <c r="A94" s="16">
        <v>26463</v>
      </c>
      <c r="B94" s="49">
        <v>1000</v>
      </c>
      <c r="C94" s="17" t="s">
        <v>517</v>
      </c>
      <c r="D94" s="13"/>
      <c r="E94" s="100"/>
      <c r="F94" s="14"/>
      <c r="G94" s="11"/>
      <c r="H94" s="67"/>
      <c r="I94" s="12"/>
      <c r="J94" s="61"/>
      <c r="K94" s="72"/>
      <c r="L94" s="62"/>
      <c r="M94" s="15"/>
      <c r="N94" s="15"/>
      <c r="O94" s="15"/>
      <c r="P94" s="58"/>
      <c r="Q94" s="58"/>
      <c r="R94" s="58"/>
      <c r="S94" s="58"/>
    </row>
    <row r="95" spans="1:19" x14ac:dyDescent="0.25">
      <c r="A95" s="16">
        <v>26464</v>
      </c>
      <c r="B95" s="49">
        <v>350</v>
      </c>
      <c r="C95" s="17" t="s">
        <v>178</v>
      </c>
      <c r="D95" s="13"/>
      <c r="E95" s="100"/>
      <c r="F95" s="14"/>
      <c r="G95" s="11"/>
      <c r="H95" s="67"/>
      <c r="I95" s="12"/>
      <c r="J95" s="61"/>
      <c r="K95" s="72"/>
      <c r="L95" s="62"/>
      <c r="M95" s="15"/>
      <c r="N95" s="15"/>
      <c r="O95" s="15"/>
      <c r="P95" s="58"/>
      <c r="Q95" s="58"/>
      <c r="R95" s="58"/>
      <c r="S95" s="58"/>
    </row>
    <row r="96" spans="1:19" x14ac:dyDescent="0.25">
      <c r="A96" s="16">
        <v>26465</v>
      </c>
      <c r="B96" s="49">
        <v>350</v>
      </c>
      <c r="C96" s="17"/>
      <c r="D96" s="13"/>
      <c r="E96" s="100"/>
      <c r="F96" s="14"/>
      <c r="G96" s="11"/>
      <c r="H96" s="67"/>
      <c r="I96" s="12"/>
      <c r="J96" s="61"/>
      <c r="K96" s="72"/>
      <c r="L96" s="62"/>
      <c r="M96" s="15"/>
      <c r="N96" s="15"/>
      <c r="O96" s="15"/>
      <c r="P96" s="58"/>
      <c r="Q96" s="58"/>
      <c r="R96" s="58"/>
      <c r="S96" s="58"/>
    </row>
    <row r="97" spans="1:19" x14ac:dyDescent="0.25">
      <c r="A97" s="16"/>
      <c r="B97" s="49"/>
      <c r="C97" s="17"/>
      <c r="D97" s="13"/>
      <c r="E97" s="100"/>
      <c r="F97" s="14"/>
      <c r="G97" s="11"/>
      <c r="H97" s="67"/>
      <c r="I97" s="12"/>
      <c r="J97" s="61"/>
      <c r="K97" s="72"/>
      <c r="L97" s="62"/>
      <c r="M97" s="15"/>
      <c r="N97" s="15"/>
      <c r="O97" s="15"/>
      <c r="P97" s="58"/>
      <c r="Q97" s="58"/>
      <c r="R97" s="58"/>
      <c r="S97" s="58"/>
    </row>
    <row r="98" spans="1:19" x14ac:dyDescent="0.25">
      <c r="A98" s="16"/>
      <c r="B98" s="49"/>
      <c r="C98" s="17"/>
      <c r="D98" s="13"/>
      <c r="E98" s="100"/>
      <c r="F98" s="14"/>
      <c r="G98" s="11"/>
      <c r="H98" s="67"/>
      <c r="I98" s="12"/>
      <c r="J98" s="61"/>
      <c r="K98" s="72"/>
      <c r="L98" s="62"/>
      <c r="M98" s="15"/>
      <c r="N98" s="15"/>
      <c r="O98" s="15"/>
      <c r="P98" s="58"/>
      <c r="Q98" s="58"/>
      <c r="R98" s="58"/>
      <c r="S98" s="58"/>
    </row>
    <row r="99" spans="1:19" x14ac:dyDescent="0.25">
      <c r="A99" s="16"/>
      <c r="B99" s="49"/>
      <c r="C99" s="17"/>
      <c r="D99" s="13"/>
      <c r="E99" s="100"/>
      <c r="F99" s="14"/>
      <c r="G99" s="11"/>
      <c r="H99" s="67"/>
      <c r="I99" s="12"/>
      <c r="J99" s="61"/>
      <c r="K99" s="72"/>
      <c r="L99" s="62"/>
      <c r="M99" s="15"/>
      <c r="N99" s="15"/>
      <c r="O99" s="15"/>
      <c r="P99" s="58"/>
      <c r="Q99" s="58"/>
      <c r="R99" s="58"/>
      <c r="S99" s="58"/>
    </row>
    <row r="100" spans="1:19" x14ac:dyDescent="0.25">
      <c r="A100" s="16"/>
      <c r="B100" s="49"/>
      <c r="C100" s="17"/>
      <c r="D100" s="13"/>
      <c r="E100" s="100"/>
      <c r="F100" s="14"/>
      <c r="G100" s="11"/>
      <c r="H100" s="67"/>
      <c r="I100" s="12"/>
      <c r="J100" s="61"/>
      <c r="K100" s="72"/>
      <c r="L100" s="62"/>
      <c r="M100" s="15"/>
      <c r="N100" s="15"/>
      <c r="O100" s="15"/>
      <c r="P100" s="58"/>
      <c r="Q100" s="58"/>
      <c r="R100" s="58"/>
      <c r="S100" s="58"/>
    </row>
    <row r="101" spans="1:19" x14ac:dyDescent="0.25">
      <c r="A101" s="16"/>
      <c r="B101" s="49"/>
      <c r="C101" s="17"/>
      <c r="D101" s="13"/>
      <c r="E101" s="100"/>
      <c r="F101" s="14"/>
      <c r="G101" s="11"/>
      <c r="H101" s="67"/>
      <c r="I101" s="12"/>
      <c r="J101" s="61"/>
      <c r="K101" s="72"/>
      <c r="L101" s="62"/>
      <c r="M101" s="15"/>
      <c r="N101" s="15"/>
      <c r="O101" s="15"/>
      <c r="P101" s="58"/>
      <c r="Q101" s="58"/>
      <c r="R101" s="58"/>
      <c r="S101" s="58"/>
    </row>
    <row r="102" spans="1:19" x14ac:dyDescent="0.25">
      <c r="A102" s="16"/>
      <c r="B102" s="49"/>
      <c r="C102" s="17"/>
      <c r="D102" s="13"/>
      <c r="E102" s="100"/>
      <c r="F102" s="14"/>
      <c r="G102" s="11"/>
      <c r="H102" s="67"/>
      <c r="I102" s="12"/>
      <c r="J102" s="61"/>
      <c r="K102" s="72"/>
      <c r="L102" s="62"/>
      <c r="M102" s="15"/>
      <c r="N102" s="15"/>
      <c r="O102" s="15"/>
      <c r="P102" s="58"/>
      <c r="Q102" s="58"/>
      <c r="R102" s="58"/>
      <c r="S102" s="58"/>
    </row>
    <row r="103" spans="1:19" x14ac:dyDescent="0.25">
      <c r="A103" s="16"/>
      <c r="B103" s="49"/>
      <c r="C103" s="17"/>
      <c r="D103" s="13"/>
      <c r="E103" s="100"/>
      <c r="F103" s="14"/>
      <c r="G103" s="11"/>
      <c r="H103" s="67"/>
      <c r="I103" s="12"/>
      <c r="J103" s="61"/>
      <c r="K103" s="72"/>
      <c r="L103" s="62"/>
      <c r="M103" s="15"/>
      <c r="N103" s="15"/>
      <c r="O103" s="15"/>
      <c r="P103" s="58"/>
      <c r="Q103" s="58"/>
      <c r="R103" s="58"/>
      <c r="S103" s="58"/>
    </row>
    <row r="104" spans="1:19" x14ac:dyDescent="0.25">
      <c r="A104" s="16"/>
      <c r="B104" s="49"/>
      <c r="C104" s="17"/>
      <c r="D104" s="13"/>
      <c r="E104" s="100"/>
      <c r="F104" s="14"/>
      <c r="G104" s="11"/>
      <c r="H104" s="67"/>
      <c r="I104" s="12"/>
      <c r="J104" s="61"/>
      <c r="K104" s="72"/>
      <c r="L104" s="62"/>
      <c r="M104" s="15"/>
      <c r="N104" s="15"/>
      <c r="O104" s="15"/>
      <c r="P104" s="58"/>
      <c r="Q104" s="58"/>
      <c r="R104" s="58"/>
      <c r="S104" s="58"/>
    </row>
    <row r="105" spans="1:19" x14ac:dyDescent="0.25">
      <c r="A105" s="16"/>
      <c r="B105" s="49"/>
      <c r="C105" s="17"/>
      <c r="D105" s="13"/>
      <c r="E105" s="100"/>
      <c r="F105" s="14"/>
      <c r="G105" s="11"/>
      <c r="H105" s="67"/>
      <c r="I105" s="12"/>
      <c r="J105" s="61"/>
      <c r="K105" s="72"/>
      <c r="L105" s="62"/>
      <c r="M105" s="15"/>
      <c r="N105" s="15"/>
      <c r="O105" s="15"/>
      <c r="P105" s="58"/>
      <c r="Q105" s="58"/>
      <c r="R105" s="58"/>
      <c r="S105" s="58"/>
    </row>
    <row r="106" spans="1:19" x14ac:dyDescent="0.25">
      <c r="A106" s="16"/>
      <c r="B106" s="49"/>
      <c r="C106" s="17"/>
      <c r="D106" s="13"/>
      <c r="E106" s="100"/>
      <c r="F106" s="14"/>
      <c r="G106" s="11"/>
      <c r="H106" s="67"/>
      <c r="I106" s="12"/>
      <c r="J106" s="61"/>
      <c r="K106" s="72"/>
      <c r="L106" s="62"/>
      <c r="M106" s="15"/>
      <c r="N106" s="15"/>
      <c r="O106" s="15"/>
      <c r="P106" s="58"/>
      <c r="Q106" s="58"/>
      <c r="R106" s="58"/>
      <c r="S106" s="58"/>
    </row>
    <row r="107" spans="1:19" x14ac:dyDescent="0.25">
      <c r="A107" s="16"/>
      <c r="B107" s="49"/>
      <c r="C107" s="17"/>
      <c r="D107" s="13"/>
      <c r="E107" s="100"/>
      <c r="F107" s="14"/>
      <c r="G107" s="11"/>
      <c r="H107" s="67"/>
      <c r="I107" s="12"/>
      <c r="J107" s="61"/>
      <c r="K107" s="72"/>
      <c r="L107" s="62"/>
      <c r="M107" s="15"/>
      <c r="N107" s="15"/>
      <c r="O107" s="15"/>
      <c r="P107" s="58"/>
      <c r="Q107" s="58"/>
      <c r="R107" s="58"/>
      <c r="S107" s="58"/>
    </row>
    <row r="108" spans="1:19" x14ac:dyDescent="0.25">
      <c r="A108" s="16"/>
      <c r="B108" s="49"/>
      <c r="C108" s="17"/>
      <c r="D108" s="13"/>
      <c r="E108" s="100"/>
      <c r="F108" s="14"/>
      <c r="G108" s="11"/>
      <c r="H108" s="67"/>
      <c r="I108" s="12"/>
      <c r="J108" s="61"/>
      <c r="K108" s="72"/>
      <c r="L108" s="62"/>
      <c r="M108" s="15"/>
      <c r="N108" s="15"/>
      <c r="O108" s="15"/>
      <c r="P108" s="58"/>
      <c r="Q108" s="58"/>
      <c r="R108" s="58"/>
      <c r="S108" s="58"/>
    </row>
    <row r="109" spans="1:19" x14ac:dyDescent="0.25">
      <c r="A109" s="16"/>
      <c r="B109" s="49"/>
      <c r="C109" s="17"/>
      <c r="D109" s="13"/>
      <c r="E109" s="100"/>
      <c r="F109" s="14"/>
      <c r="G109" s="11"/>
      <c r="H109" s="67"/>
      <c r="I109" s="12"/>
      <c r="J109" s="61"/>
      <c r="K109" s="72"/>
      <c r="L109" s="62"/>
      <c r="M109" s="15"/>
      <c r="N109" s="15"/>
      <c r="O109" s="15"/>
      <c r="P109" s="58"/>
      <c r="Q109" s="58"/>
      <c r="R109" s="58"/>
      <c r="S109" s="58"/>
    </row>
    <row r="110" spans="1:19" x14ac:dyDescent="0.25">
      <c r="A110" s="16"/>
      <c r="B110" s="49"/>
      <c r="C110" s="17"/>
      <c r="D110" s="13"/>
      <c r="E110" s="100"/>
      <c r="F110" s="14"/>
      <c r="G110" s="11"/>
      <c r="H110" s="67"/>
      <c r="I110" s="12"/>
      <c r="J110" s="61"/>
      <c r="K110" s="72"/>
      <c r="L110" s="62"/>
      <c r="M110" s="15"/>
      <c r="N110" s="15"/>
      <c r="O110" s="15"/>
      <c r="P110" s="58"/>
      <c r="Q110" s="58"/>
      <c r="R110" s="58"/>
      <c r="S110" s="58"/>
    </row>
    <row r="111" spans="1:19" x14ac:dyDescent="0.25">
      <c r="A111" s="16"/>
      <c r="B111" s="49"/>
      <c r="C111" s="17"/>
      <c r="D111" s="13"/>
      <c r="E111" s="100"/>
      <c r="F111" s="14"/>
      <c r="G111" s="11"/>
      <c r="H111" s="67"/>
      <c r="I111" s="12"/>
      <c r="J111" s="61"/>
      <c r="K111" s="72"/>
      <c r="L111" s="62"/>
      <c r="M111" s="15"/>
      <c r="N111" s="15"/>
      <c r="O111" s="15"/>
    </row>
    <row r="112" spans="1:19" x14ac:dyDescent="0.25">
      <c r="A112" s="16"/>
      <c r="B112" s="49"/>
      <c r="C112" s="17"/>
      <c r="D112" s="13"/>
      <c r="E112" s="100"/>
      <c r="F112" s="14"/>
      <c r="G112" s="11"/>
      <c r="H112" s="67"/>
      <c r="I112" s="12"/>
      <c r="J112" s="61"/>
      <c r="K112" s="72"/>
      <c r="L112" s="62"/>
      <c r="M112" s="15"/>
      <c r="N112" s="15"/>
      <c r="O112" s="15"/>
    </row>
    <row r="113" spans="1:15" x14ac:dyDescent="0.25">
      <c r="A113" s="26"/>
      <c r="B113" s="66"/>
      <c r="C113" s="58"/>
      <c r="D113" s="26"/>
      <c r="E113" s="58"/>
      <c r="F113" s="58"/>
      <c r="G113" s="26"/>
      <c r="H113" s="58"/>
      <c r="I113" s="58"/>
      <c r="J113" s="26"/>
      <c r="K113" s="58"/>
      <c r="L113" s="58"/>
      <c r="M113" s="58"/>
      <c r="N113" s="58"/>
      <c r="O113" s="58"/>
    </row>
    <row r="114" spans="1:15" x14ac:dyDescent="0.25">
      <c r="A114" s="26"/>
      <c r="B114" s="66"/>
      <c r="C114" s="58"/>
      <c r="D114" s="26"/>
      <c r="E114" s="58"/>
      <c r="F114" s="58"/>
      <c r="G114" s="26"/>
      <c r="H114" s="58"/>
      <c r="I114" s="58"/>
      <c r="J114" s="26"/>
      <c r="K114" s="58"/>
      <c r="L114" s="58"/>
      <c r="M114" s="58"/>
      <c r="N114" s="58"/>
      <c r="O114" s="58"/>
    </row>
    <row r="115" spans="1:15" x14ac:dyDescent="0.25">
      <c r="A115" s="26"/>
      <c r="B115" s="66"/>
      <c r="C115" s="58"/>
      <c r="D115" s="26"/>
      <c r="E115" s="58"/>
      <c r="F115" s="58"/>
      <c r="G115" s="26"/>
      <c r="H115" s="58"/>
      <c r="I115" s="58"/>
      <c r="J115" s="26"/>
      <c r="K115" s="58"/>
      <c r="L115" s="58"/>
      <c r="M115" s="58"/>
      <c r="N115" s="58"/>
      <c r="O115" s="58"/>
    </row>
    <row r="116" spans="1:15" x14ac:dyDescent="0.25">
      <c r="A116" s="26"/>
      <c r="B116" s="66"/>
      <c r="C116" s="58"/>
      <c r="D116" s="26"/>
      <c r="E116" s="58"/>
      <c r="F116" s="58"/>
      <c r="G116" s="26"/>
      <c r="H116" s="58"/>
      <c r="I116" s="58"/>
      <c r="J116" s="26"/>
      <c r="K116" s="58"/>
      <c r="L116" s="58"/>
      <c r="M116" s="58"/>
      <c r="N116" s="58"/>
      <c r="O116" s="58"/>
    </row>
    <row r="117" spans="1:15" x14ac:dyDescent="0.25">
      <c r="A117" s="26"/>
      <c r="B117" s="66"/>
      <c r="C117" s="58"/>
      <c r="D117" s="26"/>
      <c r="E117" s="58"/>
      <c r="F117" s="58"/>
      <c r="G117" s="26"/>
      <c r="H117" s="58"/>
      <c r="I117" s="58"/>
      <c r="J117" s="26"/>
      <c r="K117" s="58"/>
      <c r="L117" s="58"/>
      <c r="M117" s="58"/>
      <c r="N117" s="58"/>
      <c r="O117" s="58"/>
    </row>
    <row r="118" spans="1:15" x14ac:dyDescent="0.25">
      <c r="A118" s="26"/>
      <c r="B118" s="66"/>
      <c r="C118" s="58"/>
      <c r="D118" s="26"/>
      <c r="E118" s="58"/>
      <c r="F118" s="58"/>
      <c r="G118" s="26"/>
      <c r="H118" s="58"/>
      <c r="I118" s="58"/>
      <c r="J118" s="26"/>
      <c r="K118" s="58"/>
      <c r="L118" s="58"/>
      <c r="M118" s="58"/>
      <c r="N118" s="58"/>
      <c r="O118" s="58"/>
    </row>
    <row r="119" spans="1:15" x14ac:dyDescent="0.25">
      <c r="A119" s="26"/>
      <c r="B119" s="66"/>
      <c r="C119" s="58"/>
      <c r="D119" s="26"/>
      <c r="E119" s="58"/>
      <c r="F119" s="58"/>
      <c r="G119" s="26"/>
      <c r="H119" s="58"/>
      <c r="I119" s="58"/>
      <c r="J119" s="26"/>
      <c r="K119" s="58"/>
      <c r="L119" s="58"/>
      <c r="M119" s="58"/>
      <c r="N119" s="58"/>
      <c r="O119" s="58"/>
    </row>
    <row r="120" spans="1:15" x14ac:dyDescent="0.25">
      <c r="A120" s="26"/>
      <c r="B120" s="66"/>
      <c r="C120" s="58"/>
      <c r="D120" s="26"/>
      <c r="E120" s="58"/>
      <c r="F120" s="58"/>
      <c r="G120" s="26"/>
      <c r="H120" s="58"/>
      <c r="I120" s="58"/>
      <c r="J120" s="26"/>
      <c r="K120" s="58"/>
      <c r="L120" s="58"/>
      <c r="M120" s="58"/>
      <c r="N120" s="58"/>
      <c r="O120" s="58"/>
    </row>
    <row r="121" spans="1:15" x14ac:dyDescent="0.25">
      <c r="A121" s="26"/>
      <c r="B121" s="66"/>
      <c r="C121" s="58"/>
      <c r="D121" s="26"/>
      <c r="E121" s="58"/>
      <c r="F121" s="58"/>
      <c r="G121" s="26"/>
      <c r="H121" s="58"/>
      <c r="I121" s="58"/>
      <c r="J121" s="26"/>
      <c r="K121" s="58"/>
      <c r="L121" s="58"/>
      <c r="M121" s="58"/>
      <c r="N121" s="58"/>
      <c r="O121" s="58"/>
    </row>
    <row r="122" spans="1:15" x14ac:dyDescent="0.25">
      <c r="A122" s="26"/>
      <c r="B122" s="66"/>
      <c r="C122" s="58"/>
      <c r="D122" s="26"/>
      <c r="E122" s="58"/>
      <c r="F122" s="58"/>
      <c r="G122" s="26"/>
      <c r="H122" s="58"/>
      <c r="I122" s="58"/>
      <c r="J122" s="26"/>
      <c r="K122" s="58"/>
      <c r="L122" s="58"/>
      <c r="M122" s="58"/>
      <c r="N122" s="58"/>
      <c r="O122" s="58"/>
    </row>
    <row r="123" spans="1:15" x14ac:dyDescent="0.25">
      <c r="A123" s="26"/>
      <c r="B123" s="66"/>
      <c r="C123" s="58"/>
      <c r="D123" s="26"/>
      <c r="E123" s="58"/>
      <c r="F123" s="58"/>
      <c r="G123" s="26"/>
      <c r="H123" s="58"/>
      <c r="I123" s="58"/>
      <c r="J123" s="26"/>
      <c r="K123" s="58"/>
      <c r="L123" s="58"/>
      <c r="M123" s="58"/>
      <c r="N123" s="58"/>
      <c r="O123" s="58"/>
    </row>
    <row r="124" spans="1:15" x14ac:dyDescent="0.25">
      <c r="A124" s="26"/>
      <c r="B124" s="66"/>
      <c r="C124" s="58"/>
      <c r="D124" s="26"/>
      <c r="E124" s="58"/>
      <c r="F124" s="58"/>
      <c r="G124" s="26"/>
      <c r="H124" s="58"/>
      <c r="I124" s="58"/>
      <c r="J124" s="26"/>
      <c r="K124" s="58"/>
      <c r="L124" s="58"/>
      <c r="M124" s="58"/>
      <c r="N124" s="58"/>
      <c r="O124" s="58"/>
    </row>
    <row r="125" spans="1:15" x14ac:dyDescent="0.25">
      <c r="A125" s="26"/>
      <c r="B125" s="66"/>
      <c r="C125" s="58"/>
      <c r="D125" s="26"/>
      <c r="E125" s="58"/>
      <c r="F125" s="58"/>
      <c r="G125" s="26"/>
      <c r="H125" s="58"/>
      <c r="I125" s="58"/>
      <c r="J125" s="26"/>
      <c r="K125" s="58"/>
      <c r="L125" s="58"/>
      <c r="M125" s="58"/>
      <c r="N125" s="58"/>
      <c r="O125" s="58"/>
    </row>
    <row r="126" spans="1:15" x14ac:dyDescent="0.25">
      <c r="A126" s="26"/>
      <c r="B126" s="66"/>
      <c r="C126" s="58"/>
      <c r="D126" s="26"/>
      <c r="E126" s="58"/>
      <c r="F126" s="58"/>
      <c r="G126" s="26"/>
      <c r="H126" s="58"/>
      <c r="I126" s="58"/>
      <c r="J126" s="26"/>
      <c r="K126" s="58"/>
      <c r="L126" s="58"/>
      <c r="M126" s="58"/>
      <c r="N126" s="58"/>
      <c r="O126" s="58"/>
    </row>
    <row r="127" spans="1:15" x14ac:dyDescent="0.25">
      <c r="A127" s="26"/>
      <c r="B127" s="66"/>
      <c r="C127" s="58"/>
      <c r="D127" s="26"/>
      <c r="E127" s="58"/>
      <c r="F127" s="58"/>
      <c r="G127" s="26"/>
      <c r="H127" s="58"/>
      <c r="I127" s="58"/>
      <c r="J127" s="26"/>
      <c r="K127" s="58"/>
      <c r="L127" s="58"/>
      <c r="M127" s="58"/>
      <c r="N127" s="58"/>
      <c r="O127" s="58"/>
    </row>
    <row r="128" spans="1:15" x14ac:dyDescent="0.25">
      <c r="A128" s="26"/>
      <c r="B128" s="66"/>
      <c r="C128" s="58"/>
      <c r="D128" s="26"/>
      <c r="E128" s="58"/>
      <c r="F128" s="58"/>
      <c r="G128" s="26"/>
      <c r="H128" s="58"/>
      <c r="I128" s="58"/>
      <c r="J128" s="26"/>
      <c r="K128" s="58"/>
      <c r="L128" s="58"/>
      <c r="M128" s="58"/>
      <c r="N128" s="58"/>
      <c r="O128" s="58"/>
    </row>
    <row r="129" spans="1:15" x14ac:dyDescent="0.25">
      <c r="A129" s="26"/>
      <c r="B129" s="66"/>
      <c r="C129" s="58"/>
      <c r="D129" s="26"/>
      <c r="E129" s="58"/>
      <c r="F129" s="58"/>
      <c r="G129" s="26"/>
      <c r="H129" s="58"/>
      <c r="I129" s="58"/>
      <c r="J129" s="26"/>
      <c r="K129" s="58"/>
      <c r="L129" s="58"/>
      <c r="M129" s="58"/>
      <c r="N129" s="58"/>
      <c r="O129" s="58"/>
    </row>
    <row r="130" spans="1:15" x14ac:dyDescent="0.25">
      <c r="A130" s="26"/>
      <c r="B130" s="66"/>
      <c r="C130" s="58"/>
      <c r="D130" s="26"/>
      <c r="E130" s="58"/>
      <c r="F130" s="58"/>
      <c r="G130" s="26"/>
      <c r="H130" s="58"/>
      <c r="I130" s="58"/>
      <c r="J130" s="26"/>
      <c r="K130" s="58"/>
      <c r="L130" s="58"/>
      <c r="M130" s="58"/>
      <c r="N130" s="58"/>
      <c r="O130" s="58"/>
    </row>
    <row r="131" spans="1:15" x14ac:dyDescent="0.25">
      <c r="A131" s="26"/>
      <c r="B131" s="66"/>
      <c r="C131" s="58"/>
      <c r="D131" s="26"/>
      <c r="E131" s="58"/>
      <c r="F131" s="58"/>
      <c r="G131" s="26"/>
      <c r="H131" s="58"/>
      <c r="I131" s="58"/>
      <c r="J131" s="26"/>
      <c r="K131" s="58"/>
      <c r="L131" s="58"/>
      <c r="M131" s="58"/>
      <c r="N131" s="58"/>
      <c r="O131" s="58"/>
    </row>
    <row r="132" spans="1:15" x14ac:dyDescent="0.25">
      <c r="A132" s="26"/>
      <c r="B132" s="66"/>
      <c r="C132" s="58"/>
      <c r="D132" s="26"/>
      <c r="E132" s="58"/>
      <c r="F132" s="58"/>
      <c r="G132" s="26"/>
      <c r="H132" s="58"/>
      <c r="I132" s="58"/>
      <c r="J132" s="26"/>
      <c r="K132" s="58"/>
      <c r="L132" s="58"/>
      <c r="M132" s="58"/>
      <c r="N132" s="58"/>
      <c r="O132" s="58"/>
    </row>
    <row r="133" spans="1:15" x14ac:dyDescent="0.25">
      <c r="A133" s="26"/>
      <c r="B133" s="66"/>
      <c r="C133" s="58"/>
      <c r="D133" s="26"/>
      <c r="E133" s="58"/>
      <c r="F133" s="58"/>
      <c r="G133" s="26"/>
      <c r="H133" s="58"/>
      <c r="I133" s="58"/>
      <c r="J133" s="26"/>
      <c r="K133" s="58"/>
      <c r="L133" s="58"/>
      <c r="M133" s="58"/>
      <c r="N133" s="58"/>
      <c r="O133" s="58"/>
    </row>
    <row r="134" spans="1:15" x14ac:dyDescent="0.25">
      <c r="A134" s="26"/>
      <c r="B134" s="66"/>
      <c r="C134" s="58"/>
      <c r="D134" s="26"/>
      <c r="E134" s="58"/>
      <c r="F134" s="58"/>
      <c r="G134" s="26"/>
      <c r="H134" s="58"/>
      <c r="I134" s="58"/>
      <c r="J134" s="26"/>
      <c r="K134" s="58"/>
      <c r="L134" s="58"/>
      <c r="M134" s="58"/>
      <c r="N134" s="58"/>
      <c r="O134" s="58"/>
    </row>
    <row r="135" spans="1:15" x14ac:dyDescent="0.25">
      <c r="A135" s="26"/>
      <c r="B135" s="66"/>
      <c r="C135" s="58"/>
      <c r="D135" s="26"/>
      <c r="E135" s="58"/>
      <c r="F135" s="58"/>
      <c r="G135" s="26"/>
      <c r="H135" s="58"/>
      <c r="I135" s="58"/>
      <c r="J135" s="26"/>
      <c r="K135" s="58"/>
      <c r="L135" s="58"/>
      <c r="M135" s="58"/>
      <c r="N135" s="58"/>
      <c r="O135" s="58"/>
    </row>
    <row r="136" spans="1:15" x14ac:dyDescent="0.25">
      <c r="A136" s="26"/>
      <c r="B136" s="66"/>
      <c r="C136" s="58"/>
      <c r="D136" s="26"/>
      <c r="E136" s="58"/>
      <c r="F136" s="58"/>
      <c r="G136" s="26"/>
      <c r="H136" s="58"/>
      <c r="I136" s="58"/>
      <c r="J136" s="26"/>
      <c r="K136" s="58"/>
      <c r="L136" s="58"/>
      <c r="M136" s="58"/>
      <c r="N136" s="58"/>
      <c r="O136" s="58"/>
    </row>
    <row r="137" spans="1:15" x14ac:dyDescent="0.25">
      <c r="A137" s="26"/>
      <c r="B137" s="66"/>
      <c r="C137" s="58"/>
      <c r="D137" s="26"/>
      <c r="E137" s="58"/>
      <c r="F137" s="58"/>
      <c r="G137" s="26"/>
      <c r="H137" s="58"/>
      <c r="I137" s="58"/>
      <c r="J137" s="26"/>
      <c r="K137" s="58"/>
      <c r="L137" s="58"/>
      <c r="M137" s="58"/>
      <c r="N137" s="58"/>
      <c r="O137" s="58"/>
    </row>
    <row r="138" spans="1:15" x14ac:dyDescent="0.25">
      <c r="A138" s="26"/>
      <c r="B138" s="66"/>
      <c r="C138" s="58"/>
      <c r="D138" s="26"/>
      <c r="E138" s="58"/>
      <c r="F138" s="58"/>
      <c r="G138" s="26"/>
      <c r="H138" s="58"/>
      <c r="I138" s="58"/>
      <c r="J138" s="26"/>
      <c r="K138" s="58"/>
      <c r="L138" s="58"/>
      <c r="M138" s="58"/>
      <c r="N138" s="58"/>
      <c r="O138" s="58"/>
    </row>
    <row r="139" spans="1:15" x14ac:dyDescent="0.25">
      <c r="A139" s="26"/>
      <c r="B139" s="66"/>
      <c r="C139" s="58"/>
      <c r="D139" s="26"/>
      <c r="E139" s="58"/>
      <c r="F139" s="58"/>
      <c r="G139" s="26"/>
      <c r="H139" s="58"/>
      <c r="I139" s="58"/>
      <c r="J139" s="26"/>
      <c r="K139" s="58"/>
      <c r="L139" s="58"/>
      <c r="M139" s="58"/>
      <c r="N139" s="58"/>
      <c r="O139" s="58"/>
    </row>
    <row r="140" spans="1:15" x14ac:dyDescent="0.25">
      <c r="A140" s="26"/>
      <c r="B140" s="66"/>
      <c r="C140" s="58"/>
      <c r="D140" s="26"/>
      <c r="E140" s="58"/>
      <c r="F140" s="58"/>
      <c r="G140" s="26"/>
      <c r="H140" s="58"/>
      <c r="I140" s="58"/>
      <c r="J140" s="26"/>
      <c r="K140" s="58"/>
      <c r="L140" s="58"/>
      <c r="M140" s="58"/>
      <c r="N140" s="58"/>
      <c r="O140" s="58"/>
    </row>
    <row r="141" spans="1:15" x14ac:dyDescent="0.25">
      <c r="A141" s="26"/>
      <c r="B141" s="66"/>
      <c r="C141" s="58"/>
      <c r="D141" s="26"/>
      <c r="E141" s="58"/>
      <c r="F141" s="58"/>
      <c r="G141" s="26"/>
      <c r="H141" s="58"/>
      <c r="I141" s="58"/>
      <c r="J141" s="26"/>
      <c r="K141" s="58"/>
      <c r="L141" s="58"/>
      <c r="M141" s="58"/>
      <c r="N141" s="58"/>
      <c r="O141" s="58"/>
    </row>
    <row r="142" spans="1:15" x14ac:dyDescent="0.25">
      <c r="A142" s="26"/>
      <c r="B142" s="66"/>
      <c r="C142" s="58"/>
      <c r="D142" s="26"/>
      <c r="E142" s="58"/>
      <c r="F142" s="58"/>
      <c r="G142" s="26"/>
      <c r="H142" s="58"/>
      <c r="I142" s="58"/>
      <c r="J142" s="26"/>
      <c r="K142" s="58"/>
      <c r="L142" s="58"/>
      <c r="M142" s="58"/>
      <c r="N142" s="58"/>
      <c r="O142" s="58"/>
    </row>
    <row r="143" spans="1:15" x14ac:dyDescent="0.25">
      <c r="A143" s="26"/>
      <c r="B143" s="66"/>
      <c r="C143" s="58"/>
      <c r="D143" s="26"/>
      <c r="E143" s="58"/>
      <c r="F143" s="58"/>
      <c r="G143" s="26"/>
      <c r="H143" s="58"/>
      <c r="I143" s="58"/>
      <c r="J143" s="26"/>
      <c r="K143" s="58"/>
      <c r="L143" s="58"/>
      <c r="M143" s="58"/>
      <c r="N143" s="58"/>
      <c r="O143" s="58"/>
    </row>
    <row r="144" spans="1:15" x14ac:dyDescent="0.25">
      <c r="A144" s="26"/>
      <c r="B144" s="66"/>
      <c r="C144" s="58"/>
      <c r="D144" s="26"/>
      <c r="E144" s="58"/>
      <c r="F144" s="58"/>
      <c r="G144" s="26"/>
      <c r="H144" s="58"/>
      <c r="I144" s="58"/>
      <c r="J144" s="26"/>
      <c r="K144" s="58"/>
      <c r="L144" s="58"/>
      <c r="M144" s="58"/>
      <c r="N144" s="58"/>
      <c r="O144" s="58"/>
    </row>
    <row r="145" spans="1:15" x14ac:dyDescent="0.25">
      <c r="A145" s="26"/>
      <c r="B145" s="66"/>
      <c r="C145" s="58"/>
      <c r="D145" s="26"/>
      <c r="E145" s="58"/>
      <c r="F145" s="58"/>
      <c r="G145" s="26"/>
      <c r="H145" s="58"/>
      <c r="I145" s="58"/>
      <c r="J145" s="26"/>
      <c r="K145" s="58"/>
      <c r="L145" s="58"/>
      <c r="M145" s="58"/>
      <c r="N145" s="58"/>
      <c r="O145" s="58"/>
    </row>
    <row r="146" spans="1:15" x14ac:dyDescent="0.25">
      <c r="A146" s="26"/>
      <c r="B146" s="66"/>
      <c r="C146" s="58"/>
      <c r="D146" s="26"/>
      <c r="E146" s="58"/>
      <c r="F146" s="58"/>
      <c r="G146" s="26"/>
      <c r="H146" s="58"/>
      <c r="I146" s="58"/>
      <c r="J146" s="26"/>
      <c r="K146" s="58"/>
      <c r="L146" s="58"/>
      <c r="M146" s="58"/>
      <c r="N146" s="58"/>
      <c r="O146" s="58"/>
    </row>
    <row r="147" spans="1:15" x14ac:dyDescent="0.25">
      <c r="A147" s="26"/>
      <c r="B147" s="66"/>
      <c r="C147" s="58"/>
      <c r="D147" s="26"/>
      <c r="E147" s="58"/>
      <c r="F147" s="58"/>
      <c r="G147" s="26"/>
      <c r="H147" s="58"/>
      <c r="I147" s="58"/>
      <c r="J147" s="26"/>
      <c r="K147" s="58"/>
      <c r="L147" s="58"/>
      <c r="M147" s="58"/>
      <c r="N147" s="58"/>
      <c r="O147" s="58"/>
    </row>
    <row r="148" spans="1:15" x14ac:dyDescent="0.25">
      <c r="A148" s="26"/>
      <c r="B148" s="66"/>
      <c r="C148" s="58"/>
      <c r="D148" s="26"/>
      <c r="E148" s="58"/>
      <c r="F148" s="58"/>
      <c r="G148" s="26"/>
      <c r="H148" s="58"/>
      <c r="I148" s="58"/>
      <c r="J148" s="26"/>
      <c r="K148" s="58"/>
      <c r="L148" s="58"/>
      <c r="M148" s="58"/>
      <c r="N148" s="58"/>
      <c r="O148" s="58"/>
    </row>
    <row r="149" spans="1:15" x14ac:dyDescent="0.25">
      <c r="A149" s="26"/>
      <c r="B149" s="66"/>
      <c r="C149" s="58"/>
      <c r="D149" s="26"/>
      <c r="E149" s="58"/>
      <c r="F149" s="58"/>
      <c r="G149" s="26"/>
      <c r="H149" s="58"/>
      <c r="I149" s="58"/>
      <c r="J149" s="26"/>
      <c r="K149" s="58"/>
      <c r="L149" s="58"/>
      <c r="M149" s="58"/>
      <c r="N149" s="58"/>
      <c r="O149" s="58"/>
    </row>
    <row r="150" spans="1:15" x14ac:dyDescent="0.25">
      <c r="A150" s="26"/>
      <c r="B150" s="66"/>
      <c r="C150" s="58"/>
      <c r="D150" s="26"/>
      <c r="E150" s="58"/>
      <c r="F150" s="58"/>
      <c r="G150" s="26"/>
      <c r="H150" s="58"/>
      <c r="I150" s="58"/>
      <c r="J150" s="26"/>
      <c r="K150" s="58"/>
      <c r="L150" s="58"/>
      <c r="M150" s="58"/>
      <c r="N150" s="58"/>
      <c r="O150" s="58"/>
    </row>
    <row r="151" spans="1:15" x14ac:dyDescent="0.25">
      <c r="A151" s="26"/>
      <c r="B151" s="6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</row>
    <row r="152" spans="1:15" x14ac:dyDescent="0.25">
      <c r="A152" s="26"/>
      <c r="B152" s="6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</row>
    <row r="153" spans="1:15" x14ac:dyDescent="0.25">
      <c r="A153" s="26"/>
      <c r="B153" s="6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</row>
    <row r="154" spans="1:15" x14ac:dyDescent="0.25">
      <c r="A154" s="26"/>
      <c r="B154" s="6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</row>
    <row r="155" spans="1:15" x14ac:dyDescent="0.25">
      <c r="A155" s="26"/>
      <c r="B155" s="6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</row>
    <row r="156" spans="1:15" x14ac:dyDescent="0.25">
      <c r="A156" s="26"/>
      <c r="B156" s="6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</row>
    <row r="157" spans="1:15" x14ac:dyDescent="0.25">
      <c r="A157" s="26"/>
      <c r="B157" s="6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</row>
    <row r="158" spans="1:15" x14ac:dyDescent="0.25">
      <c r="A158" s="26"/>
      <c r="B158" s="6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</row>
    <row r="159" spans="1:15" x14ac:dyDescent="0.25">
      <c r="A159" s="26"/>
      <c r="B159" s="6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6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6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6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6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6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6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6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6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6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6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6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6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6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6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6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6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6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6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6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6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6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6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6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6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A535" s="26"/>
      <c r="B535" s="66"/>
      <c r="C535" s="58"/>
      <c r="D535" s="26"/>
      <c r="E535" s="58"/>
      <c r="F535" s="58"/>
      <c r="G535" s="26"/>
      <c r="H535" s="58"/>
      <c r="I535" s="58"/>
      <c r="J535" s="26"/>
      <c r="K535" s="58"/>
      <c r="L535" s="58"/>
      <c r="M535" s="58"/>
      <c r="N535" s="58"/>
      <c r="O535" s="58"/>
    </row>
    <row r="536" spans="1:15" x14ac:dyDescent="0.25">
      <c r="A536" s="26"/>
      <c r="B536" s="66"/>
      <c r="C536" s="58"/>
      <c r="G536" s="26"/>
      <c r="H536" s="58"/>
      <c r="I536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24</vt:i4>
      </vt:variant>
    </vt:vector>
  </HeadingPairs>
  <TitlesOfParts>
    <vt:vector size="36" baseType="lpstr">
      <vt:lpstr>C C Aportaciones ENE 21</vt:lpstr>
      <vt:lpstr>C C Aportaciones FEB 21</vt:lpstr>
      <vt:lpstr>C C Aportacines MAR 21</vt:lpstr>
      <vt:lpstr>C C Aportaciones ABR 21</vt:lpstr>
      <vt:lpstr>C C Aportaciones MAY 21</vt:lpstr>
      <vt:lpstr>C C Aportaciones JUN 21</vt:lpstr>
      <vt:lpstr>C C Aportaciones JUL 21   </vt:lpstr>
      <vt:lpstr>C C Aportaciones AGO 21   </vt:lpstr>
      <vt:lpstr>C C Aportaciones SEP 21</vt:lpstr>
      <vt:lpstr>C C Aportaciones OCT 21 </vt:lpstr>
      <vt:lpstr>C C Aportaciones NOV 21   </vt:lpstr>
      <vt:lpstr>C C Aportaciones DIC 21  </vt:lpstr>
      <vt:lpstr>'C C Aportacines MAR 21'!Área_de_impresión</vt:lpstr>
      <vt:lpstr>'C C Aportaciones ABR 21'!Área_de_impresión</vt:lpstr>
      <vt:lpstr>'C C Aportaciones AGO 21   '!Área_de_impresión</vt:lpstr>
      <vt:lpstr>'C C Aportaciones DIC 21  '!Área_de_impresión</vt:lpstr>
      <vt:lpstr>'C C Aportaciones ENE 21'!Área_de_impresión</vt:lpstr>
      <vt:lpstr>'C C Aportaciones FEB 21'!Área_de_impresión</vt:lpstr>
      <vt:lpstr>'C C Aportaciones JUL 21   '!Área_de_impresión</vt:lpstr>
      <vt:lpstr>'C C Aportaciones JUN 21'!Área_de_impresión</vt:lpstr>
      <vt:lpstr>'C C Aportaciones MAY 21'!Área_de_impresión</vt:lpstr>
      <vt:lpstr>'C C Aportaciones NOV 21   '!Área_de_impresión</vt:lpstr>
      <vt:lpstr>'C C Aportaciones OCT 21 '!Área_de_impresión</vt:lpstr>
      <vt:lpstr>'C C Aportaciones SEP 21'!Área_de_impresión</vt:lpstr>
      <vt:lpstr>'C C Aportacines MAR 21'!Títulos_a_imprimir</vt:lpstr>
      <vt:lpstr>'C C Aportaciones ABR 21'!Títulos_a_imprimir</vt:lpstr>
      <vt:lpstr>'C C Aportaciones AGO 21   '!Títulos_a_imprimir</vt:lpstr>
      <vt:lpstr>'C C Aportaciones DIC 21  '!Títulos_a_imprimir</vt:lpstr>
      <vt:lpstr>'C C Aportaciones ENE 21'!Títulos_a_imprimir</vt:lpstr>
      <vt:lpstr>'C C Aportaciones FEB 21'!Títulos_a_imprimir</vt:lpstr>
      <vt:lpstr>'C C Aportaciones JUL 21   '!Títulos_a_imprimir</vt:lpstr>
      <vt:lpstr>'C C Aportaciones JUN 21'!Títulos_a_imprimir</vt:lpstr>
      <vt:lpstr>'C C Aportaciones MAY 21'!Títulos_a_imprimir</vt:lpstr>
      <vt:lpstr>'C C Aportaciones NOV 21   '!Títulos_a_imprimir</vt:lpstr>
      <vt:lpstr>'C C Aportaciones OCT 21 '!Títulos_a_imprimir</vt:lpstr>
      <vt:lpstr>'C C Aportaciones SEP 21'!Títulos_a_imprimir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Hacienda de Coyoacan</dc:creator>
  <cp:lastModifiedBy>Gloria</cp:lastModifiedBy>
  <cp:lastPrinted>2021-03-02T03:19:40Z</cp:lastPrinted>
  <dcterms:created xsi:type="dcterms:W3CDTF">2013-12-30T22:30:56Z</dcterms:created>
  <dcterms:modified xsi:type="dcterms:W3CDTF">2021-12-29T00:50:24Z</dcterms:modified>
</cp:coreProperties>
</file>